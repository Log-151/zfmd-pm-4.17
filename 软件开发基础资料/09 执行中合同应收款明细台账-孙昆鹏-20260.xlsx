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F30D24BA-A9EA-4A3E-BA16-1ED0A4901602}" xr6:coauthVersionLast="45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未回款" sheetId="4" r:id="rId1"/>
    <sheet name="已回款" sheetId="5" r:id="rId2"/>
    <sheet name="已扣款" sheetId="6" r:id="rId3"/>
  </sheets>
  <definedNames>
    <definedName name="_xlnm._FilterDatabase" localSheetId="0" hidden="1">未回款!$A$2:$W$32</definedName>
    <definedName name="_xlnm._FilterDatabase" localSheetId="1" hidden="1">已回款!$A$1:$X$19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0" i="4" l="1"/>
  <c r="K29" i="4"/>
  <c r="K28" i="4"/>
  <c r="K21" i="4"/>
  <c r="K20" i="4"/>
  <c r="K14" i="4"/>
  <c r="K13" i="4"/>
  <c r="K10" i="4"/>
  <c r="K5" i="6" l="1"/>
  <c r="K4" i="6"/>
  <c r="K8" i="4" l="1"/>
  <c r="K7" i="4"/>
  <c r="K6" i="4"/>
  <c r="K5" i="4"/>
  <c r="K31" i="4" l="1"/>
  <c r="K9" i="4"/>
  <c r="R32" i="4"/>
  <c r="K32" i="4" l="1"/>
  <c r="P32" i="4"/>
</calcChain>
</file>

<file path=xl/sharedStrings.xml><?xml version="1.0" encoding="utf-8"?>
<sst xmlns="http://schemas.openxmlformats.org/spreadsheetml/2006/main" count="784" uniqueCount="237">
  <si>
    <t>应收款项名称</t>
    <phoneticPr fontId="3" type="noConversion"/>
  </si>
  <si>
    <t>合同编号</t>
    <phoneticPr fontId="3" type="noConversion"/>
  </si>
  <si>
    <t>应收时间</t>
    <phoneticPr fontId="3" type="noConversion"/>
  </si>
  <si>
    <t>集团</t>
    <phoneticPr fontId="3" type="noConversion"/>
  </si>
  <si>
    <t>广西</t>
  </si>
  <si>
    <t>风电功率预测</t>
  </si>
  <si>
    <t>超期时间
（月）</t>
    <phoneticPr fontId="3" type="noConversion"/>
  </si>
  <si>
    <t>合同金额
（万元）</t>
    <phoneticPr fontId="4" type="noConversion"/>
  </si>
  <si>
    <t>产品线</t>
    <phoneticPr fontId="4" type="noConversion"/>
  </si>
  <si>
    <t>短期软件；超短期软件；系统硬件；测风塔；测风塔设备；预测服务3年</t>
  </si>
  <si>
    <t>李妍</t>
    <phoneticPr fontId="4" type="noConversion"/>
  </si>
  <si>
    <t>10%质保款 1年</t>
    <phoneticPr fontId="4" type="noConversion"/>
  </si>
  <si>
    <t>验收时间</t>
    <phoneticPr fontId="4" type="noConversion"/>
  </si>
  <si>
    <t>风电功率预测</t>
    <phoneticPr fontId="3" type="noConversion"/>
  </si>
  <si>
    <t>50%服务费</t>
    <phoneticPr fontId="4" type="noConversion"/>
  </si>
  <si>
    <t>90%验收款</t>
    <phoneticPr fontId="4" type="noConversion"/>
  </si>
  <si>
    <t>100%合同款</t>
    <phoneticPr fontId="4" type="noConversion"/>
  </si>
  <si>
    <t>国电投</t>
    <phoneticPr fontId="4" type="noConversion"/>
  </si>
  <si>
    <t>5%质保款 2年</t>
    <phoneticPr fontId="4" type="noConversion"/>
  </si>
  <si>
    <t>到货时间</t>
    <phoneticPr fontId="4" type="noConversion"/>
  </si>
  <si>
    <t>秦英飞</t>
    <phoneticPr fontId="4" type="noConversion"/>
  </si>
  <si>
    <t>场站名称</t>
    <phoneticPr fontId="3" type="noConversion"/>
  </si>
  <si>
    <t>省（区）</t>
    <phoneticPr fontId="4" type="noConversion"/>
  </si>
  <si>
    <t>合同项目内容</t>
    <phoneticPr fontId="4" type="noConversion"/>
  </si>
  <si>
    <t>应收款金额</t>
    <phoneticPr fontId="4" type="noConversion"/>
  </si>
  <si>
    <t>执行中合同应收款明细台账</t>
    <phoneticPr fontId="4" type="noConversion"/>
  </si>
  <si>
    <t>实际开票时间</t>
    <phoneticPr fontId="4" type="noConversion"/>
  </si>
  <si>
    <t>实际到货时间</t>
    <phoneticPr fontId="4" type="noConversion"/>
  </si>
  <si>
    <t>实际验收时间</t>
    <phoneticPr fontId="4" type="noConversion"/>
  </si>
  <si>
    <t>质保期满</t>
    <phoneticPr fontId="4" type="noConversion"/>
  </si>
  <si>
    <t>签订合同
销售经理</t>
    <phoneticPr fontId="4" type="noConversion"/>
  </si>
  <si>
    <t>合计</t>
    <phoneticPr fontId="4" type="noConversion"/>
  </si>
  <si>
    <t>合同约定付款条件</t>
    <phoneticPr fontId="4" type="noConversion"/>
  </si>
  <si>
    <t>销售经理承诺
回款时间</t>
    <phoneticPr fontId="4" type="noConversion"/>
  </si>
  <si>
    <t>销售经理承诺
回款金额</t>
    <phoneticPr fontId="4" type="noConversion"/>
  </si>
  <si>
    <t>实际回款时间</t>
    <phoneticPr fontId="4" type="noConversion"/>
  </si>
  <si>
    <t>实际回款金额</t>
    <phoneticPr fontId="4" type="noConversion"/>
  </si>
  <si>
    <t>销售经理承诺
进入回款期时间</t>
    <phoneticPr fontId="4" type="noConversion"/>
  </si>
  <si>
    <t>待工程实施进展确定回款时间</t>
    <phoneticPr fontId="4" type="noConversion"/>
  </si>
  <si>
    <t>注意事项</t>
    <phoneticPr fontId="4" type="noConversion"/>
  </si>
  <si>
    <t>更新实际到货时间、实际验收时间信息，必须覆盖合同编号下所有款项名称。</t>
    <phoneticPr fontId="4" type="noConversion"/>
  </si>
  <si>
    <t>更新实际到货时间、实际验收时间信息后，必须马上更新应收时间。</t>
    <phoneticPr fontId="4" type="noConversion"/>
  </si>
  <si>
    <t>应收时间不能早于合同存档时间。</t>
    <phoneticPr fontId="4" type="noConversion"/>
  </si>
  <si>
    <t>销售合同的质保款或最后一笔应收款，应收款项名称应附带质保期限。</t>
    <phoneticPr fontId="4" type="noConversion"/>
  </si>
  <si>
    <t>段洪宇</t>
    <phoneticPr fontId="4" type="noConversion"/>
  </si>
  <si>
    <t>王星</t>
    <phoneticPr fontId="4" type="noConversion"/>
  </si>
  <si>
    <t>广西</t>
    <phoneticPr fontId="7" type="noConversion"/>
  </si>
  <si>
    <t>国电投</t>
    <phoneticPr fontId="7" type="noConversion"/>
  </si>
  <si>
    <t>销售联系人</t>
    <phoneticPr fontId="4" type="noConversion"/>
  </si>
  <si>
    <t>风电功率预测</t>
    <phoneticPr fontId="8" type="noConversion"/>
  </si>
  <si>
    <t>安徽</t>
    <phoneticPr fontId="8" type="noConversion"/>
  </si>
  <si>
    <t>中伏能源</t>
    <phoneticPr fontId="8" type="noConversion"/>
  </si>
  <si>
    <t>短期软件；超短期软件；系统硬件；预测服务2年</t>
    <phoneticPr fontId="8" type="noConversion"/>
  </si>
  <si>
    <t>2020.4.21</t>
    <phoneticPr fontId="4" type="noConversion"/>
  </si>
  <si>
    <t>备注</t>
    <phoneticPr fontId="4" type="noConversion"/>
  </si>
  <si>
    <t>约33.33%服务费</t>
    <phoneticPr fontId="4" type="noConversion"/>
  </si>
  <si>
    <t>2023.9.30</t>
    <phoneticPr fontId="4" type="noConversion"/>
  </si>
  <si>
    <t>约16.67%服务费</t>
    <phoneticPr fontId="4" type="noConversion"/>
  </si>
  <si>
    <t>2023.9.1</t>
    <phoneticPr fontId="4" type="noConversion"/>
  </si>
  <si>
    <t>2023.12.31</t>
    <phoneticPr fontId="4" type="noConversion"/>
  </si>
  <si>
    <r>
      <t>2</t>
    </r>
    <r>
      <rPr>
        <sz val="9"/>
        <color indexed="8"/>
        <rFont val="宋体"/>
        <family val="3"/>
        <charset val="134"/>
      </rPr>
      <t>020.11.1</t>
    </r>
    <phoneticPr fontId="4" type="noConversion"/>
  </si>
  <si>
    <r>
      <t>2</t>
    </r>
    <r>
      <rPr>
        <sz val="9"/>
        <color indexed="8"/>
        <rFont val="宋体"/>
        <family val="3"/>
        <charset val="134"/>
      </rPr>
      <t>021.1.31</t>
    </r>
    <phoneticPr fontId="4" type="noConversion"/>
  </si>
  <si>
    <r>
      <t>4</t>
    </r>
    <r>
      <rPr>
        <sz val="9"/>
        <color indexed="8"/>
        <rFont val="宋体"/>
        <family val="3"/>
        <charset val="134"/>
      </rPr>
      <t>0%验收款</t>
    </r>
    <phoneticPr fontId="4" type="noConversion"/>
  </si>
  <si>
    <r>
      <t>2</t>
    </r>
    <r>
      <rPr>
        <sz val="9"/>
        <color indexed="8"/>
        <rFont val="宋体"/>
        <family val="3"/>
        <charset val="134"/>
      </rPr>
      <t>020.7.8</t>
    </r>
    <phoneticPr fontId="4" type="noConversion"/>
  </si>
  <si>
    <r>
      <t>并网之日起6</t>
    </r>
    <r>
      <rPr>
        <sz val="9"/>
        <color indexed="8"/>
        <rFont val="宋体"/>
        <family val="3"/>
        <charset val="134"/>
      </rPr>
      <t>0日内或到货8个月</t>
    </r>
    <phoneticPr fontId="4" type="noConversion"/>
  </si>
  <si>
    <r>
      <t>1</t>
    </r>
    <r>
      <rPr>
        <sz val="9"/>
        <color indexed="8"/>
        <rFont val="宋体"/>
        <family val="3"/>
        <charset val="134"/>
      </rPr>
      <t>0%质保款 18个月</t>
    </r>
    <phoneticPr fontId="4" type="noConversion"/>
  </si>
  <si>
    <r>
      <t>2</t>
    </r>
    <r>
      <rPr>
        <sz val="9"/>
        <color indexed="8"/>
        <rFont val="宋体"/>
        <family val="3"/>
        <charset val="134"/>
      </rPr>
      <t>022.1.8</t>
    </r>
    <phoneticPr fontId="4" type="noConversion"/>
  </si>
  <si>
    <r>
      <t>1年质保期后</t>
    </r>
    <r>
      <rPr>
        <sz val="9"/>
        <color indexed="8"/>
        <rFont val="宋体"/>
        <family val="3"/>
        <charset val="134"/>
      </rPr>
      <t>7日内或到货18个月，提供金额为合同总价10%，期限1年的银行质量包含后7日内</t>
    </r>
    <phoneticPr fontId="4" type="noConversion"/>
  </si>
  <si>
    <r>
      <t>A至</t>
    </r>
    <r>
      <rPr>
        <sz val="9"/>
        <color indexed="8"/>
        <rFont val="宋体"/>
        <family val="3"/>
        <charset val="134"/>
      </rPr>
      <t>K不能有空项</t>
    </r>
    <phoneticPr fontId="4" type="noConversion"/>
  </si>
  <si>
    <r>
      <t>A-K、S-V、</t>
    </r>
    <r>
      <rPr>
        <sz val="9"/>
        <color indexed="8"/>
        <rFont val="宋体"/>
        <family val="3"/>
        <charset val="134"/>
      </rPr>
      <t>P-Q</t>
    </r>
    <phoneticPr fontId="4" type="noConversion"/>
  </si>
  <si>
    <t>新疆</t>
    <phoneticPr fontId="14" type="noConversion"/>
  </si>
  <si>
    <t>华电</t>
    <phoneticPr fontId="14" type="noConversion"/>
  </si>
  <si>
    <t>预测服务1年</t>
    <phoneticPr fontId="14" type="noConversion"/>
  </si>
  <si>
    <t>风电功率预测</t>
    <phoneticPr fontId="14" type="noConversion"/>
  </si>
  <si>
    <t>吉林</t>
    <phoneticPr fontId="14" type="noConversion"/>
  </si>
  <si>
    <t>2022.2.1</t>
    <phoneticPr fontId="11" type="noConversion"/>
  </si>
  <si>
    <t>2022.4.30</t>
    <phoneticPr fontId="11" type="noConversion"/>
  </si>
  <si>
    <t>李妍</t>
    <phoneticPr fontId="14" type="noConversion"/>
  </si>
  <si>
    <t>预测服务3年</t>
    <phoneticPr fontId="14" type="noConversion"/>
  </si>
  <si>
    <t>2023.8.1</t>
    <phoneticPr fontId="4" type="noConversion"/>
  </si>
  <si>
    <r>
      <t>22159-</t>
    </r>
    <r>
      <rPr>
        <sz val="9"/>
        <color indexed="8"/>
        <rFont val="宋体"/>
        <family val="3"/>
        <charset val="134"/>
      </rPr>
      <t>1</t>
    </r>
    <phoneticPr fontId="3" type="noConversion"/>
  </si>
  <si>
    <r>
      <t>22159-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</si>
  <si>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3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</si>
  <si>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4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</si>
  <si>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5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</si>
  <si>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6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</si>
  <si>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7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</si>
  <si>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8</t>
    </r>
    <r>
      <rPr>
        <sz val="11"/>
        <color theme="1"/>
        <rFont val="宋体"/>
        <family val="2"/>
        <scheme val="minor"/>
      </rPr>
      <t/>
    </r>
  </si>
  <si>
    <r>
      <t>22159-</t>
    </r>
    <r>
      <rPr>
        <sz val="9"/>
        <color indexed="8"/>
        <rFont val="宋体"/>
        <family val="3"/>
        <charset val="134"/>
      </rPr>
      <t>9</t>
    </r>
    <r>
      <rPr>
        <sz val="11"/>
        <color theme="1"/>
        <rFont val="宋体"/>
        <family val="2"/>
        <scheme val="minor"/>
      </rPr>
      <t/>
    </r>
  </si>
  <si>
    <r>
      <t>短期软件；超短期软件；系统硬件；测风塔；测风塔设备；预测服务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4" type="noConversion"/>
  </si>
  <si>
    <t>乙方提供用户签字的发货回执原件，全额发票，次月付款</t>
    <phoneticPr fontId="4" type="noConversion"/>
  </si>
  <si>
    <t>福建</t>
    <phoneticPr fontId="14" type="noConversion"/>
  </si>
  <si>
    <t>2025.6.18</t>
    <phoneticPr fontId="4" type="noConversion"/>
  </si>
  <si>
    <t>2023.5.18</t>
    <phoneticPr fontId="4" type="noConversion"/>
  </si>
  <si>
    <t>2023.7.1</t>
    <phoneticPr fontId="4" type="noConversion"/>
  </si>
  <si>
    <t>2023.10.31</t>
    <phoneticPr fontId="4" type="noConversion"/>
  </si>
  <si>
    <t>测风塔设备；预测服务3年</t>
    <phoneticPr fontId="14" type="noConversion"/>
  </si>
  <si>
    <t>2025.12.31</t>
    <phoneticPr fontId="4" type="noConversion"/>
  </si>
  <si>
    <t>硬件金额以实际发生为准</t>
    <phoneticPr fontId="4" type="noConversion"/>
  </si>
  <si>
    <t>2023.11.30</t>
    <phoneticPr fontId="4" type="noConversion"/>
  </si>
  <si>
    <t>2023.6.7
2023.6.1</t>
    <phoneticPr fontId="4" type="noConversion"/>
  </si>
  <si>
    <t>2023.6.7
2022.10.11</t>
    <phoneticPr fontId="4" type="noConversion"/>
  </si>
  <si>
    <t>2023.8.7
2023.7.25</t>
    <phoneticPr fontId="4" type="noConversion"/>
  </si>
  <si>
    <t>2023.8.7
2022.11.7</t>
    <phoneticPr fontId="4" type="noConversion"/>
  </si>
  <si>
    <t>2023.8.7</t>
    <phoneticPr fontId="4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</si>
  <si>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14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</si>
  <si>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年</t>
    </r>
    <phoneticPr fontId="14" type="noConversion"/>
  </si>
  <si>
    <t>2023.10.1</t>
    <phoneticPr fontId="4" type="noConversion"/>
  </si>
  <si>
    <t>2023.9.4</t>
    <phoneticPr fontId="4" type="noConversion"/>
  </si>
  <si>
    <t>2023.9.4</t>
  </si>
  <si>
    <t>测风塔；测风塔设备</t>
    <phoneticPr fontId="14" type="noConversion"/>
  </si>
  <si>
    <t>国华</t>
    <phoneticPr fontId="14" type="noConversion"/>
  </si>
  <si>
    <t>双辽莲花山</t>
    <phoneticPr fontId="14" type="noConversion"/>
  </si>
  <si>
    <t>2023.12.15</t>
    <phoneticPr fontId="4" type="noConversion"/>
  </si>
  <si>
    <t>2024.2.5</t>
  </si>
  <si>
    <t>约77.9%合同款</t>
  </si>
  <si>
    <t>约77.92%合同款</t>
  </si>
  <si>
    <t>2024.3.13</t>
  </si>
  <si>
    <t>2025.6.20</t>
    <phoneticPr fontId="4" type="noConversion"/>
  </si>
  <si>
    <t>按年支付，经甲方验收合格，收到乙方开具的当年发票和收据后支付</t>
    <phoneticPr fontId="4" type="noConversion"/>
  </si>
  <si>
    <t>2025.9.7</t>
    <phoneticPr fontId="4" type="noConversion"/>
  </si>
  <si>
    <t>预测服务年结束，开具当年50%收据甲方收到收据后28个工作日内</t>
    <phoneticPr fontId="4" type="noConversion"/>
  </si>
  <si>
    <t>福新老君庙</t>
    <phoneticPr fontId="14" type="noConversion"/>
  </si>
  <si>
    <t>2027.6.17</t>
    <phoneticPr fontId="4" type="noConversion"/>
  </si>
  <si>
    <t>古尔班通古特沙漠基地项目（新疆华电昌吉135万千瓦新能源项目）</t>
    <phoneticPr fontId="14" type="noConversion"/>
  </si>
  <si>
    <t>95%结算款</t>
    <phoneticPr fontId="4" type="noConversion"/>
  </si>
  <si>
    <t>设备安装调试且验收合格，开具全额发票和财务收据</t>
    <phoneticPr fontId="4" type="noConversion"/>
  </si>
  <si>
    <t>2024.11.26</t>
    <phoneticPr fontId="4" type="noConversion"/>
  </si>
  <si>
    <t>2025.8.1</t>
    <phoneticPr fontId="4" type="noConversion"/>
  </si>
  <si>
    <t>2025.10.31</t>
    <phoneticPr fontId="4" type="noConversion"/>
  </si>
  <si>
    <t>中核汇能</t>
    <phoneticPr fontId="3" type="noConversion"/>
  </si>
  <si>
    <t>25136-1</t>
    <phoneticPr fontId="4" type="noConversion"/>
  </si>
  <si>
    <t>测风塔维护；预测服务2年</t>
    <phoneticPr fontId="14" type="noConversion"/>
  </si>
  <si>
    <t>2026.8.7</t>
    <phoneticPr fontId="4" type="noConversion"/>
  </si>
  <si>
    <t>2027.8.7</t>
    <phoneticPr fontId="4" type="noConversion"/>
  </si>
  <si>
    <t>服务满1年经甲方验收合格，签署验收报告，开具当年发票，提供支付申请书</t>
    <phoneticPr fontId="4" type="noConversion"/>
  </si>
  <si>
    <t>服务满1年经甲方验收合格，签署最终验收报告，开具当年发票，提供支付申请书</t>
    <phoneticPr fontId="4" type="noConversion"/>
  </si>
  <si>
    <t>2025.10.1</t>
    <phoneticPr fontId="4" type="noConversion"/>
  </si>
  <si>
    <t>2025年12月4日，经李妍同意，郭总确认同意，盖章考核函，扣款17940元</t>
    <phoneticPr fontId="4" type="noConversion"/>
  </si>
  <si>
    <t>2026.4.6.因准确率被考核0.4万元。经向郭总汇报，郭总同意。</t>
    <phoneticPr fontId="4" type="noConversion"/>
  </si>
  <si>
    <t>经郭总、李总同意，合同作废。因合同与维美德合同重复。</t>
    <phoneticPr fontId="4" type="noConversion"/>
  </si>
  <si>
    <t>1A</t>
    <phoneticPr fontId="11" type="noConversion"/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</si>
  <si>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</si>
  <si>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</si>
  <si>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</si>
  <si>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</si>
  <si>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</si>
  <si>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</si>
  <si>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</si>
  <si>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</si>
  <si>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</si>
  <si>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</si>
  <si>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</si>
  <si>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</si>
  <si>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</si>
  <si>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</si>
  <si>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</si>
  <si>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</si>
  <si>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</si>
  <si>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A</t>
    <phoneticPr fontId="14" type="noConversion"/>
  </si>
  <si>
    <t>B</t>
    <phoneticPr fontId="7" type="noConversion"/>
  </si>
  <si>
    <t>C</t>
    <phoneticPr fontId="4" type="noConversion"/>
  </si>
  <si>
    <t>D</t>
    <phoneticPr fontId="8" type="noConversion"/>
  </si>
  <si>
    <t>韩志宇</t>
    <phoneticPr fontId="3" type="noConversion"/>
  </si>
  <si>
    <t>辽宁</t>
    <phoneticPr fontId="3" type="noConversion"/>
  </si>
  <si>
    <t>三峡新能源</t>
    <phoneticPr fontId="3" type="noConversion"/>
  </si>
  <si>
    <t>庄河</t>
    <phoneticPr fontId="3" type="noConversion"/>
  </si>
  <si>
    <t>软件升级（预测上传10天）</t>
    <phoneticPr fontId="3" type="noConversion"/>
  </si>
  <si>
    <t>3%质保款  3个月</t>
    <phoneticPr fontId="3" type="noConversion"/>
  </si>
  <si>
    <t>质保期满</t>
    <phoneticPr fontId="3" type="noConversion"/>
  </si>
  <si>
    <t>/</t>
    <phoneticPr fontId="3" type="noConversion"/>
  </si>
  <si>
    <t>2024.8.16</t>
    <phoneticPr fontId="3" type="noConversion"/>
  </si>
  <si>
    <t>验收后3个月，提供3%收据</t>
    <phoneticPr fontId="3" type="noConversion"/>
  </si>
  <si>
    <t>预测服务2年</t>
  </si>
  <si>
    <t>50%服务费</t>
    <phoneticPr fontId="3" type="noConversion"/>
  </si>
  <si>
    <t>2025.12.31</t>
    <phoneticPr fontId="3" type="noConversion"/>
  </si>
  <si>
    <t>2026.2.1</t>
    <phoneticPr fontId="3" type="noConversion"/>
  </si>
  <si>
    <t>2026.4.30</t>
    <phoneticPr fontId="3" type="noConversion"/>
  </si>
  <si>
    <t>合同签订365天后，提供50%发票和收据后30个工作日内</t>
    <phoneticPr fontId="3" type="noConversion"/>
  </si>
  <si>
    <t>2026.12.31</t>
    <phoneticPr fontId="3" type="noConversion"/>
  </si>
  <si>
    <t>服务期满后，提供50%发票和收据后30个工作日内</t>
    <phoneticPr fontId="3" type="noConversion"/>
  </si>
  <si>
    <t>三峡威远</t>
    <phoneticPr fontId="3" type="noConversion"/>
  </si>
  <si>
    <t>23113-1</t>
    <phoneticPr fontId="3" type="noConversion"/>
  </si>
  <si>
    <t>3%质保款 3个月</t>
    <phoneticPr fontId="3" type="noConversion"/>
  </si>
  <si>
    <t>验收时间后3个月</t>
    <phoneticPr fontId="3" type="noConversion"/>
  </si>
  <si>
    <t>2025.9.25</t>
    <phoneticPr fontId="3" type="noConversion"/>
  </si>
  <si>
    <t>23113-2</t>
    <phoneticPr fontId="3" type="noConversion"/>
  </si>
  <si>
    <t>电力通讯</t>
    <phoneticPr fontId="14" type="noConversion"/>
  </si>
  <si>
    <t>系统硬件</t>
    <phoneticPr fontId="14" type="noConversion"/>
  </si>
  <si>
    <t>10%质保款 1年</t>
    <phoneticPr fontId="3" type="noConversion"/>
  </si>
  <si>
    <t>质保期满，提供10%收据</t>
    <phoneticPr fontId="3" type="noConversion"/>
  </si>
  <si>
    <t>系统硬件；预测服务1年</t>
    <phoneticPr fontId="3" type="noConversion"/>
  </si>
  <si>
    <t>10%质保金  1年</t>
    <phoneticPr fontId="3" type="noConversion"/>
  </si>
  <si>
    <t>2026.1.15</t>
    <phoneticPr fontId="3" type="noConversion"/>
  </si>
  <si>
    <t>2026.3.1</t>
    <phoneticPr fontId="3" type="noConversion"/>
  </si>
  <si>
    <t>2026.5.31</t>
    <phoneticPr fontId="3" type="noConversion"/>
  </si>
  <si>
    <t>2027.1.15</t>
    <phoneticPr fontId="3" type="noConversion"/>
  </si>
  <si>
    <t>辽宁</t>
    <phoneticPr fontId="14" type="noConversion"/>
  </si>
  <si>
    <t>三峡新能源</t>
    <phoneticPr fontId="14" type="noConversion"/>
  </si>
  <si>
    <t>铁岭调兵山华仪+三峡能源泉眼沟</t>
    <phoneticPr fontId="14" type="noConversion"/>
  </si>
  <si>
    <t>24032-1</t>
    <phoneticPr fontId="3" type="noConversion"/>
  </si>
  <si>
    <t>2024.12.3</t>
    <phoneticPr fontId="3" type="noConversion"/>
  </si>
  <si>
    <t>2025.1.1</t>
    <phoneticPr fontId="3" type="noConversion"/>
  </si>
  <si>
    <t>2025.3.31</t>
    <phoneticPr fontId="3" type="noConversion"/>
  </si>
  <si>
    <t>2024.8.15</t>
    <phoneticPr fontId="3" type="noConversion"/>
  </si>
  <si>
    <t>2025.8.14</t>
    <phoneticPr fontId="3" type="noConversion"/>
  </si>
  <si>
    <t>2025.9.1</t>
    <phoneticPr fontId="3" type="noConversion"/>
  </si>
  <si>
    <t>2025.11.30</t>
    <phoneticPr fontId="3" type="noConversion"/>
  </si>
  <si>
    <t>2024.9.4</t>
    <phoneticPr fontId="3" type="noConversion"/>
  </si>
  <si>
    <t>24032-2</t>
    <phoneticPr fontId="3" type="noConversion"/>
  </si>
  <si>
    <t>辽宁风电场D5000一区软件；辽宁风电场D5000二区软件；系统硬件</t>
    <phoneticPr fontId="14" type="noConversion"/>
  </si>
  <si>
    <t>24032-3</t>
    <phoneticPr fontId="3" type="noConversion"/>
  </si>
  <si>
    <t>风电AGC/AVC</t>
    <phoneticPr fontId="14" type="noConversion"/>
  </si>
  <si>
    <t>风电AGC软件；风电AVC软件；系统硬件</t>
    <phoneticPr fontId="14" type="noConversion"/>
  </si>
  <si>
    <t>24024-4</t>
    <phoneticPr fontId="3" type="noConversion"/>
  </si>
  <si>
    <t>风电场技术服务</t>
    <phoneticPr fontId="14" type="noConversion"/>
  </si>
  <si>
    <t>技术服务（其他现代服务）</t>
    <phoneticPr fontId="14" type="noConversion"/>
  </si>
  <si>
    <t>100%合同款</t>
    <phoneticPr fontId="3" type="noConversion"/>
  </si>
  <si>
    <t>完工时间</t>
    <phoneticPr fontId="3" type="noConversion"/>
  </si>
  <si>
    <t>技术服务（数据接入）</t>
    <phoneticPr fontId="3" type="noConversion"/>
  </si>
  <si>
    <t>验收时间</t>
    <phoneticPr fontId="3" type="noConversion"/>
  </si>
  <si>
    <t>合同签订后，甲方于5个工作日一次性支付</t>
    <phoneticPr fontId="3" type="noConversion"/>
  </si>
  <si>
    <t>葫芦岛岳家屯</t>
    <phoneticPr fontId="3" type="noConversion"/>
  </si>
  <si>
    <t>2026.1.19</t>
    <phoneticPr fontId="3" type="noConversion"/>
  </si>
  <si>
    <t>2027.1.19</t>
    <phoneticPr fontId="3" type="noConversion"/>
  </si>
  <si>
    <t>韩志宇</t>
  </si>
  <si>
    <t>三峡王家</t>
    <phoneticPr fontId="3" type="noConversion"/>
  </si>
  <si>
    <t>24029-1</t>
    <phoneticPr fontId="3" type="noConversion"/>
  </si>
  <si>
    <t>光伏功率预测</t>
    <phoneticPr fontId="14" type="noConversion"/>
  </si>
  <si>
    <t>系统硬件</t>
    <phoneticPr fontId="3" type="noConversion"/>
  </si>
  <si>
    <t>2025.6.17</t>
    <phoneticPr fontId="3" type="noConversion"/>
  </si>
  <si>
    <t>质保期满30个工作日支付，提供10%收据</t>
    <phoneticPr fontId="3" type="noConversion"/>
  </si>
  <si>
    <t>24029-2</t>
    <phoneticPr fontId="3" type="noConversion"/>
  </si>
  <si>
    <t>辽宁光伏电站D5002二区软件；系统硬件</t>
  </si>
  <si>
    <t>24029-3</t>
    <phoneticPr fontId="3" type="noConversion"/>
  </si>
  <si>
    <t>光伏AGC/AVC</t>
  </si>
  <si>
    <t>光伏AGC软件；光伏AVC软件；光伏硬件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</si>
</sst>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0_);[Red]\(0.0000\)"/>
    <numFmt numFmtId="177" formatCode="0.0_);[Red]\(0.0\)"/>
    <numFmt numFmtId="178" formatCode="0.00_);[Red]\(0.00\)"/>
    <numFmt numFmtId="179" formatCode="0.000000_);[Red]\(0.000000\)"/>
    <numFmt numFmtId="180" formatCode="0.0000_ "/>
  </numFmts>
  <fonts count="17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9" fontId="10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79" fontId="10" fillId="3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79" fontId="10" fillId="0" borderId="1" xfId="0" applyNumberFormat="1" applyFont="1" applyBorder="1" applyAlignment="1">
      <alignment horizontal="right" vertical="center" wrapText="1"/>
    </xf>
    <xf numFmtId="0" fontId="10" fillId="0" borderId="0" xfId="0" applyFont="1">
      <alignment vertical="center"/>
    </xf>
    <xf numFmtId="180" fontId="10" fillId="4" borderId="1" xfId="0" applyNumberFormat="1" applyFont="1" applyFill="1" applyBorder="1" applyAlignment="1">
      <alignment horizontal="center" vertical="center" wrapText="1"/>
    </xf>
    <xf numFmtId="180" fontId="10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9" fontId="3" fillId="0" borderId="1" xfId="1" applyNumberFormat="1" applyFont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79" fontId="13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79" fontId="13" fillId="2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79" fontId="13" fillId="0" borderId="1" xfId="0" applyNumberFormat="1" applyFont="1" applyBorder="1" applyAlignment="1">
      <alignment horizontal="right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3" fillId="0" borderId="1" xfId="1" applyNumberFormat="1" applyFont="1" applyBorder="1" applyAlignment="1">
      <alignment horizontal="center" vertical="center" wrapText="1" shrinkToFit="1"/>
    </xf>
    <xf numFmtId="177" fontId="6" fillId="0" borderId="1" xfId="1" applyNumberFormat="1" applyFont="1" applyBorder="1" applyAlignment="1">
      <alignment horizontal="center" vertical="center" wrapText="1" shrinkToFit="1"/>
    </xf>
    <xf numFmtId="0" fontId="13" fillId="8" borderId="1" xfId="0" applyFont="1" applyFill="1" applyBorder="1" applyAlignment="1">
      <alignment horizontal="center" vertical="center" wrapText="1"/>
    </xf>
    <xf numFmtId="177" fontId="3" fillId="0" borderId="1" xfId="1" applyNumberFormat="1" applyFont="1" applyBorder="1" applyAlignment="1">
      <alignment horizontal="center" vertical="center" shrinkToFit="1"/>
    </xf>
    <xf numFmtId="177" fontId="6" fillId="0" borderId="1" xfId="1" applyNumberFormat="1" applyFont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right" vertical="center" wrapText="1"/>
    </xf>
    <xf numFmtId="177" fontId="6" fillId="0" borderId="2" xfId="1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right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79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79" fontId="13" fillId="0" borderId="0" xfId="0" applyNumberFormat="1" applyFont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79" fontId="13" fillId="3" borderId="1" xfId="0" applyNumberFormat="1" applyFont="1" applyFill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177" fontId="3" fillId="0" borderId="1" xfId="2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 wrapText="1"/>
    </xf>
    <xf numFmtId="177" fontId="12" fillId="0" borderId="1" xfId="2" applyNumberFormat="1" applyFont="1" applyBorder="1" applyAlignment="1">
      <alignment horizontal="left" vertical="center" wrapText="1" shrinkToFit="1"/>
    </xf>
    <xf numFmtId="0" fontId="12" fillId="0" borderId="1" xfId="2" applyFont="1" applyBorder="1" applyAlignment="1">
      <alignment horizontal="center" vertical="center"/>
    </xf>
  </cellXfs>
  <cellStyles count="16">
    <cellStyle name="常规" xfId="0" builtinId="0"/>
    <cellStyle name="常规 2" xfId="1" xr:uid="{00000000-0005-0000-0000-000001000000}"/>
    <cellStyle name="常规 2 10" xfId="2" xr:uid="{00000000-0005-0000-0000-000002000000}"/>
    <cellStyle name="常规 2 11" xfId="3" xr:uid="{00000000-0005-0000-0000-000003000000}"/>
    <cellStyle name="常规 2 2" xfId="4" xr:uid="{00000000-0005-0000-0000-000004000000}"/>
    <cellStyle name="常规 2 3" xfId="5" xr:uid="{00000000-0005-0000-0000-000005000000}"/>
    <cellStyle name="常规 2 4" xfId="6" xr:uid="{00000000-0005-0000-0000-000006000000}"/>
    <cellStyle name="常规 2 5" xfId="7" xr:uid="{00000000-0005-0000-0000-000007000000}"/>
    <cellStyle name="常规 2 6" xfId="8" xr:uid="{00000000-0005-0000-0000-000008000000}"/>
    <cellStyle name="常规 2 7" xfId="9" xr:uid="{00000000-0005-0000-0000-000009000000}"/>
    <cellStyle name="常规 2 8" xfId="10" xr:uid="{00000000-0005-0000-0000-00000A000000}"/>
    <cellStyle name="常规 2 9" xfId="11" xr:uid="{00000000-0005-0000-0000-00000B000000}"/>
    <cellStyle name="常规 3" xfId="12" xr:uid="{00000000-0005-0000-0000-00000C000000}"/>
    <cellStyle name="常规 4" xfId="13" xr:uid="{00000000-0005-0000-0000-00000D000000}"/>
    <cellStyle name="常规 5" xfId="14" xr:uid="{00000000-0005-0000-0000-00000E000000}"/>
    <cellStyle name="千位分隔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57149</xdr:colOff>
      <xdr:row>1</xdr:row>
      <xdr:rowOff>0</xdr:rowOff>
    </xdr:from>
    <xdr:to>
      <xdr:col>25</xdr:col>
      <xdr:colOff>114300</xdr:colOff>
      <xdr:row>2</xdr:row>
      <xdr:rowOff>262376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D6480C-AEC3-4728-9688-FC6D2DD5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45449" y="21149375"/>
          <a:ext cx="742951" cy="548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2"/>
  <sheetViews>
    <sheetView tabSelected="1" zoomScaleNormal="100" workbookViewId="0">
      <pane xSplit="12" ySplit="2" topLeftCell="M3" activePane="bottomRight" state="frozen"/>
      <selection pane="topRight" activeCell="L1" sqref="L1"/>
      <selection pane="bottomLeft" activeCell="A4" sqref="A4"/>
      <selection pane="bottomRight" activeCell="A10" sqref="A10:XFD30"/>
    </sheetView>
  </sheetViews>
  <sheetFormatPr defaultColWidth="8.875" defaultRowHeight="21" customHeight="1" x14ac:dyDescent="0.15"/>
  <cols>
    <col min="1" max="2" width="9.5" style="26" customWidth="1"/>
    <col min="3" max="3" width="8.25" style="26" customWidth="1"/>
    <col min="4" max="4" width="11" style="26" customWidth="1"/>
    <col min="5" max="5" width="18.25" style="26" customWidth="1"/>
    <col min="6" max="6" width="11.125" style="26" customWidth="1"/>
    <col min="7" max="7" width="14.375" style="26" customWidth="1"/>
    <col min="8" max="8" width="21.875" style="52" customWidth="1"/>
    <col min="9" max="9" width="12.375" style="26" customWidth="1"/>
    <col min="10" max="10" width="13.875" style="52" customWidth="1"/>
    <col min="11" max="11" width="12.75" style="53" customWidth="1"/>
    <col min="12" max="13" width="12.625" style="54" customWidth="1"/>
    <col min="14" max="14" width="12.625" style="26" customWidth="1"/>
    <col min="15" max="15" width="12.625" style="59" customWidth="1"/>
    <col min="16" max="16" width="12.625" style="55" customWidth="1"/>
    <col min="17" max="18" width="12.625" style="54" customWidth="1"/>
    <col min="19" max="19" width="12" style="54" customWidth="1"/>
    <col min="20" max="20" width="12.625" style="60" customWidth="1"/>
    <col min="21" max="22" width="12.625" style="26" customWidth="1"/>
    <col min="23" max="23" width="34.75" style="52" customWidth="1"/>
    <col min="24" max="16384" width="8.875" style="27"/>
  </cols>
  <sheetData>
    <row r="1" spans="1:23" ht="33" customHeight="1" x14ac:dyDescent="0.15">
      <c r="A1" s="72" t="s">
        <v>25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  <c r="P1" s="72"/>
      <c r="Q1" s="72"/>
      <c r="R1" s="72"/>
      <c r="S1" s="72"/>
      <c r="T1" s="72"/>
      <c r="U1" s="72"/>
      <c r="V1" s="72"/>
      <c r="W1" s="72"/>
    </row>
    <row r="2" spans="1:23" s="26" customFormat="1" ht="22.5" customHeight="1" x14ac:dyDescent="0.15">
      <c r="A2" s="28" t="s">
        <v>30</v>
      </c>
      <c r="B2" s="28" t="s">
        <v>48</v>
      </c>
      <c r="C2" s="28" t="s">
        <v>22</v>
      </c>
      <c r="D2" s="28" t="s">
        <v>3</v>
      </c>
      <c r="E2" s="28" t="s">
        <v>21</v>
      </c>
      <c r="F2" s="28" t="s">
        <v>1</v>
      </c>
      <c r="G2" s="28" t="s">
        <v>8</v>
      </c>
      <c r="H2" s="28" t="s">
        <v>23</v>
      </c>
      <c r="I2" s="28" t="s">
        <v>7</v>
      </c>
      <c r="J2" s="28" t="s">
        <v>0</v>
      </c>
      <c r="K2" s="29" t="s">
        <v>24</v>
      </c>
      <c r="L2" s="28" t="s">
        <v>2</v>
      </c>
      <c r="M2" s="24" t="s">
        <v>38</v>
      </c>
      <c r="N2" s="24" t="s">
        <v>37</v>
      </c>
      <c r="O2" s="20" t="s">
        <v>33</v>
      </c>
      <c r="P2" s="68" t="s">
        <v>34</v>
      </c>
      <c r="Q2" s="30" t="s">
        <v>35</v>
      </c>
      <c r="R2" s="30" t="s">
        <v>36</v>
      </c>
      <c r="S2" s="30" t="s">
        <v>6</v>
      </c>
      <c r="T2" s="31" t="s">
        <v>26</v>
      </c>
      <c r="U2" s="31" t="s">
        <v>27</v>
      </c>
      <c r="V2" s="31" t="s">
        <v>28</v>
      </c>
      <c r="W2" s="31" t="s">
        <v>32</v>
      </c>
    </row>
    <row r="3" spans="1:23" ht="22.5" customHeight="1" x14ac:dyDescent="0.15">
      <c r="A3" s="65" t="s">
        <v>20</v>
      </c>
      <c r="B3" s="65" t="s">
        <v>20</v>
      </c>
      <c r="C3" s="13" t="s">
        <v>91</v>
      </c>
      <c r="D3" s="22" t="s">
        <v>130</v>
      </c>
      <c r="E3" s="13" t="s">
        <v>159</v>
      </c>
      <c r="F3" s="65" t="s">
        <v>131</v>
      </c>
      <c r="G3" s="62" t="s">
        <v>73</v>
      </c>
      <c r="H3" s="63" t="s">
        <v>132</v>
      </c>
      <c r="I3" s="14">
        <v>10</v>
      </c>
      <c r="J3" s="65" t="s">
        <v>14</v>
      </c>
      <c r="K3" s="34">
        <v>5</v>
      </c>
      <c r="L3" s="66" t="s">
        <v>133</v>
      </c>
      <c r="M3" s="67"/>
      <c r="N3" s="67"/>
      <c r="O3" s="67"/>
      <c r="P3" s="68"/>
      <c r="Q3" s="30"/>
      <c r="R3" s="35"/>
      <c r="S3" s="35"/>
      <c r="T3" s="66"/>
      <c r="U3" s="66"/>
      <c r="V3" s="66"/>
      <c r="W3" s="64" t="s">
        <v>135</v>
      </c>
    </row>
    <row r="4" spans="1:23" ht="22.5" customHeight="1" x14ac:dyDescent="0.15">
      <c r="A4" s="65" t="s">
        <v>20</v>
      </c>
      <c r="B4" s="65" t="s">
        <v>20</v>
      </c>
      <c r="C4" s="13" t="s">
        <v>91</v>
      </c>
      <c r="D4" s="22" t="s">
        <v>130</v>
      </c>
      <c r="E4" s="13" t="s">
        <v>159</v>
      </c>
      <c r="F4" s="65" t="s">
        <v>131</v>
      </c>
      <c r="G4" s="62" t="s">
        <v>73</v>
      </c>
      <c r="H4" s="63" t="s">
        <v>132</v>
      </c>
      <c r="I4" s="14">
        <v>10</v>
      </c>
      <c r="J4" s="65" t="s">
        <v>14</v>
      </c>
      <c r="K4" s="34">
        <v>5</v>
      </c>
      <c r="L4" s="66" t="s">
        <v>134</v>
      </c>
      <c r="M4" s="67"/>
      <c r="N4" s="67"/>
      <c r="O4" s="67"/>
      <c r="P4" s="68"/>
      <c r="Q4" s="30"/>
      <c r="R4" s="35"/>
      <c r="S4" s="35"/>
      <c r="T4" s="66"/>
      <c r="U4" s="66"/>
      <c r="V4" s="66"/>
      <c r="W4" s="64" t="s">
        <v>136</v>
      </c>
    </row>
    <row r="5" spans="1:23" ht="22.5" customHeight="1" x14ac:dyDescent="0.15">
      <c r="A5" s="45" t="s">
        <v>20</v>
      </c>
      <c r="B5" s="65" t="s">
        <v>20</v>
      </c>
      <c r="C5" s="40" t="s">
        <v>46</v>
      </c>
      <c r="D5" s="40" t="s">
        <v>47</v>
      </c>
      <c r="E5" s="41" t="s">
        <v>160</v>
      </c>
      <c r="F5" s="65">
        <v>23061</v>
      </c>
      <c r="G5" s="23" t="s">
        <v>13</v>
      </c>
      <c r="H5" s="63" t="s">
        <v>96</v>
      </c>
      <c r="I5" s="69">
        <v>2.0099999999999998</v>
      </c>
      <c r="J5" s="65" t="s">
        <v>15</v>
      </c>
      <c r="K5" s="34">
        <f>I5*0.9</f>
        <v>1.8089999999999999</v>
      </c>
      <c r="L5" s="66" t="s">
        <v>12</v>
      </c>
      <c r="M5" s="67"/>
      <c r="N5" s="67"/>
      <c r="O5" s="67"/>
      <c r="P5" s="68"/>
      <c r="Q5" s="30"/>
      <c r="R5" s="35"/>
      <c r="S5" s="35"/>
      <c r="T5" s="66"/>
      <c r="U5" s="66"/>
      <c r="V5" s="66"/>
      <c r="W5" s="64" t="s">
        <v>98</v>
      </c>
    </row>
    <row r="6" spans="1:23" ht="22.5" customHeight="1" x14ac:dyDescent="0.15">
      <c r="A6" s="45" t="s">
        <v>20</v>
      </c>
      <c r="B6" s="65" t="s">
        <v>20</v>
      </c>
      <c r="C6" s="40" t="s">
        <v>46</v>
      </c>
      <c r="D6" s="40" t="s">
        <v>47</v>
      </c>
      <c r="E6" s="41" t="s">
        <v>160</v>
      </c>
      <c r="F6" s="65">
        <v>23061</v>
      </c>
      <c r="G6" s="23" t="s">
        <v>13</v>
      </c>
      <c r="H6" s="63" t="s">
        <v>96</v>
      </c>
      <c r="I6" s="69">
        <v>2.0099999999999998</v>
      </c>
      <c r="J6" s="65" t="s">
        <v>11</v>
      </c>
      <c r="K6" s="34">
        <f>I6*0.1</f>
        <v>0.20099999999999998</v>
      </c>
      <c r="L6" s="66" t="s">
        <v>29</v>
      </c>
      <c r="M6" s="67"/>
      <c r="N6" s="67"/>
      <c r="O6" s="67"/>
      <c r="P6" s="68"/>
      <c r="Q6" s="30"/>
      <c r="R6" s="35"/>
      <c r="S6" s="35"/>
      <c r="T6" s="66"/>
      <c r="U6" s="66"/>
      <c r="V6" s="66"/>
      <c r="W6" s="64" t="s">
        <v>98</v>
      </c>
    </row>
    <row r="7" spans="1:23" ht="22.5" customHeight="1" x14ac:dyDescent="0.15">
      <c r="A7" s="65" t="s">
        <v>20</v>
      </c>
      <c r="B7" s="65" t="s">
        <v>20</v>
      </c>
      <c r="C7" s="65" t="s">
        <v>4</v>
      </c>
      <c r="D7" s="65" t="s">
        <v>17</v>
      </c>
      <c r="E7" s="65" t="s">
        <v>161</v>
      </c>
      <c r="F7" s="65">
        <v>23062</v>
      </c>
      <c r="G7" s="62" t="s">
        <v>73</v>
      </c>
      <c r="H7" s="63" t="s">
        <v>96</v>
      </c>
      <c r="I7" s="69">
        <v>20.88</v>
      </c>
      <c r="J7" s="65" t="s">
        <v>15</v>
      </c>
      <c r="K7" s="14">
        <f>I7*0.9</f>
        <v>18.791999999999998</v>
      </c>
      <c r="L7" s="66" t="s">
        <v>12</v>
      </c>
      <c r="M7" s="61"/>
      <c r="N7" s="67"/>
      <c r="O7" s="67"/>
      <c r="P7" s="68"/>
      <c r="Q7" s="47"/>
      <c r="R7" s="48"/>
      <c r="S7" s="35"/>
      <c r="T7" s="46"/>
      <c r="U7" s="46"/>
      <c r="V7" s="46"/>
      <c r="W7" s="64" t="s">
        <v>98</v>
      </c>
    </row>
    <row r="8" spans="1:23" ht="22.5" customHeight="1" x14ac:dyDescent="0.15">
      <c r="A8" s="65" t="s">
        <v>20</v>
      </c>
      <c r="B8" s="65" t="s">
        <v>20</v>
      </c>
      <c r="C8" s="65" t="s">
        <v>4</v>
      </c>
      <c r="D8" s="65" t="s">
        <v>17</v>
      </c>
      <c r="E8" s="65" t="s">
        <v>161</v>
      </c>
      <c r="F8" s="65">
        <v>23062</v>
      </c>
      <c r="G8" s="62" t="s">
        <v>73</v>
      </c>
      <c r="H8" s="63" t="s">
        <v>96</v>
      </c>
      <c r="I8" s="69">
        <v>20.88</v>
      </c>
      <c r="J8" s="65" t="s">
        <v>11</v>
      </c>
      <c r="K8" s="14">
        <f>I8*0.1</f>
        <v>2.0880000000000001</v>
      </c>
      <c r="L8" s="66" t="s">
        <v>29</v>
      </c>
      <c r="M8" s="61"/>
      <c r="N8" s="67"/>
      <c r="O8" s="67"/>
      <c r="P8" s="68"/>
      <c r="Q8" s="47"/>
      <c r="R8" s="48"/>
      <c r="S8" s="35"/>
      <c r="T8" s="46"/>
      <c r="U8" s="46"/>
      <c r="V8" s="46"/>
      <c r="W8" s="64" t="s">
        <v>98</v>
      </c>
    </row>
    <row r="9" spans="1:23" ht="22.5" customHeight="1" x14ac:dyDescent="0.15">
      <c r="A9" s="32" t="s">
        <v>44</v>
      </c>
      <c r="B9" s="32" t="s">
        <v>44</v>
      </c>
      <c r="C9" s="49" t="s">
        <v>50</v>
      </c>
      <c r="D9" s="42" t="s">
        <v>51</v>
      </c>
      <c r="E9" s="44" t="s">
        <v>162</v>
      </c>
      <c r="F9" s="32">
        <v>19085</v>
      </c>
      <c r="G9" s="40" t="s">
        <v>49</v>
      </c>
      <c r="H9" s="33" t="s">
        <v>52</v>
      </c>
      <c r="I9" s="32">
        <v>23</v>
      </c>
      <c r="J9" s="32" t="s">
        <v>62</v>
      </c>
      <c r="K9" s="34">
        <f>I9*0.4</f>
        <v>9.2000000000000011</v>
      </c>
      <c r="L9" s="39" t="s">
        <v>63</v>
      </c>
      <c r="M9" s="24"/>
      <c r="N9" s="24" t="s">
        <v>60</v>
      </c>
      <c r="O9" s="24" t="s">
        <v>61</v>
      </c>
      <c r="P9" s="25">
        <v>9.1999999999999993</v>
      </c>
      <c r="Q9" s="30"/>
      <c r="R9" s="35"/>
      <c r="S9" s="35"/>
      <c r="T9" s="36" t="s">
        <v>53</v>
      </c>
      <c r="U9" s="36" t="s">
        <v>53</v>
      </c>
      <c r="V9" s="36" t="s">
        <v>63</v>
      </c>
      <c r="W9" s="37" t="s">
        <v>64</v>
      </c>
    </row>
    <row r="10" spans="1:23" ht="22.5" customHeight="1" x14ac:dyDescent="0.15">
      <c r="A10" s="65" t="s">
        <v>163</v>
      </c>
      <c r="B10" s="65" t="s">
        <v>163</v>
      </c>
      <c r="C10" s="65" t="s">
        <v>164</v>
      </c>
      <c r="D10" s="65" t="s">
        <v>165</v>
      </c>
      <c r="E10" s="74" t="s">
        <v>166</v>
      </c>
      <c r="F10" s="65">
        <v>23120</v>
      </c>
      <c r="G10" s="62" t="s">
        <v>73</v>
      </c>
      <c r="H10" s="75" t="s">
        <v>167</v>
      </c>
      <c r="I10" s="65">
        <v>2.8</v>
      </c>
      <c r="J10" s="65" t="s">
        <v>168</v>
      </c>
      <c r="K10" s="34">
        <f>I10*0.03</f>
        <v>8.3999999999999991E-2</v>
      </c>
      <c r="L10" s="38" t="s">
        <v>169</v>
      </c>
      <c r="M10" s="67"/>
      <c r="N10" s="67" t="s">
        <v>170</v>
      </c>
      <c r="O10" s="67" t="s">
        <v>170</v>
      </c>
      <c r="P10" s="68" t="s">
        <v>170</v>
      </c>
      <c r="Q10" s="30"/>
      <c r="R10" s="35"/>
      <c r="S10" s="35"/>
      <c r="T10" s="66" t="s">
        <v>171</v>
      </c>
      <c r="U10" s="66"/>
      <c r="V10" s="66"/>
      <c r="W10" s="64" t="s">
        <v>172</v>
      </c>
    </row>
    <row r="11" spans="1:23" ht="22.5" customHeight="1" x14ac:dyDescent="0.15">
      <c r="A11" s="65" t="s">
        <v>163</v>
      </c>
      <c r="B11" s="65" t="s">
        <v>163</v>
      </c>
      <c r="C11" s="65" t="s">
        <v>164</v>
      </c>
      <c r="D11" s="65" t="s">
        <v>165</v>
      </c>
      <c r="E11" s="74" t="s">
        <v>166</v>
      </c>
      <c r="F11" s="65">
        <v>25013</v>
      </c>
      <c r="G11" s="76" t="s">
        <v>5</v>
      </c>
      <c r="H11" s="77" t="s">
        <v>173</v>
      </c>
      <c r="I11" s="65">
        <v>50</v>
      </c>
      <c r="J11" s="65" t="s">
        <v>174</v>
      </c>
      <c r="K11" s="34">
        <v>25</v>
      </c>
      <c r="L11" s="38" t="s">
        <v>175</v>
      </c>
      <c r="M11" s="67"/>
      <c r="N11" s="67" t="s">
        <v>176</v>
      </c>
      <c r="O11" s="67" t="s">
        <v>177</v>
      </c>
      <c r="P11" s="68">
        <v>25</v>
      </c>
      <c r="Q11" s="30"/>
      <c r="R11" s="35"/>
      <c r="S11" s="35"/>
      <c r="T11" s="66"/>
      <c r="U11" s="66"/>
      <c r="V11" s="66"/>
      <c r="W11" s="64" t="s">
        <v>178</v>
      </c>
    </row>
    <row r="12" spans="1:23" ht="22.5" customHeight="1" x14ac:dyDescent="0.15">
      <c r="A12" s="65" t="s">
        <v>163</v>
      </c>
      <c r="B12" s="65" t="s">
        <v>163</v>
      </c>
      <c r="C12" s="65" t="s">
        <v>164</v>
      </c>
      <c r="D12" s="65" t="s">
        <v>165</v>
      </c>
      <c r="E12" s="74" t="s">
        <v>166</v>
      </c>
      <c r="F12" s="65">
        <v>25013</v>
      </c>
      <c r="G12" s="76" t="s">
        <v>5</v>
      </c>
      <c r="H12" s="77" t="s">
        <v>173</v>
      </c>
      <c r="I12" s="65">
        <v>50</v>
      </c>
      <c r="J12" s="65" t="s">
        <v>174</v>
      </c>
      <c r="K12" s="34">
        <v>25</v>
      </c>
      <c r="L12" s="65" t="s">
        <v>179</v>
      </c>
      <c r="M12" s="67"/>
      <c r="N12" s="67"/>
      <c r="O12" s="67"/>
      <c r="P12" s="68"/>
      <c r="Q12" s="30"/>
      <c r="R12" s="35"/>
      <c r="S12" s="35"/>
      <c r="T12" s="66"/>
      <c r="U12" s="66"/>
      <c r="V12" s="66"/>
      <c r="W12" s="64" t="s">
        <v>180</v>
      </c>
    </row>
    <row r="13" spans="1:23" ht="22.5" customHeight="1" x14ac:dyDescent="0.15">
      <c r="A13" s="65" t="s">
        <v>163</v>
      </c>
      <c r="B13" s="65" t="s">
        <v>163</v>
      </c>
      <c r="C13" s="65" t="s">
        <v>164</v>
      </c>
      <c r="D13" s="65" t="s">
        <v>165</v>
      </c>
      <c r="E13" s="74" t="s">
        <v>181</v>
      </c>
      <c r="F13" s="65" t="s">
        <v>182</v>
      </c>
      <c r="G13" s="62" t="s">
        <v>13</v>
      </c>
      <c r="H13" s="75" t="s">
        <v>167</v>
      </c>
      <c r="I13" s="65">
        <v>2.8</v>
      </c>
      <c r="J13" s="65" t="s">
        <v>183</v>
      </c>
      <c r="K13" s="34">
        <f>I13*0.03</f>
        <v>8.3999999999999991E-2</v>
      </c>
      <c r="L13" s="38" t="s">
        <v>184</v>
      </c>
      <c r="M13" s="67"/>
      <c r="N13" s="67" t="s">
        <v>170</v>
      </c>
      <c r="O13" s="67" t="s">
        <v>170</v>
      </c>
      <c r="P13" s="68" t="s">
        <v>170</v>
      </c>
      <c r="Q13" s="30"/>
      <c r="R13" s="35"/>
      <c r="S13" s="35"/>
      <c r="T13" s="66" t="s">
        <v>185</v>
      </c>
      <c r="U13" s="66"/>
      <c r="V13" s="66"/>
      <c r="W13" s="64" t="s">
        <v>172</v>
      </c>
    </row>
    <row r="14" spans="1:23" ht="22.5" customHeight="1" x14ac:dyDescent="0.15">
      <c r="A14" s="65" t="s">
        <v>163</v>
      </c>
      <c r="B14" s="65" t="s">
        <v>163</v>
      </c>
      <c r="C14" s="65" t="s">
        <v>164</v>
      </c>
      <c r="D14" s="65" t="s">
        <v>165</v>
      </c>
      <c r="E14" s="74" t="s">
        <v>181</v>
      </c>
      <c r="F14" s="65" t="s">
        <v>186</v>
      </c>
      <c r="G14" s="62" t="s">
        <v>187</v>
      </c>
      <c r="H14" s="63" t="s">
        <v>188</v>
      </c>
      <c r="I14" s="69">
        <v>3.5032000000000001</v>
      </c>
      <c r="J14" s="65" t="s">
        <v>189</v>
      </c>
      <c r="K14" s="34">
        <f>I14*0.1</f>
        <v>0.35032000000000002</v>
      </c>
      <c r="L14" s="38" t="s">
        <v>169</v>
      </c>
      <c r="M14" s="67"/>
      <c r="N14" s="67" t="s">
        <v>170</v>
      </c>
      <c r="O14" s="67" t="s">
        <v>170</v>
      </c>
      <c r="P14" s="68" t="s">
        <v>170</v>
      </c>
      <c r="Q14" s="30"/>
      <c r="R14" s="35"/>
      <c r="S14" s="35"/>
      <c r="T14" s="66" t="s">
        <v>185</v>
      </c>
      <c r="U14" s="66"/>
      <c r="V14" s="66"/>
      <c r="W14" s="64" t="s">
        <v>190</v>
      </c>
    </row>
    <row r="15" spans="1:23" ht="22.5" customHeight="1" x14ac:dyDescent="0.15">
      <c r="A15" s="65" t="s">
        <v>163</v>
      </c>
      <c r="B15" s="65" t="s">
        <v>163</v>
      </c>
      <c r="C15" s="65" t="s">
        <v>164</v>
      </c>
      <c r="D15" s="65" t="s">
        <v>165</v>
      </c>
      <c r="E15" s="74" t="s">
        <v>181</v>
      </c>
      <c r="F15" s="65">
        <v>24033</v>
      </c>
      <c r="G15" s="62" t="s">
        <v>13</v>
      </c>
      <c r="H15" s="75" t="s">
        <v>191</v>
      </c>
      <c r="I15" s="69">
        <v>26.188199999999998</v>
      </c>
      <c r="J15" s="65" t="s">
        <v>192</v>
      </c>
      <c r="K15" s="34">
        <v>1.69882</v>
      </c>
      <c r="L15" s="43" t="s">
        <v>169</v>
      </c>
      <c r="M15" s="67"/>
      <c r="N15" s="67"/>
      <c r="O15" s="67"/>
      <c r="P15" s="68"/>
      <c r="Q15" s="30"/>
      <c r="R15" s="35"/>
      <c r="S15" s="35"/>
      <c r="T15" s="66" t="s">
        <v>185</v>
      </c>
      <c r="U15" s="66"/>
      <c r="V15" s="66"/>
      <c r="W15" s="64" t="s">
        <v>170</v>
      </c>
    </row>
    <row r="16" spans="1:23" ht="22.5" customHeight="1" x14ac:dyDescent="0.15">
      <c r="A16" s="65" t="s">
        <v>163</v>
      </c>
      <c r="B16" s="65" t="s">
        <v>163</v>
      </c>
      <c r="C16" s="65" t="s">
        <v>164</v>
      </c>
      <c r="D16" s="65" t="s">
        <v>165</v>
      </c>
      <c r="E16" s="74" t="s">
        <v>181</v>
      </c>
      <c r="F16" s="65">
        <v>25016</v>
      </c>
      <c r="G16" s="76" t="s">
        <v>5</v>
      </c>
      <c r="H16" s="77" t="s">
        <v>173</v>
      </c>
      <c r="I16" s="69">
        <v>18.399999999999999</v>
      </c>
      <c r="J16" s="65" t="s">
        <v>174</v>
      </c>
      <c r="K16" s="34">
        <v>9.1999999999999993</v>
      </c>
      <c r="L16" s="38" t="s">
        <v>193</v>
      </c>
      <c r="M16" s="67"/>
      <c r="N16" s="67" t="s">
        <v>194</v>
      </c>
      <c r="O16" s="67" t="s">
        <v>195</v>
      </c>
      <c r="P16" s="68">
        <v>9.1999999999999993</v>
      </c>
      <c r="Q16" s="30"/>
      <c r="R16" s="35"/>
      <c r="S16" s="35"/>
      <c r="T16" s="66"/>
      <c r="U16" s="66"/>
      <c r="V16" s="66"/>
      <c r="W16" s="64" t="s">
        <v>178</v>
      </c>
    </row>
    <row r="17" spans="1:23" ht="22.5" customHeight="1" x14ac:dyDescent="0.15">
      <c r="A17" s="65" t="s">
        <v>163</v>
      </c>
      <c r="B17" s="65" t="s">
        <v>163</v>
      </c>
      <c r="C17" s="65" t="s">
        <v>164</v>
      </c>
      <c r="D17" s="65" t="s">
        <v>165</v>
      </c>
      <c r="E17" s="74" t="s">
        <v>181</v>
      </c>
      <c r="F17" s="65">
        <v>25016</v>
      </c>
      <c r="G17" s="76" t="s">
        <v>5</v>
      </c>
      <c r="H17" s="77" t="s">
        <v>173</v>
      </c>
      <c r="I17" s="69">
        <v>18.399999999999999</v>
      </c>
      <c r="J17" s="65" t="s">
        <v>174</v>
      </c>
      <c r="K17" s="34">
        <v>9.1999999999999993</v>
      </c>
      <c r="L17" s="65" t="s">
        <v>196</v>
      </c>
      <c r="M17" s="67"/>
      <c r="N17" s="67"/>
      <c r="O17" s="67"/>
      <c r="P17" s="68"/>
      <c r="Q17" s="30"/>
      <c r="R17" s="35"/>
      <c r="S17" s="35"/>
      <c r="T17" s="66"/>
      <c r="U17" s="66"/>
      <c r="V17" s="66"/>
      <c r="W17" s="64" t="s">
        <v>180</v>
      </c>
    </row>
    <row r="18" spans="1:23" ht="22.5" customHeight="1" x14ac:dyDescent="0.15">
      <c r="A18" s="66" t="s">
        <v>163</v>
      </c>
      <c r="B18" s="65" t="s">
        <v>163</v>
      </c>
      <c r="C18" s="13" t="s">
        <v>197</v>
      </c>
      <c r="D18" s="13" t="s">
        <v>198</v>
      </c>
      <c r="E18" s="13" t="s">
        <v>199</v>
      </c>
      <c r="F18" s="78" t="s">
        <v>200</v>
      </c>
      <c r="G18" s="62" t="s">
        <v>73</v>
      </c>
      <c r="H18" s="75" t="s">
        <v>191</v>
      </c>
      <c r="I18" s="69">
        <v>36.8994</v>
      </c>
      <c r="J18" s="65" t="s">
        <v>174</v>
      </c>
      <c r="K18" s="34">
        <v>4.5999999999999996</v>
      </c>
      <c r="L18" s="38" t="s">
        <v>201</v>
      </c>
      <c r="M18" s="67"/>
      <c r="N18" s="67" t="s">
        <v>202</v>
      </c>
      <c r="O18" s="67" t="s">
        <v>203</v>
      </c>
      <c r="P18" s="68">
        <v>4.5999999999999996</v>
      </c>
      <c r="Q18" s="30"/>
      <c r="R18" s="35"/>
      <c r="S18" s="35"/>
      <c r="T18" s="66"/>
      <c r="U18" s="66" t="s">
        <v>204</v>
      </c>
      <c r="V18" s="66" t="s">
        <v>204</v>
      </c>
      <c r="W18" s="64" t="s">
        <v>170</v>
      </c>
    </row>
    <row r="19" spans="1:23" ht="22.5" customHeight="1" x14ac:dyDescent="0.15">
      <c r="A19" s="66" t="s">
        <v>163</v>
      </c>
      <c r="B19" s="65" t="s">
        <v>163</v>
      </c>
      <c r="C19" s="13" t="s">
        <v>197</v>
      </c>
      <c r="D19" s="13" t="s">
        <v>198</v>
      </c>
      <c r="E19" s="13" t="s">
        <v>199</v>
      </c>
      <c r="F19" s="78" t="s">
        <v>200</v>
      </c>
      <c r="G19" s="62" t="s">
        <v>73</v>
      </c>
      <c r="H19" s="75" t="s">
        <v>191</v>
      </c>
      <c r="I19" s="69">
        <v>36.8994</v>
      </c>
      <c r="J19" s="65" t="s">
        <v>192</v>
      </c>
      <c r="K19" s="34">
        <v>2.7699400000000001</v>
      </c>
      <c r="L19" s="38" t="s">
        <v>205</v>
      </c>
      <c r="M19" s="67"/>
      <c r="N19" s="67" t="s">
        <v>206</v>
      </c>
      <c r="O19" s="67" t="s">
        <v>207</v>
      </c>
      <c r="P19" s="68">
        <v>2.7699400000000001</v>
      </c>
      <c r="Q19" s="30"/>
      <c r="R19" s="35"/>
      <c r="S19" s="35"/>
      <c r="T19" s="66" t="s">
        <v>208</v>
      </c>
      <c r="U19" s="66" t="s">
        <v>204</v>
      </c>
      <c r="V19" s="66" t="s">
        <v>204</v>
      </c>
      <c r="W19" s="64" t="s">
        <v>170</v>
      </c>
    </row>
    <row r="20" spans="1:23" ht="22.5" customHeight="1" x14ac:dyDescent="0.15">
      <c r="A20" s="66" t="s">
        <v>163</v>
      </c>
      <c r="B20" s="65" t="s">
        <v>163</v>
      </c>
      <c r="C20" s="13" t="s">
        <v>197</v>
      </c>
      <c r="D20" s="13" t="s">
        <v>198</v>
      </c>
      <c r="E20" s="13" t="s">
        <v>199</v>
      </c>
      <c r="F20" s="65" t="s">
        <v>209</v>
      </c>
      <c r="G20" s="62" t="s">
        <v>187</v>
      </c>
      <c r="H20" s="63" t="s">
        <v>210</v>
      </c>
      <c r="I20" s="13">
        <v>8.6120999999999999</v>
      </c>
      <c r="J20" s="65" t="s">
        <v>192</v>
      </c>
      <c r="K20" s="34">
        <f>I20*0.1</f>
        <v>0.86121000000000003</v>
      </c>
      <c r="L20" s="38" t="s">
        <v>205</v>
      </c>
      <c r="M20" s="67"/>
      <c r="N20" s="67" t="s">
        <v>206</v>
      </c>
      <c r="O20" s="67" t="s">
        <v>207</v>
      </c>
      <c r="P20" s="68">
        <v>0.86121000000000003</v>
      </c>
      <c r="Q20" s="30"/>
      <c r="R20" s="35"/>
      <c r="S20" s="35"/>
      <c r="T20" s="66" t="s">
        <v>208</v>
      </c>
      <c r="U20" s="66" t="s">
        <v>204</v>
      </c>
      <c r="V20" s="66" t="s">
        <v>204</v>
      </c>
      <c r="W20" s="64" t="s">
        <v>170</v>
      </c>
    </row>
    <row r="21" spans="1:23" ht="22.5" customHeight="1" x14ac:dyDescent="0.15">
      <c r="A21" s="66" t="s">
        <v>163</v>
      </c>
      <c r="B21" s="65" t="s">
        <v>163</v>
      </c>
      <c r="C21" s="13" t="s">
        <v>197</v>
      </c>
      <c r="D21" s="13" t="s">
        <v>198</v>
      </c>
      <c r="E21" s="13" t="s">
        <v>199</v>
      </c>
      <c r="F21" s="65" t="s">
        <v>211</v>
      </c>
      <c r="G21" s="62" t="s">
        <v>212</v>
      </c>
      <c r="H21" s="63" t="s">
        <v>213</v>
      </c>
      <c r="I21" s="69">
        <v>7.4157999999999999</v>
      </c>
      <c r="J21" s="65" t="s">
        <v>192</v>
      </c>
      <c r="K21" s="34">
        <f>I21*0.1</f>
        <v>0.74158000000000002</v>
      </c>
      <c r="L21" s="38" t="s">
        <v>205</v>
      </c>
      <c r="M21" s="67"/>
      <c r="N21" s="67" t="s">
        <v>206</v>
      </c>
      <c r="O21" s="67" t="s">
        <v>207</v>
      </c>
      <c r="P21" s="68">
        <v>0.74158000000000002</v>
      </c>
      <c r="Q21" s="30"/>
      <c r="R21" s="35"/>
      <c r="S21" s="35"/>
      <c r="T21" s="66" t="s">
        <v>208</v>
      </c>
      <c r="U21" s="66"/>
      <c r="V21" s="66"/>
      <c r="W21" s="64" t="s">
        <v>170</v>
      </c>
    </row>
    <row r="22" spans="1:23" ht="22.5" customHeight="1" x14ac:dyDescent="0.15">
      <c r="A22" s="66" t="s">
        <v>163</v>
      </c>
      <c r="B22" s="65" t="s">
        <v>163</v>
      </c>
      <c r="C22" s="13" t="s">
        <v>197</v>
      </c>
      <c r="D22" s="13" t="s">
        <v>198</v>
      </c>
      <c r="E22" s="13" t="s">
        <v>199</v>
      </c>
      <c r="F22" s="65" t="s">
        <v>214</v>
      </c>
      <c r="G22" s="62" t="s">
        <v>215</v>
      </c>
      <c r="H22" s="63" t="s">
        <v>216</v>
      </c>
      <c r="I22" s="13">
        <v>1.5</v>
      </c>
      <c r="J22" s="65" t="s">
        <v>217</v>
      </c>
      <c r="K22" s="34">
        <v>1.5</v>
      </c>
      <c r="L22" s="66" t="s">
        <v>218</v>
      </c>
      <c r="M22" s="67"/>
      <c r="N22" s="67"/>
      <c r="O22" s="67"/>
      <c r="P22" s="68"/>
      <c r="Q22" s="30"/>
      <c r="R22" s="35"/>
      <c r="S22" s="35"/>
      <c r="T22" s="66"/>
      <c r="U22" s="66"/>
      <c r="V22" s="66"/>
      <c r="W22" s="64" t="s">
        <v>170</v>
      </c>
    </row>
    <row r="23" spans="1:23" ht="22.5" customHeight="1" x14ac:dyDescent="0.15">
      <c r="A23" s="66" t="s">
        <v>163</v>
      </c>
      <c r="B23" s="65" t="s">
        <v>163</v>
      </c>
      <c r="C23" s="13" t="s">
        <v>197</v>
      </c>
      <c r="D23" s="13" t="s">
        <v>198</v>
      </c>
      <c r="E23" s="13" t="s">
        <v>199</v>
      </c>
      <c r="F23" s="65">
        <v>25015</v>
      </c>
      <c r="G23" s="76" t="s">
        <v>5</v>
      </c>
      <c r="H23" s="77" t="s">
        <v>173</v>
      </c>
      <c r="I23" s="65">
        <v>18.399999999999999</v>
      </c>
      <c r="J23" s="65" t="s">
        <v>174</v>
      </c>
      <c r="K23" s="34">
        <v>9.1999999999999993</v>
      </c>
      <c r="L23" s="38" t="s">
        <v>193</v>
      </c>
      <c r="M23" s="67"/>
      <c r="N23" s="67" t="s">
        <v>194</v>
      </c>
      <c r="O23" s="67" t="s">
        <v>195</v>
      </c>
      <c r="P23" s="68">
        <v>9.1999999999999993</v>
      </c>
      <c r="Q23" s="30"/>
      <c r="R23" s="35"/>
      <c r="S23" s="35"/>
      <c r="T23" s="66"/>
      <c r="U23" s="66"/>
      <c r="V23" s="66"/>
      <c r="W23" s="64" t="s">
        <v>178</v>
      </c>
    </row>
    <row r="24" spans="1:23" ht="22.5" customHeight="1" x14ac:dyDescent="0.15">
      <c r="A24" s="66" t="s">
        <v>163</v>
      </c>
      <c r="B24" s="65" t="s">
        <v>163</v>
      </c>
      <c r="C24" s="13" t="s">
        <v>197</v>
      </c>
      <c r="D24" s="13" t="s">
        <v>198</v>
      </c>
      <c r="E24" s="13" t="s">
        <v>199</v>
      </c>
      <c r="F24" s="65">
        <v>25015</v>
      </c>
      <c r="G24" s="76" t="s">
        <v>5</v>
      </c>
      <c r="H24" s="77" t="s">
        <v>173</v>
      </c>
      <c r="I24" s="65">
        <v>18.399999999999999</v>
      </c>
      <c r="J24" s="65" t="s">
        <v>174</v>
      </c>
      <c r="K24" s="34">
        <v>9.1999999999999993</v>
      </c>
      <c r="L24" s="65" t="s">
        <v>196</v>
      </c>
      <c r="M24" s="67"/>
      <c r="N24" s="67"/>
      <c r="O24" s="67"/>
      <c r="P24" s="68"/>
      <c r="Q24" s="30"/>
      <c r="R24" s="35"/>
      <c r="S24" s="35"/>
      <c r="T24" s="66"/>
      <c r="U24" s="66"/>
      <c r="V24" s="66"/>
      <c r="W24" s="64" t="s">
        <v>180</v>
      </c>
    </row>
    <row r="25" spans="1:23" ht="22.5" customHeight="1" x14ac:dyDescent="0.15">
      <c r="A25" s="66" t="s">
        <v>163</v>
      </c>
      <c r="B25" s="65" t="s">
        <v>163</v>
      </c>
      <c r="C25" s="13" t="s">
        <v>197</v>
      </c>
      <c r="D25" s="13" t="s">
        <v>198</v>
      </c>
      <c r="E25" s="13" t="s">
        <v>199</v>
      </c>
      <c r="F25" s="65">
        <v>25074</v>
      </c>
      <c r="G25" s="62" t="s">
        <v>212</v>
      </c>
      <c r="H25" s="63" t="s">
        <v>219</v>
      </c>
      <c r="I25" s="65">
        <v>6</v>
      </c>
      <c r="J25" s="65" t="s">
        <v>217</v>
      </c>
      <c r="K25" s="34">
        <v>6</v>
      </c>
      <c r="L25" s="66" t="s">
        <v>220</v>
      </c>
      <c r="M25" s="67"/>
      <c r="N25" s="67"/>
      <c r="O25" s="67"/>
      <c r="P25" s="68"/>
      <c r="Q25" s="30"/>
      <c r="R25" s="35"/>
      <c r="S25" s="35"/>
      <c r="T25" s="66"/>
      <c r="U25" s="66"/>
      <c r="V25" s="66"/>
      <c r="W25" s="64" t="s">
        <v>221</v>
      </c>
    </row>
    <row r="26" spans="1:23" ht="22.5" customHeight="1" x14ac:dyDescent="0.15">
      <c r="A26" s="66" t="s">
        <v>163</v>
      </c>
      <c r="B26" s="65" t="s">
        <v>163</v>
      </c>
      <c r="C26" s="13" t="s">
        <v>164</v>
      </c>
      <c r="D26" s="13" t="s">
        <v>165</v>
      </c>
      <c r="E26" s="13" t="s">
        <v>222</v>
      </c>
      <c r="F26" s="65">
        <v>25014</v>
      </c>
      <c r="G26" s="76" t="s">
        <v>5</v>
      </c>
      <c r="H26" s="77" t="s">
        <v>173</v>
      </c>
      <c r="I26" s="65">
        <v>18.399999999999999</v>
      </c>
      <c r="J26" s="65" t="s">
        <v>174</v>
      </c>
      <c r="K26" s="34">
        <v>9.1999999999999993</v>
      </c>
      <c r="L26" s="38" t="s">
        <v>223</v>
      </c>
      <c r="M26" s="67"/>
      <c r="N26" s="67" t="s">
        <v>194</v>
      </c>
      <c r="O26" s="67" t="s">
        <v>195</v>
      </c>
      <c r="P26" s="68">
        <v>9.1999999999999993</v>
      </c>
      <c r="Q26" s="30"/>
      <c r="R26" s="35"/>
      <c r="S26" s="35"/>
      <c r="T26" s="66"/>
      <c r="U26" s="66"/>
      <c r="V26" s="66"/>
      <c r="W26" s="64" t="s">
        <v>178</v>
      </c>
    </row>
    <row r="27" spans="1:23" ht="22.5" customHeight="1" x14ac:dyDescent="0.15">
      <c r="A27" s="66" t="s">
        <v>163</v>
      </c>
      <c r="B27" s="65" t="s">
        <v>163</v>
      </c>
      <c r="C27" s="13" t="s">
        <v>164</v>
      </c>
      <c r="D27" s="13" t="s">
        <v>165</v>
      </c>
      <c r="E27" s="13" t="s">
        <v>222</v>
      </c>
      <c r="F27" s="65">
        <v>25014</v>
      </c>
      <c r="G27" s="76" t="s">
        <v>5</v>
      </c>
      <c r="H27" s="77" t="s">
        <v>173</v>
      </c>
      <c r="I27" s="65">
        <v>18.399999999999999</v>
      </c>
      <c r="J27" s="65" t="s">
        <v>174</v>
      </c>
      <c r="K27" s="34">
        <v>9.1999999999999993</v>
      </c>
      <c r="L27" s="65" t="s">
        <v>224</v>
      </c>
      <c r="M27" s="67"/>
      <c r="N27" s="67"/>
      <c r="O27" s="67"/>
      <c r="P27" s="68"/>
      <c r="Q27" s="30"/>
      <c r="R27" s="35"/>
      <c r="S27" s="35"/>
      <c r="T27" s="66"/>
      <c r="U27" s="66"/>
      <c r="V27" s="66"/>
      <c r="W27" s="64" t="s">
        <v>180</v>
      </c>
    </row>
    <row r="28" spans="1:23" ht="22.5" customHeight="1" x14ac:dyDescent="0.15">
      <c r="A28" s="65" t="s">
        <v>225</v>
      </c>
      <c r="B28" s="65" t="s">
        <v>225</v>
      </c>
      <c r="C28" s="22" t="s">
        <v>164</v>
      </c>
      <c r="D28" s="22" t="s">
        <v>165</v>
      </c>
      <c r="E28" s="74" t="s">
        <v>226</v>
      </c>
      <c r="F28" s="70" t="s">
        <v>227</v>
      </c>
      <c r="G28" s="62" t="s">
        <v>228</v>
      </c>
      <c r="H28" s="75" t="s">
        <v>229</v>
      </c>
      <c r="I28" s="69">
        <v>14.726800000000001</v>
      </c>
      <c r="J28" s="65" t="s">
        <v>189</v>
      </c>
      <c r="K28" s="34">
        <f>I28*0.1</f>
        <v>1.4726800000000002</v>
      </c>
      <c r="L28" s="43" t="s">
        <v>169</v>
      </c>
      <c r="M28" s="67"/>
      <c r="N28" s="67"/>
      <c r="O28" s="67"/>
      <c r="P28" s="68"/>
      <c r="Q28" s="30"/>
      <c r="R28" s="35"/>
      <c r="S28" s="35"/>
      <c r="T28" s="66" t="s">
        <v>230</v>
      </c>
      <c r="U28" s="66"/>
      <c r="V28" s="66"/>
      <c r="W28" s="64" t="s">
        <v>231</v>
      </c>
    </row>
    <row r="29" spans="1:23" ht="22.5" customHeight="1" x14ac:dyDescent="0.15">
      <c r="A29" s="65" t="s">
        <v>225</v>
      </c>
      <c r="B29" s="65" t="s">
        <v>225</v>
      </c>
      <c r="C29" s="22" t="s">
        <v>164</v>
      </c>
      <c r="D29" s="22" t="s">
        <v>165</v>
      </c>
      <c r="E29" s="74" t="s">
        <v>226</v>
      </c>
      <c r="F29" s="70" t="s">
        <v>232</v>
      </c>
      <c r="G29" s="62" t="s">
        <v>187</v>
      </c>
      <c r="H29" s="63" t="s">
        <v>233</v>
      </c>
      <c r="I29" s="69">
        <v>3.9761000000000002</v>
      </c>
      <c r="J29" s="65" t="s">
        <v>189</v>
      </c>
      <c r="K29" s="34">
        <f>I29*0.1</f>
        <v>0.39761000000000002</v>
      </c>
      <c r="L29" s="43" t="s">
        <v>169</v>
      </c>
      <c r="M29" s="67"/>
      <c r="N29" s="67"/>
      <c r="O29" s="67"/>
      <c r="P29" s="68"/>
      <c r="Q29" s="30"/>
      <c r="R29" s="35"/>
      <c r="S29" s="35"/>
      <c r="T29" s="66" t="s">
        <v>230</v>
      </c>
      <c r="U29" s="66"/>
      <c r="V29" s="66"/>
      <c r="W29" s="64" t="s">
        <v>231</v>
      </c>
    </row>
    <row r="30" spans="1:23" ht="22.5" customHeight="1" x14ac:dyDescent="0.15">
      <c r="A30" s="65" t="s">
        <v>225</v>
      </c>
      <c r="B30" s="65" t="s">
        <v>225</v>
      </c>
      <c r="C30" s="22" t="s">
        <v>164</v>
      </c>
      <c r="D30" s="22" t="s">
        <v>165</v>
      </c>
      <c r="E30" s="74" t="s">
        <v>226</v>
      </c>
      <c r="F30" s="70" t="s">
        <v>234</v>
      </c>
      <c r="G30" s="62" t="s">
        <v>235</v>
      </c>
      <c r="H30" s="63" t="s">
        <v>236</v>
      </c>
      <c r="I30" s="69">
        <v>3.7686999999999999</v>
      </c>
      <c r="J30" s="65" t="s">
        <v>189</v>
      </c>
      <c r="K30" s="34">
        <f>I30*0.1</f>
        <v>0.37687000000000004</v>
      </c>
      <c r="L30" s="43" t="s">
        <v>169</v>
      </c>
      <c r="M30" s="67"/>
      <c r="N30" s="67"/>
      <c r="O30" s="67"/>
      <c r="P30" s="68"/>
      <c r="Q30" s="30"/>
      <c r="R30" s="35"/>
      <c r="S30" s="35"/>
      <c r="T30" s="66" t="s">
        <v>230</v>
      </c>
      <c r="U30" s="66"/>
      <c r="V30" s="66"/>
      <c r="W30" s="64" t="s">
        <v>231</v>
      </c>
    </row>
    <row r="31" spans="1:23" ht="22.5" customHeight="1" x14ac:dyDescent="0.15">
      <c r="A31" s="32" t="s">
        <v>44</v>
      </c>
      <c r="B31" s="32" t="s">
        <v>44</v>
      </c>
      <c r="C31" s="49" t="s">
        <v>50</v>
      </c>
      <c r="D31" s="42" t="s">
        <v>51</v>
      </c>
      <c r="E31" s="44" t="s">
        <v>162</v>
      </c>
      <c r="F31" s="32">
        <v>19085</v>
      </c>
      <c r="G31" s="40" t="s">
        <v>49</v>
      </c>
      <c r="H31" s="33" t="s">
        <v>52</v>
      </c>
      <c r="I31" s="32">
        <v>23</v>
      </c>
      <c r="J31" s="32" t="s">
        <v>65</v>
      </c>
      <c r="K31" s="34">
        <f>I31*0.1</f>
        <v>2.3000000000000003</v>
      </c>
      <c r="L31" s="38" t="s">
        <v>66</v>
      </c>
      <c r="M31" s="24"/>
      <c r="N31" s="67" t="s">
        <v>75</v>
      </c>
      <c r="O31" s="67" t="s">
        <v>76</v>
      </c>
      <c r="P31" s="68">
        <v>2.3000000000000003</v>
      </c>
      <c r="Q31" s="30"/>
      <c r="R31" s="35"/>
      <c r="S31" s="35"/>
      <c r="T31" s="36" t="s">
        <v>53</v>
      </c>
      <c r="U31" s="36" t="s">
        <v>53</v>
      </c>
      <c r="V31" s="36" t="s">
        <v>63</v>
      </c>
      <c r="W31" s="37" t="s">
        <v>67</v>
      </c>
    </row>
    <row r="32" spans="1:23" ht="22.5" customHeight="1" x14ac:dyDescent="0.15">
      <c r="A32" s="32"/>
      <c r="B32" s="32"/>
      <c r="C32" s="32"/>
      <c r="D32" s="32"/>
      <c r="E32" s="32"/>
      <c r="F32" s="32"/>
      <c r="G32" s="32"/>
      <c r="H32" s="33"/>
      <c r="I32" s="32"/>
      <c r="J32" s="32" t="s">
        <v>31</v>
      </c>
      <c r="K32" s="34">
        <f>SUM(K3:K31)</f>
        <v>170.52702999999997</v>
      </c>
      <c r="L32" s="50"/>
      <c r="M32" s="50"/>
      <c r="N32" s="32"/>
      <c r="O32" s="32"/>
      <c r="P32" s="51">
        <f>SUM(P3:P31)</f>
        <v>73.072730000000007</v>
      </c>
      <c r="Q32" s="50"/>
      <c r="R32" s="50">
        <f>SUM(R3:R31)</f>
        <v>0</v>
      </c>
      <c r="S32" s="50"/>
      <c r="T32" s="50"/>
      <c r="U32" s="50"/>
      <c r="V32" s="50"/>
      <c r="W32" s="33"/>
    </row>
    <row r="33" spans="1:23" ht="22.5" customHeight="1" x14ac:dyDescent="0.15">
      <c r="O33" s="26"/>
      <c r="T33" s="56"/>
    </row>
    <row r="34" spans="1:23" ht="22.5" customHeight="1" x14ac:dyDescent="0.15">
      <c r="C34" s="26" t="s">
        <v>39</v>
      </c>
      <c r="I34" s="27"/>
      <c r="J34" s="27"/>
      <c r="K34" s="27"/>
      <c r="L34" s="27"/>
      <c r="M34" s="27"/>
      <c r="O34" s="26"/>
      <c r="Q34" s="27"/>
      <c r="R34" s="27"/>
      <c r="S34" s="27"/>
      <c r="T34" s="27"/>
      <c r="U34" s="27"/>
      <c r="V34" s="27"/>
      <c r="W34" s="27"/>
    </row>
    <row r="35" spans="1:23" ht="22.5" customHeight="1" x14ac:dyDescent="0.15">
      <c r="A35" s="26">
        <v>1</v>
      </c>
      <c r="C35" s="57" t="s">
        <v>68</v>
      </c>
      <c r="D35" s="57"/>
      <c r="E35" s="57"/>
      <c r="F35" s="57"/>
      <c r="G35" s="57"/>
      <c r="H35" s="58"/>
      <c r="I35" s="27"/>
      <c r="J35" s="27"/>
      <c r="K35" s="27"/>
      <c r="L35" s="27"/>
      <c r="M35" s="27"/>
      <c r="O35" s="26"/>
      <c r="Q35" s="27"/>
      <c r="R35" s="27"/>
      <c r="S35" s="27"/>
      <c r="T35" s="27"/>
      <c r="U35" s="27"/>
      <c r="V35" s="27"/>
      <c r="W35" s="27"/>
    </row>
    <row r="36" spans="1:23" ht="22.5" customHeight="1" x14ac:dyDescent="0.15">
      <c r="A36" s="26">
        <v>2</v>
      </c>
      <c r="C36" s="57" t="s">
        <v>40</v>
      </c>
      <c r="D36" s="57"/>
      <c r="E36" s="57"/>
      <c r="F36" s="57"/>
      <c r="G36" s="57"/>
      <c r="H36" s="58"/>
      <c r="I36" s="27"/>
      <c r="J36" s="27"/>
      <c r="K36" s="27"/>
      <c r="L36" s="27"/>
      <c r="M36" s="27"/>
      <c r="O36" s="26"/>
      <c r="Q36" s="27"/>
      <c r="R36" s="27"/>
      <c r="S36" s="27"/>
      <c r="T36" s="27"/>
      <c r="U36" s="27"/>
      <c r="V36" s="27"/>
      <c r="W36" s="27"/>
    </row>
    <row r="37" spans="1:23" ht="22.5" customHeight="1" x14ac:dyDescent="0.15">
      <c r="A37" s="26">
        <v>3</v>
      </c>
      <c r="C37" s="57" t="s">
        <v>41</v>
      </c>
      <c r="D37" s="57"/>
      <c r="E37" s="57"/>
      <c r="F37" s="57"/>
      <c r="G37" s="57"/>
      <c r="H37" s="58"/>
      <c r="I37" s="27"/>
      <c r="J37" s="27"/>
      <c r="K37" s="27"/>
      <c r="L37" s="27"/>
      <c r="M37" s="27"/>
      <c r="O37" s="26"/>
      <c r="Q37" s="27"/>
      <c r="R37" s="27"/>
      <c r="S37" s="27"/>
      <c r="T37" s="27"/>
      <c r="U37" s="27"/>
      <c r="V37" s="27"/>
      <c r="W37" s="27"/>
    </row>
    <row r="38" spans="1:23" ht="22.5" customHeight="1" x14ac:dyDescent="0.15">
      <c r="A38" s="26">
        <v>4</v>
      </c>
      <c r="C38" s="57" t="s">
        <v>42</v>
      </c>
      <c r="D38" s="57"/>
      <c r="E38" s="57"/>
      <c r="F38" s="57"/>
      <c r="G38" s="57"/>
      <c r="H38" s="58"/>
      <c r="I38" s="27"/>
      <c r="J38" s="27"/>
      <c r="K38" s="27"/>
      <c r="L38" s="27"/>
      <c r="M38" s="27"/>
      <c r="O38" s="26"/>
      <c r="Q38" s="27"/>
      <c r="R38" s="27"/>
      <c r="S38" s="27"/>
      <c r="T38" s="27"/>
      <c r="U38" s="27"/>
      <c r="V38" s="27"/>
      <c r="W38" s="27"/>
    </row>
    <row r="39" spans="1:23" ht="22.5" customHeight="1" x14ac:dyDescent="0.15">
      <c r="A39" s="26">
        <v>5</v>
      </c>
      <c r="C39" s="57" t="s">
        <v>43</v>
      </c>
      <c r="D39" s="57"/>
      <c r="E39" s="57"/>
      <c r="F39" s="57"/>
      <c r="G39" s="57"/>
      <c r="H39" s="58"/>
      <c r="I39" s="27"/>
      <c r="J39" s="27"/>
      <c r="K39" s="27"/>
      <c r="L39" s="27"/>
      <c r="M39" s="27"/>
      <c r="O39" s="26"/>
      <c r="Q39" s="27"/>
      <c r="R39" s="27"/>
      <c r="S39" s="27"/>
      <c r="T39" s="27"/>
      <c r="U39" s="27"/>
      <c r="V39" s="27"/>
      <c r="W39" s="27"/>
    </row>
    <row r="40" spans="1:23" ht="22.5" customHeight="1" x14ac:dyDescent="0.15">
      <c r="A40" s="26">
        <v>6</v>
      </c>
      <c r="C40" s="57" t="s">
        <v>69</v>
      </c>
      <c r="D40" s="57"/>
      <c r="E40" s="57"/>
      <c r="F40" s="57"/>
      <c r="G40" s="57"/>
      <c r="H40" s="58"/>
      <c r="I40" s="27"/>
      <c r="J40" s="27"/>
      <c r="K40" s="27"/>
      <c r="L40" s="27"/>
      <c r="M40" s="27"/>
      <c r="O40" s="26"/>
      <c r="Q40" s="27"/>
      <c r="R40" s="27"/>
      <c r="S40" s="27"/>
      <c r="T40" s="27"/>
      <c r="U40" s="27"/>
      <c r="V40" s="27"/>
      <c r="W40" s="27"/>
    </row>
    <row r="41" spans="1:23" ht="22.5" customHeight="1" x14ac:dyDescent="0.15">
      <c r="C41" s="57"/>
      <c r="D41" s="57"/>
      <c r="E41" s="57"/>
      <c r="F41" s="57"/>
      <c r="G41" s="57"/>
      <c r="H41" s="58"/>
      <c r="I41" s="27"/>
      <c r="J41" s="27"/>
      <c r="K41" s="27"/>
      <c r="L41" s="27"/>
      <c r="M41" s="27"/>
      <c r="Q41" s="27"/>
      <c r="R41" s="27"/>
      <c r="S41" s="27"/>
      <c r="T41" s="27"/>
      <c r="U41" s="27"/>
      <c r="V41" s="27"/>
      <c r="W41" s="27"/>
    </row>
    <row r="42" spans="1:23" ht="22.5" customHeight="1" x14ac:dyDescent="0.15">
      <c r="C42" s="57"/>
      <c r="D42" s="57"/>
      <c r="E42" s="57"/>
      <c r="F42" s="57"/>
      <c r="G42" s="57"/>
      <c r="H42" s="58"/>
      <c r="I42" s="27"/>
      <c r="J42" s="27"/>
      <c r="K42" s="27"/>
      <c r="L42" s="27"/>
      <c r="M42" s="27"/>
      <c r="Q42" s="27"/>
      <c r="R42" s="27"/>
      <c r="S42" s="27"/>
      <c r="T42" s="27"/>
      <c r="U42" s="27"/>
      <c r="V42" s="27"/>
      <c r="W42" s="27"/>
    </row>
    <row r="43" spans="1:23" ht="22.5" customHeight="1" x14ac:dyDescent="0.15">
      <c r="C43" s="57"/>
      <c r="D43" s="57"/>
      <c r="E43" s="57"/>
      <c r="F43" s="57"/>
      <c r="G43" s="57"/>
      <c r="H43" s="58"/>
      <c r="I43" s="27"/>
      <c r="J43" s="27"/>
      <c r="K43" s="27"/>
      <c r="L43" s="27"/>
      <c r="M43" s="27"/>
      <c r="Q43" s="27"/>
      <c r="R43" s="27"/>
      <c r="S43" s="27"/>
      <c r="T43" s="27"/>
      <c r="U43" s="27"/>
      <c r="V43" s="27"/>
      <c r="W43" s="27"/>
    </row>
    <row r="44" spans="1:23" ht="22.5" customHeight="1" x14ac:dyDescent="0.15">
      <c r="I44" s="27"/>
      <c r="J44" s="27"/>
      <c r="K44" s="27"/>
      <c r="L44" s="27"/>
      <c r="M44" s="27"/>
      <c r="Q44" s="27"/>
      <c r="R44" s="27"/>
      <c r="S44" s="27"/>
      <c r="T44" s="27"/>
      <c r="U44" s="27"/>
      <c r="V44" s="27"/>
      <c r="W44" s="27"/>
    </row>
    <row r="45" spans="1:23" ht="22.5" customHeight="1" x14ac:dyDescent="0.15">
      <c r="I45" s="27"/>
      <c r="J45" s="27"/>
      <c r="K45" s="27"/>
      <c r="L45" s="27"/>
      <c r="M45" s="27"/>
      <c r="Q45" s="27"/>
      <c r="R45" s="27"/>
      <c r="S45" s="27"/>
      <c r="T45" s="27"/>
      <c r="U45" s="27"/>
      <c r="V45" s="27"/>
      <c r="W45" s="27"/>
    </row>
    <row r="46" spans="1:23" ht="22.5" customHeight="1" x14ac:dyDescent="0.15">
      <c r="I46" s="27"/>
      <c r="J46" s="27"/>
      <c r="K46" s="27"/>
      <c r="L46" s="27"/>
      <c r="M46" s="27"/>
      <c r="Q46" s="27"/>
      <c r="R46" s="27"/>
      <c r="S46" s="27"/>
      <c r="T46" s="27"/>
      <c r="U46" s="27"/>
      <c r="V46" s="27"/>
      <c r="W46" s="27"/>
    </row>
    <row r="47" spans="1:23" ht="22.5" customHeight="1" x14ac:dyDescent="0.15">
      <c r="I47" s="27"/>
      <c r="J47" s="27"/>
      <c r="K47" s="27"/>
      <c r="L47" s="27"/>
      <c r="M47" s="27"/>
      <c r="Q47" s="27"/>
      <c r="R47" s="27"/>
      <c r="S47" s="27"/>
      <c r="T47" s="27"/>
      <c r="U47" s="27"/>
      <c r="V47" s="27"/>
      <c r="W47" s="27"/>
    </row>
    <row r="48" spans="1:23" ht="22.5" customHeight="1" x14ac:dyDescent="0.15">
      <c r="I48" s="27"/>
      <c r="J48" s="27"/>
      <c r="K48" s="27"/>
      <c r="L48" s="27"/>
      <c r="M48" s="27"/>
      <c r="Q48" s="27"/>
      <c r="R48" s="27"/>
      <c r="S48" s="27"/>
      <c r="T48" s="27"/>
      <c r="U48" s="27"/>
      <c r="V48" s="27"/>
      <c r="W48" s="27"/>
    </row>
    <row r="49" spans="1:23" ht="22.5" customHeight="1" x14ac:dyDescent="0.15">
      <c r="I49" s="27"/>
      <c r="J49" s="27"/>
      <c r="K49" s="27"/>
      <c r="L49" s="27"/>
      <c r="M49" s="27"/>
      <c r="Q49" s="27"/>
      <c r="R49" s="27"/>
      <c r="S49" s="27"/>
      <c r="T49" s="27"/>
      <c r="U49" s="27"/>
      <c r="V49" s="27"/>
      <c r="W49" s="27"/>
    </row>
    <row r="50" spans="1:23" ht="22.5" customHeight="1" x14ac:dyDescent="0.1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Q50" s="27"/>
      <c r="R50" s="27"/>
      <c r="S50" s="27"/>
      <c r="T50" s="27"/>
      <c r="U50" s="27"/>
      <c r="V50" s="27"/>
      <c r="W50" s="27"/>
    </row>
    <row r="51" spans="1:23" ht="22.5" customHeight="1" x14ac:dyDescent="0.1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Q51" s="27"/>
      <c r="R51" s="27"/>
      <c r="S51" s="27"/>
      <c r="T51" s="27"/>
      <c r="U51" s="27"/>
      <c r="V51" s="27"/>
      <c r="W51" s="27"/>
    </row>
    <row r="52" spans="1:23" ht="22.5" customHeight="1" x14ac:dyDescent="0.1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Q52" s="27"/>
      <c r="R52" s="27"/>
      <c r="S52" s="27"/>
      <c r="T52" s="27"/>
      <c r="U52" s="27"/>
      <c r="V52" s="27"/>
      <c r="W52" s="27"/>
    </row>
    <row r="53" spans="1:23" ht="22.5" customHeight="1" x14ac:dyDescent="0.1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Q53" s="27"/>
      <c r="R53" s="27"/>
      <c r="S53" s="27"/>
      <c r="T53" s="27"/>
      <c r="U53" s="27"/>
      <c r="V53" s="27"/>
      <c r="W53" s="27"/>
    </row>
    <row r="54" spans="1:23" ht="22.5" customHeight="1" x14ac:dyDescent="0.1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Q54" s="27"/>
      <c r="R54" s="27"/>
      <c r="S54" s="27"/>
      <c r="T54" s="27"/>
      <c r="U54" s="27"/>
      <c r="V54" s="27"/>
      <c r="W54" s="27"/>
    </row>
    <row r="55" spans="1:23" ht="22.5" customHeight="1" x14ac:dyDescent="0.1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Q55" s="27"/>
      <c r="R55" s="27"/>
      <c r="S55" s="27"/>
      <c r="T55" s="27"/>
      <c r="U55" s="27"/>
      <c r="V55" s="27"/>
      <c r="W55" s="27"/>
    </row>
    <row r="56" spans="1:23" ht="22.5" customHeight="1" x14ac:dyDescent="0.1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Q56" s="27"/>
      <c r="R56" s="27"/>
      <c r="S56" s="27"/>
      <c r="T56" s="27"/>
      <c r="U56" s="27"/>
      <c r="V56" s="27"/>
      <c r="W56" s="27"/>
    </row>
    <row r="57" spans="1:23" ht="22.5" customHeight="1" x14ac:dyDescent="0.1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Q57" s="27"/>
      <c r="R57" s="27"/>
      <c r="S57" s="27"/>
      <c r="T57" s="27"/>
      <c r="U57" s="27"/>
      <c r="V57" s="27"/>
      <c r="W57" s="27"/>
    </row>
    <row r="58" spans="1:23" ht="22.5" customHeight="1" x14ac:dyDescent="0.1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Q58" s="27"/>
      <c r="R58" s="27"/>
      <c r="S58" s="27"/>
      <c r="T58" s="27"/>
      <c r="U58" s="27"/>
      <c r="V58" s="27"/>
      <c r="W58" s="27"/>
    </row>
    <row r="59" spans="1:23" ht="22.5" customHeight="1" x14ac:dyDescent="0.1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Q59" s="27"/>
      <c r="R59" s="27"/>
      <c r="S59" s="27"/>
      <c r="T59" s="27"/>
      <c r="U59" s="27"/>
      <c r="V59" s="27"/>
      <c r="W59" s="27"/>
    </row>
    <row r="60" spans="1:23" ht="22.5" customHeight="1" x14ac:dyDescent="0.1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Q60" s="27"/>
      <c r="R60" s="27"/>
      <c r="S60" s="27"/>
      <c r="T60" s="27"/>
      <c r="U60" s="27"/>
      <c r="V60" s="27"/>
      <c r="W60" s="27"/>
    </row>
    <row r="61" spans="1:23" ht="22.5" customHeight="1" x14ac:dyDescent="0.1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Q61" s="27"/>
      <c r="R61" s="27"/>
      <c r="S61" s="27"/>
      <c r="T61" s="27"/>
      <c r="U61" s="27"/>
      <c r="V61" s="27"/>
      <c r="W61" s="27"/>
    </row>
    <row r="62" spans="1:23" ht="22.5" customHeight="1" x14ac:dyDescent="0.1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Q62" s="27"/>
      <c r="R62" s="27"/>
      <c r="S62" s="27"/>
      <c r="T62" s="27"/>
      <c r="U62" s="27"/>
      <c r="V62" s="27"/>
      <c r="W62" s="27"/>
    </row>
    <row r="63" spans="1:23" ht="22.5" customHeight="1" x14ac:dyDescent="0.1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Q63" s="27"/>
      <c r="R63" s="27"/>
      <c r="S63" s="27"/>
      <c r="T63" s="27"/>
      <c r="U63" s="27"/>
      <c r="V63" s="27"/>
      <c r="W63" s="27"/>
    </row>
    <row r="64" spans="1:23" ht="22.5" customHeight="1" x14ac:dyDescent="0.1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Q64" s="27"/>
      <c r="R64" s="27"/>
      <c r="S64" s="27"/>
      <c r="T64" s="27"/>
      <c r="U64" s="27"/>
      <c r="V64" s="27"/>
      <c r="W64" s="27"/>
    </row>
    <row r="65" spans="1:23" ht="22.5" customHeight="1" x14ac:dyDescent="0.1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Q65" s="27"/>
      <c r="R65" s="27"/>
      <c r="S65" s="27"/>
      <c r="T65" s="27"/>
      <c r="U65" s="27"/>
      <c r="V65" s="27"/>
      <c r="W65" s="27"/>
    </row>
    <row r="66" spans="1:23" ht="22.5" customHeight="1" x14ac:dyDescent="0.1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Q66" s="27"/>
      <c r="R66" s="27"/>
      <c r="S66" s="27"/>
      <c r="T66" s="27"/>
      <c r="U66" s="27"/>
      <c r="V66" s="27"/>
      <c r="W66" s="27"/>
    </row>
    <row r="67" spans="1:23" ht="22.5" customHeight="1" x14ac:dyDescent="0.1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Q67" s="27"/>
      <c r="R67" s="27"/>
      <c r="S67" s="27"/>
      <c r="T67" s="27"/>
      <c r="U67" s="27"/>
      <c r="V67" s="27"/>
      <c r="W67" s="27"/>
    </row>
    <row r="68" spans="1:23" ht="22.5" customHeight="1" x14ac:dyDescent="0.1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Q68" s="27"/>
      <c r="R68" s="27"/>
      <c r="S68" s="27"/>
      <c r="T68" s="27"/>
      <c r="U68" s="27"/>
      <c r="V68" s="27"/>
      <c r="W68" s="27"/>
    </row>
    <row r="69" spans="1:23" ht="22.5" customHeight="1" x14ac:dyDescent="0.1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Q69" s="27"/>
      <c r="R69" s="27"/>
      <c r="S69" s="27"/>
      <c r="T69" s="27"/>
      <c r="U69" s="27"/>
      <c r="V69" s="27"/>
      <c r="W69" s="27"/>
    </row>
    <row r="70" spans="1:23" ht="22.5" customHeight="1" x14ac:dyDescent="0.1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Q70" s="27"/>
      <c r="R70" s="27"/>
      <c r="S70" s="27"/>
      <c r="T70" s="27"/>
      <c r="U70" s="27"/>
      <c r="V70" s="27"/>
      <c r="W70" s="27"/>
    </row>
    <row r="71" spans="1:23" ht="22.5" customHeight="1" x14ac:dyDescent="0.1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Q71" s="27"/>
      <c r="R71" s="27"/>
      <c r="S71" s="27"/>
      <c r="T71" s="27"/>
      <c r="U71" s="27"/>
      <c r="V71" s="27"/>
      <c r="W71" s="27"/>
    </row>
    <row r="72" spans="1:23" ht="22.5" customHeight="1" x14ac:dyDescent="0.1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Q72" s="27"/>
      <c r="R72" s="27"/>
      <c r="S72" s="27"/>
      <c r="T72" s="27"/>
      <c r="U72" s="27"/>
      <c r="V72" s="27"/>
      <c r="W72" s="27"/>
    </row>
    <row r="73" spans="1:23" ht="22.5" customHeight="1" x14ac:dyDescent="0.1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Q73" s="27"/>
      <c r="R73" s="27"/>
      <c r="S73" s="27"/>
      <c r="T73" s="27"/>
      <c r="U73" s="27"/>
      <c r="V73" s="27"/>
      <c r="W73" s="27"/>
    </row>
    <row r="74" spans="1:23" ht="22.5" customHeight="1" x14ac:dyDescent="0.1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Q74" s="27"/>
      <c r="R74" s="27"/>
      <c r="S74" s="27"/>
      <c r="T74" s="27"/>
      <c r="U74" s="27"/>
      <c r="V74" s="27"/>
      <c r="W74" s="27"/>
    </row>
    <row r="75" spans="1:23" ht="22.5" customHeight="1" x14ac:dyDescent="0.1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Q75" s="27"/>
      <c r="R75" s="27"/>
      <c r="S75" s="27"/>
      <c r="T75" s="27"/>
      <c r="U75" s="27"/>
      <c r="V75" s="27"/>
      <c r="W75" s="27"/>
    </row>
    <row r="76" spans="1:23" ht="22.5" customHeight="1" x14ac:dyDescent="0.1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Q76" s="27"/>
      <c r="R76" s="27"/>
      <c r="S76" s="27"/>
      <c r="T76" s="27"/>
      <c r="U76" s="27"/>
      <c r="V76" s="27"/>
      <c r="W76" s="27"/>
    </row>
    <row r="77" spans="1:23" ht="22.5" customHeight="1" x14ac:dyDescent="0.1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Q77" s="27"/>
      <c r="R77" s="27"/>
      <c r="S77" s="27"/>
      <c r="T77" s="27"/>
      <c r="U77" s="27"/>
      <c r="V77" s="27"/>
      <c r="W77" s="27"/>
    </row>
    <row r="78" spans="1:23" ht="22.5" customHeight="1" x14ac:dyDescent="0.1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Q78" s="27"/>
      <c r="R78" s="27"/>
      <c r="S78" s="27"/>
      <c r="T78" s="27"/>
      <c r="U78" s="27"/>
      <c r="V78" s="27"/>
      <c r="W78" s="27"/>
    </row>
    <row r="79" spans="1:23" ht="22.5" customHeight="1" x14ac:dyDescent="0.1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Q79" s="27"/>
      <c r="R79" s="27"/>
      <c r="S79" s="27"/>
      <c r="T79" s="27"/>
      <c r="U79" s="27"/>
      <c r="V79" s="27"/>
      <c r="W79" s="27"/>
    </row>
    <row r="80" spans="1:23" ht="22.5" customHeight="1" x14ac:dyDescent="0.1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Q80" s="27"/>
      <c r="R80" s="27"/>
      <c r="S80" s="27"/>
      <c r="T80" s="27"/>
      <c r="U80" s="27"/>
      <c r="V80" s="27"/>
      <c r="W80" s="27"/>
    </row>
    <row r="81" spans="1:23" ht="22.5" customHeight="1" x14ac:dyDescent="0.1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Q81" s="27"/>
      <c r="R81" s="27"/>
      <c r="S81" s="27"/>
      <c r="T81" s="27"/>
      <c r="U81" s="27"/>
      <c r="V81" s="27"/>
      <c r="W81" s="27"/>
    </row>
    <row r="82" spans="1:23" ht="22.5" customHeight="1" x14ac:dyDescent="0.1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Q82" s="27"/>
      <c r="R82" s="27"/>
      <c r="S82" s="27"/>
      <c r="T82" s="27"/>
      <c r="U82" s="27"/>
      <c r="V82" s="27"/>
      <c r="W82" s="27"/>
    </row>
    <row r="83" spans="1:23" ht="22.5" customHeight="1" x14ac:dyDescent="0.1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Q83" s="27"/>
      <c r="R83" s="27"/>
      <c r="S83" s="27"/>
      <c r="T83" s="27"/>
      <c r="U83" s="27"/>
      <c r="V83" s="27"/>
      <c r="W83" s="27"/>
    </row>
    <row r="84" spans="1:23" ht="22.5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Q84" s="27"/>
      <c r="R84" s="27"/>
      <c r="S84" s="27"/>
      <c r="T84" s="27"/>
      <c r="U84" s="27"/>
      <c r="V84" s="27"/>
      <c r="W84" s="27"/>
    </row>
    <row r="85" spans="1:23" ht="22.5" customHeight="1" x14ac:dyDescent="0.1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Q85" s="27"/>
      <c r="R85" s="27"/>
      <c r="S85" s="27"/>
      <c r="T85" s="27"/>
      <c r="U85" s="27"/>
      <c r="V85" s="27"/>
      <c r="W85" s="27"/>
    </row>
    <row r="86" spans="1:23" ht="22.5" customHeight="1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Q86" s="27"/>
      <c r="R86" s="27"/>
      <c r="S86" s="27"/>
      <c r="T86" s="27"/>
      <c r="U86" s="27"/>
      <c r="V86" s="27"/>
      <c r="W86" s="27"/>
    </row>
    <row r="87" spans="1:23" ht="22.5" customHeight="1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Q87" s="27"/>
      <c r="R87" s="27"/>
      <c r="S87" s="27"/>
      <c r="T87" s="27"/>
      <c r="U87" s="27"/>
      <c r="V87" s="27"/>
      <c r="W87" s="27"/>
    </row>
    <row r="88" spans="1:23" ht="22.5" customHeight="1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Q88" s="27"/>
      <c r="R88" s="27"/>
      <c r="S88" s="27"/>
      <c r="T88" s="27"/>
      <c r="U88" s="27"/>
      <c r="V88" s="27"/>
      <c r="W88" s="27"/>
    </row>
    <row r="89" spans="1:23" ht="22.5" customHeight="1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Q89" s="27"/>
      <c r="R89" s="27"/>
      <c r="S89" s="27"/>
      <c r="T89" s="27"/>
      <c r="U89" s="27"/>
      <c r="V89" s="27"/>
      <c r="W89" s="27"/>
    </row>
    <row r="90" spans="1:23" ht="22.5" customHeight="1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Q90" s="27"/>
      <c r="R90" s="27"/>
      <c r="S90" s="27"/>
      <c r="T90" s="27"/>
      <c r="U90" s="27"/>
      <c r="V90" s="27"/>
      <c r="W90" s="27"/>
    </row>
    <row r="91" spans="1:23" ht="22.5" customHeight="1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Q91" s="27"/>
      <c r="R91" s="27"/>
      <c r="S91" s="27"/>
      <c r="T91" s="27"/>
      <c r="U91" s="27"/>
      <c r="V91" s="27"/>
      <c r="W91" s="27"/>
    </row>
    <row r="92" spans="1:23" ht="22.5" customHeight="1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Q92" s="27"/>
      <c r="R92" s="27"/>
      <c r="S92" s="27"/>
      <c r="T92" s="27"/>
      <c r="U92" s="27"/>
      <c r="V92" s="27"/>
      <c r="W92" s="27"/>
    </row>
    <row r="93" spans="1:23" ht="22.5" customHeight="1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Q93" s="27"/>
      <c r="R93" s="27"/>
      <c r="S93" s="27"/>
      <c r="T93" s="27"/>
      <c r="U93" s="27"/>
      <c r="V93" s="27"/>
      <c r="W93" s="27"/>
    </row>
    <row r="94" spans="1:23" ht="22.5" customHeight="1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Q94" s="27"/>
      <c r="R94" s="27"/>
      <c r="S94" s="27"/>
      <c r="T94" s="27"/>
      <c r="U94" s="27"/>
      <c r="V94" s="27"/>
      <c r="W94" s="27"/>
    </row>
    <row r="95" spans="1:23" ht="22.5" customHeight="1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Q95" s="27"/>
      <c r="R95" s="27"/>
      <c r="S95" s="27"/>
      <c r="T95" s="27"/>
      <c r="U95" s="27"/>
      <c r="V95" s="27"/>
      <c r="W95" s="27"/>
    </row>
    <row r="96" spans="1:23" ht="22.5" customHeight="1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Q96" s="27"/>
      <c r="R96" s="27"/>
      <c r="S96" s="27"/>
      <c r="T96" s="27"/>
      <c r="U96" s="27"/>
      <c r="V96" s="27"/>
      <c r="W96" s="27"/>
    </row>
    <row r="97" spans="1:23" ht="22.5" customHeight="1" x14ac:dyDescent="0.1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Q97" s="27"/>
      <c r="R97" s="27"/>
      <c r="S97" s="27"/>
      <c r="T97" s="27"/>
      <c r="U97" s="27"/>
      <c r="V97" s="27"/>
      <c r="W97" s="27"/>
    </row>
    <row r="98" spans="1:23" ht="22.5" customHeight="1" x14ac:dyDescent="0.1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Q98" s="27"/>
      <c r="R98" s="27"/>
      <c r="S98" s="27"/>
      <c r="T98" s="27"/>
      <c r="U98" s="27"/>
      <c r="V98" s="27"/>
      <c r="W98" s="27"/>
    </row>
    <row r="99" spans="1:23" ht="22.5" customHeight="1" x14ac:dyDescent="0.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Q99" s="27"/>
      <c r="R99" s="27"/>
      <c r="S99" s="27"/>
      <c r="T99" s="27"/>
      <c r="U99" s="27"/>
      <c r="V99" s="27"/>
      <c r="W99" s="27"/>
    </row>
    <row r="100" spans="1:23" ht="22.5" customHeight="1" x14ac:dyDescent="0.1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Q100" s="27"/>
      <c r="R100" s="27"/>
      <c r="S100" s="27"/>
      <c r="T100" s="27"/>
      <c r="U100" s="27"/>
      <c r="V100" s="27"/>
      <c r="W100" s="27"/>
    </row>
    <row r="101" spans="1:23" ht="22.5" customHeight="1" x14ac:dyDescent="0.1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Q101" s="27"/>
      <c r="R101" s="27"/>
      <c r="S101" s="27"/>
      <c r="T101" s="27"/>
      <c r="U101" s="27"/>
      <c r="V101" s="27"/>
      <c r="W101" s="27"/>
    </row>
    <row r="102" spans="1:23" ht="22.5" customHeight="1" x14ac:dyDescent="0.1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Q102" s="27"/>
      <c r="R102" s="27"/>
      <c r="S102" s="27"/>
      <c r="T102" s="27"/>
      <c r="U102" s="27"/>
      <c r="V102" s="27"/>
      <c r="W102" s="27"/>
    </row>
    <row r="103" spans="1:23" ht="22.5" customHeight="1" x14ac:dyDescent="0.1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Q103" s="27"/>
      <c r="R103" s="27"/>
      <c r="S103" s="27"/>
      <c r="T103" s="27"/>
      <c r="U103" s="27"/>
      <c r="V103" s="27"/>
      <c r="W103" s="27"/>
    </row>
    <row r="104" spans="1:23" ht="22.5" customHeight="1" x14ac:dyDescent="0.1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Q104" s="27"/>
      <c r="R104" s="27"/>
      <c r="S104" s="27"/>
      <c r="T104" s="27"/>
      <c r="U104" s="27"/>
      <c r="V104" s="27"/>
      <c r="W104" s="27"/>
    </row>
    <row r="772" spans="10:10" ht="21" customHeight="1" x14ac:dyDescent="0.15">
      <c r="J772" s="71" t="s">
        <v>9</v>
      </c>
    </row>
  </sheetData>
  <autoFilter ref="A2:W32" xr:uid="{00000000-0009-0000-0000-000000000000}"/>
  <mergeCells count="1">
    <mergeCell ref="A1:W1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"/>
  <sheetViews>
    <sheetView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H28" sqref="H28"/>
    </sheetView>
  </sheetViews>
  <sheetFormatPr defaultRowHeight="23.1" customHeight="1" x14ac:dyDescent="0.15"/>
  <cols>
    <col min="1" max="4" width="9" style="9"/>
    <col min="5" max="5" width="11" style="9" customWidth="1"/>
    <col min="6" max="6" width="9" style="9"/>
    <col min="7" max="7" width="13.75" style="9" customWidth="1"/>
    <col min="8" max="8" width="26.375" style="9" customWidth="1"/>
    <col min="9" max="9" width="10.5" style="9" customWidth="1"/>
    <col min="10" max="10" width="11.625" style="9" customWidth="1"/>
    <col min="11" max="11" width="11.5" style="9" customWidth="1"/>
    <col min="12" max="12" width="13.375" style="9" customWidth="1"/>
    <col min="13" max="13" width="13.5" style="9" customWidth="1"/>
    <col min="14" max="14" width="13.25" style="9" customWidth="1"/>
    <col min="15" max="15" width="11.75" style="9" customWidth="1"/>
    <col min="16" max="16" width="12.375" style="9" customWidth="1"/>
    <col min="17" max="17" width="11.5" style="9" customWidth="1"/>
    <col min="18" max="18" width="11.5" style="11" customWidth="1"/>
    <col min="19" max="19" width="11.5" style="9" customWidth="1"/>
    <col min="20" max="22" width="11.25" style="9" customWidth="1"/>
    <col min="23" max="23" width="31" style="9" customWidth="1"/>
    <col min="24" max="16384" width="9" style="9"/>
  </cols>
  <sheetData>
    <row r="1" spans="1:23" s="1" customFormat="1" ht="23.1" customHeight="1" x14ac:dyDescent="0.15">
      <c r="A1" s="2" t="s">
        <v>30</v>
      </c>
      <c r="B1" s="2" t="s">
        <v>48</v>
      </c>
      <c r="C1" s="2" t="s">
        <v>22</v>
      </c>
      <c r="D1" s="2" t="s">
        <v>3</v>
      </c>
      <c r="E1" s="2" t="s">
        <v>21</v>
      </c>
      <c r="F1" s="2" t="s">
        <v>1</v>
      </c>
      <c r="G1" s="2" t="s">
        <v>8</v>
      </c>
      <c r="H1" s="2" t="s">
        <v>23</v>
      </c>
      <c r="I1" s="2" t="s">
        <v>7</v>
      </c>
      <c r="J1" s="2" t="s">
        <v>0</v>
      </c>
      <c r="K1" s="3" t="s">
        <v>24</v>
      </c>
      <c r="L1" s="2" t="s">
        <v>2</v>
      </c>
      <c r="M1" s="4" t="s">
        <v>38</v>
      </c>
      <c r="N1" s="4" t="s">
        <v>37</v>
      </c>
      <c r="O1" s="4" t="s">
        <v>33</v>
      </c>
      <c r="P1" s="5" t="s">
        <v>34</v>
      </c>
      <c r="Q1" s="6" t="s">
        <v>35</v>
      </c>
      <c r="R1" s="10" t="s">
        <v>36</v>
      </c>
      <c r="S1" s="6" t="s">
        <v>6</v>
      </c>
      <c r="T1" s="7" t="s">
        <v>26</v>
      </c>
      <c r="U1" s="7" t="s">
        <v>27</v>
      </c>
      <c r="V1" s="7" t="s">
        <v>28</v>
      </c>
      <c r="W1" s="7" t="s">
        <v>32</v>
      </c>
    </row>
    <row r="2" spans="1:23" s="27" customFormat="1" ht="22.5" customHeight="1" x14ac:dyDescent="0.15">
      <c r="A2" s="65" t="s">
        <v>10</v>
      </c>
      <c r="B2" s="65" t="s">
        <v>10</v>
      </c>
      <c r="C2" s="62" t="s">
        <v>70</v>
      </c>
      <c r="D2" s="62" t="s">
        <v>71</v>
      </c>
      <c r="E2" s="62" t="s">
        <v>141</v>
      </c>
      <c r="F2" s="70" t="s">
        <v>80</v>
      </c>
      <c r="G2" s="62" t="s">
        <v>13</v>
      </c>
      <c r="H2" s="63" t="s">
        <v>89</v>
      </c>
      <c r="I2" s="65">
        <v>31.85</v>
      </c>
      <c r="J2" s="12" t="s">
        <v>16</v>
      </c>
      <c r="K2" s="34">
        <v>31.85</v>
      </c>
      <c r="L2" s="66" t="s">
        <v>19</v>
      </c>
      <c r="M2" s="67"/>
      <c r="N2" s="67"/>
      <c r="O2" s="67"/>
      <c r="P2" s="68"/>
      <c r="Q2" s="30" t="s">
        <v>114</v>
      </c>
      <c r="R2" s="35">
        <v>7.0388799999999998</v>
      </c>
      <c r="S2" s="35"/>
      <c r="T2" s="66" t="s">
        <v>113</v>
      </c>
      <c r="U2" s="66"/>
      <c r="V2" s="66"/>
      <c r="W2" s="64" t="s">
        <v>90</v>
      </c>
    </row>
    <row r="3" spans="1:23" s="27" customFormat="1" ht="22.5" customHeight="1" x14ac:dyDescent="0.15">
      <c r="A3" s="65" t="s">
        <v>10</v>
      </c>
      <c r="B3" s="65" t="s">
        <v>10</v>
      </c>
      <c r="C3" s="62" t="s">
        <v>70</v>
      </c>
      <c r="D3" s="62" t="s">
        <v>71</v>
      </c>
      <c r="E3" s="62" t="s">
        <v>142</v>
      </c>
      <c r="F3" s="70" t="s">
        <v>81</v>
      </c>
      <c r="G3" s="62" t="s">
        <v>73</v>
      </c>
      <c r="H3" s="63" t="s">
        <v>89</v>
      </c>
      <c r="I3" s="65">
        <v>34.9</v>
      </c>
      <c r="J3" s="12" t="s">
        <v>16</v>
      </c>
      <c r="K3" s="34">
        <v>34.9</v>
      </c>
      <c r="L3" s="38" t="s">
        <v>108</v>
      </c>
      <c r="M3" s="67"/>
      <c r="N3" s="67" t="s">
        <v>107</v>
      </c>
      <c r="O3" s="67" t="s">
        <v>59</v>
      </c>
      <c r="P3" s="68">
        <v>34.9</v>
      </c>
      <c r="Q3" s="30" t="s">
        <v>114</v>
      </c>
      <c r="R3" s="35">
        <v>7.7059199999999999</v>
      </c>
      <c r="S3" s="35"/>
      <c r="T3" s="66" t="s">
        <v>113</v>
      </c>
      <c r="U3" s="66" t="s">
        <v>109</v>
      </c>
      <c r="V3" s="66" t="s">
        <v>108</v>
      </c>
      <c r="W3" s="64" t="s">
        <v>90</v>
      </c>
    </row>
    <row r="4" spans="1:23" s="27" customFormat="1" ht="22.5" customHeight="1" x14ac:dyDescent="0.15">
      <c r="A4" s="65" t="s">
        <v>10</v>
      </c>
      <c r="B4" s="65" t="s">
        <v>10</v>
      </c>
      <c r="C4" s="62" t="s">
        <v>70</v>
      </c>
      <c r="D4" s="62" t="s">
        <v>71</v>
      </c>
      <c r="E4" s="62" t="s">
        <v>143</v>
      </c>
      <c r="F4" s="70" t="s">
        <v>82</v>
      </c>
      <c r="G4" s="62" t="s">
        <v>73</v>
      </c>
      <c r="H4" s="63" t="s">
        <v>105</v>
      </c>
      <c r="I4" s="65">
        <v>35.799999999999997</v>
      </c>
      <c r="J4" s="12" t="s">
        <v>16</v>
      </c>
      <c r="K4" s="34">
        <v>35.799999999999997</v>
      </c>
      <c r="L4" s="38" t="s">
        <v>104</v>
      </c>
      <c r="M4" s="67"/>
      <c r="N4" s="67" t="s">
        <v>58</v>
      </c>
      <c r="O4" s="67" t="s">
        <v>99</v>
      </c>
      <c r="P4" s="68">
        <v>35.799999999999997</v>
      </c>
      <c r="Q4" s="30" t="s">
        <v>114</v>
      </c>
      <c r="R4" s="35">
        <v>7.9046399999999997</v>
      </c>
      <c r="S4" s="35"/>
      <c r="T4" s="66" t="s">
        <v>113</v>
      </c>
      <c r="U4" s="66" t="s">
        <v>103</v>
      </c>
      <c r="V4" s="66" t="s">
        <v>102</v>
      </c>
      <c r="W4" s="64" t="s">
        <v>90</v>
      </c>
    </row>
    <row r="5" spans="1:23" s="27" customFormat="1" ht="22.5" customHeight="1" x14ac:dyDescent="0.15">
      <c r="A5" s="65" t="s">
        <v>10</v>
      </c>
      <c r="B5" s="65" t="s">
        <v>10</v>
      </c>
      <c r="C5" s="62" t="s">
        <v>70</v>
      </c>
      <c r="D5" s="62" t="s">
        <v>71</v>
      </c>
      <c r="E5" s="62" t="s">
        <v>144</v>
      </c>
      <c r="F5" s="70" t="s">
        <v>83</v>
      </c>
      <c r="G5" s="62" t="s">
        <v>73</v>
      </c>
      <c r="H5" s="63" t="s">
        <v>105</v>
      </c>
      <c r="I5" s="65">
        <v>35.799999999999997</v>
      </c>
      <c r="J5" s="12" t="s">
        <v>16</v>
      </c>
      <c r="K5" s="34">
        <v>35.799999999999997</v>
      </c>
      <c r="L5" s="38" t="s">
        <v>94</v>
      </c>
      <c r="M5" s="67"/>
      <c r="N5" s="67" t="s">
        <v>79</v>
      </c>
      <c r="O5" s="67" t="s">
        <v>95</v>
      </c>
      <c r="P5" s="68">
        <v>35.799999999999997</v>
      </c>
      <c r="Q5" s="30" t="s">
        <v>114</v>
      </c>
      <c r="R5" s="35">
        <v>7.9046399999999997</v>
      </c>
      <c r="S5" s="35"/>
      <c r="T5" s="66" t="s">
        <v>113</v>
      </c>
      <c r="U5" s="66" t="s">
        <v>101</v>
      </c>
      <c r="V5" s="66" t="s">
        <v>100</v>
      </c>
      <c r="W5" s="64" t="s">
        <v>90</v>
      </c>
    </row>
    <row r="6" spans="1:23" s="27" customFormat="1" ht="22.5" customHeight="1" x14ac:dyDescent="0.15">
      <c r="A6" s="65" t="s">
        <v>10</v>
      </c>
      <c r="B6" s="65" t="s">
        <v>10</v>
      </c>
      <c r="C6" s="62" t="s">
        <v>70</v>
      </c>
      <c r="D6" s="62" t="s">
        <v>71</v>
      </c>
      <c r="E6" s="62" t="s">
        <v>145</v>
      </c>
      <c r="F6" s="70" t="s">
        <v>84</v>
      </c>
      <c r="G6" s="62" t="s">
        <v>73</v>
      </c>
      <c r="H6" s="63" t="s">
        <v>106</v>
      </c>
      <c r="I6" s="65">
        <v>45.25</v>
      </c>
      <c r="J6" s="12" t="s">
        <v>16</v>
      </c>
      <c r="K6" s="34">
        <v>45.25</v>
      </c>
      <c r="L6" s="38" t="s">
        <v>93</v>
      </c>
      <c r="M6" s="67"/>
      <c r="N6" s="67" t="s">
        <v>94</v>
      </c>
      <c r="O6" s="67" t="s">
        <v>56</v>
      </c>
      <c r="P6" s="68">
        <v>45.25</v>
      </c>
      <c r="Q6" s="30" t="s">
        <v>114</v>
      </c>
      <c r="R6" s="35">
        <v>9.9911999999999992</v>
      </c>
      <c r="S6" s="35"/>
      <c r="T6" s="66" t="s">
        <v>113</v>
      </c>
      <c r="U6" s="66" t="s">
        <v>93</v>
      </c>
      <c r="V6" s="66" t="s">
        <v>93</v>
      </c>
      <c r="W6" s="64" t="s">
        <v>90</v>
      </c>
    </row>
    <row r="7" spans="1:23" s="27" customFormat="1" ht="22.5" customHeight="1" x14ac:dyDescent="0.15">
      <c r="A7" s="65" t="s">
        <v>10</v>
      </c>
      <c r="B7" s="65" t="s">
        <v>10</v>
      </c>
      <c r="C7" s="62" t="s">
        <v>70</v>
      </c>
      <c r="D7" s="62" t="s">
        <v>71</v>
      </c>
      <c r="E7" s="62" t="s">
        <v>146</v>
      </c>
      <c r="F7" s="70" t="s">
        <v>85</v>
      </c>
      <c r="G7" s="62" t="s">
        <v>73</v>
      </c>
      <c r="H7" s="63" t="s">
        <v>89</v>
      </c>
      <c r="I7" s="65">
        <v>34.85</v>
      </c>
      <c r="J7" s="12" t="s">
        <v>16</v>
      </c>
      <c r="K7" s="34">
        <v>34.85</v>
      </c>
      <c r="L7" s="38" t="s">
        <v>108</v>
      </c>
      <c r="M7" s="67"/>
      <c r="N7" s="67" t="s">
        <v>107</v>
      </c>
      <c r="O7" s="67" t="s">
        <v>59</v>
      </c>
      <c r="P7" s="68">
        <v>34.85</v>
      </c>
      <c r="Q7" s="30" t="s">
        <v>114</v>
      </c>
      <c r="R7" s="35">
        <v>7.6948800000000004</v>
      </c>
      <c r="S7" s="35"/>
      <c r="T7" s="66" t="s">
        <v>113</v>
      </c>
      <c r="U7" s="66" t="s">
        <v>109</v>
      </c>
      <c r="V7" s="66" t="s">
        <v>108</v>
      </c>
      <c r="W7" s="64" t="s">
        <v>90</v>
      </c>
    </row>
    <row r="8" spans="1:23" s="27" customFormat="1" ht="22.5" customHeight="1" x14ac:dyDescent="0.15">
      <c r="A8" s="65" t="s">
        <v>10</v>
      </c>
      <c r="B8" s="65" t="s">
        <v>10</v>
      </c>
      <c r="C8" s="62" t="s">
        <v>70</v>
      </c>
      <c r="D8" s="62" t="s">
        <v>71</v>
      </c>
      <c r="E8" s="62" t="s">
        <v>147</v>
      </c>
      <c r="F8" s="70" t="s">
        <v>86</v>
      </c>
      <c r="G8" s="62" t="s">
        <v>73</v>
      </c>
      <c r="H8" s="63" t="s">
        <v>89</v>
      </c>
      <c r="I8" s="65">
        <v>28.85</v>
      </c>
      <c r="J8" s="12" t="s">
        <v>16</v>
      </c>
      <c r="K8" s="34">
        <v>28.85</v>
      </c>
      <c r="L8" s="38" t="s">
        <v>108</v>
      </c>
      <c r="M8" s="67"/>
      <c r="N8" s="67" t="s">
        <v>107</v>
      </c>
      <c r="O8" s="67" t="s">
        <v>59</v>
      </c>
      <c r="P8" s="68">
        <v>28.85</v>
      </c>
      <c r="Q8" s="30" t="s">
        <v>114</v>
      </c>
      <c r="R8" s="35">
        <v>6.3700800000000006</v>
      </c>
      <c r="S8" s="35"/>
      <c r="T8" s="66" t="s">
        <v>113</v>
      </c>
      <c r="U8" s="66" t="s">
        <v>109</v>
      </c>
      <c r="V8" s="66" t="s">
        <v>108</v>
      </c>
      <c r="W8" s="64" t="s">
        <v>90</v>
      </c>
    </row>
    <row r="9" spans="1:23" s="27" customFormat="1" ht="22.5" customHeight="1" x14ac:dyDescent="0.15">
      <c r="A9" s="65" t="s">
        <v>10</v>
      </c>
      <c r="B9" s="65" t="s">
        <v>10</v>
      </c>
      <c r="C9" s="62" t="s">
        <v>70</v>
      </c>
      <c r="D9" s="62" t="s">
        <v>71</v>
      </c>
      <c r="E9" s="62" t="s">
        <v>148</v>
      </c>
      <c r="F9" s="70" t="s">
        <v>87</v>
      </c>
      <c r="G9" s="62" t="s">
        <v>73</v>
      </c>
      <c r="H9" s="63" t="s">
        <v>89</v>
      </c>
      <c r="I9" s="65">
        <v>33.85</v>
      </c>
      <c r="J9" s="12" t="s">
        <v>16</v>
      </c>
      <c r="K9" s="34">
        <v>33.85</v>
      </c>
      <c r="L9" s="38" t="s">
        <v>108</v>
      </c>
      <c r="M9" s="67"/>
      <c r="N9" s="67" t="s">
        <v>107</v>
      </c>
      <c r="O9" s="67" t="s">
        <v>59</v>
      </c>
      <c r="P9" s="68">
        <v>33.85</v>
      </c>
      <c r="Q9" s="30" t="s">
        <v>114</v>
      </c>
      <c r="R9" s="35">
        <v>7.4740799999999998</v>
      </c>
      <c r="S9" s="35"/>
      <c r="T9" s="66" t="s">
        <v>113</v>
      </c>
      <c r="U9" s="66" t="s">
        <v>109</v>
      </c>
      <c r="V9" s="66" t="s">
        <v>108</v>
      </c>
      <c r="W9" s="64" t="s">
        <v>90</v>
      </c>
    </row>
    <row r="10" spans="1:23" s="27" customFormat="1" ht="22.5" customHeight="1" x14ac:dyDescent="0.15">
      <c r="A10" s="65" t="s">
        <v>10</v>
      </c>
      <c r="B10" s="65" t="s">
        <v>10</v>
      </c>
      <c r="C10" s="62" t="s">
        <v>70</v>
      </c>
      <c r="D10" s="62" t="s">
        <v>71</v>
      </c>
      <c r="E10" s="62" t="s">
        <v>149</v>
      </c>
      <c r="F10" s="70" t="s">
        <v>88</v>
      </c>
      <c r="G10" s="62" t="s">
        <v>73</v>
      </c>
      <c r="H10" s="63" t="s">
        <v>89</v>
      </c>
      <c r="I10" s="65">
        <v>35.85</v>
      </c>
      <c r="J10" s="12" t="s">
        <v>16</v>
      </c>
      <c r="K10" s="34">
        <v>35.85</v>
      </c>
      <c r="L10" s="38" t="s">
        <v>108</v>
      </c>
      <c r="M10" s="67"/>
      <c r="N10" s="67" t="s">
        <v>107</v>
      </c>
      <c r="O10" s="67" t="s">
        <v>59</v>
      </c>
      <c r="P10" s="68">
        <v>35.85</v>
      </c>
      <c r="Q10" s="30" t="s">
        <v>114</v>
      </c>
      <c r="R10" s="35">
        <v>7.91568</v>
      </c>
      <c r="S10" s="35"/>
      <c r="T10" s="66" t="s">
        <v>113</v>
      </c>
      <c r="U10" s="66" t="s">
        <v>109</v>
      </c>
      <c r="V10" s="66" t="s">
        <v>108</v>
      </c>
      <c r="W10" s="64" t="s">
        <v>90</v>
      </c>
    </row>
    <row r="11" spans="1:23" s="27" customFormat="1" ht="22.5" customHeight="1" x14ac:dyDescent="0.15">
      <c r="A11" s="65" t="s">
        <v>10</v>
      </c>
      <c r="B11" s="65" t="s">
        <v>10</v>
      </c>
      <c r="C11" s="62" t="s">
        <v>70</v>
      </c>
      <c r="D11" s="62" t="s">
        <v>71</v>
      </c>
      <c r="E11" s="62" t="s">
        <v>150</v>
      </c>
      <c r="F11" s="70" t="s">
        <v>80</v>
      </c>
      <c r="G11" s="62" t="s">
        <v>13</v>
      </c>
      <c r="H11" s="63" t="s">
        <v>89</v>
      </c>
      <c r="I11" s="65">
        <v>31.85</v>
      </c>
      <c r="J11" s="12" t="s">
        <v>115</v>
      </c>
      <c r="K11" s="34">
        <v>24.811120000000003</v>
      </c>
      <c r="L11" s="43" t="s">
        <v>19</v>
      </c>
      <c r="M11" s="67"/>
      <c r="N11" s="67"/>
      <c r="O11" s="67"/>
      <c r="P11" s="68"/>
      <c r="Q11" s="30" t="s">
        <v>117</v>
      </c>
      <c r="R11" s="35">
        <v>6.5442499999999999</v>
      </c>
      <c r="S11" s="35"/>
      <c r="T11" s="66" t="s">
        <v>113</v>
      </c>
      <c r="U11" s="66"/>
      <c r="V11" s="66"/>
      <c r="W11" s="64" t="s">
        <v>90</v>
      </c>
    </row>
    <row r="12" spans="1:23" s="27" customFormat="1" ht="22.5" customHeight="1" x14ac:dyDescent="0.15">
      <c r="A12" s="65" t="s">
        <v>10</v>
      </c>
      <c r="B12" s="65" t="s">
        <v>10</v>
      </c>
      <c r="C12" s="62" t="s">
        <v>70</v>
      </c>
      <c r="D12" s="62" t="s">
        <v>71</v>
      </c>
      <c r="E12" s="62" t="s">
        <v>151</v>
      </c>
      <c r="F12" s="70" t="s">
        <v>81</v>
      </c>
      <c r="G12" s="62" t="s">
        <v>73</v>
      </c>
      <c r="H12" s="63" t="s">
        <v>89</v>
      </c>
      <c r="I12" s="65">
        <v>34.9</v>
      </c>
      <c r="J12" s="12" t="s">
        <v>116</v>
      </c>
      <c r="K12" s="34">
        <v>27.19408</v>
      </c>
      <c r="L12" s="38" t="s">
        <v>108</v>
      </c>
      <c r="M12" s="67"/>
      <c r="N12" s="67" t="s">
        <v>107</v>
      </c>
      <c r="O12" s="67" t="s">
        <v>59</v>
      </c>
      <c r="P12" s="68">
        <v>34.9</v>
      </c>
      <c r="Q12" s="30" t="s">
        <v>117</v>
      </c>
      <c r="R12" s="35">
        <v>7.1544999999999996</v>
      </c>
      <c r="S12" s="35"/>
      <c r="T12" s="66" t="s">
        <v>113</v>
      </c>
      <c r="U12" s="66" t="s">
        <v>109</v>
      </c>
      <c r="V12" s="66" t="s">
        <v>108</v>
      </c>
      <c r="W12" s="64" t="s">
        <v>90</v>
      </c>
    </row>
    <row r="13" spans="1:23" s="27" customFormat="1" ht="22.5" customHeight="1" x14ac:dyDescent="0.15">
      <c r="A13" s="65" t="s">
        <v>10</v>
      </c>
      <c r="B13" s="65" t="s">
        <v>10</v>
      </c>
      <c r="C13" s="62" t="s">
        <v>70</v>
      </c>
      <c r="D13" s="62" t="s">
        <v>71</v>
      </c>
      <c r="E13" s="62" t="s">
        <v>152</v>
      </c>
      <c r="F13" s="70" t="s">
        <v>82</v>
      </c>
      <c r="G13" s="62" t="s">
        <v>73</v>
      </c>
      <c r="H13" s="63" t="s">
        <v>105</v>
      </c>
      <c r="I13" s="65">
        <v>35.799999999999997</v>
      </c>
      <c r="J13" s="12" t="s">
        <v>116</v>
      </c>
      <c r="K13" s="34">
        <v>27.895359999999997</v>
      </c>
      <c r="L13" s="38" t="s">
        <v>104</v>
      </c>
      <c r="M13" s="67"/>
      <c r="N13" s="67" t="s">
        <v>58</v>
      </c>
      <c r="O13" s="67" t="s">
        <v>99</v>
      </c>
      <c r="P13" s="68">
        <v>35.799999999999997</v>
      </c>
      <c r="Q13" s="30" t="s">
        <v>117</v>
      </c>
      <c r="R13" s="35">
        <v>7.3389999999999986</v>
      </c>
      <c r="S13" s="35"/>
      <c r="T13" s="66" t="s">
        <v>113</v>
      </c>
      <c r="U13" s="66" t="s">
        <v>103</v>
      </c>
      <c r="V13" s="66" t="s">
        <v>102</v>
      </c>
      <c r="W13" s="64" t="s">
        <v>90</v>
      </c>
    </row>
    <row r="14" spans="1:23" s="27" customFormat="1" ht="22.5" customHeight="1" x14ac:dyDescent="0.15">
      <c r="A14" s="65" t="s">
        <v>10</v>
      </c>
      <c r="B14" s="65" t="s">
        <v>10</v>
      </c>
      <c r="C14" s="62" t="s">
        <v>70</v>
      </c>
      <c r="D14" s="62" t="s">
        <v>71</v>
      </c>
      <c r="E14" s="62" t="s">
        <v>153</v>
      </c>
      <c r="F14" s="70" t="s">
        <v>83</v>
      </c>
      <c r="G14" s="62" t="s">
        <v>73</v>
      </c>
      <c r="H14" s="63" t="s">
        <v>105</v>
      </c>
      <c r="I14" s="65">
        <v>35.799999999999997</v>
      </c>
      <c r="J14" s="12" t="s">
        <v>116</v>
      </c>
      <c r="K14" s="34">
        <v>27.895359999999997</v>
      </c>
      <c r="L14" s="38" t="s">
        <v>94</v>
      </c>
      <c r="M14" s="67"/>
      <c r="N14" s="67" t="s">
        <v>79</v>
      </c>
      <c r="O14" s="67" t="s">
        <v>95</v>
      </c>
      <c r="P14" s="68">
        <v>35.799999999999997</v>
      </c>
      <c r="Q14" s="30" t="s">
        <v>117</v>
      </c>
      <c r="R14" s="35">
        <v>7.3389999999999986</v>
      </c>
      <c r="S14" s="35"/>
      <c r="T14" s="66" t="s">
        <v>113</v>
      </c>
      <c r="U14" s="66" t="s">
        <v>101</v>
      </c>
      <c r="V14" s="66" t="s">
        <v>100</v>
      </c>
      <c r="W14" s="64" t="s">
        <v>90</v>
      </c>
    </row>
    <row r="15" spans="1:23" s="27" customFormat="1" ht="22.5" customHeight="1" x14ac:dyDescent="0.15">
      <c r="A15" s="65" t="s">
        <v>10</v>
      </c>
      <c r="B15" s="65" t="s">
        <v>10</v>
      </c>
      <c r="C15" s="62" t="s">
        <v>70</v>
      </c>
      <c r="D15" s="62" t="s">
        <v>71</v>
      </c>
      <c r="E15" s="62" t="s">
        <v>154</v>
      </c>
      <c r="F15" s="70" t="s">
        <v>84</v>
      </c>
      <c r="G15" s="62" t="s">
        <v>73</v>
      </c>
      <c r="H15" s="63" t="s">
        <v>106</v>
      </c>
      <c r="I15" s="65">
        <v>45.25</v>
      </c>
      <c r="J15" s="12" t="s">
        <v>116</v>
      </c>
      <c r="K15" s="34">
        <v>35.258800000000001</v>
      </c>
      <c r="L15" s="38" t="s">
        <v>93</v>
      </c>
      <c r="M15" s="67"/>
      <c r="N15" s="67" t="s">
        <v>94</v>
      </c>
      <c r="O15" s="67" t="s">
        <v>56</v>
      </c>
      <c r="P15" s="68">
        <v>45.25</v>
      </c>
      <c r="Q15" s="30" t="s">
        <v>117</v>
      </c>
      <c r="R15" s="35">
        <v>9.2762499999999992</v>
      </c>
      <c r="S15" s="35"/>
      <c r="T15" s="66" t="s">
        <v>113</v>
      </c>
      <c r="U15" s="66" t="s">
        <v>93</v>
      </c>
      <c r="V15" s="66" t="s">
        <v>93</v>
      </c>
      <c r="W15" s="64" t="s">
        <v>90</v>
      </c>
    </row>
    <row r="16" spans="1:23" s="27" customFormat="1" ht="22.5" customHeight="1" x14ac:dyDescent="0.15">
      <c r="A16" s="65" t="s">
        <v>10</v>
      </c>
      <c r="B16" s="65" t="s">
        <v>10</v>
      </c>
      <c r="C16" s="62" t="s">
        <v>70</v>
      </c>
      <c r="D16" s="62" t="s">
        <v>71</v>
      </c>
      <c r="E16" s="62" t="s">
        <v>155</v>
      </c>
      <c r="F16" s="70" t="s">
        <v>85</v>
      </c>
      <c r="G16" s="62" t="s">
        <v>73</v>
      </c>
      <c r="H16" s="63" t="s">
        <v>89</v>
      </c>
      <c r="I16" s="65">
        <v>34.85</v>
      </c>
      <c r="J16" s="12" t="s">
        <v>116</v>
      </c>
      <c r="K16" s="34">
        <v>27.15512</v>
      </c>
      <c r="L16" s="38" t="s">
        <v>108</v>
      </c>
      <c r="M16" s="67"/>
      <c r="N16" s="67" t="s">
        <v>107</v>
      </c>
      <c r="O16" s="67" t="s">
        <v>59</v>
      </c>
      <c r="P16" s="68">
        <v>34.85</v>
      </c>
      <c r="Q16" s="30" t="s">
        <v>117</v>
      </c>
      <c r="R16" s="35">
        <v>7.1442499999999995</v>
      </c>
      <c r="S16" s="35"/>
      <c r="T16" s="66" t="s">
        <v>113</v>
      </c>
      <c r="U16" s="66" t="s">
        <v>109</v>
      </c>
      <c r="V16" s="66" t="s">
        <v>108</v>
      </c>
      <c r="W16" s="64" t="s">
        <v>90</v>
      </c>
    </row>
    <row r="17" spans="1:23" s="27" customFormat="1" ht="22.5" customHeight="1" x14ac:dyDescent="0.15">
      <c r="A17" s="65" t="s">
        <v>10</v>
      </c>
      <c r="B17" s="65" t="s">
        <v>10</v>
      </c>
      <c r="C17" s="62" t="s">
        <v>70</v>
      </c>
      <c r="D17" s="62" t="s">
        <v>71</v>
      </c>
      <c r="E17" s="62" t="s">
        <v>156</v>
      </c>
      <c r="F17" s="70" t="s">
        <v>86</v>
      </c>
      <c r="G17" s="62" t="s">
        <v>73</v>
      </c>
      <c r="H17" s="63" t="s">
        <v>89</v>
      </c>
      <c r="I17" s="65">
        <v>28.85</v>
      </c>
      <c r="J17" s="12" t="s">
        <v>116</v>
      </c>
      <c r="K17" s="34">
        <v>22.47992</v>
      </c>
      <c r="L17" s="38" t="s">
        <v>108</v>
      </c>
      <c r="M17" s="67"/>
      <c r="N17" s="67" t="s">
        <v>107</v>
      </c>
      <c r="O17" s="67" t="s">
        <v>59</v>
      </c>
      <c r="P17" s="68">
        <v>28.85</v>
      </c>
      <c r="Q17" s="30" t="s">
        <v>117</v>
      </c>
      <c r="R17" s="35">
        <v>5.91425</v>
      </c>
      <c r="S17" s="35"/>
      <c r="T17" s="66" t="s">
        <v>113</v>
      </c>
      <c r="U17" s="66" t="s">
        <v>109</v>
      </c>
      <c r="V17" s="66" t="s">
        <v>108</v>
      </c>
      <c r="W17" s="64" t="s">
        <v>90</v>
      </c>
    </row>
    <row r="18" spans="1:23" s="27" customFormat="1" ht="22.5" customHeight="1" x14ac:dyDescent="0.15">
      <c r="A18" s="65" t="s">
        <v>10</v>
      </c>
      <c r="B18" s="65" t="s">
        <v>10</v>
      </c>
      <c r="C18" s="62" t="s">
        <v>70</v>
      </c>
      <c r="D18" s="62" t="s">
        <v>71</v>
      </c>
      <c r="E18" s="62" t="s">
        <v>157</v>
      </c>
      <c r="F18" s="70" t="s">
        <v>87</v>
      </c>
      <c r="G18" s="62" t="s">
        <v>73</v>
      </c>
      <c r="H18" s="63" t="s">
        <v>89</v>
      </c>
      <c r="I18" s="65">
        <v>33.85</v>
      </c>
      <c r="J18" s="12" t="s">
        <v>116</v>
      </c>
      <c r="K18" s="34">
        <v>26.375920000000001</v>
      </c>
      <c r="L18" s="38" t="s">
        <v>108</v>
      </c>
      <c r="M18" s="67"/>
      <c r="N18" s="67" t="s">
        <v>107</v>
      </c>
      <c r="O18" s="67" t="s">
        <v>59</v>
      </c>
      <c r="P18" s="68">
        <v>33.85</v>
      </c>
      <c r="Q18" s="30" t="s">
        <v>117</v>
      </c>
      <c r="R18" s="35">
        <v>6.9392499999999995</v>
      </c>
      <c r="S18" s="35"/>
      <c r="T18" s="66" t="s">
        <v>113</v>
      </c>
      <c r="U18" s="66" t="s">
        <v>109</v>
      </c>
      <c r="V18" s="66" t="s">
        <v>108</v>
      </c>
      <c r="W18" s="64" t="s">
        <v>90</v>
      </c>
    </row>
    <row r="19" spans="1:23" s="27" customFormat="1" ht="22.5" customHeight="1" x14ac:dyDescent="0.15">
      <c r="A19" s="65" t="s">
        <v>10</v>
      </c>
      <c r="B19" s="65" t="s">
        <v>10</v>
      </c>
      <c r="C19" s="62" t="s">
        <v>70</v>
      </c>
      <c r="D19" s="62" t="s">
        <v>71</v>
      </c>
      <c r="E19" s="62" t="s">
        <v>158</v>
      </c>
      <c r="F19" s="70" t="s">
        <v>88</v>
      </c>
      <c r="G19" s="62" t="s">
        <v>73</v>
      </c>
      <c r="H19" s="63" t="s">
        <v>89</v>
      </c>
      <c r="I19" s="65">
        <v>35.85</v>
      </c>
      <c r="J19" s="12" t="s">
        <v>116</v>
      </c>
      <c r="K19" s="34">
        <v>27.93432</v>
      </c>
      <c r="L19" s="38" t="s">
        <v>108</v>
      </c>
      <c r="M19" s="67"/>
      <c r="N19" s="67" t="s">
        <v>107</v>
      </c>
      <c r="O19" s="67" t="s">
        <v>59</v>
      </c>
      <c r="P19" s="68">
        <v>35.85</v>
      </c>
      <c r="Q19" s="30" t="s">
        <v>117</v>
      </c>
      <c r="R19" s="35">
        <v>7.3492499999999996</v>
      </c>
      <c r="S19" s="35"/>
      <c r="T19" s="66" t="s">
        <v>113</v>
      </c>
      <c r="U19" s="66" t="s">
        <v>109</v>
      </c>
      <c r="V19" s="66" t="s">
        <v>108</v>
      </c>
      <c r="W19" s="64" t="s">
        <v>90</v>
      </c>
    </row>
  </sheetData>
  <autoFilter ref="A1:X19" xr:uid="{00000000-0009-0000-0000-000001000000}"/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"/>
  <sheetViews>
    <sheetView workbookViewId="0">
      <selection activeCell="X23" sqref="X23"/>
    </sheetView>
  </sheetViews>
  <sheetFormatPr defaultRowHeight="13.5" x14ac:dyDescent="0.15"/>
  <cols>
    <col min="8" max="8" width="11" customWidth="1"/>
    <col min="10" max="10" width="10.75" customWidth="1"/>
    <col min="14" max="14" width="11.125" customWidth="1"/>
    <col min="15" max="15" width="13.625" customWidth="1"/>
    <col min="16" max="16" width="13.5" customWidth="1"/>
    <col min="17" max="17" width="10.625" customWidth="1"/>
    <col min="18" max="18" width="10.5" customWidth="1"/>
    <col min="19" max="19" width="10.875" customWidth="1"/>
    <col min="20" max="20" width="10.125" customWidth="1"/>
    <col min="21" max="21" width="9.75" customWidth="1"/>
    <col min="22" max="22" width="10.875" customWidth="1"/>
    <col min="23" max="23" width="24.875" customWidth="1"/>
    <col min="24" max="24" width="46.75" customWidth="1"/>
  </cols>
  <sheetData>
    <row r="1" spans="1:24" s="1" customFormat="1" ht="22.5" customHeight="1" x14ac:dyDescent="0.15">
      <c r="A1" s="2" t="s">
        <v>30</v>
      </c>
      <c r="B1" s="2" t="s">
        <v>48</v>
      </c>
      <c r="C1" s="2" t="s">
        <v>22</v>
      </c>
      <c r="D1" s="2" t="s">
        <v>3</v>
      </c>
      <c r="E1" s="2" t="s">
        <v>21</v>
      </c>
      <c r="F1" s="2" t="s">
        <v>1</v>
      </c>
      <c r="G1" s="2" t="s">
        <v>8</v>
      </c>
      <c r="H1" s="2" t="s">
        <v>23</v>
      </c>
      <c r="I1" s="2" t="s">
        <v>7</v>
      </c>
      <c r="J1" s="2" t="s">
        <v>0</v>
      </c>
      <c r="K1" s="3" t="s">
        <v>24</v>
      </c>
      <c r="L1" s="2" t="s">
        <v>2</v>
      </c>
      <c r="M1" s="16" t="s">
        <v>38</v>
      </c>
      <c r="N1" s="16" t="s">
        <v>37</v>
      </c>
      <c r="O1" s="17" t="s">
        <v>33</v>
      </c>
      <c r="P1" s="5" t="s">
        <v>34</v>
      </c>
      <c r="Q1" s="15" t="s">
        <v>35</v>
      </c>
      <c r="R1" s="15" t="s">
        <v>36</v>
      </c>
      <c r="S1" s="15" t="s">
        <v>6</v>
      </c>
      <c r="T1" s="7" t="s">
        <v>26</v>
      </c>
      <c r="U1" s="7" t="s">
        <v>27</v>
      </c>
      <c r="V1" s="7" t="s">
        <v>28</v>
      </c>
      <c r="W1" s="7" t="s">
        <v>32</v>
      </c>
      <c r="X1" s="18" t="s">
        <v>54</v>
      </c>
    </row>
    <row r="2" spans="1:24" s="27" customFormat="1" ht="22.5" customHeight="1" x14ac:dyDescent="0.15">
      <c r="A2" s="65" t="s">
        <v>10</v>
      </c>
      <c r="B2" s="65" t="s">
        <v>10</v>
      </c>
      <c r="C2" s="62" t="s">
        <v>70</v>
      </c>
      <c r="D2" s="62" t="s">
        <v>71</v>
      </c>
      <c r="E2" s="62" t="s">
        <v>122</v>
      </c>
      <c r="F2" s="65">
        <v>24094</v>
      </c>
      <c r="G2" s="62" t="s">
        <v>73</v>
      </c>
      <c r="H2" s="63" t="s">
        <v>78</v>
      </c>
      <c r="I2" s="65">
        <v>20.7</v>
      </c>
      <c r="J2" s="19" t="s">
        <v>57</v>
      </c>
      <c r="K2" s="8">
        <v>3.45</v>
      </c>
      <c r="L2" s="38" t="s">
        <v>120</v>
      </c>
      <c r="M2" s="67"/>
      <c r="N2" s="67" t="s">
        <v>137</v>
      </c>
      <c r="O2" s="67" t="s">
        <v>97</v>
      </c>
      <c r="P2" s="68">
        <v>3.45</v>
      </c>
      <c r="Q2" s="30"/>
      <c r="R2" s="35"/>
      <c r="S2" s="35"/>
      <c r="T2" s="66" t="s">
        <v>127</v>
      </c>
      <c r="U2" s="66"/>
      <c r="V2" s="66"/>
      <c r="W2" s="21" t="s">
        <v>121</v>
      </c>
      <c r="X2" s="27" t="s">
        <v>138</v>
      </c>
    </row>
    <row r="3" spans="1:24" s="27" customFormat="1" ht="22.5" customHeight="1" x14ac:dyDescent="0.15">
      <c r="A3" s="65" t="s">
        <v>45</v>
      </c>
      <c r="B3" s="65" t="s">
        <v>45</v>
      </c>
      <c r="C3" s="62" t="s">
        <v>74</v>
      </c>
      <c r="D3" s="62" t="s">
        <v>111</v>
      </c>
      <c r="E3" s="62" t="s">
        <v>112</v>
      </c>
      <c r="F3" s="65">
        <v>24062</v>
      </c>
      <c r="G3" s="62" t="s">
        <v>5</v>
      </c>
      <c r="H3" s="63" t="s">
        <v>72</v>
      </c>
      <c r="I3" s="65">
        <v>30</v>
      </c>
      <c r="J3" s="65" t="s">
        <v>55</v>
      </c>
      <c r="K3" s="34">
        <v>10</v>
      </c>
      <c r="L3" s="38" t="s">
        <v>118</v>
      </c>
      <c r="M3" s="67"/>
      <c r="N3" s="67" t="s">
        <v>128</v>
      </c>
      <c r="O3" s="67" t="s">
        <v>129</v>
      </c>
      <c r="P3" s="68">
        <v>10</v>
      </c>
      <c r="Q3" s="30"/>
      <c r="R3" s="35"/>
      <c r="S3" s="35"/>
      <c r="T3" s="66"/>
      <c r="U3" s="66"/>
      <c r="V3" s="66"/>
      <c r="W3" s="64" t="s">
        <v>119</v>
      </c>
      <c r="X3" s="27" t="s">
        <v>139</v>
      </c>
    </row>
    <row r="4" spans="1:24" s="27" customFormat="1" ht="22.5" customHeight="1" x14ac:dyDescent="0.15">
      <c r="A4" s="62" t="s">
        <v>77</v>
      </c>
      <c r="B4" s="62" t="s">
        <v>77</v>
      </c>
      <c r="C4" s="13" t="s">
        <v>70</v>
      </c>
      <c r="D4" s="13" t="s">
        <v>71</v>
      </c>
      <c r="E4" s="13" t="s">
        <v>124</v>
      </c>
      <c r="F4" s="62">
        <v>24132</v>
      </c>
      <c r="G4" s="62" t="s">
        <v>73</v>
      </c>
      <c r="H4" s="63" t="s">
        <v>110</v>
      </c>
      <c r="I4" s="69">
        <v>158.5</v>
      </c>
      <c r="J4" s="12" t="s">
        <v>125</v>
      </c>
      <c r="K4" s="34">
        <f>I4*0.95</f>
        <v>150.57499999999999</v>
      </c>
      <c r="L4" s="38" t="s">
        <v>92</v>
      </c>
      <c r="M4" s="67"/>
      <c r="N4" s="67" t="s">
        <v>128</v>
      </c>
      <c r="O4" s="67" t="s">
        <v>129</v>
      </c>
      <c r="P4" s="68">
        <v>150.57499999999999</v>
      </c>
      <c r="Q4" s="30"/>
      <c r="R4" s="35"/>
      <c r="S4" s="35"/>
      <c r="T4" s="66"/>
      <c r="U4" s="66"/>
      <c r="V4" s="66" t="s">
        <v>92</v>
      </c>
      <c r="W4" s="64" t="s">
        <v>126</v>
      </c>
      <c r="X4" s="27" t="s">
        <v>140</v>
      </c>
    </row>
    <row r="5" spans="1:24" s="27" customFormat="1" ht="22.5" customHeight="1" x14ac:dyDescent="0.15">
      <c r="A5" s="62" t="s">
        <v>77</v>
      </c>
      <c r="B5" s="62" t="s">
        <v>77</v>
      </c>
      <c r="C5" s="13" t="s">
        <v>70</v>
      </c>
      <c r="D5" s="13" t="s">
        <v>71</v>
      </c>
      <c r="E5" s="13" t="s">
        <v>124</v>
      </c>
      <c r="F5" s="62">
        <v>24132</v>
      </c>
      <c r="G5" s="62" t="s">
        <v>73</v>
      </c>
      <c r="H5" s="63" t="s">
        <v>110</v>
      </c>
      <c r="I5" s="69">
        <v>158.5</v>
      </c>
      <c r="J5" s="12" t="s">
        <v>18</v>
      </c>
      <c r="K5" s="34">
        <f>I5*0.05</f>
        <v>7.9250000000000007</v>
      </c>
      <c r="L5" s="66" t="s">
        <v>123</v>
      </c>
      <c r="M5" s="67"/>
      <c r="N5" s="67"/>
      <c r="O5" s="67"/>
      <c r="P5" s="68"/>
      <c r="Q5" s="30"/>
      <c r="R5" s="35"/>
      <c r="S5" s="35"/>
      <c r="T5" s="66"/>
      <c r="U5" s="66"/>
      <c r="V5" s="66" t="s">
        <v>92</v>
      </c>
      <c r="W5" s="64" t="s">
        <v>29</v>
      </c>
      <c r="X5" s="27" t="s">
        <v>140</v>
      </c>
    </row>
  </sheetData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未回款</vt:lpstr>
      <vt:lpstr>已回款</vt:lpstr>
      <vt:lpstr>已扣款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2026-04-10T01:36:59Z</dcterms:modified>
</cp:coreProperties>
</file>