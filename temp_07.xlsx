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328EAC1-5838-4509-9512-8B74D358D89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Sheet2!$A$2:$X$43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3" i="2" l="1"/>
  <c r="R43" i="2"/>
  <c r="Q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Q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预计合同额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万变更为</t>
        </r>
        <r>
          <rPr>
            <sz val="9"/>
            <color indexed="81"/>
            <rFont val="Tahoma"/>
            <family val="2"/>
          </rPr>
          <t>13.2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R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硬件成为本由</t>
        </r>
        <r>
          <rPr>
            <sz val="9"/>
            <color indexed="81"/>
            <rFont val="Tahoma"/>
            <family val="2"/>
          </rPr>
          <t>0.1</t>
        </r>
        <r>
          <rPr>
            <sz val="9"/>
            <color indexed="81"/>
            <rFont val="宋体"/>
            <family val="3"/>
            <charset val="134"/>
          </rPr>
          <t>万元增加为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</commentList>
</comments>
</file>

<file path=xl/sharedStrings.xml><?xml version="1.0" encoding="utf-8"?>
<sst xmlns="http://schemas.openxmlformats.org/spreadsheetml/2006/main" count="709" uniqueCount="226">
  <si>
    <t>ZFMD/KGSQ-17023</t>
  </si>
  <si>
    <t>中广核</t>
  </si>
  <si>
    <t>ZFMD/KGSQ-17030</t>
  </si>
  <si>
    <t>开工申请编号</t>
    <phoneticPr fontId="2" type="noConversion"/>
  </si>
  <si>
    <t>序号</t>
  </si>
  <si>
    <t>中水建设</t>
  </si>
  <si>
    <t>华电</t>
  </si>
  <si>
    <t>产品线</t>
    <phoneticPr fontId="1" type="noConversion"/>
  </si>
  <si>
    <t>销售经理</t>
    <phoneticPr fontId="1" type="noConversion"/>
  </si>
  <si>
    <t>/</t>
    <phoneticPr fontId="1" type="noConversion"/>
  </si>
  <si>
    <t>预计成本</t>
    <phoneticPr fontId="1" type="noConversion"/>
  </si>
  <si>
    <t>ZFMD/KGSQ-17093</t>
  </si>
  <si>
    <t>ZFMD/KGSQ-17094</t>
  </si>
  <si>
    <t>风电功率预测</t>
  </si>
  <si>
    <t>预测服务1年</t>
  </si>
  <si>
    <t>开工变更申请表编号</t>
    <phoneticPr fontId="1" type="noConversion"/>
  </si>
  <si>
    <t>开工申请
流转时间</t>
    <phoneticPr fontId="1" type="noConversion"/>
  </si>
  <si>
    <t>黑龙江</t>
    <phoneticPr fontId="2" type="noConversion"/>
  </si>
  <si>
    <t>/</t>
    <phoneticPr fontId="1" type="noConversion"/>
  </si>
  <si>
    <t>风电功率预测</t>
    <phoneticPr fontId="2" type="noConversion"/>
  </si>
  <si>
    <t>辽宁</t>
    <phoneticPr fontId="2" type="noConversion"/>
  </si>
  <si>
    <t>韩志宇</t>
    <phoneticPr fontId="1" type="noConversion"/>
  </si>
  <si>
    <t>李妍</t>
    <phoneticPr fontId="1" type="noConversion"/>
  </si>
  <si>
    <t>马梦迪</t>
    <phoneticPr fontId="2" type="noConversion"/>
  </si>
  <si>
    <t>软件升级理论功率上传</t>
    <phoneticPr fontId="2" type="noConversion"/>
  </si>
  <si>
    <t>大庆大丰</t>
    <phoneticPr fontId="2" type="noConversion"/>
  </si>
  <si>
    <t>软件升级理论功率上传</t>
    <phoneticPr fontId="2" type="noConversion"/>
  </si>
  <si>
    <t>韩志宇</t>
    <phoneticPr fontId="2" type="noConversion"/>
  </si>
  <si>
    <t>ZFMD/KGSQ-17030-BG01</t>
    <phoneticPr fontId="1" type="noConversion"/>
  </si>
  <si>
    <t>光伏功率预测</t>
    <phoneticPr fontId="2" type="noConversion"/>
  </si>
  <si>
    <t>王国先</t>
    <phoneticPr fontId="2" type="noConversion"/>
  </si>
  <si>
    <t>/</t>
    <phoneticPr fontId="1" type="noConversion"/>
  </si>
  <si>
    <t>ZFMD/SD-18018-1-SH
ZFMD/SD-18018-2-SH
ZFMD/SD-18018-3-SH</t>
    <phoneticPr fontId="1" type="noConversion"/>
  </si>
  <si>
    <t>黑龙江</t>
    <phoneticPr fontId="1" type="noConversion"/>
  </si>
  <si>
    <t>风电功率预测</t>
    <phoneticPr fontId="1" type="noConversion"/>
  </si>
  <si>
    <t>合计</t>
    <phoneticPr fontId="1" type="noConversion"/>
  </si>
  <si>
    <t>项目交底会
时间</t>
    <phoneticPr fontId="1" type="noConversion"/>
  </si>
  <si>
    <t>场站类型</t>
    <phoneticPr fontId="1" type="noConversion"/>
  </si>
  <si>
    <t>省（区）</t>
    <phoneticPr fontId="1" type="noConversion"/>
  </si>
  <si>
    <t>开工项目内容</t>
    <phoneticPr fontId="1" type="noConversion"/>
  </si>
  <si>
    <t>预计合同金额</t>
    <phoneticPr fontId="1" type="noConversion"/>
  </si>
  <si>
    <t>实际合同金额</t>
    <phoneticPr fontId="1" type="noConversion"/>
  </si>
  <si>
    <t>开工申请登记台账</t>
    <phoneticPr fontId="1" type="noConversion"/>
  </si>
  <si>
    <t>中广核</t>
    <phoneticPr fontId="1" type="noConversion"/>
  </si>
  <si>
    <t>吉林</t>
    <phoneticPr fontId="1" type="noConversion"/>
  </si>
  <si>
    <t>风电场</t>
    <phoneticPr fontId="1" type="noConversion"/>
  </si>
  <si>
    <t>/</t>
    <phoneticPr fontId="1" type="noConversion"/>
  </si>
  <si>
    <t>集团</t>
    <phoneticPr fontId="1" type="noConversion"/>
  </si>
  <si>
    <t>ZFMD/SD-18054-SH</t>
    <phoneticPr fontId="2" type="noConversion"/>
  </si>
  <si>
    <t>新疆</t>
    <phoneticPr fontId="1" type="noConversion"/>
  </si>
  <si>
    <t>对应合同编号</t>
    <phoneticPr fontId="1" type="noConversion"/>
  </si>
  <si>
    <t>开工申请
取消时间</t>
    <phoneticPr fontId="1" type="noConversion"/>
  </si>
  <si>
    <t>备注</t>
    <phoneticPr fontId="1" type="noConversion"/>
  </si>
  <si>
    <t>是否发生成本费用</t>
    <phoneticPr fontId="1" type="noConversion"/>
  </si>
  <si>
    <t>成本费用处理</t>
    <phoneticPr fontId="1" type="noConversion"/>
  </si>
  <si>
    <t>未流转</t>
    <phoneticPr fontId="1" type="noConversion"/>
  </si>
  <si>
    <t>否</t>
    <phoneticPr fontId="1" type="noConversion"/>
  </si>
  <si>
    <t>无</t>
    <phoneticPr fontId="1" type="noConversion"/>
  </si>
  <si>
    <t>2018.7.16</t>
    <phoneticPr fontId="1" type="noConversion"/>
  </si>
  <si>
    <t>华能</t>
    <phoneticPr fontId="1" type="noConversion"/>
  </si>
  <si>
    <t>2018.8.2</t>
    <phoneticPr fontId="1" type="noConversion"/>
  </si>
  <si>
    <t>王星</t>
    <phoneticPr fontId="1" type="noConversion"/>
  </si>
  <si>
    <t>短期软件；超短期软件；系统硬件；预测服务2年</t>
    <phoneticPr fontId="1" type="noConversion"/>
  </si>
  <si>
    <t>短期软件；超短期软件；系统硬件；预测服务6个月</t>
    <phoneticPr fontId="1" type="noConversion"/>
  </si>
  <si>
    <t>ZFMD/SD-18199-SH</t>
  </si>
  <si>
    <t>到货时间</t>
    <phoneticPr fontId="1" type="noConversion"/>
  </si>
  <si>
    <t>验收时间</t>
    <phoneticPr fontId="1" type="noConversion"/>
  </si>
  <si>
    <t>场站名称</t>
    <phoneticPr fontId="1" type="noConversion"/>
  </si>
  <si>
    <t>交付部门</t>
    <phoneticPr fontId="1" type="noConversion"/>
  </si>
  <si>
    <t>项目经理</t>
    <phoneticPr fontId="1" type="noConversion"/>
  </si>
  <si>
    <t>工程项目部</t>
    <phoneticPr fontId="1" type="noConversion"/>
  </si>
  <si>
    <t>ZFMD/KGSQ-25071</t>
  </si>
  <si>
    <t>ZFMD/KGSQ-25072</t>
  </si>
  <si>
    <t>ZFMD/KGSQ-25073</t>
  </si>
  <si>
    <t>2025.12.26</t>
    <phoneticPr fontId="1" type="noConversion"/>
  </si>
  <si>
    <t>ZFMD/KGSQ-26001</t>
    <phoneticPr fontId="1" type="noConversion"/>
  </si>
  <si>
    <t>2026.1.17</t>
    <phoneticPr fontId="1" type="noConversion"/>
  </si>
  <si>
    <t>国家能源</t>
    <phoneticPr fontId="1" type="noConversion"/>
  </si>
  <si>
    <t>ZFMD/SD-26014-SH</t>
  </si>
  <si>
    <t>2026.2.7</t>
    <phoneticPr fontId="1" type="noConversion"/>
  </si>
  <si>
    <t>2026.1.15</t>
    <phoneticPr fontId="1" type="noConversion"/>
  </si>
  <si>
    <t>ZFMD/KGSQ-26002</t>
  </si>
  <si>
    <t>2026.3.25</t>
    <phoneticPr fontId="1" type="noConversion"/>
  </si>
  <si>
    <t>短期软件；超短期软件；系统硬件；软件升级；预测服务1年</t>
    <phoneticPr fontId="1" type="noConversion"/>
  </si>
  <si>
    <t>ZFMD/KGSQ-26002-BG01</t>
    <phoneticPr fontId="1" type="noConversion"/>
  </si>
  <si>
    <t>A</t>
    <phoneticPr fontId="2" type="noConversion"/>
  </si>
  <si>
    <t>B</t>
    <phoneticPr fontId="2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</si>
  <si>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</si>
  <si>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</si>
  <si>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</si>
  <si>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</si>
  <si>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J</t>
    <phoneticPr fontId="1" type="noConversion"/>
  </si>
  <si>
    <t>H</t>
    <phoneticPr fontId="1" type="noConversion"/>
  </si>
  <si>
    <t>I</t>
    <phoneticPr fontId="1" type="noConversion"/>
  </si>
  <si>
    <t>ZFMD/KGSQ-22031</t>
  </si>
  <si>
    <t>ZFMD/SD-22159-2-SH</t>
  </si>
  <si>
    <t>2022.9.16</t>
    <phoneticPr fontId="1" type="noConversion"/>
  </si>
  <si>
    <t>华电</t>
    <phoneticPr fontId="1" type="noConversion"/>
  </si>
  <si>
    <t>白杨沟110KV</t>
    <phoneticPr fontId="1" type="noConversion"/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</si>
  <si>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</si>
  <si>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ZFMD/KGSQ-22032</t>
  </si>
  <si>
    <t>ZFMD/KGSQ-22032-BG01</t>
    <phoneticPr fontId="1" type="noConversion"/>
  </si>
  <si>
    <t>ZFMD/SD-22159-3-SH</t>
  </si>
  <si>
    <t>木垒35KV</t>
    <phoneticPr fontId="1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</si>
  <si>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</si>
  <si>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ZFMD/KGSQ-22033</t>
  </si>
  <si>
    <t>ZFMD/KGSQ-22033-BG01</t>
    <phoneticPr fontId="1" type="noConversion"/>
  </si>
  <si>
    <t>ZFMD/SD-22159-4-SH</t>
  </si>
  <si>
    <t>木垒110KV</t>
  </si>
  <si>
    <t>ZFMD/KGSQ-22034</t>
  </si>
  <si>
    <t>ZFMD/SD-22159-5-SH</t>
  </si>
  <si>
    <t>塔城托里</t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</si>
  <si>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</si>
  <si>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ZFMD/KGSQ-22035</t>
  </si>
  <si>
    <t>ZFMD/SD-22159-6-SH</t>
  </si>
  <si>
    <t>托里乡110KV</t>
  </si>
  <si>
    <t>ZFMD/KGSQ-22036</t>
  </si>
  <si>
    <t>ZFMD/SD-22159-7-SH</t>
  </si>
  <si>
    <t>西山35KV</t>
  </si>
  <si>
    <t>ZFMD/KGSQ-22037</t>
  </si>
  <si>
    <t>ZFMD/SD-22159-8-SH</t>
  </si>
  <si>
    <t>西山110KV</t>
  </si>
  <si>
    <t>ZFMD/KGSQ-22038</t>
  </si>
  <si>
    <t>ZFMD/SD-22159-9-SH</t>
  </si>
  <si>
    <t>盐湖南110KV</t>
  </si>
  <si>
    <t>ZFMD/KGSQ-22039</t>
  </si>
  <si>
    <t>ZFMD/SD-22139-SH</t>
  </si>
  <si>
    <t>2022.9.23</t>
    <phoneticPr fontId="1" type="noConversion"/>
  </si>
  <si>
    <t>望洋台</t>
    <phoneticPr fontId="1" type="noConversion"/>
  </si>
  <si>
    <t>短期软件；超短期软件；系统硬件；测风塔；测风塔设备；预测服务1年</t>
    <phoneticPr fontId="1" type="noConversion"/>
  </si>
  <si>
    <t>ZFMD/KGSQ-22040</t>
  </si>
  <si>
    <t>2023.3.7</t>
    <phoneticPr fontId="1" type="noConversion"/>
  </si>
  <si>
    <t>2022.9.29</t>
    <phoneticPr fontId="1" type="noConversion"/>
  </si>
  <si>
    <t>五大连池</t>
    <phoneticPr fontId="1" type="noConversion"/>
  </si>
  <si>
    <t>测风塔；测风塔设备</t>
    <phoneticPr fontId="1" type="noConversion"/>
  </si>
  <si>
    <t>ZFMD/KGSQ-22041</t>
  </si>
  <si>
    <t>ZFMD/SD-23088-SH</t>
  </si>
  <si>
    <t>2022.10.19</t>
    <phoneticPr fontId="1" type="noConversion"/>
  </si>
  <si>
    <t>大唐</t>
    <phoneticPr fontId="1" type="noConversion"/>
  </si>
  <si>
    <t>孙吴</t>
    <phoneticPr fontId="1" type="noConversion"/>
  </si>
  <si>
    <t>短期软件；超短期软件；系统硬件；测风塔；测风塔设备；预测服务2年</t>
    <phoneticPr fontId="1" type="noConversion"/>
  </si>
  <si>
    <t>ZFMD/KGSQ-22042</t>
  </si>
  <si>
    <t>西沟三期</t>
    <phoneticPr fontId="1" type="noConversion"/>
  </si>
  <si>
    <t>短期软件；超短期软件；系统硬件；预测服务1年</t>
    <phoneticPr fontId="1" type="noConversion"/>
  </si>
  <si>
    <t>2022.12.30</t>
    <phoneticPr fontId="1" type="noConversion"/>
  </si>
  <si>
    <t>ZFMD/KGSQ-22043</t>
  </si>
  <si>
    <t>ZFMD/KGSQ-22043-BG01</t>
    <phoneticPr fontId="1" type="noConversion"/>
  </si>
  <si>
    <t>ZFMD/SD-23177-SH</t>
  </si>
  <si>
    <t>2022.10.20</t>
    <phoneticPr fontId="1" type="noConversion"/>
  </si>
  <si>
    <t>轮台100MW光伏项目</t>
    <phoneticPr fontId="1" type="noConversion"/>
  </si>
  <si>
    <t>光伏电站</t>
    <phoneticPr fontId="1" type="noConversion"/>
  </si>
  <si>
    <t>光伏功率预测</t>
    <phoneticPr fontId="1" type="noConversion"/>
  </si>
  <si>
    <t>短期软件；超短期软件；系统硬件；光伏气象站；光伏气象站设备；预测服务1年</t>
    <phoneticPr fontId="1" type="noConversion"/>
  </si>
  <si>
    <t>2023.10.18</t>
    <phoneticPr fontId="1" type="noConversion"/>
  </si>
  <si>
    <t>2024.3.21</t>
    <phoneticPr fontId="1" type="noConversion"/>
  </si>
  <si>
    <t>ZFMD/KGSQ-22044</t>
    <phoneticPr fontId="1" type="noConversion"/>
  </si>
  <si>
    <t>ZFMD/KGSQ-22044-BG01</t>
    <phoneticPr fontId="1" type="noConversion"/>
  </si>
  <si>
    <t>库车牙哈220kV升压汇集站</t>
    <phoneticPr fontId="1" type="noConversion"/>
  </si>
  <si>
    <t>2023.9.17</t>
    <phoneticPr fontId="1" type="noConversion"/>
  </si>
  <si>
    <t>2023.9.15</t>
    <phoneticPr fontId="1" type="noConversion"/>
  </si>
  <si>
    <t>ZFMD/KGSQ-22045</t>
  </si>
  <si>
    <t>ZFMD/SD-23006-SH</t>
    <phoneticPr fontId="1" type="noConversion"/>
  </si>
  <si>
    <t>2022.10.31</t>
    <phoneticPr fontId="1" type="noConversion"/>
  </si>
  <si>
    <t>场站视频监控</t>
    <phoneticPr fontId="1" type="noConversion"/>
  </si>
  <si>
    <t>风机视频监控系统</t>
    <phoneticPr fontId="1" type="noConversion"/>
  </si>
  <si>
    <t>ZFMD/KGSQ-22046</t>
  </si>
  <si>
    <t>ZFMD/KGSQ-22046-BG01</t>
    <phoneticPr fontId="1" type="noConversion"/>
  </si>
  <si>
    <t>ZFMD/SD-24072-5-SH</t>
  </si>
  <si>
    <t>2022.11.29</t>
    <phoneticPr fontId="1" type="noConversion"/>
  </si>
  <si>
    <t>长荣（大庆经开区）</t>
    <phoneticPr fontId="1" type="noConversion"/>
  </si>
  <si>
    <t>短期软件；超短期软件；预测服务1年</t>
    <phoneticPr fontId="1" type="noConversion"/>
  </si>
  <si>
    <t>郭文明</t>
    <phoneticPr fontId="1" type="noConversion"/>
  </si>
  <si>
    <t>2023.3.13</t>
    <phoneticPr fontId="1" type="noConversion"/>
  </si>
  <si>
    <t>ZFMD/KGSQ-22047</t>
  </si>
  <si>
    <t>ZFMD/SD-23008-SH</t>
  </si>
  <si>
    <t>2022.12.5</t>
    <phoneticPr fontId="1" type="noConversion"/>
  </si>
  <si>
    <t>福建</t>
    <phoneticPr fontId="1" type="noConversion"/>
  </si>
  <si>
    <t>中电建</t>
    <phoneticPr fontId="1" type="noConversion"/>
  </si>
  <si>
    <t>泮阳</t>
    <phoneticPr fontId="1" type="noConversion"/>
  </si>
  <si>
    <t>短期软件；超短期软件；系统硬件；预测服务1年；福建风电场理论功率上传软件</t>
    <phoneticPr fontId="1" type="noConversion"/>
  </si>
  <si>
    <t>秦英飞</t>
    <phoneticPr fontId="1" type="noConversion"/>
  </si>
  <si>
    <t>ZFMD/KGSQ-22048</t>
  </si>
  <si>
    <t>ZFMD/SD-23007-SH</t>
  </si>
  <si>
    <t>三峡新能源</t>
    <phoneticPr fontId="1" type="noConversion"/>
  </si>
  <si>
    <t>大个岭</t>
    <phoneticPr fontId="1" type="noConversion"/>
  </si>
  <si>
    <t>电力通讯</t>
    <phoneticPr fontId="1" type="noConversion"/>
  </si>
  <si>
    <t>黑龙江风电场综合通讯管理系统软件；系统硬件</t>
    <phoneticPr fontId="1" type="noConversion"/>
  </si>
  <si>
    <t>ZFMD/KGSQ-23001</t>
    <phoneticPr fontId="1" type="noConversion"/>
  </si>
  <si>
    <t>ZFMD/SD-24072-4-SH</t>
  </si>
  <si>
    <t>2023.3.24</t>
    <phoneticPr fontId="1" type="noConversion"/>
  </si>
  <si>
    <t>长丰</t>
    <phoneticPr fontId="1" type="noConversion"/>
  </si>
  <si>
    <t>2023.6.9</t>
    <phoneticPr fontId="1" type="noConversion"/>
  </si>
  <si>
    <t>ZFMD/KGSQ-23002</t>
  </si>
  <si>
    <t>2023.4.21</t>
    <phoneticPr fontId="1" type="noConversion"/>
  </si>
  <si>
    <t>和平</t>
    <phoneticPr fontId="1" type="noConversion"/>
  </si>
  <si>
    <t>测风塔</t>
    <phoneticPr fontId="1" type="noConversion"/>
  </si>
  <si>
    <t>段洪宇</t>
    <phoneticPr fontId="1" type="noConversion"/>
  </si>
  <si>
    <t>开工取消</t>
    <phoneticPr fontId="1" type="noConversion"/>
  </si>
  <si>
    <t>ZFMD/KGSQ-23003</t>
  </si>
  <si>
    <t>ZFMD/SD-23060-1-SH</t>
    <phoneticPr fontId="1" type="noConversion"/>
  </si>
  <si>
    <t>2023.5.18</t>
    <phoneticPr fontId="1" type="noConversion"/>
  </si>
  <si>
    <t>福能</t>
    <phoneticPr fontId="1" type="noConversion"/>
  </si>
  <si>
    <t>龙下</t>
    <phoneticPr fontId="1" type="noConversion"/>
  </si>
  <si>
    <t>ZFMD/KGSQ-23004</t>
  </si>
  <si>
    <t>ZFMD/SD-23060-2-SH</t>
    <phoneticPr fontId="1" type="noConversion"/>
  </si>
  <si>
    <t>风资源评估</t>
    <phoneticPr fontId="1" type="noConversion"/>
  </si>
  <si>
    <t>风机运行评估系统</t>
    <phoneticPr fontId="1" type="noConversion"/>
  </si>
  <si>
    <t>ZFMD/KGSQ-23005</t>
  </si>
  <si>
    <t>ZFMD/SD-23060-3-SH</t>
    <phoneticPr fontId="1" type="noConversion"/>
  </si>
  <si>
    <t>福建风电场D5000二区软件；福建风电场理论功率上传软件</t>
    <phoneticPr fontId="1" type="noConversion"/>
  </si>
  <si>
    <t>ZFMD/KGSQ-23006</t>
  </si>
  <si>
    <t>ZFMD/SD-23067-SH</t>
    <phoneticPr fontId="1" type="noConversion"/>
  </si>
  <si>
    <t>2023.5.22</t>
    <phoneticPr fontId="1" type="noConversion"/>
  </si>
  <si>
    <t>省山</t>
    <phoneticPr fontId="1" type="noConversion"/>
  </si>
  <si>
    <t>软件升级（换linux系统）；系统硬件</t>
  </si>
  <si>
    <t>ZFMD/KGSQ-23007</t>
  </si>
  <si>
    <t>ZFMD/KGSQ-23007-BG01</t>
    <phoneticPr fontId="1" type="noConversion"/>
  </si>
  <si>
    <t>ZFMD/SD-23068-SH</t>
    <phoneticPr fontId="1" type="noConversion"/>
  </si>
  <si>
    <t>石塘</t>
    <phoneticPr fontId="1" type="noConversion"/>
  </si>
  <si>
    <t>ZFMD/KGSQ-23008</t>
  </si>
  <si>
    <t>ZFMD/SD-23066-SH</t>
    <phoneticPr fontId="1" type="noConversion"/>
  </si>
  <si>
    <t>隆教</t>
    <phoneticPr fontId="1" type="noConversion"/>
  </si>
  <si>
    <t>ZFMD/KGSQ-23009</t>
  </si>
  <si>
    <t>2023.6.10</t>
    <phoneticPr fontId="1" type="noConversion"/>
  </si>
  <si>
    <t>西沟二期</t>
    <phoneticPr fontId="1" type="noConversion"/>
  </si>
  <si>
    <t>软件升级（更换国产操作系统）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</si>
</sst>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000_);[Red]\(0.0000\)"/>
    <numFmt numFmtId="178" formatCode="0.000000_);[Red]\(0.000000\)"/>
  </numFmts>
  <fonts count="1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9" fillId="0" borderId="0"/>
  </cellStyleXfs>
  <cellXfs count="42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176" fontId="10" fillId="2" borderId="1" xfId="1" applyNumberFormat="1" applyFont="1" applyFill="1" applyBorder="1" applyAlignment="1">
      <alignment horizontal="center" vertical="center" wrapText="1" shrinkToFit="1"/>
    </xf>
    <xf numFmtId="176" fontId="11" fillId="2" borderId="1" xfId="1" applyNumberFormat="1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 shrinkToFit="1"/>
    </xf>
    <xf numFmtId="176" fontId="2" fillId="0" borderId="1" xfId="1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10" fillId="0" borderId="1" xfId="0" applyNumberFormat="1" applyFont="1" applyBorder="1" applyAlignment="1">
      <alignment horizontal="right" vertical="center" wrapText="1"/>
    </xf>
    <xf numFmtId="177" fontId="4" fillId="0" borderId="0" xfId="0" applyNumberFormat="1" applyFont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 vertical="center" wrapText="1"/>
    </xf>
    <xf numFmtId="177" fontId="10" fillId="0" borderId="1" xfId="0" applyNumberFormat="1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2" fillId="3" borderId="3" xfId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right" vertical="center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2" sqref="A12:XFD38"/>
    </sheetView>
  </sheetViews>
  <sheetFormatPr defaultColWidth="9" defaultRowHeight="31.9" customHeight="1" x14ac:dyDescent="0.15"/>
  <cols>
    <col min="1" max="1" width="9" style="2"/>
    <col min="2" max="2" width="14.25" style="2" customWidth="1"/>
    <col min="3" max="3" width="18.125" style="2" customWidth="1"/>
    <col min="4" max="4" width="15" style="2" customWidth="1"/>
    <col min="5" max="6" width="10.25" style="2" customWidth="1"/>
    <col min="7" max="7" width="14.125" style="2" customWidth="1"/>
    <col min="8" max="8" width="10.25" style="2" customWidth="1"/>
    <col min="9" max="9" width="8.75" style="2" bestFit="1" customWidth="1"/>
    <col min="10" max="10" width="9" style="2" bestFit="1" customWidth="1"/>
    <col min="11" max="11" width="24.75" style="2" bestFit="1" customWidth="1"/>
    <col min="12" max="12" width="9.5" style="2" customWidth="1"/>
    <col min="13" max="13" width="15.625" style="2" customWidth="1"/>
    <col min="14" max="14" width="29.5" style="10" customWidth="1"/>
    <col min="15" max="15" width="9.625" style="2" customWidth="1"/>
    <col min="16" max="16" width="10.375" style="34" customWidth="1"/>
    <col min="17" max="19" width="11.75" style="25" customWidth="1"/>
    <col min="20" max="20" width="22.75" style="29" customWidth="1"/>
    <col min="21" max="21" width="9.875" style="2" customWidth="1"/>
    <col min="22" max="16384" width="9" style="2"/>
  </cols>
  <sheetData>
    <row r="1" spans="1:24" s="11" customFormat="1" ht="31.9" customHeight="1" x14ac:dyDescent="0.15">
      <c r="A1" s="39" t="s">
        <v>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4" s="6" customFormat="1" ht="24.95" customHeight="1" x14ac:dyDescent="0.15">
      <c r="A2" s="3" t="s">
        <v>4</v>
      </c>
      <c r="B2" s="4" t="s">
        <v>3</v>
      </c>
      <c r="C2" s="4" t="s">
        <v>15</v>
      </c>
      <c r="D2" s="4" t="s">
        <v>50</v>
      </c>
      <c r="E2" s="4" t="s">
        <v>51</v>
      </c>
      <c r="F2" s="4" t="s">
        <v>53</v>
      </c>
      <c r="G2" s="4" t="s">
        <v>54</v>
      </c>
      <c r="H2" s="4" t="s">
        <v>16</v>
      </c>
      <c r="I2" s="4" t="s">
        <v>38</v>
      </c>
      <c r="J2" s="4" t="s">
        <v>47</v>
      </c>
      <c r="K2" s="4" t="s">
        <v>67</v>
      </c>
      <c r="L2" s="4" t="s">
        <v>37</v>
      </c>
      <c r="M2" s="4" t="s">
        <v>7</v>
      </c>
      <c r="N2" s="5" t="s">
        <v>39</v>
      </c>
      <c r="O2" s="5" t="s">
        <v>8</v>
      </c>
      <c r="P2" s="5" t="s">
        <v>36</v>
      </c>
      <c r="Q2" s="5" t="s">
        <v>40</v>
      </c>
      <c r="R2" s="5" t="s">
        <v>10</v>
      </c>
      <c r="S2" s="5" t="s">
        <v>41</v>
      </c>
      <c r="T2" s="5" t="s">
        <v>52</v>
      </c>
      <c r="U2" s="5" t="s">
        <v>68</v>
      </c>
      <c r="V2" s="5" t="s">
        <v>69</v>
      </c>
      <c r="W2" s="5" t="s">
        <v>65</v>
      </c>
      <c r="X2" s="5" t="s">
        <v>66</v>
      </c>
    </row>
    <row r="3" spans="1:24" s="6" customFormat="1" ht="24.95" customHeight="1" x14ac:dyDescent="0.15">
      <c r="A3" s="12">
        <v>100</v>
      </c>
      <c r="B3" s="15" t="s">
        <v>0</v>
      </c>
      <c r="C3" s="1" t="s">
        <v>18</v>
      </c>
      <c r="D3" s="1" t="s">
        <v>18</v>
      </c>
      <c r="E3" s="1" t="s">
        <v>58</v>
      </c>
      <c r="F3" s="1" t="s">
        <v>56</v>
      </c>
      <c r="G3" s="1" t="s">
        <v>57</v>
      </c>
      <c r="H3" s="1" t="s">
        <v>55</v>
      </c>
      <c r="I3" s="15" t="s">
        <v>17</v>
      </c>
      <c r="J3" s="15" t="s">
        <v>25</v>
      </c>
      <c r="K3" s="16" t="s">
        <v>85</v>
      </c>
      <c r="L3" s="1" t="s">
        <v>9</v>
      </c>
      <c r="M3" s="14" t="s">
        <v>19</v>
      </c>
      <c r="N3" s="21" t="s">
        <v>24</v>
      </c>
      <c r="O3" s="15" t="s">
        <v>23</v>
      </c>
      <c r="P3" s="32" t="s">
        <v>46</v>
      </c>
      <c r="Q3" s="23">
        <v>10</v>
      </c>
      <c r="R3" s="23">
        <v>0.1</v>
      </c>
      <c r="S3" s="23"/>
      <c r="T3" s="27"/>
      <c r="U3" s="1" t="s">
        <v>9</v>
      </c>
      <c r="V3" s="1" t="s">
        <v>9</v>
      </c>
      <c r="W3" s="1" t="s">
        <v>9</v>
      </c>
      <c r="X3" s="1" t="s">
        <v>9</v>
      </c>
    </row>
    <row r="4" spans="1:24" s="6" customFormat="1" ht="24.95" customHeight="1" x14ac:dyDescent="0.15">
      <c r="A4" s="12">
        <v>107</v>
      </c>
      <c r="B4" s="15" t="s">
        <v>2</v>
      </c>
      <c r="C4" s="15" t="s">
        <v>28</v>
      </c>
      <c r="D4" s="26" t="s">
        <v>48</v>
      </c>
      <c r="E4" s="1" t="s">
        <v>9</v>
      </c>
      <c r="F4" s="1" t="s">
        <v>9</v>
      </c>
      <c r="G4" s="1" t="s">
        <v>9</v>
      </c>
      <c r="H4" s="1" t="s">
        <v>9</v>
      </c>
      <c r="I4" s="15" t="s">
        <v>17</v>
      </c>
      <c r="J4" s="15" t="s">
        <v>1</v>
      </c>
      <c r="K4" s="15" t="s">
        <v>86</v>
      </c>
      <c r="L4" s="1" t="s">
        <v>9</v>
      </c>
      <c r="M4" s="14" t="s">
        <v>29</v>
      </c>
      <c r="N4" s="21" t="s">
        <v>26</v>
      </c>
      <c r="O4" s="15" t="s">
        <v>27</v>
      </c>
      <c r="P4" s="32" t="s">
        <v>60</v>
      </c>
      <c r="Q4" s="23">
        <v>13.2</v>
      </c>
      <c r="R4" s="23">
        <v>1.5</v>
      </c>
      <c r="S4" s="23">
        <v>13.2</v>
      </c>
      <c r="T4" s="27"/>
      <c r="U4" s="1" t="s">
        <v>9</v>
      </c>
      <c r="V4" s="1" t="s">
        <v>9</v>
      </c>
      <c r="W4" s="1" t="s">
        <v>9</v>
      </c>
      <c r="X4" s="1" t="s">
        <v>9</v>
      </c>
    </row>
    <row r="5" spans="1:24" s="6" customFormat="1" ht="24.95" customHeight="1" x14ac:dyDescent="0.15">
      <c r="A5" s="12">
        <v>170</v>
      </c>
      <c r="B5" s="8" t="s">
        <v>11</v>
      </c>
      <c r="C5" s="7" t="s">
        <v>31</v>
      </c>
      <c r="D5" s="15" t="s">
        <v>32</v>
      </c>
      <c r="E5" s="1" t="s">
        <v>9</v>
      </c>
      <c r="F5" s="1" t="s">
        <v>9</v>
      </c>
      <c r="G5" s="1" t="s">
        <v>9</v>
      </c>
      <c r="H5" s="1" t="s">
        <v>9</v>
      </c>
      <c r="I5" s="13" t="s">
        <v>20</v>
      </c>
      <c r="J5" s="8" t="s">
        <v>5</v>
      </c>
      <c r="K5" s="17" t="s">
        <v>87</v>
      </c>
      <c r="L5" s="1" t="s">
        <v>9</v>
      </c>
      <c r="M5" s="17" t="s">
        <v>13</v>
      </c>
      <c r="N5" s="21" t="s">
        <v>14</v>
      </c>
      <c r="O5" s="8" t="s">
        <v>30</v>
      </c>
      <c r="P5" s="32" t="s">
        <v>46</v>
      </c>
      <c r="Q5" s="18">
        <v>9</v>
      </c>
      <c r="R5" s="18">
        <v>0</v>
      </c>
      <c r="S5" s="23">
        <v>9</v>
      </c>
      <c r="T5" s="27"/>
      <c r="U5" s="1" t="s">
        <v>9</v>
      </c>
      <c r="V5" s="1" t="s">
        <v>9</v>
      </c>
      <c r="W5" s="1" t="s">
        <v>9</v>
      </c>
      <c r="X5" s="1" t="s">
        <v>9</v>
      </c>
    </row>
    <row r="6" spans="1:24" s="6" customFormat="1" ht="24.95" customHeight="1" x14ac:dyDescent="0.15">
      <c r="A6" s="12">
        <v>171</v>
      </c>
      <c r="B6" s="8" t="s">
        <v>12</v>
      </c>
      <c r="C6" s="7" t="s">
        <v>31</v>
      </c>
      <c r="D6" s="12" t="s">
        <v>64</v>
      </c>
      <c r="E6" s="1" t="s">
        <v>9</v>
      </c>
      <c r="F6" s="1" t="s">
        <v>9</v>
      </c>
      <c r="G6" s="1" t="s">
        <v>9</v>
      </c>
      <c r="H6" s="1" t="s">
        <v>9</v>
      </c>
      <c r="I6" s="13" t="s">
        <v>20</v>
      </c>
      <c r="J6" s="8" t="s">
        <v>6</v>
      </c>
      <c r="K6" s="17" t="s">
        <v>88</v>
      </c>
      <c r="L6" s="1" t="s">
        <v>9</v>
      </c>
      <c r="M6" s="17" t="s">
        <v>13</v>
      </c>
      <c r="N6" s="21" t="s">
        <v>14</v>
      </c>
      <c r="O6" s="8" t="s">
        <v>30</v>
      </c>
      <c r="P6" s="32" t="s">
        <v>46</v>
      </c>
      <c r="Q6" s="18">
        <v>17</v>
      </c>
      <c r="R6" s="18">
        <v>0</v>
      </c>
      <c r="S6" s="23"/>
      <c r="T6" s="27"/>
      <c r="U6" s="1" t="s">
        <v>9</v>
      </c>
      <c r="V6" s="1" t="s">
        <v>9</v>
      </c>
      <c r="W6" s="1" t="s">
        <v>9</v>
      </c>
      <c r="X6" s="1" t="s">
        <v>9</v>
      </c>
    </row>
    <row r="7" spans="1:24" s="6" customFormat="1" ht="24.95" customHeight="1" x14ac:dyDescent="0.15">
      <c r="A7" s="12">
        <v>628</v>
      </c>
      <c r="B7" s="7" t="s">
        <v>71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74</v>
      </c>
      <c r="I7" s="1" t="s">
        <v>49</v>
      </c>
      <c r="J7" s="1" t="s">
        <v>59</v>
      </c>
      <c r="K7" s="1" t="s">
        <v>89</v>
      </c>
      <c r="L7" s="1" t="s">
        <v>45</v>
      </c>
      <c r="M7" s="1" t="s">
        <v>34</v>
      </c>
      <c r="N7" s="9" t="s">
        <v>63</v>
      </c>
      <c r="O7" s="1" t="s">
        <v>22</v>
      </c>
      <c r="P7" s="32" t="s">
        <v>9</v>
      </c>
      <c r="Q7" s="35">
        <v>0</v>
      </c>
      <c r="R7" s="35">
        <v>0.87</v>
      </c>
      <c r="S7" s="35"/>
      <c r="T7" s="27"/>
      <c r="U7" s="1" t="s">
        <v>70</v>
      </c>
      <c r="V7" s="1" t="s">
        <v>9</v>
      </c>
      <c r="W7" s="1" t="s">
        <v>80</v>
      </c>
      <c r="X7" s="1" t="s">
        <v>80</v>
      </c>
    </row>
    <row r="8" spans="1:24" s="6" customFormat="1" ht="24.95" customHeight="1" x14ac:dyDescent="0.15">
      <c r="A8" s="12">
        <v>628</v>
      </c>
      <c r="B8" s="7" t="s">
        <v>72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74</v>
      </c>
      <c r="I8" s="1" t="s">
        <v>49</v>
      </c>
      <c r="J8" s="1" t="s">
        <v>59</v>
      </c>
      <c r="K8" s="1" t="s">
        <v>90</v>
      </c>
      <c r="L8" s="1" t="s">
        <v>45</v>
      </c>
      <c r="M8" s="1" t="s">
        <v>34</v>
      </c>
      <c r="N8" s="9" t="s">
        <v>63</v>
      </c>
      <c r="O8" s="1" t="s">
        <v>22</v>
      </c>
      <c r="P8" s="32" t="s">
        <v>9</v>
      </c>
      <c r="Q8" s="35">
        <v>0</v>
      </c>
      <c r="R8" s="35">
        <v>0.87</v>
      </c>
      <c r="S8" s="35"/>
      <c r="T8" s="27"/>
      <c r="U8" s="1" t="s">
        <v>70</v>
      </c>
      <c r="V8" s="1" t="s">
        <v>9</v>
      </c>
      <c r="W8" s="1" t="s">
        <v>79</v>
      </c>
      <c r="X8" s="1" t="s">
        <v>79</v>
      </c>
    </row>
    <row r="9" spans="1:24" s="6" customFormat="1" ht="24.95" customHeight="1" x14ac:dyDescent="0.15">
      <c r="A9" s="12">
        <v>628</v>
      </c>
      <c r="B9" s="7" t="s">
        <v>73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74</v>
      </c>
      <c r="I9" s="1" t="s">
        <v>49</v>
      </c>
      <c r="J9" s="1" t="s">
        <v>59</v>
      </c>
      <c r="K9" s="1" t="s">
        <v>91</v>
      </c>
      <c r="L9" s="1" t="s">
        <v>45</v>
      </c>
      <c r="M9" s="1" t="s">
        <v>34</v>
      </c>
      <c r="N9" s="9" t="s">
        <v>63</v>
      </c>
      <c r="O9" s="1" t="s">
        <v>22</v>
      </c>
      <c r="P9" s="32" t="s">
        <v>9</v>
      </c>
      <c r="Q9" s="35">
        <v>0</v>
      </c>
      <c r="R9" s="35">
        <v>0.87</v>
      </c>
      <c r="S9" s="35"/>
      <c r="T9" s="27"/>
      <c r="U9" s="1" t="s">
        <v>70</v>
      </c>
      <c r="V9" s="1" t="s">
        <v>9</v>
      </c>
      <c r="W9" s="1" t="s">
        <v>79</v>
      </c>
      <c r="X9" s="1" t="s">
        <v>79</v>
      </c>
    </row>
    <row r="10" spans="1:24" s="6" customFormat="1" ht="24.95" customHeight="1" x14ac:dyDescent="0.15">
      <c r="A10" s="12">
        <v>628</v>
      </c>
      <c r="B10" s="7" t="s">
        <v>75</v>
      </c>
      <c r="C10" s="1" t="s">
        <v>9</v>
      </c>
      <c r="D10" s="37" t="s">
        <v>78</v>
      </c>
      <c r="E10" s="1" t="s">
        <v>9</v>
      </c>
      <c r="F10" s="1" t="s">
        <v>9</v>
      </c>
      <c r="G10" s="1" t="s">
        <v>9</v>
      </c>
      <c r="H10" s="1" t="s">
        <v>76</v>
      </c>
      <c r="I10" s="1" t="s">
        <v>44</v>
      </c>
      <c r="J10" s="1" t="s">
        <v>77</v>
      </c>
      <c r="K10" s="1" t="s">
        <v>92</v>
      </c>
      <c r="L10" s="1" t="s">
        <v>45</v>
      </c>
      <c r="M10" s="1" t="s">
        <v>34</v>
      </c>
      <c r="N10" s="9" t="s">
        <v>62</v>
      </c>
      <c r="O10" s="1" t="s">
        <v>61</v>
      </c>
      <c r="P10" s="32" t="s">
        <v>9</v>
      </c>
      <c r="Q10" s="36">
        <v>0</v>
      </c>
      <c r="R10" s="36">
        <v>0</v>
      </c>
      <c r="S10" s="36">
        <v>3</v>
      </c>
      <c r="T10" s="27"/>
      <c r="U10" s="1" t="s">
        <v>70</v>
      </c>
      <c r="V10" s="1" t="s">
        <v>9</v>
      </c>
      <c r="W10" s="1" t="s">
        <v>9</v>
      </c>
      <c r="X10" s="1" t="s">
        <v>9</v>
      </c>
    </row>
    <row r="11" spans="1:24" s="6" customFormat="1" ht="24.95" customHeight="1" x14ac:dyDescent="0.15">
      <c r="A11" s="12">
        <v>628</v>
      </c>
      <c r="B11" s="7" t="s">
        <v>81</v>
      </c>
      <c r="C11" s="7" t="s">
        <v>84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82</v>
      </c>
      <c r="I11" s="1" t="s">
        <v>33</v>
      </c>
      <c r="J11" s="1" t="s">
        <v>43</v>
      </c>
      <c r="K11" s="1" t="s">
        <v>93</v>
      </c>
      <c r="L11" s="1" t="s">
        <v>45</v>
      </c>
      <c r="M11" s="1" t="s">
        <v>34</v>
      </c>
      <c r="N11" s="9" t="s">
        <v>83</v>
      </c>
      <c r="O11" s="1" t="s">
        <v>21</v>
      </c>
      <c r="P11" s="32" t="s">
        <v>9</v>
      </c>
      <c r="Q11" s="38">
        <v>11.1</v>
      </c>
      <c r="R11" s="38">
        <v>4</v>
      </c>
      <c r="S11" s="38"/>
      <c r="T11" s="27"/>
      <c r="U11" s="1" t="s">
        <v>70</v>
      </c>
      <c r="V11" s="1" t="s">
        <v>9</v>
      </c>
      <c r="W11" s="1"/>
      <c r="X11" s="1"/>
    </row>
    <row r="12" spans="1:24" s="6" customFormat="1" ht="24.95" customHeight="1" x14ac:dyDescent="0.15">
      <c r="A12" s="12">
        <v>442</v>
      </c>
      <c r="B12" s="7" t="s">
        <v>94</v>
      </c>
      <c r="C12" s="7" t="s">
        <v>9</v>
      </c>
      <c r="D12" s="40" t="s">
        <v>95</v>
      </c>
      <c r="E12" s="1" t="s">
        <v>9</v>
      </c>
      <c r="F12" s="1" t="s">
        <v>9</v>
      </c>
      <c r="G12" s="1" t="s">
        <v>9</v>
      </c>
      <c r="H12" s="1" t="s">
        <v>96</v>
      </c>
      <c r="I12" s="1" t="s">
        <v>49</v>
      </c>
      <c r="J12" s="1" t="s">
        <v>97</v>
      </c>
      <c r="K12" s="1" t="s">
        <v>98</v>
      </c>
      <c r="L12" s="1" t="s">
        <v>45</v>
      </c>
      <c r="M12" s="1" t="s">
        <v>34</v>
      </c>
      <c r="N12" s="9" t="s">
        <v>99</v>
      </c>
      <c r="O12" s="1" t="s">
        <v>22</v>
      </c>
      <c r="P12" s="1" t="s">
        <v>9</v>
      </c>
      <c r="Q12" s="38">
        <v>38</v>
      </c>
      <c r="R12" s="38">
        <v>19</v>
      </c>
      <c r="S12" s="38">
        <v>34.9</v>
      </c>
      <c r="T12" s="27"/>
      <c r="U12" s="1" t="s">
        <v>9</v>
      </c>
      <c r="V12" s="1" t="s">
        <v>9</v>
      </c>
      <c r="W12" s="1" t="s">
        <v>9</v>
      </c>
      <c r="X12" s="1" t="s">
        <v>9</v>
      </c>
    </row>
    <row r="13" spans="1:24" s="6" customFormat="1" ht="24.95" customHeight="1" x14ac:dyDescent="0.15">
      <c r="A13" s="12">
        <v>443</v>
      </c>
      <c r="B13" s="7" t="s">
        <v>100</v>
      </c>
      <c r="C13" s="7" t="s">
        <v>101</v>
      </c>
      <c r="D13" s="40" t="s">
        <v>102</v>
      </c>
      <c r="E13" s="1" t="s">
        <v>9</v>
      </c>
      <c r="F13" s="1" t="s">
        <v>9</v>
      </c>
      <c r="G13" s="1" t="s">
        <v>9</v>
      </c>
      <c r="H13" s="1" t="s">
        <v>96</v>
      </c>
      <c r="I13" s="1" t="s">
        <v>49</v>
      </c>
      <c r="J13" s="1" t="s">
        <v>97</v>
      </c>
      <c r="K13" s="1" t="s">
        <v>103</v>
      </c>
      <c r="L13" s="1" t="s">
        <v>45</v>
      </c>
      <c r="M13" s="1" t="s">
        <v>34</v>
      </c>
      <c r="N13" s="9" t="s">
        <v>104</v>
      </c>
      <c r="O13" s="1" t="s">
        <v>22</v>
      </c>
      <c r="P13" s="1" t="s">
        <v>9</v>
      </c>
      <c r="Q13" s="38">
        <v>53</v>
      </c>
      <c r="R13" s="38">
        <v>32</v>
      </c>
      <c r="S13" s="38">
        <v>35.799999999999997</v>
      </c>
      <c r="T13" s="27"/>
      <c r="U13" s="1" t="s">
        <v>9</v>
      </c>
      <c r="V13" s="1" t="s">
        <v>9</v>
      </c>
      <c r="W13" s="1" t="s">
        <v>9</v>
      </c>
      <c r="X13" s="1" t="s">
        <v>9</v>
      </c>
    </row>
    <row r="14" spans="1:24" s="6" customFormat="1" ht="24.95" customHeight="1" x14ac:dyDescent="0.15">
      <c r="A14" s="12">
        <v>444</v>
      </c>
      <c r="B14" s="7" t="s">
        <v>105</v>
      </c>
      <c r="C14" s="7" t="s">
        <v>106</v>
      </c>
      <c r="D14" s="40" t="s">
        <v>107</v>
      </c>
      <c r="E14" s="1" t="s">
        <v>9</v>
      </c>
      <c r="F14" s="1" t="s">
        <v>9</v>
      </c>
      <c r="G14" s="1" t="s">
        <v>9</v>
      </c>
      <c r="H14" s="1" t="s">
        <v>96</v>
      </c>
      <c r="I14" s="1" t="s">
        <v>49</v>
      </c>
      <c r="J14" s="1" t="s">
        <v>97</v>
      </c>
      <c r="K14" s="1" t="s">
        <v>108</v>
      </c>
      <c r="L14" s="1" t="s">
        <v>45</v>
      </c>
      <c r="M14" s="1" t="s">
        <v>34</v>
      </c>
      <c r="N14" s="9" t="s">
        <v>104</v>
      </c>
      <c r="O14" s="1" t="s">
        <v>22</v>
      </c>
      <c r="P14" s="1" t="s">
        <v>9</v>
      </c>
      <c r="Q14" s="38">
        <v>51</v>
      </c>
      <c r="R14" s="38">
        <v>30</v>
      </c>
      <c r="S14" s="38">
        <v>35.799999999999997</v>
      </c>
      <c r="T14" s="27"/>
      <c r="U14" s="1" t="s">
        <v>9</v>
      </c>
      <c r="V14" s="1" t="s">
        <v>9</v>
      </c>
      <c r="W14" s="1" t="s">
        <v>9</v>
      </c>
      <c r="X14" s="1" t="s">
        <v>9</v>
      </c>
    </row>
    <row r="15" spans="1:24" s="6" customFormat="1" ht="24.95" customHeight="1" x14ac:dyDescent="0.15">
      <c r="A15" s="12">
        <v>445</v>
      </c>
      <c r="B15" s="7" t="s">
        <v>109</v>
      </c>
      <c r="C15" s="7" t="s">
        <v>9</v>
      </c>
      <c r="D15" s="40" t="s">
        <v>110</v>
      </c>
      <c r="E15" s="1" t="s">
        <v>9</v>
      </c>
      <c r="F15" s="1" t="s">
        <v>9</v>
      </c>
      <c r="G15" s="1" t="s">
        <v>9</v>
      </c>
      <c r="H15" s="1" t="s">
        <v>96</v>
      </c>
      <c r="I15" s="1" t="s">
        <v>49</v>
      </c>
      <c r="J15" s="1" t="s">
        <v>97</v>
      </c>
      <c r="K15" s="1" t="s">
        <v>111</v>
      </c>
      <c r="L15" s="1" t="s">
        <v>45</v>
      </c>
      <c r="M15" s="1" t="s">
        <v>34</v>
      </c>
      <c r="N15" s="9" t="s">
        <v>112</v>
      </c>
      <c r="O15" s="1" t="s">
        <v>22</v>
      </c>
      <c r="P15" s="1" t="s">
        <v>9</v>
      </c>
      <c r="Q15" s="38">
        <v>35</v>
      </c>
      <c r="R15" s="38">
        <v>17</v>
      </c>
      <c r="S15" s="38">
        <v>45.25</v>
      </c>
      <c r="T15" s="27"/>
      <c r="U15" s="1" t="s">
        <v>9</v>
      </c>
      <c r="V15" s="1" t="s">
        <v>9</v>
      </c>
      <c r="W15" s="1" t="s">
        <v>9</v>
      </c>
      <c r="X15" s="1" t="s">
        <v>9</v>
      </c>
    </row>
    <row r="16" spans="1:24" s="6" customFormat="1" ht="24.95" customHeight="1" x14ac:dyDescent="0.15">
      <c r="A16" s="12">
        <v>446</v>
      </c>
      <c r="B16" s="7" t="s">
        <v>113</v>
      </c>
      <c r="C16" s="7" t="s">
        <v>9</v>
      </c>
      <c r="D16" s="40" t="s">
        <v>114</v>
      </c>
      <c r="E16" s="1" t="s">
        <v>9</v>
      </c>
      <c r="F16" s="1" t="s">
        <v>9</v>
      </c>
      <c r="G16" s="1" t="s">
        <v>9</v>
      </c>
      <c r="H16" s="1" t="s">
        <v>96</v>
      </c>
      <c r="I16" s="1" t="s">
        <v>49</v>
      </c>
      <c r="J16" s="1" t="s">
        <v>97</v>
      </c>
      <c r="K16" s="1" t="s">
        <v>115</v>
      </c>
      <c r="L16" s="1" t="s">
        <v>45</v>
      </c>
      <c r="M16" s="1" t="s">
        <v>34</v>
      </c>
      <c r="N16" s="9" t="s">
        <v>99</v>
      </c>
      <c r="O16" s="1" t="s">
        <v>22</v>
      </c>
      <c r="P16" s="1" t="s">
        <v>9</v>
      </c>
      <c r="Q16" s="38">
        <v>37</v>
      </c>
      <c r="R16" s="38">
        <v>18</v>
      </c>
      <c r="S16" s="38">
        <v>34.85</v>
      </c>
      <c r="T16" s="27"/>
      <c r="U16" s="1" t="s">
        <v>9</v>
      </c>
      <c r="V16" s="1" t="s">
        <v>9</v>
      </c>
      <c r="W16" s="1" t="s">
        <v>9</v>
      </c>
      <c r="X16" s="1" t="s">
        <v>9</v>
      </c>
    </row>
    <row r="17" spans="1:24" s="6" customFormat="1" ht="24.95" customHeight="1" x14ac:dyDescent="0.15">
      <c r="A17" s="12">
        <v>447</v>
      </c>
      <c r="B17" s="7" t="s">
        <v>116</v>
      </c>
      <c r="C17" s="7" t="s">
        <v>9</v>
      </c>
      <c r="D17" s="40" t="s">
        <v>117</v>
      </c>
      <c r="E17" s="1" t="s">
        <v>9</v>
      </c>
      <c r="F17" s="1" t="s">
        <v>9</v>
      </c>
      <c r="G17" s="1" t="s">
        <v>9</v>
      </c>
      <c r="H17" s="1" t="s">
        <v>96</v>
      </c>
      <c r="I17" s="1" t="s">
        <v>49</v>
      </c>
      <c r="J17" s="1" t="s">
        <v>97</v>
      </c>
      <c r="K17" s="1" t="s">
        <v>118</v>
      </c>
      <c r="L17" s="1" t="s">
        <v>45</v>
      </c>
      <c r="M17" s="1" t="s">
        <v>34</v>
      </c>
      <c r="N17" s="9" t="s">
        <v>99</v>
      </c>
      <c r="O17" s="1" t="s">
        <v>22</v>
      </c>
      <c r="P17" s="1" t="s">
        <v>9</v>
      </c>
      <c r="Q17" s="38">
        <v>33</v>
      </c>
      <c r="R17" s="38">
        <v>15</v>
      </c>
      <c r="S17" s="38">
        <v>28.85</v>
      </c>
      <c r="T17" s="27"/>
      <c r="U17" s="1" t="s">
        <v>9</v>
      </c>
      <c r="V17" s="1" t="s">
        <v>9</v>
      </c>
      <c r="W17" s="1" t="s">
        <v>9</v>
      </c>
      <c r="X17" s="1" t="s">
        <v>9</v>
      </c>
    </row>
    <row r="18" spans="1:24" s="6" customFormat="1" ht="24.95" customHeight="1" x14ac:dyDescent="0.15">
      <c r="A18" s="12">
        <v>448</v>
      </c>
      <c r="B18" s="7" t="s">
        <v>119</v>
      </c>
      <c r="C18" s="7" t="s">
        <v>9</v>
      </c>
      <c r="D18" s="40" t="s">
        <v>120</v>
      </c>
      <c r="E18" s="1" t="s">
        <v>9</v>
      </c>
      <c r="F18" s="1" t="s">
        <v>9</v>
      </c>
      <c r="G18" s="1" t="s">
        <v>9</v>
      </c>
      <c r="H18" s="1" t="s">
        <v>96</v>
      </c>
      <c r="I18" s="1" t="s">
        <v>49</v>
      </c>
      <c r="J18" s="1" t="s">
        <v>97</v>
      </c>
      <c r="K18" s="1" t="s">
        <v>121</v>
      </c>
      <c r="L18" s="1" t="s">
        <v>45</v>
      </c>
      <c r="M18" s="1" t="s">
        <v>34</v>
      </c>
      <c r="N18" s="9" t="s">
        <v>99</v>
      </c>
      <c r="O18" s="1" t="s">
        <v>22</v>
      </c>
      <c r="P18" s="1" t="s">
        <v>9</v>
      </c>
      <c r="Q18" s="38">
        <v>37</v>
      </c>
      <c r="R18" s="38">
        <v>18</v>
      </c>
      <c r="S18" s="38">
        <v>33.85</v>
      </c>
      <c r="T18" s="27"/>
      <c r="U18" s="1" t="s">
        <v>9</v>
      </c>
      <c r="V18" s="1" t="s">
        <v>9</v>
      </c>
      <c r="W18" s="1" t="s">
        <v>9</v>
      </c>
      <c r="X18" s="1" t="s">
        <v>9</v>
      </c>
    </row>
    <row r="19" spans="1:24" s="6" customFormat="1" ht="24.95" customHeight="1" x14ac:dyDescent="0.15">
      <c r="A19" s="12">
        <v>449</v>
      </c>
      <c r="B19" s="7" t="s">
        <v>122</v>
      </c>
      <c r="C19" s="7" t="s">
        <v>9</v>
      </c>
      <c r="D19" s="40" t="s">
        <v>123</v>
      </c>
      <c r="E19" s="1" t="s">
        <v>9</v>
      </c>
      <c r="F19" s="1" t="s">
        <v>9</v>
      </c>
      <c r="G19" s="1" t="s">
        <v>9</v>
      </c>
      <c r="H19" s="1" t="s">
        <v>96</v>
      </c>
      <c r="I19" s="1" t="s">
        <v>49</v>
      </c>
      <c r="J19" s="1" t="s">
        <v>97</v>
      </c>
      <c r="K19" s="1" t="s">
        <v>124</v>
      </c>
      <c r="L19" s="1" t="s">
        <v>45</v>
      </c>
      <c r="M19" s="1" t="s">
        <v>34</v>
      </c>
      <c r="N19" s="9" t="s">
        <v>99</v>
      </c>
      <c r="O19" s="1" t="s">
        <v>22</v>
      </c>
      <c r="P19" s="1" t="s">
        <v>9</v>
      </c>
      <c r="Q19" s="38">
        <v>37</v>
      </c>
      <c r="R19" s="38">
        <v>18</v>
      </c>
      <c r="S19" s="38">
        <v>35.85</v>
      </c>
      <c r="T19" s="27"/>
      <c r="U19" s="1" t="s">
        <v>9</v>
      </c>
      <c r="V19" s="1" t="s">
        <v>9</v>
      </c>
      <c r="W19" s="1" t="s">
        <v>9</v>
      </c>
      <c r="X19" s="1" t="s">
        <v>9</v>
      </c>
    </row>
    <row r="20" spans="1:24" s="6" customFormat="1" ht="24.95" customHeight="1" x14ac:dyDescent="0.15">
      <c r="A20" s="12">
        <v>450</v>
      </c>
      <c r="B20" s="7" t="s">
        <v>125</v>
      </c>
      <c r="C20" s="7" t="s">
        <v>9</v>
      </c>
      <c r="D20" s="40" t="s">
        <v>126</v>
      </c>
      <c r="E20" s="1" t="s">
        <v>9</v>
      </c>
      <c r="F20" s="1" t="s">
        <v>9</v>
      </c>
      <c r="G20" s="1" t="s">
        <v>9</v>
      </c>
      <c r="H20" s="1" t="s">
        <v>127</v>
      </c>
      <c r="I20" s="1" t="s">
        <v>49</v>
      </c>
      <c r="J20" s="1" t="s">
        <v>59</v>
      </c>
      <c r="K20" s="1" t="s">
        <v>128</v>
      </c>
      <c r="L20" s="1" t="s">
        <v>45</v>
      </c>
      <c r="M20" s="1" t="s">
        <v>34</v>
      </c>
      <c r="N20" s="9" t="s">
        <v>129</v>
      </c>
      <c r="O20" s="1" t="s">
        <v>22</v>
      </c>
      <c r="P20" s="1" t="s">
        <v>9</v>
      </c>
      <c r="Q20" s="38">
        <v>16</v>
      </c>
      <c r="R20" s="38">
        <v>15</v>
      </c>
      <c r="S20" s="38">
        <v>16</v>
      </c>
      <c r="T20" s="27"/>
      <c r="U20" s="1" t="s">
        <v>9</v>
      </c>
      <c r="V20" s="1" t="s">
        <v>9</v>
      </c>
      <c r="W20" s="1" t="s">
        <v>9</v>
      </c>
      <c r="X20" s="1" t="s">
        <v>9</v>
      </c>
    </row>
    <row r="21" spans="1:24" s="6" customFormat="1" ht="24.95" customHeight="1" x14ac:dyDescent="0.15">
      <c r="A21" s="12">
        <v>451</v>
      </c>
      <c r="B21" s="7" t="s">
        <v>130</v>
      </c>
      <c r="C21" s="7" t="s">
        <v>9</v>
      </c>
      <c r="D21" s="7" t="s">
        <v>9</v>
      </c>
      <c r="E21" s="1" t="s">
        <v>131</v>
      </c>
      <c r="F21" s="1" t="s">
        <v>9</v>
      </c>
      <c r="G21" s="1" t="s">
        <v>9</v>
      </c>
      <c r="H21" s="1" t="s">
        <v>132</v>
      </c>
      <c r="I21" s="1" t="s">
        <v>33</v>
      </c>
      <c r="J21" s="1" t="s">
        <v>43</v>
      </c>
      <c r="K21" s="1" t="s">
        <v>133</v>
      </c>
      <c r="L21" s="1" t="s">
        <v>45</v>
      </c>
      <c r="M21" s="1" t="s">
        <v>34</v>
      </c>
      <c r="N21" s="9" t="s">
        <v>134</v>
      </c>
      <c r="O21" s="1" t="s">
        <v>21</v>
      </c>
      <c r="P21" s="1" t="s">
        <v>9</v>
      </c>
      <c r="Q21" s="38">
        <v>90</v>
      </c>
      <c r="R21" s="38">
        <v>72</v>
      </c>
      <c r="S21" s="38"/>
      <c r="T21" s="27"/>
      <c r="U21" s="1" t="s">
        <v>9</v>
      </c>
      <c r="V21" s="1" t="s">
        <v>9</v>
      </c>
      <c r="W21" s="1" t="s">
        <v>9</v>
      </c>
      <c r="X21" s="1" t="s">
        <v>9</v>
      </c>
    </row>
    <row r="22" spans="1:24" s="6" customFormat="1" ht="24.95" customHeight="1" x14ac:dyDescent="0.15">
      <c r="A22" s="12">
        <v>452</v>
      </c>
      <c r="B22" s="7" t="s">
        <v>135</v>
      </c>
      <c r="C22" s="7" t="s">
        <v>9</v>
      </c>
      <c r="D22" s="40" t="s">
        <v>136</v>
      </c>
      <c r="E22" s="1" t="s">
        <v>9</v>
      </c>
      <c r="F22" s="1" t="s">
        <v>9</v>
      </c>
      <c r="G22" s="1" t="s">
        <v>9</v>
      </c>
      <c r="H22" s="1" t="s">
        <v>137</v>
      </c>
      <c r="I22" s="1" t="s">
        <v>33</v>
      </c>
      <c r="J22" s="1" t="s">
        <v>138</v>
      </c>
      <c r="K22" s="1" t="s">
        <v>139</v>
      </c>
      <c r="L22" s="1" t="s">
        <v>45</v>
      </c>
      <c r="M22" s="1" t="s">
        <v>34</v>
      </c>
      <c r="N22" s="9" t="s">
        <v>140</v>
      </c>
      <c r="O22" s="1" t="s">
        <v>22</v>
      </c>
      <c r="P22" s="1" t="s">
        <v>9</v>
      </c>
      <c r="Q22" s="38">
        <v>69</v>
      </c>
      <c r="R22" s="38">
        <v>30</v>
      </c>
      <c r="S22" s="38">
        <v>69.741600000000005</v>
      </c>
      <c r="T22" s="27"/>
      <c r="U22" s="1" t="s">
        <v>9</v>
      </c>
      <c r="V22" s="1" t="s">
        <v>9</v>
      </c>
      <c r="W22" s="1" t="s">
        <v>9</v>
      </c>
      <c r="X22" s="1" t="s">
        <v>9</v>
      </c>
    </row>
    <row r="23" spans="1:24" s="6" customFormat="1" ht="24.95" customHeight="1" x14ac:dyDescent="0.15">
      <c r="A23" s="12">
        <v>453</v>
      </c>
      <c r="B23" s="7" t="s">
        <v>141</v>
      </c>
      <c r="C23" s="7" t="s">
        <v>9</v>
      </c>
      <c r="D23" s="7" t="s">
        <v>9</v>
      </c>
      <c r="E23" s="1" t="s">
        <v>9</v>
      </c>
      <c r="F23" s="1" t="s">
        <v>9</v>
      </c>
      <c r="G23" s="1" t="s">
        <v>9</v>
      </c>
      <c r="H23" s="1" t="s">
        <v>137</v>
      </c>
      <c r="I23" s="1" t="s">
        <v>49</v>
      </c>
      <c r="J23" s="1" t="s">
        <v>97</v>
      </c>
      <c r="K23" s="1" t="s">
        <v>142</v>
      </c>
      <c r="L23" s="1" t="s">
        <v>45</v>
      </c>
      <c r="M23" s="1" t="s">
        <v>34</v>
      </c>
      <c r="N23" s="9" t="s">
        <v>143</v>
      </c>
      <c r="O23" s="1" t="s">
        <v>22</v>
      </c>
      <c r="P23" s="1" t="s">
        <v>9</v>
      </c>
      <c r="Q23" s="38">
        <v>28</v>
      </c>
      <c r="R23" s="38">
        <v>11</v>
      </c>
      <c r="S23" s="38"/>
      <c r="T23" s="27"/>
      <c r="U23" s="1" t="s">
        <v>9</v>
      </c>
      <c r="V23" s="1" t="s">
        <v>9</v>
      </c>
      <c r="W23" s="1" t="s">
        <v>144</v>
      </c>
      <c r="X23" s="1" t="s">
        <v>144</v>
      </c>
    </row>
    <row r="24" spans="1:24" s="6" customFormat="1" ht="24.95" customHeight="1" x14ac:dyDescent="0.15">
      <c r="A24" s="12">
        <v>454</v>
      </c>
      <c r="B24" s="7" t="s">
        <v>145</v>
      </c>
      <c r="C24" s="7" t="s">
        <v>146</v>
      </c>
      <c r="D24" s="40" t="s">
        <v>147</v>
      </c>
      <c r="E24" s="1" t="s">
        <v>9</v>
      </c>
      <c r="F24" s="1" t="s">
        <v>9</v>
      </c>
      <c r="G24" s="1" t="s">
        <v>9</v>
      </c>
      <c r="H24" s="1" t="s">
        <v>148</v>
      </c>
      <c r="I24" s="1" t="s">
        <v>49</v>
      </c>
      <c r="J24" s="1" t="s">
        <v>97</v>
      </c>
      <c r="K24" s="1" t="s">
        <v>149</v>
      </c>
      <c r="L24" s="1" t="s">
        <v>150</v>
      </c>
      <c r="M24" s="1" t="s">
        <v>151</v>
      </c>
      <c r="N24" s="9" t="s">
        <v>152</v>
      </c>
      <c r="O24" s="1" t="s">
        <v>22</v>
      </c>
      <c r="P24" s="1" t="s">
        <v>9</v>
      </c>
      <c r="Q24" s="38">
        <v>35</v>
      </c>
      <c r="R24" s="38">
        <v>17</v>
      </c>
      <c r="S24" s="38">
        <v>22</v>
      </c>
      <c r="T24" s="27"/>
      <c r="U24" s="1" t="s">
        <v>9</v>
      </c>
      <c r="V24" s="1" t="s">
        <v>9</v>
      </c>
      <c r="W24" s="1" t="s">
        <v>153</v>
      </c>
      <c r="X24" s="1" t="s">
        <v>154</v>
      </c>
    </row>
    <row r="25" spans="1:24" s="6" customFormat="1" ht="24.95" customHeight="1" x14ac:dyDescent="0.15">
      <c r="A25" s="12">
        <v>455</v>
      </c>
      <c r="B25" s="7" t="s">
        <v>155</v>
      </c>
      <c r="C25" s="7" t="s">
        <v>156</v>
      </c>
      <c r="D25" s="7" t="s">
        <v>9</v>
      </c>
      <c r="E25" s="1" t="s">
        <v>9</v>
      </c>
      <c r="F25" s="1" t="s">
        <v>9</v>
      </c>
      <c r="G25" s="1" t="s">
        <v>9</v>
      </c>
      <c r="H25" s="1" t="s">
        <v>148</v>
      </c>
      <c r="I25" s="1" t="s">
        <v>49</v>
      </c>
      <c r="J25" s="1" t="s">
        <v>97</v>
      </c>
      <c r="K25" s="1" t="s">
        <v>157</v>
      </c>
      <c r="L25" s="1" t="s">
        <v>150</v>
      </c>
      <c r="M25" s="1" t="s">
        <v>151</v>
      </c>
      <c r="N25" s="9" t="s">
        <v>152</v>
      </c>
      <c r="O25" s="1" t="s">
        <v>22</v>
      </c>
      <c r="P25" s="1" t="s">
        <v>9</v>
      </c>
      <c r="Q25" s="38">
        <v>37</v>
      </c>
      <c r="R25" s="38">
        <v>18.5</v>
      </c>
      <c r="S25" s="38"/>
      <c r="T25" s="27"/>
      <c r="U25" s="1" t="s">
        <v>9</v>
      </c>
      <c r="V25" s="1" t="s">
        <v>9</v>
      </c>
      <c r="W25" s="1" t="s">
        <v>158</v>
      </c>
      <c r="X25" s="1" t="s">
        <v>159</v>
      </c>
    </row>
    <row r="26" spans="1:24" s="6" customFormat="1" ht="24.95" customHeight="1" x14ac:dyDescent="0.15">
      <c r="A26" s="12">
        <v>456</v>
      </c>
      <c r="B26" s="7" t="s">
        <v>160</v>
      </c>
      <c r="C26" s="7" t="s">
        <v>9</v>
      </c>
      <c r="D26" s="40" t="s">
        <v>161</v>
      </c>
      <c r="E26" s="1" t="s">
        <v>9</v>
      </c>
      <c r="F26" s="1" t="s">
        <v>9</v>
      </c>
      <c r="G26" s="1" t="s">
        <v>9</v>
      </c>
      <c r="H26" s="1" t="s">
        <v>162</v>
      </c>
      <c r="I26" s="1" t="s">
        <v>33</v>
      </c>
      <c r="J26" s="1" t="s">
        <v>138</v>
      </c>
      <c r="K26" s="1" t="s">
        <v>139</v>
      </c>
      <c r="L26" s="1" t="s">
        <v>45</v>
      </c>
      <c r="M26" s="1" t="s">
        <v>163</v>
      </c>
      <c r="N26" s="9" t="s">
        <v>164</v>
      </c>
      <c r="O26" s="1" t="s">
        <v>22</v>
      </c>
      <c r="P26" s="1" t="s">
        <v>9</v>
      </c>
      <c r="Q26" s="38">
        <v>36</v>
      </c>
      <c r="R26" s="38">
        <v>18</v>
      </c>
      <c r="S26" s="41">
        <v>36.591996999999999</v>
      </c>
      <c r="T26" s="27"/>
      <c r="U26" s="1" t="s">
        <v>9</v>
      </c>
      <c r="V26" s="1" t="s">
        <v>9</v>
      </c>
      <c r="W26" s="1" t="s">
        <v>9</v>
      </c>
      <c r="X26" s="1" t="s">
        <v>9</v>
      </c>
    </row>
    <row r="27" spans="1:24" s="6" customFormat="1" ht="24.95" customHeight="1" x14ac:dyDescent="0.15">
      <c r="A27" s="12">
        <v>457</v>
      </c>
      <c r="B27" s="7" t="s">
        <v>165</v>
      </c>
      <c r="C27" s="7" t="s">
        <v>166</v>
      </c>
      <c r="D27" s="40" t="s">
        <v>167</v>
      </c>
      <c r="E27" s="1" t="s">
        <v>9</v>
      </c>
      <c r="F27" s="1" t="s">
        <v>9</v>
      </c>
      <c r="G27" s="1" t="s">
        <v>9</v>
      </c>
      <c r="H27" s="1" t="s">
        <v>168</v>
      </c>
      <c r="I27" s="1" t="s">
        <v>33</v>
      </c>
      <c r="J27" s="1" t="s">
        <v>59</v>
      </c>
      <c r="K27" s="1" t="s">
        <v>169</v>
      </c>
      <c r="L27" s="1" t="s">
        <v>45</v>
      </c>
      <c r="M27" s="1" t="s">
        <v>34</v>
      </c>
      <c r="N27" s="9" t="s">
        <v>170</v>
      </c>
      <c r="O27" s="1" t="s">
        <v>171</v>
      </c>
      <c r="P27" s="1" t="s">
        <v>9</v>
      </c>
      <c r="Q27" s="38">
        <v>0</v>
      </c>
      <c r="R27" s="38">
        <v>0</v>
      </c>
      <c r="S27" s="38">
        <v>4.6749999999999998</v>
      </c>
      <c r="T27" s="27"/>
      <c r="U27" s="1" t="s">
        <v>9</v>
      </c>
      <c r="V27" s="1" t="s">
        <v>9</v>
      </c>
      <c r="W27" s="1" t="s">
        <v>172</v>
      </c>
      <c r="X27" s="1" t="s">
        <v>172</v>
      </c>
    </row>
    <row r="28" spans="1:24" s="6" customFormat="1" ht="24.95" customHeight="1" x14ac:dyDescent="0.15">
      <c r="A28" s="12">
        <v>458</v>
      </c>
      <c r="B28" s="7" t="s">
        <v>173</v>
      </c>
      <c r="C28" s="7" t="s">
        <v>9</v>
      </c>
      <c r="D28" s="40" t="s">
        <v>174</v>
      </c>
      <c r="E28" s="1" t="s">
        <v>9</v>
      </c>
      <c r="F28" s="1" t="s">
        <v>9</v>
      </c>
      <c r="G28" s="1" t="s">
        <v>9</v>
      </c>
      <c r="H28" s="1" t="s">
        <v>175</v>
      </c>
      <c r="I28" s="1" t="s">
        <v>176</v>
      </c>
      <c r="J28" s="1" t="s">
        <v>177</v>
      </c>
      <c r="K28" s="1" t="s">
        <v>178</v>
      </c>
      <c r="L28" s="1" t="s">
        <v>45</v>
      </c>
      <c r="M28" s="1" t="s">
        <v>34</v>
      </c>
      <c r="N28" s="9" t="s">
        <v>179</v>
      </c>
      <c r="O28" s="1" t="s">
        <v>180</v>
      </c>
      <c r="P28" s="1" t="s">
        <v>9</v>
      </c>
      <c r="Q28" s="38">
        <v>5</v>
      </c>
      <c r="R28" s="38">
        <v>2</v>
      </c>
      <c r="S28" s="38">
        <v>5</v>
      </c>
      <c r="T28" s="27"/>
      <c r="U28" s="1" t="s">
        <v>9</v>
      </c>
      <c r="V28" s="1" t="s">
        <v>9</v>
      </c>
      <c r="W28" s="1" t="s">
        <v>9</v>
      </c>
      <c r="X28" s="1" t="s">
        <v>9</v>
      </c>
    </row>
    <row r="29" spans="1:24" s="6" customFormat="1" ht="24.95" customHeight="1" x14ac:dyDescent="0.15">
      <c r="A29" s="12">
        <v>459</v>
      </c>
      <c r="B29" s="7" t="s">
        <v>181</v>
      </c>
      <c r="C29" s="7" t="s">
        <v>9</v>
      </c>
      <c r="D29" s="40" t="s">
        <v>182</v>
      </c>
      <c r="E29" s="1" t="s">
        <v>9</v>
      </c>
      <c r="F29" s="1" t="s">
        <v>9</v>
      </c>
      <c r="G29" s="1" t="s">
        <v>9</v>
      </c>
      <c r="H29" s="1" t="s">
        <v>144</v>
      </c>
      <c r="I29" s="1" t="s">
        <v>33</v>
      </c>
      <c r="J29" s="1" t="s">
        <v>183</v>
      </c>
      <c r="K29" s="1" t="s">
        <v>184</v>
      </c>
      <c r="L29" s="1" t="s">
        <v>45</v>
      </c>
      <c r="M29" s="1" t="s">
        <v>185</v>
      </c>
      <c r="N29" s="9" t="s">
        <v>186</v>
      </c>
      <c r="O29" s="1" t="s">
        <v>21</v>
      </c>
      <c r="P29" s="1" t="s">
        <v>9</v>
      </c>
      <c r="Q29" s="38">
        <v>9.1999999999999993</v>
      </c>
      <c r="R29" s="38">
        <v>3</v>
      </c>
      <c r="S29" s="38">
        <v>9.1</v>
      </c>
      <c r="T29" s="27"/>
      <c r="U29" s="1" t="s">
        <v>9</v>
      </c>
      <c r="V29" s="1" t="s">
        <v>9</v>
      </c>
      <c r="W29" s="1" t="s">
        <v>9</v>
      </c>
      <c r="X29" s="1" t="s">
        <v>9</v>
      </c>
    </row>
    <row r="30" spans="1:24" s="6" customFormat="1" ht="24.95" customHeight="1" x14ac:dyDescent="0.15">
      <c r="A30" s="12">
        <v>460</v>
      </c>
      <c r="B30" s="7" t="s">
        <v>187</v>
      </c>
      <c r="C30" s="7" t="s">
        <v>9</v>
      </c>
      <c r="D30" s="40" t="s">
        <v>188</v>
      </c>
      <c r="E30" s="1" t="s">
        <v>9</v>
      </c>
      <c r="F30" s="1" t="s">
        <v>9</v>
      </c>
      <c r="G30" s="1" t="s">
        <v>9</v>
      </c>
      <c r="H30" s="1" t="s">
        <v>189</v>
      </c>
      <c r="I30" s="1" t="s">
        <v>33</v>
      </c>
      <c r="J30" s="1" t="s">
        <v>59</v>
      </c>
      <c r="K30" s="1" t="s">
        <v>190</v>
      </c>
      <c r="L30" s="1" t="s">
        <v>45</v>
      </c>
      <c r="M30" s="1" t="s">
        <v>34</v>
      </c>
      <c r="N30" s="9" t="s">
        <v>143</v>
      </c>
      <c r="O30" s="1" t="s">
        <v>171</v>
      </c>
      <c r="P30" s="1" t="s">
        <v>9</v>
      </c>
      <c r="Q30" s="38">
        <v>12</v>
      </c>
      <c r="R30" s="38">
        <v>1.2544999999999999</v>
      </c>
      <c r="S30" s="38">
        <v>4.6749999999999998</v>
      </c>
      <c r="T30" s="27"/>
      <c r="U30" s="1" t="s">
        <v>9</v>
      </c>
      <c r="V30" s="1" t="s">
        <v>9</v>
      </c>
      <c r="W30" s="1" t="s">
        <v>191</v>
      </c>
      <c r="X30" s="1" t="s">
        <v>191</v>
      </c>
    </row>
    <row r="31" spans="1:24" s="6" customFormat="1" ht="24.95" customHeight="1" x14ac:dyDescent="0.15">
      <c r="A31" s="12">
        <v>461</v>
      </c>
      <c r="B31" s="7" t="s">
        <v>192</v>
      </c>
      <c r="C31" s="7" t="s">
        <v>9</v>
      </c>
      <c r="D31" s="7" t="s">
        <v>9</v>
      </c>
      <c r="E31" s="1" t="s">
        <v>9</v>
      </c>
      <c r="F31" s="1" t="s">
        <v>9</v>
      </c>
      <c r="G31" s="1" t="s">
        <v>9</v>
      </c>
      <c r="H31" s="1" t="s">
        <v>193</v>
      </c>
      <c r="I31" s="1" t="s">
        <v>33</v>
      </c>
      <c r="J31" s="1" t="s">
        <v>59</v>
      </c>
      <c r="K31" s="1" t="s">
        <v>194</v>
      </c>
      <c r="L31" s="1" t="s">
        <v>45</v>
      </c>
      <c r="M31" s="1" t="s">
        <v>34</v>
      </c>
      <c r="N31" s="9" t="s">
        <v>195</v>
      </c>
      <c r="O31" s="1" t="s">
        <v>196</v>
      </c>
      <c r="P31" s="1" t="s">
        <v>9</v>
      </c>
      <c r="Q31" s="38">
        <v>0</v>
      </c>
      <c r="R31" s="38">
        <v>7.69</v>
      </c>
      <c r="S31" s="38"/>
      <c r="T31" s="27" t="s">
        <v>197</v>
      </c>
      <c r="U31" s="1" t="s">
        <v>9</v>
      </c>
      <c r="V31" s="1" t="s">
        <v>9</v>
      </c>
      <c r="W31" s="1" t="s">
        <v>9</v>
      </c>
      <c r="X31" s="1" t="s">
        <v>9</v>
      </c>
    </row>
    <row r="32" spans="1:24" s="6" customFormat="1" ht="24.95" customHeight="1" x14ac:dyDescent="0.15">
      <c r="A32" s="12">
        <v>462</v>
      </c>
      <c r="B32" s="7" t="s">
        <v>198</v>
      </c>
      <c r="C32" s="7" t="s">
        <v>9</v>
      </c>
      <c r="D32" s="40" t="s">
        <v>199</v>
      </c>
      <c r="E32" s="1" t="s">
        <v>9</v>
      </c>
      <c r="F32" s="1" t="s">
        <v>9</v>
      </c>
      <c r="G32" s="1" t="s">
        <v>9</v>
      </c>
      <c r="H32" s="1" t="s">
        <v>200</v>
      </c>
      <c r="I32" s="1" t="s">
        <v>176</v>
      </c>
      <c r="J32" s="1" t="s">
        <v>201</v>
      </c>
      <c r="K32" s="1" t="s">
        <v>202</v>
      </c>
      <c r="L32" s="1" t="s">
        <v>45</v>
      </c>
      <c r="M32" s="1" t="s">
        <v>34</v>
      </c>
      <c r="N32" s="9" t="s">
        <v>143</v>
      </c>
      <c r="O32" s="1" t="s">
        <v>180</v>
      </c>
      <c r="P32" s="1" t="s">
        <v>9</v>
      </c>
      <c r="Q32" s="38">
        <v>23.8</v>
      </c>
      <c r="R32" s="38">
        <v>5</v>
      </c>
      <c r="S32" s="38">
        <v>23.8</v>
      </c>
      <c r="T32" s="27"/>
      <c r="U32" s="1" t="s">
        <v>9</v>
      </c>
      <c r="V32" s="1" t="s">
        <v>9</v>
      </c>
      <c r="W32" s="1" t="s">
        <v>9</v>
      </c>
      <c r="X32" s="1" t="s">
        <v>9</v>
      </c>
    </row>
    <row r="33" spans="1:24" s="6" customFormat="1" ht="24.95" customHeight="1" x14ac:dyDescent="0.15">
      <c r="A33" s="12">
        <v>463</v>
      </c>
      <c r="B33" s="7" t="s">
        <v>203</v>
      </c>
      <c r="C33" s="7" t="s">
        <v>9</v>
      </c>
      <c r="D33" s="40" t="s">
        <v>204</v>
      </c>
      <c r="E33" s="1" t="s">
        <v>9</v>
      </c>
      <c r="F33" s="1" t="s">
        <v>9</v>
      </c>
      <c r="G33" s="1" t="s">
        <v>9</v>
      </c>
      <c r="H33" s="1" t="s">
        <v>200</v>
      </c>
      <c r="I33" s="1" t="s">
        <v>176</v>
      </c>
      <c r="J33" s="1" t="s">
        <v>201</v>
      </c>
      <c r="K33" s="1" t="s">
        <v>202</v>
      </c>
      <c r="L33" s="1" t="s">
        <v>45</v>
      </c>
      <c r="M33" s="1" t="s">
        <v>205</v>
      </c>
      <c r="N33" s="9" t="s">
        <v>206</v>
      </c>
      <c r="O33" s="1" t="s">
        <v>180</v>
      </c>
      <c r="P33" s="1" t="s">
        <v>9</v>
      </c>
      <c r="Q33" s="38">
        <v>42.6</v>
      </c>
      <c r="R33" s="38">
        <v>3</v>
      </c>
      <c r="S33" s="38">
        <v>42.6</v>
      </c>
      <c r="T33" s="27"/>
      <c r="U33" s="1" t="s">
        <v>9</v>
      </c>
      <c r="V33" s="1" t="s">
        <v>9</v>
      </c>
      <c r="W33" s="1" t="s">
        <v>9</v>
      </c>
      <c r="X33" s="1" t="s">
        <v>9</v>
      </c>
    </row>
    <row r="34" spans="1:24" s="6" customFormat="1" ht="24.95" customHeight="1" x14ac:dyDescent="0.15">
      <c r="A34" s="12">
        <v>464</v>
      </c>
      <c r="B34" s="7" t="s">
        <v>207</v>
      </c>
      <c r="C34" s="7" t="s">
        <v>9</v>
      </c>
      <c r="D34" s="40" t="s">
        <v>208</v>
      </c>
      <c r="E34" s="1" t="s">
        <v>9</v>
      </c>
      <c r="F34" s="1" t="s">
        <v>9</v>
      </c>
      <c r="G34" s="1" t="s">
        <v>9</v>
      </c>
      <c r="H34" s="1" t="s">
        <v>200</v>
      </c>
      <c r="I34" s="1" t="s">
        <v>176</v>
      </c>
      <c r="J34" s="1" t="s">
        <v>201</v>
      </c>
      <c r="K34" s="1" t="s">
        <v>202</v>
      </c>
      <c r="L34" s="1" t="s">
        <v>45</v>
      </c>
      <c r="M34" s="1" t="s">
        <v>185</v>
      </c>
      <c r="N34" s="9" t="s">
        <v>209</v>
      </c>
      <c r="O34" s="1" t="s">
        <v>180</v>
      </c>
      <c r="P34" s="1" t="s">
        <v>9</v>
      </c>
      <c r="Q34" s="38">
        <v>26.2</v>
      </c>
      <c r="R34" s="38">
        <v>2</v>
      </c>
      <c r="S34" s="38">
        <v>26.2</v>
      </c>
      <c r="T34" s="27"/>
      <c r="U34" s="1" t="s">
        <v>9</v>
      </c>
      <c r="V34" s="1" t="s">
        <v>9</v>
      </c>
      <c r="W34" s="1" t="s">
        <v>9</v>
      </c>
      <c r="X34" s="1" t="s">
        <v>9</v>
      </c>
    </row>
    <row r="35" spans="1:24" s="6" customFormat="1" ht="24.95" customHeight="1" x14ac:dyDescent="0.15">
      <c r="A35" s="12">
        <v>465</v>
      </c>
      <c r="B35" s="7" t="s">
        <v>210</v>
      </c>
      <c r="C35" s="7" t="s">
        <v>9</v>
      </c>
      <c r="D35" s="40" t="s">
        <v>211</v>
      </c>
      <c r="E35" s="1" t="s">
        <v>9</v>
      </c>
      <c r="F35" s="1" t="s">
        <v>9</v>
      </c>
      <c r="G35" s="1" t="s">
        <v>9</v>
      </c>
      <c r="H35" s="1" t="s">
        <v>212</v>
      </c>
      <c r="I35" s="1" t="s">
        <v>176</v>
      </c>
      <c r="J35" s="1" t="s">
        <v>201</v>
      </c>
      <c r="K35" s="1" t="s">
        <v>213</v>
      </c>
      <c r="L35" s="1" t="s">
        <v>45</v>
      </c>
      <c r="M35" s="1" t="s">
        <v>34</v>
      </c>
      <c r="N35" s="9" t="s">
        <v>214</v>
      </c>
      <c r="O35" s="1" t="s">
        <v>180</v>
      </c>
      <c r="P35" s="1" t="s">
        <v>9</v>
      </c>
      <c r="Q35" s="38">
        <v>4.8499999999999996</v>
      </c>
      <c r="R35" s="38">
        <v>3.5</v>
      </c>
      <c r="S35" s="38"/>
      <c r="T35" s="27"/>
      <c r="U35" s="1" t="s">
        <v>9</v>
      </c>
      <c r="V35" s="1" t="s">
        <v>9</v>
      </c>
      <c r="W35" s="1" t="s">
        <v>9</v>
      </c>
      <c r="X35" s="1" t="s">
        <v>9</v>
      </c>
    </row>
    <row r="36" spans="1:24" s="6" customFormat="1" ht="24.95" customHeight="1" x14ac:dyDescent="0.15">
      <c r="A36" s="12">
        <v>466</v>
      </c>
      <c r="B36" s="7" t="s">
        <v>215</v>
      </c>
      <c r="C36" s="7" t="s">
        <v>216</v>
      </c>
      <c r="D36" s="40" t="s">
        <v>217</v>
      </c>
      <c r="E36" s="1" t="s">
        <v>9</v>
      </c>
      <c r="F36" s="1" t="s">
        <v>9</v>
      </c>
      <c r="G36" s="1" t="s">
        <v>9</v>
      </c>
      <c r="H36" s="1" t="s">
        <v>212</v>
      </c>
      <c r="I36" s="1" t="s">
        <v>176</v>
      </c>
      <c r="J36" s="1" t="s">
        <v>201</v>
      </c>
      <c r="K36" s="1" t="s">
        <v>218</v>
      </c>
      <c r="L36" s="1" t="s">
        <v>45</v>
      </c>
      <c r="M36" s="1" t="s">
        <v>34</v>
      </c>
      <c r="N36" s="9" t="s">
        <v>214</v>
      </c>
      <c r="O36" s="1" t="s">
        <v>180</v>
      </c>
      <c r="P36" s="1" t="s">
        <v>9</v>
      </c>
      <c r="Q36" s="38">
        <v>4.8499999999999996</v>
      </c>
      <c r="R36" s="38">
        <v>3.5</v>
      </c>
      <c r="S36" s="38"/>
      <c r="T36" s="27"/>
      <c r="U36" s="1" t="s">
        <v>9</v>
      </c>
      <c r="V36" s="1" t="s">
        <v>9</v>
      </c>
      <c r="W36" s="1" t="s">
        <v>9</v>
      </c>
      <c r="X36" s="1" t="s">
        <v>9</v>
      </c>
    </row>
    <row r="37" spans="1:24" s="6" customFormat="1" ht="24.95" customHeight="1" x14ac:dyDescent="0.15">
      <c r="A37" s="12">
        <v>467</v>
      </c>
      <c r="B37" s="7" t="s">
        <v>219</v>
      </c>
      <c r="C37" s="7" t="s">
        <v>9</v>
      </c>
      <c r="D37" s="40" t="s">
        <v>220</v>
      </c>
      <c r="E37" s="1" t="s">
        <v>9</v>
      </c>
      <c r="F37" s="1" t="s">
        <v>9</v>
      </c>
      <c r="G37" s="1" t="s">
        <v>9</v>
      </c>
      <c r="H37" s="1" t="s">
        <v>212</v>
      </c>
      <c r="I37" s="1" t="s">
        <v>176</v>
      </c>
      <c r="J37" s="1" t="s">
        <v>201</v>
      </c>
      <c r="K37" s="1" t="s">
        <v>221</v>
      </c>
      <c r="L37" s="1" t="s">
        <v>45</v>
      </c>
      <c r="M37" s="1" t="s">
        <v>34</v>
      </c>
      <c r="N37" s="9" t="s">
        <v>214</v>
      </c>
      <c r="O37" s="1" t="s">
        <v>180</v>
      </c>
      <c r="P37" s="1" t="s">
        <v>9</v>
      </c>
      <c r="Q37" s="38">
        <v>4.8499999999999996</v>
      </c>
      <c r="R37" s="38">
        <v>3.5</v>
      </c>
      <c r="S37" s="38"/>
      <c r="T37" s="27"/>
      <c r="U37" s="1" t="s">
        <v>9</v>
      </c>
      <c r="V37" s="1" t="s">
        <v>9</v>
      </c>
      <c r="W37" s="1" t="s">
        <v>9</v>
      </c>
      <c r="X37" s="1" t="s">
        <v>9</v>
      </c>
    </row>
    <row r="38" spans="1:24" s="6" customFormat="1" ht="24.95" customHeight="1" x14ac:dyDescent="0.15">
      <c r="A38" s="12">
        <v>468</v>
      </c>
      <c r="B38" s="7" t="s">
        <v>222</v>
      </c>
      <c r="C38" s="7" t="s">
        <v>9</v>
      </c>
      <c r="D38" s="7" t="s">
        <v>9</v>
      </c>
      <c r="E38" s="1" t="s">
        <v>9</v>
      </c>
      <c r="F38" s="1" t="s">
        <v>9</v>
      </c>
      <c r="G38" s="1" t="s">
        <v>9</v>
      </c>
      <c r="H38" s="1" t="s">
        <v>223</v>
      </c>
      <c r="I38" s="1" t="s">
        <v>49</v>
      </c>
      <c r="J38" s="1" t="s">
        <v>97</v>
      </c>
      <c r="K38" s="1" t="s">
        <v>224</v>
      </c>
      <c r="L38" s="1" t="s">
        <v>45</v>
      </c>
      <c r="M38" s="1" t="s">
        <v>34</v>
      </c>
      <c r="N38" s="9" t="s">
        <v>225</v>
      </c>
      <c r="O38" s="1" t="s">
        <v>22</v>
      </c>
      <c r="P38" s="1" t="s">
        <v>9</v>
      </c>
      <c r="Q38" s="38">
        <v>3</v>
      </c>
      <c r="R38" s="38">
        <v>1</v>
      </c>
      <c r="S38" s="38"/>
      <c r="T38" s="27"/>
      <c r="U38" s="1" t="s">
        <v>9</v>
      </c>
      <c r="V38" s="1" t="s">
        <v>9</v>
      </c>
      <c r="W38" s="1" t="s">
        <v>9</v>
      </c>
      <c r="X38" s="1" t="s">
        <v>9</v>
      </c>
    </row>
    <row r="39" spans="1:24" s="6" customFormat="1" ht="24.95" customHeight="1" x14ac:dyDescent="0.15">
      <c r="A39" s="12">
        <v>628</v>
      </c>
      <c r="B39" s="7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9"/>
      <c r="O39" s="1"/>
      <c r="P39" s="32"/>
      <c r="Q39" s="38"/>
      <c r="R39" s="38"/>
      <c r="S39" s="38"/>
      <c r="T39" s="27"/>
      <c r="U39" s="1"/>
      <c r="V39" s="1"/>
      <c r="W39" s="1"/>
      <c r="X39" s="1"/>
    </row>
    <row r="40" spans="1:24" s="6" customFormat="1" ht="24.95" customHeight="1" x14ac:dyDescent="0.15">
      <c r="A40" s="12">
        <v>628</v>
      </c>
      <c r="B40" s="7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9"/>
      <c r="O40" s="1"/>
      <c r="P40" s="32"/>
      <c r="Q40" s="38"/>
      <c r="R40" s="38"/>
      <c r="S40" s="38"/>
      <c r="T40" s="27"/>
      <c r="U40" s="1"/>
      <c r="V40" s="1"/>
      <c r="W40" s="1"/>
      <c r="X40" s="1"/>
    </row>
    <row r="41" spans="1:24" s="6" customFormat="1" ht="24.95" customHeight="1" x14ac:dyDescent="0.15">
      <c r="A41" s="12">
        <v>628</v>
      </c>
      <c r="B41" s="7"/>
      <c r="C41" s="7"/>
      <c r="D41" s="7"/>
      <c r="E41" s="1"/>
      <c r="F41" s="1"/>
      <c r="G41" s="1"/>
      <c r="H41" s="1"/>
      <c r="I41" s="1"/>
      <c r="J41" s="1"/>
      <c r="K41" s="1"/>
      <c r="L41" s="1"/>
      <c r="M41" s="1"/>
      <c r="N41" s="9"/>
      <c r="O41" s="1"/>
      <c r="P41" s="32"/>
      <c r="Q41" s="31"/>
      <c r="R41" s="31"/>
      <c r="S41" s="31"/>
      <c r="T41" s="27"/>
      <c r="U41" s="1"/>
      <c r="V41" s="1"/>
      <c r="W41" s="1"/>
      <c r="X41" s="1"/>
    </row>
    <row r="42" spans="1:24" s="6" customFormat="1" ht="24.95" customHeight="1" x14ac:dyDescent="0.15">
      <c r="A42" s="12">
        <v>629</v>
      </c>
      <c r="B42" s="7"/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9"/>
      <c r="O42" s="1"/>
      <c r="P42" s="32"/>
      <c r="Q42" s="30"/>
      <c r="R42" s="30"/>
      <c r="S42" s="30"/>
      <c r="T42" s="27"/>
      <c r="U42" s="1"/>
      <c r="V42" s="1"/>
      <c r="W42" s="1"/>
      <c r="X42" s="1"/>
    </row>
    <row r="43" spans="1:24" s="20" customFormat="1" ht="24.95" customHeight="1" x14ac:dyDescent="0.15">
      <c r="A43" s="12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2"/>
      <c r="O43" s="19"/>
      <c r="P43" s="33" t="s">
        <v>35</v>
      </c>
      <c r="Q43" s="24">
        <f>SUM(Q3:Q6)</f>
        <v>49.2</v>
      </c>
      <c r="R43" s="24">
        <f>SUM(R3:R6)</f>
        <v>1.6</v>
      </c>
      <c r="S43" s="24">
        <f>SUM(S3:S6)</f>
        <v>22.2</v>
      </c>
      <c r="T43" s="28"/>
      <c r="U43" s="19"/>
      <c r="V43" s="19"/>
      <c r="W43" s="19"/>
      <c r="X43" s="19"/>
    </row>
  </sheetData>
  <autoFilter ref="A2:X43" xr:uid="{1B9D7643-DD58-4A0F-A6ED-096C3D9E67AA}"/>
  <sortState xmlns:xlrd2="http://schemas.microsoft.com/office/spreadsheetml/2017/richdata2" ref="A2:M4">
    <sortCondition ref="B1"/>
  </sortState>
  <mergeCells count="1">
    <mergeCell ref="A1:T1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K2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2026-04-10T01:35:28Z</dcterms:modified>
</cp:coreProperties>
</file>