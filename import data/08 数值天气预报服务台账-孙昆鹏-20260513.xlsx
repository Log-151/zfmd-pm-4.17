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24226"/>
  <xr:revisionPtr revIDLastSave="0" documentId="13_ncr:1_{3ABEB9A7-D069-47D2-A717-EC1B49D243C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数值天气预报服务台账" sheetId="2" r:id="rId1"/>
    <sheet name="其他信息" sheetId="3" r:id="rId2"/>
  </sheets>
  <definedNames>
    <definedName name="_xlnm._FilterDatabase" localSheetId="0" hidden="1">数值天气预报服务台账!$A$3:$P$444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6" i="2" l="1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4" i="2"/>
  <c r="N75" i="2"/>
  <c r="N76" i="2"/>
  <c r="N77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7" i="2"/>
  <c r="N102" i="2"/>
  <c r="N103" i="2"/>
  <c r="N104" i="2"/>
  <c r="N105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6" i="2"/>
  <c r="N167" i="2"/>
  <c r="N168" i="2"/>
  <c r="N171" i="2"/>
  <c r="N172" i="2"/>
  <c r="N173" i="2"/>
  <c r="N176" i="2"/>
  <c r="N177" i="2"/>
  <c r="N179" i="2"/>
  <c r="N181" i="2"/>
  <c r="N182" i="2"/>
  <c r="N183" i="2"/>
  <c r="N184" i="2"/>
  <c r="N185" i="2"/>
  <c r="N186" i="2"/>
  <c r="N187" i="2"/>
  <c r="N188" i="2"/>
  <c r="N189" i="2"/>
  <c r="N190" i="2"/>
  <c r="N191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441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5" i="2"/>
  <c r="A109" i="2" l="1"/>
  <c r="A108" i="2"/>
  <c r="A107" i="2"/>
  <c r="A106" i="2"/>
  <c r="A101" i="2"/>
  <c r="A100" i="2"/>
  <c r="A99" i="2"/>
  <c r="A98" i="2"/>
  <c r="A97" i="2"/>
  <c r="A96" i="2"/>
  <c r="A95" i="2"/>
  <c r="A94" i="2"/>
  <c r="A93" i="2"/>
  <c r="A91" i="2"/>
  <c r="A90" i="2"/>
  <c r="A10" i="2" l="1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2" i="2"/>
  <c r="A102" i="2"/>
  <c r="A103" i="2"/>
  <c r="A104" i="2"/>
  <c r="A105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441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442" i="2" l="1"/>
  <c r="A439" i="2" l="1"/>
  <c r="A440" i="2"/>
  <c r="A9" i="2" l="1"/>
  <c r="I198" i="3" l="1"/>
  <c r="A8" i="2" l="1"/>
  <c r="A7" i="2" l="1"/>
  <c r="A6" i="2" l="1"/>
  <c r="A5" i="2"/>
  <c r="K444" i="2" l="1"/>
  <c r="M284" i="2"/>
  <c r="K284" i="2"/>
  <c r="M444" i="2" l="1"/>
  <c r="M313" i="2" l="1"/>
  <c r="K313" i="2"/>
  <c r="K280" i="2"/>
  <c r="M280" i="2"/>
  <c r="M308" i="2" s="1"/>
  <c r="M448" i="2" l="1"/>
  <c r="K308" i="2"/>
  <c r="K44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I10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34"/>
          </rPr>
          <t>作者:</t>
        </r>
        <r>
          <rPr>
            <sz val="9"/>
            <color indexed="81"/>
            <rFont val="Tahoma"/>
            <family val="2"/>
            <charset val="134"/>
          </rPr>
          <t xml:space="preserve">
2013年4月22日发tet</t>
        </r>
      </text>
    </comment>
    <comment ref="F12" authorId="0" shapeId="0" xr:uid="{5BA78A76-8ED4-49B4-A7D3-2E2A2C524C4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锐驰二期</t>
        </r>
      </text>
    </comment>
    <comment ref="I31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134"/>
          </rPr>
          <t>作者:</t>
        </r>
        <r>
          <rPr>
            <sz val="9"/>
            <color indexed="81"/>
            <rFont val="Tahoma"/>
            <family val="2"/>
            <charset val="134"/>
          </rPr>
          <t xml:space="preserve">
2013年3月4日，开始发tet</t>
        </r>
      </text>
    </comment>
    <comment ref="I36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134"/>
          </rPr>
          <t>作者:</t>
        </r>
        <r>
          <rPr>
            <sz val="9"/>
            <color indexed="81"/>
            <rFont val="Tahoma"/>
            <family val="2"/>
            <charset val="134"/>
          </rPr>
          <t xml:space="preserve">
2013年7月30日发tet</t>
        </r>
      </text>
    </comment>
    <comment ref="F166" authorId="0" shapeId="0" xr:uid="{00000000-0006-0000-0000-000005000000}">
      <text>
        <r>
          <rPr>
            <b/>
            <sz val="9"/>
            <color indexed="81"/>
            <rFont val="宋体"/>
            <family val="3"/>
            <charset val="134"/>
          </rPr>
          <t>拆分成两条曲线预报</t>
        </r>
      </text>
    </comment>
    <comment ref="I166" authorId="0" shapeId="0" xr:uid="{00000000-0006-0000-00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开始预报时间</t>
        </r>
        <r>
          <rPr>
            <sz val="9"/>
            <color indexed="81"/>
            <rFont val="Tahoma"/>
            <family val="2"/>
          </rPr>
          <t xml:space="preserve"> 2013.5.28</t>
        </r>
      </text>
    </comment>
    <comment ref="I272" authorId="0" shapeId="0" xr:uid="{00000000-0006-0000-0000-00000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开始预报时间</t>
        </r>
        <r>
          <rPr>
            <sz val="9"/>
            <color indexed="81"/>
            <rFont val="Tahoma"/>
            <family val="2"/>
          </rPr>
          <t>2016.8.29</t>
        </r>
      </text>
    </comment>
    <comment ref="I315" authorId="0" shapeId="0" xr:uid="{00000000-0006-0000-0000-000010000000}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  <charset val="134"/>
          </rPr>
          <t>:</t>
        </r>
        <r>
          <rPr>
            <sz val="9"/>
            <color indexed="81"/>
            <rFont val="Tahoma"/>
            <family val="2"/>
            <charset val="134"/>
          </rPr>
          <t xml:space="preserve">
2012</t>
        </r>
        <r>
          <rPr>
            <sz val="9"/>
            <color indexed="81"/>
            <rFont val="宋体"/>
            <family val="3"/>
            <charset val="134"/>
          </rPr>
          <t>年</t>
        </r>
        <r>
          <rPr>
            <sz val="9"/>
            <color indexed="81"/>
            <rFont val="Tahoma"/>
            <family val="2"/>
            <charset val="134"/>
          </rPr>
          <t>11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  <charset val="134"/>
          </rPr>
          <t>30</t>
        </r>
        <r>
          <rPr>
            <sz val="9"/>
            <color indexed="81"/>
            <rFont val="宋体"/>
            <family val="3"/>
            <charset val="134"/>
          </rPr>
          <t>日开始发</t>
        </r>
        <r>
          <rPr>
            <sz val="9"/>
            <color indexed="81"/>
            <rFont val="Tahoma"/>
            <family val="2"/>
            <charset val="134"/>
          </rPr>
          <t>tet</t>
        </r>
      </text>
    </comment>
    <comment ref="I317" authorId="0" shapeId="0" xr:uid="{00000000-0006-0000-0000-000011000000}">
      <text>
        <r>
          <rPr>
            <b/>
            <sz val="9"/>
            <color indexed="81"/>
            <rFont val="Tahoma"/>
            <family val="2"/>
            <charset val="134"/>
          </rPr>
          <t>作者:</t>
        </r>
        <r>
          <rPr>
            <sz val="9"/>
            <color indexed="81"/>
            <rFont val="Tahoma"/>
            <family val="2"/>
            <charset val="134"/>
          </rPr>
          <t xml:space="preserve">
2013年6月19日发tet</t>
        </r>
      </text>
    </comment>
    <comment ref="I33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2016.7.16</t>
        </r>
        <r>
          <rPr>
            <sz val="9"/>
            <color indexed="81"/>
            <rFont val="宋体"/>
            <family val="3"/>
            <charset val="134"/>
          </rPr>
          <t>开始预报</t>
        </r>
      </text>
    </comment>
    <comment ref="I348" authorId="0" shapeId="0" xr:uid="{00000000-0006-0000-0000-000013000000}">
      <text>
        <r>
          <rPr>
            <b/>
            <sz val="9"/>
            <color indexed="81"/>
            <rFont val="Tahoma"/>
            <family val="2"/>
            <charset val="134"/>
          </rPr>
          <t>作者:</t>
        </r>
        <r>
          <rPr>
            <sz val="9"/>
            <color indexed="81"/>
            <rFont val="Tahoma"/>
            <family val="2"/>
            <charset val="134"/>
          </rPr>
          <t xml:space="preserve">
2012年12月12日发tet</t>
        </r>
      </text>
    </comment>
    <comment ref="I349" authorId="0" shapeId="0" xr:uid="{00000000-0006-0000-0000-000014000000}">
      <text>
        <r>
          <rPr>
            <b/>
            <sz val="9"/>
            <color indexed="81"/>
            <rFont val="Tahoma"/>
            <family val="2"/>
            <charset val="134"/>
          </rPr>
          <t>作者:</t>
        </r>
        <r>
          <rPr>
            <sz val="9"/>
            <color indexed="81"/>
            <rFont val="Tahoma"/>
            <family val="2"/>
            <charset val="134"/>
          </rPr>
          <t xml:space="preserve">
2013年1月21日发tet</t>
        </r>
      </text>
    </comment>
    <comment ref="I350" authorId="0" shapeId="0" xr:uid="{00000000-0006-0000-0000-00001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开始预报时间</t>
        </r>
        <r>
          <rPr>
            <sz val="9"/>
            <color indexed="81"/>
            <rFont val="Tahoma"/>
            <family val="2"/>
          </rPr>
          <t>2017.3.7</t>
        </r>
      </text>
    </comment>
    <comment ref="I383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134"/>
          </rPr>
          <t>作者:</t>
        </r>
        <r>
          <rPr>
            <sz val="9"/>
            <color indexed="81"/>
            <rFont val="Tahoma"/>
            <family val="2"/>
            <charset val="134"/>
          </rPr>
          <t xml:space="preserve">
2013年4月8日发tet</t>
        </r>
      </text>
    </comment>
    <comment ref="I413" authorId="0" shapeId="0" xr:uid="{00000000-0006-0000-0000-000007000000}">
      <text>
        <r>
          <rPr>
            <b/>
            <sz val="9"/>
            <color indexed="81"/>
            <rFont val="宋体"/>
            <family val="3"/>
            <charset val="134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2016.7.16</t>
        </r>
        <r>
          <rPr>
            <sz val="9"/>
            <color indexed="81"/>
            <rFont val="宋体"/>
            <family val="3"/>
            <charset val="134"/>
          </rPr>
          <t>开始预报</t>
        </r>
      </text>
    </comment>
    <comment ref="F416" authorId="0" shapeId="0" xr:uid="{00000000-0006-0000-00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杨井一二期</t>
        </r>
      </text>
    </comment>
    <comment ref="F425" authorId="0" shapeId="0" xr:uid="{00000000-0006-0000-00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杨井三期</t>
        </r>
      </text>
    </comment>
    <comment ref="I425" authorId="0" shapeId="0" xr:uid="{00000000-0006-0000-0000-00000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开始预报时间</t>
        </r>
        <r>
          <rPr>
            <sz val="9"/>
            <color indexed="81"/>
            <rFont val="Tahoma"/>
            <family val="2"/>
          </rPr>
          <t>2016.11.22</t>
        </r>
      </text>
    </comment>
    <comment ref="F426" authorId="0" shapeId="0" xr:uid="{00000000-0006-0000-0000-00000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杨井四期</t>
        </r>
      </text>
    </comment>
    <comment ref="I426" authorId="0" shapeId="0" xr:uid="{00000000-0006-0000-0000-00000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开始预报时间</t>
        </r>
        <r>
          <rPr>
            <sz val="9"/>
            <color indexed="81"/>
            <rFont val="Tahoma"/>
            <family val="2"/>
          </rPr>
          <t>2016.11.22</t>
        </r>
      </text>
    </comment>
    <comment ref="I432" authorId="0" shapeId="0" xr:uid="{00000000-0006-0000-0000-00000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开始预报时间</t>
        </r>
        <r>
          <rPr>
            <sz val="9"/>
            <color indexed="81"/>
            <rFont val="Tahoma"/>
            <family val="2"/>
          </rPr>
          <t>2016.12.27</t>
        </r>
      </text>
    </comment>
    <comment ref="I433" authorId="0" shapeId="0" xr:uid="{C9629541-C065-49A9-A4A6-9BD30ED1FC78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开始预报时间</t>
        </r>
        <r>
          <rPr>
            <sz val="9"/>
            <color indexed="81"/>
            <rFont val="Tahoma"/>
            <family val="2"/>
          </rPr>
          <t>2016.12.27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E41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拆分成两条曲线预报</t>
        </r>
      </text>
    </comment>
    <comment ref="E66" authorId="0" shapeId="0" xr:uid="{6603CBE1-EBE2-49D9-81C6-8553EA006937}">
      <text>
        <r>
          <rPr>
            <b/>
            <sz val="9"/>
            <color indexed="81"/>
            <rFont val="宋体"/>
            <family val="3"/>
            <charset val="134"/>
          </rPr>
          <t>拆分成两条曲线预报</t>
        </r>
      </text>
    </comment>
    <comment ref="E110" authorId="0" shapeId="0" xr:uid="{78F42170-74A3-4266-A2C9-A29A5FEC44AE}">
      <text>
        <r>
          <rPr>
            <b/>
            <sz val="9"/>
            <color indexed="81"/>
            <rFont val="宋体"/>
            <family val="3"/>
            <charset val="134"/>
          </rPr>
          <t>拆分成两条曲线预报</t>
        </r>
      </text>
    </comment>
  </commentList>
</comments>
</file>

<file path=xl/sharedStrings.xml><?xml version="1.0" encoding="utf-8"?>
<sst xmlns="http://schemas.openxmlformats.org/spreadsheetml/2006/main" count="5911" uniqueCount="1655">
  <si>
    <t>平阴（安城大唐）</t>
  </si>
  <si>
    <t>潍坊（滨海国电）</t>
  </si>
  <si>
    <t>招远（夏甸国电）</t>
  </si>
  <si>
    <t>沾化（滨海龙源）</t>
  </si>
  <si>
    <t>沂水（马站华能）</t>
  </si>
  <si>
    <t>2010.3.7</t>
  </si>
  <si>
    <t>2010.8.17</t>
  </si>
  <si>
    <t>2010.8.31</t>
  </si>
  <si>
    <t>2011.3.10</t>
  </si>
  <si>
    <t>2012.12.6</t>
  </si>
  <si>
    <t>2012.8.23</t>
  </si>
  <si>
    <t>2011.12.5</t>
  </si>
  <si>
    <t>2014.11.19</t>
  </si>
  <si>
    <t>2011.2.12</t>
  </si>
  <si>
    <t>2014.11.4</t>
  </si>
  <si>
    <t>2013.12.3</t>
  </si>
  <si>
    <t>2013.8.6</t>
  </si>
  <si>
    <t>2015.1.20</t>
  </si>
  <si>
    <t>2014.11.11</t>
  </si>
  <si>
    <t>2011.12.1</t>
  </si>
  <si>
    <t>2011.12.30</t>
  </si>
  <si>
    <t>2013.12.20</t>
  </si>
  <si>
    <t>2013.7.4</t>
  </si>
  <si>
    <t>2011.10.18</t>
  </si>
  <si>
    <t>2011.6.27</t>
  </si>
  <si>
    <t>2013.8.30</t>
  </si>
  <si>
    <t>2015.2.19</t>
  </si>
  <si>
    <t>2011.5.31</t>
  </si>
  <si>
    <t>2013.10.22</t>
  </si>
  <si>
    <t>2015.1.8</t>
  </si>
  <si>
    <t>2012.2.29</t>
  </si>
  <si>
    <t>2012.3.22</t>
  </si>
  <si>
    <t>2014.1.10</t>
  </si>
  <si>
    <t>2014.10.10</t>
  </si>
  <si>
    <t>2015.9.9</t>
  </si>
  <si>
    <t>2013.10.9</t>
  </si>
  <si>
    <t>2013.12.11</t>
  </si>
  <si>
    <t>2014.3.26</t>
  </si>
  <si>
    <t>新疆</t>
  </si>
  <si>
    <t>2015.2.5</t>
  </si>
  <si>
    <t>中电投</t>
  </si>
  <si>
    <t>序号</t>
    <phoneticPr fontId="9" type="noConversion"/>
  </si>
  <si>
    <t>销售经理</t>
    <phoneticPr fontId="9" type="noConversion"/>
  </si>
  <si>
    <t>集团</t>
    <phoneticPr fontId="9" type="noConversion"/>
  </si>
  <si>
    <t>超期时间（月）</t>
    <phoneticPr fontId="9" type="noConversion"/>
  </si>
  <si>
    <t>黑龙江</t>
    <phoneticPr fontId="9" type="noConversion"/>
  </si>
  <si>
    <t>晨光</t>
    <phoneticPr fontId="9" type="noConversion"/>
  </si>
  <si>
    <t>是</t>
    <phoneticPr fontId="9" type="noConversion"/>
  </si>
  <si>
    <t>桦南北架山</t>
    <phoneticPr fontId="9" type="noConversion"/>
  </si>
  <si>
    <t>桦川苏家店</t>
    <phoneticPr fontId="9" type="noConversion"/>
  </si>
  <si>
    <t>集贤太阳山</t>
    <phoneticPr fontId="9" type="noConversion"/>
  </si>
  <si>
    <t>太平</t>
    <phoneticPr fontId="9" type="noConversion"/>
  </si>
  <si>
    <t>碾子山</t>
    <phoneticPr fontId="9" type="noConversion"/>
  </si>
  <si>
    <t>华能</t>
    <phoneticPr fontId="9" type="noConversion"/>
  </si>
  <si>
    <t>大庆和平</t>
    <phoneticPr fontId="9" type="noConversion"/>
  </si>
  <si>
    <t>否</t>
    <phoneticPr fontId="9" type="noConversion"/>
  </si>
  <si>
    <t>同江街津山</t>
    <phoneticPr fontId="9" type="noConversion"/>
  </si>
  <si>
    <t>2010.9.14</t>
    <phoneticPr fontId="9" type="noConversion"/>
  </si>
  <si>
    <t>龙源</t>
    <phoneticPr fontId="9" type="noConversion"/>
  </si>
  <si>
    <t>白山</t>
    <phoneticPr fontId="9" type="noConversion"/>
  </si>
  <si>
    <t>驿马山</t>
    <phoneticPr fontId="9" type="noConversion"/>
  </si>
  <si>
    <t>马鞍山</t>
    <phoneticPr fontId="9" type="noConversion"/>
  </si>
  <si>
    <t>蝙蝠山</t>
    <phoneticPr fontId="9" type="noConversion"/>
  </si>
  <si>
    <t>小城山</t>
    <phoneticPr fontId="9" type="noConversion"/>
  </si>
  <si>
    <t>大黑山</t>
    <phoneticPr fontId="9" type="noConversion"/>
  </si>
  <si>
    <t>曙光</t>
    <phoneticPr fontId="9" type="noConversion"/>
  </si>
  <si>
    <t>望云峰</t>
    <phoneticPr fontId="9" type="noConversion"/>
  </si>
  <si>
    <t>横岱山</t>
    <phoneticPr fontId="9" type="noConversion"/>
  </si>
  <si>
    <t>大箐山</t>
    <phoneticPr fontId="9" type="noConversion"/>
  </si>
  <si>
    <t>石帽顶子</t>
    <phoneticPr fontId="9" type="noConversion"/>
  </si>
  <si>
    <t>耳朵眼</t>
    <phoneticPr fontId="9" type="noConversion"/>
  </si>
  <si>
    <t>大蜂山</t>
    <phoneticPr fontId="9" type="noConversion"/>
  </si>
  <si>
    <t>小锅盔</t>
    <phoneticPr fontId="9" type="noConversion"/>
  </si>
  <si>
    <t>大庆草原</t>
    <phoneticPr fontId="9" type="noConversion"/>
  </si>
  <si>
    <t>克东爱华</t>
    <phoneticPr fontId="9" type="noConversion"/>
  </si>
  <si>
    <t>岔林河</t>
    <phoneticPr fontId="9" type="noConversion"/>
  </si>
  <si>
    <t>带岭东山</t>
    <phoneticPr fontId="9" type="noConversion"/>
  </si>
  <si>
    <t>夹信山</t>
    <phoneticPr fontId="9" type="noConversion"/>
  </si>
  <si>
    <t>华电</t>
    <phoneticPr fontId="9" type="noConversion"/>
  </si>
  <si>
    <t>石青山</t>
    <phoneticPr fontId="9" type="noConversion"/>
  </si>
  <si>
    <t>汤原</t>
    <phoneticPr fontId="9" type="noConversion"/>
  </si>
  <si>
    <t>七里嘎山</t>
    <phoneticPr fontId="9" type="noConversion"/>
  </si>
  <si>
    <t>绥滨吉成</t>
    <phoneticPr fontId="9" type="noConversion"/>
  </si>
  <si>
    <t>东方民生淖毛湖</t>
  </si>
  <si>
    <t>石城子一二期</t>
  </si>
  <si>
    <t>石城子三期</t>
  </si>
  <si>
    <t>吉林</t>
  </si>
  <si>
    <t>中水建设</t>
  </si>
  <si>
    <t>黑龙江</t>
  </si>
  <si>
    <t>李妍</t>
    <phoneticPr fontId="9" type="noConversion"/>
  </si>
  <si>
    <t>大庆银浪</t>
    <phoneticPr fontId="9" type="noConversion"/>
  </si>
  <si>
    <t>2014.10.21</t>
  </si>
  <si>
    <t>/</t>
    <phoneticPr fontId="9" type="noConversion"/>
  </si>
  <si>
    <t>华仪</t>
  </si>
  <si>
    <t>鸡西平岗</t>
  </si>
  <si>
    <t>富强</t>
    <phoneticPr fontId="9" type="noConversion"/>
  </si>
  <si>
    <t>2017.11.8</t>
  </si>
  <si>
    <t>2017.7.11</t>
    <phoneticPr fontId="9" type="noConversion"/>
  </si>
  <si>
    <t>2017.11.14</t>
    <phoneticPr fontId="9" type="noConversion"/>
  </si>
  <si>
    <t>黑龙江</t>
    <phoneticPr fontId="9" type="noConversion"/>
  </si>
  <si>
    <t>三峡新能源</t>
    <phoneticPr fontId="9" type="noConversion"/>
  </si>
  <si>
    <t>伊春美林老白山</t>
    <phoneticPr fontId="9" type="noConversion"/>
  </si>
  <si>
    <t>/</t>
    <phoneticPr fontId="9" type="noConversion"/>
  </si>
  <si>
    <t>泰来汤池</t>
    <phoneticPr fontId="9" type="noConversion"/>
  </si>
  <si>
    <t>乌伊岭阿廷河</t>
    <phoneticPr fontId="9" type="noConversion"/>
  </si>
  <si>
    <t>富裕友谊一期、二期</t>
    <phoneticPr fontId="9" type="noConversion"/>
  </si>
  <si>
    <t>宾县大泉子、大个岭</t>
    <phoneticPr fontId="9" type="noConversion"/>
  </si>
  <si>
    <t>2016.8.11</t>
    <phoneticPr fontId="9" type="noConversion"/>
  </si>
  <si>
    <t>国电和风</t>
    <phoneticPr fontId="9" type="noConversion"/>
  </si>
  <si>
    <t>大青背</t>
    <phoneticPr fontId="9" type="noConversion"/>
  </si>
  <si>
    <t>中电投</t>
    <phoneticPr fontId="9" type="noConversion"/>
  </si>
  <si>
    <t>海浪</t>
    <phoneticPr fontId="9" type="noConversion"/>
  </si>
  <si>
    <t>大庆大丰</t>
    <phoneticPr fontId="9" type="noConversion"/>
  </si>
  <si>
    <t>林甸大丰/林甸东明园</t>
    <phoneticPr fontId="9" type="noConversion"/>
  </si>
  <si>
    <t>2018.11.5</t>
    <phoneticPr fontId="9" type="noConversion"/>
  </si>
  <si>
    <t>国华</t>
    <phoneticPr fontId="9" type="noConversion"/>
  </si>
  <si>
    <t>富裕</t>
    <phoneticPr fontId="9" type="noConversion"/>
  </si>
  <si>
    <t>2016.8.24</t>
    <phoneticPr fontId="9" type="noConversion"/>
  </si>
  <si>
    <t>乌尔古力、五顶山</t>
    <phoneticPr fontId="9" type="noConversion"/>
  </si>
  <si>
    <t>代马沟</t>
    <phoneticPr fontId="9" type="noConversion"/>
  </si>
  <si>
    <t>吉林</t>
    <phoneticPr fontId="9" type="noConversion"/>
  </si>
  <si>
    <t>三峡新能源</t>
    <phoneticPr fontId="9" type="noConversion"/>
  </si>
  <si>
    <t>查干浩特</t>
    <phoneticPr fontId="9" type="noConversion"/>
  </si>
  <si>
    <t>/</t>
    <phoneticPr fontId="9" type="noConversion"/>
  </si>
  <si>
    <t>华电</t>
    <phoneticPr fontId="9" type="noConversion"/>
  </si>
  <si>
    <t>大安风水山</t>
    <phoneticPr fontId="9" type="noConversion"/>
  </si>
  <si>
    <t>2017.12.31</t>
    <phoneticPr fontId="9" type="noConversion"/>
  </si>
  <si>
    <t>双辽那木斯</t>
    <phoneticPr fontId="9" type="noConversion"/>
  </si>
  <si>
    <t>国华</t>
    <phoneticPr fontId="9" type="noConversion"/>
  </si>
  <si>
    <t>乾安腾字</t>
    <phoneticPr fontId="9" type="noConversion"/>
  </si>
  <si>
    <t>中广核</t>
    <phoneticPr fontId="9" type="noConversion"/>
  </si>
  <si>
    <t>大安大岗子</t>
    <phoneticPr fontId="9" type="noConversion"/>
  </si>
  <si>
    <t>中电</t>
    <phoneticPr fontId="9" type="noConversion"/>
  </si>
  <si>
    <t>乾安网新</t>
    <phoneticPr fontId="9" type="noConversion"/>
  </si>
  <si>
    <t>2015.10.21</t>
    <phoneticPr fontId="9" type="noConversion"/>
  </si>
  <si>
    <t>2016.5.7</t>
    <phoneticPr fontId="9" type="noConversion"/>
  </si>
  <si>
    <t>辽宁</t>
    <phoneticPr fontId="9" type="noConversion"/>
  </si>
  <si>
    <t>调兵山（华仪 泉眼沟）</t>
    <phoneticPr fontId="9" type="noConversion"/>
  </si>
  <si>
    <t>开原威远</t>
    <phoneticPr fontId="9" type="noConversion"/>
  </si>
  <si>
    <t>2015.9.1</t>
    <phoneticPr fontId="9" type="noConversion"/>
  </si>
  <si>
    <t>彰武王家</t>
    <phoneticPr fontId="9" type="noConversion"/>
  </si>
  <si>
    <t>华能</t>
    <phoneticPr fontId="9" type="noConversion"/>
  </si>
  <si>
    <t>2011.9.14</t>
    <phoneticPr fontId="9" type="noConversion"/>
  </si>
  <si>
    <t>2014.9.1</t>
    <phoneticPr fontId="9" type="noConversion"/>
  </si>
  <si>
    <t>镇西堡、李家屯及心田堡</t>
    <phoneticPr fontId="9" type="noConversion"/>
  </si>
  <si>
    <t>黑山龙湾</t>
    <phoneticPr fontId="9" type="noConversion"/>
  </si>
  <si>
    <t>2014.11.19</t>
    <phoneticPr fontId="2" type="noConversion"/>
  </si>
  <si>
    <t>王龙波</t>
    <phoneticPr fontId="9" type="noConversion"/>
  </si>
  <si>
    <t>河北</t>
    <phoneticPr fontId="9" type="noConversion"/>
  </si>
  <si>
    <t>尚义</t>
    <phoneticPr fontId="9" type="noConversion"/>
  </si>
  <si>
    <t>河北建投</t>
    <phoneticPr fontId="9" type="noConversion"/>
  </si>
  <si>
    <t>曹碾沟</t>
    <phoneticPr fontId="9" type="noConversion"/>
  </si>
  <si>
    <t>2015.12.31</t>
    <phoneticPr fontId="9" type="noConversion"/>
  </si>
  <si>
    <t>2016.1.26</t>
    <phoneticPr fontId="9" type="noConversion"/>
  </si>
  <si>
    <t>2017.1.25</t>
    <phoneticPr fontId="9" type="noConversion"/>
  </si>
  <si>
    <t>中电投</t>
    <phoneticPr fontId="9" type="noConversion"/>
  </si>
  <si>
    <t>山东</t>
    <phoneticPr fontId="9" type="noConversion"/>
  </si>
  <si>
    <t>大唐</t>
    <phoneticPr fontId="9" type="noConversion"/>
  </si>
  <si>
    <t>东营（东营大唐）</t>
    <phoneticPr fontId="9" type="noConversion"/>
  </si>
  <si>
    <t>2012.6.18</t>
    <phoneticPr fontId="9" type="noConversion"/>
  </si>
  <si>
    <t>2015.6.17</t>
    <phoneticPr fontId="9" type="noConversion"/>
  </si>
  <si>
    <t>服务时间 2015.6.15-2015.6.15？
业主16年服务合同都没签，计划区域打包。</t>
    <phoneticPr fontId="9" type="noConversion"/>
  </si>
  <si>
    <t>龙源</t>
    <phoneticPr fontId="9" type="noConversion"/>
  </si>
  <si>
    <t>江苏</t>
    <phoneticPr fontId="9" type="noConversion"/>
  </si>
  <si>
    <t>启东</t>
    <phoneticPr fontId="9" type="noConversion"/>
  </si>
  <si>
    <t>新疆</t>
    <phoneticPr fontId="9" type="noConversion"/>
  </si>
  <si>
    <t>淖毛湖一期
淖毛湖二期</t>
    <phoneticPr fontId="9" type="noConversion"/>
  </si>
  <si>
    <t>一期：2013.3.14
二期：2016.4.28</t>
    <phoneticPr fontId="9" type="noConversion"/>
  </si>
  <si>
    <t>苦水</t>
    <phoneticPr fontId="9" type="noConversion"/>
  </si>
  <si>
    <t>十三间房风电场三、四期</t>
    <phoneticPr fontId="9" type="noConversion"/>
  </si>
  <si>
    <t>昌吉州木垒一期</t>
    <phoneticPr fontId="9" type="noConversion"/>
  </si>
  <si>
    <t>苇湖梁风电场（东区）</t>
    <phoneticPr fontId="9" type="noConversion"/>
  </si>
  <si>
    <t>苇湖梁风电场（中区）</t>
    <phoneticPr fontId="9" type="noConversion"/>
  </si>
  <si>
    <t>苇湖梁风电场（西区）</t>
    <phoneticPr fontId="9" type="noConversion"/>
  </si>
  <si>
    <t>三塘湖蒲类海一期</t>
    <phoneticPr fontId="9" type="noConversion"/>
  </si>
  <si>
    <t>东方民生三塘湖一期
东方民生三塘湖二、三、四期</t>
    <phoneticPr fontId="9" type="noConversion"/>
  </si>
  <si>
    <t>2013.5.28</t>
    <phoneticPr fontId="2" type="noConversion"/>
  </si>
  <si>
    <t>东方民生石城子</t>
    <phoneticPr fontId="9" type="noConversion"/>
  </si>
  <si>
    <t>力诺石城子</t>
    <phoneticPr fontId="9" type="noConversion"/>
  </si>
  <si>
    <t>吐鲁番白杨河</t>
    <phoneticPr fontId="9" type="noConversion"/>
  </si>
  <si>
    <t>2015.12.8</t>
    <phoneticPr fontId="9" type="noConversion"/>
  </si>
  <si>
    <t>2016.12.7</t>
    <phoneticPr fontId="9" type="noConversion"/>
  </si>
  <si>
    <t>珍珠泉小草湖北</t>
    <phoneticPr fontId="9" type="noConversion"/>
  </si>
  <si>
    <t>2015.12.12</t>
    <phoneticPr fontId="9" type="noConversion"/>
  </si>
  <si>
    <t>2016.12.11</t>
    <phoneticPr fontId="9" type="noConversion"/>
  </si>
  <si>
    <t>2016.4.28</t>
    <phoneticPr fontId="9" type="noConversion"/>
  </si>
  <si>
    <t>烟墩</t>
    <phoneticPr fontId="9" type="noConversion"/>
  </si>
  <si>
    <t>2014.3.26</t>
    <phoneticPr fontId="9" type="noConversion"/>
  </si>
  <si>
    <t>大唐</t>
    <phoneticPr fontId="9" type="noConversion"/>
  </si>
  <si>
    <t>哈密苦水</t>
    <phoneticPr fontId="9" type="noConversion"/>
  </si>
  <si>
    <t>2016.7.16</t>
    <phoneticPr fontId="9" type="noConversion"/>
  </si>
  <si>
    <t>张铁民</t>
    <phoneticPr fontId="9" type="noConversion"/>
  </si>
  <si>
    <t>新疆</t>
    <phoneticPr fontId="9" type="noConversion"/>
  </si>
  <si>
    <t>国电投</t>
    <phoneticPr fontId="9" type="noConversion"/>
  </si>
  <si>
    <t>布尔津</t>
    <phoneticPr fontId="9" type="noConversion"/>
  </si>
  <si>
    <t>2017.9.12</t>
    <phoneticPr fontId="9" type="noConversion"/>
  </si>
  <si>
    <t>秦英飞</t>
    <phoneticPr fontId="9" type="noConversion"/>
  </si>
  <si>
    <t>福建</t>
    <phoneticPr fontId="9" type="noConversion"/>
  </si>
  <si>
    <t>福能</t>
    <phoneticPr fontId="9" type="noConversion"/>
  </si>
  <si>
    <t>龙海隆教</t>
    <phoneticPr fontId="9" type="noConversion"/>
  </si>
  <si>
    <t>2012.7.9</t>
    <phoneticPr fontId="9" type="noConversion"/>
  </si>
  <si>
    <t>草山</t>
    <phoneticPr fontId="9" type="noConversion"/>
  </si>
  <si>
    <t>新村、新厝、港尾</t>
    <phoneticPr fontId="9" type="noConversion"/>
  </si>
  <si>
    <t>2016.11.2</t>
    <phoneticPr fontId="9" type="noConversion"/>
  </si>
  <si>
    <t>莆田石塘</t>
    <phoneticPr fontId="9" type="noConversion"/>
  </si>
  <si>
    <t>国电</t>
    <phoneticPr fontId="9" type="noConversion"/>
  </si>
  <si>
    <t>中核国电</t>
    <phoneticPr fontId="9" type="noConversion"/>
  </si>
  <si>
    <t>云霄曾江</t>
    <phoneticPr fontId="9" type="noConversion"/>
  </si>
  <si>
    <t>2016.3.30</t>
    <phoneticPr fontId="9" type="noConversion"/>
  </si>
  <si>
    <t>江西</t>
    <phoneticPr fontId="9" type="noConversion"/>
  </si>
  <si>
    <t>蒋公岭</t>
    <phoneticPr fontId="9" type="noConversion"/>
  </si>
  <si>
    <t>2015.1.8</t>
    <phoneticPr fontId="9" type="noConversion"/>
  </si>
  <si>
    <t>灵华山</t>
    <phoneticPr fontId="9" type="noConversion"/>
  </si>
  <si>
    <t>2017.1.4</t>
    <phoneticPr fontId="9" type="noConversion"/>
  </si>
  <si>
    <t>2017.8.28</t>
    <phoneticPr fontId="9" type="noConversion"/>
  </si>
  <si>
    <t>广西</t>
    <phoneticPr fontId="9" type="noConversion"/>
  </si>
  <si>
    <t>金紫山</t>
    <phoneticPr fontId="9" type="noConversion"/>
  </si>
  <si>
    <t>2014.3.14</t>
    <phoneticPr fontId="9" type="noConversion"/>
  </si>
  <si>
    <t>云南</t>
    <phoneticPr fontId="9" type="noConversion"/>
  </si>
  <si>
    <t>杨振坤</t>
    <phoneticPr fontId="9" type="noConversion"/>
  </si>
  <si>
    <t>宁夏</t>
    <phoneticPr fontId="9" type="noConversion"/>
  </si>
  <si>
    <t>中卫香山第四风电场</t>
    <phoneticPr fontId="9" type="noConversion"/>
  </si>
  <si>
    <t>中卫香山第六风电场</t>
    <phoneticPr fontId="9" type="noConversion"/>
  </si>
  <si>
    <t>2016.3.11</t>
    <phoneticPr fontId="9" type="noConversion"/>
  </si>
  <si>
    <t>2014.4.15</t>
    <phoneticPr fontId="9" type="noConversion"/>
  </si>
  <si>
    <t>2020.4.14</t>
    <phoneticPr fontId="9" type="noConversion"/>
  </si>
  <si>
    <t>陕西</t>
    <phoneticPr fontId="9" type="noConversion"/>
  </si>
  <si>
    <t>靖边芦河</t>
    <phoneticPr fontId="9" type="noConversion"/>
  </si>
  <si>
    <t>2014.11.9</t>
    <phoneticPr fontId="9" type="noConversion"/>
  </si>
  <si>
    <t>定边杨井二期</t>
    <phoneticPr fontId="9" type="noConversion"/>
  </si>
  <si>
    <t>武峁子</t>
    <phoneticPr fontId="9" type="noConversion"/>
  </si>
  <si>
    <t>沈口子</t>
    <phoneticPr fontId="9" type="noConversion"/>
  </si>
  <si>
    <t>远见榆林横山一期（狄青塬）</t>
    <phoneticPr fontId="9" type="noConversion"/>
  </si>
  <si>
    <t>2015.7.3</t>
    <phoneticPr fontId="9" type="noConversion"/>
  </si>
  <si>
    <t>2016.7.2</t>
    <phoneticPr fontId="9" type="noConversion"/>
  </si>
  <si>
    <t>2016.3.19</t>
    <phoneticPr fontId="9" type="noConversion"/>
  </si>
  <si>
    <t>2017.3.18</t>
    <phoneticPr fontId="9" type="noConversion"/>
  </si>
  <si>
    <t>大柳塔</t>
    <phoneticPr fontId="9" type="noConversion"/>
  </si>
  <si>
    <t>2016.11.9</t>
    <phoneticPr fontId="9" type="noConversion"/>
  </si>
  <si>
    <t>陕光伏</t>
    <phoneticPr fontId="9" type="noConversion"/>
  </si>
  <si>
    <t>靖边上欠井</t>
    <phoneticPr fontId="9" type="noConversion"/>
  </si>
  <si>
    <t>陕西</t>
    <phoneticPr fontId="9" type="noConversion"/>
  </si>
  <si>
    <t>岐山光伏</t>
    <phoneticPr fontId="9" type="noConversion"/>
  </si>
  <si>
    <t>2017.6.12</t>
    <phoneticPr fontId="9" type="noConversion"/>
  </si>
  <si>
    <t>湖南</t>
    <phoneticPr fontId="9" type="noConversion"/>
  </si>
  <si>
    <t>汝城东岗岭</t>
    <phoneticPr fontId="9" type="noConversion"/>
  </si>
  <si>
    <t>2015.11.28</t>
    <phoneticPr fontId="9" type="noConversion"/>
  </si>
  <si>
    <t>湖南</t>
    <phoneticPr fontId="9" type="noConversion"/>
  </si>
  <si>
    <t>宝鼎山</t>
    <phoneticPr fontId="9" type="noConversion"/>
  </si>
  <si>
    <t>湖北</t>
    <phoneticPr fontId="9" type="noConversion"/>
  </si>
  <si>
    <t>百里荒</t>
    <phoneticPr fontId="9" type="noConversion"/>
  </si>
  <si>
    <t>2015.11.6</t>
    <phoneticPr fontId="9" type="noConversion"/>
  </si>
  <si>
    <t>安徽</t>
    <phoneticPr fontId="9" type="noConversion"/>
  </si>
  <si>
    <t>国电投</t>
    <phoneticPr fontId="9" type="noConversion"/>
  </si>
  <si>
    <t>南谯</t>
    <phoneticPr fontId="9" type="noConversion"/>
  </si>
  <si>
    <t>2015.12.17</t>
    <phoneticPr fontId="9" type="noConversion"/>
  </si>
  <si>
    <t>黑龙江</t>
    <phoneticPr fontId="9" type="noConversion"/>
  </si>
  <si>
    <t>东辉</t>
    <phoneticPr fontId="9" type="noConversion"/>
  </si>
  <si>
    <t>2016.4.7</t>
    <phoneticPr fontId="9" type="noConversion"/>
  </si>
  <si>
    <t>未开始</t>
    <phoneticPr fontId="9" type="noConversion"/>
  </si>
  <si>
    <t>黑龙江</t>
    <phoneticPr fontId="9" type="noConversion"/>
  </si>
  <si>
    <t>华能</t>
    <phoneticPr fontId="9" type="noConversion"/>
  </si>
  <si>
    <t>2016.12.2</t>
    <phoneticPr fontId="9" type="noConversion"/>
  </si>
  <si>
    <t>林口大丰/林口胜利</t>
    <phoneticPr fontId="9" type="noConversion"/>
  </si>
  <si>
    <t>2017.1.9</t>
    <phoneticPr fontId="9" type="noConversion"/>
  </si>
  <si>
    <t>华润</t>
    <phoneticPr fontId="2" type="noConversion"/>
  </si>
  <si>
    <t>安达</t>
    <phoneticPr fontId="2" type="noConversion"/>
  </si>
  <si>
    <t>2017.7.1</t>
    <phoneticPr fontId="9" type="noConversion"/>
  </si>
  <si>
    <t>2017.1.19</t>
    <phoneticPr fontId="9" type="noConversion"/>
  </si>
  <si>
    <t>松原绿筑</t>
    <phoneticPr fontId="9" type="noConversion"/>
  </si>
  <si>
    <t>2017.8.4</t>
    <phoneticPr fontId="9" type="noConversion"/>
  </si>
  <si>
    <t>中广核</t>
    <phoneticPr fontId="9" type="noConversion"/>
  </si>
  <si>
    <t>2017.4.12</t>
    <phoneticPr fontId="9" type="noConversion"/>
  </si>
  <si>
    <t>华电</t>
    <phoneticPr fontId="9" type="noConversion"/>
  </si>
  <si>
    <t>烟台龙口二期</t>
    <phoneticPr fontId="9" type="noConversion"/>
  </si>
  <si>
    <t>2017.2.22</t>
    <phoneticPr fontId="9" type="noConversion"/>
  </si>
  <si>
    <t>狼尔沟</t>
    <phoneticPr fontId="9" type="noConversion"/>
  </si>
  <si>
    <t>2017.7.4</t>
    <phoneticPr fontId="9" type="noConversion"/>
  </si>
  <si>
    <t>湖北</t>
    <phoneticPr fontId="9" type="noConversion"/>
  </si>
  <si>
    <t>钟祥胡家湾</t>
    <phoneticPr fontId="9" type="noConversion"/>
  </si>
  <si>
    <t>2018.1.2</t>
    <phoneticPr fontId="9" type="noConversion"/>
  </si>
  <si>
    <t>青海</t>
    <phoneticPr fontId="9" type="noConversion"/>
  </si>
  <si>
    <t>茶卡盐湖</t>
    <phoneticPr fontId="9" type="noConversion"/>
  </si>
  <si>
    <t>15年合同，签订2年服务</t>
    <phoneticPr fontId="9" type="noConversion"/>
  </si>
  <si>
    <t>切及敦曲</t>
    <phoneticPr fontId="9" type="noConversion"/>
  </si>
  <si>
    <t>华润</t>
    <phoneticPr fontId="9" type="noConversion"/>
  </si>
  <si>
    <t>明光东山</t>
    <phoneticPr fontId="9" type="noConversion"/>
  </si>
  <si>
    <t>刘龙台</t>
    <phoneticPr fontId="9" type="noConversion"/>
  </si>
  <si>
    <t>托克逊</t>
    <phoneticPr fontId="9" type="noConversion"/>
  </si>
  <si>
    <t>中节能</t>
    <phoneticPr fontId="9" type="noConversion"/>
  </si>
  <si>
    <t>哈密烟墩</t>
    <phoneticPr fontId="9" type="noConversion"/>
  </si>
  <si>
    <t>哈密景峡</t>
    <phoneticPr fontId="9" type="noConversion"/>
  </si>
  <si>
    <t>福建</t>
    <phoneticPr fontId="9" type="noConversion"/>
  </si>
  <si>
    <t>宁德虎贝</t>
    <phoneticPr fontId="9" type="noConversion"/>
  </si>
  <si>
    <t>中核汇能</t>
    <phoneticPr fontId="9" type="noConversion"/>
  </si>
  <si>
    <t>高嵛山</t>
    <phoneticPr fontId="9" type="noConversion"/>
  </si>
  <si>
    <t>高龙山</t>
    <phoneticPr fontId="9" type="noConversion"/>
  </si>
  <si>
    <t>敖家山</t>
    <phoneticPr fontId="9" type="noConversion"/>
  </si>
  <si>
    <t>肇东德昌</t>
    <phoneticPr fontId="9" type="noConversion"/>
  </si>
  <si>
    <t>大庆双榆</t>
    <phoneticPr fontId="9" type="noConversion"/>
  </si>
  <si>
    <t>前锋</t>
    <phoneticPr fontId="9" type="noConversion"/>
  </si>
  <si>
    <t>不用再签服务合同，与七里嘎山共用数据</t>
    <phoneticPr fontId="9" type="noConversion"/>
  </si>
  <si>
    <t>大庆瑞好</t>
    <phoneticPr fontId="9" type="noConversion"/>
  </si>
  <si>
    <t>2013.12.31</t>
    <phoneticPr fontId="9" type="noConversion"/>
  </si>
  <si>
    <t>2016/4/1停止服务，欠款约42万元</t>
    <phoneticPr fontId="9" type="noConversion"/>
  </si>
  <si>
    <t>大唐国际</t>
    <phoneticPr fontId="9" type="noConversion"/>
  </si>
  <si>
    <t>骆驼沟二期/坝头二期</t>
    <phoneticPr fontId="9" type="noConversion"/>
  </si>
  <si>
    <t>2016.1.7</t>
    <phoneticPr fontId="9" type="noConversion"/>
  </si>
  <si>
    <t>预报到2016/3/31截止</t>
    <phoneticPr fontId="9" type="noConversion"/>
  </si>
  <si>
    <t>2016.1.9</t>
    <phoneticPr fontId="9" type="noConversion"/>
  </si>
  <si>
    <t>2016年1月10日停止服务，无需续签</t>
    <phoneticPr fontId="9" type="noConversion"/>
  </si>
  <si>
    <t>中核国电</t>
    <phoneticPr fontId="9" type="noConversion"/>
  </si>
  <si>
    <t>云霄青径</t>
    <phoneticPr fontId="9" type="noConversion"/>
  </si>
  <si>
    <t>2013.6.5</t>
    <phoneticPr fontId="9" type="noConversion"/>
  </si>
  <si>
    <t>2014.6.4</t>
    <phoneticPr fontId="9" type="noConversion"/>
  </si>
  <si>
    <t>2016年停止服务，无需续签，18个月的服务已做说明，费用收不回。</t>
    <phoneticPr fontId="9" type="noConversion"/>
  </si>
  <si>
    <t>靖边高家沟</t>
    <phoneticPr fontId="9" type="noConversion"/>
  </si>
  <si>
    <t>停止预报时间2016.8</t>
    <phoneticPr fontId="9" type="noConversion"/>
  </si>
  <si>
    <t>国电</t>
    <phoneticPr fontId="9" type="noConversion"/>
  </si>
  <si>
    <t>吉山粱</t>
    <phoneticPr fontId="9" type="noConversion"/>
  </si>
  <si>
    <t>2016.5.24</t>
    <phoneticPr fontId="9" type="noConversion"/>
  </si>
  <si>
    <t>2016.8.31</t>
    <phoneticPr fontId="9" type="noConversion"/>
  </si>
  <si>
    <t>停止预报</t>
    <phoneticPr fontId="9" type="noConversion"/>
  </si>
  <si>
    <t>2015.2.29</t>
    <phoneticPr fontId="9" type="noConversion"/>
  </si>
  <si>
    <t>2015.3.21</t>
    <phoneticPr fontId="9" type="noConversion"/>
  </si>
  <si>
    <t>2012.3.7
2014.12.23</t>
    <phoneticPr fontId="9" type="noConversion"/>
  </si>
  <si>
    <t>2015.3.6</t>
    <phoneticPr fontId="9" type="noConversion"/>
  </si>
  <si>
    <t>鲁能</t>
    <phoneticPr fontId="9" type="noConversion"/>
  </si>
  <si>
    <t>小草湖</t>
    <phoneticPr fontId="9" type="noConversion"/>
  </si>
  <si>
    <t>2015.3.25</t>
    <phoneticPr fontId="9" type="noConversion"/>
  </si>
  <si>
    <t>停止服务</t>
    <phoneticPr fontId="9" type="noConversion"/>
  </si>
  <si>
    <t>哈密烟墩</t>
    <phoneticPr fontId="9" type="noConversion"/>
  </si>
  <si>
    <t>/</t>
    <phoneticPr fontId="9" type="noConversion"/>
  </si>
  <si>
    <t>2016.3.1</t>
    <phoneticPr fontId="9" type="noConversion"/>
  </si>
  <si>
    <t>2017.2.28</t>
    <phoneticPr fontId="9" type="noConversion"/>
  </si>
  <si>
    <t>停止服务</t>
    <phoneticPr fontId="9" type="noConversion"/>
  </si>
  <si>
    <t>中船重工</t>
    <phoneticPr fontId="9" type="noConversion"/>
  </si>
  <si>
    <t>泡崖大北山</t>
    <phoneticPr fontId="9" type="noConversion"/>
  </si>
  <si>
    <t>2017.12.15停止预报</t>
    <phoneticPr fontId="9" type="noConversion"/>
  </si>
  <si>
    <t>锦州南山</t>
    <phoneticPr fontId="9" type="noConversion"/>
  </si>
  <si>
    <t>提供预测服务之日起1年</t>
    <phoneticPr fontId="9" type="noConversion"/>
  </si>
  <si>
    <t>未预报过，与销售经理确认不需要进行预报</t>
    <phoneticPr fontId="9" type="noConversion"/>
  </si>
  <si>
    <t>光润焉耆光伏一电站</t>
    <phoneticPr fontId="9" type="noConversion"/>
  </si>
  <si>
    <t>2018.1.6</t>
    <phoneticPr fontId="9" type="noConversion"/>
  </si>
  <si>
    <t>2017.6.23</t>
  </si>
  <si>
    <t>2018.1.13</t>
    <phoneticPr fontId="9" type="noConversion"/>
  </si>
  <si>
    <t>亚洲电力</t>
    <phoneticPr fontId="9" type="noConversion"/>
  </si>
  <si>
    <t>2018.12.31</t>
    <phoneticPr fontId="9" type="noConversion"/>
  </si>
  <si>
    <t>风电场</t>
  </si>
  <si>
    <t>光伏电站</t>
    <phoneticPr fontId="9" type="noConversion"/>
  </si>
  <si>
    <t>场站类别</t>
    <phoneticPr fontId="9" type="noConversion"/>
  </si>
  <si>
    <t>2018.1.25</t>
    <phoneticPr fontId="9" type="noConversion"/>
  </si>
  <si>
    <t>2018.1.29</t>
    <phoneticPr fontId="9" type="noConversion"/>
  </si>
  <si>
    <t>初装合同不含服务</t>
    <phoneticPr fontId="9" type="noConversion"/>
  </si>
  <si>
    <t>2017.10.22</t>
    <phoneticPr fontId="9" type="noConversion"/>
  </si>
  <si>
    <t>2018.2.26</t>
    <phoneticPr fontId="9" type="noConversion"/>
  </si>
  <si>
    <t>2019.4.7</t>
    <phoneticPr fontId="9" type="noConversion"/>
  </si>
  <si>
    <t>2021.11.21</t>
    <phoneticPr fontId="9" type="noConversion"/>
  </si>
  <si>
    <t>已签订合同已订购中尺度数据项目</t>
    <phoneticPr fontId="9" type="noConversion"/>
  </si>
  <si>
    <t>已签订合同未订购中尺度数据项目</t>
    <phoneticPr fontId="9" type="noConversion"/>
  </si>
  <si>
    <t>已签订合同未预报项目</t>
    <phoneticPr fontId="9" type="noConversion"/>
  </si>
  <si>
    <t>其他</t>
    <phoneticPr fontId="9" type="noConversion"/>
  </si>
  <si>
    <t>其他</t>
    <phoneticPr fontId="9" type="noConversion"/>
  </si>
  <si>
    <t>数值天气预报服务台账</t>
    <phoneticPr fontId="9" type="noConversion"/>
  </si>
  <si>
    <t>吉林</t>
    <phoneticPr fontId="9" type="noConversion"/>
  </si>
  <si>
    <t>庄河</t>
    <phoneticPr fontId="9" type="noConversion"/>
  </si>
  <si>
    <t>天电西沟（达坂城西沟二期）</t>
    <phoneticPr fontId="9" type="noConversion"/>
  </si>
  <si>
    <t>天山电力</t>
    <phoneticPr fontId="9" type="noConversion"/>
  </si>
  <si>
    <t>三峡新能源</t>
    <phoneticPr fontId="9" type="noConversion"/>
  </si>
  <si>
    <t>辽宁</t>
    <phoneticPr fontId="9" type="noConversion"/>
  </si>
  <si>
    <t>马梦迪</t>
    <phoneticPr fontId="9" type="noConversion"/>
  </si>
  <si>
    <t>预测服务4个月</t>
    <phoneticPr fontId="9" type="noConversion"/>
  </si>
  <si>
    <t>天电西沟（达坂城西沟一期）</t>
    <phoneticPr fontId="9" type="noConversion"/>
  </si>
  <si>
    <t>狄青塬二期</t>
    <phoneticPr fontId="9" type="noConversion"/>
  </si>
  <si>
    <t>陕西</t>
    <phoneticPr fontId="9" type="noConversion"/>
  </si>
  <si>
    <t>国华</t>
    <phoneticPr fontId="9" type="noConversion"/>
  </si>
  <si>
    <t>2018.4.23</t>
    <phoneticPr fontId="9" type="noConversion"/>
  </si>
  <si>
    <t>2019.4.22</t>
    <phoneticPr fontId="9" type="noConversion"/>
  </si>
  <si>
    <t>七八期 2014.3.15
九期 2014.11.27</t>
    <phoneticPr fontId="9" type="noConversion"/>
  </si>
  <si>
    <t>2018.4.12</t>
    <phoneticPr fontId="9" type="noConversion"/>
  </si>
  <si>
    <t>2018.4.12陕西狄青塬二期开始正式预报</t>
    <phoneticPr fontId="9" type="noConversion"/>
  </si>
  <si>
    <t>2018.4.12陕西阿庄二期开始正式预报</t>
    <phoneticPr fontId="9" type="noConversion"/>
  </si>
  <si>
    <t>2018.11.13</t>
    <phoneticPr fontId="9" type="noConversion"/>
  </si>
  <si>
    <t>2017.12.26</t>
    <phoneticPr fontId="9" type="noConversion"/>
  </si>
  <si>
    <t>天润</t>
    <phoneticPr fontId="9" type="noConversion"/>
  </si>
  <si>
    <t>龙井市智新镇</t>
    <phoneticPr fontId="9" type="noConversion"/>
  </si>
  <si>
    <t>是</t>
    <phoneticPr fontId="9" type="noConversion"/>
  </si>
  <si>
    <t>15036 绥滨吉成服务合同，合同内容“技术服务期限为壹年，自2015年6月15日起至2015年12月31日止”。</t>
    <phoneticPr fontId="13" type="noConversion"/>
  </si>
  <si>
    <t>安达利源/昌德</t>
    <phoneticPr fontId="9" type="noConversion"/>
  </si>
  <si>
    <t>大唐</t>
    <phoneticPr fontId="9" type="noConversion"/>
  </si>
  <si>
    <t>是</t>
    <phoneticPr fontId="9" type="noConversion"/>
  </si>
  <si>
    <t>否</t>
    <phoneticPr fontId="9" type="noConversion"/>
  </si>
  <si>
    <t>2018.4.25</t>
    <phoneticPr fontId="9" type="noConversion"/>
  </si>
  <si>
    <t>2018.5.28</t>
    <phoneticPr fontId="9" type="noConversion"/>
  </si>
  <si>
    <t>合计</t>
    <phoneticPr fontId="9" type="noConversion"/>
  </si>
  <si>
    <t>场站名称</t>
    <phoneticPr fontId="9" type="noConversion"/>
  </si>
  <si>
    <t>省（区）</t>
    <phoneticPr fontId="9" type="noConversion"/>
  </si>
  <si>
    <t>是否超期
（是/否）</t>
    <phoneticPr fontId="9" type="noConversion"/>
  </si>
  <si>
    <t>续签前
服务到期时间</t>
    <phoneticPr fontId="9" type="noConversion"/>
  </si>
  <si>
    <t>续签后
服务开始时间</t>
    <phoneticPr fontId="9" type="noConversion"/>
  </si>
  <si>
    <t>中断期间服务费如何处理</t>
    <phoneticPr fontId="9" type="noConversion"/>
  </si>
  <si>
    <t>备注</t>
    <phoneticPr fontId="9" type="noConversion"/>
  </si>
  <si>
    <t>记录日期</t>
    <phoneticPr fontId="9" type="noConversion"/>
  </si>
  <si>
    <t>开始预报时间</t>
    <phoneticPr fontId="9" type="noConversion"/>
  </si>
  <si>
    <t>五凌小草湖南风电一场</t>
    <phoneticPr fontId="9" type="noConversion"/>
  </si>
  <si>
    <t>风电场</t>
    <phoneticPr fontId="9" type="noConversion"/>
  </si>
  <si>
    <t>预测服务1年</t>
    <phoneticPr fontId="9" type="noConversion"/>
  </si>
  <si>
    <t>大安海陀</t>
    <phoneticPr fontId="9" type="noConversion"/>
  </si>
  <si>
    <t>马梦迪</t>
    <phoneticPr fontId="11" type="noConversion"/>
  </si>
  <si>
    <t>王星</t>
    <phoneticPr fontId="9" type="noConversion"/>
  </si>
  <si>
    <t>孙立中</t>
    <phoneticPr fontId="9" type="noConversion"/>
  </si>
  <si>
    <t>段洪宇</t>
    <phoneticPr fontId="9" type="noConversion"/>
  </si>
  <si>
    <t>停工，未开始预报</t>
    <phoneticPr fontId="9" type="noConversion"/>
  </si>
  <si>
    <t>停工，未开始预报</t>
    <phoneticPr fontId="9" type="noConversion"/>
  </si>
  <si>
    <t>光伏电站</t>
  </si>
  <si>
    <t>光伏电站</t>
    <phoneticPr fontId="9" type="noConversion"/>
  </si>
  <si>
    <t>建模扩容</t>
    <phoneticPr fontId="9" type="noConversion"/>
  </si>
  <si>
    <t>其他</t>
    <phoneticPr fontId="9" type="noConversion"/>
  </si>
  <si>
    <t>从并网时间开始计算</t>
    <phoneticPr fontId="9" type="noConversion"/>
  </si>
  <si>
    <t>开工申请不含预测服务期</t>
    <phoneticPr fontId="9" type="noConversion"/>
  </si>
  <si>
    <t>高家沟（预测PK）</t>
    <phoneticPr fontId="9" type="noConversion"/>
  </si>
  <si>
    <t>预测服务3个月</t>
    <phoneticPr fontId="9" type="noConversion"/>
  </si>
  <si>
    <t>预计签订服务合同
金额（万元）</t>
    <phoneticPr fontId="9" type="noConversion"/>
  </si>
  <si>
    <t>已申请开工项目（包括已预报和未预报）</t>
    <phoneticPr fontId="9" type="noConversion"/>
  </si>
  <si>
    <t>已停止预测服务项目（包括已预报和未预报）</t>
    <phoneticPr fontId="9" type="noConversion"/>
  </si>
  <si>
    <t>小计</t>
    <phoneticPr fontId="9" type="noConversion"/>
  </si>
  <si>
    <t>（可回最大值）</t>
    <phoneticPr fontId="9" type="noConversion"/>
  </si>
  <si>
    <t>2018.3.21</t>
    <phoneticPr fontId="9" type="noConversion"/>
  </si>
  <si>
    <t xml:space="preserve"> 富裕</t>
    <phoneticPr fontId="9" type="noConversion"/>
  </si>
  <si>
    <t>乾安腾字</t>
    <phoneticPr fontId="9" type="noConversion"/>
  </si>
  <si>
    <t>2018.5.27</t>
    <phoneticPr fontId="9" type="noConversion"/>
  </si>
  <si>
    <t>留龙沟</t>
    <phoneticPr fontId="9" type="noConversion"/>
  </si>
  <si>
    <t>芦河</t>
    <phoneticPr fontId="9" type="noConversion"/>
  </si>
  <si>
    <t>河北</t>
    <phoneticPr fontId="9" type="noConversion"/>
  </si>
  <si>
    <t>尚义</t>
    <phoneticPr fontId="9" type="noConversion"/>
  </si>
  <si>
    <t>王星</t>
    <phoneticPr fontId="9" type="noConversion"/>
  </si>
  <si>
    <t>2018.1.1</t>
    <phoneticPr fontId="9" type="noConversion"/>
  </si>
  <si>
    <t>2015.3.11</t>
    <phoneticPr fontId="9" type="noConversion"/>
  </si>
  <si>
    <t>2015.11.8</t>
    <phoneticPr fontId="9" type="noConversion"/>
  </si>
  <si>
    <t>2015.1.1</t>
    <phoneticPr fontId="9" type="noConversion"/>
  </si>
  <si>
    <t>2013.6.12</t>
    <phoneticPr fontId="9" type="noConversion"/>
  </si>
  <si>
    <t>2017.8.23</t>
    <phoneticPr fontId="9" type="noConversion"/>
  </si>
  <si>
    <t>2015.10.30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</si>
  <si>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018.3.1</t>
    </r>
    <phoneticPr fontId="9" type="noConversion"/>
  </si>
  <si>
    <t>18037销售合同，合同金额37.8万元，客户补了一部分金额，作为中断服务期的服务费。</t>
    <phoneticPr fontId="9" type="noConversion"/>
  </si>
  <si>
    <t>中断时间
（月）</t>
    <phoneticPr fontId="9" type="noConversion"/>
  </si>
  <si>
    <t>2018.1.14</t>
    <phoneticPr fontId="9" type="noConversion"/>
  </si>
  <si>
    <t>梅桥镇</t>
    <phoneticPr fontId="9" type="noConversion"/>
  </si>
  <si>
    <t>秦英飞</t>
  </si>
  <si>
    <t>福建</t>
  </si>
  <si>
    <t>国电</t>
  </si>
  <si>
    <t>霞浦延亭</t>
  </si>
  <si>
    <t>2017.3.29</t>
  </si>
  <si>
    <t>2017.8.11</t>
  </si>
  <si>
    <t>霞浦延亭（一期+二期）</t>
    <phoneticPr fontId="9" type="noConversion"/>
  </si>
  <si>
    <t>2018.9.5</t>
    <phoneticPr fontId="9" type="noConversion"/>
  </si>
  <si>
    <t>建模扩容，与一期合并上报一条曲线。</t>
    <phoneticPr fontId="9" type="noConversion"/>
  </si>
  <si>
    <t>中闽能</t>
    <phoneticPr fontId="9" type="noConversion"/>
  </si>
  <si>
    <t>正式预报时间</t>
    <phoneticPr fontId="9" type="noConversion"/>
  </si>
  <si>
    <t>服务合同到期时间</t>
    <phoneticPr fontId="9" type="noConversion"/>
  </si>
  <si>
    <t>续签服务合同情况说明</t>
    <phoneticPr fontId="9" type="noConversion"/>
  </si>
  <si>
    <t>霞浦延亭二期和一期合并上报一条曲线</t>
    <phoneticPr fontId="9" type="noConversion"/>
  </si>
  <si>
    <t>2018.4.29</t>
    <phoneticPr fontId="9" type="noConversion"/>
  </si>
  <si>
    <t>2018.8.4</t>
    <phoneticPr fontId="9" type="noConversion"/>
  </si>
  <si>
    <t>2018.8.10</t>
    <phoneticPr fontId="9" type="noConversion"/>
  </si>
  <si>
    <t>2018.6.19</t>
    <phoneticPr fontId="9" type="noConversion"/>
  </si>
  <si>
    <t>2018.7.18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</si>
  <si>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018.9.20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</si>
  <si>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017.3.29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</si>
  <si>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018.1.1</t>
    </r>
    <phoneticPr fontId="9" type="noConversion"/>
  </si>
  <si>
    <t>含杨木岗、老平岗、锅盔山三个合同。</t>
    <phoneticPr fontId="9" type="noConversion"/>
  </si>
  <si>
    <t>2020.4.28</t>
    <phoneticPr fontId="9" type="noConversion"/>
  </si>
  <si>
    <t>2017.12.15 大北山停止预报，2016.1.10山东华能沂水马站停止预报，在《全部项目清单及项目状态》中如何体现。（沙岗子停止预报时间？）</t>
    <phoneticPr fontId="13" type="noConversion"/>
  </si>
  <si>
    <t>17143 二四期预测服务1年，待确认。</t>
    <phoneticPr fontId="13" type="noConversion"/>
  </si>
  <si>
    <t>鞠云峰</t>
    <phoneticPr fontId="9" type="noConversion"/>
  </si>
  <si>
    <t>建平上新井</t>
    <phoneticPr fontId="9" type="noConversion"/>
  </si>
  <si>
    <t>双辽</t>
    <phoneticPr fontId="9" type="noConversion"/>
  </si>
  <si>
    <t>洮南</t>
    <phoneticPr fontId="9" type="noConversion"/>
  </si>
  <si>
    <t>向阳</t>
    <phoneticPr fontId="9" type="noConversion"/>
  </si>
  <si>
    <t>新艾里</t>
    <phoneticPr fontId="9" type="noConversion"/>
  </si>
  <si>
    <t>红旗</t>
    <phoneticPr fontId="9" type="noConversion"/>
  </si>
  <si>
    <t>刘龙台（二期）</t>
    <phoneticPr fontId="9" type="noConversion"/>
  </si>
  <si>
    <t>2018.11.30</t>
    <phoneticPr fontId="9" type="noConversion"/>
  </si>
  <si>
    <t>2017.8.12</t>
    <phoneticPr fontId="9" type="noConversion"/>
  </si>
  <si>
    <t>珍珠泉小草湖北</t>
    <phoneticPr fontId="9" type="noConversion"/>
  </si>
  <si>
    <t>续签前到期为2016.12.11。续签为2018.1.1-2018.12.31</t>
    <phoneticPr fontId="9" type="noConversion"/>
  </si>
  <si>
    <t>续签前到期为2016.12.7。续签为2018.1.1-2018.12.31</t>
    <phoneticPr fontId="9" type="noConversion"/>
  </si>
  <si>
    <t>吐鲁番白杨河</t>
    <phoneticPr fontId="9" type="noConversion"/>
  </si>
  <si>
    <t>2018.12.15</t>
    <phoneticPr fontId="9" type="noConversion"/>
  </si>
  <si>
    <t>2019.7.31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</si>
  <si>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018.12.28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</si>
  <si>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018.6.11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</si>
  <si>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018.7.31</t>
    </r>
    <phoneticPr fontId="9" type="noConversion"/>
  </si>
  <si>
    <t>销售经理</t>
    <phoneticPr fontId="9" type="noConversion"/>
  </si>
  <si>
    <t>签订合同
销售经理</t>
    <phoneticPr fontId="9" type="noConversion"/>
  </si>
  <si>
    <t>郭文明</t>
    <phoneticPr fontId="9" type="noConversion"/>
  </si>
  <si>
    <t>韩志宇</t>
    <phoneticPr fontId="9" type="noConversion"/>
  </si>
  <si>
    <t>兴隆新海</t>
    <phoneticPr fontId="9" type="noConversion"/>
  </si>
  <si>
    <t>/</t>
    <phoneticPr fontId="9" type="noConversion"/>
  </si>
  <si>
    <t>韩志宇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</si>
  <si>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019.1.31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</si>
  <si>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017.7.15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</si>
  <si>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018.7.1</t>
    </r>
    <phoneticPr fontId="9" type="noConversion"/>
  </si>
  <si>
    <t>2020.6.30</t>
    <phoneticPr fontId="9" type="noConversion"/>
  </si>
  <si>
    <t>安达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</si>
  <si>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018.12.31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</si>
  <si>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019.1.10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</si>
  <si>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019.2.28</t>
    </r>
    <phoneticPr fontId="9" type="noConversion"/>
  </si>
  <si>
    <t>华仪</t>
    <phoneticPr fontId="9" type="noConversion"/>
  </si>
  <si>
    <t>平岗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</si>
  <si>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018.1.18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</si>
  <si>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018.8.23</t>
    </r>
    <phoneticPr fontId="9" type="noConversion"/>
  </si>
  <si>
    <t>大庆长元</t>
    <phoneticPr fontId="9" type="noConversion"/>
  </si>
  <si>
    <t>出装合同不含服务</t>
    <phoneticPr fontId="9" type="noConversion"/>
  </si>
  <si>
    <t>预计签订服务合同时间</t>
    <phoneticPr fontId="9" type="noConversion"/>
  </si>
  <si>
    <t>十三间房四期</t>
    <phoneticPr fontId="9" type="noConversion"/>
  </si>
  <si>
    <t>郭文明</t>
    <phoneticPr fontId="9" type="noConversion"/>
  </si>
  <si>
    <t>大唐</t>
  </si>
  <si>
    <r>
      <t>2</t>
    </r>
    <r>
      <rPr>
        <sz val="11"/>
        <color indexed="8"/>
        <rFont val="宋体"/>
        <family val="3"/>
        <charset val="134"/>
      </rPr>
      <t>019.4.29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</si>
  <si>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016.12.31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</si>
  <si>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018.1.1</t>
    </r>
    <phoneticPr fontId="9" type="noConversion"/>
  </si>
  <si>
    <t>马梦迪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</si>
  <si>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019.2.1</t>
    </r>
    <phoneticPr fontId="9" type="noConversion"/>
  </si>
  <si>
    <t>2019.1.30</t>
    <phoneticPr fontId="9" type="noConversion"/>
  </si>
  <si>
    <t>十三间房四期与十三间房三期分别独立上报，收两份预测服务费，十三间房四期建模扩容合同包含一年服务期，从并网之日开始计算，并网时间为2019年1月30日。</t>
    <phoneticPr fontId="9" type="noConversion"/>
  </si>
  <si>
    <t>实际此合同为十三间房三期</t>
    <phoneticPr fontId="9" type="noConversion"/>
  </si>
  <si>
    <t>龙源</t>
    <phoneticPr fontId="9" type="noConversion"/>
  </si>
  <si>
    <t>永安</t>
    <phoneticPr fontId="9" type="noConversion"/>
  </si>
  <si>
    <t>兴隆山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</si>
  <si>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019.5.31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</si>
  <si>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018.11.7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</si>
  <si>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019.1.1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</si>
  <si>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019.7.31</t>
    </r>
    <phoneticPr fontId="9" type="noConversion"/>
  </si>
  <si>
    <t>安徽</t>
    <phoneticPr fontId="9" type="noConversion"/>
  </si>
  <si>
    <t>南谯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</si>
  <si>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018.12.16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</si>
  <si>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019.6.1</t>
    </r>
    <phoneticPr fontId="9" type="noConversion"/>
  </si>
  <si>
    <t>2020.1.20</t>
    <phoneticPr fontId="9" type="noConversion"/>
  </si>
  <si>
    <t>中伏能源</t>
    <phoneticPr fontId="9" type="noConversion"/>
  </si>
  <si>
    <t>泗县草庙</t>
    <phoneticPr fontId="9" type="noConversion"/>
  </si>
  <si>
    <t>中电建</t>
    <phoneticPr fontId="9" type="noConversion"/>
  </si>
  <si>
    <t>北塔山牧场</t>
    <phoneticPr fontId="9" type="noConversion"/>
  </si>
  <si>
    <t>长岭王子（一、二、三期）</t>
    <phoneticPr fontId="9" type="noConversion"/>
  </si>
  <si>
    <t>布尔津天润</t>
    <phoneticPr fontId="9" type="noConversion"/>
  </si>
  <si>
    <t>葫芦岛岳家屯</t>
    <phoneticPr fontId="9" type="noConversion"/>
  </si>
  <si>
    <t>博尔能源</t>
    <phoneticPr fontId="9" type="noConversion"/>
  </si>
  <si>
    <t>安达畜牧场</t>
    <phoneticPr fontId="9" type="noConversion"/>
  </si>
  <si>
    <t>四方嶂</t>
    <phoneticPr fontId="9" type="noConversion"/>
  </si>
  <si>
    <t>鹤岗萝北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</si>
  <si>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019.12.31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</si>
  <si>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018.5.31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</si>
  <si>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019.1.1</t>
    </r>
    <phoneticPr fontId="9" type="noConversion"/>
  </si>
  <si>
    <t>特变电工照壁山</t>
    <phoneticPr fontId="9" type="noConversion"/>
  </si>
  <si>
    <t>甘肃</t>
    <phoneticPr fontId="9" type="noConversion"/>
  </si>
  <si>
    <t>玉新</t>
    <phoneticPr fontId="9" type="noConversion"/>
  </si>
  <si>
    <t>乌兰达布森</t>
    <phoneticPr fontId="9" type="noConversion"/>
  </si>
  <si>
    <t>福能</t>
    <phoneticPr fontId="9" type="noConversion"/>
  </si>
  <si>
    <t>黑鱼泡</t>
    <phoneticPr fontId="9" type="noConversion"/>
  </si>
  <si>
    <t>镇赉</t>
    <phoneticPr fontId="9" type="noConversion"/>
  </si>
  <si>
    <t>到保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</si>
  <si>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019.12.31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</si>
  <si>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020.3.4</t>
    </r>
    <phoneticPr fontId="9" type="noConversion"/>
  </si>
  <si>
    <t>2020.4.31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</si>
  <si>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020.4.31</t>
    </r>
    <phoneticPr fontId="9" type="noConversion"/>
  </si>
  <si>
    <t>预测服务2年</t>
    <phoneticPr fontId="9" type="noConversion"/>
  </si>
  <si>
    <t>永州梅岗</t>
    <phoneticPr fontId="9" type="noConversion"/>
  </si>
  <si>
    <t>2019.3.21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</si>
  <si>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020.6.30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</si>
  <si>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018.6.30</t>
    </r>
    <phoneticPr fontId="9" type="noConversion"/>
  </si>
  <si>
    <r>
      <t>20</t>
    </r>
    <r>
      <rPr>
        <sz val="11"/>
        <color indexed="8"/>
        <rFont val="宋体"/>
        <family val="3"/>
        <charset val="134"/>
      </rPr>
      <t>20.5.21</t>
    </r>
    <phoneticPr fontId="9" type="noConversion"/>
  </si>
  <si>
    <t>中铁十二局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</si>
  <si>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019.5.28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</si>
  <si>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020.5.1</t>
    </r>
    <phoneticPr fontId="9" type="noConversion"/>
  </si>
  <si>
    <t>2020.5.31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</si>
  <si>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020.7.15</t>
    </r>
    <phoneticPr fontId="9" type="noConversion"/>
  </si>
  <si>
    <t>托克逊</t>
    <phoneticPr fontId="9" type="noConversion"/>
  </si>
  <si>
    <t>2019.4.25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</si>
  <si>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020.5.28</t>
    </r>
    <phoneticPr fontId="9" type="noConversion"/>
  </si>
  <si>
    <t>2019.1.5</t>
    <phoneticPr fontId="9" type="noConversion"/>
  </si>
  <si>
    <r>
      <t>20</t>
    </r>
    <r>
      <rPr>
        <sz val="11"/>
        <color indexed="8"/>
        <rFont val="宋体"/>
        <family val="3"/>
        <charset val="134"/>
      </rPr>
      <t>21.12.31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</si>
  <si>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018.3.27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</si>
  <si>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016.4.28</t>
    </r>
    <phoneticPr fontId="9" type="noConversion"/>
  </si>
  <si>
    <r>
      <t>201</t>
    </r>
    <r>
      <rPr>
        <sz val="11"/>
        <rFont val="宋体"/>
        <family val="3"/>
        <charset val="134"/>
      </rPr>
      <t>9.12.31</t>
    </r>
    <phoneticPr fontId="9" type="noConversion"/>
  </si>
  <si>
    <r>
      <t>2011.9.1</t>
    </r>
    <r>
      <rPr>
        <sz val="11"/>
        <color indexed="8"/>
        <rFont val="宋体"/>
        <family val="3"/>
        <charset val="134"/>
      </rPr>
      <t xml:space="preserve"> 一二期
2014.11.19 三四期</t>
    </r>
    <phoneticPr fontId="9" type="noConversion"/>
  </si>
  <si>
    <r>
      <t>2018.</t>
    </r>
    <r>
      <rPr>
        <sz val="11"/>
        <color indexed="8"/>
        <rFont val="宋体"/>
        <family val="3"/>
        <charset val="134"/>
      </rPr>
      <t>12</t>
    </r>
    <r>
      <rPr>
        <sz val="11"/>
        <color indexed="8"/>
        <rFont val="宋体"/>
        <family val="3"/>
        <charset val="134"/>
      </rPr>
      <t>.</t>
    </r>
    <r>
      <rPr>
        <sz val="11"/>
        <color indexed="8"/>
        <rFont val="宋体"/>
        <family val="3"/>
        <charset val="134"/>
      </rPr>
      <t>31</t>
    </r>
    <phoneticPr fontId="9" type="noConversion"/>
  </si>
  <si>
    <r>
      <t>2018.</t>
    </r>
    <r>
      <rPr>
        <sz val="11"/>
        <color indexed="8"/>
        <rFont val="宋体"/>
        <family val="3"/>
        <charset val="134"/>
      </rPr>
      <t>12</t>
    </r>
    <r>
      <rPr>
        <sz val="11"/>
        <color indexed="8"/>
        <rFont val="宋体"/>
        <family val="3"/>
        <charset val="134"/>
      </rPr>
      <t>.3</t>
    </r>
    <r>
      <rPr>
        <sz val="11"/>
        <color indexed="8"/>
        <rFont val="宋体"/>
        <family val="3"/>
        <charset val="134"/>
      </rPr>
      <t>1</t>
    </r>
    <phoneticPr fontId="9" type="noConversion"/>
  </si>
  <si>
    <r>
      <t>2017.</t>
    </r>
    <r>
      <rPr>
        <sz val="11"/>
        <color indexed="8"/>
        <rFont val="宋体"/>
        <family val="3"/>
        <charset val="134"/>
      </rPr>
      <t>3.7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</si>
  <si>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018.12.31</t>
    </r>
    <phoneticPr fontId="9" type="noConversion"/>
  </si>
  <si>
    <r>
      <t>2013.12</t>
    </r>
    <r>
      <rPr>
        <sz val="11"/>
        <color indexed="8"/>
        <rFont val="宋体"/>
        <family val="3"/>
        <charset val="134"/>
      </rPr>
      <t>.12</t>
    </r>
    <phoneticPr fontId="9" type="noConversion"/>
  </si>
  <si>
    <r>
      <t>2016</t>
    </r>
    <r>
      <rPr>
        <sz val="11"/>
        <color indexed="8"/>
        <rFont val="宋体"/>
        <family val="3"/>
        <charset val="134"/>
      </rPr>
      <t>.11.2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</si>
  <si>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019.7.1</t>
    </r>
    <phoneticPr fontId="9" type="noConversion"/>
  </si>
  <si>
    <r>
      <t>2</t>
    </r>
    <r>
      <rPr>
        <sz val="11"/>
        <rFont val="宋体"/>
        <family val="3"/>
        <charset val="134"/>
      </rPr>
      <t>019.12.1</t>
    </r>
    <phoneticPr fontId="9" type="noConversion"/>
  </si>
  <si>
    <r>
      <t>201</t>
    </r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>.12.31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</si>
  <si>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019.2.21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</si>
  <si>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019.3.1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</si>
  <si>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019.4.16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</si>
  <si>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020.4.14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</si>
  <si>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018.2.27</t>
    </r>
    <phoneticPr fontId="9" type="noConversion"/>
  </si>
  <si>
    <r>
      <t>2016.7.</t>
    </r>
    <r>
      <rPr>
        <sz val="11"/>
        <color indexed="8"/>
        <rFont val="宋体"/>
        <family val="3"/>
        <charset val="134"/>
      </rPr>
      <t>28</t>
    </r>
    <phoneticPr fontId="9" type="noConversion"/>
  </si>
  <si>
    <r>
      <t>2012.6.</t>
    </r>
    <r>
      <rPr>
        <sz val="11"/>
        <color indexed="8"/>
        <rFont val="宋体"/>
        <family val="3"/>
        <charset val="134"/>
      </rPr>
      <t>13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</si>
  <si>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016.7.28</t>
    </r>
    <phoneticPr fontId="9" type="noConversion"/>
  </si>
  <si>
    <r>
      <t>2016.</t>
    </r>
    <r>
      <rPr>
        <sz val="11"/>
        <rFont val="宋体"/>
        <family val="3"/>
        <charset val="134"/>
      </rPr>
      <t>4.20</t>
    </r>
    <phoneticPr fontId="9" type="noConversion"/>
  </si>
  <si>
    <t>2019.12.31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</si>
  <si>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016.4.6</t>
    </r>
    <phoneticPr fontId="9" type="noConversion"/>
  </si>
  <si>
    <r>
      <t>2015.12.</t>
    </r>
    <r>
      <rPr>
        <sz val="11"/>
        <color indexed="8"/>
        <rFont val="宋体"/>
        <family val="3"/>
        <charset val="134"/>
      </rPr>
      <t>26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</si>
  <si>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020.12.31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</si>
  <si>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016.11.2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</si>
  <si>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016.3.30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</si>
  <si>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019.4.3</t>
    </r>
    <phoneticPr fontId="9" type="noConversion"/>
  </si>
  <si>
    <r>
      <t>兴安1</t>
    </r>
    <r>
      <rPr>
        <sz val="11"/>
        <color indexed="8"/>
        <rFont val="宋体"/>
        <family val="3"/>
        <charset val="134"/>
      </rPr>
      <t>0个风场</t>
    </r>
    <phoneticPr fontId="9" type="noConversion"/>
  </si>
  <si>
    <r>
      <t>2017年合同重新签订2017.4.15-2020.4.14</t>
    </r>
    <r>
      <rPr>
        <sz val="11"/>
        <color indexed="8"/>
        <rFont val="宋体"/>
        <family val="3"/>
        <charset val="134"/>
      </rPr>
      <t>.2020.4.7杨振坤反馈停服务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</si>
  <si>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016.7.21</t>
    </r>
    <phoneticPr fontId="9" type="noConversion"/>
  </si>
  <si>
    <r>
      <t>2</t>
    </r>
    <r>
      <rPr>
        <sz val="11"/>
        <rFont val="宋体"/>
        <family val="3"/>
        <charset val="134"/>
      </rPr>
      <t>021.11.21</t>
    </r>
    <phoneticPr fontId="9" type="noConversion"/>
  </si>
  <si>
    <r>
      <t>2</t>
    </r>
    <r>
      <rPr>
        <sz val="11"/>
        <rFont val="宋体"/>
        <family val="3"/>
        <charset val="134"/>
      </rPr>
      <t>019.1.13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</si>
  <si>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019.4.11</t>
    </r>
    <phoneticPr fontId="9" type="noConversion"/>
  </si>
  <si>
    <r>
      <t>2</t>
    </r>
    <r>
      <rPr>
        <sz val="11"/>
        <rFont val="宋体"/>
        <family val="3"/>
        <charset val="134"/>
      </rPr>
      <t>017.11.8</t>
    </r>
    <phoneticPr fontId="9" type="noConversion"/>
  </si>
  <si>
    <r>
      <t>2016.8.</t>
    </r>
    <r>
      <rPr>
        <sz val="11"/>
        <color indexed="8"/>
        <rFont val="宋体"/>
        <family val="3"/>
        <charset val="134"/>
      </rPr>
      <t>13</t>
    </r>
    <phoneticPr fontId="9" type="noConversion"/>
  </si>
  <si>
    <r>
      <t>2</t>
    </r>
    <r>
      <rPr>
        <sz val="11"/>
        <rFont val="宋体"/>
        <family val="3"/>
        <charset val="134"/>
      </rPr>
      <t>022.11.19</t>
    </r>
    <phoneticPr fontId="9" type="noConversion"/>
  </si>
  <si>
    <r>
      <t>2</t>
    </r>
    <r>
      <rPr>
        <sz val="11"/>
        <rFont val="宋体"/>
        <family val="3"/>
        <charset val="134"/>
      </rPr>
      <t>020.11.5</t>
    </r>
    <phoneticPr fontId="9" type="noConversion"/>
  </si>
  <si>
    <r>
      <t>2</t>
    </r>
    <r>
      <rPr>
        <sz val="11"/>
        <rFont val="宋体"/>
        <family val="3"/>
        <charset val="134"/>
      </rPr>
      <t>023.4.30</t>
    </r>
    <phoneticPr fontId="9" type="noConversion"/>
  </si>
  <si>
    <r>
      <t>2</t>
    </r>
    <r>
      <rPr>
        <sz val="11"/>
        <rFont val="宋体"/>
        <family val="3"/>
        <charset val="134"/>
      </rPr>
      <t>021.7.15</t>
    </r>
    <phoneticPr fontId="9" type="noConversion"/>
  </si>
  <si>
    <r>
      <t>2</t>
    </r>
    <r>
      <rPr>
        <sz val="11"/>
        <rFont val="宋体"/>
        <family val="3"/>
        <charset val="134"/>
      </rPr>
      <t>021.2.25</t>
    </r>
    <phoneticPr fontId="9" type="noConversion"/>
  </si>
  <si>
    <r>
      <t>2</t>
    </r>
    <r>
      <rPr>
        <sz val="11"/>
        <rFont val="宋体"/>
        <family val="3"/>
        <charset val="134"/>
      </rPr>
      <t>019.12.31</t>
    </r>
    <phoneticPr fontId="9" type="noConversion"/>
  </si>
  <si>
    <r>
      <t>2</t>
    </r>
    <r>
      <rPr>
        <sz val="11"/>
        <rFont val="宋体"/>
        <family val="3"/>
        <charset val="134"/>
      </rPr>
      <t>022.2.22</t>
    </r>
    <phoneticPr fontId="9" type="noConversion"/>
  </si>
  <si>
    <r>
      <t>201</t>
    </r>
    <r>
      <rPr>
        <sz val="11"/>
        <color indexed="8"/>
        <rFont val="宋体"/>
        <family val="3"/>
        <charset val="134"/>
      </rPr>
      <t>2.12.12</t>
    </r>
    <phoneticPr fontId="9" type="noConversion"/>
  </si>
  <si>
    <r>
      <t>服务时间 2015.3.1-2016.2.28
服务停止至</t>
    </r>
    <r>
      <rPr>
        <sz val="11"/>
        <color indexed="8"/>
        <rFont val="宋体"/>
        <family val="3"/>
        <charset val="134"/>
      </rPr>
      <t>2016年12月</t>
    </r>
    <phoneticPr fontId="9" type="noConversion"/>
  </si>
  <si>
    <r>
      <t>服务时间 2015.3.22-2016.3.22
服务停止至</t>
    </r>
    <r>
      <rPr>
        <sz val="11"/>
        <color indexed="8"/>
        <rFont val="宋体"/>
        <family val="3"/>
        <charset val="134"/>
      </rPr>
      <t>2016年12月</t>
    </r>
    <phoneticPr fontId="9" type="noConversion"/>
  </si>
  <si>
    <r>
      <t>服务时间 2015.3.9-2015.3.9
服务停止至</t>
    </r>
    <r>
      <rPr>
        <sz val="11"/>
        <color indexed="8"/>
        <rFont val="宋体"/>
        <family val="3"/>
        <charset val="134"/>
      </rPr>
      <t>2016年12月</t>
    </r>
    <phoneticPr fontId="9" type="noConversion"/>
  </si>
  <si>
    <r>
      <t>2014.4.</t>
    </r>
    <r>
      <rPr>
        <sz val="11"/>
        <color indexed="8"/>
        <rFont val="宋体"/>
        <family val="3"/>
        <charset val="134"/>
      </rPr>
      <t>25</t>
    </r>
    <phoneticPr fontId="9" type="noConversion"/>
  </si>
  <si>
    <r>
      <t>2015.4.</t>
    </r>
    <r>
      <rPr>
        <sz val="11"/>
        <color indexed="8"/>
        <rFont val="宋体"/>
        <family val="3"/>
        <charset val="134"/>
      </rPr>
      <t>24</t>
    </r>
    <phoneticPr fontId="9" type="noConversion"/>
  </si>
  <si>
    <t>宁安头道岭</t>
    <phoneticPr fontId="9" type="noConversion"/>
  </si>
  <si>
    <t>郭文明</t>
    <phoneticPr fontId="9" type="noConversion"/>
  </si>
  <si>
    <t>宁安二道岭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</si>
  <si>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020.7.31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</si>
  <si>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020.1.1</t>
    </r>
    <phoneticPr fontId="9" type="noConversion"/>
  </si>
  <si>
    <t>建模扩容，与一期合并上报一条曲线。但销售经理杨振坤想收2份服务费。免费1年从二期并网之日开始算起。一期二期最后只签了一个合同，合同号20064</t>
    <phoneticPr fontId="9" type="noConversion"/>
  </si>
  <si>
    <t>国华云梦（二三期）</t>
    <phoneticPr fontId="9" type="noConversion"/>
  </si>
  <si>
    <t>国华云梦（一期）</t>
    <phoneticPr fontId="9" type="noConversion"/>
  </si>
  <si>
    <t>国华云梦一期</t>
    <phoneticPr fontId="9" type="noConversion"/>
  </si>
  <si>
    <t>木垒大石头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</si>
  <si>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020.5.1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</si>
  <si>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020.1.29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</si>
  <si>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020.10.17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</si>
  <si>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020.8.1</t>
    </r>
    <phoneticPr fontId="9" type="noConversion"/>
  </si>
  <si>
    <t>腾字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</si>
  <si>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020.8.31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</si>
  <si>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019.11.30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</si>
  <si>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020.1.1</t>
    </r>
    <phoneticPr fontId="9" type="noConversion"/>
  </si>
  <si>
    <t>茅店</t>
    <phoneticPr fontId="9" type="noConversion"/>
  </si>
  <si>
    <t>福新木垒老君庙</t>
    <phoneticPr fontId="9" type="noConversion"/>
  </si>
  <si>
    <t>河北建投</t>
    <phoneticPr fontId="9" type="noConversion"/>
  </si>
  <si>
    <t>昌黎大滩</t>
    <phoneticPr fontId="9" type="noConversion"/>
  </si>
  <si>
    <t>中电投</t>
    <phoneticPr fontId="9" type="noConversion"/>
  </si>
  <si>
    <t>宣化风光互补工程</t>
    <phoneticPr fontId="9" type="noConversion"/>
  </si>
  <si>
    <t>2015.7.29</t>
    <phoneticPr fontId="9" type="noConversion"/>
  </si>
  <si>
    <t>尚义二工地</t>
    <phoneticPr fontId="9" type="noConversion"/>
  </si>
  <si>
    <t>平顶堡</t>
    <phoneticPr fontId="9" type="noConversion"/>
  </si>
  <si>
    <t>义县留龙沟</t>
    <phoneticPr fontId="9" type="noConversion"/>
  </si>
  <si>
    <t>2014.3.12</t>
    <phoneticPr fontId="9" type="noConversion"/>
  </si>
  <si>
    <t>沙岗子</t>
    <phoneticPr fontId="9" type="noConversion"/>
  </si>
  <si>
    <t>文登（泽库大唐）</t>
    <phoneticPr fontId="9" type="noConversion"/>
  </si>
  <si>
    <t>沾化（滨海龙源）</t>
    <phoneticPr fontId="9" type="noConversion"/>
  </si>
  <si>
    <t>2011.12.19</t>
    <phoneticPr fontId="9" type="noConversion"/>
  </si>
  <si>
    <t>安丘（摘月中广）</t>
    <phoneticPr fontId="9" type="noConversion"/>
  </si>
  <si>
    <t>2013.5.31</t>
    <phoneticPr fontId="9" type="noConversion"/>
  </si>
  <si>
    <t>苏撒坡</t>
    <phoneticPr fontId="9" type="noConversion"/>
  </si>
  <si>
    <t>达坂城（天电西沟）</t>
    <phoneticPr fontId="9" type="noConversion"/>
  </si>
  <si>
    <t>2012.6.16</t>
    <phoneticPr fontId="9" type="noConversion"/>
  </si>
  <si>
    <t>杨振坤反馈：停服务</t>
    <phoneticPr fontId="9" type="noConversion"/>
  </si>
  <si>
    <t>银川瑞明光伏电站</t>
    <phoneticPr fontId="9" type="noConversion"/>
  </si>
  <si>
    <t>兴凯湖</t>
    <phoneticPr fontId="9" type="noConversion"/>
  </si>
  <si>
    <t>安邦河</t>
    <phoneticPr fontId="9" type="noConversion"/>
  </si>
  <si>
    <t>2013.3.27</t>
    <phoneticPr fontId="9" type="noConversion"/>
  </si>
  <si>
    <t>龙江哈拉海乡（中航龙腾）</t>
    <phoneticPr fontId="9" type="noConversion"/>
  </si>
  <si>
    <t>2014.4.23</t>
    <phoneticPr fontId="9" type="noConversion"/>
  </si>
  <si>
    <t>万宝山</t>
    <phoneticPr fontId="9" type="noConversion"/>
  </si>
  <si>
    <t>贾本玉</t>
    <phoneticPr fontId="9" type="noConversion"/>
  </si>
  <si>
    <t>2018.6.18</t>
    <phoneticPr fontId="9" type="noConversion"/>
  </si>
  <si>
    <t>大蚶山</t>
    <phoneticPr fontId="9" type="noConversion"/>
  </si>
  <si>
    <t>2013.10.8</t>
    <phoneticPr fontId="9" type="noConversion"/>
  </si>
  <si>
    <t>2017年服务合同预计9月份签。2020年6月11日停服务</t>
    <phoneticPr fontId="9" type="noConversion"/>
  </si>
  <si>
    <t>2019年8月6日停服务</t>
    <phoneticPr fontId="9" type="noConversion"/>
  </si>
  <si>
    <t>含柳毛、蜂蜜山、密山临河、密山潘家店四个合同。2018年9月15日停服务</t>
    <phoneticPr fontId="9" type="noConversion"/>
  </si>
  <si>
    <t>2018年9月5日停服务</t>
    <phoneticPr fontId="9" type="noConversion"/>
  </si>
  <si>
    <t>2018年10月22日停服务</t>
    <phoneticPr fontId="9" type="noConversion"/>
  </si>
  <si>
    <t>杨振坤给业主发函，以正式预报时间为准。2019年2月28日停服务。</t>
    <phoneticPr fontId="9" type="noConversion"/>
  </si>
  <si>
    <t>王星反馈：停服务.2019年4月15日停服务</t>
    <phoneticPr fontId="9" type="noConversion"/>
  </si>
  <si>
    <t>2020年1月1日停服务</t>
    <phoneticPr fontId="9" type="noConversion"/>
  </si>
  <si>
    <t>2020年3月21日停服务</t>
    <phoneticPr fontId="9" type="noConversion"/>
  </si>
  <si>
    <t>2015.12.31之前16个月按照14.8万，2015.12.31之后按照11.1万/年。2020年5月22日停服务</t>
    <phoneticPr fontId="9" type="noConversion"/>
  </si>
  <si>
    <t>每到一年自动进入下一个服务期。2020年7月19日停服务</t>
    <phoneticPr fontId="9" type="noConversion"/>
  </si>
  <si>
    <t>2020年4月6日停服务</t>
    <phoneticPr fontId="9" type="noConversion"/>
  </si>
  <si>
    <t>2019年6月26日停服务</t>
    <phoneticPr fontId="9" type="noConversion"/>
  </si>
  <si>
    <r>
      <t>2</t>
    </r>
    <r>
      <rPr>
        <sz val="11"/>
        <rFont val="宋体"/>
        <family val="3"/>
        <charset val="134"/>
      </rPr>
      <t>020年1月9日停服务</t>
    </r>
    <phoneticPr fontId="9" type="noConversion"/>
  </si>
  <si>
    <r>
      <t>续签前到期日期为2018.8.14。续签时间为2018.1.1-2018.12.15</t>
    </r>
    <r>
      <rPr>
        <sz val="11"/>
        <rFont val="宋体"/>
        <family val="3"/>
        <charset val="134"/>
      </rPr>
      <t>.2019</t>
    </r>
    <r>
      <rPr>
        <sz val="11"/>
        <rFont val="宋体"/>
        <family val="3"/>
        <charset val="134"/>
      </rPr>
      <t>年</t>
    </r>
    <r>
      <rPr>
        <sz val="11"/>
        <rFont val="宋体"/>
        <family val="3"/>
        <charset val="134"/>
      </rPr>
      <t>7</t>
    </r>
    <r>
      <rPr>
        <sz val="11"/>
        <rFont val="宋体"/>
        <family val="3"/>
        <charset val="134"/>
      </rPr>
      <t>月</t>
    </r>
    <r>
      <rPr>
        <sz val="11"/>
        <rFont val="宋体"/>
        <family val="3"/>
        <charset val="134"/>
      </rPr>
      <t>4</t>
    </r>
    <r>
      <rPr>
        <sz val="11"/>
        <rFont val="宋体"/>
        <family val="3"/>
        <charset val="134"/>
      </rPr>
      <t>日停服务。</t>
    </r>
    <phoneticPr fontId="9" type="noConversion"/>
  </si>
  <si>
    <t>从2017.1.1开始续签。2020.1.2停服务。</t>
    <phoneticPr fontId="9" type="noConversion"/>
  </si>
  <si>
    <r>
      <t>含中航龙腾、杏山 二个合同。</t>
    </r>
    <r>
      <rPr>
        <sz val="11"/>
        <rFont val="宋体"/>
        <family val="3"/>
        <charset val="134"/>
      </rPr>
      <t>2019年1月2日停服务。</t>
    </r>
    <phoneticPr fontId="9" type="noConversion"/>
  </si>
  <si>
    <t>2019年1月2日停服务。</t>
    <phoneticPr fontId="9" type="noConversion"/>
  </si>
  <si>
    <r>
      <t>202</t>
    </r>
    <r>
      <rPr>
        <sz val="11"/>
        <rFont val="宋体"/>
        <family val="3"/>
        <charset val="134"/>
      </rPr>
      <t>3</t>
    </r>
    <r>
      <rPr>
        <sz val="11"/>
        <rFont val="宋体"/>
        <family val="3"/>
        <charset val="134"/>
      </rPr>
      <t>.6.30</t>
    </r>
    <phoneticPr fontId="9" type="noConversion"/>
  </si>
  <si>
    <t>韩涛</t>
    <phoneticPr fontId="9" type="noConversion"/>
  </si>
  <si>
    <r>
      <t>202</t>
    </r>
    <r>
      <rPr>
        <sz val="11"/>
        <rFont val="宋体"/>
        <family val="3"/>
        <charset val="134"/>
      </rPr>
      <t>1</t>
    </r>
    <r>
      <rPr>
        <sz val="11"/>
        <rFont val="宋体"/>
        <family val="3"/>
        <charset val="134"/>
      </rPr>
      <t>.9.2</t>
    </r>
    <r>
      <rPr>
        <sz val="11"/>
        <rFont val="宋体"/>
        <family val="3"/>
        <charset val="134"/>
      </rPr>
      <t>1</t>
    </r>
    <phoneticPr fontId="9" type="noConversion"/>
  </si>
  <si>
    <t>兴隆山（二期）</t>
    <phoneticPr fontId="9" type="noConversion"/>
  </si>
  <si>
    <t>尚义石井（二期）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</si>
  <si>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020.10.31</t>
    </r>
    <phoneticPr fontId="9" type="noConversion"/>
  </si>
  <si>
    <t>新疆</t>
    <phoneticPr fontId="16" type="noConversion"/>
  </si>
  <si>
    <t>中节能</t>
    <phoneticPr fontId="16" type="noConversion"/>
  </si>
  <si>
    <t>烟墩</t>
    <phoneticPr fontId="16" type="noConversion"/>
  </si>
  <si>
    <r>
      <t>2</t>
    </r>
    <r>
      <rPr>
        <sz val="11"/>
        <color indexed="8"/>
        <rFont val="宋体"/>
        <family val="3"/>
        <charset val="134"/>
      </rPr>
      <t>019.1.28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</si>
  <si>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020.8.1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</si>
  <si>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020.2.10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</si>
  <si>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020.6.1</t>
    </r>
    <phoneticPr fontId="9" type="noConversion"/>
  </si>
  <si>
    <t>吉林</t>
    <phoneticPr fontId="17" type="noConversion"/>
  </si>
  <si>
    <t>国电投</t>
    <phoneticPr fontId="17" type="noConversion"/>
  </si>
  <si>
    <t>松原绿筑</t>
    <phoneticPr fontId="17" type="noConversion"/>
  </si>
  <si>
    <r>
      <t>2</t>
    </r>
    <r>
      <rPr>
        <sz val="11"/>
        <color indexed="8"/>
        <rFont val="宋体"/>
        <family val="3"/>
        <charset val="134"/>
      </rPr>
      <t>018.8.4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</si>
  <si>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020.10.1</t>
    </r>
    <phoneticPr fontId="9" type="noConversion"/>
  </si>
  <si>
    <t>山西</t>
    <phoneticPr fontId="9" type="noConversion"/>
  </si>
  <si>
    <t>垣曲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</si>
  <si>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020.11.30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</si>
  <si>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020.7.31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</si>
  <si>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020.11.2</t>
    </r>
    <phoneticPr fontId="9" type="noConversion"/>
  </si>
  <si>
    <r>
      <t>2</t>
    </r>
    <r>
      <rPr>
        <sz val="11"/>
        <rFont val="宋体"/>
        <family val="3"/>
        <charset val="134"/>
      </rPr>
      <t>021.11.1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</si>
  <si>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020.10.30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</si>
  <si>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021.11.4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</si>
  <si>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020.11.5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</si>
  <si>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020.11.3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</si>
  <si>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020.10.28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</si>
  <si>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020.11.9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</si>
  <si>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020.1.9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</si>
  <si>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020.9.30</t>
    </r>
    <phoneticPr fontId="9" type="noConversion"/>
  </si>
  <si>
    <t>来福</t>
    <phoneticPr fontId="9" type="noConversion"/>
  </si>
  <si>
    <t>山门</t>
    <phoneticPr fontId="9" type="noConversion"/>
  </si>
  <si>
    <t>百里荒</t>
    <phoneticPr fontId="9" type="noConversion"/>
  </si>
  <si>
    <t>陵川（一期）</t>
    <phoneticPr fontId="9" type="noConversion"/>
  </si>
  <si>
    <t>陵川（二期）</t>
    <phoneticPr fontId="9" type="noConversion"/>
  </si>
  <si>
    <t>宾阳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</si>
  <si>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020.12.31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</si>
  <si>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020.10.31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</si>
  <si>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020.12.1</t>
    </r>
    <phoneticPr fontId="9" type="noConversion"/>
  </si>
  <si>
    <r>
      <t>2</t>
    </r>
    <r>
      <rPr>
        <sz val="11"/>
        <rFont val="宋体"/>
        <family val="3"/>
        <charset val="134"/>
      </rPr>
      <t>02</t>
    </r>
    <r>
      <rPr>
        <sz val="11"/>
        <rFont val="宋体"/>
        <family val="3"/>
        <charset val="134"/>
      </rPr>
      <t>4</t>
    </r>
    <r>
      <rPr>
        <sz val="11"/>
        <rFont val="宋体"/>
        <family val="3"/>
        <charset val="134"/>
      </rPr>
      <t>.3.</t>
    </r>
    <r>
      <rPr>
        <sz val="11"/>
        <rFont val="宋体"/>
        <family val="3"/>
        <charset val="134"/>
      </rPr>
      <t>1</t>
    </r>
    <r>
      <rPr>
        <sz val="11"/>
        <rFont val="宋体"/>
        <family val="3"/>
        <charset val="134"/>
      </rPr>
      <t>3</t>
    </r>
    <phoneticPr fontId="9" type="noConversion"/>
  </si>
  <si>
    <r>
      <t>20</t>
    </r>
    <r>
      <rPr>
        <sz val="11"/>
        <rFont val="宋体"/>
        <family val="3"/>
        <charset val="134"/>
      </rPr>
      <t>2</t>
    </r>
    <r>
      <rPr>
        <sz val="11"/>
        <rFont val="宋体"/>
        <family val="3"/>
        <charset val="134"/>
      </rPr>
      <t>1</t>
    </r>
    <r>
      <rPr>
        <sz val="11"/>
        <rFont val="宋体"/>
        <family val="3"/>
        <charset val="134"/>
      </rPr>
      <t>.</t>
    </r>
    <r>
      <rPr>
        <sz val="11"/>
        <rFont val="宋体"/>
        <family val="3"/>
        <charset val="134"/>
      </rPr>
      <t>6</t>
    </r>
    <r>
      <rPr>
        <sz val="11"/>
        <rFont val="宋体"/>
        <family val="3"/>
        <charset val="134"/>
      </rPr>
      <t>.3</t>
    </r>
    <r>
      <rPr>
        <sz val="11"/>
        <rFont val="宋体"/>
        <family val="3"/>
        <charset val="134"/>
      </rPr>
      <t>0</t>
    </r>
    <phoneticPr fontId="9" type="noConversion"/>
  </si>
  <si>
    <r>
      <t>2</t>
    </r>
    <r>
      <rPr>
        <sz val="11"/>
        <rFont val="宋体"/>
        <family val="3"/>
        <charset val="134"/>
      </rPr>
      <t>02</t>
    </r>
    <r>
      <rPr>
        <sz val="11"/>
        <rFont val="宋体"/>
        <family val="3"/>
        <charset val="134"/>
      </rPr>
      <t>1</t>
    </r>
    <r>
      <rPr>
        <sz val="11"/>
        <rFont val="宋体"/>
        <family val="3"/>
        <charset val="134"/>
      </rPr>
      <t>.7.18</t>
    </r>
    <phoneticPr fontId="9" type="noConversion"/>
  </si>
  <si>
    <t>韩志宇</t>
    <phoneticPr fontId="11" type="noConversion"/>
  </si>
  <si>
    <r>
      <t>2</t>
    </r>
    <r>
      <rPr>
        <sz val="11"/>
        <color indexed="8"/>
        <rFont val="宋体"/>
        <family val="3"/>
        <charset val="134"/>
      </rPr>
      <t>021.2.3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</si>
  <si>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020.7.31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</si>
  <si>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020.11.10</t>
    </r>
    <phoneticPr fontId="9" type="noConversion"/>
  </si>
  <si>
    <r>
      <t>2</t>
    </r>
    <r>
      <rPr>
        <sz val="11"/>
        <rFont val="宋体"/>
        <family val="3"/>
        <charset val="134"/>
      </rPr>
      <t>024.1.5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</si>
  <si>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019.12.10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</si>
  <si>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021.1.1</t>
    </r>
    <phoneticPr fontId="9" type="noConversion"/>
  </si>
  <si>
    <r>
      <t>20</t>
    </r>
    <r>
      <rPr>
        <sz val="11"/>
        <rFont val="宋体"/>
        <family val="3"/>
        <charset val="134"/>
      </rPr>
      <t>22</t>
    </r>
    <r>
      <rPr>
        <sz val="11"/>
        <rFont val="宋体"/>
        <family val="3"/>
        <charset val="134"/>
      </rPr>
      <t>.12.</t>
    </r>
    <r>
      <rPr>
        <sz val="11"/>
        <rFont val="宋体"/>
        <family val="3"/>
        <charset val="134"/>
      </rPr>
      <t>31</t>
    </r>
    <phoneticPr fontId="9" type="noConversion"/>
  </si>
  <si>
    <t>国源天立布尔津</t>
    <phoneticPr fontId="9" type="noConversion"/>
  </si>
  <si>
    <t>2021.12.31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</si>
  <si>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019.11.6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</si>
  <si>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020.7.17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</si>
  <si>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018.9.18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</si>
  <si>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018.12.18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</si>
  <si>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020.6.22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</si>
  <si>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019.7.25</t>
    </r>
    <phoneticPr fontId="9" type="noConversion"/>
  </si>
  <si>
    <t>2019.7.25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</si>
  <si>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020.8.7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</si>
  <si>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020.12.23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</si>
  <si>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020.8.5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</si>
  <si>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020.9.21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</si>
  <si>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021.1.15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</si>
  <si>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021.1.5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</si>
  <si>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019.12.1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</si>
  <si>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020.11.20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</si>
  <si>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021.1.27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</si>
  <si>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020.4.16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</si>
  <si>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021.3.9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</si>
  <si>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021.2.26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</si>
  <si>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020.1.14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</si>
  <si>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021.9.17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</si>
  <si>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021.7.24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</si>
  <si>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022.8.6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</si>
  <si>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021.8.4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</si>
  <si>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022.9.20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</si>
  <si>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022.1.14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</si>
  <si>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022.3.8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</si>
  <si>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022.2.25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</si>
  <si>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020.10.9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</si>
  <si>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021.10.8</t>
    </r>
    <phoneticPr fontId="9" type="noConversion"/>
  </si>
  <si>
    <t>乾慧老君庙风电场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</si>
  <si>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020.12.23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</si>
  <si>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018.9.27</t>
    </r>
    <phoneticPr fontId="9" type="noConversion"/>
  </si>
  <si>
    <t>南堡戟门河</t>
    <phoneticPr fontId="9" type="noConversion"/>
  </si>
  <si>
    <r>
      <t>20</t>
    </r>
    <r>
      <rPr>
        <sz val="11"/>
        <rFont val="宋体"/>
        <family val="3"/>
        <charset val="134"/>
      </rPr>
      <t>2</t>
    </r>
    <r>
      <rPr>
        <sz val="11"/>
        <rFont val="宋体"/>
        <family val="3"/>
        <charset val="134"/>
      </rPr>
      <t>3</t>
    </r>
    <r>
      <rPr>
        <sz val="11"/>
        <rFont val="宋体"/>
        <family val="3"/>
        <charset val="134"/>
      </rPr>
      <t>.12.31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</si>
  <si>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021.3.31</t>
    </r>
    <phoneticPr fontId="9" type="noConversion"/>
  </si>
  <si>
    <t>2019.6.18</t>
    <phoneticPr fontId="9" type="noConversion"/>
  </si>
  <si>
    <t>锐驰</t>
    <phoneticPr fontId="9" type="noConversion"/>
  </si>
  <si>
    <t>哈密石城子</t>
    <phoneticPr fontId="9" type="noConversion"/>
  </si>
  <si>
    <t>十三间房风电场一、二期</t>
    <phoneticPr fontId="9" type="noConversion"/>
  </si>
  <si>
    <t>郭文明
李妍</t>
    <phoneticPr fontId="9" type="noConversion"/>
  </si>
  <si>
    <t>战海（二期）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</si>
  <si>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021.8.3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</si>
  <si>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021.1.31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</si>
  <si>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021.7.1</t>
    </r>
    <phoneticPr fontId="9" type="noConversion"/>
  </si>
  <si>
    <t>双辽莲花山</t>
    <phoneticPr fontId="9" type="noConversion"/>
  </si>
  <si>
    <t>中核</t>
    <phoneticPr fontId="9" type="noConversion"/>
  </si>
  <si>
    <t>哈密烟墩8C</t>
    <phoneticPr fontId="9" type="noConversion"/>
  </si>
  <si>
    <r>
      <t>2</t>
    </r>
    <r>
      <rPr>
        <sz val="11"/>
        <rFont val="宋体"/>
        <family val="3"/>
        <charset val="134"/>
      </rPr>
      <t>021年6月11日停止预报</t>
    </r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</si>
  <si>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021.8.31</t>
    </r>
    <phoneticPr fontId="9" type="noConversion"/>
  </si>
  <si>
    <t>李妍</t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</si>
  <si>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021.7.31</t>
    </r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</si>
  <si>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021.9.1</t>
    </r>
    <phoneticPr fontId="9" type="noConversion"/>
  </si>
  <si>
    <r>
      <t>2</t>
    </r>
    <r>
      <rPr>
        <sz val="11"/>
        <rFont val="宋体"/>
        <family val="3"/>
        <charset val="134"/>
      </rPr>
      <t>021.5.1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</si>
  <si>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021.5.1</t>
    </r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</si>
  <si>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021.6.10</t>
    </r>
    <phoneticPr fontId="9" type="noConversion"/>
  </si>
  <si>
    <t>2021.8.31</t>
    <phoneticPr fontId="9" type="noConversion"/>
  </si>
  <si>
    <t>秦英飞</t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</si>
  <si>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020.12.31</t>
    </r>
    <phoneticPr fontId="9" type="noConversion"/>
  </si>
  <si>
    <r>
      <t>20</t>
    </r>
    <r>
      <rPr>
        <sz val="11"/>
        <rFont val="宋体"/>
        <family val="3"/>
        <charset val="134"/>
      </rPr>
      <t>21.2.28</t>
    </r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</si>
  <si>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021.7.22</t>
    </r>
    <phoneticPr fontId="9" type="noConversion"/>
  </si>
  <si>
    <r>
      <t>20</t>
    </r>
    <r>
      <rPr>
        <sz val="11"/>
        <rFont val="宋体"/>
        <family val="3"/>
        <charset val="134"/>
      </rPr>
      <t>23</t>
    </r>
    <r>
      <rPr>
        <sz val="11"/>
        <rFont val="宋体"/>
        <family val="3"/>
        <charset val="134"/>
      </rPr>
      <t>.</t>
    </r>
    <r>
      <rPr>
        <sz val="11"/>
        <rFont val="宋体"/>
        <family val="3"/>
        <charset val="134"/>
      </rPr>
      <t>1</t>
    </r>
    <r>
      <rPr>
        <sz val="11"/>
        <rFont val="宋体"/>
        <family val="3"/>
        <charset val="134"/>
      </rPr>
      <t>.</t>
    </r>
    <r>
      <rPr>
        <sz val="11"/>
        <rFont val="宋体"/>
        <family val="3"/>
        <charset val="134"/>
      </rPr>
      <t>21</t>
    </r>
    <phoneticPr fontId="9" type="noConversion"/>
  </si>
  <si>
    <t>余字（一期）</t>
    <phoneticPr fontId="9" type="noConversion"/>
  </si>
  <si>
    <t>马梦迪</t>
    <phoneticPr fontId="9" type="noConversion"/>
  </si>
  <si>
    <t>安达十八里畜牧场</t>
    <phoneticPr fontId="9" type="noConversion"/>
  </si>
  <si>
    <t>江口</t>
    <phoneticPr fontId="9" type="noConversion"/>
  </si>
  <si>
    <t>三井子</t>
    <phoneticPr fontId="9" type="noConversion"/>
  </si>
  <si>
    <t>李妍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</si>
  <si>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02</t>
    </r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>.6.1</t>
    </r>
    <phoneticPr fontId="9" type="noConversion"/>
  </si>
  <si>
    <t>公心集</t>
    <phoneticPr fontId="9" type="noConversion"/>
  </si>
  <si>
    <t>卧里屯分散式风电项目</t>
    <phoneticPr fontId="9" type="noConversion"/>
  </si>
  <si>
    <t>王星</t>
    <phoneticPr fontId="9" type="noConversion"/>
  </si>
  <si>
    <t>吉林</t>
    <phoneticPr fontId="9" type="noConversion"/>
  </si>
  <si>
    <t>中广核</t>
    <phoneticPr fontId="9" type="noConversion"/>
  </si>
  <si>
    <t>两家子</t>
    <phoneticPr fontId="9" type="noConversion"/>
  </si>
  <si>
    <r>
      <t>2021年</t>
    </r>
    <r>
      <rPr>
        <sz val="11"/>
        <rFont val="宋体"/>
        <family val="3"/>
        <charset val="134"/>
        <scheme val="minor"/>
      </rPr>
      <t>10月8日停服务</t>
    </r>
    <phoneticPr fontId="9" type="noConversion"/>
  </si>
  <si>
    <t>李妍</t>
    <phoneticPr fontId="9" type="noConversion"/>
  </si>
  <si>
    <t>巴里坤黑眼泉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</si>
  <si>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</t>
    </r>
    <r>
      <rPr>
        <sz val="11"/>
        <color indexed="8"/>
        <rFont val="宋体"/>
        <family val="3"/>
        <charset val="134"/>
      </rPr>
      <t>22</t>
    </r>
    <r>
      <rPr>
        <sz val="11"/>
        <color indexed="8"/>
        <rFont val="宋体"/>
        <family val="3"/>
        <charset val="134"/>
      </rPr>
      <t>.1</t>
    </r>
    <r>
      <rPr>
        <sz val="11"/>
        <color indexed="8"/>
        <rFont val="宋体"/>
        <family val="3"/>
        <charset val="134"/>
      </rPr>
      <t>0</t>
    </r>
    <r>
      <rPr>
        <sz val="11"/>
        <color indexed="8"/>
        <rFont val="宋体"/>
        <family val="3"/>
        <charset val="134"/>
      </rPr>
      <t>.</t>
    </r>
    <r>
      <rPr>
        <sz val="11"/>
        <color indexed="8"/>
        <rFont val="宋体"/>
        <family val="3"/>
        <charset val="134"/>
      </rPr>
      <t>11</t>
    </r>
    <phoneticPr fontId="9" type="noConversion"/>
  </si>
  <si>
    <t>王星</t>
    <phoneticPr fontId="9" type="noConversion"/>
  </si>
  <si>
    <t>台安桑林</t>
    <phoneticPr fontId="9" type="noConversion"/>
  </si>
  <si>
    <t>2021.11.30</t>
    <phoneticPr fontId="9" type="noConversion"/>
  </si>
  <si>
    <t>2021.4.15</t>
    <phoneticPr fontId="9" type="noConversion"/>
  </si>
  <si>
    <t>2021.8.1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</si>
  <si>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022.7.31</t>
    </r>
    <phoneticPr fontId="9" type="noConversion"/>
  </si>
  <si>
    <r>
      <t>20</t>
    </r>
    <r>
      <rPr>
        <sz val="11"/>
        <rFont val="宋体"/>
        <family val="3"/>
        <charset val="134"/>
      </rPr>
      <t>2</t>
    </r>
    <r>
      <rPr>
        <sz val="11"/>
        <rFont val="宋体"/>
        <family val="3"/>
        <charset val="134"/>
      </rPr>
      <t>2</t>
    </r>
    <r>
      <rPr>
        <sz val="11"/>
        <rFont val="宋体"/>
        <family val="3"/>
        <charset val="134"/>
      </rPr>
      <t>.8.</t>
    </r>
    <r>
      <rPr>
        <sz val="11"/>
        <rFont val="宋体"/>
        <family val="3"/>
        <charset val="134"/>
      </rPr>
      <t>25</t>
    </r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</si>
  <si>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021.11.30</t>
    </r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</si>
  <si>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021.10.29</t>
    </r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</si>
  <si>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021.11.26</t>
    </r>
    <phoneticPr fontId="9" type="noConversion"/>
  </si>
  <si>
    <r>
      <t>20</t>
    </r>
    <r>
      <rPr>
        <sz val="11"/>
        <rFont val="宋体"/>
        <family val="3"/>
        <charset val="134"/>
      </rPr>
      <t>2</t>
    </r>
    <r>
      <rPr>
        <sz val="11"/>
        <rFont val="宋体"/>
        <family val="3"/>
        <charset val="134"/>
      </rPr>
      <t>2</t>
    </r>
    <r>
      <rPr>
        <sz val="11"/>
        <rFont val="宋体"/>
        <family val="3"/>
        <charset val="134"/>
      </rPr>
      <t>.1</t>
    </r>
    <r>
      <rPr>
        <sz val="11"/>
        <rFont val="宋体"/>
        <family val="3"/>
        <charset val="134"/>
      </rPr>
      <t>1</t>
    </r>
    <r>
      <rPr>
        <sz val="11"/>
        <rFont val="宋体"/>
        <family val="3"/>
        <charset val="134"/>
      </rPr>
      <t>.</t>
    </r>
    <r>
      <rPr>
        <sz val="11"/>
        <rFont val="宋体"/>
        <family val="3"/>
        <charset val="134"/>
      </rPr>
      <t>25</t>
    </r>
    <phoneticPr fontId="9" type="noConversion"/>
  </si>
  <si>
    <t>李妍</t>
    <phoneticPr fontId="9" type="noConversion"/>
  </si>
  <si>
    <t>西沟二期</t>
    <phoneticPr fontId="9" type="noConversion"/>
  </si>
  <si>
    <t>2021.12.31</t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</si>
  <si>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021.11.8</t>
    </r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</si>
  <si>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021.11.26</t>
    </r>
    <phoneticPr fontId="9" type="noConversion"/>
  </si>
  <si>
    <r>
      <t>2</t>
    </r>
    <r>
      <rPr>
        <sz val="11"/>
        <rFont val="宋体"/>
        <family val="3"/>
        <charset val="134"/>
      </rPr>
      <t>02</t>
    </r>
    <r>
      <rPr>
        <sz val="11"/>
        <rFont val="宋体"/>
        <family val="3"/>
        <charset val="134"/>
      </rPr>
      <t>2</t>
    </r>
    <r>
      <rPr>
        <sz val="11"/>
        <rFont val="宋体"/>
        <family val="3"/>
        <charset val="134"/>
      </rPr>
      <t>.11.</t>
    </r>
    <r>
      <rPr>
        <sz val="11"/>
        <rFont val="宋体"/>
        <family val="3"/>
        <charset val="134"/>
      </rPr>
      <t>25</t>
    </r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</si>
  <si>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021.10.29</t>
    </r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</si>
  <si>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021.11.29</t>
    </r>
    <phoneticPr fontId="9" type="noConversion"/>
  </si>
  <si>
    <r>
      <t>2</t>
    </r>
    <r>
      <rPr>
        <sz val="11"/>
        <rFont val="宋体"/>
        <family val="3"/>
        <charset val="134"/>
      </rPr>
      <t>02</t>
    </r>
    <r>
      <rPr>
        <sz val="11"/>
        <rFont val="宋体"/>
        <family val="3"/>
        <charset val="134"/>
      </rPr>
      <t>1</t>
    </r>
    <r>
      <rPr>
        <sz val="11"/>
        <rFont val="宋体"/>
        <family val="3"/>
        <charset val="134"/>
      </rPr>
      <t>.</t>
    </r>
    <r>
      <rPr>
        <sz val="11"/>
        <rFont val="宋体"/>
        <family val="3"/>
        <charset val="134"/>
      </rPr>
      <t>11</t>
    </r>
    <r>
      <rPr>
        <sz val="11"/>
        <rFont val="宋体"/>
        <family val="3"/>
        <charset val="134"/>
      </rPr>
      <t>.</t>
    </r>
    <r>
      <rPr>
        <sz val="11"/>
        <rFont val="宋体"/>
        <family val="3"/>
        <charset val="134"/>
      </rPr>
      <t>2</t>
    </r>
    <phoneticPr fontId="9" type="noConversion"/>
  </si>
  <si>
    <t>2021.12.5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</si>
  <si>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021.</t>
    </r>
    <r>
      <rPr>
        <sz val="11"/>
        <color indexed="8"/>
        <rFont val="宋体"/>
        <family val="3"/>
        <charset val="134"/>
      </rPr>
      <t>12</t>
    </r>
    <r>
      <rPr>
        <sz val="11"/>
        <color indexed="8"/>
        <rFont val="宋体"/>
        <family val="3"/>
        <charset val="134"/>
      </rPr>
      <t>.</t>
    </r>
    <r>
      <rPr>
        <sz val="11"/>
        <color indexed="8"/>
        <rFont val="宋体"/>
        <family val="3"/>
        <charset val="134"/>
      </rPr>
      <t>31</t>
    </r>
    <phoneticPr fontId="9" type="noConversion"/>
  </si>
  <si>
    <r>
      <t>20</t>
    </r>
    <r>
      <rPr>
        <sz val="11"/>
        <rFont val="宋体"/>
        <family val="3"/>
        <charset val="134"/>
      </rPr>
      <t>2</t>
    </r>
    <r>
      <rPr>
        <sz val="11"/>
        <rFont val="宋体"/>
        <family val="3"/>
        <charset val="134"/>
      </rPr>
      <t>2</t>
    </r>
    <r>
      <rPr>
        <sz val="11"/>
        <rFont val="宋体"/>
        <family val="3"/>
        <charset val="134"/>
      </rPr>
      <t>.5.1</t>
    </r>
    <phoneticPr fontId="9" type="noConversion"/>
  </si>
  <si>
    <r>
      <t>20</t>
    </r>
    <r>
      <rPr>
        <sz val="11"/>
        <rFont val="宋体"/>
        <family val="3"/>
        <charset val="134"/>
      </rPr>
      <t>2</t>
    </r>
    <r>
      <rPr>
        <sz val="11"/>
        <rFont val="宋体"/>
        <family val="3"/>
        <charset val="134"/>
      </rPr>
      <t>2</t>
    </r>
    <r>
      <rPr>
        <sz val="11"/>
        <rFont val="宋体"/>
        <family val="3"/>
        <charset val="134"/>
      </rPr>
      <t>.11.1</t>
    </r>
    <phoneticPr fontId="9" type="noConversion"/>
  </si>
  <si>
    <r>
      <t>2</t>
    </r>
    <r>
      <rPr>
        <sz val="11"/>
        <rFont val="宋体"/>
        <family val="3"/>
        <charset val="134"/>
      </rPr>
      <t>02</t>
    </r>
    <r>
      <rPr>
        <sz val="11"/>
        <rFont val="宋体"/>
        <family val="3"/>
        <charset val="134"/>
      </rPr>
      <t>2</t>
    </r>
    <r>
      <rPr>
        <sz val="11"/>
        <rFont val="宋体"/>
        <family val="3"/>
        <charset val="134"/>
      </rPr>
      <t>.5.1</t>
    </r>
    <phoneticPr fontId="9" type="noConversion"/>
  </si>
  <si>
    <t>2022.1.1</t>
    <phoneticPr fontId="27" type="noConversion"/>
  </si>
  <si>
    <t>2022.12.31</t>
    <phoneticPr fontId="9" type="noConversion"/>
  </si>
  <si>
    <t>海林威虎山二期/虎峰岭</t>
    <phoneticPr fontId="9" type="noConversion"/>
  </si>
  <si>
    <t>李妍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</si>
  <si>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021.6.21</t>
    </r>
    <phoneticPr fontId="9" type="noConversion"/>
  </si>
  <si>
    <t>2022.1.1</t>
    <phoneticPr fontId="9" type="noConversion"/>
  </si>
  <si>
    <t>2021.12.1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</si>
  <si>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022.11.30</t>
    </r>
    <phoneticPr fontId="9" type="noConversion"/>
  </si>
  <si>
    <t>2021.11.25</t>
    <phoneticPr fontId="9" type="noConversion"/>
  </si>
  <si>
    <t>2021.6.1</t>
    <phoneticPr fontId="9" type="noConversion"/>
  </si>
  <si>
    <r>
      <t>20</t>
    </r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>.6.30</t>
    </r>
    <phoneticPr fontId="9" type="noConversion"/>
  </si>
  <si>
    <r>
      <t>20</t>
    </r>
    <r>
      <rPr>
        <sz val="11"/>
        <rFont val="宋体"/>
        <family val="3"/>
        <charset val="134"/>
      </rPr>
      <t>22.</t>
    </r>
    <r>
      <rPr>
        <sz val="11"/>
        <rFont val="宋体"/>
        <family val="3"/>
        <charset val="134"/>
      </rPr>
      <t>12.31</t>
    </r>
    <phoneticPr fontId="9" type="noConversion"/>
  </si>
  <si>
    <r>
      <t>202</t>
    </r>
    <r>
      <rPr>
        <sz val="11"/>
        <rFont val="宋体"/>
        <family val="3"/>
        <charset val="134"/>
        <scheme val="minor"/>
      </rPr>
      <t>3.8.9</t>
    </r>
    <phoneticPr fontId="9" type="noConversion"/>
  </si>
  <si>
    <r>
      <t>2</t>
    </r>
    <r>
      <rPr>
        <sz val="11"/>
        <rFont val="宋体"/>
        <family val="3"/>
        <charset val="134"/>
      </rPr>
      <t>02</t>
    </r>
    <r>
      <rPr>
        <sz val="11"/>
        <rFont val="宋体"/>
        <family val="3"/>
        <charset val="134"/>
      </rPr>
      <t>3.9.27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</si>
  <si>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</t>
    </r>
    <r>
      <rPr>
        <sz val="11"/>
        <color indexed="8"/>
        <rFont val="宋体"/>
        <family val="3"/>
        <charset val="134"/>
      </rPr>
      <t>2.1.22</t>
    </r>
    <phoneticPr fontId="9" type="noConversion"/>
  </si>
  <si>
    <t>兰西</t>
    <phoneticPr fontId="9" type="noConversion"/>
  </si>
  <si>
    <t>新特红星</t>
    <phoneticPr fontId="9" type="noConversion"/>
  </si>
  <si>
    <t>2022.3.31</t>
    <phoneticPr fontId="9" type="noConversion"/>
  </si>
  <si>
    <t>秦英飞</t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</si>
  <si>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021.12.22</t>
    </r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</si>
  <si>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022.2.24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</si>
  <si>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022.12.31</t>
    </r>
    <phoneticPr fontId="9" type="noConversion"/>
  </si>
  <si>
    <t>小草湖一期</t>
    <phoneticPr fontId="9" type="noConversion"/>
  </si>
  <si>
    <t>小草湖二期</t>
    <phoneticPr fontId="9" type="noConversion"/>
  </si>
  <si>
    <t>草湖二场</t>
    <phoneticPr fontId="9" type="noConversion"/>
  </si>
  <si>
    <t>草湖三场</t>
    <phoneticPr fontId="9" type="noConversion"/>
  </si>
  <si>
    <t>2022年4月6日停止预报</t>
    <phoneticPr fontId="9" type="noConversion"/>
  </si>
  <si>
    <t>2021.12.20</t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</si>
  <si>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021.12.23</t>
    </r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</si>
  <si>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022.5.31</t>
    </r>
    <phoneticPr fontId="9" type="noConversion"/>
  </si>
  <si>
    <t>秦英飞</t>
    <phoneticPr fontId="9" type="noConversion"/>
  </si>
  <si>
    <r>
      <t>2</t>
    </r>
    <r>
      <rPr>
        <sz val="11"/>
        <rFont val="宋体"/>
        <family val="3"/>
        <charset val="134"/>
      </rPr>
      <t>021.7.16</t>
    </r>
    <phoneticPr fontId="9" type="noConversion"/>
  </si>
  <si>
    <r>
      <t>2</t>
    </r>
    <r>
      <rPr>
        <sz val="11"/>
        <rFont val="宋体"/>
        <family val="3"/>
        <charset val="134"/>
      </rPr>
      <t>02</t>
    </r>
    <r>
      <rPr>
        <sz val="11"/>
        <rFont val="宋体"/>
        <family val="3"/>
        <charset val="134"/>
      </rPr>
      <t>3</t>
    </r>
    <r>
      <rPr>
        <sz val="11"/>
        <rFont val="宋体"/>
        <family val="3"/>
        <charset val="134"/>
      </rPr>
      <t>.</t>
    </r>
    <r>
      <rPr>
        <sz val="11"/>
        <rFont val="宋体"/>
        <family val="3"/>
        <charset val="134"/>
      </rPr>
      <t>3</t>
    </r>
    <r>
      <rPr>
        <sz val="11"/>
        <rFont val="宋体"/>
        <family val="3"/>
        <charset val="134"/>
      </rPr>
      <t>.3</t>
    </r>
    <r>
      <rPr>
        <sz val="11"/>
        <rFont val="宋体"/>
        <family val="3"/>
        <charset val="134"/>
      </rPr>
      <t>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</si>
  <si>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</t>
    </r>
    <r>
      <rPr>
        <sz val="11"/>
        <color indexed="8"/>
        <rFont val="宋体"/>
        <family val="3"/>
        <charset val="134"/>
      </rPr>
      <t>25</t>
    </r>
    <r>
      <rPr>
        <sz val="11"/>
        <color indexed="8"/>
        <rFont val="宋体"/>
        <family val="3"/>
        <charset val="134"/>
      </rPr>
      <t>.9.</t>
    </r>
    <r>
      <rPr>
        <sz val="11"/>
        <color indexed="8"/>
        <rFont val="宋体"/>
        <family val="3"/>
        <charset val="134"/>
      </rPr>
      <t>30</t>
    </r>
    <phoneticPr fontId="9" type="noConversion"/>
  </si>
  <si>
    <t>通榆</t>
    <phoneticPr fontId="9" type="noConversion"/>
  </si>
  <si>
    <r>
      <t>2</t>
    </r>
    <r>
      <rPr>
        <sz val="11"/>
        <rFont val="宋体"/>
        <family val="3"/>
        <charset val="134"/>
      </rPr>
      <t>023.6.9</t>
    </r>
    <phoneticPr fontId="9" type="noConversion"/>
  </si>
  <si>
    <r>
      <t>2</t>
    </r>
    <r>
      <rPr>
        <sz val="11"/>
        <rFont val="宋体"/>
        <family val="3"/>
        <charset val="134"/>
      </rPr>
      <t>024.8.14</t>
    </r>
    <phoneticPr fontId="9" type="noConversion"/>
  </si>
  <si>
    <r>
      <t>20</t>
    </r>
    <r>
      <rPr>
        <sz val="11"/>
        <color indexed="8"/>
        <rFont val="宋体"/>
        <family val="3"/>
        <charset val="134"/>
      </rPr>
      <t>23.5.6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</si>
  <si>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023.6.30</t>
    </r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</si>
  <si>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021.10.30</t>
    </r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</si>
  <si>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022.10.29</t>
    </r>
    <phoneticPr fontId="9" type="noConversion"/>
  </si>
  <si>
    <t>2022.3.10</t>
    <phoneticPr fontId="9" type="noConversion"/>
  </si>
  <si>
    <t>2021.12.27</t>
    <phoneticPr fontId="9" type="noConversion"/>
  </si>
  <si>
    <t>五街</t>
    <phoneticPr fontId="9" type="noConversion"/>
  </si>
  <si>
    <t>瞻榆</t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</si>
  <si>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022.10.8</t>
    </r>
    <phoneticPr fontId="9" type="noConversion"/>
  </si>
  <si>
    <t>2022.12.23</t>
    <phoneticPr fontId="9" type="noConversion"/>
  </si>
  <si>
    <t>2023.8.31</t>
    <phoneticPr fontId="9" type="noConversion"/>
  </si>
  <si>
    <t>木垒110KV</t>
    <phoneticPr fontId="9" type="noConversion"/>
  </si>
  <si>
    <t>塔城托里</t>
    <phoneticPr fontId="9" type="noConversion"/>
  </si>
  <si>
    <t>望洋台</t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</si>
  <si>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022.11.7</t>
    </r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</si>
  <si>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022.7.1</t>
    </r>
    <phoneticPr fontId="9" type="noConversion"/>
  </si>
  <si>
    <r>
      <t>20</t>
    </r>
    <r>
      <rPr>
        <sz val="11"/>
        <color indexed="8"/>
        <rFont val="宋体"/>
        <family val="3"/>
        <charset val="134"/>
      </rPr>
      <t>22.12.31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</si>
  <si>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023.1.4</t>
    </r>
    <phoneticPr fontId="9" type="noConversion"/>
  </si>
  <si>
    <t>孙吴</t>
    <phoneticPr fontId="9" type="noConversion"/>
  </si>
  <si>
    <t>西沟三期</t>
    <phoneticPr fontId="9" type="noConversion"/>
  </si>
  <si>
    <t>轮台100MW光伏项目</t>
    <phoneticPr fontId="9" type="noConversion"/>
  </si>
  <si>
    <t>2015.6.30</t>
    <phoneticPr fontId="9" type="noConversion"/>
  </si>
  <si>
    <r>
      <t>合同号2</t>
    </r>
    <r>
      <rPr>
        <sz val="11"/>
        <color theme="1"/>
        <rFont val="宋体"/>
        <family val="3"/>
        <charset val="134"/>
        <scheme val="minor"/>
      </rPr>
      <t>2013，预付服务1个月2022年3月6日停止</t>
    </r>
    <phoneticPr fontId="9" type="noConversion"/>
  </si>
  <si>
    <t>2022年7月3日停止</t>
    <phoneticPr fontId="9" type="noConversion"/>
  </si>
  <si>
    <t>2022年6月29日停止</t>
    <phoneticPr fontId="9" type="noConversion"/>
  </si>
  <si>
    <t>2011.4.27</t>
    <phoneticPr fontId="9" type="noConversion"/>
  </si>
  <si>
    <t>2011.1.15</t>
    <phoneticPr fontId="9" type="noConversion"/>
  </si>
  <si>
    <t>2011.6.10</t>
    <phoneticPr fontId="9" type="noConversion"/>
  </si>
  <si>
    <t>2011.4.11</t>
    <phoneticPr fontId="9" type="noConversion"/>
  </si>
  <si>
    <t>2011.10.31</t>
    <phoneticPr fontId="9" type="noConversion"/>
  </si>
  <si>
    <t>2011.4.14</t>
    <phoneticPr fontId="9" type="noConversion"/>
  </si>
  <si>
    <t>2011.5.23</t>
    <phoneticPr fontId="9" type="noConversion"/>
  </si>
  <si>
    <t>2011.3.10</t>
    <phoneticPr fontId="9" type="noConversion"/>
  </si>
  <si>
    <t>2011.11.14</t>
    <phoneticPr fontId="9" type="noConversion"/>
  </si>
  <si>
    <t>2011.12.5</t>
    <phoneticPr fontId="9" type="noConversion"/>
  </si>
  <si>
    <t>2012.9.10</t>
    <phoneticPr fontId="9" type="noConversion"/>
  </si>
  <si>
    <t>2014.11.19</t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</si>
  <si>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023.8.31</t>
    </r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</si>
  <si>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022.11.31</t>
    </r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</si>
  <si>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022.10.1</t>
    </r>
    <phoneticPr fontId="9" type="noConversion"/>
  </si>
  <si>
    <t>大庆太平、宏伟（东安）</t>
    <phoneticPr fontId="9" type="noConversion"/>
  </si>
  <si>
    <t>泮阳</t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</si>
  <si>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022.12.31</t>
    </r>
    <phoneticPr fontId="9" type="noConversion"/>
  </si>
  <si>
    <t>2022.11.14</t>
    <phoneticPr fontId="9" type="noConversion"/>
  </si>
  <si>
    <r>
      <t>20</t>
    </r>
    <r>
      <rPr>
        <sz val="11"/>
        <color indexed="8"/>
        <rFont val="宋体"/>
        <family val="3"/>
        <charset val="134"/>
      </rPr>
      <t>23</t>
    </r>
    <r>
      <rPr>
        <sz val="11"/>
        <color theme="1"/>
        <rFont val="宋体"/>
        <family val="3"/>
        <charset val="134"/>
        <scheme val="minor"/>
      </rPr>
      <t>.8.3</t>
    </r>
    <phoneticPr fontId="9" type="noConversion"/>
  </si>
  <si>
    <t>万龙</t>
    <phoneticPr fontId="9" type="noConversion"/>
  </si>
  <si>
    <r>
      <t>202</t>
    </r>
    <r>
      <rPr>
        <sz val="11"/>
        <color indexed="8"/>
        <rFont val="宋体"/>
        <family val="3"/>
        <charset val="134"/>
      </rPr>
      <t>3</t>
    </r>
    <r>
      <rPr>
        <sz val="11"/>
        <color theme="1"/>
        <rFont val="宋体"/>
        <family val="3"/>
        <charset val="134"/>
        <scheme val="minor"/>
      </rPr>
      <t>.12.31</t>
    </r>
    <phoneticPr fontId="9" type="noConversion"/>
  </si>
  <si>
    <t>长胜</t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</si>
  <si>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023.12.31</t>
    </r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</si>
  <si>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023.3.31</t>
    </r>
    <phoneticPr fontId="9" type="noConversion"/>
  </si>
  <si>
    <r>
      <t>20</t>
    </r>
    <r>
      <rPr>
        <sz val="11"/>
        <rFont val="宋体"/>
        <family val="3"/>
        <charset val="134"/>
      </rPr>
      <t>21</t>
    </r>
    <r>
      <rPr>
        <sz val="11"/>
        <rFont val="宋体"/>
        <family val="3"/>
        <charset val="134"/>
      </rPr>
      <t>.</t>
    </r>
    <r>
      <rPr>
        <sz val="11"/>
        <rFont val="宋体"/>
        <family val="3"/>
        <charset val="134"/>
      </rPr>
      <t>12</t>
    </r>
    <r>
      <rPr>
        <sz val="11"/>
        <rFont val="宋体"/>
        <family val="3"/>
        <charset val="134"/>
      </rPr>
      <t>.</t>
    </r>
    <r>
      <rPr>
        <sz val="11"/>
        <rFont val="宋体"/>
        <family val="3"/>
        <charset val="134"/>
      </rPr>
      <t>31</t>
    </r>
    <phoneticPr fontId="9" type="noConversion"/>
  </si>
  <si>
    <t>2023.1.1</t>
    <phoneticPr fontId="9" type="noConversion"/>
  </si>
  <si>
    <t>2022.12.13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</si>
  <si>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023.12.14</t>
    </r>
    <phoneticPr fontId="9" type="noConversion"/>
  </si>
  <si>
    <r>
      <t>202</t>
    </r>
    <r>
      <rPr>
        <sz val="11"/>
        <color theme="1"/>
        <rFont val="宋体"/>
        <family val="3"/>
        <charset val="134"/>
        <scheme val="minor"/>
      </rPr>
      <t>6.2.23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</si>
  <si>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023.7.16</t>
    </r>
    <phoneticPr fontId="9" type="noConversion"/>
  </si>
  <si>
    <t>2023.1.19</t>
    <phoneticPr fontId="9" type="noConversion"/>
  </si>
  <si>
    <t>长丰</t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</si>
  <si>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021.12.27</t>
    </r>
    <phoneticPr fontId="9" type="noConversion"/>
  </si>
  <si>
    <t>服务时间 2015.6.21-2016.6.21？
业主16年服务合同都没签，计划区域打包。2022.1.14停止预报</t>
    <phoneticPr fontId="9" type="noConversion"/>
  </si>
  <si>
    <t>2021.7.13停止</t>
    <phoneticPr fontId="9" type="noConversion"/>
  </si>
  <si>
    <t>2022.3.3停止</t>
    <phoneticPr fontId="9" type="noConversion"/>
  </si>
  <si>
    <t>2011.6.30</t>
    <phoneticPr fontId="9" type="noConversion"/>
  </si>
  <si>
    <t>2022.10.18停止</t>
    <phoneticPr fontId="9" type="noConversion"/>
  </si>
  <si>
    <t>2021.11.9停止</t>
    <phoneticPr fontId="9" type="noConversion"/>
  </si>
  <si>
    <t>2021.12.25停止</t>
    <phoneticPr fontId="9" type="noConversion"/>
  </si>
  <si>
    <t>2021.11.15停止</t>
    <phoneticPr fontId="9" type="noConversion"/>
  </si>
  <si>
    <t>2022.12.22停止</t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</si>
  <si>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022.6.9停止</t>
    </r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</si>
  <si>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022.6.29停止</t>
    </r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</si>
  <si>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023.1.2停止</t>
    </r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</si>
  <si>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023.4.23停止</t>
    </r>
    <phoneticPr fontId="9" type="noConversion"/>
  </si>
  <si>
    <t>木垒</t>
  </si>
  <si>
    <r>
      <t>2</t>
    </r>
    <r>
      <rPr>
        <sz val="11"/>
        <color theme="1"/>
        <rFont val="宋体"/>
        <family val="3"/>
        <charset val="134"/>
        <scheme val="minor"/>
      </rPr>
      <t>023.4.27</t>
    </r>
    <phoneticPr fontId="9" type="noConversion"/>
  </si>
  <si>
    <t>2021.1.1</t>
    <phoneticPr fontId="9" type="noConversion"/>
  </si>
  <si>
    <t>2024.12.31</t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</si>
  <si>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020.4.1</t>
    </r>
    <phoneticPr fontId="9" type="noConversion"/>
  </si>
  <si>
    <t>合同号20167</t>
    <phoneticPr fontId="9" type="noConversion"/>
  </si>
  <si>
    <r>
      <t>2</t>
    </r>
    <r>
      <rPr>
        <sz val="11"/>
        <rFont val="宋体"/>
        <family val="3"/>
        <charset val="134"/>
      </rPr>
      <t>023.12.31</t>
    </r>
    <phoneticPr fontId="9" type="noConversion"/>
  </si>
  <si>
    <t>2023.5.4</t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</si>
  <si>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023.5.15</t>
    </r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</si>
  <si>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023.1.17</t>
    </r>
    <phoneticPr fontId="9" type="noConversion"/>
  </si>
  <si>
    <t>2022.12.21</t>
    <phoneticPr fontId="9" type="noConversion"/>
  </si>
  <si>
    <t>2022.10.31</t>
    <phoneticPr fontId="9" type="noConversion"/>
  </si>
  <si>
    <t>2022.5.8</t>
    <phoneticPr fontId="9" type="noConversion"/>
  </si>
  <si>
    <t>2021.5.12</t>
    <phoneticPr fontId="9" type="noConversion"/>
  </si>
  <si>
    <t>2023.3.6</t>
    <phoneticPr fontId="9" type="noConversion"/>
  </si>
  <si>
    <t>2023.2.10</t>
    <phoneticPr fontId="9" type="noConversion"/>
  </si>
  <si>
    <t>2022.12.19</t>
    <phoneticPr fontId="9" type="noConversion"/>
  </si>
  <si>
    <t>2021.12.23</t>
    <phoneticPr fontId="9" type="noConversion"/>
  </si>
  <si>
    <t>2021.12.6</t>
    <phoneticPr fontId="9" type="noConversion"/>
  </si>
  <si>
    <r>
      <t>2022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12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5</t>
    </r>
    <phoneticPr fontId="9" type="noConversion"/>
  </si>
  <si>
    <t>建模扩容</t>
    <phoneticPr fontId="12" type="noConversion"/>
  </si>
  <si>
    <t>2021.12.28</t>
    <phoneticPr fontId="9" type="noConversion"/>
  </si>
  <si>
    <t>2022.10.24</t>
    <phoneticPr fontId="9" type="noConversion"/>
  </si>
  <si>
    <r>
      <t>2023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10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23</t>
    </r>
    <phoneticPr fontId="9" type="noConversion"/>
  </si>
  <si>
    <t>2021.9.25</t>
    <phoneticPr fontId="9" type="noConversion"/>
  </si>
  <si>
    <t>2021.12.9</t>
    <phoneticPr fontId="9" type="noConversion"/>
  </si>
  <si>
    <r>
      <t>2023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12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8</t>
    </r>
    <phoneticPr fontId="9" type="noConversion"/>
  </si>
  <si>
    <t>2022.1.12</t>
    <phoneticPr fontId="9" type="noConversion"/>
  </si>
  <si>
    <r>
      <t>2023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11</t>
    </r>
    <phoneticPr fontId="9" type="noConversion"/>
  </si>
  <si>
    <t>2022.12.15</t>
    <phoneticPr fontId="9" type="noConversion"/>
  </si>
  <si>
    <t>2022.7.28</t>
    <phoneticPr fontId="9" type="noConversion"/>
  </si>
  <si>
    <r>
      <t>2023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7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27</t>
    </r>
    <phoneticPr fontId="9" type="noConversion"/>
  </si>
  <si>
    <t>2023.4.3</t>
    <phoneticPr fontId="9" type="noConversion"/>
  </si>
  <si>
    <t>2023.4.20</t>
    <phoneticPr fontId="9" type="noConversion"/>
  </si>
  <si>
    <t>2022.12.30</t>
    <phoneticPr fontId="9" type="noConversion"/>
  </si>
  <si>
    <t>2022.12.16</t>
    <phoneticPr fontId="9" type="noConversion"/>
  </si>
  <si>
    <t>2022.8.8</t>
    <phoneticPr fontId="9" type="noConversion"/>
  </si>
  <si>
    <t>2022.8.9</t>
    <phoneticPr fontId="9" type="noConversion"/>
  </si>
  <si>
    <t>2023.7.27</t>
    <phoneticPr fontId="9" type="noConversion"/>
  </si>
  <si>
    <t>2023.8.7</t>
    <phoneticPr fontId="9" type="noConversion"/>
  </si>
  <si>
    <t>2023.8.8</t>
    <phoneticPr fontId="9" type="noConversion"/>
  </si>
  <si>
    <t>2023.1.2</t>
    <phoneticPr fontId="9" type="noConversion"/>
  </si>
  <si>
    <t>2022.9.25</t>
    <phoneticPr fontId="9" type="noConversion"/>
  </si>
  <si>
    <r>
      <t>2023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9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25</t>
    </r>
    <phoneticPr fontId="9" type="noConversion"/>
  </si>
  <si>
    <t>2022.11.2</t>
    <phoneticPr fontId="9" type="noConversion"/>
  </si>
  <si>
    <t>哈密烟墩（雅满苏）</t>
    <phoneticPr fontId="9" type="noConversion"/>
  </si>
  <si>
    <r>
      <t>2022.</t>
    </r>
    <r>
      <rPr>
        <sz val="11"/>
        <color theme="1"/>
        <rFont val="宋体"/>
        <family val="3"/>
        <charset val="134"/>
        <scheme val="minor"/>
      </rPr>
      <t>11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11</t>
    </r>
    <phoneticPr fontId="9" type="noConversion"/>
  </si>
  <si>
    <r>
      <t>2023.</t>
    </r>
    <r>
      <rPr>
        <sz val="11"/>
        <color theme="1"/>
        <rFont val="宋体"/>
        <family val="3"/>
        <charset val="134"/>
        <scheme val="minor"/>
      </rPr>
      <t>11</t>
    </r>
    <r>
      <rPr>
        <sz val="11"/>
        <color theme="1"/>
        <rFont val="宋体"/>
        <family val="3"/>
        <charset val="134"/>
        <scheme val="minor"/>
      </rPr>
      <t>.1</t>
    </r>
    <r>
      <rPr>
        <sz val="11"/>
        <color theme="1"/>
        <rFont val="宋体"/>
        <family val="3"/>
        <charset val="134"/>
        <scheme val="minor"/>
      </rPr>
      <t>0</t>
    </r>
    <phoneticPr fontId="9" type="noConversion"/>
  </si>
  <si>
    <r>
      <t>2022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12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18</t>
    </r>
    <phoneticPr fontId="9" type="noConversion"/>
  </si>
  <si>
    <t>2023.5.17停止</t>
    <phoneticPr fontId="9" type="noConversion"/>
  </si>
  <si>
    <t>2023.6.5停止</t>
    <phoneticPr fontId="9" type="noConversion"/>
  </si>
  <si>
    <t>龙下</t>
    <phoneticPr fontId="9" type="noConversion"/>
  </si>
  <si>
    <t>法国美迪做的预测，已经停止服务</t>
    <phoneticPr fontId="9" type="noConversion"/>
  </si>
  <si>
    <t>建模扩容，王星说：不在单独签服务合同</t>
    <phoneticPr fontId="9" type="noConversion"/>
  </si>
  <si>
    <t>2022.12.14</t>
    <phoneticPr fontId="9" type="noConversion"/>
  </si>
  <si>
    <t>2023.6.3</t>
    <phoneticPr fontId="9" type="noConversion"/>
  </si>
  <si>
    <t>PK</t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</si>
  <si>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023.7.5</t>
    </r>
    <phoneticPr fontId="9" type="noConversion"/>
  </si>
  <si>
    <t>2023.5.29</t>
    <phoneticPr fontId="9" type="noConversion"/>
  </si>
  <si>
    <r>
      <t>20</t>
    </r>
    <r>
      <rPr>
        <sz val="11"/>
        <rFont val="宋体"/>
        <family val="3"/>
        <charset val="134"/>
      </rPr>
      <t>23.12.31</t>
    </r>
    <phoneticPr fontId="9" type="noConversion"/>
  </si>
  <si>
    <t>中水建设</t>
    <phoneticPr fontId="9" type="noConversion"/>
  </si>
  <si>
    <t>2023.6.1</t>
    <phoneticPr fontId="9" type="noConversion"/>
  </si>
  <si>
    <t>2024.5.31</t>
    <phoneticPr fontId="9" type="noConversion"/>
  </si>
  <si>
    <t>2023.7.13</t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</si>
  <si>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024.7.12</t>
    </r>
    <phoneticPr fontId="9" type="noConversion"/>
  </si>
  <si>
    <t>库车牙哈220kV升压汇集站（库车牙哈光伏电站）</t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</si>
  <si>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023.7.21</t>
    </r>
    <phoneticPr fontId="9" type="noConversion"/>
  </si>
  <si>
    <t>/</t>
  </si>
  <si>
    <t>安白高速新艾里二期</t>
  </si>
  <si>
    <r>
      <t>2</t>
    </r>
    <r>
      <rPr>
        <sz val="11"/>
        <color theme="1"/>
        <rFont val="宋体"/>
        <family val="3"/>
        <charset val="134"/>
        <scheme val="minor"/>
      </rPr>
      <t>023.8.8</t>
    </r>
    <phoneticPr fontId="9" type="noConversion"/>
  </si>
  <si>
    <t>2026.5.31</t>
    <phoneticPr fontId="9" type="noConversion"/>
  </si>
  <si>
    <t>2026.5.31</t>
    <phoneticPr fontId="2" type="noConversion"/>
  </si>
  <si>
    <t>2022.7.31</t>
    <phoneticPr fontId="9" type="noConversion"/>
  </si>
  <si>
    <t>2023.5.24</t>
    <phoneticPr fontId="9" type="noConversion"/>
  </si>
  <si>
    <t>2023.1.14</t>
    <phoneticPr fontId="9" type="noConversion"/>
  </si>
  <si>
    <t>鹤鸣湖</t>
    <phoneticPr fontId="9" type="noConversion"/>
  </si>
  <si>
    <t>大庆银浪（大庆银浪+大庆宏伟）</t>
    <phoneticPr fontId="9" type="noConversion"/>
  </si>
  <si>
    <t>2023.8.16邮件通知</t>
    <phoneticPr fontId="9" type="noConversion"/>
  </si>
  <si>
    <t>2011.12.30</t>
    <phoneticPr fontId="9" type="noConversion"/>
  </si>
  <si>
    <t>2023.8.18邮件通知</t>
    <phoneticPr fontId="9" type="noConversion"/>
  </si>
  <si>
    <t>2023.8.26</t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</si>
  <si>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023.9.3</t>
    </r>
    <phoneticPr fontId="9" type="noConversion"/>
  </si>
  <si>
    <t>黑龙江</t>
    <phoneticPr fontId="28" type="noConversion"/>
  </si>
  <si>
    <t>华能</t>
    <phoneticPr fontId="28" type="noConversion"/>
  </si>
  <si>
    <t>萝北县石墨产业园分散式风电项目</t>
    <phoneticPr fontId="28" type="noConversion"/>
  </si>
  <si>
    <t>云山石墨矿分散式风电项目</t>
    <phoneticPr fontId="28" type="noConversion"/>
  </si>
  <si>
    <r>
      <t>2</t>
    </r>
    <r>
      <rPr>
        <sz val="11"/>
        <rFont val="宋体"/>
        <family val="3"/>
        <charset val="134"/>
      </rPr>
      <t>026.12.31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</si>
  <si>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026.12.31</t>
    </r>
    <phoneticPr fontId="9" type="noConversion"/>
  </si>
  <si>
    <r>
      <t>202</t>
    </r>
    <r>
      <rPr>
        <sz val="11"/>
        <rFont val="宋体"/>
        <family val="3"/>
        <charset val="134"/>
      </rPr>
      <t>6.12.31</t>
    </r>
    <phoneticPr fontId="9" type="noConversion"/>
  </si>
  <si>
    <r>
      <t>20</t>
    </r>
    <r>
      <rPr>
        <sz val="11"/>
        <color indexed="8"/>
        <rFont val="宋体"/>
        <family val="3"/>
        <charset val="134"/>
      </rPr>
      <t>23.12.31</t>
    </r>
    <phoneticPr fontId="9" type="noConversion"/>
  </si>
  <si>
    <t>呼图壁</t>
    <phoneticPr fontId="9" type="noConversion"/>
  </si>
  <si>
    <t>短期；超短期；中长期</t>
    <phoneticPr fontId="9" type="noConversion"/>
  </si>
  <si>
    <t>2023.9.15</t>
    <phoneticPr fontId="9" type="noConversion"/>
  </si>
  <si>
    <t>2025.2.28</t>
    <phoneticPr fontId="9" type="noConversion"/>
  </si>
  <si>
    <t>2024.8.31</t>
    <phoneticPr fontId="9" type="noConversion"/>
  </si>
  <si>
    <t>2023.9.30</t>
    <phoneticPr fontId="9" type="noConversion"/>
  </si>
  <si>
    <t>2023.8.21</t>
    <phoneticPr fontId="28" type="noConversion"/>
  </si>
  <si>
    <t>2023.8.21</t>
    <phoneticPr fontId="9" type="noConversion"/>
  </si>
  <si>
    <t>2023.11.12</t>
  </si>
  <si>
    <t>2023.12.31</t>
    <phoneticPr fontId="9" type="noConversion"/>
  </si>
  <si>
    <t>华润</t>
    <phoneticPr fontId="28" type="noConversion"/>
  </si>
  <si>
    <t>2023.6.9</t>
    <phoneticPr fontId="9" type="noConversion"/>
  </si>
  <si>
    <t>2023.7.11</t>
    <phoneticPr fontId="9" type="noConversion"/>
  </si>
  <si>
    <t>十三间房风电场三期</t>
    <phoneticPr fontId="9" type="noConversion"/>
  </si>
  <si>
    <t>2023.9.10</t>
    <phoneticPr fontId="9" type="noConversion"/>
  </si>
  <si>
    <t>2025.9.9</t>
    <phoneticPr fontId="9" type="noConversion"/>
  </si>
  <si>
    <t>2023.10.15</t>
    <phoneticPr fontId="9" type="noConversion"/>
  </si>
  <si>
    <t>2023.10.21</t>
    <phoneticPr fontId="9" type="noConversion"/>
  </si>
  <si>
    <t>2024.10.20</t>
    <phoneticPr fontId="9" type="noConversion"/>
  </si>
  <si>
    <t>大连湖风电一场（雪湖三期）</t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</si>
  <si>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023.10.31</t>
    </r>
    <phoneticPr fontId="9" type="noConversion"/>
  </si>
  <si>
    <t>2023.9.8</t>
    <phoneticPr fontId="9" type="noConversion"/>
  </si>
  <si>
    <t>2023.8.30</t>
    <phoneticPr fontId="9" type="noConversion"/>
  </si>
  <si>
    <t>草湖三场（小草湖三期）</t>
    <phoneticPr fontId="9" type="noConversion"/>
  </si>
  <si>
    <t>宝鸡麟游（瑞麟）</t>
    <phoneticPr fontId="9" type="noConversion"/>
  </si>
  <si>
    <t>2023.8.1</t>
    <phoneticPr fontId="9" type="noConversion"/>
  </si>
  <si>
    <t>2024.7.31</t>
    <phoneticPr fontId="9" type="noConversion"/>
  </si>
  <si>
    <t>2023.8.11</t>
    <phoneticPr fontId="9" type="noConversion"/>
  </si>
  <si>
    <t>2026.8.10</t>
    <phoneticPr fontId="9" type="noConversion"/>
  </si>
  <si>
    <t>鑫和北塔山（鑫和信）</t>
    <phoneticPr fontId="9" type="noConversion"/>
  </si>
  <si>
    <t>鸡西平岗</t>
    <phoneticPr fontId="9" type="noConversion"/>
  </si>
  <si>
    <t>2023.11.10停止，邮件通知</t>
    <phoneticPr fontId="9" type="noConversion"/>
  </si>
  <si>
    <t>2023.8.16</t>
    <phoneticPr fontId="9" type="noConversion"/>
  </si>
  <si>
    <t>2026.1.31</t>
    <phoneticPr fontId="9" type="noConversion"/>
  </si>
  <si>
    <t>2023.11.23停止，邮件通知</t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</si>
  <si>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023.11.30</t>
    </r>
    <phoneticPr fontId="9" type="noConversion"/>
  </si>
  <si>
    <t>2020.11.30</t>
  </si>
  <si>
    <t>2022.12.12</t>
  </si>
  <si>
    <t>白城能投</t>
    <phoneticPr fontId="9" type="noConversion"/>
  </si>
  <si>
    <t>2023.11.30</t>
    <phoneticPr fontId="9" type="noConversion"/>
  </si>
  <si>
    <t>2023.12.7</t>
    <phoneticPr fontId="9" type="noConversion"/>
  </si>
  <si>
    <t>梨树（龙山）</t>
    <phoneticPr fontId="9" type="noConversion"/>
  </si>
  <si>
    <t>2023.12.13停止，邮件通知</t>
    <phoneticPr fontId="9" type="noConversion"/>
  </si>
  <si>
    <t>中能建吉西基地鲁固直流白城140万千瓦外送项目大安单元（中能建庆安光伏电站）</t>
    <phoneticPr fontId="9" type="noConversion"/>
  </si>
  <si>
    <t>2023.12.21</t>
    <phoneticPr fontId="9" type="noConversion"/>
  </si>
  <si>
    <t>中广核吉西基地鲁固直流白城140万千瓦外送项目大安单元（中广核长虹光伏电站）</t>
    <phoneticPr fontId="9" type="noConversion"/>
  </si>
  <si>
    <t>焉耆（40万光伏电站七星光伏）</t>
    <phoneticPr fontId="9" type="noConversion"/>
  </si>
  <si>
    <t>2023.12.15</t>
    <phoneticPr fontId="9" type="noConversion"/>
  </si>
  <si>
    <t>2026.12.14</t>
    <phoneticPr fontId="9" type="noConversion"/>
  </si>
  <si>
    <t xml:space="preserve"> 2023.12.22</t>
    <phoneticPr fontId="9" type="noConversion"/>
  </si>
  <si>
    <t>青冈永合（石门山风场）</t>
    <phoneticPr fontId="9" type="noConversion"/>
  </si>
  <si>
    <t>2023.12.24</t>
    <phoneticPr fontId="9" type="noConversion"/>
  </si>
  <si>
    <t>2025.12.23</t>
    <phoneticPr fontId="9" type="noConversion"/>
  </si>
  <si>
    <t>2023.11.29</t>
    <phoneticPr fontId="9" type="noConversion"/>
  </si>
  <si>
    <r>
      <t>2022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12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8</t>
    </r>
    <phoneticPr fontId="9" type="noConversion"/>
  </si>
  <si>
    <r>
      <t>2022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9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24</t>
    </r>
    <phoneticPr fontId="9" type="noConversion"/>
  </si>
  <si>
    <r>
      <t>建模扩容。合同号2</t>
    </r>
    <r>
      <rPr>
        <sz val="11"/>
        <color theme="1"/>
        <rFont val="宋体"/>
        <family val="3"/>
        <charset val="134"/>
        <scheme val="minor"/>
      </rPr>
      <t>3166</t>
    </r>
    <phoneticPr fontId="9" type="noConversion"/>
  </si>
  <si>
    <t>大庆采油六厂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</si>
  <si>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024.12.31</t>
    </r>
    <phoneticPr fontId="9" type="noConversion"/>
  </si>
  <si>
    <t>杨井不续签了</t>
    <phoneticPr fontId="9" type="noConversion"/>
  </si>
  <si>
    <t xml:space="preserve">2024.1.9 </t>
    <phoneticPr fontId="9" type="noConversion"/>
  </si>
  <si>
    <t>中电建通榆单元配套220KV升压站（中电建西岭光伏电站）</t>
    <phoneticPr fontId="9" type="noConversion"/>
  </si>
  <si>
    <t>2024.1.3</t>
    <phoneticPr fontId="9" type="noConversion"/>
  </si>
  <si>
    <t>国家电投通榆单元配套220KV升压站（国家电投长兴光伏电站）</t>
    <phoneticPr fontId="9" type="noConversion"/>
  </si>
  <si>
    <t>2024.1.11</t>
    <phoneticPr fontId="9" type="noConversion"/>
  </si>
  <si>
    <t xml:space="preserve"> 2021.12.25停止预报</t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</si>
  <si>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024.1.31</t>
    </r>
    <phoneticPr fontId="9" type="noConversion"/>
  </si>
  <si>
    <t>2024.1.1</t>
    <phoneticPr fontId="9" type="noConversion"/>
  </si>
  <si>
    <t>宝宜</t>
    <phoneticPr fontId="9" type="noConversion"/>
  </si>
  <si>
    <t>讷河东庆</t>
    <phoneticPr fontId="9" type="noConversion"/>
  </si>
  <si>
    <t>中电建通榆单元配套220KV升压站（中电建自强风电场）</t>
    <phoneticPr fontId="9" type="noConversion"/>
  </si>
  <si>
    <t>2024.2.27</t>
    <phoneticPr fontId="9" type="noConversion"/>
  </si>
  <si>
    <t>吉西基地鲁固直流白城140万千瓦外送项目大安单元（中广核长城）</t>
    <phoneticPr fontId="9" type="noConversion"/>
  </si>
  <si>
    <t>被替换.2024.3.24停止预报</t>
    <phoneticPr fontId="9" type="noConversion"/>
  </si>
  <si>
    <t>2024.4.1</t>
    <phoneticPr fontId="9" type="noConversion"/>
  </si>
  <si>
    <t>2026.3.31</t>
    <phoneticPr fontId="9" type="noConversion"/>
  </si>
  <si>
    <t>2025.3.31</t>
    <phoneticPr fontId="9" type="noConversion"/>
  </si>
  <si>
    <t>2024.3.31</t>
    <phoneticPr fontId="9" type="noConversion"/>
  </si>
  <si>
    <t>2024.3.12</t>
  </si>
  <si>
    <r>
      <t>2</t>
    </r>
    <r>
      <rPr>
        <sz val="11"/>
        <color theme="1"/>
        <rFont val="宋体"/>
        <family val="3"/>
        <charset val="134"/>
        <scheme val="minor"/>
      </rPr>
      <t>024.4.30</t>
    </r>
    <phoneticPr fontId="9" type="noConversion"/>
  </si>
  <si>
    <t>2024.3.1</t>
    <phoneticPr fontId="28" type="noConversion"/>
  </si>
  <si>
    <r>
      <t>202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.12.22</t>
    </r>
    <phoneticPr fontId="9" type="noConversion"/>
  </si>
  <si>
    <t>宝龙</t>
    <phoneticPr fontId="9" type="noConversion"/>
  </si>
  <si>
    <t>新胜</t>
    <phoneticPr fontId="9" type="noConversion"/>
  </si>
  <si>
    <t>丹江</t>
    <phoneticPr fontId="9" type="noConversion"/>
  </si>
  <si>
    <t>哈拉海</t>
    <phoneticPr fontId="9" type="noConversion"/>
  </si>
  <si>
    <t>双津河</t>
    <phoneticPr fontId="9" type="noConversion"/>
  </si>
  <si>
    <t>通肯河</t>
    <phoneticPr fontId="9" type="noConversion"/>
  </si>
  <si>
    <t>五莲湖</t>
    <phoneticPr fontId="9" type="noConversion"/>
  </si>
  <si>
    <t>富荣</t>
    <phoneticPr fontId="9" type="noConversion"/>
  </si>
  <si>
    <t>金海</t>
    <phoneticPr fontId="9" type="noConversion"/>
  </si>
  <si>
    <t>齐齐哈尔祥鹤</t>
    <phoneticPr fontId="9" type="noConversion"/>
  </si>
  <si>
    <t>大庆红骥</t>
    <phoneticPr fontId="9" type="noConversion"/>
  </si>
  <si>
    <t>安达农义</t>
    <phoneticPr fontId="9" type="noConversion"/>
  </si>
  <si>
    <t>通宝</t>
    <phoneticPr fontId="9" type="noConversion"/>
  </si>
  <si>
    <t>2024.12.3</t>
    <phoneticPr fontId="9" type="noConversion"/>
  </si>
  <si>
    <r>
      <t>202</t>
    </r>
    <r>
      <rPr>
        <sz val="11"/>
        <color indexed="8"/>
        <rFont val="宋体"/>
        <family val="3"/>
        <charset val="134"/>
      </rPr>
      <t>4</t>
    </r>
    <r>
      <rPr>
        <sz val="11"/>
        <color theme="1"/>
        <rFont val="宋体"/>
        <family val="3"/>
        <charset val="134"/>
        <scheme val="minor"/>
      </rPr>
      <t>.12.26</t>
    </r>
    <phoneticPr fontId="9" type="noConversion"/>
  </si>
  <si>
    <r>
      <t>2</t>
    </r>
    <r>
      <rPr>
        <sz val="11"/>
        <color indexed="8"/>
        <rFont val="宋体"/>
        <family val="3"/>
        <charset val="134"/>
      </rPr>
      <t>024.9.30</t>
    </r>
    <phoneticPr fontId="9" type="noConversion"/>
  </si>
  <si>
    <t>2024.4.16</t>
    <phoneticPr fontId="28" type="noConversion"/>
  </si>
  <si>
    <t>提醒郭总找秦英飞补签能够代替断档期间的合同</t>
    <phoneticPr fontId="9" type="noConversion"/>
  </si>
  <si>
    <t>2027.4.15</t>
    <phoneticPr fontId="9" type="noConversion"/>
  </si>
  <si>
    <t>2027.5.23</t>
    <phoneticPr fontId="9" type="noConversion"/>
  </si>
  <si>
    <t>绥滨（三期）、临江</t>
    <phoneticPr fontId="9" type="noConversion"/>
  </si>
  <si>
    <t>2027.5.23</t>
    <phoneticPr fontId="12" type="noConversion"/>
  </si>
  <si>
    <t>2024.5.24</t>
    <phoneticPr fontId="28" type="noConversion"/>
  </si>
  <si>
    <t>宁安头道岭、宁安二道岭（双岭）</t>
    <phoneticPr fontId="9" type="noConversion"/>
  </si>
  <si>
    <t>双辽莲花山（双辽大兴）</t>
    <phoneticPr fontId="9" type="noConversion"/>
  </si>
  <si>
    <t>木垒35KV</t>
    <phoneticPr fontId="9" type="noConversion"/>
  </si>
  <si>
    <t>查干湖青山头</t>
    <phoneticPr fontId="9" type="noConversion"/>
  </si>
  <si>
    <t>胜利</t>
    <phoneticPr fontId="9" type="noConversion"/>
  </si>
  <si>
    <t>预测服务5年</t>
    <phoneticPr fontId="9" type="noConversion"/>
  </si>
  <si>
    <t>2024.6.30</t>
    <phoneticPr fontId="9" type="noConversion"/>
  </si>
  <si>
    <t>2024.6.5</t>
    <phoneticPr fontId="28" type="noConversion"/>
  </si>
  <si>
    <t>2027.6.4</t>
    <phoneticPr fontId="9" type="noConversion"/>
  </si>
  <si>
    <t>南票</t>
    <phoneticPr fontId="9" type="noConversion"/>
  </si>
  <si>
    <t>2027.11.28</t>
    <phoneticPr fontId="9" type="noConversion"/>
  </si>
  <si>
    <t>2024.3.13</t>
  </si>
  <si>
    <t>2024.6.21</t>
  </si>
  <si>
    <t>2027.6.20</t>
  </si>
  <si>
    <t>2024.7.1</t>
    <phoneticPr fontId="28" type="noConversion"/>
  </si>
  <si>
    <t>2025.6.30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</si>
  <si>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025.6.30</t>
    </r>
    <phoneticPr fontId="9" type="noConversion"/>
  </si>
  <si>
    <t>2024.7.8</t>
    <phoneticPr fontId="28" type="noConversion"/>
  </si>
  <si>
    <t>2025.7.7</t>
    <phoneticPr fontId="9" type="noConversion"/>
  </si>
  <si>
    <t>段洪宇</t>
  </si>
  <si>
    <t>韩志宇</t>
  </si>
  <si>
    <t>国能投</t>
  </si>
  <si>
    <t>桦川储能装备实证风电项目</t>
  </si>
  <si>
    <t>其他</t>
  </si>
  <si>
    <t>大庆采油二厂</t>
  </si>
  <si>
    <t>凯升木垒800MW风力发电项目（200MW风电部分）</t>
    <phoneticPr fontId="9" type="noConversion"/>
  </si>
  <si>
    <t>2024.5.29</t>
    <phoneticPr fontId="9" type="noConversion"/>
  </si>
  <si>
    <t>2024.7.9</t>
    <phoneticPr fontId="9" type="noConversion"/>
  </si>
  <si>
    <t>2024.6.8</t>
    <phoneticPr fontId="9" type="noConversion"/>
  </si>
  <si>
    <t>2024.6.16</t>
    <phoneticPr fontId="9" type="noConversion"/>
  </si>
  <si>
    <t>2027.6.15</t>
    <phoneticPr fontId="9" type="noConversion"/>
  </si>
  <si>
    <t>2026.6.15</t>
    <phoneticPr fontId="9" type="noConversion"/>
  </si>
  <si>
    <r>
      <t>哈密一通道40万千瓦风电+10万千瓦光伏多能互补项目</t>
    </r>
    <r>
      <rPr>
        <sz val="11"/>
        <color theme="1"/>
        <rFont val="宋体"/>
        <family val="3"/>
        <charset val="134"/>
        <scheme val="minor"/>
      </rPr>
      <t>/35kV华电红山南风电一场</t>
    </r>
    <phoneticPr fontId="9" type="noConversion"/>
  </si>
  <si>
    <r>
      <t>哈密一通道40万千瓦风电+10万千瓦光伏多能互补项目</t>
    </r>
    <r>
      <rPr>
        <sz val="11"/>
        <color theme="1"/>
        <rFont val="宋体"/>
        <family val="3"/>
        <charset val="134"/>
        <scheme val="minor"/>
      </rPr>
      <t>/35kV华电红山南光伏一电站</t>
    </r>
    <phoneticPr fontId="9" type="noConversion"/>
  </si>
  <si>
    <t>五大连池和平/石龙河200MW</t>
    <phoneticPr fontId="9" type="noConversion"/>
  </si>
  <si>
    <t>2024.8.21</t>
    <phoneticPr fontId="9" type="noConversion"/>
  </si>
  <si>
    <t>2026.8.20</t>
    <phoneticPr fontId="9" type="noConversion"/>
  </si>
  <si>
    <t>2027.8.20</t>
    <phoneticPr fontId="9" type="noConversion"/>
  </si>
  <si>
    <t>华能</t>
  </si>
  <si>
    <t>辽宁</t>
  </si>
  <si>
    <t>梅里斯（泰和）</t>
    <phoneticPr fontId="9" type="noConversion"/>
  </si>
  <si>
    <t>2023.12.18</t>
  </si>
  <si>
    <t>2024.9.1</t>
  </si>
  <si>
    <t>2026.8.31</t>
  </si>
  <si>
    <t>2012.2.21</t>
    <phoneticPr fontId="9" type="noConversion"/>
  </si>
  <si>
    <t>2024.10.15停止预报</t>
    <phoneticPr fontId="9" type="noConversion"/>
  </si>
  <si>
    <t>2027.9.7</t>
    <phoneticPr fontId="9" type="noConversion"/>
  </si>
  <si>
    <t>2027.7.20</t>
    <phoneticPr fontId="9" type="noConversion"/>
  </si>
  <si>
    <t>2027.12.16</t>
    <phoneticPr fontId="9" type="noConversion"/>
  </si>
  <si>
    <t>2028.7.12</t>
    <phoneticPr fontId="9" type="noConversion"/>
  </si>
  <si>
    <t>2028.4.19</t>
    <phoneticPr fontId="9" type="noConversion"/>
  </si>
  <si>
    <t>2027.7.10</t>
  </si>
  <si>
    <t>2027.7.10</t>
    <phoneticPr fontId="9" type="noConversion"/>
  </si>
  <si>
    <t>2024.9.30</t>
    <phoneticPr fontId="9" type="noConversion"/>
  </si>
  <si>
    <t>2024.7.11</t>
    <phoneticPr fontId="28" type="noConversion"/>
  </si>
  <si>
    <t>2024.9.15</t>
    <phoneticPr fontId="28" type="noConversion"/>
  </si>
  <si>
    <t>2024.6.28</t>
  </si>
  <si>
    <r>
      <t>202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family val="3"/>
        <charset val="134"/>
        <scheme val="minor"/>
      </rPr>
      <t>.12.31</t>
    </r>
    <phoneticPr fontId="9" type="noConversion"/>
  </si>
  <si>
    <t>王星</t>
  </si>
  <si>
    <t>中广核</t>
  </si>
  <si>
    <t>齐齐哈尔宏浩</t>
    <phoneticPr fontId="9" type="noConversion"/>
  </si>
  <si>
    <t>中广核</t>
    <phoneticPr fontId="28" type="noConversion"/>
  </si>
  <si>
    <t>大唐</t>
    <phoneticPr fontId="28" type="noConversion"/>
  </si>
  <si>
    <t>新疆</t>
    <phoneticPr fontId="28" type="noConversion"/>
  </si>
  <si>
    <t>华电</t>
    <phoneticPr fontId="28" type="noConversion"/>
  </si>
  <si>
    <t>桦南一期300MW风电项目（丰收）</t>
    <phoneticPr fontId="28" type="noConversion"/>
  </si>
  <si>
    <t>2024.10.29</t>
    <phoneticPr fontId="9" type="noConversion"/>
  </si>
  <si>
    <t>2027.10.28</t>
    <phoneticPr fontId="9" type="noConversion"/>
  </si>
  <si>
    <t>2024.11.1</t>
    <phoneticPr fontId="9" type="noConversion"/>
  </si>
  <si>
    <t>2029.10.31</t>
    <phoneticPr fontId="9" type="noConversion"/>
  </si>
  <si>
    <t>北兴150MW风电项目（合山）</t>
    <phoneticPr fontId="9" type="noConversion"/>
  </si>
  <si>
    <t>依兰达连河100MW风电项目（丰安）</t>
    <phoneticPr fontId="28" type="noConversion"/>
  </si>
  <si>
    <t>2024.11.26</t>
    <phoneticPr fontId="9" type="noConversion"/>
  </si>
  <si>
    <t>2029.11.25</t>
    <phoneticPr fontId="9" type="noConversion"/>
  </si>
  <si>
    <t>停止预报时间2024.11.18</t>
    <phoneticPr fontId="9" type="noConversion"/>
  </si>
  <si>
    <t>停止预报时间：2024.11.18</t>
    <phoneticPr fontId="9" type="noConversion"/>
  </si>
  <si>
    <t>华能安达300兆瓦（安丰风电场）</t>
    <phoneticPr fontId="9" type="noConversion"/>
  </si>
  <si>
    <t>2024.11.28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</si>
  <si>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016.11.22</t>
    </r>
    <phoneticPr fontId="9" type="noConversion"/>
  </si>
  <si>
    <t>中卫香山四场停止预报时间：2024年9月2日</t>
    <phoneticPr fontId="9" type="noConversion"/>
  </si>
  <si>
    <t>中卫香山六场停止预报时间：2024年9月15日</t>
    <phoneticPr fontId="9" type="noConversion"/>
  </si>
  <si>
    <t>不下载了 基本上是算停止了</t>
    <phoneticPr fontId="9" type="noConversion"/>
  </si>
  <si>
    <t>2024.12.5停止预报</t>
    <phoneticPr fontId="9" type="noConversion"/>
  </si>
  <si>
    <t>达坂城B区（华电达坂城草湖风电一场）</t>
    <phoneticPr fontId="28" type="noConversion"/>
  </si>
  <si>
    <t>2024.12.6</t>
    <phoneticPr fontId="9" type="noConversion"/>
  </si>
  <si>
    <t>2029.12.5</t>
    <phoneticPr fontId="9" type="noConversion"/>
  </si>
  <si>
    <t>2024.12.15</t>
    <phoneticPr fontId="9" type="noConversion"/>
  </si>
  <si>
    <t>2025.4.2</t>
    <phoneticPr fontId="9" type="noConversion"/>
  </si>
  <si>
    <t>华电</t>
  </si>
  <si>
    <t>古尔班通古特沙漠基地华电135万千瓦新能源项目(奇台30万千瓦光伏项目)电气二次设备国投汇集站</t>
  </si>
  <si>
    <t>2024年12月10日停止预报</t>
    <phoneticPr fontId="9" type="noConversion"/>
  </si>
  <si>
    <t>齐齐哈尔北兴二期</t>
    <phoneticPr fontId="28" type="noConversion"/>
  </si>
  <si>
    <t>2025.12.31</t>
    <phoneticPr fontId="12" type="noConversion"/>
  </si>
  <si>
    <t>国华</t>
  </si>
  <si>
    <t>景峡南风电一场</t>
  </si>
  <si>
    <t>景峡南风电二场</t>
  </si>
  <si>
    <t>景峡北风电一场</t>
  </si>
  <si>
    <t>景峡西风电一场</t>
  </si>
  <si>
    <t>景峡西光伏一电站</t>
  </si>
  <si>
    <t>石城子光伏一电站</t>
  </si>
  <si>
    <t>望洋台风电一场</t>
  </si>
  <si>
    <t>兴民光伏一电站</t>
  </si>
  <si>
    <t>莫合台光伏一电站</t>
  </si>
  <si>
    <t>和硕光伏一电站</t>
  </si>
  <si>
    <t>和硕光伏二电站</t>
  </si>
  <si>
    <t>2025.10.14</t>
    <phoneticPr fontId="9" type="noConversion"/>
  </si>
  <si>
    <t>鹤岗萝北</t>
  </si>
  <si>
    <t>2025.1.1</t>
    <phoneticPr fontId="28" type="noConversion"/>
  </si>
  <si>
    <r>
      <t>2022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11</t>
    </r>
    <phoneticPr fontId="9" type="noConversion"/>
  </si>
  <si>
    <r>
      <t>2026</t>
    </r>
    <r>
      <rPr>
        <sz val="11"/>
        <rFont val="宋体"/>
        <family val="3"/>
        <charset val="134"/>
      </rPr>
      <t>.2.28</t>
    </r>
    <phoneticPr fontId="9" type="noConversion"/>
  </si>
  <si>
    <t>2025.12.31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</si>
  <si>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025.12.31</t>
    </r>
    <phoneticPr fontId="9" type="noConversion"/>
  </si>
  <si>
    <r>
      <t>2</t>
    </r>
    <r>
      <rPr>
        <sz val="11"/>
        <rFont val="宋体"/>
        <family val="3"/>
        <charset val="134"/>
      </rPr>
      <t>028.2.23</t>
    </r>
    <phoneticPr fontId="9" type="noConversion"/>
  </si>
  <si>
    <t>2025.12.21</t>
    <phoneticPr fontId="9" type="noConversion"/>
  </si>
  <si>
    <t>断档期间的合同后补，不在单独记录断档。2022年3月20日左右被替换</t>
    <phoneticPr fontId="9" type="noConversion"/>
  </si>
  <si>
    <t>黑龙江</t>
    <phoneticPr fontId="2" type="noConversion"/>
  </si>
  <si>
    <t>其他</t>
    <phoneticPr fontId="2" type="noConversion"/>
  </si>
  <si>
    <t>中石油黑龙江大庆林甸500MW风电项目（250MW风电功率预测系统）</t>
    <phoneticPr fontId="2" type="noConversion"/>
  </si>
  <si>
    <t>2025.1.31</t>
    <phoneticPr fontId="9" type="noConversion"/>
  </si>
  <si>
    <t>2026.12.31</t>
    <phoneticPr fontId="9" type="noConversion"/>
  </si>
  <si>
    <t>2025.1.20</t>
    <phoneticPr fontId="28" type="noConversion"/>
  </si>
  <si>
    <t>2027.1.19</t>
    <phoneticPr fontId="9" type="noConversion"/>
  </si>
  <si>
    <t>2025.1.16</t>
    <phoneticPr fontId="28" type="noConversion"/>
  </si>
  <si>
    <t>2027.1.15</t>
    <phoneticPr fontId="9" type="noConversion"/>
  </si>
  <si>
    <t>国电投</t>
  </si>
  <si>
    <t>北正</t>
  </si>
  <si>
    <t>三骏</t>
  </si>
  <si>
    <t>王府</t>
  </si>
  <si>
    <t>宁安风水山（风水山风电场）</t>
    <phoneticPr fontId="9" type="noConversion"/>
  </si>
  <si>
    <t>2024.12.13</t>
    <phoneticPr fontId="9" type="noConversion"/>
  </si>
  <si>
    <t>达坂城C区（华电达坂城红山嘴风电一场）</t>
    <phoneticPr fontId="28" type="noConversion"/>
  </si>
  <si>
    <t>2029.12.14</t>
    <phoneticPr fontId="9" type="noConversion"/>
  </si>
  <si>
    <t>古尔班通古特沙漠基地华电135万千瓦新能源项目(奇台30万千瓦光伏项目)电气二次设备大井北</t>
    <phoneticPr fontId="9" type="noConversion"/>
  </si>
  <si>
    <t>古尔班通古特沙漠基地华电135万千瓦新能源项目(木垒80万千瓦风电项目)电气二次设备
（古尔班通古特新发木垒博斯坦风电一场）</t>
    <phoneticPr fontId="9" type="noConversion"/>
  </si>
  <si>
    <t>2024.12.19</t>
    <phoneticPr fontId="9" type="noConversion"/>
  </si>
  <si>
    <t>2027.12.18</t>
    <phoneticPr fontId="9" type="noConversion"/>
  </si>
  <si>
    <t>达坂城A区（华电达坂城三个山风电一场）</t>
    <phoneticPr fontId="28" type="noConversion"/>
  </si>
  <si>
    <t>2024.12.30</t>
    <phoneticPr fontId="9" type="noConversion"/>
  </si>
  <si>
    <t>2029.12.29</t>
    <phoneticPr fontId="9" type="noConversion"/>
  </si>
  <si>
    <t>2025.1.17</t>
    <phoneticPr fontId="9" type="noConversion"/>
  </si>
  <si>
    <t>2026.1.16</t>
    <phoneticPr fontId="9" type="noConversion"/>
  </si>
  <si>
    <t>2025.1.16</t>
    <phoneticPr fontId="9" type="noConversion"/>
  </si>
  <si>
    <t>2026.1.15</t>
    <phoneticPr fontId="9" type="noConversion"/>
  </si>
  <si>
    <t>2025.2.8</t>
    <phoneticPr fontId="9" type="noConversion"/>
  </si>
  <si>
    <t>2026.2.7</t>
    <phoneticPr fontId="9" type="noConversion"/>
  </si>
  <si>
    <t>2024.12.25</t>
    <phoneticPr fontId="9" type="noConversion"/>
  </si>
  <si>
    <t>2027.12.24</t>
    <phoneticPr fontId="9" type="noConversion"/>
  </si>
  <si>
    <t>凯升木垒四十个井子1050MW 风光发电目项(250MW光伏)电气二次部分设备及预制舱
（华电凯升木垒雀仁光伏一电站）</t>
    <phoneticPr fontId="9" type="noConversion"/>
  </si>
  <si>
    <t>古尔班通古特沙漠基地华电135万千瓦新能源项(木垒25万千瓦光伏项目)电气二次设备
（古尔班通古特新发木垒雀仁光伏一电站）</t>
    <phoneticPr fontId="9" type="noConversion"/>
  </si>
  <si>
    <t>华电木垒100万千瓦二氧化碳压缩空气储能综合能源示范项目二次设备及预制舱(40万千瓦光伏部分)
（华电新能木垒雀仁光伏一电站）</t>
    <phoneticPr fontId="9" type="noConversion"/>
  </si>
  <si>
    <t xml:space="preserve"> 2024.12.15</t>
    <phoneticPr fontId="9" type="noConversion"/>
  </si>
  <si>
    <t>2027.12.14</t>
    <phoneticPr fontId="9" type="noConversion"/>
  </si>
  <si>
    <t>一汽弗迪（吉林中广核一汽弗迪光伏电站/道字光伏一期）</t>
    <phoneticPr fontId="9" type="noConversion"/>
  </si>
  <si>
    <t>白山市重点边防乡村振兴（吉林中广核白山市重点边防乡村振兴 光伏电站 /道字光伏二期）</t>
    <phoneticPr fontId="9" type="noConversion"/>
  </si>
  <si>
    <t>2024.12.21</t>
    <phoneticPr fontId="9" type="noConversion"/>
  </si>
  <si>
    <t>大唐辽宁铁岭宋家街15万项目</t>
    <phoneticPr fontId="9" type="noConversion"/>
  </si>
  <si>
    <t>大唐辽宁铁岭昌图金山二期15万项目（大唐红山2）</t>
    <phoneticPr fontId="9" type="noConversion"/>
  </si>
  <si>
    <t>2024.12.2</t>
    <phoneticPr fontId="9" type="noConversion"/>
  </si>
  <si>
    <t>2026.12.1</t>
    <phoneticPr fontId="9" type="noConversion"/>
  </si>
  <si>
    <t>2025.2.1</t>
    <phoneticPr fontId="28" type="noConversion"/>
  </si>
  <si>
    <t>龙源</t>
    <phoneticPr fontId="28" type="noConversion"/>
  </si>
  <si>
    <t>2025.2.28停止预报</t>
    <phoneticPr fontId="9" type="noConversion"/>
  </si>
  <si>
    <t>富裕50MW平价（中和风场）</t>
    <phoneticPr fontId="9" type="noConversion"/>
  </si>
  <si>
    <t>2025.3.15</t>
    <phoneticPr fontId="28" type="noConversion"/>
  </si>
  <si>
    <t>2026.3.14</t>
  </si>
  <si>
    <t>大庆经开区（长荣）</t>
    <phoneticPr fontId="9" type="noConversion"/>
  </si>
  <si>
    <r>
      <t>202</t>
    </r>
    <r>
      <rPr>
        <sz val="11"/>
        <rFont val="宋体"/>
        <family val="3"/>
        <charset val="134"/>
      </rPr>
      <t>7.2.28</t>
    </r>
    <phoneticPr fontId="9" type="noConversion"/>
  </si>
  <si>
    <t>国投</t>
    <phoneticPr fontId="9" type="noConversion"/>
  </si>
  <si>
    <t>公心集</t>
    <phoneticPr fontId="28" type="noConversion"/>
  </si>
  <si>
    <r>
      <t>P</t>
    </r>
    <r>
      <rPr>
        <sz val="11"/>
        <color theme="1"/>
        <rFont val="宋体"/>
        <family val="3"/>
        <charset val="134"/>
        <scheme val="minor"/>
      </rPr>
      <t>K项目</t>
    </r>
    <phoneticPr fontId="9" type="noConversion"/>
  </si>
  <si>
    <t>赵光</t>
  </si>
  <si>
    <t>第十三师三塘湖（哈密红星）</t>
    <phoneticPr fontId="9" type="noConversion"/>
  </si>
  <si>
    <r>
      <t>2</t>
    </r>
    <r>
      <rPr>
        <sz val="11"/>
        <color indexed="8"/>
        <rFont val="宋体"/>
        <family val="3"/>
        <charset val="134"/>
      </rPr>
      <t>016.12.27</t>
    </r>
    <phoneticPr fontId="9" type="noConversion"/>
  </si>
  <si>
    <t>2025.3.6停止预报</t>
    <phoneticPr fontId="9" type="noConversion"/>
  </si>
  <si>
    <t>2025.4.13</t>
    <phoneticPr fontId="9" type="noConversion"/>
  </si>
  <si>
    <t>2026.4.12</t>
    <phoneticPr fontId="9" type="noConversion"/>
  </si>
  <si>
    <t>哈密烟墩八A风电项目（国投庙尔沟风电一场）</t>
    <phoneticPr fontId="9" type="noConversion"/>
  </si>
  <si>
    <t>2025.5.14</t>
    <phoneticPr fontId="9" type="noConversion"/>
  </si>
  <si>
    <t>2026.5.13</t>
    <phoneticPr fontId="9" type="noConversion"/>
  </si>
  <si>
    <t>凯升太垒四十个井子1050MW 风光发电项目(600MW风电)电气二次部分设备及预制舱（华电凯升四十个井子风电二场）</t>
    <phoneticPr fontId="9" type="noConversion"/>
  </si>
  <si>
    <t>2025.5.6</t>
    <phoneticPr fontId="9" type="noConversion"/>
  </si>
  <si>
    <t>2028.5.5</t>
    <phoneticPr fontId="9" type="noConversion"/>
  </si>
  <si>
    <t>2025.3.12</t>
    <phoneticPr fontId="9" type="noConversion"/>
  </si>
  <si>
    <t>2026.3.11</t>
    <phoneticPr fontId="9" type="noConversion"/>
  </si>
  <si>
    <t>2025.3.15</t>
    <phoneticPr fontId="9" type="noConversion"/>
  </si>
  <si>
    <t>2026.3.14</t>
    <phoneticPr fontId="9" type="noConversion"/>
  </si>
  <si>
    <t>2025.3.19</t>
    <phoneticPr fontId="9" type="noConversion"/>
  </si>
  <si>
    <t>2026.3.18</t>
    <phoneticPr fontId="9" type="noConversion"/>
  </si>
  <si>
    <t>2026.4.1</t>
    <phoneticPr fontId="9" type="noConversion"/>
  </si>
  <si>
    <t>2025.4.9</t>
    <phoneticPr fontId="9" type="noConversion"/>
  </si>
  <si>
    <t>2026.4.8</t>
    <phoneticPr fontId="9" type="noConversion"/>
  </si>
  <si>
    <t>2025.4.19</t>
    <phoneticPr fontId="9" type="noConversion"/>
  </si>
  <si>
    <t>2026.4.18</t>
    <phoneticPr fontId="9" type="noConversion"/>
  </si>
  <si>
    <r>
      <t>孙吴200MW项目</t>
    </r>
    <r>
      <rPr>
        <sz val="11"/>
        <color theme="1"/>
        <rFont val="宋体"/>
        <family val="3"/>
        <charset val="134"/>
        <scheme val="minor"/>
      </rPr>
      <t>/孙吴胜山风电场（胜山风电场）</t>
    </r>
    <phoneticPr fontId="28" type="noConversion"/>
  </si>
  <si>
    <t>2025.3.8</t>
    <phoneticPr fontId="9" type="noConversion"/>
  </si>
  <si>
    <t>2027.3.7</t>
    <phoneticPr fontId="9" type="noConversion"/>
  </si>
  <si>
    <t>2025.5.18</t>
    <phoneticPr fontId="9" type="noConversion"/>
  </si>
  <si>
    <t>2025.4.24</t>
    <phoneticPr fontId="9" type="noConversion"/>
  </si>
  <si>
    <r>
      <t>富兴(自兴光伏</t>
    </r>
    <r>
      <rPr>
        <sz val="11"/>
        <color theme="1"/>
        <rFont val="宋体"/>
        <family val="3"/>
        <charset val="134"/>
        <scheme val="minor"/>
      </rPr>
      <t>)</t>
    </r>
    <phoneticPr fontId="9" type="noConversion"/>
  </si>
  <si>
    <t>2025.4.20</t>
    <phoneticPr fontId="9" type="noConversion"/>
  </si>
  <si>
    <t>2025.5.28</t>
    <phoneticPr fontId="9" type="noConversion"/>
  </si>
  <si>
    <t>2025.5.29停止预报</t>
    <phoneticPr fontId="9" type="noConversion"/>
  </si>
  <si>
    <t>2025.5.29</t>
    <phoneticPr fontId="9" type="noConversion"/>
  </si>
  <si>
    <t>2026.5.28</t>
    <phoneticPr fontId="9" type="noConversion"/>
  </si>
  <si>
    <t>银子山（二三期）</t>
    <phoneticPr fontId="9" type="noConversion"/>
  </si>
  <si>
    <t>2025.12.14</t>
    <phoneticPr fontId="9" type="noConversion"/>
  </si>
  <si>
    <t>吉林</t>
    <phoneticPr fontId="28" type="noConversion"/>
  </si>
  <si>
    <t>中石油</t>
    <phoneticPr fontId="28" type="noConversion"/>
  </si>
  <si>
    <t>昂格</t>
    <phoneticPr fontId="28" type="noConversion"/>
  </si>
  <si>
    <t>正泰光荣</t>
  </si>
  <si>
    <t>四海</t>
  </si>
  <si>
    <t>2025.5.31</t>
    <phoneticPr fontId="9" type="noConversion"/>
  </si>
  <si>
    <t>2025.4.30</t>
  </si>
  <si>
    <t>2025.5.28</t>
  </si>
  <si>
    <t>2028.5.27</t>
    <phoneticPr fontId="9" type="noConversion"/>
  </si>
  <si>
    <t>自动续签3年。到2027.12.14。2025.6.21起兆方美迪停止预报。</t>
    <phoneticPr fontId="9" type="noConversion"/>
  </si>
  <si>
    <t>广东能源</t>
    <phoneticPr fontId="28" type="noConversion"/>
  </si>
  <si>
    <t>克拉玛依30万千瓦</t>
    <phoneticPr fontId="28" type="noConversion"/>
  </si>
  <si>
    <t>风电场</t>
    <phoneticPr fontId="28" type="noConversion"/>
  </si>
  <si>
    <t>国家电投</t>
    <phoneticPr fontId="9" type="noConversion"/>
  </si>
  <si>
    <t>怀山</t>
    <phoneticPr fontId="9" type="noConversion"/>
  </si>
  <si>
    <t>海为达坂城风电一场</t>
    <phoneticPr fontId="9" type="noConversion"/>
  </si>
  <si>
    <t>2025.2.1</t>
    <phoneticPr fontId="2" type="noConversion"/>
  </si>
  <si>
    <t>2026.1.31</t>
  </si>
  <si>
    <t>和恒瑞哲宇续签补齐的合同，综合已经拟过，发给恒瑞哲宇，等对方盖章了，恒瑞哲宇要把之前的外来帐对清楚，再盖章合同。</t>
    <phoneticPr fontId="9" type="noConversion"/>
  </si>
  <si>
    <t>2026.8.2</t>
    <phoneticPr fontId="9" type="noConversion"/>
  </si>
  <si>
    <t>龙源</t>
  </si>
  <si>
    <t>苦水西风电一场</t>
  </si>
  <si>
    <t>萨尔塔木</t>
  </si>
  <si>
    <t>阿拉山口</t>
  </si>
  <si>
    <t>国能</t>
  </si>
  <si>
    <t>广西</t>
    <phoneticPr fontId="28" type="noConversion"/>
  </si>
  <si>
    <t>国家电投</t>
    <phoneticPr fontId="28" type="noConversion"/>
  </si>
  <si>
    <t>福家田</t>
    <phoneticPr fontId="28" type="noConversion"/>
  </si>
  <si>
    <t>月亮山</t>
    <phoneticPr fontId="28" type="noConversion"/>
  </si>
  <si>
    <t>马家</t>
    <phoneticPr fontId="28" type="noConversion"/>
  </si>
  <si>
    <t>古田</t>
    <phoneticPr fontId="28" type="noConversion"/>
  </si>
  <si>
    <t>2027.8.30</t>
    <phoneticPr fontId="9" type="noConversion"/>
  </si>
  <si>
    <t>2025.8.26停止预报</t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</si>
  <si>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025年8月21日说：协调好一个月内报计划招标</t>
    </r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</si>
  <si>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025年9月30日前回合同</t>
    </r>
    <phoneticPr fontId="9" type="noConversion"/>
  </si>
  <si>
    <t>由于该风场为华电收购项目，后移交到我处。故出现服务合同错位。正在解决，业主同意今年一定会签订服务合同。2025年9月30日前回合同</t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</si>
  <si>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025年9月2日，韩志宇说：2025年10月15日前回合同</t>
    </r>
    <phoneticPr fontId="9" type="noConversion"/>
  </si>
  <si>
    <t>2025年9月2日，韩志宇说：2025年10月15日前回合同</t>
    <phoneticPr fontId="9" type="noConversion"/>
  </si>
  <si>
    <r>
      <t>从2017.7.31开始续签</t>
    </r>
    <r>
      <rPr>
        <sz val="11"/>
        <color theme="1"/>
        <rFont val="宋体"/>
        <family val="3"/>
        <charset val="134"/>
        <scheme val="minor"/>
      </rPr>
      <t>.2025</t>
    </r>
    <r>
      <rPr>
        <sz val="11"/>
        <color theme="1"/>
        <rFont val="宋体"/>
        <family val="3"/>
        <charset val="134"/>
        <scheme val="minor"/>
      </rPr>
      <t>年</t>
    </r>
    <r>
      <rPr>
        <sz val="11"/>
        <color theme="1"/>
        <rFont val="宋体"/>
        <family val="3"/>
        <charset val="134"/>
        <scheme val="minor"/>
      </rPr>
      <t>9</t>
    </r>
    <r>
      <rPr>
        <sz val="11"/>
        <color theme="1"/>
        <rFont val="宋体"/>
        <family val="3"/>
        <charset val="134"/>
        <scheme val="minor"/>
      </rPr>
      <t>月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日，韩志宇说：</t>
    </r>
    <r>
      <rPr>
        <sz val="11"/>
        <color theme="1"/>
        <rFont val="宋体"/>
        <family val="3"/>
        <charset val="134"/>
        <scheme val="minor"/>
      </rPr>
      <t>2025</t>
    </r>
    <r>
      <rPr>
        <sz val="11"/>
        <color theme="1"/>
        <rFont val="宋体"/>
        <family val="3"/>
        <charset val="134"/>
        <scheme val="minor"/>
      </rPr>
      <t>年</t>
    </r>
    <r>
      <rPr>
        <sz val="11"/>
        <color theme="1"/>
        <rFont val="宋体"/>
        <family val="3"/>
        <charset val="134"/>
        <scheme val="minor"/>
      </rPr>
      <t>10</t>
    </r>
    <r>
      <rPr>
        <sz val="11"/>
        <color theme="1"/>
        <rFont val="宋体"/>
        <family val="3"/>
        <charset val="134"/>
        <scheme val="minor"/>
      </rPr>
      <t>月</t>
    </r>
    <r>
      <rPr>
        <sz val="11"/>
        <color theme="1"/>
        <rFont val="宋体"/>
        <family val="3"/>
        <charset val="134"/>
        <scheme val="minor"/>
      </rPr>
      <t>15</t>
    </r>
    <r>
      <rPr>
        <sz val="11"/>
        <color theme="1"/>
        <rFont val="宋体"/>
        <family val="3"/>
        <charset val="134"/>
        <scheme val="minor"/>
      </rPr>
      <t>日前回合同</t>
    </r>
    <phoneticPr fontId="9" type="noConversion"/>
  </si>
  <si>
    <t>由于业主和总包间工程纠纷，走诉讼程序，致使业主不给所有设备出质保。但我们经过和业主沟通，业主已同意今年开始给我们算服务并在7月份左右签服务合同.2025年9月2日，韩志宇说：2025年10月15日前回合同</t>
    <phoneticPr fontId="9" type="noConversion"/>
  </si>
  <si>
    <t>从2017.7.31开始续签，韩志宇说：2025年10月15日前回合同</t>
    <phoneticPr fontId="9" type="noConversion"/>
  </si>
  <si>
    <t>2025.8.31</t>
    <phoneticPr fontId="9" type="noConversion"/>
  </si>
  <si>
    <t>2025.6.30</t>
  </si>
  <si>
    <t>2025.7.31</t>
  </si>
  <si>
    <t>2026.7.30</t>
    <phoneticPr fontId="9" type="noConversion"/>
  </si>
  <si>
    <t>2028.3.31</t>
    <phoneticPr fontId="9" type="noConversion"/>
  </si>
  <si>
    <t>2025.8.5</t>
  </si>
  <si>
    <r>
      <t>2</t>
    </r>
    <r>
      <rPr>
        <sz val="11"/>
        <color indexed="8"/>
        <rFont val="宋体"/>
        <family val="3"/>
        <charset val="134"/>
      </rPr>
      <t>026.8.4</t>
    </r>
    <phoneticPr fontId="9" type="noConversion"/>
  </si>
  <si>
    <r>
      <t>202</t>
    </r>
    <r>
      <rPr>
        <sz val="11"/>
        <rFont val="宋体"/>
        <family val="3"/>
        <charset val="134"/>
      </rPr>
      <t>4.9.30</t>
    </r>
    <phoneticPr fontId="9" type="noConversion"/>
  </si>
  <si>
    <t>2025.8.8</t>
    <phoneticPr fontId="2" type="noConversion"/>
  </si>
  <si>
    <t>2027.8.7</t>
  </si>
  <si>
    <t>2027.8.7</t>
    <phoneticPr fontId="12" type="noConversion"/>
  </si>
  <si>
    <t>2024.12.31</t>
  </si>
  <si>
    <t>2025.8.8</t>
  </si>
  <si>
    <t>中核汇能</t>
  </si>
  <si>
    <t>前江</t>
  </si>
  <si>
    <r>
      <t>2</t>
    </r>
    <r>
      <rPr>
        <sz val="11"/>
        <color theme="1"/>
        <rFont val="宋体"/>
        <family val="3"/>
        <charset val="134"/>
        <scheme val="minor"/>
      </rPr>
      <t>025年9月10日，王星说：业主正在走单一来源</t>
    </r>
    <phoneticPr fontId="9" type="noConversion"/>
  </si>
  <si>
    <t>2025年9月10日，王星说：业主正在走单一来源</t>
    <phoneticPr fontId="9" type="noConversion"/>
  </si>
  <si>
    <t>2025年9月10日，尹慧娟给场站发函</t>
    <phoneticPr fontId="9" type="noConversion"/>
  </si>
  <si>
    <t>公司内部合同评审记录免费服务期为1年，但业主及总包与我方的合同中质保期为3年，且未对免费服务期限做明确说明。我方记录超期但业主认为服务期未到。2025年8月30日尹慧娟和郭总沟通，郭总说：结束时间按照2025.10.30日算</t>
    <phoneticPr fontId="9" type="noConversion"/>
  </si>
  <si>
    <t>17个风光电场</t>
  </si>
  <si>
    <t>风电场/光伏电站</t>
    <phoneticPr fontId="9" type="noConversion"/>
  </si>
  <si>
    <t>集中功率预测</t>
    <phoneticPr fontId="9" type="noConversion"/>
  </si>
  <si>
    <t>新疆</t>
    <phoneticPr fontId="2" type="noConversion"/>
  </si>
  <si>
    <t>华电</t>
    <phoneticPr fontId="2" type="noConversion"/>
  </si>
  <si>
    <t>光伏电站</t>
    <phoneticPr fontId="28" type="noConversion"/>
  </si>
  <si>
    <r>
      <t>安达1号、</t>
    </r>
    <r>
      <rPr>
        <sz val="11"/>
        <color theme="1"/>
        <rFont val="宋体"/>
        <family val="3"/>
        <charset val="134"/>
        <scheme val="minor"/>
      </rPr>
      <t>2号、3号、4号</t>
    </r>
    <phoneticPr fontId="2" type="noConversion"/>
  </si>
  <si>
    <t>2027.9.29</t>
    <phoneticPr fontId="9" type="noConversion"/>
  </si>
  <si>
    <t>湖南</t>
  </si>
  <si>
    <t>托里乡110KV（华电托里风电一场）</t>
    <phoneticPr fontId="9" type="noConversion"/>
  </si>
  <si>
    <t>盐湖南110KV（北疆基地风电三场）</t>
    <phoneticPr fontId="9" type="noConversion"/>
  </si>
  <si>
    <t>克东广通200MW风电项目</t>
  </si>
  <si>
    <t>2028.9.14</t>
    <phoneticPr fontId="9" type="noConversion"/>
  </si>
  <si>
    <t>湖北</t>
  </si>
  <si>
    <t>协合新能源</t>
  </si>
  <si>
    <t>圣境山</t>
  </si>
  <si>
    <t>2028.7.31</t>
    <phoneticPr fontId="9" type="noConversion"/>
  </si>
  <si>
    <t>2027.2.20</t>
    <phoneticPr fontId="9" type="noConversion"/>
  </si>
  <si>
    <t>2026.11.25</t>
    <phoneticPr fontId="9" type="noConversion"/>
  </si>
  <si>
    <t>富裕塔哈</t>
    <phoneticPr fontId="28" type="noConversion"/>
  </si>
  <si>
    <t>宾县二期（锐驰二期）</t>
    <phoneticPr fontId="9" type="noConversion"/>
  </si>
  <si>
    <t>锐驰扩容</t>
    <phoneticPr fontId="9" type="noConversion"/>
  </si>
  <si>
    <t>2025.8.9</t>
    <phoneticPr fontId="9" type="noConversion"/>
  </si>
  <si>
    <r>
      <t>合同1</t>
    </r>
    <r>
      <rPr>
        <sz val="11"/>
        <color indexed="8"/>
        <rFont val="宋体"/>
        <family val="3"/>
        <charset val="134"/>
      </rPr>
      <t>9142没有起止日期。2025.12.30日起停止预测</t>
    </r>
    <phoneticPr fontId="9" type="noConversion"/>
  </si>
  <si>
    <t>2025.12.30日起停止预测</t>
    <phoneticPr fontId="9" type="noConversion"/>
  </si>
  <si>
    <r>
      <t>20</t>
    </r>
    <r>
      <rPr>
        <sz val="11"/>
        <color indexed="8"/>
        <rFont val="宋体"/>
        <family val="3"/>
        <charset val="134"/>
      </rPr>
      <t>25.12.31</t>
    </r>
    <phoneticPr fontId="9" type="noConversion"/>
  </si>
  <si>
    <t>2026.9.14</t>
    <phoneticPr fontId="9" type="noConversion"/>
  </si>
  <si>
    <t>2025.2.9</t>
    <phoneticPr fontId="9" type="noConversion"/>
  </si>
  <si>
    <t>2026.12.12</t>
    <phoneticPr fontId="9" type="noConversion"/>
  </si>
  <si>
    <t>2028.12.31</t>
    <phoneticPr fontId="12" type="noConversion"/>
  </si>
  <si>
    <t>2025.8.20</t>
  </si>
  <si>
    <t>2025.10.1</t>
  </si>
  <si>
    <t>2025.10.1</t>
    <phoneticPr fontId="2" type="noConversion"/>
  </si>
  <si>
    <t>2026.8.31</t>
    <phoneticPr fontId="9" type="noConversion"/>
  </si>
  <si>
    <t>2025.1.8</t>
  </si>
  <si>
    <t>2025.11.15</t>
  </si>
  <si>
    <t>2026.11.14</t>
  </si>
  <si>
    <t>2025.3.11</t>
  </si>
  <si>
    <t>2024.5.28</t>
  </si>
  <si>
    <t>查干湖青山头</t>
  </si>
  <si>
    <t>2025.7.8</t>
  </si>
  <si>
    <t>博尔能源</t>
  </si>
  <si>
    <t>安达十八里畜牧场</t>
  </si>
  <si>
    <t>2025.9.14</t>
  </si>
  <si>
    <t>2026.9.2</t>
    <phoneticPr fontId="9" type="noConversion"/>
  </si>
  <si>
    <t>2025.12.15</t>
    <phoneticPr fontId="9" type="noConversion"/>
  </si>
  <si>
    <t>白杨沟110KV（白杨沟二）</t>
    <phoneticPr fontId="9" type="noConversion"/>
  </si>
  <si>
    <t>2026.4.2</t>
    <phoneticPr fontId="9" type="noConversion"/>
  </si>
  <si>
    <t>西山35KV（北疆一）</t>
    <phoneticPr fontId="9" type="noConversion"/>
  </si>
  <si>
    <t>2026.8.25</t>
    <phoneticPr fontId="9" type="noConversion"/>
  </si>
  <si>
    <t>西山110KV（北疆二）</t>
    <phoneticPr fontId="9" type="noConversion"/>
  </si>
  <si>
    <t>李妍</t>
  </si>
  <si>
    <t>2023.3.9</t>
  </si>
  <si>
    <t>2023.7.11</t>
  </si>
  <si>
    <t>2026.12.11</t>
    <phoneticPr fontId="9" type="noConversion"/>
  </si>
  <si>
    <r>
      <t>20</t>
    </r>
    <r>
      <rPr>
        <sz val="11"/>
        <rFont val="宋体"/>
        <family val="3"/>
        <charset val="134"/>
      </rPr>
      <t>25.12.31</t>
    </r>
    <phoneticPr fontId="9" type="noConversion"/>
  </si>
  <si>
    <t>北沙窝</t>
  </si>
  <si>
    <t xml:space="preserve">新特盐湖西风光互补电站 </t>
  </si>
  <si>
    <t>西海风电一场</t>
  </si>
  <si>
    <t>西海风电二场</t>
  </si>
  <si>
    <t>三塘湖三四期（龙源麻黄沟东风电一场三四期）</t>
    <phoneticPr fontId="9" type="noConversion"/>
  </si>
  <si>
    <t>2025.10.16</t>
    <phoneticPr fontId="9" type="noConversion"/>
  </si>
  <si>
    <t>2026.10.15</t>
    <phoneticPr fontId="9" type="noConversion"/>
  </si>
  <si>
    <t>吐鲁番小草湖风电项目（国投小草湖北风电一场）</t>
    <phoneticPr fontId="9" type="noConversion"/>
  </si>
  <si>
    <t>2025.5.21</t>
    <phoneticPr fontId="9" type="noConversion"/>
  </si>
  <si>
    <t>2028.5.20</t>
    <phoneticPr fontId="9" type="noConversion"/>
  </si>
  <si>
    <t>华电木垒100万千瓦二氧化碳压缩空气储能综合能源示范项目二次设备及预制舱(60万千瓦风电部分)（华电新能木垒大石头风电一场）</t>
    <phoneticPr fontId="9" type="noConversion"/>
  </si>
  <si>
    <t>2025.7.1</t>
    <phoneticPr fontId="9" type="noConversion"/>
  </si>
  <si>
    <t>2026.6.30</t>
    <phoneticPr fontId="9" type="noConversion"/>
  </si>
  <si>
    <t>2025.9.22</t>
    <phoneticPr fontId="9" type="noConversion"/>
  </si>
  <si>
    <t>2030.9.21</t>
    <phoneticPr fontId="9" type="noConversion"/>
  </si>
  <si>
    <t>天山北麓基地（伊吾1）（坤渝朗佑第八风电场）</t>
    <phoneticPr fontId="9" type="noConversion"/>
  </si>
  <si>
    <t>天山北麓基地（伊吾2）（坤渝朗佑第九风电场）</t>
    <phoneticPr fontId="9" type="noConversion"/>
  </si>
  <si>
    <t>2025.12.10</t>
    <phoneticPr fontId="9" type="noConversion"/>
  </si>
  <si>
    <t>2030.12.09</t>
    <phoneticPr fontId="9" type="noConversion"/>
  </si>
  <si>
    <t>天山北麓基地610万千瓦新能源项目（巴里坤1）坤渝朗广第一风电场</t>
    <phoneticPr fontId="9" type="noConversion"/>
  </si>
  <si>
    <t>天山北麓基地610万千瓦新能源项目（巴里坤2）坤渝朗吟第二风电场</t>
    <phoneticPr fontId="9" type="noConversion"/>
  </si>
  <si>
    <t>2025.12.12</t>
    <phoneticPr fontId="9" type="noConversion"/>
  </si>
  <si>
    <t>2030.12.11</t>
    <phoneticPr fontId="9" type="noConversion"/>
  </si>
  <si>
    <t>2030.12.13</t>
    <phoneticPr fontId="9" type="noConversion"/>
  </si>
  <si>
    <t>天山北麓基地（伊吾4）坤渝朗昭第十一风电场</t>
    <phoneticPr fontId="9" type="noConversion"/>
  </si>
  <si>
    <t>2025.12.13</t>
    <phoneticPr fontId="9" type="noConversion"/>
  </si>
  <si>
    <t>2030.12.12</t>
    <phoneticPr fontId="9" type="noConversion"/>
  </si>
  <si>
    <t>望洋台（望洋台西风电一场）</t>
    <phoneticPr fontId="9" type="noConversion"/>
  </si>
  <si>
    <t>2025.10.24</t>
    <phoneticPr fontId="9" type="noConversion"/>
  </si>
  <si>
    <t>2026.10.23</t>
    <phoneticPr fontId="9" type="noConversion"/>
  </si>
  <si>
    <t>达坂城三场一二期（国电天风三场（一二期））</t>
    <phoneticPr fontId="9" type="noConversion"/>
  </si>
  <si>
    <t>2025.11.20</t>
    <phoneticPr fontId="9" type="noConversion"/>
  </si>
  <si>
    <t>2026.11.19</t>
    <phoneticPr fontId="9" type="noConversion"/>
  </si>
  <si>
    <t>达坂城三场五期（国电天风三场（五期））</t>
    <phoneticPr fontId="9" type="noConversion"/>
  </si>
  <si>
    <t>达坂城二场（国电天风二场）</t>
    <phoneticPr fontId="9" type="noConversion"/>
  </si>
  <si>
    <t>2025.12.3</t>
    <phoneticPr fontId="9" type="noConversion"/>
  </si>
  <si>
    <t>2026.12.2</t>
    <phoneticPr fontId="9" type="noConversion"/>
  </si>
  <si>
    <t>2026.1.20</t>
    <phoneticPr fontId="9" type="noConversion"/>
  </si>
  <si>
    <t>2026.1.14</t>
    <phoneticPr fontId="9" type="noConversion"/>
  </si>
  <si>
    <t>2026.7.13</t>
    <phoneticPr fontId="9" type="noConversion"/>
  </si>
  <si>
    <t>库车（华电库车光伏一电站）</t>
    <phoneticPr fontId="9" type="noConversion"/>
  </si>
  <si>
    <t>2026.12.20</t>
    <phoneticPr fontId="9" type="noConversion"/>
  </si>
  <si>
    <t>2025.12.22</t>
    <phoneticPr fontId="9" type="noConversion"/>
  </si>
  <si>
    <t>2026.12.21</t>
    <phoneticPr fontId="9" type="noConversion"/>
  </si>
  <si>
    <t>光源（特变石城子南光伏一电站）</t>
    <phoneticPr fontId="2" type="noConversion"/>
  </si>
  <si>
    <t>2026.1.21</t>
    <phoneticPr fontId="9" type="noConversion"/>
  </si>
  <si>
    <t>2027.1.20</t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</si>
  <si>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025.2.15</t>
    </r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</si>
  <si>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025.3.4</t>
    </r>
    <phoneticPr fontId="9" type="noConversion"/>
  </si>
  <si>
    <t>2025.6.23</t>
    <phoneticPr fontId="9" type="noConversion"/>
  </si>
  <si>
    <t>2026.6.22</t>
    <phoneticPr fontId="9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</si>
  <si>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025.8.26</t>
    </r>
    <phoneticPr fontId="9" type="noConversion"/>
  </si>
  <si>
    <t>2025.6.7</t>
    <phoneticPr fontId="9" type="noConversion"/>
  </si>
  <si>
    <t>2026.6.6</t>
    <phoneticPr fontId="9" type="noConversion"/>
  </si>
  <si>
    <t>2026.1.6</t>
    <phoneticPr fontId="9" type="noConversion"/>
  </si>
  <si>
    <t>2028.1.5</t>
    <phoneticPr fontId="9" type="noConversion"/>
  </si>
  <si>
    <t>华能清洁能源有限公司（华桂风电场）</t>
    <phoneticPr fontId="9" type="noConversion"/>
  </si>
  <si>
    <t>2025.11.8</t>
    <phoneticPr fontId="9" type="noConversion"/>
  </si>
  <si>
    <t>2026.11.7</t>
    <phoneticPr fontId="9" type="noConversion"/>
  </si>
  <si>
    <t>2025.11.24</t>
    <phoneticPr fontId="9" type="noConversion"/>
  </si>
  <si>
    <t>2026.11.23</t>
    <phoneticPr fontId="9" type="noConversion"/>
  </si>
  <si>
    <t>2025.11.13</t>
    <phoneticPr fontId="9" type="noConversion"/>
  </si>
  <si>
    <t>2026.11.12</t>
    <phoneticPr fontId="9" type="noConversion"/>
  </si>
  <si>
    <t>2025.11.15</t>
    <phoneticPr fontId="9" type="noConversion"/>
  </si>
  <si>
    <t>2026.11.14</t>
    <phoneticPr fontId="9" type="noConversion"/>
  </si>
  <si>
    <t>2025.11.19</t>
    <phoneticPr fontId="9" type="noConversion"/>
  </si>
  <si>
    <t>2026.11.18</t>
    <phoneticPr fontId="9" type="noConversion"/>
  </si>
  <si>
    <t>2025.11.18</t>
    <phoneticPr fontId="9" type="noConversion"/>
  </si>
  <si>
    <t>2026.11.17</t>
    <phoneticPr fontId="9" type="noConversion"/>
  </si>
  <si>
    <t>通榆新发10万千瓦风电项目（国能新茂二期风电场）</t>
    <phoneticPr fontId="9" type="noConversion"/>
  </si>
  <si>
    <t>通榆新兴20万千瓦风电项目（国能新茂二期风电场）</t>
    <phoneticPr fontId="9" type="noConversion"/>
  </si>
  <si>
    <t>2025.12.4</t>
    <phoneticPr fontId="9" type="noConversion"/>
  </si>
  <si>
    <t>2027.12.3</t>
    <phoneticPr fontId="9" type="noConversion"/>
  </si>
  <si>
    <t>2026.1.23</t>
    <phoneticPr fontId="9" type="noConversion"/>
  </si>
  <si>
    <t>2026.7.22</t>
    <phoneticPr fontId="9" type="noConversion"/>
  </si>
  <si>
    <t>伊通26.1MW风电工程（华电黄岭风电场）</t>
    <phoneticPr fontId="9" type="noConversion"/>
  </si>
  <si>
    <t>2026.1.30</t>
    <phoneticPr fontId="9" type="noConversion"/>
  </si>
  <si>
    <t>2027.1.29</t>
    <phoneticPr fontId="9" type="noConversion"/>
  </si>
  <si>
    <t>团结（团结二期）</t>
    <phoneticPr fontId="28" type="noConversion"/>
  </si>
  <si>
    <t>2027.2.1</t>
    <phoneticPr fontId="9" type="noConversion"/>
  </si>
  <si>
    <t>2026.2.2</t>
    <phoneticPr fontId="9" type="noConversion"/>
  </si>
  <si>
    <t>2026.2.5</t>
    <phoneticPr fontId="9" type="noConversion"/>
  </si>
  <si>
    <t>2027.2.4</t>
    <phoneticPr fontId="9" type="noConversion"/>
  </si>
  <si>
    <t>2026.8.4</t>
    <phoneticPr fontId="9" type="noConversion"/>
  </si>
  <si>
    <t>2026.2.10停止预测</t>
    <phoneticPr fontId="9" type="noConversion"/>
  </si>
  <si>
    <t>镇西堡一期</t>
    <phoneticPr fontId="9" type="noConversion"/>
  </si>
  <si>
    <t>2025.10.1</t>
    <phoneticPr fontId="28" type="noConversion"/>
  </si>
  <si>
    <t>2027.12.31</t>
    <phoneticPr fontId="9" type="noConversion"/>
  </si>
  <si>
    <t>福建</t>
    <phoneticPr fontId="28" type="noConversion"/>
  </si>
  <si>
    <t>福能</t>
    <phoneticPr fontId="28" type="noConversion"/>
  </si>
  <si>
    <t>22个风电项目和2个光伏项目</t>
    <phoneticPr fontId="28" type="noConversion"/>
  </si>
  <si>
    <t>国家能源</t>
    <phoneticPr fontId="28" type="noConversion"/>
  </si>
  <si>
    <t>新安</t>
    <phoneticPr fontId="28" type="noConversion"/>
  </si>
  <si>
    <t>镇赉（一期）</t>
    <phoneticPr fontId="9" type="noConversion"/>
  </si>
  <si>
    <t>镇赉（二期）</t>
    <phoneticPr fontId="9" type="noConversion"/>
  </si>
  <si>
    <t>2026.12.19</t>
    <phoneticPr fontId="9" type="noConversion"/>
  </si>
  <si>
    <t>三井子（一期）</t>
    <phoneticPr fontId="9" type="noConversion"/>
  </si>
  <si>
    <t>三井子（二期）</t>
    <phoneticPr fontId="9" type="noConversion"/>
  </si>
  <si>
    <t>三井子（三期）</t>
    <phoneticPr fontId="9" type="noConversion"/>
  </si>
  <si>
    <t>三井子（四期）</t>
    <phoneticPr fontId="9" type="noConversion"/>
  </si>
  <si>
    <t>2026.8.22</t>
    <phoneticPr fontId="9" type="noConversion"/>
  </si>
  <si>
    <t>北正</t>
    <phoneticPr fontId="9" type="noConversion"/>
  </si>
  <si>
    <t>北正（一期）</t>
    <phoneticPr fontId="9" type="noConversion"/>
  </si>
  <si>
    <t>北正（二期）</t>
    <phoneticPr fontId="9" type="noConversion"/>
  </si>
  <si>
    <t>北正（三期）</t>
    <phoneticPr fontId="9" type="noConversion"/>
  </si>
  <si>
    <t>北正（四期）</t>
    <phoneticPr fontId="9" type="noConversion"/>
  </si>
  <si>
    <t>黑鱼泡（一期）</t>
    <phoneticPr fontId="9" type="noConversion"/>
  </si>
  <si>
    <t>黑鱼泡（二期）</t>
    <phoneticPr fontId="9" type="noConversion"/>
  </si>
  <si>
    <t>黑鱼泡（三期）</t>
    <phoneticPr fontId="9" type="noConversion"/>
  </si>
  <si>
    <t>黑鱼泡（四期）</t>
    <phoneticPr fontId="9" type="noConversion"/>
  </si>
  <si>
    <t>2025.12.20</t>
  </si>
  <si>
    <t>2025.12.20</t>
    <phoneticPr fontId="9" type="noConversion"/>
  </si>
  <si>
    <t>2025.8.23</t>
    <phoneticPr fontId="9" type="noConversion"/>
  </si>
  <si>
    <t>2025.8.26</t>
    <phoneticPr fontId="9" type="noConversion"/>
  </si>
  <si>
    <t>2026.6.27</t>
    <phoneticPr fontId="9" type="noConversion"/>
  </si>
  <si>
    <t>2026.2.28</t>
    <phoneticPr fontId="9" type="noConversion"/>
  </si>
  <si>
    <t>梅桥镇</t>
  </si>
  <si>
    <t>江口</t>
  </si>
  <si>
    <t>2025.11.13</t>
  </si>
  <si>
    <t>2025.12.27</t>
  </si>
  <si>
    <t>2026.2.3</t>
  </si>
  <si>
    <t>2029.2.2</t>
  </si>
  <si>
    <t>2024.11.1</t>
  </si>
  <si>
    <t>2026.2.1</t>
  </si>
  <si>
    <t>2029.1.31</t>
  </si>
  <si>
    <t>胜利</t>
  </si>
  <si>
    <t>2026.1.1</t>
  </si>
  <si>
    <t>2025.6.18</t>
  </si>
  <si>
    <t>三峡新能源</t>
  </si>
  <si>
    <t>富裕50MW平价（中和风场）</t>
  </si>
  <si>
    <t>2022.12.22</t>
  </si>
  <si>
    <t>2026.2.6</t>
  </si>
  <si>
    <t>2028.2.5</t>
  </si>
  <si>
    <t>双辽服先190MW光伏电站</t>
  </si>
  <si>
    <t>2027.6.30</t>
  </si>
  <si>
    <t>2027.2.28</t>
    <phoneticPr fontId="9" type="noConversion"/>
  </si>
  <si>
    <t>2027.1.15</t>
  </si>
  <si>
    <t>大安海坨</t>
    <phoneticPr fontId="9" type="noConversion"/>
  </si>
  <si>
    <t>2025.6.17</t>
  </si>
  <si>
    <t>2027.1.31</t>
    <phoneticPr fontId="9" type="noConversion"/>
  </si>
  <si>
    <t>河北</t>
  </si>
  <si>
    <t>河北建投</t>
  </si>
  <si>
    <t>战海（二期）</t>
  </si>
  <si>
    <t>三塘湖风电场一二期（龙源麻黄沟东风电一场/龙源麻黄沟一二期）</t>
    <phoneticPr fontId="9" type="noConversion"/>
  </si>
  <si>
    <t>2025.3.26</t>
    <phoneticPr fontId="9" type="noConversion"/>
  </si>
  <si>
    <t>2026.3.25</t>
    <phoneticPr fontId="9" type="noConversion"/>
  </si>
  <si>
    <t>2026.8.8</t>
    <phoneticPr fontId="9" type="noConversion"/>
  </si>
  <si>
    <t>古兴</t>
  </si>
  <si>
    <t>大安三峡陆上光伏项目（大安长富/庆达光伏）</t>
    <phoneticPr fontId="9" type="noConversion"/>
  </si>
  <si>
    <t>庆达10MW光伏电站（双辽光伏）</t>
    <phoneticPr fontId="9" type="noConversion"/>
  </si>
  <si>
    <t>2026.1.13</t>
    <phoneticPr fontId="9" type="noConversion"/>
  </si>
  <si>
    <t>中石油黑龙江大庆林甸1000MW风电项目</t>
  </si>
  <si>
    <t>2026.12.31</t>
  </si>
  <si>
    <t>2026.12.31</t>
    <phoneticPr fontId="12" type="noConversion"/>
  </si>
  <si>
    <t>农安南洼子</t>
  </si>
  <si>
    <t>福建中核汇能能源有限公司</t>
  </si>
  <si>
    <t>3个月内到期提醒</t>
    <phoneticPr fontId="9" type="noConversion"/>
  </si>
  <si>
    <t>陕西芦河光伏自2026.4.24日起停止预测。</t>
    <phoneticPr fontId="9" type="noConversion"/>
  </si>
  <si>
    <r>
      <t>更新时间：2026.</t>
    </r>
    <r>
      <rPr>
        <sz val="11"/>
        <color indexed="10"/>
        <rFont val="宋体"/>
        <family val="3"/>
        <charset val="134"/>
      </rPr>
      <t>04.30，预测服务超期，提前三个月提醒</t>
    </r>
    <phoneticPr fontId="9" type="noConversion"/>
  </si>
  <si>
    <t>五大连池和平二期300MW风电项目</t>
  </si>
  <si>
    <t>2026.4.7</t>
  </si>
  <si>
    <t>2027.4.6</t>
  </si>
  <si>
    <t>2026.3.23</t>
  </si>
  <si>
    <t>马梦迪</t>
  </si>
  <si>
    <t>2025.10.30</t>
  </si>
  <si>
    <t>2027.3.23</t>
  </si>
  <si>
    <r>
      <t>20</t>
    </r>
    <r>
      <rPr>
        <sz val="11"/>
        <color indexed="8"/>
        <rFont val="宋体"/>
        <family val="3"/>
        <charset val="134"/>
      </rPr>
      <t>26.12.31</t>
    </r>
    <phoneticPr fontId="9" type="noConversion"/>
  </si>
  <si>
    <t>2027.12.31</t>
  </si>
  <si>
    <t>2026.4.30</t>
    <phoneticPr fontId="9" type="noConversion"/>
  </si>
  <si>
    <t>大庆油田60万千瓦林甸风光发电项目</t>
  </si>
  <si>
    <t>安达二期400兆瓦</t>
  </si>
  <si>
    <t>预测服务3年</t>
    <phoneticPr fontId="9" type="noConversion"/>
  </si>
  <si>
    <t>即将到期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</si>
</sst>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  <charset val="134"/>
    </font>
    <font>
      <sz val="9"/>
      <color indexed="81"/>
      <name val="Tahoma"/>
      <family val="2"/>
      <charset val="134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</cellStyleXfs>
  <cellXfs count="2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57" fontId="20" fillId="0" borderId="2" xfId="0" applyNumberFormat="1" applyFont="1" applyBorder="1" applyAlignment="1">
      <alignment horizontal="center" vertical="center"/>
    </xf>
    <xf numFmtId="57" fontId="20" fillId="0" borderId="0" xfId="0" applyNumberFormat="1" applyFont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22" fillId="2" borderId="1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0" fontId="22" fillId="0" borderId="1" xfId="4" applyFont="1" applyFill="1" applyBorder="1" applyAlignment="1">
      <alignment horizontal="center" vertical="center" shrinkToFit="1"/>
    </xf>
    <xf numFmtId="0" fontId="22" fillId="2" borderId="1" xfId="4" applyFont="1" applyFill="1" applyBorder="1" applyAlignment="1">
      <alignment horizontal="center" vertical="center" shrinkToFit="1"/>
    </xf>
    <xf numFmtId="0" fontId="0" fillId="0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 wrapText="1"/>
    </xf>
    <xf numFmtId="0" fontId="0" fillId="2" borderId="0" xfId="0" applyFont="1" applyFill="1" applyAlignment="1">
      <alignment horizontal="center" vertical="center"/>
    </xf>
    <xf numFmtId="0" fontId="22" fillId="3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2" borderId="0" xfId="0" applyFont="1" applyFill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0" fillId="3" borderId="1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horizontal="left" vertical="center"/>
    </xf>
    <xf numFmtId="0" fontId="14" fillId="0" borderId="1" xfId="1" applyNumberFormat="1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left" vertical="center" wrapText="1"/>
    </xf>
    <xf numFmtId="0" fontId="25" fillId="3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Fill="1" applyBorder="1" applyAlignment="1">
      <alignment horizontal="left" vertical="center"/>
    </xf>
    <xf numFmtId="0" fontId="20" fillId="0" borderId="0" xfId="0" applyFont="1" applyAlignment="1">
      <alignment horizontal="center" vertical="center" wrapText="1"/>
    </xf>
    <xf numFmtId="0" fontId="18" fillId="3" borderId="1" xfId="0" applyFont="1" applyFill="1" applyBorder="1" applyAlignment="1">
      <alignment horizontal="left" vertical="center"/>
    </xf>
    <xf numFmtId="0" fontId="22" fillId="0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 wrapText="1"/>
    </xf>
    <xf numFmtId="14" fontId="18" fillId="0" borderId="1" xfId="0" applyNumberFormat="1" applyFont="1" applyFill="1" applyBorder="1" applyAlignment="1">
      <alignment horizontal="left" vertical="center"/>
    </xf>
    <xf numFmtId="14" fontId="18" fillId="3" borderId="1" xfId="0" applyNumberFormat="1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</cellXfs>
  <cellStyles count="7">
    <cellStyle name="常规" xfId="0" builtinId="0"/>
    <cellStyle name="常规 2" xfId="1" xr:uid="{00000000-0005-0000-0000-000001000000}"/>
    <cellStyle name="常规 2 2" xfId="2" xr:uid="{00000000-0005-0000-0000-000002000000}"/>
    <cellStyle name="常规 2 2 2" xfId="3" xr:uid="{00000000-0005-0000-0000-000003000000}"/>
    <cellStyle name="常规 2 3" xfId="4" xr:uid="{00000000-0005-0000-0000-000004000000}"/>
    <cellStyle name="常规 3" xfId="5" xr:uid="{00000000-0005-0000-0000-000005000000}"/>
    <cellStyle name="常规 4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1009650</xdr:colOff>
      <xdr:row>199</xdr:row>
      <xdr:rowOff>219075</xdr:rowOff>
    </xdr:from>
    <xdr:to>
      <xdr:col>12</xdr:col>
      <xdr:colOff>246969</xdr:colOff>
      <xdr:row>210</xdr:row>
      <xdr:rowOff>18734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336FC90-1791-4DC1-B793-DEDC6DF76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6625" y="24431625"/>
          <a:ext cx="5447619" cy="25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49"/>
  <sheetViews>
    <sheetView tabSelected="1" zoomScale="90" zoomScaleNormal="90" workbookViewId="0">
      <pane ySplit="3" topLeftCell="A4" activePane="bottomLeft" state="frozen"/>
      <selection pane="bottomLeft" activeCell="P2" sqref="P2"/>
    </sheetView>
  </sheetViews>
  <sheetFormatPr defaultRowHeight="20.100000000000001" customHeight="1" x14ac:dyDescent="0.15"/>
  <cols>
    <col min="1" max="1" width="7.625" style="51" customWidth="1"/>
    <col min="2" max="2" width="10.875" style="51" customWidth="1"/>
    <col min="3" max="4" width="10.125" style="51" customWidth="1"/>
    <col min="5" max="5" width="12.375" style="51" customWidth="1"/>
    <col min="6" max="6" width="36.5" style="51" customWidth="1"/>
    <col min="7" max="7" width="16.375" style="51" customWidth="1"/>
    <col min="8" max="8" width="15" style="51" customWidth="1"/>
    <col min="9" max="9" width="17.375" style="51" customWidth="1"/>
    <col min="10" max="10" width="26.25" style="51" customWidth="1"/>
    <col min="11" max="11" width="10.5" style="51" customWidth="1"/>
    <col min="12" max="12" width="11.5" style="52" customWidth="1"/>
    <col min="13" max="15" width="16.5" style="52" customWidth="1"/>
    <col min="16" max="16" width="52.125" style="106" customWidth="1"/>
    <col min="17" max="17" width="15.375" style="51" customWidth="1"/>
    <col min="18" max="16384" width="9" style="51"/>
  </cols>
  <sheetData>
    <row r="1" spans="1:24" ht="30" customHeight="1" x14ac:dyDescent="0.15">
      <c r="A1" s="210" t="s">
        <v>363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</row>
    <row r="2" spans="1:24" ht="20.100000000000001" customHeight="1" x14ac:dyDescent="0.15">
      <c r="M2" s="53"/>
      <c r="N2" s="54"/>
      <c r="O2" s="54"/>
      <c r="P2" s="185" t="s">
        <v>1640</v>
      </c>
    </row>
    <row r="3" spans="1:24" ht="35.25" customHeight="1" x14ac:dyDescent="0.15">
      <c r="A3" s="55" t="s">
        <v>41</v>
      </c>
      <c r="B3" s="56" t="s">
        <v>494</v>
      </c>
      <c r="C3" s="55" t="s">
        <v>493</v>
      </c>
      <c r="D3" s="55" t="s">
        <v>396</v>
      </c>
      <c r="E3" s="55" t="s">
        <v>43</v>
      </c>
      <c r="F3" s="55" t="s">
        <v>395</v>
      </c>
      <c r="G3" s="55" t="s">
        <v>350</v>
      </c>
      <c r="H3" s="57" t="s">
        <v>403</v>
      </c>
      <c r="I3" s="58" t="s">
        <v>458</v>
      </c>
      <c r="J3" s="56" t="s">
        <v>459</v>
      </c>
      <c r="K3" s="56" t="s">
        <v>44</v>
      </c>
      <c r="L3" s="56" t="s">
        <v>397</v>
      </c>
      <c r="M3" s="56" t="s">
        <v>422</v>
      </c>
      <c r="N3" s="56" t="s">
        <v>1638</v>
      </c>
      <c r="O3" s="56" t="s">
        <v>514</v>
      </c>
      <c r="P3" s="56" t="s">
        <v>460</v>
      </c>
    </row>
    <row r="4" spans="1:24" s="59" customFormat="1" ht="20.100000000000001" customHeight="1" x14ac:dyDescent="0.15">
      <c r="A4" s="209" t="s">
        <v>358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</row>
    <row r="5" spans="1:24" ht="21.95" customHeight="1" x14ac:dyDescent="0.15">
      <c r="A5" s="60">
        <f>ROW()-4</f>
        <v>1</v>
      </c>
      <c r="B5" s="60" t="s">
        <v>495</v>
      </c>
      <c r="C5" s="60" t="s">
        <v>89</v>
      </c>
      <c r="D5" s="60" t="s">
        <v>45</v>
      </c>
      <c r="E5" s="61" t="s">
        <v>389</v>
      </c>
      <c r="F5" s="62" t="s">
        <v>46</v>
      </c>
      <c r="G5" s="62" t="s">
        <v>348</v>
      </c>
      <c r="H5" s="109" t="s">
        <v>92</v>
      </c>
      <c r="I5" s="109" t="s">
        <v>5</v>
      </c>
      <c r="J5" s="183" t="s">
        <v>1156</v>
      </c>
      <c r="K5" s="175"/>
      <c r="L5" s="168" t="s">
        <v>55</v>
      </c>
      <c r="M5" s="170"/>
      <c r="N5" s="170" t="str">
        <f ca="1">IF(ISNUMBER(FIND(".",J5)),IF(AND(DATEVALUE(SUBSTITUTE(J5,".","/"))-TODAY()&lt;=90,DATEVALUE(SUBSTITUTE(J5,".","/"))-TODAY()&gt;0),"即将到期",""),"")</f>
        <v/>
      </c>
      <c r="O5" s="66"/>
      <c r="P5" s="67"/>
    </row>
    <row r="6" spans="1:24" ht="21.95" customHeight="1" x14ac:dyDescent="0.15">
      <c r="A6" s="174">
        <f t="shared" ref="A6:A104" si="0">ROW()-4</f>
        <v>2</v>
      </c>
      <c r="B6" s="60" t="s">
        <v>495</v>
      </c>
      <c r="C6" s="174" t="s">
        <v>89</v>
      </c>
      <c r="D6" s="60" t="s">
        <v>45</v>
      </c>
      <c r="E6" s="61" t="s">
        <v>389</v>
      </c>
      <c r="F6" s="62" t="s">
        <v>95</v>
      </c>
      <c r="G6" s="62" t="s">
        <v>348</v>
      </c>
      <c r="H6" s="109" t="s">
        <v>92</v>
      </c>
      <c r="I6" s="109" t="s">
        <v>6</v>
      </c>
      <c r="J6" s="183" t="s">
        <v>1156</v>
      </c>
      <c r="K6" s="175"/>
      <c r="L6" s="168" t="s">
        <v>55</v>
      </c>
      <c r="M6" s="170"/>
      <c r="N6" s="170" t="str">
        <f t="shared" ref="N6:N69" ca="1" si="1">IF(ISNUMBER(FIND(".",J6)),IF(AND(DATEVALUE(SUBSTITUTE(J6,".","/"))-TODAY()&lt;=90,DATEVALUE(SUBSTITUTE(J6,".","/"))-TODAY()&gt;0),"即将到期",""),"")</f>
        <v/>
      </c>
      <c r="O6" s="66"/>
      <c r="P6" s="67"/>
    </row>
    <row r="7" spans="1:24" ht="21.95" customHeight="1" x14ac:dyDescent="0.15">
      <c r="A7" s="174">
        <f t="shared" si="0"/>
        <v>3</v>
      </c>
      <c r="B7" s="60" t="s">
        <v>495</v>
      </c>
      <c r="C7" s="174" t="s">
        <v>89</v>
      </c>
      <c r="D7" s="60" t="s">
        <v>45</v>
      </c>
      <c r="E7" s="61" t="s">
        <v>389</v>
      </c>
      <c r="F7" s="62" t="s">
        <v>48</v>
      </c>
      <c r="G7" s="62" t="s">
        <v>348</v>
      </c>
      <c r="H7" s="109" t="s">
        <v>92</v>
      </c>
      <c r="I7" s="109" t="s">
        <v>7</v>
      </c>
      <c r="J7" s="183" t="s">
        <v>1156</v>
      </c>
      <c r="K7" s="175"/>
      <c r="L7" s="168" t="s">
        <v>55</v>
      </c>
      <c r="M7" s="170"/>
      <c r="N7" s="170" t="str">
        <f t="shared" ca="1" si="1"/>
        <v/>
      </c>
      <c r="O7" s="66"/>
      <c r="P7" s="67"/>
    </row>
    <row r="8" spans="1:24" ht="21.95" customHeight="1" x14ac:dyDescent="0.15">
      <c r="A8" s="174">
        <f t="shared" si="0"/>
        <v>4</v>
      </c>
      <c r="B8" s="60" t="s">
        <v>495</v>
      </c>
      <c r="C8" s="174" t="s">
        <v>89</v>
      </c>
      <c r="D8" s="60" t="s">
        <v>45</v>
      </c>
      <c r="E8" s="61" t="s">
        <v>389</v>
      </c>
      <c r="F8" s="62" t="s">
        <v>49</v>
      </c>
      <c r="G8" s="62" t="s">
        <v>348</v>
      </c>
      <c r="H8" s="109" t="s">
        <v>92</v>
      </c>
      <c r="I8" s="109" t="s">
        <v>8</v>
      </c>
      <c r="J8" s="183" t="s">
        <v>1156</v>
      </c>
      <c r="K8" s="175"/>
      <c r="L8" s="168" t="s">
        <v>55</v>
      </c>
      <c r="M8" s="170"/>
      <c r="N8" s="170" t="str">
        <f t="shared" ca="1" si="1"/>
        <v/>
      </c>
      <c r="O8" s="66"/>
      <c r="P8" s="67"/>
    </row>
    <row r="9" spans="1:24" ht="21.95" customHeight="1" x14ac:dyDescent="0.15">
      <c r="A9" s="174">
        <f t="shared" si="0"/>
        <v>5</v>
      </c>
      <c r="B9" s="60" t="s">
        <v>495</v>
      </c>
      <c r="C9" s="174" t="s">
        <v>89</v>
      </c>
      <c r="D9" s="60" t="s">
        <v>45</v>
      </c>
      <c r="E9" s="61" t="s">
        <v>389</v>
      </c>
      <c r="F9" s="62" t="s">
        <v>50</v>
      </c>
      <c r="G9" s="62" t="s">
        <v>348</v>
      </c>
      <c r="H9" s="109" t="s">
        <v>92</v>
      </c>
      <c r="I9" s="109" t="s">
        <v>8</v>
      </c>
      <c r="J9" s="183" t="s">
        <v>1156</v>
      </c>
      <c r="K9" s="175"/>
      <c r="L9" s="168" t="s">
        <v>55</v>
      </c>
      <c r="M9" s="170"/>
      <c r="N9" s="170" t="str">
        <f t="shared" ca="1" si="1"/>
        <v/>
      </c>
      <c r="O9" s="66"/>
      <c r="P9" s="67"/>
    </row>
    <row r="10" spans="1:24" ht="21.95" customHeight="1" x14ac:dyDescent="0.15">
      <c r="A10" s="174">
        <f t="shared" si="0"/>
        <v>6</v>
      </c>
      <c r="B10" s="60" t="s">
        <v>495</v>
      </c>
      <c r="C10" s="174" t="s">
        <v>89</v>
      </c>
      <c r="D10" s="60" t="s">
        <v>45</v>
      </c>
      <c r="E10" s="61" t="s">
        <v>389</v>
      </c>
      <c r="F10" s="62" t="s">
        <v>82</v>
      </c>
      <c r="G10" s="62" t="s">
        <v>348</v>
      </c>
      <c r="H10" s="109" t="s">
        <v>92</v>
      </c>
      <c r="I10" s="109" t="s">
        <v>18</v>
      </c>
      <c r="J10" s="183" t="s">
        <v>1156</v>
      </c>
      <c r="K10" s="175"/>
      <c r="L10" s="168" t="s">
        <v>55</v>
      </c>
      <c r="M10" s="170"/>
      <c r="N10" s="170" t="str">
        <f t="shared" ca="1" si="1"/>
        <v/>
      </c>
      <c r="O10" s="66"/>
      <c r="P10" s="67"/>
    </row>
    <row r="11" spans="1:24" s="69" customFormat="1" ht="21.95" customHeight="1" x14ac:dyDescent="0.15">
      <c r="A11" s="174">
        <f t="shared" si="0"/>
        <v>7</v>
      </c>
      <c r="B11" s="124" t="s">
        <v>89</v>
      </c>
      <c r="C11" s="154" t="s">
        <v>89</v>
      </c>
      <c r="D11" s="155" t="s">
        <v>256</v>
      </c>
      <c r="E11" s="155" t="s">
        <v>188</v>
      </c>
      <c r="F11" s="155" t="s">
        <v>789</v>
      </c>
      <c r="G11" s="156" t="s">
        <v>405</v>
      </c>
      <c r="H11" s="152" t="s">
        <v>259</v>
      </c>
      <c r="I11" s="152" t="s">
        <v>856</v>
      </c>
      <c r="J11" s="183" t="s">
        <v>1156</v>
      </c>
      <c r="K11" s="175"/>
      <c r="L11" s="168" t="s">
        <v>55</v>
      </c>
      <c r="M11" s="170"/>
      <c r="N11" s="170" t="str">
        <f t="shared" ca="1" si="1"/>
        <v/>
      </c>
      <c r="O11" s="79"/>
      <c r="P11" s="131"/>
      <c r="Q11" s="80"/>
      <c r="R11" s="80"/>
      <c r="S11" s="80"/>
      <c r="T11" s="80"/>
      <c r="U11" s="80"/>
      <c r="V11" s="80"/>
      <c r="W11" s="80"/>
      <c r="X11" s="80"/>
    </row>
    <row r="12" spans="1:24" s="69" customFormat="1" ht="20.100000000000001" customHeight="1" x14ac:dyDescent="0.15">
      <c r="A12" s="174">
        <f t="shared" si="0"/>
        <v>8</v>
      </c>
      <c r="B12" s="181" t="s">
        <v>496</v>
      </c>
      <c r="C12" s="181" t="s">
        <v>496</v>
      </c>
      <c r="D12" s="175" t="s">
        <v>45</v>
      </c>
      <c r="E12" s="175" t="s">
        <v>157</v>
      </c>
      <c r="F12" s="182" t="s">
        <v>1446</v>
      </c>
      <c r="G12" s="166" t="s">
        <v>405</v>
      </c>
      <c r="H12" s="152" t="s">
        <v>92</v>
      </c>
      <c r="I12" s="186" t="s">
        <v>1094</v>
      </c>
      <c r="J12" s="183" t="s">
        <v>92</v>
      </c>
      <c r="K12" s="147" t="s">
        <v>92</v>
      </c>
      <c r="L12" s="168" t="s">
        <v>55</v>
      </c>
      <c r="M12" s="168"/>
      <c r="N12" s="170" t="str">
        <f t="shared" ca="1" si="1"/>
        <v/>
      </c>
      <c r="O12" s="79"/>
      <c r="P12" s="184" t="s">
        <v>1447</v>
      </c>
      <c r="Q12" s="80"/>
      <c r="R12" s="80"/>
      <c r="S12" s="80"/>
      <c r="T12" s="80"/>
      <c r="U12" s="80"/>
      <c r="V12" s="80"/>
      <c r="W12" s="80"/>
      <c r="X12" s="80"/>
    </row>
    <row r="13" spans="1:24" ht="21.95" customHeight="1" x14ac:dyDescent="0.15">
      <c r="A13" s="174">
        <f t="shared" si="0"/>
        <v>9</v>
      </c>
      <c r="B13" s="60" t="s">
        <v>89</v>
      </c>
      <c r="C13" s="174" t="s">
        <v>89</v>
      </c>
      <c r="D13" s="60" t="s">
        <v>45</v>
      </c>
      <c r="E13" s="61" t="s">
        <v>389</v>
      </c>
      <c r="F13" s="62" t="s">
        <v>51</v>
      </c>
      <c r="G13" s="62" t="s">
        <v>348</v>
      </c>
      <c r="H13" s="109" t="s">
        <v>92</v>
      </c>
      <c r="I13" s="109" t="s">
        <v>9</v>
      </c>
      <c r="J13" s="183" t="s">
        <v>1156</v>
      </c>
      <c r="K13" s="175"/>
      <c r="L13" s="168" t="s">
        <v>55</v>
      </c>
      <c r="M13" s="170"/>
      <c r="N13" s="170" t="str">
        <f t="shared" ca="1" si="1"/>
        <v/>
      </c>
      <c r="O13" s="66"/>
      <c r="P13" s="67"/>
    </row>
    <row r="14" spans="1:24" ht="21.95" customHeight="1" x14ac:dyDescent="0.15">
      <c r="A14" s="174">
        <f t="shared" si="0"/>
        <v>10</v>
      </c>
      <c r="B14" s="60" t="s">
        <v>89</v>
      </c>
      <c r="C14" s="174" t="s">
        <v>89</v>
      </c>
      <c r="D14" s="60" t="s">
        <v>45</v>
      </c>
      <c r="E14" s="61" t="s">
        <v>389</v>
      </c>
      <c r="F14" s="62" t="s">
        <v>52</v>
      </c>
      <c r="G14" s="62" t="s">
        <v>348</v>
      </c>
      <c r="H14" s="109" t="s">
        <v>92</v>
      </c>
      <c r="I14" s="109" t="s">
        <v>10</v>
      </c>
      <c r="J14" s="183" t="s">
        <v>1156</v>
      </c>
      <c r="K14" s="175"/>
      <c r="L14" s="168" t="s">
        <v>55</v>
      </c>
      <c r="M14" s="170"/>
      <c r="N14" s="170" t="str">
        <f t="shared" ca="1" si="1"/>
        <v/>
      </c>
      <c r="O14" s="66"/>
      <c r="P14" s="67"/>
    </row>
    <row r="15" spans="1:24" ht="21.95" customHeight="1" x14ac:dyDescent="0.15">
      <c r="A15" s="174">
        <f t="shared" si="0"/>
        <v>11</v>
      </c>
      <c r="B15" s="60" t="s">
        <v>495</v>
      </c>
      <c r="C15" s="174" t="s">
        <v>89</v>
      </c>
      <c r="D15" s="60" t="s">
        <v>256</v>
      </c>
      <c r="E15" s="61" t="s">
        <v>389</v>
      </c>
      <c r="F15" s="62" t="s">
        <v>257</v>
      </c>
      <c r="G15" s="62" t="s">
        <v>348</v>
      </c>
      <c r="H15" s="109" t="s">
        <v>258</v>
      </c>
      <c r="I15" s="109" t="s">
        <v>351</v>
      </c>
      <c r="J15" s="183" t="s">
        <v>1156</v>
      </c>
      <c r="K15" s="175"/>
      <c r="L15" s="168" t="s">
        <v>55</v>
      </c>
      <c r="M15" s="170"/>
      <c r="N15" s="170" t="str">
        <f t="shared" ca="1" si="1"/>
        <v/>
      </c>
      <c r="O15" s="66"/>
      <c r="P15" s="67"/>
    </row>
    <row r="16" spans="1:24" s="69" customFormat="1" ht="21.95" customHeight="1" x14ac:dyDescent="0.15">
      <c r="A16" s="174">
        <f t="shared" si="0"/>
        <v>12</v>
      </c>
      <c r="B16" s="61" t="s">
        <v>516</v>
      </c>
      <c r="C16" s="174" t="s">
        <v>89</v>
      </c>
      <c r="D16" s="61" t="s">
        <v>88</v>
      </c>
      <c r="E16" s="61" t="s">
        <v>517</v>
      </c>
      <c r="F16" s="178" t="s">
        <v>858</v>
      </c>
      <c r="G16" s="62" t="s">
        <v>405</v>
      </c>
      <c r="H16" s="151" t="s">
        <v>92</v>
      </c>
      <c r="I16" s="151" t="s">
        <v>756</v>
      </c>
      <c r="J16" s="183" t="s">
        <v>1156</v>
      </c>
      <c r="K16" s="175"/>
      <c r="L16" s="168" t="s">
        <v>55</v>
      </c>
      <c r="M16" s="170"/>
      <c r="N16" s="170" t="str">
        <f t="shared" ca="1" si="1"/>
        <v/>
      </c>
      <c r="O16" s="79"/>
      <c r="P16" s="61"/>
      <c r="Q16" s="80"/>
      <c r="R16" s="80"/>
      <c r="S16" s="80"/>
      <c r="T16" s="80"/>
      <c r="U16" s="80"/>
      <c r="V16" s="80"/>
      <c r="W16" s="80"/>
      <c r="X16" s="80"/>
    </row>
    <row r="17" spans="1:24" s="69" customFormat="1" ht="21.95" customHeight="1" x14ac:dyDescent="0.15">
      <c r="A17" s="174">
        <f t="shared" si="0"/>
        <v>13</v>
      </c>
      <c r="B17" s="60" t="s">
        <v>89</v>
      </c>
      <c r="C17" s="174" t="s">
        <v>89</v>
      </c>
      <c r="D17" s="61" t="s">
        <v>256</v>
      </c>
      <c r="E17" s="61" t="s">
        <v>188</v>
      </c>
      <c r="F17" s="182" t="s">
        <v>1160</v>
      </c>
      <c r="G17" s="62" t="s">
        <v>405</v>
      </c>
      <c r="H17" s="151" t="s">
        <v>92</v>
      </c>
      <c r="I17" s="151" t="s">
        <v>763</v>
      </c>
      <c r="J17" s="183" t="s">
        <v>1156</v>
      </c>
      <c r="K17" s="175"/>
      <c r="L17" s="168" t="s">
        <v>55</v>
      </c>
      <c r="M17" s="170"/>
      <c r="N17" s="170" t="str">
        <f t="shared" ca="1" si="1"/>
        <v/>
      </c>
      <c r="O17" s="79"/>
      <c r="P17" s="61"/>
      <c r="Q17" s="80"/>
      <c r="R17" s="80"/>
      <c r="S17" s="80"/>
      <c r="T17" s="80"/>
      <c r="U17" s="80"/>
      <c r="V17" s="80"/>
      <c r="W17" s="80"/>
      <c r="X17" s="80"/>
    </row>
    <row r="18" spans="1:24" s="69" customFormat="1" ht="21.95" customHeight="1" x14ac:dyDescent="0.15">
      <c r="A18" s="174">
        <f t="shared" si="0"/>
        <v>14</v>
      </c>
      <c r="B18" s="60" t="s">
        <v>498</v>
      </c>
      <c r="C18" s="174" t="s">
        <v>89</v>
      </c>
      <c r="D18" s="61" t="s">
        <v>256</v>
      </c>
      <c r="E18" s="61" t="s">
        <v>188</v>
      </c>
      <c r="F18" s="182" t="s">
        <v>933</v>
      </c>
      <c r="G18" s="62" t="s">
        <v>405</v>
      </c>
      <c r="H18" s="151" t="s">
        <v>92</v>
      </c>
      <c r="I18" s="151" t="s">
        <v>766</v>
      </c>
      <c r="J18" s="183" t="s">
        <v>1156</v>
      </c>
      <c r="K18" s="175"/>
      <c r="L18" s="168" t="s">
        <v>55</v>
      </c>
      <c r="M18" s="170"/>
      <c r="N18" s="170" t="str">
        <f t="shared" ca="1" si="1"/>
        <v/>
      </c>
      <c r="O18" s="79"/>
      <c r="P18" s="61"/>
      <c r="Q18" s="80"/>
      <c r="R18" s="80"/>
      <c r="S18" s="80"/>
      <c r="T18" s="80"/>
      <c r="U18" s="80"/>
      <c r="V18" s="80"/>
      <c r="W18" s="80"/>
      <c r="X18" s="80"/>
    </row>
    <row r="19" spans="1:24" s="69" customFormat="1" ht="21.95" customHeight="1" x14ac:dyDescent="0.15">
      <c r="A19" s="174">
        <f t="shared" si="0"/>
        <v>15</v>
      </c>
      <c r="B19" s="163" t="s">
        <v>792</v>
      </c>
      <c r="C19" s="163" t="s">
        <v>89</v>
      </c>
      <c r="D19" s="164" t="s">
        <v>256</v>
      </c>
      <c r="E19" s="164" t="s">
        <v>188</v>
      </c>
      <c r="F19" s="182" t="s">
        <v>1157</v>
      </c>
      <c r="G19" s="156" t="s">
        <v>405</v>
      </c>
      <c r="H19" s="152" t="s">
        <v>92</v>
      </c>
      <c r="I19" s="186" t="s">
        <v>977</v>
      </c>
      <c r="J19" s="192" t="s">
        <v>1158</v>
      </c>
      <c r="K19" s="155"/>
      <c r="L19" s="165" t="s">
        <v>55</v>
      </c>
      <c r="M19" s="170"/>
      <c r="N19" s="170" t="str">
        <f t="shared" ca="1" si="1"/>
        <v/>
      </c>
      <c r="O19" s="79"/>
      <c r="P19" s="155"/>
      <c r="Q19" s="80"/>
      <c r="R19" s="80"/>
      <c r="S19" s="80"/>
      <c r="T19" s="80"/>
      <c r="U19" s="80"/>
      <c r="V19" s="80"/>
      <c r="W19" s="80"/>
      <c r="X19" s="80"/>
    </row>
    <row r="20" spans="1:24" s="69" customFormat="1" ht="20.100000000000001" customHeight="1" x14ac:dyDescent="0.15">
      <c r="A20" s="174">
        <f t="shared" si="0"/>
        <v>16</v>
      </c>
      <c r="B20" s="181" t="s">
        <v>89</v>
      </c>
      <c r="C20" s="182" t="s">
        <v>89</v>
      </c>
      <c r="D20" s="175" t="s">
        <v>45</v>
      </c>
      <c r="E20" s="175" t="s">
        <v>157</v>
      </c>
      <c r="F20" s="175" t="s">
        <v>911</v>
      </c>
      <c r="G20" s="194" t="s">
        <v>348</v>
      </c>
      <c r="H20" s="152" t="s">
        <v>92</v>
      </c>
      <c r="I20" s="186" t="s">
        <v>1009</v>
      </c>
      <c r="J20" s="192" t="s">
        <v>1606</v>
      </c>
      <c r="K20" s="175"/>
      <c r="L20" s="168" t="s">
        <v>55</v>
      </c>
      <c r="M20" s="170"/>
      <c r="N20" s="170" t="str">
        <f t="shared" ca="1" si="1"/>
        <v/>
      </c>
      <c r="O20" s="79"/>
      <c r="P20" s="184" t="s">
        <v>1399</v>
      </c>
      <c r="Q20" s="80"/>
      <c r="R20" s="80"/>
      <c r="S20" s="80"/>
      <c r="T20" s="80"/>
      <c r="U20" s="80"/>
      <c r="V20" s="80"/>
      <c r="W20" s="80"/>
      <c r="X20" s="80"/>
    </row>
    <row r="21" spans="1:24" s="69" customFormat="1" ht="20.100000000000001" customHeight="1" x14ac:dyDescent="0.15">
      <c r="A21" s="174">
        <f t="shared" si="0"/>
        <v>17</v>
      </c>
      <c r="B21" s="181" t="s">
        <v>792</v>
      </c>
      <c r="C21" s="181" t="s">
        <v>89</v>
      </c>
      <c r="D21" s="175" t="s">
        <v>45</v>
      </c>
      <c r="E21" s="175" t="s">
        <v>157</v>
      </c>
      <c r="F21" s="182" t="s">
        <v>1230</v>
      </c>
      <c r="G21" s="166" t="s">
        <v>405</v>
      </c>
      <c r="H21" s="152" t="s">
        <v>92</v>
      </c>
      <c r="I21" s="186" t="s">
        <v>1228</v>
      </c>
      <c r="J21" s="184" t="s">
        <v>1229</v>
      </c>
      <c r="K21" s="175"/>
      <c r="L21" s="168" t="s">
        <v>55</v>
      </c>
      <c r="M21" s="175"/>
      <c r="N21" s="170" t="str">
        <f t="shared" ca="1" si="1"/>
        <v/>
      </c>
      <c r="O21" s="79"/>
      <c r="P21" s="175"/>
      <c r="Q21" s="80"/>
      <c r="R21" s="80"/>
      <c r="S21" s="80"/>
      <c r="T21" s="80"/>
      <c r="U21" s="80"/>
      <c r="V21" s="80"/>
      <c r="W21" s="80"/>
      <c r="X21" s="80"/>
    </row>
    <row r="22" spans="1:24" s="69" customFormat="1" ht="20.100000000000001" customHeight="1" x14ac:dyDescent="0.15">
      <c r="A22" s="174">
        <f t="shared" si="0"/>
        <v>18</v>
      </c>
      <c r="B22" s="182" t="s">
        <v>792</v>
      </c>
      <c r="C22" s="182" t="s">
        <v>89</v>
      </c>
      <c r="D22" s="175" t="s">
        <v>1047</v>
      </c>
      <c r="E22" s="175" t="s">
        <v>1222</v>
      </c>
      <c r="F22" s="182" t="s">
        <v>1231</v>
      </c>
      <c r="G22" s="166" t="s">
        <v>405</v>
      </c>
      <c r="H22" s="152" t="s">
        <v>92</v>
      </c>
      <c r="I22" s="186" t="s">
        <v>1232</v>
      </c>
      <c r="J22" s="184" t="s">
        <v>1233</v>
      </c>
      <c r="K22" s="175"/>
      <c r="L22" s="168" t="s">
        <v>55</v>
      </c>
      <c r="M22" s="175"/>
      <c r="N22" s="170" t="str">
        <f t="shared" ca="1" si="1"/>
        <v/>
      </c>
      <c r="O22" s="79"/>
      <c r="P22" s="175"/>
      <c r="Q22" s="80"/>
      <c r="R22" s="80"/>
      <c r="S22" s="80"/>
      <c r="T22" s="80"/>
      <c r="U22" s="80"/>
      <c r="V22" s="80"/>
      <c r="W22" s="80"/>
      <c r="X22" s="80"/>
    </row>
    <row r="23" spans="1:24" ht="21.75" customHeight="1" x14ac:dyDescent="0.15">
      <c r="A23" s="174">
        <f t="shared" si="0"/>
        <v>19</v>
      </c>
      <c r="B23" s="60" t="s">
        <v>495</v>
      </c>
      <c r="C23" s="174" t="s">
        <v>495</v>
      </c>
      <c r="D23" s="60" t="s">
        <v>45</v>
      </c>
      <c r="E23" s="61" t="s">
        <v>53</v>
      </c>
      <c r="F23" s="194" t="s">
        <v>56</v>
      </c>
      <c r="G23" s="62" t="s">
        <v>348</v>
      </c>
      <c r="H23" s="109" t="s">
        <v>92</v>
      </c>
      <c r="I23" s="109" t="s">
        <v>57</v>
      </c>
      <c r="J23" s="190" t="s">
        <v>1443</v>
      </c>
      <c r="K23" s="169"/>
      <c r="L23" s="168" t="s">
        <v>55</v>
      </c>
      <c r="M23" s="207"/>
      <c r="N23" s="170" t="str">
        <f t="shared" ca="1" si="1"/>
        <v/>
      </c>
      <c r="O23" s="66"/>
      <c r="P23" s="67"/>
    </row>
    <row r="24" spans="1:24" ht="21.75" customHeight="1" x14ac:dyDescent="0.15">
      <c r="A24" s="174">
        <f t="shared" si="0"/>
        <v>20</v>
      </c>
      <c r="B24" s="60" t="s">
        <v>495</v>
      </c>
      <c r="C24" s="174" t="s">
        <v>495</v>
      </c>
      <c r="D24" s="60" t="s">
        <v>260</v>
      </c>
      <c r="E24" s="60" t="s">
        <v>261</v>
      </c>
      <c r="F24" s="182" t="s">
        <v>298</v>
      </c>
      <c r="G24" s="61" t="s">
        <v>349</v>
      </c>
      <c r="H24" s="109" t="s">
        <v>580</v>
      </c>
      <c r="I24" s="109" t="s">
        <v>376</v>
      </c>
      <c r="J24" s="190" t="s">
        <v>1324</v>
      </c>
      <c r="K24" s="169">
        <v>2</v>
      </c>
      <c r="L24" s="170" t="s">
        <v>47</v>
      </c>
      <c r="M24" s="208">
        <v>5.46</v>
      </c>
      <c r="N24" s="170" t="str">
        <f t="shared" ca="1" si="1"/>
        <v/>
      </c>
      <c r="O24" s="66"/>
      <c r="P24" s="67"/>
    </row>
    <row r="25" spans="1:24" ht="21.75" customHeight="1" x14ac:dyDescent="0.15">
      <c r="A25" s="174">
        <f t="shared" si="0"/>
        <v>21</v>
      </c>
      <c r="B25" s="174" t="s">
        <v>495</v>
      </c>
      <c r="C25" s="174" t="s">
        <v>495</v>
      </c>
      <c r="D25" s="174" t="s">
        <v>45</v>
      </c>
      <c r="E25" s="174" t="s">
        <v>53</v>
      </c>
      <c r="F25" s="182" t="s">
        <v>940</v>
      </c>
      <c r="G25" s="175" t="s">
        <v>349</v>
      </c>
      <c r="H25" s="152" t="s">
        <v>92</v>
      </c>
      <c r="I25" s="152" t="s">
        <v>92</v>
      </c>
      <c r="J25" s="190" t="s">
        <v>1443</v>
      </c>
      <c r="K25" s="169"/>
      <c r="L25" s="168" t="s">
        <v>55</v>
      </c>
      <c r="M25" s="207"/>
      <c r="N25" s="170" t="str">
        <f t="shared" ca="1" si="1"/>
        <v/>
      </c>
      <c r="O25" s="66"/>
      <c r="P25" s="137"/>
    </row>
    <row r="26" spans="1:24" s="69" customFormat="1" ht="20.100000000000001" customHeight="1" x14ac:dyDescent="0.15">
      <c r="A26" s="174">
        <f t="shared" si="0"/>
        <v>22</v>
      </c>
      <c r="B26" s="181" t="s">
        <v>495</v>
      </c>
      <c r="C26" s="181" t="s">
        <v>495</v>
      </c>
      <c r="D26" s="175" t="s">
        <v>45</v>
      </c>
      <c r="E26" s="175" t="s">
        <v>53</v>
      </c>
      <c r="F26" s="175" t="s">
        <v>950</v>
      </c>
      <c r="G26" s="166" t="s">
        <v>405</v>
      </c>
      <c r="H26" s="152" t="s">
        <v>92</v>
      </c>
      <c r="I26" s="186" t="s">
        <v>1020</v>
      </c>
      <c r="J26" s="190" t="s">
        <v>1443</v>
      </c>
      <c r="K26" s="175"/>
      <c r="L26" s="168" t="s">
        <v>55</v>
      </c>
      <c r="M26" s="175"/>
      <c r="N26" s="170" t="str">
        <f t="shared" ca="1" si="1"/>
        <v/>
      </c>
      <c r="O26" s="79"/>
      <c r="P26" s="175"/>
      <c r="Q26" s="80"/>
      <c r="R26" s="80"/>
      <c r="S26" s="80"/>
      <c r="T26" s="80"/>
      <c r="U26" s="80"/>
      <c r="V26" s="80"/>
      <c r="W26" s="80"/>
      <c r="X26" s="80"/>
    </row>
    <row r="27" spans="1:24" s="69" customFormat="1" ht="21.95" customHeight="1" x14ac:dyDescent="0.15">
      <c r="A27" s="174">
        <f t="shared" si="0"/>
        <v>23</v>
      </c>
      <c r="B27" s="60" t="s">
        <v>370</v>
      </c>
      <c r="C27" s="182" t="s">
        <v>370</v>
      </c>
      <c r="D27" s="61" t="s">
        <v>256</v>
      </c>
      <c r="E27" s="61" t="s">
        <v>261</v>
      </c>
      <c r="F27" s="61" t="s">
        <v>548</v>
      </c>
      <c r="G27" s="62" t="s">
        <v>405</v>
      </c>
      <c r="H27" s="151" t="s">
        <v>92</v>
      </c>
      <c r="I27" s="186" t="s">
        <v>978</v>
      </c>
      <c r="J27" s="192" t="s">
        <v>1455</v>
      </c>
      <c r="K27" s="175"/>
      <c r="L27" s="168" t="s">
        <v>55</v>
      </c>
      <c r="M27" s="175"/>
      <c r="N27" s="170" t="str">
        <f t="shared" ca="1" si="1"/>
        <v/>
      </c>
      <c r="O27" s="79"/>
      <c r="P27" s="61"/>
      <c r="Q27" s="80"/>
      <c r="R27" s="80"/>
      <c r="S27" s="80"/>
      <c r="T27" s="80"/>
      <c r="U27" s="80"/>
      <c r="V27" s="80"/>
      <c r="W27" s="80"/>
      <c r="X27" s="80"/>
    </row>
    <row r="28" spans="1:24" s="69" customFormat="1" ht="20.100000000000001" customHeight="1" x14ac:dyDescent="0.15">
      <c r="A28" s="174">
        <f t="shared" si="0"/>
        <v>24</v>
      </c>
      <c r="B28" s="181" t="s">
        <v>495</v>
      </c>
      <c r="C28" s="181" t="s">
        <v>495</v>
      </c>
      <c r="D28" s="175" t="s">
        <v>45</v>
      </c>
      <c r="E28" s="175" t="s">
        <v>53</v>
      </c>
      <c r="F28" s="182" t="s">
        <v>1325</v>
      </c>
      <c r="G28" s="166" t="s">
        <v>405</v>
      </c>
      <c r="H28" s="152" t="s">
        <v>92</v>
      </c>
      <c r="I28" s="186" t="s">
        <v>979</v>
      </c>
      <c r="J28" s="190" t="s">
        <v>1443</v>
      </c>
      <c r="K28" s="175"/>
      <c r="L28" s="168" t="s">
        <v>55</v>
      </c>
      <c r="M28" s="175"/>
      <c r="N28" s="170" t="str">
        <f t="shared" ca="1" si="1"/>
        <v/>
      </c>
      <c r="O28" s="79"/>
      <c r="P28" s="175"/>
      <c r="Q28" s="80"/>
      <c r="R28" s="80"/>
      <c r="S28" s="80"/>
      <c r="T28" s="80"/>
      <c r="U28" s="80"/>
      <c r="V28" s="80"/>
      <c r="W28" s="80"/>
      <c r="X28" s="80"/>
    </row>
    <row r="29" spans="1:24" s="69" customFormat="1" ht="20.100000000000001" customHeight="1" x14ac:dyDescent="0.15">
      <c r="A29" s="174">
        <f t="shared" si="0"/>
        <v>25</v>
      </c>
      <c r="B29" s="182" t="s">
        <v>411</v>
      </c>
      <c r="C29" s="182" t="s">
        <v>370</v>
      </c>
      <c r="D29" s="175" t="s">
        <v>88</v>
      </c>
      <c r="E29" s="175" t="s">
        <v>1198</v>
      </c>
      <c r="F29" s="182" t="s">
        <v>1236</v>
      </c>
      <c r="G29" s="166" t="s">
        <v>405</v>
      </c>
      <c r="H29" s="152" t="s">
        <v>92</v>
      </c>
      <c r="I29" s="186" t="s">
        <v>1237</v>
      </c>
      <c r="J29" s="184" t="s">
        <v>1444</v>
      </c>
      <c r="K29" s="175"/>
      <c r="L29" s="168" t="s">
        <v>55</v>
      </c>
      <c r="M29" s="175"/>
      <c r="N29" s="170" t="str">
        <f t="shared" ca="1" si="1"/>
        <v/>
      </c>
      <c r="O29" s="79"/>
      <c r="P29" s="175"/>
      <c r="Q29" s="80"/>
      <c r="R29" s="80"/>
      <c r="S29" s="80"/>
      <c r="T29" s="80"/>
      <c r="U29" s="80"/>
      <c r="V29" s="80"/>
      <c r="W29" s="80"/>
      <c r="X29" s="80"/>
    </row>
    <row r="30" spans="1:24" ht="21.95" customHeight="1" x14ac:dyDescent="0.15">
      <c r="A30" s="174">
        <f t="shared" si="0"/>
        <v>26</v>
      </c>
      <c r="B30" s="60" t="s">
        <v>496</v>
      </c>
      <c r="C30" s="60" t="s">
        <v>496</v>
      </c>
      <c r="D30" s="71" t="s">
        <v>45</v>
      </c>
      <c r="E30" s="61" t="s">
        <v>78</v>
      </c>
      <c r="F30" s="72" t="s">
        <v>79</v>
      </c>
      <c r="G30" s="62" t="s">
        <v>348</v>
      </c>
      <c r="H30" s="109" t="s">
        <v>92</v>
      </c>
      <c r="I30" s="110" t="s">
        <v>13</v>
      </c>
      <c r="J30" s="189" t="s">
        <v>1270</v>
      </c>
      <c r="K30" s="162">
        <v>5</v>
      </c>
      <c r="L30" s="74" t="s">
        <v>47</v>
      </c>
      <c r="M30" s="170">
        <v>9</v>
      </c>
      <c r="N30" s="170" t="str">
        <f t="shared" ca="1" si="1"/>
        <v/>
      </c>
      <c r="O30" s="76"/>
      <c r="P30" s="191" t="s">
        <v>1400</v>
      </c>
    </row>
    <row r="31" spans="1:24" ht="21.95" customHeight="1" x14ac:dyDescent="0.15">
      <c r="A31" s="174">
        <f t="shared" si="0"/>
        <v>27</v>
      </c>
      <c r="B31" s="60" t="s">
        <v>496</v>
      </c>
      <c r="C31" s="60" t="s">
        <v>496</v>
      </c>
      <c r="D31" s="71" t="s">
        <v>45</v>
      </c>
      <c r="E31" s="61" t="s">
        <v>78</v>
      </c>
      <c r="F31" s="72" t="s">
        <v>80</v>
      </c>
      <c r="G31" s="62" t="s">
        <v>348</v>
      </c>
      <c r="H31" s="109" t="s">
        <v>92</v>
      </c>
      <c r="I31" s="110" t="s">
        <v>12</v>
      </c>
      <c r="J31" s="189" t="s">
        <v>1270</v>
      </c>
      <c r="K31" s="162">
        <v>5</v>
      </c>
      <c r="L31" s="74" t="s">
        <v>47</v>
      </c>
      <c r="M31" s="170">
        <v>9</v>
      </c>
      <c r="N31" s="170" t="str">
        <f t="shared" ca="1" si="1"/>
        <v/>
      </c>
      <c r="O31" s="76"/>
      <c r="P31" s="191" t="s">
        <v>1400</v>
      </c>
    </row>
    <row r="32" spans="1:24" ht="21.95" customHeight="1" x14ac:dyDescent="0.15">
      <c r="A32" s="174">
        <f t="shared" si="0"/>
        <v>28</v>
      </c>
      <c r="B32" s="60" t="s">
        <v>496</v>
      </c>
      <c r="C32" s="60" t="s">
        <v>496</v>
      </c>
      <c r="D32" s="71" t="s">
        <v>45</v>
      </c>
      <c r="E32" s="61" t="s">
        <v>78</v>
      </c>
      <c r="F32" s="72" t="s">
        <v>81</v>
      </c>
      <c r="G32" s="62" t="s">
        <v>348</v>
      </c>
      <c r="H32" s="109" t="s">
        <v>92</v>
      </c>
      <c r="I32" s="110" t="s">
        <v>14</v>
      </c>
      <c r="J32" s="189" t="s">
        <v>1270</v>
      </c>
      <c r="K32" s="162">
        <v>5</v>
      </c>
      <c r="L32" s="74" t="s">
        <v>47</v>
      </c>
      <c r="M32" s="170">
        <v>9</v>
      </c>
      <c r="N32" s="170" t="str">
        <f t="shared" ca="1" si="1"/>
        <v/>
      </c>
      <c r="O32" s="76"/>
      <c r="P32" s="191" t="s">
        <v>1400</v>
      </c>
    </row>
    <row r="33" spans="1:24" s="69" customFormat="1" ht="20.100000000000001" customHeight="1" x14ac:dyDescent="0.15">
      <c r="A33" s="174">
        <f t="shared" si="0"/>
        <v>29</v>
      </c>
      <c r="B33" s="181" t="s">
        <v>496</v>
      </c>
      <c r="C33" s="181" t="s">
        <v>496</v>
      </c>
      <c r="D33" s="175" t="s">
        <v>45</v>
      </c>
      <c r="E33" s="175" t="s">
        <v>78</v>
      </c>
      <c r="F33" s="182" t="s">
        <v>1220</v>
      </c>
      <c r="G33" s="166" t="s">
        <v>405</v>
      </c>
      <c r="H33" s="152" t="s">
        <v>92</v>
      </c>
      <c r="I33" s="186" t="s">
        <v>1057</v>
      </c>
      <c r="J33" s="184" t="s">
        <v>1452</v>
      </c>
      <c r="K33" s="175"/>
      <c r="L33" s="168" t="s">
        <v>55</v>
      </c>
      <c r="M33" s="175"/>
      <c r="N33" s="170" t="str">
        <f t="shared" ca="1" si="1"/>
        <v/>
      </c>
      <c r="O33" s="79"/>
      <c r="P33" s="175"/>
      <c r="Q33" s="80"/>
      <c r="R33" s="80"/>
      <c r="S33" s="80"/>
      <c r="T33" s="80"/>
      <c r="U33" s="80"/>
      <c r="V33" s="80"/>
      <c r="W33" s="80"/>
      <c r="X33" s="80"/>
    </row>
    <row r="34" spans="1:24" s="69" customFormat="1" ht="20.100000000000001" customHeight="1" x14ac:dyDescent="0.15">
      <c r="A34" s="174">
        <f t="shared" si="0"/>
        <v>30</v>
      </c>
      <c r="B34" s="181" t="s">
        <v>496</v>
      </c>
      <c r="C34" s="181" t="s">
        <v>496</v>
      </c>
      <c r="D34" s="175" t="s">
        <v>45</v>
      </c>
      <c r="E34" s="175" t="s">
        <v>78</v>
      </c>
      <c r="F34" s="182" t="s">
        <v>1288</v>
      </c>
      <c r="G34" s="166" t="s">
        <v>405</v>
      </c>
      <c r="H34" s="152" t="s">
        <v>92</v>
      </c>
      <c r="I34" s="186" t="s">
        <v>1289</v>
      </c>
      <c r="J34" s="184" t="s">
        <v>1454</v>
      </c>
      <c r="K34" s="175"/>
      <c r="L34" s="168" t="s">
        <v>55</v>
      </c>
      <c r="M34" s="175"/>
      <c r="N34" s="170" t="str">
        <f t="shared" ca="1" si="1"/>
        <v/>
      </c>
      <c r="O34" s="79"/>
      <c r="P34" s="175"/>
      <c r="Q34" s="80"/>
      <c r="R34" s="80"/>
      <c r="S34" s="80"/>
      <c r="T34" s="80"/>
      <c r="U34" s="80"/>
      <c r="V34" s="80"/>
      <c r="W34" s="80"/>
      <c r="X34" s="80"/>
    </row>
    <row r="35" spans="1:24" s="69" customFormat="1" ht="20.100000000000001" customHeight="1" x14ac:dyDescent="0.15">
      <c r="A35" s="174">
        <f t="shared" si="0"/>
        <v>31</v>
      </c>
      <c r="B35" s="182" t="s">
        <v>370</v>
      </c>
      <c r="C35" s="182" t="s">
        <v>496</v>
      </c>
      <c r="D35" s="175" t="s">
        <v>45</v>
      </c>
      <c r="E35" s="182" t="s">
        <v>78</v>
      </c>
      <c r="F35" s="175" t="s">
        <v>938</v>
      </c>
      <c r="G35" s="166" t="s">
        <v>348</v>
      </c>
      <c r="H35" s="152" t="s">
        <v>92</v>
      </c>
      <c r="I35" s="186" t="s">
        <v>980</v>
      </c>
      <c r="J35" s="184" t="s">
        <v>1453</v>
      </c>
      <c r="K35" s="162">
        <v>16</v>
      </c>
      <c r="L35" s="74" t="s">
        <v>47</v>
      </c>
      <c r="M35" s="170">
        <v>8</v>
      </c>
      <c r="N35" s="170" t="str">
        <f t="shared" ca="1" si="1"/>
        <v/>
      </c>
      <c r="O35" s="79"/>
      <c r="P35" s="206" t="s">
        <v>1401</v>
      </c>
      <c r="Q35" s="80"/>
      <c r="R35" s="80"/>
      <c r="S35" s="80"/>
      <c r="T35" s="80"/>
      <c r="U35" s="80"/>
      <c r="V35" s="80"/>
      <c r="W35" s="80"/>
      <c r="X35" s="80"/>
    </row>
    <row r="36" spans="1:24" ht="21.95" customHeight="1" x14ac:dyDescent="0.15">
      <c r="A36" s="174">
        <f t="shared" si="0"/>
        <v>32</v>
      </c>
      <c r="B36" s="60" t="s">
        <v>496</v>
      </c>
      <c r="C36" s="124" t="s">
        <v>496</v>
      </c>
      <c r="D36" s="60" t="s">
        <v>99</v>
      </c>
      <c r="E36" s="61" t="s">
        <v>100</v>
      </c>
      <c r="F36" s="62" t="s">
        <v>101</v>
      </c>
      <c r="G36" s="62" t="s">
        <v>348</v>
      </c>
      <c r="H36" s="109" t="s">
        <v>102</v>
      </c>
      <c r="I36" s="109" t="s">
        <v>16</v>
      </c>
      <c r="J36" s="147" t="s">
        <v>1569</v>
      </c>
      <c r="K36" s="175"/>
      <c r="L36" s="168" t="s">
        <v>55</v>
      </c>
      <c r="M36" s="175"/>
      <c r="N36" s="170" t="str">
        <f t="shared" ca="1" si="1"/>
        <v/>
      </c>
      <c r="O36" s="66"/>
      <c r="P36" s="191" t="s">
        <v>1402</v>
      </c>
    </row>
    <row r="37" spans="1:24" ht="21.95" customHeight="1" x14ac:dyDescent="0.15">
      <c r="A37" s="174">
        <f t="shared" si="0"/>
        <v>33</v>
      </c>
      <c r="B37" s="60" t="s">
        <v>496</v>
      </c>
      <c r="C37" s="124" t="s">
        <v>496</v>
      </c>
      <c r="D37" s="60" t="s">
        <v>99</v>
      </c>
      <c r="E37" s="61" t="s">
        <v>100</v>
      </c>
      <c r="F37" s="62" t="s">
        <v>103</v>
      </c>
      <c r="G37" s="62" t="s">
        <v>349</v>
      </c>
      <c r="H37" s="109" t="s">
        <v>102</v>
      </c>
      <c r="I37" s="102" t="s">
        <v>588</v>
      </c>
      <c r="J37" s="134" t="s">
        <v>1459</v>
      </c>
      <c r="K37" s="175"/>
      <c r="L37" s="168" t="s">
        <v>55</v>
      </c>
      <c r="M37" s="175"/>
      <c r="N37" s="170" t="str">
        <f t="shared" ca="1" si="1"/>
        <v/>
      </c>
      <c r="O37" s="66"/>
      <c r="P37" s="67" t="s">
        <v>1406</v>
      </c>
    </row>
    <row r="38" spans="1:24" ht="21.95" customHeight="1" x14ac:dyDescent="0.15">
      <c r="A38" s="174">
        <f t="shared" si="0"/>
        <v>34</v>
      </c>
      <c r="B38" s="60" t="s">
        <v>496</v>
      </c>
      <c r="C38" s="124" t="s">
        <v>496</v>
      </c>
      <c r="D38" s="60" t="s">
        <v>99</v>
      </c>
      <c r="E38" s="61" t="s">
        <v>100</v>
      </c>
      <c r="F38" s="62" t="s">
        <v>104</v>
      </c>
      <c r="G38" s="62" t="s">
        <v>348</v>
      </c>
      <c r="H38" s="109" t="s">
        <v>102</v>
      </c>
      <c r="I38" s="109" t="s">
        <v>17</v>
      </c>
      <c r="J38" s="147" t="s">
        <v>1569</v>
      </c>
      <c r="K38" s="175"/>
      <c r="L38" s="168" t="s">
        <v>55</v>
      </c>
      <c r="M38" s="175"/>
      <c r="N38" s="170" t="str">
        <f t="shared" ca="1" si="1"/>
        <v/>
      </c>
      <c r="O38" s="66"/>
      <c r="P38" s="191" t="s">
        <v>1403</v>
      </c>
    </row>
    <row r="39" spans="1:24" ht="21.95" customHeight="1" x14ac:dyDescent="0.15">
      <c r="A39" s="174">
        <f t="shared" si="0"/>
        <v>35</v>
      </c>
      <c r="B39" s="60" t="s">
        <v>496</v>
      </c>
      <c r="C39" s="124" t="s">
        <v>496</v>
      </c>
      <c r="D39" s="60" t="s">
        <v>99</v>
      </c>
      <c r="E39" s="61" t="s">
        <v>100</v>
      </c>
      <c r="F39" s="62" t="s">
        <v>105</v>
      </c>
      <c r="G39" s="62" t="s">
        <v>349</v>
      </c>
      <c r="H39" s="109" t="s">
        <v>102</v>
      </c>
      <c r="I39" s="109" t="s">
        <v>589</v>
      </c>
      <c r="J39" s="147" t="s">
        <v>1459</v>
      </c>
      <c r="K39" s="175"/>
      <c r="L39" s="168" t="s">
        <v>55</v>
      </c>
      <c r="M39" s="175"/>
      <c r="N39" s="170" t="str">
        <f t="shared" ca="1" si="1"/>
        <v/>
      </c>
      <c r="O39" s="66"/>
      <c r="P39" s="67" t="s">
        <v>1406</v>
      </c>
    </row>
    <row r="40" spans="1:24" ht="21.95" customHeight="1" x14ac:dyDescent="0.15">
      <c r="A40" s="174">
        <f t="shared" si="0"/>
        <v>36</v>
      </c>
      <c r="B40" s="60" t="s">
        <v>496</v>
      </c>
      <c r="C40" s="124" t="s">
        <v>496</v>
      </c>
      <c r="D40" s="60" t="s">
        <v>88</v>
      </c>
      <c r="E40" s="61" t="s">
        <v>100</v>
      </c>
      <c r="F40" s="62" t="s">
        <v>106</v>
      </c>
      <c r="G40" s="62" t="s">
        <v>348</v>
      </c>
      <c r="H40" s="109" t="s">
        <v>102</v>
      </c>
      <c r="I40" s="109" t="s">
        <v>107</v>
      </c>
      <c r="J40" s="147" t="s">
        <v>1649</v>
      </c>
      <c r="K40" s="175"/>
      <c r="L40" s="168" t="s">
        <v>55</v>
      </c>
      <c r="M40" s="175"/>
      <c r="N40" s="170" t="str">
        <f t="shared" ca="1" si="1"/>
        <v/>
      </c>
      <c r="O40" s="66"/>
      <c r="P40" s="191" t="s">
        <v>1404</v>
      </c>
    </row>
    <row r="41" spans="1:24" s="69" customFormat="1" ht="20.100000000000001" customHeight="1" x14ac:dyDescent="0.15">
      <c r="A41" s="174">
        <f t="shared" si="0"/>
        <v>37</v>
      </c>
      <c r="B41" s="176" t="s">
        <v>496</v>
      </c>
      <c r="C41" s="176" t="s">
        <v>496</v>
      </c>
      <c r="D41" s="175" t="s">
        <v>45</v>
      </c>
      <c r="E41" s="175" t="s">
        <v>100</v>
      </c>
      <c r="F41" s="182" t="s">
        <v>1322</v>
      </c>
      <c r="G41" s="166" t="s">
        <v>405</v>
      </c>
      <c r="H41" s="152" t="s">
        <v>92</v>
      </c>
      <c r="I41" s="186" t="s">
        <v>982</v>
      </c>
      <c r="J41" s="184" t="s">
        <v>1614</v>
      </c>
      <c r="K41" s="175"/>
      <c r="L41" s="168" t="s">
        <v>55</v>
      </c>
      <c r="M41" s="175"/>
      <c r="N41" s="170" t="str">
        <f t="shared" ca="1" si="1"/>
        <v/>
      </c>
      <c r="O41" s="79"/>
      <c r="P41" s="206" t="s">
        <v>1405</v>
      </c>
      <c r="Q41" s="80"/>
      <c r="R41" s="80"/>
      <c r="S41" s="80"/>
      <c r="T41" s="80"/>
      <c r="U41" s="80"/>
      <c r="V41" s="80"/>
      <c r="W41" s="80"/>
      <c r="X41" s="80"/>
    </row>
    <row r="42" spans="1:24" s="69" customFormat="1" ht="21.95" customHeight="1" x14ac:dyDescent="0.15">
      <c r="A42" s="174">
        <f t="shared" si="0"/>
        <v>38</v>
      </c>
      <c r="B42" s="60" t="s">
        <v>521</v>
      </c>
      <c r="C42" s="182" t="s">
        <v>411</v>
      </c>
      <c r="D42" s="61" t="s">
        <v>256</v>
      </c>
      <c r="E42" s="61" t="s">
        <v>193</v>
      </c>
      <c r="F42" s="61" t="s">
        <v>480</v>
      </c>
      <c r="G42" s="62" t="s">
        <v>405</v>
      </c>
      <c r="H42" s="109" t="s">
        <v>92</v>
      </c>
      <c r="I42" s="109" t="s">
        <v>590</v>
      </c>
      <c r="J42" s="184" t="s">
        <v>1413</v>
      </c>
      <c r="K42" s="169"/>
      <c r="L42" s="161" t="s">
        <v>55</v>
      </c>
      <c r="M42" s="170"/>
      <c r="N42" s="170" t="str">
        <f t="shared" ca="1" si="1"/>
        <v>即将到期</v>
      </c>
      <c r="O42" s="79"/>
      <c r="P42" s="61"/>
      <c r="Q42" s="80"/>
      <c r="R42" s="80"/>
      <c r="S42" s="80"/>
      <c r="T42" s="80"/>
      <c r="U42" s="80"/>
      <c r="V42" s="80"/>
      <c r="W42" s="80"/>
      <c r="X42" s="80"/>
    </row>
    <row r="43" spans="1:24" ht="21.95" customHeight="1" x14ac:dyDescent="0.15">
      <c r="A43" s="174">
        <f t="shared" si="0"/>
        <v>39</v>
      </c>
      <c r="B43" s="60" t="s">
        <v>521</v>
      </c>
      <c r="C43" s="182" t="s">
        <v>411</v>
      </c>
      <c r="D43" s="72" t="s">
        <v>99</v>
      </c>
      <c r="E43" s="157" t="s">
        <v>193</v>
      </c>
      <c r="F43" s="72" t="s">
        <v>111</v>
      </c>
      <c r="G43" s="62" t="s">
        <v>348</v>
      </c>
      <c r="H43" s="109" t="s">
        <v>102</v>
      </c>
      <c r="I43" s="110" t="s">
        <v>22</v>
      </c>
      <c r="J43" s="184" t="s">
        <v>1413</v>
      </c>
      <c r="K43" s="169"/>
      <c r="L43" s="161" t="s">
        <v>55</v>
      </c>
      <c r="M43" s="170"/>
      <c r="N43" s="170" t="str">
        <f t="shared" ca="1" si="1"/>
        <v>即将到期</v>
      </c>
      <c r="O43" s="76"/>
      <c r="P43" s="67"/>
    </row>
    <row r="44" spans="1:24" s="69" customFormat="1" ht="20.100000000000001" customHeight="1" x14ac:dyDescent="0.15">
      <c r="A44" s="174">
        <f t="shared" si="0"/>
        <v>40</v>
      </c>
      <c r="B44" s="175" t="s">
        <v>1179</v>
      </c>
      <c r="C44" s="175" t="s">
        <v>1179</v>
      </c>
      <c r="D44" s="175" t="s">
        <v>88</v>
      </c>
      <c r="E44" s="175" t="s">
        <v>1181</v>
      </c>
      <c r="F44" s="175" t="s">
        <v>1182</v>
      </c>
      <c r="G44" s="166" t="s">
        <v>405</v>
      </c>
      <c r="H44" s="152" t="s">
        <v>92</v>
      </c>
      <c r="I44" s="186" t="s">
        <v>1527</v>
      </c>
      <c r="J44" s="184" t="s">
        <v>1528</v>
      </c>
      <c r="K44" s="175"/>
      <c r="L44" s="168" t="s">
        <v>55</v>
      </c>
      <c r="M44" s="175"/>
      <c r="N44" s="170" t="str">
        <f t="shared" ca="1" si="1"/>
        <v/>
      </c>
      <c r="O44" s="79"/>
      <c r="P44" s="175"/>
      <c r="Q44" s="80"/>
      <c r="R44" s="80"/>
      <c r="S44" s="80"/>
      <c r="T44" s="80"/>
      <c r="U44" s="80"/>
      <c r="V44" s="80"/>
      <c r="W44" s="80"/>
      <c r="X44" s="80"/>
    </row>
    <row r="45" spans="1:24" ht="21.95" customHeight="1" x14ac:dyDescent="0.15">
      <c r="A45" s="174">
        <f t="shared" si="0"/>
        <v>41</v>
      </c>
      <c r="B45" s="60" t="s">
        <v>408</v>
      </c>
      <c r="C45" s="182" t="s">
        <v>411</v>
      </c>
      <c r="D45" s="61" t="s">
        <v>99</v>
      </c>
      <c r="E45" s="61" t="s">
        <v>115</v>
      </c>
      <c r="F45" s="62" t="s">
        <v>116</v>
      </c>
      <c r="G45" s="62" t="s">
        <v>348</v>
      </c>
      <c r="H45" s="109" t="s">
        <v>102</v>
      </c>
      <c r="I45" s="109" t="s">
        <v>117</v>
      </c>
      <c r="J45" s="140" t="s">
        <v>1168</v>
      </c>
      <c r="K45" s="169"/>
      <c r="L45" s="161" t="s">
        <v>55</v>
      </c>
      <c r="M45" s="170"/>
      <c r="N45" s="170" t="str">
        <f t="shared" ca="1" si="1"/>
        <v/>
      </c>
      <c r="O45" s="66"/>
      <c r="P45" s="67"/>
    </row>
    <row r="46" spans="1:24" ht="21.95" customHeight="1" x14ac:dyDescent="0.15">
      <c r="A46" s="174">
        <f t="shared" si="0"/>
        <v>42</v>
      </c>
      <c r="B46" s="60" t="s">
        <v>408</v>
      </c>
      <c r="C46" s="181" t="s">
        <v>408</v>
      </c>
      <c r="D46" s="60" t="s">
        <v>99</v>
      </c>
      <c r="E46" s="82" t="s">
        <v>457</v>
      </c>
      <c r="F46" s="62" t="s">
        <v>118</v>
      </c>
      <c r="G46" s="62" t="s">
        <v>348</v>
      </c>
      <c r="H46" s="109" t="s">
        <v>102</v>
      </c>
      <c r="I46" s="109" t="s">
        <v>19</v>
      </c>
      <c r="J46" s="183" t="s">
        <v>1374</v>
      </c>
      <c r="K46" s="169"/>
      <c r="L46" s="161" t="s">
        <v>55</v>
      </c>
      <c r="M46" s="170"/>
      <c r="N46" s="170" t="str">
        <f t="shared" ca="1" si="1"/>
        <v/>
      </c>
      <c r="O46" s="66"/>
      <c r="P46" s="67"/>
    </row>
    <row r="47" spans="1:24" ht="21.95" customHeight="1" x14ac:dyDescent="0.15">
      <c r="A47" s="174">
        <f t="shared" si="0"/>
        <v>43</v>
      </c>
      <c r="B47" s="60" t="s">
        <v>408</v>
      </c>
      <c r="C47" s="182" t="s">
        <v>370</v>
      </c>
      <c r="D47" s="60" t="s">
        <v>88</v>
      </c>
      <c r="E47" s="60" t="s">
        <v>265</v>
      </c>
      <c r="F47" s="194" t="s">
        <v>1432</v>
      </c>
      <c r="G47" s="62" t="s">
        <v>349</v>
      </c>
      <c r="H47" s="109" t="s">
        <v>267</v>
      </c>
      <c r="I47" s="109" t="s">
        <v>345</v>
      </c>
      <c r="J47" s="147" t="s">
        <v>1433</v>
      </c>
      <c r="K47" s="64"/>
      <c r="L47" s="119" t="s">
        <v>55</v>
      </c>
      <c r="M47" s="170"/>
      <c r="N47" s="170" t="str">
        <f t="shared" ca="1" si="1"/>
        <v/>
      </c>
      <c r="O47" s="66"/>
      <c r="P47" s="67"/>
    </row>
    <row r="48" spans="1:24" s="69" customFormat="1" ht="20.100000000000001" customHeight="1" x14ac:dyDescent="0.15">
      <c r="A48" s="174">
        <f t="shared" si="0"/>
        <v>44</v>
      </c>
      <c r="B48" s="181" t="s">
        <v>411</v>
      </c>
      <c r="C48" s="182" t="s">
        <v>370</v>
      </c>
      <c r="D48" s="175" t="s">
        <v>1047</v>
      </c>
      <c r="E48" s="175" t="s">
        <v>1065</v>
      </c>
      <c r="F48" s="182" t="s">
        <v>1225</v>
      </c>
      <c r="G48" s="166" t="s">
        <v>405</v>
      </c>
      <c r="H48" s="152" t="s">
        <v>92</v>
      </c>
      <c r="I48" s="186" t="s">
        <v>1226</v>
      </c>
      <c r="J48" s="184" t="s">
        <v>1227</v>
      </c>
      <c r="K48" s="175"/>
      <c r="L48" s="168" t="s">
        <v>55</v>
      </c>
      <c r="M48" s="175"/>
      <c r="N48" s="170" t="str">
        <f t="shared" ca="1" si="1"/>
        <v/>
      </c>
      <c r="O48" s="79"/>
      <c r="P48" s="175"/>
      <c r="Q48" s="80"/>
      <c r="R48" s="80"/>
      <c r="S48" s="80"/>
      <c r="T48" s="80"/>
      <c r="U48" s="80"/>
      <c r="V48" s="80"/>
      <c r="W48" s="80"/>
      <c r="X48" s="80"/>
    </row>
    <row r="49" spans="1:24" ht="21.95" customHeight="1" x14ac:dyDescent="0.15">
      <c r="A49" s="174">
        <f t="shared" si="0"/>
        <v>45</v>
      </c>
      <c r="B49" s="60" t="s">
        <v>496</v>
      </c>
      <c r="C49" s="143" t="s">
        <v>742</v>
      </c>
      <c r="D49" s="60" t="s">
        <v>99</v>
      </c>
      <c r="E49" s="61" t="s">
        <v>346</v>
      </c>
      <c r="F49" s="62" t="s">
        <v>119</v>
      </c>
      <c r="G49" s="62" t="s">
        <v>348</v>
      </c>
      <c r="H49" s="109" t="s">
        <v>102</v>
      </c>
      <c r="I49" s="109" t="s">
        <v>20</v>
      </c>
      <c r="J49" s="183" t="s">
        <v>1279</v>
      </c>
      <c r="K49" s="175"/>
      <c r="L49" s="168" t="s">
        <v>55</v>
      </c>
      <c r="M49" s="175"/>
      <c r="N49" s="170" t="str">
        <f t="shared" ca="1" si="1"/>
        <v/>
      </c>
      <c r="O49" s="66"/>
      <c r="P49" s="67"/>
    </row>
    <row r="50" spans="1:24" ht="21.95" customHeight="1" x14ac:dyDescent="0.15">
      <c r="A50" s="174">
        <f t="shared" si="0"/>
        <v>46</v>
      </c>
      <c r="B50" s="60" t="s">
        <v>408</v>
      </c>
      <c r="C50" s="182" t="s">
        <v>411</v>
      </c>
      <c r="D50" s="83" t="s">
        <v>88</v>
      </c>
      <c r="E50" s="83" t="s">
        <v>93</v>
      </c>
      <c r="F50" s="84" t="s">
        <v>94</v>
      </c>
      <c r="G50" s="62" t="s">
        <v>348</v>
      </c>
      <c r="H50" s="109" t="s">
        <v>264</v>
      </c>
      <c r="I50" s="109" t="s">
        <v>355</v>
      </c>
      <c r="J50" s="183" t="s">
        <v>1265</v>
      </c>
      <c r="K50" s="169">
        <v>7</v>
      </c>
      <c r="L50" s="170" t="s">
        <v>47</v>
      </c>
      <c r="M50" s="170">
        <v>6</v>
      </c>
      <c r="N50" s="170" t="str">
        <f t="shared" ca="1" si="1"/>
        <v/>
      </c>
      <c r="O50" s="66"/>
      <c r="P50" s="85"/>
    </row>
    <row r="51" spans="1:24" s="69" customFormat="1" ht="21.95" customHeight="1" x14ac:dyDescent="0.15">
      <c r="A51" s="174">
        <f t="shared" si="0"/>
        <v>47</v>
      </c>
      <c r="B51" s="60" t="s">
        <v>370</v>
      </c>
      <c r="C51" s="182" t="s">
        <v>411</v>
      </c>
      <c r="D51" s="61" t="s">
        <v>256</v>
      </c>
      <c r="E51" s="61" t="s">
        <v>545</v>
      </c>
      <c r="F51" s="61" t="s">
        <v>546</v>
      </c>
      <c r="G51" s="62" t="s">
        <v>349</v>
      </c>
      <c r="H51" s="151" t="s">
        <v>92</v>
      </c>
      <c r="I51" s="151" t="s">
        <v>765</v>
      </c>
      <c r="J51" s="184" t="s">
        <v>1480</v>
      </c>
      <c r="K51" s="175"/>
      <c r="L51" s="168" t="s">
        <v>55</v>
      </c>
      <c r="M51" s="170"/>
      <c r="N51" s="170" t="str">
        <f t="shared" ca="1" si="1"/>
        <v/>
      </c>
      <c r="O51" s="79"/>
      <c r="P51" s="61"/>
      <c r="Q51" s="80"/>
      <c r="R51" s="80"/>
      <c r="S51" s="80"/>
      <c r="T51" s="80"/>
      <c r="U51" s="80"/>
      <c r="V51" s="80"/>
      <c r="W51" s="80"/>
      <c r="X51" s="80"/>
    </row>
    <row r="52" spans="1:24" s="69" customFormat="1" ht="20.100000000000001" customHeight="1" x14ac:dyDescent="0.15">
      <c r="A52" s="174">
        <f t="shared" si="0"/>
        <v>48</v>
      </c>
      <c r="B52" s="174" t="s">
        <v>815</v>
      </c>
      <c r="C52" s="182" t="s">
        <v>411</v>
      </c>
      <c r="D52" s="175" t="s">
        <v>45</v>
      </c>
      <c r="E52" s="175" t="s">
        <v>545</v>
      </c>
      <c r="F52" s="175" t="s">
        <v>816</v>
      </c>
      <c r="G52" s="194" t="s">
        <v>349</v>
      </c>
      <c r="H52" s="152" t="s">
        <v>92</v>
      </c>
      <c r="I52" s="186" t="s">
        <v>951</v>
      </c>
      <c r="J52" s="184" t="s">
        <v>1462</v>
      </c>
      <c r="K52" s="175"/>
      <c r="L52" s="168" t="s">
        <v>55</v>
      </c>
      <c r="M52" s="170"/>
      <c r="N52" s="170" t="str">
        <f t="shared" ca="1" si="1"/>
        <v/>
      </c>
      <c r="O52" s="79"/>
      <c r="P52" s="175"/>
      <c r="Q52" s="80"/>
      <c r="R52" s="80"/>
      <c r="S52" s="80"/>
      <c r="T52" s="80"/>
      <c r="U52" s="80"/>
      <c r="V52" s="80"/>
      <c r="W52" s="80"/>
      <c r="X52" s="80"/>
    </row>
    <row r="53" spans="1:24" s="69" customFormat="1" ht="20.100000000000001" customHeight="1" x14ac:dyDescent="0.15">
      <c r="A53" s="174">
        <f t="shared" si="0"/>
        <v>49</v>
      </c>
      <c r="B53" s="174" t="s">
        <v>370</v>
      </c>
      <c r="C53" s="182" t="s">
        <v>411</v>
      </c>
      <c r="D53" s="175" t="s">
        <v>45</v>
      </c>
      <c r="E53" s="175" t="s">
        <v>545</v>
      </c>
      <c r="F53" s="175" t="s">
        <v>816</v>
      </c>
      <c r="G53" s="194" t="s">
        <v>349</v>
      </c>
      <c r="H53" s="152" t="s">
        <v>92</v>
      </c>
      <c r="I53" s="152" t="s">
        <v>92</v>
      </c>
      <c r="J53" s="147" t="s">
        <v>92</v>
      </c>
      <c r="K53" s="147" t="s">
        <v>92</v>
      </c>
      <c r="L53" s="168" t="s">
        <v>55</v>
      </c>
      <c r="M53" s="175"/>
      <c r="N53" s="170" t="str">
        <f t="shared" ca="1" si="1"/>
        <v/>
      </c>
      <c r="O53" s="79"/>
      <c r="P53" s="184" t="s">
        <v>416</v>
      </c>
      <c r="Q53" s="80"/>
      <c r="R53" s="80"/>
      <c r="S53" s="80"/>
      <c r="T53" s="80"/>
      <c r="U53" s="80"/>
      <c r="V53" s="80"/>
      <c r="W53" s="80"/>
      <c r="X53" s="80"/>
    </row>
    <row r="54" spans="1:24" s="69" customFormat="1" ht="20.100000000000001" customHeight="1" x14ac:dyDescent="0.15">
      <c r="A54" s="174">
        <f t="shared" si="0"/>
        <v>50</v>
      </c>
      <c r="B54" s="181" t="s">
        <v>496</v>
      </c>
      <c r="C54" s="181" t="s">
        <v>496</v>
      </c>
      <c r="D54" s="175" t="s">
        <v>45</v>
      </c>
      <c r="E54" s="175" t="s">
        <v>130</v>
      </c>
      <c r="F54" s="182" t="s">
        <v>1105</v>
      </c>
      <c r="G54" s="166" t="s">
        <v>405</v>
      </c>
      <c r="H54" s="152" t="s">
        <v>92</v>
      </c>
      <c r="I54" s="186" t="s">
        <v>1106</v>
      </c>
      <c r="J54" s="184" t="s">
        <v>1107</v>
      </c>
      <c r="K54" s="169">
        <v>5</v>
      </c>
      <c r="L54" s="170" t="s">
        <v>47</v>
      </c>
      <c r="M54" s="170">
        <v>9</v>
      </c>
      <c r="N54" s="170" t="str">
        <f t="shared" ca="1" si="1"/>
        <v/>
      </c>
      <c r="O54" s="79"/>
      <c r="P54" s="175"/>
      <c r="Q54" s="80"/>
      <c r="R54" s="80"/>
      <c r="S54" s="80"/>
      <c r="T54" s="80"/>
      <c r="U54" s="80"/>
      <c r="V54" s="80"/>
      <c r="W54" s="80"/>
      <c r="X54" s="80"/>
    </row>
    <row r="55" spans="1:24" s="69" customFormat="1" ht="20.100000000000001" customHeight="1" x14ac:dyDescent="0.15">
      <c r="A55" s="174">
        <f t="shared" si="0"/>
        <v>51</v>
      </c>
      <c r="B55" s="181" t="s">
        <v>496</v>
      </c>
      <c r="C55" s="181" t="s">
        <v>496</v>
      </c>
      <c r="D55" s="175" t="s">
        <v>45</v>
      </c>
      <c r="E55" s="175" t="s">
        <v>130</v>
      </c>
      <c r="F55" s="182" t="s">
        <v>1194</v>
      </c>
      <c r="G55" s="166" t="s">
        <v>405</v>
      </c>
      <c r="H55" s="152" t="s">
        <v>92</v>
      </c>
      <c r="I55" s="186" t="s">
        <v>1195</v>
      </c>
      <c r="J55" s="184" t="s">
        <v>1196</v>
      </c>
      <c r="K55" s="175"/>
      <c r="L55" s="168" t="s">
        <v>55</v>
      </c>
      <c r="M55" s="175"/>
      <c r="N55" s="170" t="str">
        <f t="shared" ca="1" si="1"/>
        <v/>
      </c>
      <c r="O55" s="79"/>
      <c r="P55" s="175"/>
      <c r="Q55" s="80"/>
      <c r="R55" s="80"/>
      <c r="S55" s="80"/>
      <c r="T55" s="80"/>
      <c r="U55" s="80"/>
      <c r="V55" s="80"/>
      <c r="W55" s="80"/>
      <c r="X55" s="80"/>
    </row>
    <row r="56" spans="1:24" s="69" customFormat="1" ht="19.5" customHeight="1" x14ac:dyDescent="0.15">
      <c r="A56" s="174">
        <f t="shared" si="0"/>
        <v>52</v>
      </c>
      <c r="B56" s="181" t="s">
        <v>496</v>
      </c>
      <c r="C56" s="181" t="s">
        <v>496</v>
      </c>
      <c r="D56" s="175" t="s">
        <v>45</v>
      </c>
      <c r="E56" s="175" t="s">
        <v>130</v>
      </c>
      <c r="F56" s="175" t="s">
        <v>671</v>
      </c>
      <c r="G56" s="166" t="s">
        <v>405</v>
      </c>
      <c r="H56" s="152" t="s">
        <v>92</v>
      </c>
      <c r="I56" s="186" t="s">
        <v>1216</v>
      </c>
      <c r="J56" s="184" t="s">
        <v>1279</v>
      </c>
      <c r="K56" s="175"/>
      <c r="L56" s="168" t="s">
        <v>55</v>
      </c>
      <c r="M56" s="175"/>
      <c r="N56" s="170" t="str">
        <f t="shared" ca="1" si="1"/>
        <v/>
      </c>
      <c r="O56" s="79"/>
      <c r="P56" s="204"/>
      <c r="Q56" s="80"/>
      <c r="R56" s="80"/>
      <c r="S56" s="80"/>
      <c r="T56" s="80"/>
      <c r="U56" s="80"/>
      <c r="V56" s="80"/>
      <c r="W56" s="80"/>
      <c r="X56" s="80"/>
    </row>
    <row r="57" spans="1:24" s="69" customFormat="1" ht="20.100000000000001" customHeight="1" x14ac:dyDescent="0.15">
      <c r="A57" s="174">
        <f t="shared" si="0"/>
        <v>53</v>
      </c>
      <c r="B57" s="181" t="s">
        <v>496</v>
      </c>
      <c r="C57" s="181" t="s">
        <v>496</v>
      </c>
      <c r="D57" s="175" t="s">
        <v>45</v>
      </c>
      <c r="E57" s="175" t="s">
        <v>130</v>
      </c>
      <c r="F57" s="175" t="s">
        <v>1139</v>
      </c>
      <c r="G57" s="166" t="s">
        <v>405</v>
      </c>
      <c r="H57" s="152" t="s">
        <v>92</v>
      </c>
      <c r="I57" s="186" t="s">
        <v>1216</v>
      </c>
      <c r="J57" s="184" t="s">
        <v>1279</v>
      </c>
      <c r="K57" s="175"/>
      <c r="L57" s="168" t="s">
        <v>55</v>
      </c>
      <c r="M57" s="175"/>
      <c r="N57" s="170" t="str">
        <f t="shared" ca="1" si="1"/>
        <v/>
      </c>
      <c r="O57" s="79"/>
      <c r="P57" s="204"/>
      <c r="Q57" s="80"/>
      <c r="R57" s="80"/>
      <c r="S57" s="80"/>
      <c r="T57" s="80"/>
      <c r="U57" s="80"/>
      <c r="V57" s="80"/>
      <c r="W57" s="80"/>
      <c r="X57" s="80"/>
    </row>
    <row r="58" spans="1:24" s="69" customFormat="1" ht="20.100000000000001" customHeight="1" x14ac:dyDescent="0.15">
      <c r="A58" s="174">
        <f t="shared" si="0"/>
        <v>54</v>
      </c>
      <c r="B58" s="181" t="s">
        <v>496</v>
      </c>
      <c r="C58" s="181" t="s">
        <v>496</v>
      </c>
      <c r="D58" s="175" t="s">
        <v>45</v>
      </c>
      <c r="E58" s="175" t="s">
        <v>130</v>
      </c>
      <c r="F58" s="175" t="s">
        <v>1140</v>
      </c>
      <c r="G58" s="166" t="s">
        <v>405</v>
      </c>
      <c r="H58" s="152" t="s">
        <v>92</v>
      </c>
      <c r="I58" s="186" t="s">
        <v>1216</v>
      </c>
      <c r="J58" s="184" t="s">
        <v>1279</v>
      </c>
      <c r="K58" s="175"/>
      <c r="L58" s="168" t="s">
        <v>55</v>
      </c>
      <c r="M58" s="175"/>
      <c r="N58" s="170" t="str">
        <f t="shared" ca="1" si="1"/>
        <v/>
      </c>
      <c r="O58" s="79"/>
      <c r="P58" s="204"/>
      <c r="Q58" s="80"/>
      <c r="R58" s="80"/>
      <c r="S58" s="80"/>
      <c r="T58" s="80"/>
      <c r="U58" s="80"/>
      <c r="V58" s="80"/>
      <c r="W58" s="80"/>
      <c r="X58" s="80"/>
    </row>
    <row r="59" spans="1:24" s="69" customFormat="1" ht="20.100000000000001" customHeight="1" x14ac:dyDescent="0.15">
      <c r="A59" s="174">
        <f t="shared" si="0"/>
        <v>55</v>
      </c>
      <c r="B59" s="181" t="s">
        <v>496</v>
      </c>
      <c r="C59" s="181" t="s">
        <v>496</v>
      </c>
      <c r="D59" s="175" t="s">
        <v>45</v>
      </c>
      <c r="E59" s="175" t="s">
        <v>130</v>
      </c>
      <c r="F59" s="175" t="s">
        <v>670</v>
      </c>
      <c r="G59" s="166" t="s">
        <v>405</v>
      </c>
      <c r="H59" s="152" t="s">
        <v>92</v>
      </c>
      <c r="I59" s="186" t="s">
        <v>1216</v>
      </c>
      <c r="J59" s="184" t="s">
        <v>1279</v>
      </c>
      <c r="K59" s="175"/>
      <c r="L59" s="168" t="s">
        <v>55</v>
      </c>
      <c r="M59" s="175"/>
      <c r="N59" s="170" t="str">
        <f t="shared" ca="1" si="1"/>
        <v/>
      </c>
      <c r="O59" s="79"/>
      <c r="P59" s="204"/>
      <c r="Q59" s="80"/>
      <c r="R59" s="80"/>
      <c r="S59" s="80"/>
      <c r="T59" s="80"/>
      <c r="U59" s="80"/>
      <c r="V59" s="80"/>
      <c r="W59" s="80"/>
      <c r="X59" s="80"/>
    </row>
    <row r="60" spans="1:24" s="69" customFormat="1" ht="20.100000000000001" customHeight="1" x14ac:dyDescent="0.15">
      <c r="A60" s="174">
        <f t="shared" si="0"/>
        <v>56</v>
      </c>
      <c r="B60" s="181" t="s">
        <v>496</v>
      </c>
      <c r="C60" s="181" t="s">
        <v>496</v>
      </c>
      <c r="D60" s="175" t="s">
        <v>45</v>
      </c>
      <c r="E60" s="175" t="s">
        <v>130</v>
      </c>
      <c r="F60" s="175" t="s">
        <v>1041</v>
      </c>
      <c r="G60" s="166" t="s">
        <v>405</v>
      </c>
      <c r="H60" s="152" t="s">
        <v>92</v>
      </c>
      <c r="I60" s="186" t="s">
        <v>1216</v>
      </c>
      <c r="J60" s="184" t="s">
        <v>1279</v>
      </c>
      <c r="K60" s="175"/>
      <c r="L60" s="168" t="s">
        <v>55</v>
      </c>
      <c r="M60" s="175"/>
      <c r="N60" s="170" t="str">
        <f t="shared" ca="1" si="1"/>
        <v/>
      </c>
      <c r="O60" s="79"/>
      <c r="P60" s="204"/>
      <c r="Q60" s="80"/>
      <c r="R60" s="80"/>
      <c r="S60" s="80"/>
      <c r="T60" s="80"/>
      <c r="U60" s="80"/>
      <c r="V60" s="80"/>
      <c r="W60" s="80"/>
      <c r="X60" s="80"/>
    </row>
    <row r="61" spans="1:24" s="69" customFormat="1" ht="20.100000000000001" customHeight="1" x14ac:dyDescent="0.15">
      <c r="A61" s="174">
        <f t="shared" si="0"/>
        <v>57</v>
      </c>
      <c r="B61" s="181" t="s">
        <v>496</v>
      </c>
      <c r="C61" s="181" t="s">
        <v>496</v>
      </c>
      <c r="D61" s="175" t="s">
        <v>45</v>
      </c>
      <c r="E61" s="175" t="s">
        <v>130</v>
      </c>
      <c r="F61" s="175" t="s">
        <v>1141</v>
      </c>
      <c r="G61" s="166" t="s">
        <v>405</v>
      </c>
      <c r="H61" s="152" t="s">
        <v>92</v>
      </c>
      <c r="I61" s="186" t="s">
        <v>1216</v>
      </c>
      <c r="J61" s="184" t="s">
        <v>1279</v>
      </c>
      <c r="K61" s="175"/>
      <c r="L61" s="168" t="s">
        <v>55</v>
      </c>
      <c r="M61" s="175"/>
      <c r="N61" s="170" t="str">
        <f t="shared" ca="1" si="1"/>
        <v/>
      </c>
      <c r="O61" s="79"/>
      <c r="P61" s="204"/>
      <c r="Q61" s="80"/>
      <c r="R61" s="80"/>
      <c r="S61" s="80"/>
      <c r="T61" s="80"/>
      <c r="U61" s="80"/>
      <c r="V61" s="80"/>
      <c r="W61" s="80"/>
      <c r="X61" s="80"/>
    </row>
    <row r="62" spans="1:24" s="69" customFormat="1" ht="20.100000000000001" customHeight="1" x14ac:dyDescent="0.15">
      <c r="A62" s="174">
        <f t="shared" si="0"/>
        <v>58</v>
      </c>
      <c r="B62" s="181" t="s">
        <v>496</v>
      </c>
      <c r="C62" s="181" t="s">
        <v>496</v>
      </c>
      <c r="D62" s="175" t="s">
        <v>45</v>
      </c>
      <c r="E62" s="175" t="s">
        <v>130</v>
      </c>
      <c r="F62" s="175" t="s">
        <v>1142</v>
      </c>
      <c r="G62" s="166" t="s">
        <v>405</v>
      </c>
      <c r="H62" s="152" t="s">
        <v>92</v>
      </c>
      <c r="I62" s="186" t="s">
        <v>1216</v>
      </c>
      <c r="J62" s="184" t="s">
        <v>1279</v>
      </c>
      <c r="K62" s="175"/>
      <c r="L62" s="168" t="s">
        <v>55</v>
      </c>
      <c r="M62" s="175"/>
      <c r="N62" s="170" t="str">
        <f t="shared" ca="1" si="1"/>
        <v/>
      </c>
      <c r="O62" s="79"/>
      <c r="P62" s="204"/>
      <c r="Q62" s="80"/>
      <c r="R62" s="80"/>
      <c r="S62" s="80"/>
      <c r="T62" s="80"/>
      <c r="U62" s="80"/>
      <c r="V62" s="80"/>
      <c r="W62" s="80"/>
      <c r="X62" s="80"/>
    </row>
    <row r="63" spans="1:24" s="69" customFormat="1" ht="20.100000000000001" customHeight="1" x14ac:dyDescent="0.15">
      <c r="A63" s="174">
        <f t="shared" si="0"/>
        <v>59</v>
      </c>
      <c r="B63" s="181" t="s">
        <v>496</v>
      </c>
      <c r="C63" s="181" t="s">
        <v>496</v>
      </c>
      <c r="D63" s="175" t="s">
        <v>45</v>
      </c>
      <c r="E63" s="175" t="s">
        <v>130</v>
      </c>
      <c r="F63" s="175" t="s">
        <v>1143</v>
      </c>
      <c r="G63" s="166" t="s">
        <v>405</v>
      </c>
      <c r="H63" s="152" t="s">
        <v>92</v>
      </c>
      <c r="I63" s="186" t="s">
        <v>1216</v>
      </c>
      <c r="J63" s="184" t="s">
        <v>1279</v>
      </c>
      <c r="K63" s="175"/>
      <c r="L63" s="168" t="s">
        <v>55</v>
      </c>
      <c r="M63" s="175"/>
      <c r="N63" s="170" t="str">
        <f t="shared" ca="1" si="1"/>
        <v/>
      </c>
      <c r="O63" s="79"/>
      <c r="P63" s="204"/>
      <c r="Q63" s="80"/>
      <c r="R63" s="80"/>
      <c r="S63" s="80"/>
      <c r="T63" s="80"/>
      <c r="U63" s="80"/>
      <c r="V63" s="80"/>
      <c r="W63" s="80"/>
      <c r="X63" s="80"/>
    </row>
    <row r="64" spans="1:24" s="69" customFormat="1" ht="20.100000000000001" customHeight="1" x14ac:dyDescent="0.15">
      <c r="A64" s="174">
        <f t="shared" si="0"/>
        <v>60</v>
      </c>
      <c r="B64" s="181" t="s">
        <v>496</v>
      </c>
      <c r="C64" s="181" t="s">
        <v>496</v>
      </c>
      <c r="D64" s="175" t="s">
        <v>45</v>
      </c>
      <c r="E64" s="175" t="s">
        <v>130</v>
      </c>
      <c r="F64" s="175" t="s">
        <v>1040</v>
      </c>
      <c r="G64" s="166" t="s">
        <v>405</v>
      </c>
      <c r="H64" s="152" t="s">
        <v>92</v>
      </c>
      <c r="I64" s="186" t="s">
        <v>1216</v>
      </c>
      <c r="J64" s="184" t="s">
        <v>1279</v>
      </c>
      <c r="K64" s="175"/>
      <c r="L64" s="168" t="s">
        <v>55</v>
      </c>
      <c r="M64" s="175"/>
      <c r="N64" s="170" t="str">
        <f t="shared" ca="1" si="1"/>
        <v/>
      </c>
      <c r="O64" s="79"/>
      <c r="P64" s="204"/>
      <c r="Q64" s="80"/>
      <c r="R64" s="80"/>
      <c r="S64" s="80"/>
      <c r="T64" s="80"/>
      <c r="U64" s="80"/>
      <c r="V64" s="80"/>
      <c r="W64" s="80"/>
      <c r="X64" s="80"/>
    </row>
    <row r="65" spans="1:24" s="69" customFormat="1" ht="20.100000000000001" customHeight="1" x14ac:dyDescent="0.15">
      <c r="A65" s="174">
        <f t="shared" si="0"/>
        <v>61</v>
      </c>
      <c r="B65" s="182" t="s">
        <v>496</v>
      </c>
      <c r="C65" s="182" t="s">
        <v>496</v>
      </c>
      <c r="D65" s="175" t="s">
        <v>1047</v>
      </c>
      <c r="E65" s="175" t="s">
        <v>1221</v>
      </c>
      <c r="F65" s="182" t="s">
        <v>1353</v>
      </c>
      <c r="G65" s="166" t="s">
        <v>405</v>
      </c>
      <c r="H65" s="152" t="s">
        <v>92</v>
      </c>
      <c r="I65" s="186" t="s">
        <v>1354</v>
      </c>
      <c r="J65" s="184" t="s">
        <v>1355</v>
      </c>
      <c r="K65" s="175"/>
      <c r="L65" s="168" t="s">
        <v>55</v>
      </c>
      <c r="M65" s="175"/>
      <c r="N65" s="170" t="str">
        <f t="shared" ca="1" si="1"/>
        <v/>
      </c>
      <c r="O65" s="79"/>
      <c r="P65" s="175"/>
      <c r="Q65" s="80"/>
      <c r="R65" s="80"/>
      <c r="S65" s="80"/>
      <c r="T65" s="80"/>
      <c r="U65" s="80"/>
      <c r="V65" s="80"/>
      <c r="W65" s="80"/>
      <c r="X65" s="80"/>
    </row>
    <row r="66" spans="1:24" s="69" customFormat="1" ht="20.100000000000001" customHeight="1" x14ac:dyDescent="0.15">
      <c r="A66" s="174">
        <f t="shared" si="0"/>
        <v>62</v>
      </c>
      <c r="B66" s="182" t="s">
        <v>496</v>
      </c>
      <c r="C66" s="182" t="s">
        <v>496</v>
      </c>
      <c r="D66" s="175" t="s">
        <v>88</v>
      </c>
      <c r="E66" s="175" t="s">
        <v>1219</v>
      </c>
      <c r="F66" s="175" t="s">
        <v>1330</v>
      </c>
      <c r="G66" s="166" t="s">
        <v>348</v>
      </c>
      <c r="H66" s="152" t="s">
        <v>92</v>
      </c>
      <c r="I66" s="186" t="s">
        <v>1357</v>
      </c>
      <c r="J66" s="184" t="s">
        <v>1596</v>
      </c>
      <c r="K66" s="175"/>
      <c r="L66" s="168" t="s">
        <v>55</v>
      </c>
      <c r="M66" s="175"/>
      <c r="N66" s="170" t="str">
        <f t="shared" ca="1" si="1"/>
        <v>即将到期</v>
      </c>
      <c r="O66" s="79"/>
      <c r="P66" s="175"/>
      <c r="Q66" s="80"/>
      <c r="R66" s="80"/>
      <c r="S66" s="80"/>
      <c r="T66" s="80"/>
      <c r="U66" s="80"/>
      <c r="V66" s="80"/>
      <c r="W66" s="80"/>
      <c r="X66" s="80"/>
    </row>
    <row r="67" spans="1:24" s="69" customFormat="1" ht="20.100000000000001" customHeight="1" x14ac:dyDescent="0.15">
      <c r="A67" s="174">
        <f t="shared" si="0"/>
        <v>63</v>
      </c>
      <c r="B67" s="181" t="s">
        <v>496</v>
      </c>
      <c r="C67" s="181" t="s">
        <v>496</v>
      </c>
      <c r="D67" s="175" t="s">
        <v>45</v>
      </c>
      <c r="E67" s="175" t="s">
        <v>130</v>
      </c>
      <c r="F67" s="175" t="s">
        <v>1144</v>
      </c>
      <c r="G67" s="166" t="s">
        <v>349</v>
      </c>
      <c r="H67" s="152" t="s">
        <v>92</v>
      </c>
      <c r="I67" s="186" t="s">
        <v>1216</v>
      </c>
      <c r="J67" s="184" t="s">
        <v>1279</v>
      </c>
      <c r="K67" s="175"/>
      <c r="L67" s="168" t="s">
        <v>55</v>
      </c>
      <c r="M67" s="175"/>
      <c r="N67" s="170" t="str">
        <f t="shared" ca="1" si="1"/>
        <v/>
      </c>
      <c r="O67" s="79"/>
      <c r="P67" s="204"/>
      <c r="Q67" s="80"/>
      <c r="R67" s="80"/>
      <c r="S67" s="80"/>
      <c r="T67" s="80"/>
      <c r="U67" s="80"/>
      <c r="V67" s="80"/>
      <c r="W67" s="80"/>
      <c r="X67" s="80"/>
    </row>
    <row r="68" spans="1:24" s="69" customFormat="1" ht="20.100000000000001" customHeight="1" x14ac:dyDescent="0.15">
      <c r="A68" s="174">
        <f t="shared" si="0"/>
        <v>64</v>
      </c>
      <c r="B68" s="181" t="s">
        <v>496</v>
      </c>
      <c r="C68" s="181" t="s">
        <v>496</v>
      </c>
      <c r="D68" s="175" t="s">
        <v>45</v>
      </c>
      <c r="E68" s="175" t="s">
        <v>130</v>
      </c>
      <c r="F68" s="175" t="s">
        <v>1145</v>
      </c>
      <c r="G68" s="166" t="s">
        <v>349</v>
      </c>
      <c r="H68" s="152" t="s">
        <v>92</v>
      </c>
      <c r="I68" s="186" t="s">
        <v>1216</v>
      </c>
      <c r="J68" s="184" t="s">
        <v>1279</v>
      </c>
      <c r="K68" s="175"/>
      <c r="L68" s="168" t="s">
        <v>55</v>
      </c>
      <c r="M68" s="175"/>
      <c r="N68" s="170" t="str">
        <f t="shared" ca="1" si="1"/>
        <v/>
      </c>
      <c r="O68" s="79"/>
      <c r="P68" s="204"/>
      <c r="Q68" s="80"/>
      <c r="R68" s="80"/>
      <c r="S68" s="80"/>
      <c r="T68" s="80"/>
      <c r="U68" s="80"/>
      <c r="V68" s="80"/>
      <c r="W68" s="80"/>
      <c r="X68" s="80"/>
    </row>
    <row r="69" spans="1:24" s="69" customFormat="1" ht="20.100000000000001" customHeight="1" x14ac:dyDescent="0.15">
      <c r="A69" s="174">
        <f t="shared" si="0"/>
        <v>65</v>
      </c>
      <c r="B69" s="181" t="s">
        <v>496</v>
      </c>
      <c r="C69" s="181" t="s">
        <v>496</v>
      </c>
      <c r="D69" s="175" t="s">
        <v>45</v>
      </c>
      <c r="E69" s="175" t="s">
        <v>130</v>
      </c>
      <c r="F69" s="175" t="s">
        <v>1146</v>
      </c>
      <c r="G69" s="166" t="s">
        <v>349</v>
      </c>
      <c r="H69" s="152" t="s">
        <v>92</v>
      </c>
      <c r="I69" s="186" t="s">
        <v>1216</v>
      </c>
      <c r="J69" s="184" t="s">
        <v>1279</v>
      </c>
      <c r="K69" s="175"/>
      <c r="L69" s="168" t="s">
        <v>55</v>
      </c>
      <c r="M69" s="175"/>
      <c r="N69" s="170" t="str">
        <f t="shared" ca="1" si="1"/>
        <v/>
      </c>
      <c r="O69" s="79"/>
      <c r="P69" s="204"/>
      <c r="Q69" s="80"/>
      <c r="R69" s="80"/>
      <c r="S69" s="80"/>
      <c r="T69" s="80"/>
      <c r="U69" s="80"/>
      <c r="V69" s="80"/>
      <c r="W69" s="80"/>
      <c r="X69" s="80"/>
    </row>
    <row r="70" spans="1:24" s="69" customFormat="1" ht="20.100000000000001" customHeight="1" x14ac:dyDescent="0.15">
      <c r="A70" s="174">
        <f t="shared" si="0"/>
        <v>66</v>
      </c>
      <c r="B70" s="181" t="s">
        <v>496</v>
      </c>
      <c r="C70" s="181" t="s">
        <v>496</v>
      </c>
      <c r="D70" s="175" t="s">
        <v>45</v>
      </c>
      <c r="E70" s="175" t="s">
        <v>130</v>
      </c>
      <c r="F70" s="175" t="s">
        <v>1147</v>
      </c>
      <c r="G70" s="166" t="s">
        <v>349</v>
      </c>
      <c r="H70" s="152" t="s">
        <v>92</v>
      </c>
      <c r="I70" s="186" t="s">
        <v>1216</v>
      </c>
      <c r="J70" s="184" t="s">
        <v>1279</v>
      </c>
      <c r="K70" s="175"/>
      <c r="L70" s="168" t="s">
        <v>55</v>
      </c>
      <c r="M70" s="175"/>
      <c r="N70" s="170" t="str">
        <f t="shared" ref="N70:N134" ca="1" si="2">IF(ISNUMBER(FIND(".",J70)),IF(AND(DATEVALUE(SUBSTITUTE(J70,".","/"))-TODAY()&lt;=90,DATEVALUE(SUBSTITUTE(J70,".","/"))-TODAY()&gt;0),"即将到期",""),"")</f>
        <v/>
      </c>
      <c r="O70" s="79"/>
      <c r="P70" s="204"/>
      <c r="Q70" s="80"/>
      <c r="R70" s="80"/>
      <c r="S70" s="80"/>
      <c r="T70" s="80"/>
      <c r="U70" s="80"/>
      <c r="V70" s="80"/>
      <c r="W70" s="80"/>
      <c r="X70" s="80"/>
    </row>
    <row r="71" spans="1:24" s="69" customFormat="1" ht="20.100000000000001" customHeight="1" x14ac:dyDescent="0.15">
      <c r="A71" s="174">
        <f t="shared" si="0"/>
        <v>67</v>
      </c>
      <c r="B71" s="181" t="s">
        <v>496</v>
      </c>
      <c r="C71" s="181" t="s">
        <v>496</v>
      </c>
      <c r="D71" s="175" t="s">
        <v>45</v>
      </c>
      <c r="E71" s="175" t="s">
        <v>130</v>
      </c>
      <c r="F71" s="175" t="s">
        <v>1148</v>
      </c>
      <c r="G71" s="166" t="s">
        <v>349</v>
      </c>
      <c r="H71" s="152" t="s">
        <v>92</v>
      </c>
      <c r="I71" s="186" t="s">
        <v>1216</v>
      </c>
      <c r="J71" s="184" t="s">
        <v>1279</v>
      </c>
      <c r="K71" s="175"/>
      <c r="L71" s="168" t="s">
        <v>55</v>
      </c>
      <c r="M71" s="175"/>
      <c r="N71" s="170" t="str">
        <f t="shared" ca="1" si="2"/>
        <v/>
      </c>
      <c r="O71" s="79"/>
      <c r="P71" s="204"/>
      <c r="Q71" s="80"/>
      <c r="R71" s="80"/>
      <c r="S71" s="80"/>
      <c r="T71" s="80"/>
      <c r="U71" s="80"/>
      <c r="V71" s="80"/>
      <c r="W71" s="80"/>
      <c r="X71" s="80"/>
    </row>
    <row r="72" spans="1:24" s="69" customFormat="1" ht="20.100000000000001" customHeight="1" x14ac:dyDescent="0.15">
      <c r="A72" s="174">
        <f t="shared" si="0"/>
        <v>68</v>
      </c>
      <c r="B72" s="181" t="s">
        <v>496</v>
      </c>
      <c r="C72" s="181" t="s">
        <v>496</v>
      </c>
      <c r="D72" s="175" t="s">
        <v>45</v>
      </c>
      <c r="E72" s="175" t="s">
        <v>130</v>
      </c>
      <c r="F72" s="175" t="s">
        <v>1149</v>
      </c>
      <c r="G72" s="166" t="s">
        <v>349</v>
      </c>
      <c r="H72" s="152" t="s">
        <v>92</v>
      </c>
      <c r="I72" s="186" t="s">
        <v>1216</v>
      </c>
      <c r="J72" s="184" t="s">
        <v>1279</v>
      </c>
      <c r="K72" s="175"/>
      <c r="L72" s="168" t="s">
        <v>55</v>
      </c>
      <c r="M72" s="175"/>
      <c r="N72" s="170" t="str">
        <f t="shared" ca="1" si="2"/>
        <v/>
      </c>
      <c r="O72" s="79"/>
      <c r="P72" s="204"/>
      <c r="Q72" s="80"/>
      <c r="R72" s="80"/>
      <c r="S72" s="80"/>
      <c r="T72" s="80"/>
      <c r="U72" s="80"/>
      <c r="V72" s="80"/>
      <c r="W72" s="80"/>
      <c r="X72" s="80"/>
    </row>
    <row r="73" spans="1:24" s="69" customFormat="1" ht="20.100000000000001" customHeight="1" x14ac:dyDescent="0.15">
      <c r="A73" s="174">
        <v>2</v>
      </c>
      <c r="B73" s="181" t="s">
        <v>496</v>
      </c>
      <c r="C73" s="181" t="s">
        <v>496</v>
      </c>
      <c r="D73" s="175" t="s">
        <v>88</v>
      </c>
      <c r="E73" s="175" t="s">
        <v>1219</v>
      </c>
      <c r="F73" s="175" t="s">
        <v>1629</v>
      </c>
      <c r="G73" s="166" t="s">
        <v>348</v>
      </c>
      <c r="H73" s="152" t="s">
        <v>1642</v>
      </c>
      <c r="I73" s="186" t="s">
        <v>92</v>
      </c>
      <c r="J73" s="184" t="s">
        <v>1643</v>
      </c>
      <c r="K73" s="175"/>
      <c r="L73" s="168" t="s">
        <v>55</v>
      </c>
      <c r="M73" s="175"/>
      <c r="N73" s="175"/>
      <c r="O73" s="79"/>
      <c r="P73" s="175"/>
      <c r="Q73" s="80"/>
      <c r="R73" s="80"/>
      <c r="S73" s="80"/>
      <c r="T73" s="80"/>
      <c r="U73" s="80"/>
      <c r="V73" s="80"/>
      <c r="W73" s="80"/>
      <c r="X73" s="80"/>
    </row>
    <row r="74" spans="1:24" s="69" customFormat="1" ht="20.100000000000001" customHeight="1" x14ac:dyDescent="0.15">
      <c r="A74" s="174">
        <f t="shared" si="0"/>
        <v>70</v>
      </c>
      <c r="B74" s="181" t="s">
        <v>370</v>
      </c>
      <c r="C74" s="181" t="s">
        <v>370</v>
      </c>
      <c r="D74" s="175" t="s">
        <v>1047</v>
      </c>
      <c r="E74" s="175" t="s">
        <v>1320</v>
      </c>
      <c r="F74" s="175" t="s">
        <v>1328</v>
      </c>
      <c r="G74" s="166" t="s">
        <v>348</v>
      </c>
      <c r="H74" s="152" t="s">
        <v>92</v>
      </c>
      <c r="I74" s="186" t="s">
        <v>1346</v>
      </c>
      <c r="J74" s="184" t="s">
        <v>1356</v>
      </c>
      <c r="K74" s="169">
        <v>11</v>
      </c>
      <c r="L74" s="170" t="s">
        <v>47</v>
      </c>
      <c r="M74" s="169">
        <v>4</v>
      </c>
      <c r="N74" s="170" t="str">
        <f t="shared" ca="1" si="2"/>
        <v/>
      </c>
      <c r="O74" s="79"/>
      <c r="P74" s="182" t="s">
        <v>1329</v>
      </c>
      <c r="Q74" s="80"/>
      <c r="R74" s="80"/>
      <c r="S74" s="80"/>
      <c r="T74" s="80"/>
      <c r="U74" s="80"/>
      <c r="V74" s="80"/>
      <c r="W74" s="80"/>
      <c r="X74" s="80"/>
    </row>
    <row r="75" spans="1:24" s="69" customFormat="1" ht="20.100000000000001" customHeight="1" x14ac:dyDescent="0.15">
      <c r="A75" s="174">
        <f t="shared" si="0"/>
        <v>71</v>
      </c>
      <c r="B75" s="181" t="s">
        <v>496</v>
      </c>
      <c r="C75" s="181" t="s">
        <v>496</v>
      </c>
      <c r="D75" s="175" t="s">
        <v>45</v>
      </c>
      <c r="E75" s="175" t="s">
        <v>361</v>
      </c>
      <c r="F75" s="175" t="s">
        <v>1112</v>
      </c>
      <c r="G75" s="166" t="s">
        <v>405</v>
      </c>
      <c r="H75" s="152" t="s">
        <v>92</v>
      </c>
      <c r="I75" s="186" t="s">
        <v>1129</v>
      </c>
      <c r="J75" s="184" t="s">
        <v>1130</v>
      </c>
      <c r="K75" s="169">
        <v>2</v>
      </c>
      <c r="L75" s="170" t="s">
        <v>47</v>
      </c>
      <c r="M75" s="169">
        <v>8</v>
      </c>
      <c r="N75" s="170" t="str">
        <f t="shared" ca="1" si="2"/>
        <v/>
      </c>
      <c r="O75" s="79"/>
      <c r="P75" s="175"/>
      <c r="Q75" s="80"/>
      <c r="R75" s="80"/>
      <c r="S75" s="80"/>
      <c r="T75" s="80"/>
      <c r="U75" s="80"/>
      <c r="V75" s="80"/>
      <c r="W75" s="80"/>
      <c r="X75" s="80"/>
    </row>
    <row r="76" spans="1:24" s="69" customFormat="1" ht="20.100000000000001" customHeight="1" x14ac:dyDescent="0.15">
      <c r="A76" s="174">
        <f t="shared" si="0"/>
        <v>72</v>
      </c>
      <c r="B76" s="181" t="s">
        <v>495</v>
      </c>
      <c r="C76" s="181" t="s">
        <v>495</v>
      </c>
      <c r="D76" s="175" t="s">
        <v>45</v>
      </c>
      <c r="E76" s="175" t="s">
        <v>361</v>
      </c>
      <c r="F76" s="175" t="s">
        <v>1123</v>
      </c>
      <c r="G76" s="166" t="s">
        <v>349</v>
      </c>
      <c r="H76" s="152" t="s">
        <v>92</v>
      </c>
      <c r="I76" s="186" t="s">
        <v>1129</v>
      </c>
      <c r="J76" s="184" t="s">
        <v>1411</v>
      </c>
      <c r="K76" s="175"/>
      <c r="L76" s="168" t="s">
        <v>55</v>
      </c>
      <c r="M76" s="175"/>
      <c r="N76" s="170" t="str">
        <f t="shared" ca="1" si="2"/>
        <v/>
      </c>
      <c r="O76" s="79"/>
      <c r="P76" s="175"/>
      <c r="Q76" s="80"/>
      <c r="R76" s="80"/>
      <c r="S76" s="80"/>
      <c r="T76" s="80"/>
      <c r="U76" s="80"/>
      <c r="V76" s="80"/>
      <c r="W76" s="80"/>
      <c r="X76" s="80"/>
    </row>
    <row r="77" spans="1:24" s="69" customFormat="1" ht="20.100000000000001" customHeight="1" x14ac:dyDescent="0.15">
      <c r="A77" s="174">
        <f t="shared" si="0"/>
        <v>73</v>
      </c>
      <c r="B77" s="176" t="s">
        <v>370</v>
      </c>
      <c r="C77" s="182" t="s">
        <v>370</v>
      </c>
      <c r="D77" s="175" t="s">
        <v>45</v>
      </c>
      <c r="E77" s="175" t="s">
        <v>361</v>
      </c>
      <c r="F77" s="175" t="s">
        <v>871</v>
      </c>
      <c r="G77" s="166" t="s">
        <v>405</v>
      </c>
      <c r="H77" s="152" t="s">
        <v>92</v>
      </c>
      <c r="I77" s="186" t="s">
        <v>976</v>
      </c>
      <c r="J77" s="192" t="s">
        <v>1647</v>
      </c>
      <c r="K77" s="175"/>
      <c r="L77" s="168" t="s">
        <v>55</v>
      </c>
      <c r="M77" s="175"/>
      <c r="N77" s="170" t="str">
        <f t="shared" ca="1" si="2"/>
        <v/>
      </c>
      <c r="O77" s="79"/>
      <c r="P77" s="206" t="s">
        <v>1425</v>
      </c>
      <c r="Q77" s="80"/>
      <c r="R77" s="80"/>
      <c r="S77" s="80"/>
      <c r="T77" s="80"/>
      <c r="U77" s="80"/>
      <c r="V77" s="80"/>
      <c r="W77" s="80"/>
      <c r="X77" s="80"/>
    </row>
    <row r="78" spans="1:24" s="69" customFormat="1" ht="20.100000000000001" customHeight="1" x14ac:dyDescent="0.15">
      <c r="A78" s="174">
        <f t="shared" si="0"/>
        <v>74</v>
      </c>
      <c r="B78" s="181" t="s">
        <v>370</v>
      </c>
      <c r="C78" s="182" t="s">
        <v>411</v>
      </c>
      <c r="D78" s="175" t="s">
        <v>45</v>
      </c>
      <c r="E78" s="175" t="s">
        <v>361</v>
      </c>
      <c r="F78" s="182" t="s">
        <v>1200</v>
      </c>
      <c r="G78" s="166" t="s">
        <v>348</v>
      </c>
      <c r="H78" s="152" t="s">
        <v>92</v>
      </c>
      <c r="I78" s="186" t="s">
        <v>981</v>
      </c>
      <c r="J78" s="184" t="s">
        <v>1203</v>
      </c>
      <c r="K78" s="175"/>
      <c r="L78" s="168" t="s">
        <v>55</v>
      </c>
      <c r="M78" s="175"/>
      <c r="N78" s="170" t="s">
        <v>1654</v>
      </c>
      <c r="O78" s="79"/>
      <c r="P78" s="175"/>
      <c r="Q78" s="80"/>
      <c r="R78" s="80"/>
      <c r="S78" s="80"/>
      <c r="T78" s="80"/>
      <c r="U78" s="80"/>
      <c r="V78" s="80"/>
      <c r="W78" s="80"/>
      <c r="X78" s="80"/>
    </row>
    <row r="79" spans="1:24" s="69" customFormat="1" ht="20.100000000000001" customHeight="1" x14ac:dyDescent="0.15">
      <c r="A79" s="174">
        <f t="shared" si="0"/>
        <v>75</v>
      </c>
      <c r="B79" s="181" t="s">
        <v>411</v>
      </c>
      <c r="C79" s="181" t="s">
        <v>411</v>
      </c>
      <c r="D79" s="175" t="s">
        <v>45</v>
      </c>
      <c r="E79" s="175" t="s">
        <v>361</v>
      </c>
      <c r="F79" s="182" t="s">
        <v>1124</v>
      </c>
      <c r="G79" s="166" t="s">
        <v>405</v>
      </c>
      <c r="H79" s="152" t="s">
        <v>92</v>
      </c>
      <c r="I79" s="186" t="s">
        <v>1188</v>
      </c>
      <c r="J79" s="184" t="s">
        <v>1385</v>
      </c>
      <c r="K79" s="175"/>
      <c r="L79" s="168" t="s">
        <v>55</v>
      </c>
      <c r="M79" s="175"/>
      <c r="N79" s="170" t="str">
        <f t="shared" ca="1" si="2"/>
        <v>即将到期</v>
      </c>
      <c r="O79" s="79"/>
      <c r="P79" s="175"/>
      <c r="Q79" s="80"/>
      <c r="R79" s="80"/>
      <c r="S79" s="80"/>
      <c r="T79" s="80"/>
      <c r="U79" s="80"/>
      <c r="V79" s="80"/>
      <c r="W79" s="80"/>
      <c r="X79" s="80"/>
    </row>
    <row r="80" spans="1:24" ht="24" customHeight="1" x14ac:dyDescent="0.15">
      <c r="A80" s="174">
        <f t="shared" si="0"/>
        <v>76</v>
      </c>
      <c r="B80" s="60" t="s">
        <v>496</v>
      </c>
      <c r="C80" s="124" t="s">
        <v>496</v>
      </c>
      <c r="D80" s="60" t="s">
        <v>120</v>
      </c>
      <c r="E80" s="61" t="s">
        <v>100</v>
      </c>
      <c r="F80" s="62" t="s">
        <v>122</v>
      </c>
      <c r="G80" s="62" t="s">
        <v>348</v>
      </c>
      <c r="H80" s="109" t="s">
        <v>123</v>
      </c>
      <c r="I80" s="109" t="s">
        <v>23</v>
      </c>
      <c r="J80" s="184" t="s">
        <v>1279</v>
      </c>
      <c r="K80" s="175"/>
      <c r="L80" s="168" t="s">
        <v>55</v>
      </c>
      <c r="M80" s="175"/>
      <c r="N80" s="170" t="str">
        <f t="shared" ca="1" si="2"/>
        <v/>
      </c>
      <c r="O80" s="66"/>
      <c r="P80" s="67"/>
    </row>
    <row r="81" spans="1:24" s="69" customFormat="1" ht="21.95" customHeight="1" x14ac:dyDescent="0.15">
      <c r="A81" s="174">
        <f t="shared" si="0"/>
        <v>77</v>
      </c>
      <c r="B81" s="124" t="s">
        <v>496</v>
      </c>
      <c r="C81" s="124" t="s">
        <v>496</v>
      </c>
      <c r="D81" s="61" t="s">
        <v>364</v>
      </c>
      <c r="E81" s="61" t="s">
        <v>368</v>
      </c>
      <c r="F81" s="182" t="s">
        <v>1619</v>
      </c>
      <c r="G81" s="62" t="s">
        <v>405</v>
      </c>
      <c r="H81" s="128" t="s">
        <v>92</v>
      </c>
      <c r="I81" s="136" t="s">
        <v>724</v>
      </c>
      <c r="J81" s="184" t="s">
        <v>1279</v>
      </c>
      <c r="K81" s="175"/>
      <c r="L81" s="168" t="s">
        <v>55</v>
      </c>
      <c r="M81" s="175"/>
      <c r="N81" s="170" t="str">
        <f t="shared" ca="1" si="2"/>
        <v/>
      </c>
      <c r="O81" s="79"/>
      <c r="P81" s="61"/>
    </row>
    <row r="82" spans="1:24" ht="21.95" customHeight="1" x14ac:dyDescent="0.15">
      <c r="A82" s="174">
        <f t="shared" si="0"/>
        <v>78</v>
      </c>
      <c r="B82" s="60" t="s">
        <v>409</v>
      </c>
      <c r="C82" s="60" t="s">
        <v>409</v>
      </c>
      <c r="D82" s="60" t="s">
        <v>120</v>
      </c>
      <c r="E82" s="61" t="s">
        <v>124</v>
      </c>
      <c r="F82" s="62" t="s">
        <v>125</v>
      </c>
      <c r="G82" s="62" t="s">
        <v>348</v>
      </c>
      <c r="H82" s="109" t="s">
        <v>123</v>
      </c>
      <c r="I82" s="109" t="s">
        <v>24</v>
      </c>
      <c r="J82" s="183" t="s">
        <v>1217</v>
      </c>
      <c r="K82" s="162"/>
      <c r="L82" s="161" t="s">
        <v>55</v>
      </c>
      <c r="M82" s="170"/>
      <c r="N82" s="170" t="str">
        <f t="shared" ca="1" si="2"/>
        <v/>
      </c>
      <c r="O82" s="66"/>
      <c r="P82" s="67"/>
    </row>
    <row r="83" spans="1:24" ht="21.95" customHeight="1" x14ac:dyDescent="0.15">
      <c r="A83" s="174">
        <f t="shared" si="0"/>
        <v>79</v>
      </c>
      <c r="B83" s="60" t="s">
        <v>409</v>
      </c>
      <c r="C83" s="60" t="s">
        <v>409</v>
      </c>
      <c r="D83" s="60" t="s">
        <v>120</v>
      </c>
      <c r="E83" s="61" t="s">
        <v>78</v>
      </c>
      <c r="F83" s="62" t="s">
        <v>127</v>
      </c>
      <c r="G83" s="62" t="s">
        <v>348</v>
      </c>
      <c r="H83" s="109" t="s">
        <v>123</v>
      </c>
      <c r="I83" s="109" t="s">
        <v>11</v>
      </c>
      <c r="J83" s="183" t="s">
        <v>1217</v>
      </c>
      <c r="K83" s="162"/>
      <c r="L83" s="161" t="s">
        <v>55</v>
      </c>
      <c r="M83" s="170"/>
      <c r="N83" s="170" t="str">
        <f t="shared" ca="1" si="2"/>
        <v/>
      </c>
      <c r="O83" s="66"/>
      <c r="P83" s="67"/>
    </row>
    <row r="84" spans="1:24" s="69" customFormat="1" ht="20.100000000000001" customHeight="1" x14ac:dyDescent="0.15">
      <c r="A84" s="174">
        <f t="shared" si="0"/>
        <v>80</v>
      </c>
      <c r="B84" s="181" t="s">
        <v>409</v>
      </c>
      <c r="C84" s="181" t="s">
        <v>409</v>
      </c>
      <c r="D84" s="175" t="s">
        <v>120</v>
      </c>
      <c r="E84" s="175" t="s">
        <v>78</v>
      </c>
      <c r="F84" s="182" t="s">
        <v>1557</v>
      </c>
      <c r="G84" s="166" t="s">
        <v>405</v>
      </c>
      <c r="H84" s="152" t="s">
        <v>92</v>
      </c>
      <c r="I84" s="186" t="s">
        <v>1558</v>
      </c>
      <c r="J84" s="184" t="s">
        <v>1559</v>
      </c>
      <c r="K84" s="175"/>
      <c r="L84" s="168" t="s">
        <v>55</v>
      </c>
      <c r="M84" s="175"/>
      <c r="N84" s="170" t="str">
        <f t="shared" ca="1" si="2"/>
        <v/>
      </c>
      <c r="O84" s="79"/>
      <c r="P84" s="175"/>
      <c r="Q84" s="80"/>
      <c r="R84" s="80"/>
      <c r="S84" s="80"/>
      <c r="T84" s="80"/>
      <c r="U84" s="80"/>
      <c r="V84" s="80"/>
      <c r="W84" s="80"/>
      <c r="X84" s="80"/>
    </row>
    <row r="85" spans="1:24" s="69" customFormat="1" ht="20.100000000000001" customHeight="1" x14ac:dyDescent="0.15">
      <c r="A85" s="174">
        <f t="shared" si="0"/>
        <v>81</v>
      </c>
      <c r="B85" s="181" t="s">
        <v>409</v>
      </c>
      <c r="C85" s="181" t="s">
        <v>409</v>
      </c>
      <c r="D85" s="175" t="s">
        <v>1366</v>
      </c>
      <c r="E85" s="175" t="s">
        <v>1048</v>
      </c>
      <c r="F85" s="182" t="s">
        <v>1560</v>
      </c>
      <c r="G85" s="166" t="s">
        <v>1378</v>
      </c>
      <c r="H85" s="152" t="s">
        <v>92</v>
      </c>
      <c r="I85" s="193" t="s">
        <v>1562</v>
      </c>
      <c r="J85" s="184" t="s">
        <v>1561</v>
      </c>
      <c r="K85" s="175"/>
      <c r="L85" s="168" t="s">
        <v>55</v>
      </c>
      <c r="M85" s="175"/>
      <c r="N85" s="170" t="str">
        <f t="shared" ca="1" si="2"/>
        <v/>
      </c>
      <c r="O85" s="79"/>
      <c r="P85" s="175"/>
      <c r="Q85" s="80"/>
      <c r="R85" s="80"/>
      <c r="S85" s="80"/>
      <c r="T85" s="80"/>
      <c r="U85" s="80"/>
      <c r="V85" s="80"/>
      <c r="W85" s="80"/>
      <c r="X85" s="80"/>
    </row>
    <row r="86" spans="1:24" ht="21.95" customHeight="1" x14ac:dyDescent="0.15">
      <c r="A86" s="174">
        <f t="shared" si="0"/>
        <v>82</v>
      </c>
      <c r="B86" s="60" t="s">
        <v>408</v>
      </c>
      <c r="C86" s="174" t="s">
        <v>409</v>
      </c>
      <c r="D86" s="60" t="s">
        <v>120</v>
      </c>
      <c r="E86" s="61" t="s">
        <v>128</v>
      </c>
      <c r="F86" s="62" t="s">
        <v>129</v>
      </c>
      <c r="G86" s="62" t="s">
        <v>348</v>
      </c>
      <c r="H86" s="109" t="s">
        <v>123</v>
      </c>
      <c r="I86" s="109" t="s">
        <v>25</v>
      </c>
      <c r="J86" s="141" t="s">
        <v>1173</v>
      </c>
      <c r="K86" s="162"/>
      <c r="L86" s="161" t="s">
        <v>55</v>
      </c>
      <c r="M86" s="170"/>
      <c r="N86" s="170" t="str">
        <f t="shared" ca="1" si="2"/>
        <v/>
      </c>
      <c r="O86" s="66"/>
      <c r="P86" s="60"/>
    </row>
    <row r="87" spans="1:24" s="69" customFormat="1" ht="21.75" customHeight="1" x14ac:dyDescent="0.15">
      <c r="A87" s="174">
        <f t="shared" si="0"/>
        <v>83</v>
      </c>
      <c r="B87" s="124" t="s">
        <v>370</v>
      </c>
      <c r="C87" s="182" t="s">
        <v>409</v>
      </c>
      <c r="D87" s="131" t="s">
        <v>364</v>
      </c>
      <c r="E87" s="131" t="s">
        <v>375</v>
      </c>
      <c r="F87" s="182" t="s">
        <v>1161</v>
      </c>
      <c r="G87" s="166" t="s">
        <v>405</v>
      </c>
      <c r="H87" s="152" t="s">
        <v>92</v>
      </c>
      <c r="I87" s="186" t="s">
        <v>989</v>
      </c>
      <c r="J87" s="192" t="s">
        <v>1173</v>
      </c>
      <c r="K87" s="162"/>
      <c r="L87" s="161" t="s">
        <v>55</v>
      </c>
      <c r="M87" s="170"/>
      <c r="N87" s="170" t="str">
        <f t="shared" ca="1" si="2"/>
        <v/>
      </c>
      <c r="O87" s="79"/>
      <c r="P87" s="131"/>
      <c r="Q87" s="80"/>
      <c r="R87" s="80"/>
      <c r="S87" s="80"/>
      <c r="T87" s="80"/>
      <c r="U87" s="80"/>
      <c r="V87" s="80"/>
      <c r="W87" s="80"/>
      <c r="X87" s="80"/>
    </row>
    <row r="88" spans="1:24" s="69" customFormat="1" ht="21.95" customHeight="1" x14ac:dyDescent="0.15">
      <c r="A88" s="174">
        <f t="shared" si="0"/>
        <v>84</v>
      </c>
      <c r="B88" s="174" t="s">
        <v>370</v>
      </c>
      <c r="C88" s="182" t="s">
        <v>409</v>
      </c>
      <c r="D88" s="175" t="s">
        <v>120</v>
      </c>
      <c r="E88" s="175" t="s">
        <v>115</v>
      </c>
      <c r="F88" s="175" t="s">
        <v>814</v>
      </c>
      <c r="G88" s="166" t="s">
        <v>405</v>
      </c>
      <c r="H88" s="152" t="s">
        <v>92</v>
      </c>
      <c r="I88" s="186" t="s">
        <v>990</v>
      </c>
      <c r="J88" s="192" t="s">
        <v>1170</v>
      </c>
      <c r="K88" s="162"/>
      <c r="L88" s="161" t="s">
        <v>55</v>
      </c>
      <c r="M88" s="170"/>
      <c r="N88" s="170" t="str">
        <f t="shared" ca="1" si="2"/>
        <v/>
      </c>
      <c r="O88" s="79"/>
      <c r="P88" s="175"/>
      <c r="Q88" s="80"/>
      <c r="R88" s="80"/>
      <c r="S88" s="80"/>
      <c r="T88" s="80"/>
      <c r="U88" s="80"/>
      <c r="V88" s="80"/>
      <c r="W88" s="80"/>
      <c r="X88" s="80"/>
    </row>
    <row r="89" spans="1:24" s="69" customFormat="1" ht="21.95" customHeight="1" x14ac:dyDescent="0.15">
      <c r="A89" s="174">
        <f t="shared" si="0"/>
        <v>85</v>
      </c>
      <c r="B89" s="60" t="s">
        <v>409</v>
      </c>
      <c r="C89" s="61" t="s">
        <v>409</v>
      </c>
      <c r="D89" s="61" t="s">
        <v>364</v>
      </c>
      <c r="E89" s="61" t="s">
        <v>193</v>
      </c>
      <c r="F89" s="182" t="s">
        <v>558</v>
      </c>
      <c r="G89" s="62" t="s">
        <v>348</v>
      </c>
      <c r="H89" s="151" t="s">
        <v>92</v>
      </c>
      <c r="I89" s="151" t="s">
        <v>768</v>
      </c>
      <c r="J89" s="184" t="s">
        <v>1462</v>
      </c>
      <c r="K89" s="175"/>
      <c r="L89" s="168" t="s">
        <v>55</v>
      </c>
      <c r="M89" s="175"/>
      <c r="N89" s="170" t="str">
        <f t="shared" ca="1" si="2"/>
        <v/>
      </c>
      <c r="O89" s="79"/>
      <c r="P89" s="61"/>
      <c r="Q89" s="80"/>
      <c r="R89" s="80"/>
      <c r="S89" s="80"/>
      <c r="T89" s="80"/>
      <c r="U89" s="80"/>
      <c r="V89" s="80"/>
      <c r="W89" s="80"/>
      <c r="X89" s="80"/>
    </row>
    <row r="90" spans="1:24" s="69" customFormat="1" ht="21.95" customHeight="1" x14ac:dyDescent="0.15">
      <c r="A90" s="174">
        <f t="shared" si="0"/>
        <v>86</v>
      </c>
      <c r="B90" s="174" t="s">
        <v>409</v>
      </c>
      <c r="C90" s="175" t="s">
        <v>409</v>
      </c>
      <c r="D90" s="175" t="s">
        <v>120</v>
      </c>
      <c r="E90" s="175" t="s">
        <v>193</v>
      </c>
      <c r="F90" s="182" t="s">
        <v>1575</v>
      </c>
      <c r="G90" s="166" t="s">
        <v>348</v>
      </c>
      <c r="H90" s="152" t="s">
        <v>92</v>
      </c>
      <c r="I90" s="152" t="s">
        <v>1593</v>
      </c>
      <c r="J90" s="184" t="s">
        <v>1577</v>
      </c>
      <c r="K90" s="175"/>
      <c r="L90" s="168" t="s">
        <v>55</v>
      </c>
      <c r="M90" s="175"/>
      <c r="N90" s="170" t="str">
        <f t="shared" ca="1" si="2"/>
        <v/>
      </c>
      <c r="O90" s="79"/>
      <c r="P90" s="175"/>
      <c r="Q90" s="80"/>
      <c r="R90" s="80"/>
      <c r="S90" s="80"/>
      <c r="T90" s="80"/>
      <c r="U90" s="80"/>
      <c r="V90" s="80"/>
      <c r="W90" s="80"/>
      <c r="X90" s="80"/>
    </row>
    <row r="91" spans="1:24" s="69" customFormat="1" ht="21.95" customHeight="1" x14ac:dyDescent="0.15">
      <c r="A91" s="174">
        <f t="shared" si="0"/>
        <v>87</v>
      </c>
      <c r="B91" s="174" t="s">
        <v>409</v>
      </c>
      <c r="C91" s="175" t="s">
        <v>409</v>
      </c>
      <c r="D91" s="175" t="s">
        <v>120</v>
      </c>
      <c r="E91" s="175" t="s">
        <v>193</v>
      </c>
      <c r="F91" s="182" t="s">
        <v>1576</v>
      </c>
      <c r="G91" s="166" t="s">
        <v>348</v>
      </c>
      <c r="H91" s="152" t="s">
        <v>92</v>
      </c>
      <c r="I91" s="186" t="s">
        <v>1592</v>
      </c>
      <c r="J91" s="184" t="s">
        <v>1577</v>
      </c>
      <c r="K91" s="175"/>
      <c r="L91" s="168" t="s">
        <v>55</v>
      </c>
      <c r="M91" s="175"/>
      <c r="N91" s="170" t="str">
        <f t="shared" ca="1" si="2"/>
        <v/>
      </c>
      <c r="O91" s="79"/>
      <c r="P91" s="175"/>
      <c r="Q91" s="80"/>
      <c r="R91" s="80"/>
      <c r="S91" s="80"/>
      <c r="T91" s="80"/>
      <c r="U91" s="80"/>
      <c r="V91" s="80"/>
      <c r="W91" s="80"/>
      <c r="X91" s="80"/>
    </row>
    <row r="92" spans="1:24" s="69" customFormat="1" ht="20.100000000000001" customHeight="1" x14ac:dyDescent="0.15">
      <c r="A92" s="174">
        <f t="shared" si="0"/>
        <v>88</v>
      </c>
      <c r="B92" s="174" t="s">
        <v>409</v>
      </c>
      <c r="C92" s="174" t="s">
        <v>409</v>
      </c>
      <c r="D92" s="182" t="s">
        <v>120</v>
      </c>
      <c r="E92" s="175" t="s">
        <v>193</v>
      </c>
      <c r="F92" s="182" t="s">
        <v>818</v>
      </c>
      <c r="G92" s="166" t="s">
        <v>405</v>
      </c>
      <c r="H92" s="152" t="s">
        <v>92</v>
      </c>
      <c r="I92" s="186" t="s">
        <v>992</v>
      </c>
      <c r="J92" s="184" t="s">
        <v>1462</v>
      </c>
      <c r="K92" s="175"/>
      <c r="L92" s="168" t="s">
        <v>55</v>
      </c>
      <c r="M92" s="175"/>
      <c r="N92" s="170" t="str">
        <f t="shared" ca="1" si="2"/>
        <v/>
      </c>
      <c r="O92" s="79"/>
      <c r="P92" s="175"/>
      <c r="Q92" s="80"/>
      <c r="R92" s="80"/>
      <c r="S92" s="80"/>
      <c r="T92" s="80"/>
      <c r="U92" s="80"/>
      <c r="V92" s="80"/>
      <c r="W92" s="80"/>
      <c r="X92" s="80"/>
    </row>
    <row r="93" spans="1:24" s="69" customFormat="1" ht="20.100000000000001" customHeight="1" x14ac:dyDescent="0.15">
      <c r="A93" s="174">
        <f t="shared" si="0"/>
        <v>89</v>
      </c>
      <c r="B93" s="174" t="s">
        <v>409</v>
      </c>
      <c r="C93" s="174" t="s">
        <v>409</v>
      </c>
      <c r="D93" s="182" t="s">
        <v>120</v>
      </c>
      <c r="E93" s="175" t="s">
        <v>193</v>
      </c>
      <c r="F93" s="182" t="s">
        <v>1578</v>
      </c>
      <c r="G93" s="166" t="s">
        <v>405</v>
      </c>
      <c r="H93" s="152" t="s">
        <v>92</v>
      </c>
      <c r="I93" s="186" t="s">
        <v>1594</v>
      </c>
      <c r="J93" s="184" t="s">
        <v>1582</v>
      </c>
      <c r="K93" s="175"/>
      <c r="L93" s="168" t="s">
        <v>55</v>
      </c>
      <c r="M93" s="175"/>
      <c r="N93" s="170" t="s">
        <v>1654</v>
      </c>
      <c r="O93" s="79"/>
      <c r="P93" s="175"/>
      <c r="Q93" s="80"/>
      <c r="R93" s="80"/>
      <c r="S93" s="80"/>
      <c r="T93" s="80"/>
      <c r="U93" s="80"/>
      <c r="V93" s="80"/>
      <c r="W93" s="80"/>
      <c r="X93" s="80"/>
    </row>
    <row r="94" spans="1:24" s="69" customFormat="1" ht="20.100000000000001" customHeight="1" x14ac:dyDescent="0.15">
      <c r="A94" s="174">
        <f t="shared" si="0"/>
        <v>90</v>
      </c>
      <c r="B94" s="174" t="s">
        <v>409</v>
      </c>
      <c r="C94" s="174" t="s">
        <v>409</v>
      </c>
      <c r="D94" s="182" t="s">
        <v>120</v>
      </c>
      <c r="E94" s="175" t="s">
        <v>193</v>
      </c>
      <c r="F94" s="182" t="s">
        <v>1579</v>
      </c>
      <c r="G94" s="166" t="s">
        <v>405</v>
      </c>
      <c r="H94" s="152" t="s">
        <v>92</v>
      </c>
      <c r="I94" s="186" t="s">
        <v>1594</v>
      </c>
      <c r="J94" s="184" t="s">
        <v>1582</v>
      </c>
      <c r="K94" s="175"/>
      <c r="L94" s="168" t="s">
        <v>55</v>
      </c>
      <c r="M94" s="175"/>
      <c r="N94" s="170" t="s">
        <v>1654</v>
      </c>
      <c r="O94" s="79"/>
      <c r="P94" s="175"/>
      <c r="Q94" s="80"/>
      <c r="R94" s="80"/>
      <c r="S94" s="80"/>
      <c r="T94" s="80"/>
      <c r="U94" s="80"/>
      <c r="V94" s="80"/>
      <c r="W94" s="80"/>
      <c r="X94" s="80"/>
    </row>
    <row r="95" spans="1:24" s="69" customFormat="1" ht="20.100000000000001" customHeight="1" x14ac:dyDescent="0.15">
      <c r="A95" s="174">
        <f t="shared" si="0"/>
        <v>91</v>
      </c>
      <c r="B95" s="174" t="s">
        <v>409</v>
      </c>
      <c r="C95" s="174" t="s">
        <v>409</v>
      </c>
      <c r="D95" s="182" t="s">
        <v>120</v>
      </c>
      <c r="E95" s="175" t="s">
        <v>193</v>
      </c>
      <c r="F95" s="182" t="s">
        <v>1580</v>
      </c>
      <c r="G95" s="166" t="s">
        <v>405</v>
      </c>
      <c r="H95" s="152" t="s">
        <v>92</v>
      </c>
      <c r="I95" s="186" t="s">
        <v>1594</v>
      </c>
      <c r="J95" s="184" t="s">
        <v>1582</v>
      </c>
      <c r="K95" s="175"/>
      <c r="L95" s="168" t="s">
        <v>55</v>
      </c>
      <c r="M95" s="175"/>
      <c r="N95" s="170" t="s">
        <v>1654</v>
      </c>
      <c r="O95" s="79"/>
      <c r="P95" s="175"/>
      <c r="Q95" s="80"/>
      <c r="R95" s="80"/>
      <c r="S95" s="80"/>
      <c r="T95" s="80"/>
      <c r="U95" s="80"/>
      <c r="V95" s="80"/>
      <c r="W95" s="80"/>
      <c r="X95" s="80"/>
    </row>
    <row r="96" spans="1:24" s="69" customFormat="1" ht="20.100000000000001" customHeight="1" x14ac:dyDescent="0.15">
      <c r="A96" s="174">
        <f t="shared" si="0"/>
        <v>92</v>
      </c>
      <c r="B96" s="174" t="s">
        <v>409</v>
      </c>
      <c r="C96" s="174" t="s">
        <v>409</v>
      </c>
      <c r="D96" s="182" t="s">
        <v>120</v>
      </c>
      <c r="E96" s="175" t="s">
        <v>193</v>
      </c>
      <c r="F96" s="182" t="s">
        <v>1581</v>
      </c>
      <c r="G96" s="166" t="s">
        <v>405</v>
      </c>
      <c r="H96" s="152" t="s">
        <v>92</v>
      </c>
      <c r="I96" s="186" t="s">
        <v>1594</v>
      </c>
      <c r="J96" s="184" t="s">
        <v>1582</v>
      </c>
      <c r="K96" s="175"/>
      <c r="L96" s="168" t="s">
        <v>55</v>
      </c>
      <c r="M96" s="175"/>
      <c r="N96" s="170" t="s">
        <v>1654</v>
      </c>
      <c r="O96" s="79"/>
      <c r="P96" s="175"/>
      <c r="Q96" s="80"/>
      <c r="R96" s="80"/>
      <c r="S96" s="80"/>
      <c r="T96" s="80"/>
      <c r="U96" s="80"/>
      <c r="V96" s="80"/>
      <c r="W96" s="80"/>
      <c r="X96" s="80"/>
    </row>
    <row r="97" spans="1:24" s="69" customFormat="1" ht="20.100000000000001" customHeight="1" x14ac:dyDescent="0.15">
      <c r="A97" s="174">
        <f t="shared" si="0"/>
        <v>93</v>
      </c>
      <c r="B97" s="181" t="s">
        <v>409</v>
      </c>
      <c r="C97" s="181" t="s">
        <v>409</v>
      </c>
      <c r="D97" s="175" t="s">
        <v>120</v>
      </c>
      <c r="E97" s="175" t="s">
        <v>193</v>
      </c>
      <c r="F97" s="182" t="s">
        <v>1583</v>
      </c>
      <c r="G97" s="166" t="s">
        <v>405</v>
      </c>
      <c r="H97" s="152" t="s">
        <v>92</v>
      </c>
      <c r="I97" s="186" t="s">
        <v>1115</v>
      </c>
      <c r="J97" s="184" t="s">
        <v>1462</v>
      </c>
      <c r="K97" s="175"/>
      <c r="L97" s="168" t="s">
        <v>55</v>
      </c>
      <c r="M97" s="175"/>
      <c r="N97" s="170" t="str">
        <f t="shared" ca="1" si="2"/>
        <v/>
      </c>
      <c r="O97" s="79"/>
      <c r="P97" s="175"/>
      <c r="Q97" s="80"/>
      <c r="R97" s="80"/>
      <c r="S97" s="80"/>
      <c r="T97" s="80"/>
      <c r="U97" s="80"/>
      <c r="V97" s="80"/>
      <c r="W97" s="80"/>
      <c r="X97" s="80"/>
    </row>
    <row r="98" spans="1:24" s="69" customFormat="1" ht="20.100000000000001" customHeight="1" x14ac:dyDescent="0.15">
      <c r="A98" s="174">
        <f t="shared" si="0"/>
        <v>94</v>
      </c>
      <c r="B98" s="181" t="s">
        <v>409</v>
      </c>
      <c r="C98" s="181" t="s">
        <v>409</v>
      </c>
      <c r="D98" s="175" t="s">
        <v>120</v>
      </c>
      <c r="E98" s="175" t="s">
        <v>193</v>
      </c>
      <c r="F98" s="182" t="s">
        <v>1584</v>
      </c>
      <c r="G98" s="166" t="s">
        <v>405</v>
      </c>
      <c r="H98" s="152" t="s">
        <v>92</v>
      </c>
      <c r="I98" s="186" t="s">
        <v>1595</v>
      </c>
      <c r="J98" s="184" t="s">
        <v>1475</v>
      </c>
      <c r="K98" s="175"/>
      <c r="L98" s="168" t="s">
        <v>55</v>
      </c>
      <c r="M98" s="175"/>
      <c r="N98" s="170" t="s">
        <v>1654</v>
      </c>
      <c r="O98" s="79"/>
      <c r="P98" s="175"/>
      <c r="Q98" s="80"/>
      <c r="R98" s="80"/>
      <c r="S98" s="80"/>
      <c r="T98" s="80"/>
      <c r="U98" s="80"/>
      <c r="V98" s="80"/>
      <c r="W98" s="80"/>
      <c r="X98" s="80"/>
    </row>
    <row r="99" spans="1:24" s="69" customFormat="1" ht="20.100000000000001" customHeight="1" x14ac:dyDescent="0.15">
      <c r="A99" s="174">
        <f t="shared" si="0"/>
        <v>95</v>
      </c>
      <c r="B99" s="181" t="s">
        <v>409</v>
      </c>
      <c r="C99" s="181" t="s">
        <v>409</v>
      </c>
      <c r="D99" s="175" t="s">
        <v>120</v>
      </c>
      <c r="E99" s="175" t="s">
        <v>193</v>
      </c>
      <c r="F99" s="182" t="s">
        <v>1585</v>
      </c>
      <c r="G99" s="166" t="s">
        <v>405</v>
      </c>
      <c r="H99" s="152" t="s">
        <v>92</v>
      </c>
      <c r="I99" s="186" t="s">
        <v>1595</v>
      </c>
      <c r="J99" s="184" t="s">
        <v>1475</v>
      </c>
      <c r="K99" s="175"/>
      <c r="L99" s="168" t="s">
        <v>55</v>
      </c>
      <c r="M99" s="175"/>
      <c r="N99" s="170" t="s">
        <v>1654</v>
      </c>
      <c r="O99" s="79"/>
      <c r="P99" s="175"/>
      <c r="Q99" s="80"/>
      <c r="R99" s="80"/>
      <c r="S99" s="80"/>
      <c r="T99" s="80"/>
      <c r="U99" s="80"/>
      <c r="V99" s="80"/>
      <c r="W99" s="80"/>
      <c r="X99" s="80"/>
    </row>
    <row r="100" spans="1:24" s="69" customFormat="1" ht="20.100000000000001" customHeight="1" x14ac:dyDescent="0.15">
      <c r="A100" s="174">
        <f t="shared" si="0"/>
        <v>96</v>
      </c>
      <c r="B100" s="181" t="s">
        <v>409</v>
      </c>
      <c r="C100" s="181" t="s">
        <v>409</v>
      </c>
      <c r="D100" s="175" t="s">
        <v>120</v>
      </c>
      <c r="E100" s="175" t="s">
        <v>193</v>
      </c>
      <c r="F100" s="182" t="s">
        <v>1586</v>
      </c>
      <c r="G100" s="166" t="s">
        <v>405</v>
      </c>
      <c r="H100" s="152" t="s">
        <v>92</v>
      </c>
      <c r="I100" s="186" t="s">
        <v>1595</v>
      </c>
      <c r="J100" s="184" t="s">
        <v>1475</v>
      </c>
      <c r="K100" s="175"/>
      <c r="L100" s="168" t="s">
        <v>55</v>
      </c>
      <c r="M100" s="175"/>
      <c r="N100" s="170" t="s">
        <v>1654</v>
      </c>
      <c r="O100" s="79"/>
      <c r="P100" s="175"/>
      <c r="Q100" s="80"/>
      <c r="R100" s="80"/>
      <c r="S100" s="80"/>
      <c r="T100" s="80"/>
      <c r="U100" s="80"/>
      <c r="V100" s="80"/>
      <c r="W100" s="80"/>
      <c r="X100" s="80"/>
    </row>
    <row r="101" spans="1:24" s="69" customFormat="1" ht="20.100000000000001" customHeight="1" x14ac:dyDescent="0.15">
      <c r="A101" s="174">
        <f t="shared" si="0"/>
        <v>97</v>
      </c>
      <c r="B101" s="181" t="s">
        <v>409</v>
      </c>
      <c r="C101" s="181" t="s">
        <v>409</v>
      </c>
      <c r="D101" s="175" t="s">
        <v>120</v>
      </c>
      <c r="E101" s="175" t="s">
        <v>193</v>
      </c>
      <c r="F101" s="182" t="s">
        <v>1587</v>
      </c>
      <c r="G101" s="166" t="s">
        <v>405</v>
      </c>
      <c r="H101" s="152" t="s">
        <v>92</v>
      </c>
      <c r="I101" s="186" t="s">
        <v>1595</v>
      </c>
      <c r="J101" s="184" t="s">
        <v>1475</v>
      </c>
      <c r="K101" s="175"/>
      <c r="L101" s="168" t="s">
        <v>55</v>
      </c>
      <c r="M101" s="175"/>
      <c r="N101" s="170" t="s">
        <v>1654</v>
      </c>
      <c r="O101" s="79"/>
      <c r="P101" s="175"/>
      <c r="Q101" s="80"/>
      <c r="R101" s="80"/>
      <c r="S101" s="80"/>
      <c r="T101" s="80"/>
      <c r="U101" s="80"/>
      <c r="V101" s="80"/>
      <c r="W101" s="80"/>
      <c r="X101" s="80"/>
    </row>
    <row r="102" spans="1:24" s="69" customFormat="1" ht="20.100000000000001" customHeight="1" x14ac:dyDescent="0.15">
      <c r="A102" s="174">
        <f t="shared" si="0"/>
        <v>98</v>
      </c>
      <c r="B102" s="181" t="s">
        <v>409</v>
      </c>
      <c r="C102" s="181" t="s">
        <v>409</v>
      </c>
      <c r="D102" s="175" t="s">
        <v>120</v>
      </c>
      <c r="E102" s="175" t="s">
        <v>193</v>
      </c>
      <c r="F102" s="175" t="s">
        <v>1137</v>
      </c>
      <c r="G102" s="166" t="s">
        <v>405</v>
      </c>
      <c r="H102" s="152" t="s">
        <v>92</v>
      </c>
      <c r="I102" s="186" t="s">
        <v>1186</v>
      </c>
      <c r="J102" s="184" t="s">
        <v>1462</v>
      </c>
      <c r="K102" s="175"/>
      <c r="L102" s="168" t="s">
        <v>55</v>
      </c>
      <c r="M102" s="175"/>
      <c r="N102" s="170" t="str">
        <f t="shared" ca="1" si="2"/>
        <v/>
      </c>
      <c r="O102" s="79"/>
      <c r="P102" s="190"/>
      <c r="Q102" s="80"/>
      <c r="R102" s="80"/>
      <c r="S102" s="80"/>
      <c r="T102" s="80"/>
      <c r="U102" s="80"/>
      <c r="V102" s="80"/>
      <c r="W102" s="80"/>
      <c r="X102" s="80"/>
    </row>
    <row r="103" spans="1:24" s="69" customFormat="1" ht="20.100000000000001" customHeight="1" x14ac:dyDescent="0.15">
      <c r="A103" s="174">
        <f t="shared" si="0"/>
        <v>99</v>
      </c>
      <c r="B103" s="181" t="s">
        <v>409</v>
      </c>
      <c r="C103" s="181" t="s">
        <v>409</v>
      </c>
      <c r="D103" s="175" t="s">
        <v>120</v>
      </c>
      <c r="E103" s="175" t="s">
        <v>193</v>
      </c>
      <c r="F103" s="175" t="s">
        <v>1138</v>
      </c>
      <c r="G103" s="166" t="s">
        <v>405</v>
      </c>
      <c r="H103" s="152" t="s">
        <v>92</v>
      </c>
      <c r="I103" s="186" t="s">
        <v>1186</v>
      </c>
      <c r="J103" s="184" t="s">
        <v>1462</v>
      </c>
      <c r="K103" s="175"/>
      <c r="L103" s="168" t="s">
        <v>55</v>
      </c>
      <c r="M103" s="175"/>
      <c r="N103" s="170" t="str">
        <f t="shared" ca="1" si="2"/>
        <v/>
      </c>
      <c r="O103" s="79"/>
      <c r="P103" s="190"/>
      <c r="Q103" s="80"/>
      <c r="R103" s="80"/>
      <c r="S103" s="80"/>
      <c r="T103" s="80"/>
      <c r="U103" s="80"/>
      <c r="V103" s="80"/>
      <c r="W103" s="80"/>
      <c r="X103" s="80"/>
    </row>
    <row r="104" spans="1:24" s="69" customFormat="1" ht="20.100000000000001" customHeight="1" x14ac:dyDescent="0.15">
      <c r="A104" s="174">
        <f t="shared" si="0"/>
        <v>100</v>
      </c>
      <c r="B104" s="181" t="s">
        <v>409</v>
      </c>
      <c r="C104" s="181" t="s">
        <v>409</v>
      </c>
      <c r="D104" s="175" t="s">
        <v>120</v>
      </c>
      <c r="E104" s="175" t="s">
        <v>193</v>
      </c>
      <c r="F104" s="175" t="s">
        <v>1163</v>
      </c>
      <c r="G104" s="166" t="s">
        <v>405</v>
      </c>
      <c r="H104" s="152" t="s">
        <v>92</v>
      </c>
      <c r="I104" s="186" t="s">
        <v>1187</v>
      </c>
      <c r="J104" s="184" t="s">
        <v>1462</v>
      </c>
      <c r="K104" s="175"/>
      <c r="L104" s="168" t="s">
        <v>55</v>
      </c>
      <c r="M104" s="175"/>
      <c r="N104" s="170" t="str">
        <f t="shared" ca="1" si="2"/>
        <v/>
      </c>
      <c r="O104" s="79"/>
      <c r="P104" s="190"/>
      <c r="Q104" s="80"/>
      <c r="R104" s="80"/>
      <c r="S104" s="80"/>
      <c r="T104" s="80"/>
      <c r="U104" s="80"/>
      <c r="V104" s="80"/>
      <c r="W104" s="80"/>
      <c r="X104" s="80"/>
    </row>
    <row r="105" spans="1:24" s="69" customFormat="1" ht="20.100000000000001" customHeight="1" x14ac:dyDescent="0.15">
      <c r="A105" s="174">
        <f t="shared" ref="A105:A172" si="3">ROW()-4</f>
        <v>101</v>
      </c>
      <c r="B105" s="181" t="s">
        <v>409</v>
      </c>
      <c r="C105" s="181" t="s">
        <v>409</v>
      </c>
      <c r="D105" s="175" t="s">
        <v>86</v>
      </c>
      <c r="E105" s="175" t="s">
        <v>1284</v>
      </c>
      <c r="F105" s="182" t="s">
        <v>557</v>
      </c>
      <c r="G105" s="166" t="s">
        <v>348</v>
      </c>
      <c r="H105" s="152" t="s">
        <v>92</v>
      </c>
      <c r="I105" s="186" t="s">
        <v>1533</v>
      </c>
      <c r="J105" s="184" t="s">
        <v>1462</v>
      </c>
      <c r="K105" s="175"/>
      <c r="L105" s="168" t="s">
        <v>55</v>
      </c>
      <c r="M105" s="175"/>
      <c r="N105" s="170" t="str">
        <f t="shared" ca="1" si="2"/>
        <v/>
      </c>
      <c r="O105" s="79"/>
      <c r="P105" s="175"/>
      <c r="Q105" s="80"/>
      <c r="R105" s="80"/>
      <c r="S105" s="80"/>
      <c r="T105" s="80"/>
      <c r="U105" s="80"/>
      <c r="V105" s="80"/>
      <c r="W105" s="80"/>
      <c r="X105" s="80"/>
    </row>
    <row r="106" spans="1:24" s="69" customFormat="1" ht="20.100000000000001" customHeight="1" x14ac:dyDescent="0.15">
      <c r="A106" s="174">
        <f t="shared" si="3"/>
        <v>102</v>
      </c>
      <c r="B106" s="181" t="s">
        <v>409</v>
      </c>
      <c r="C106" s="181" t="s">
        <v>409</v>
      </c>
      <c r="D106" s="175" t="s">
        <v>86</v>
      </c>
      <c r="E106" s="175" t="s">
        <v>1284</v>
      </c>
      <c r="F106" s="182" t="s">
        <v>1588</v>
      </c>
      <c r="G106" s="166" t="s">
        <v>348</v>
      </c>
      <c r="H106" s="152" t="s">
        <v>92</v>
      </c>
      <c r="I106" s="186" t="s">
        <v>1595</v>
      </c>
      <c r="J106" s="184" t="s">
        <v>1475</v>
      </c>
      <c r="K106" s="175"/>
      <c r="L106" s="168" t="s">
        <v>55</v>
      </c>
      <c r="M106" s="175"/>
      <c r="N106" s="170" t="s">
        <v>1654</v>
      </c>
      <c r="O106" s="79"/>
      <c r="P106" s="175"/>
      <c r="Q106" s="80"/>
      <c r="R106" s="80"/>
      <c r="S106" s="80"/>
      <c r="T106" s="80"/>
      <c r="U106" s="80"/>
      <c r="V106" s="80"/>
      <c r="W106" s="80"/>
      <c r="X106" s="80"/>
    </row>
    <row r="107" spans="1:24" s="69" customFormat="1" ht="20.100000000000001" customHeight="1" x14ac:dyDescent="0.15">
      <c r="A107" s="174">
        <f t="shared" si="3"/>
        <v>103</v>
      </c>
      <c r="B107" s="181" t="s">
        <v>409</v>
      </c>
      <c r="C107" s="181" t="s">
        <v>409</v>
      </c>
      <c r="D107" s="175" t="s">
        <v>86</v>
      </c>
      <c r="E107" s="175" t="s">
        <v>1284</v>
      </c>
      <c r="F107" s="182" t="s">
        <v>1589</v>
      </c>
      <c r="G107" s="166" t="s">
        <v>348</v>
      </c>
      <c r="H107" s="152" t="s">
        <v>92</v>
      </c>
      <c r="I107" s="186" t="s">
        <v>1595</v>
      </c>
      <c r="J107" s="184" t="s">
        <v>1475</v>
      </c>
      <c r="K107" s="175"/>
      <c r="L107" s="168" t="s">
        <v>55</v>
      </c>
      <c r="M107" s="175"/>
      <c r="N107" s="170" t="s">
        <v>1654</v>
      </c>
      <c r="O107" s="79"/>
      <c r="P107" s="175"/>
      <c r="Q107" s="80"/>
      <c r="R107" s="80"/>
      <c r="S107" s="80"/>
      <c r="T107" s="80"/>
      <c r="U107" s="80"/>
      <c r="V107" s="80"/>
      <c r="W107" s="80"/>
      <c r="X107" s="80"/>
    </row>
    <row r="108" spans="1:24" s="69" customFormat="1" ht="20.100000000000001" customHeight="1" x14ac:dyDescent="0.15">
      <c r="A108" s="174">
        <f t="shared" si="3"/>
        <v>104</v>
      </c>
      <c r="B108" s="181" t="s">
        <v>409</v>
      </c>
      <c r="C108" s="181" t="s">
        <v>409</v>
      </c>
      <c r="D108" s="175" t="s">
        <v>86</v>
      </c>
      <c r="E108" s="175" t="s">
        <v>1284</v>
      </c>
      <c r="F108" s="182" t="s">
        <v>1590</v>
      </c>
      <c r="G108" s="166" t="s">
        <v>348</v>
      </c>
      <c r="H108" s="152" t="s">
        <v>92</v>
      </c>
      <c r="I108" s="186" t="s">
        <v>1595</v>
      </c>
      <c r="J108" s="184" t="s">
        <v>1475</v>
      </c>
      <c r="K108" s="175"/>
      <c r="L108" s="168" t="s">
        <v>55</v>
      </c>
      <c r="M108" s="175"/>
      <c r="N108" s="170" t="s">
        <v>1654</v>
      </c>
      <c r="O108" s="79"/>
      <c r="P108" s="175"/>
      <c r="Q108" s="80"/>
      <c r="R108" s="80"/>
      <c r="S108" s="80"/>
      <c r="T108" s="80"/>
      <c r="U108" s="80"/>
      <c r="V108" s="80"/>
      <c r="W108" s="80"/>
      <c r="X108" s="80"/>
    </row>
    <row r="109" spans="1:24" s="69" customFormat="1" ht="20.100000000000001" customHeight="1" x14ac:dyDescent="0.15">
      <c r="A109" s="174">
        <f t="shared" si="3"/>
        <v>105</v>
      </c>
      <c r="B109" s="181" t="s">
        <v>409</v>
      </c>
      <c r="C109" s="181" t="s">
        <v>409</v>
      </c>
      <c r="D109" s="175" t="s">
        <v>86</v>
      </c>
      <c r="E109" s="175" t="s">
        <v>1284</v>
      </c>
      <c r="F109" s="182" t="s">
        <v>1591</v>
      </c>
      <c r="G109" s="166" t="s">
        <v>348</v>
      </c>
      <c r="H109" s="152" t="s">
        <v>92</v>
      </c>
      <c r="I109" s="186" t="s">
        <v>1595</v>
      </c>
      <c r="J109" s="184" t="s">
        <v>1475</v>
      </c>
      <c r="K109" s="175"/>
      <c r="L109" s="168" t="s">
        <v>55</v>
      </c>
      <c r="M109" s="175"/>
      <c r="N109" s="170" t="s">
        <v>1654</v>
      </c>
      <c r="O109" s="79"/>
      <c r="P109" s="175"/>
      <c r="Q109" s="80"/>
      <c r="R109" s="80"/>
      <c r="S109" s="80"/>
      <c r="T109" s="80"/>
      <c r="U109" s="80"/>
      <c r="V109" s="80"/>
      <c r="W109" s="80"/>
      <c r="X109" s="80"/>
    </row>
    <row r="110" spans="1:24" s="69" customFormat="1" ht="20.100000000000001" customHeight="1" x14ac:dyDescent="0.15">
      <c r="A110" s="174">
        <f t="shared" si="3"/>
        <v>106</v>
      </c>
      <c r="B110" s="181" t="s">
        <v>409</v>
      </c>
      <c r="C110" s="181" t="s">
        <v>409</v>
      </c>
      <c r="D110" s="175" t="s">
        <v>86</v>
      </c>
      <c r="E110" s="175" t="s">
        <v>1284</v>
      </c>
      <c r="F110" s="175" t="s">
        <v>1286</v>
      </c>
      <c r="G110" s="166" t="s">
        <v>348</v>
      </c>
      <c r="H110" s="152" t="s">
        <v>92</v>
      </c>
      <c r="I110" s="186" t="s">
        <v>1529</v>
      </c>
      <c r="J110" s="184" t="s">
        <v>1462</v>
      </c>
      <c r="K110" s="175"/>
      <c r="L110" s="168" t="s">
        <v>55</v>
      </c>
      <c r="M110" s="175"/>
      <c r="N110" s="170" t="str">
        <f t="shared" ca="1" si="2"/>
        <v/>
      </c>
      <c r="O110" s="79"/>
      <c r="P110" s="175"/>
      <c r="Q110" s="80"/>
      <c r="R110" s="80"/>
      <c r="S110" s="80"/>
      <c r="T110" s="80"/>
      <c r="U110" s="80"/>
      <c r="V110" s="80"/>
      <c r="W110" s="80"/>
      <c r="X110" s="80"/>
    </row>
    <row r="111" spans="1:24" s="69" customFormat="1" ht="20.100000000000001" customHeight="1" x14ac:dyDescent="0.15">
      <c r="A111" s="174">
        <f t="shared" si="3"/>
        <v>107</v>
      </c>
      <c r="B111" s="181" t="s">
        <v>409</v>
      </c>
      <c r="C111" s="181" t="s">
        <v>409</v>
      </c>
      <c r="D111" s="175" t="s">
        <v>86</v>
      </c>
      <c r="E111" s="175" t="s">
        <v>1284</v>
      </c>
      <c r="F111" s="175" t="s">
        <v>1287</v>
      </c>
      <c r="G111" s="166" t="s">
        <v>348</v>
      </c>
      <c r="H111" s="152" t="s">
        <v>92</v>
      </c>
      <c r="I111" s="186" t="s">
        <v>1530</v>
      </c>
      <c r="J111" s="184" t="s">
        <v>1462</v>
      </c>
      <c r="K111" s="175"/>
      <c r="L111" s="168" t="s">
        <v>55</v>
      </c>
      <c r="M111" s="175"/>
      <c r="N111" s="170" t="str">
        <f t="shared" ca="1" si="2"/>
        <v/>
      </c>
      <c r="O111" s="79"/>
      <c r="P111" s="175"/>
      <c r="Q111" s="80"/>
      <c r="R111" s="80"/>
      <c r="S111" s="80"/>
      <c r="T111" s="80"/>
      <c r="U111" s="80"/>
      <c r="V111" s="80"/>
      <c r="W111" s="80"/>
      <c r="X111" s="80"/>
    </row>
    <row r="112" spans="1:24" ht="21.75" customHeight="1" x14ac:dyDescent="0.15">
      <c r="A112" s="174">
        <f t="shared" si="3"/>
        <v>108</v>
      </c>
      <c r="B112" s="60" t="s">
        <v>409</v>
      </c>
      <c r="C112" s="60" t="s">
        <v>409</v>
      </c>
      <c r="D112" s="60" t="s">
        <v>120</v>
      </c>
      <c r="E112" s="61" t="s">
        <v>130</v>
      </c>
      <c r="F112" s="62" t="s">
        <v>131</v>
      </c>
      <c r="G112" s="62" t="s">
        <v>348</v>
      </c>
      <c r="H112" s="109" t="s">
        <v>123</v>
      </c>
      <c r="I112" s="109" t="s">
        <v>26</v>
      </c>
      <c r="J112" s="184" t="s">
        <v>1279</v>
      </c>
      <c r="K112" s="175"/>
      <c r="L112" s="168" t="s">
        <v>55</v>
      </c>
      <c r="M112" s="175"/>
      <c r="N112" s="170" t="str">
        <f t="shared" ca="1" si="2"/>
        <v/>
      </c>
      <c r="O112" s="66"/>
      <c r="P112" s="197" t="s">
        <v>1422</v>
      </c>
    </row>
    <row r="113" spans="1:24" s="69" customFormat="1" ht="21.95" customHeight="1" x14ac:dyDescent="0.15">
      <c r="A113" s="174">
        <f t="shared" si="3"/>
        <v>109</v>
      </c>
      <c r="B113" s="133" t="s">
        <v>409</v>
      </c>
      <c r="C113" s="133" t="s">
        <v>409</v>
      </c>
      <c r="D113" s="131" t="s">
        <v>364</v>
      </c>
      <c r="E113" s="131" t="s">
        <v>271</v>
      </c>
      <c r="F113" s="131" t="s">
        <v>730</v>
      </c>
      <c r="G113" s="115" t="s">
        <v>405</v>
      </c>
      <c r="H113" s="151" t="s">
        <v>92</v>
      </c>
      <c r="I113" s="151" t="s">
        <v>769</v>
      </c>
      <c r="J113" s="184" t="s">
        <v>1279</v>
      </c>
      <c r="K113" s="175"/>
      <c r="L113" s="168" t="s">
        <v>55</v>
      </c>
      <c r="M113" s="175"/>
      <c r="N113" s="170" t="str">
        <f t="shared" ca="1" si="2"/>
        <v/>
      </c>
      <c r="O113" s="79"/>
      <c r="P113" s="184" t="s">
        <v>1423</v>
      </c>
      <c r="Q113" s="80"/>
      <c r="R113" s="80"/>
      <c r="S113" s="80"/>
      <c r="T113" s="80"/>
      <c r="U113" s="80"/>
      <c r="V113" s="80"/>
      <c r="W113" s="80"/>
      <c r="X113" s="80"/>
    </row>
    <row r="114" spans="1:24" s="69" customFormat="1" ht="21.95" customHeight="1" x14ac:dyDescent="0.15">
      <c r="A114" s="174">
        <f t="shared" si="3"/>
        <v>110</v>
      </c>
      <c r="B114" s="133" t="s">
        <v>409</v>
      </c>
      <c r="C114" s="133" t="s">
        <v>409</v>
      </c>
      <c r="D114" s="131" t="s">
        <v>364</v>
      </c>
      <c r="E114" s="131" t="s">
        <v>271</v>
      </c>
      <c r="F114" s="131" t="s">
        <v>731</v>
      </c>
      <c r="G114" s="115" t="s">
        <v>405</v>
      </c>
      <c r="H114" s="151" t="s">
        <v>92</v>
      </c>
      <c r="I114" s="151" t="s">
        <v>770</v>
      </c>
      <c r="J114" s="184" t="s">
        <v>1279</v>
      </c>
      <c r="K114" s="175"/>
      <c r="L114" s="168" t="s">
        <v>55</v>
      </c>
      <c r="M114" s="175"/>
      <c r="N114" s="170" t="str">
        <f t="shared" ca="1" si="2"/>
        <v/>
      </c>
      <c r="O114" s="79"/>
      <c r="P114" s="184" t="s">
        <v>1423</v>
      </c>
      <c r="Q114" s="80"/>
      <c r="R114" s="80"/>
      <c r="S114" s="80"/>
      <c r="T114" s="80"/>
      <c r="U114" s="80"/>
      <c r="V114" s="80"/>
      <c r="W114" s="80"/>
      <c r="X114" s="80"/>
    </row>
    <row r="115" spans="1:24" s="69" customFormat="1" ht="20.100000000000001" customHeight="1" x14ac:dyDescent="0.15">
      <c r="A115" s="174">
        <f t="shared" si="3"/>
        <v>111</v>
      </c>
      <c r="B115" s="181" t="s">
        <v>409</v>
      </c>
      <c r="C115" s="182" t="s">
        <v>409</v>
      </c>
      <c r="D115" s="175" t="s">
        <v>120</v>
      </c>
      <c r="E115" s="175" t="s">
        <v>130</v>
      </c>
      <c r="F115" s="175" t="s">
        <v>890</v>
      </c>
      <c r="G115" s="166" t="s">
        <v>348</v>
      </c>
      <c r="H115" s="152" t="s">
        <v>92</v>
      </c>
      <c r="I115" s="152" t="s">
        <v>92</v>
      </c>
      <c r="J115" s="184" t="s">
        <v>1279</v>
      </c>
      <c r="K115" s="175"/>
      <c r="L115" s="168" t="s">
        <v>55</v>
      </c>
      <c r="M115" s="175"/>
      <c r="N115" s="170" t="str">
        <f t="shared" ca="1" si="2"/>
        <v/>
      </c>
      <c r="O115" s="79"/>
      <c r="P115" s="175"/>
      <c r="Q115" s="80"/>
      <c r="R115" s="80"/>
      <c r="S115" s="80"/>
      <c r="T115" s="80"/>
      <c r="U115" s="80"/>
      <c r="V115" s="80"/>
      <c r="W115" s="80"/>
      <c r="X115" s="80"/>
    </row>
    <row r="116" spans="1:24" s="69" customFormat="1" ht="20.100000000000001" customHeight="1" x14ac:dyDescent="0.15">
      <c r="A116" s="174">
        <f t="shared" si="3"/>
        <v>112</v>
      </c>
      <c r="B116" s="176" t="s">
        <v>823</v>
      </c>
      <c r="C116" s="178" t="s">
        <v>823</v>
      </c>
      <c r="D116" s="178" t="s">
        <v>824</v>
      </c>
      <c r="E116" s="178" t="s">
        <v>825</v>
      </c>
      <c r="F116" s="178" t="s">
        <v>826</v>
      </c>
      <c r="G116" s="166" t="s">
        <v>405</v>
      </c>
      <c r="H116" s="152" t="s">
        <v>92</v>
      </c>
      <c r="I116" s="186" t="s">
        <v>990</v>
      </c>
      <c r="J116" s="184" t="s">
        <v>1279</v>
      </c>
      <c r="K116" s="175"/>
      <c r="L116" s="168" t="s">
        <v>55</v>
      </c>
      <c r="M116" s="175"/>
      <c r="N116" s="170" t="str">
        <f t="shared" ca="1" si="2"/>
        <v/>
      </c>
      <c r="O116" s="79"/>
      <c r="P116" s="175"/>
      <c r="Q116" s="80"/>
      <c r="R116" s="80"/>
      <c r="S116" s="80"/>
      <c r="T116" s="80"/>
      <c r="U116" s="80"/>
      <c r="V116" s="80"/>
      <c r="W116" s="80"/>
      <c r="X116" s="80"/>
    </row>
    <row r="117" spans="1:24" s="69" customFormat="1" ht="20.100000000000001" customHeight="1" x14ac:dyDescent="0.15">
      <c r="A117" s="174">
        <f t="shared" si="3"/>
        <v>113</v>
      </c>
      <c r="B117" s="181" t="s">
        <v>409</v>
      </c>
      <c r="C117" s="182" t="s">
        <v>409</v>
      </c>
      <c r="D117" s="175" t="s">
        <v>120</v>
      </c>
      <c r="E117" s="175" t="s">
        <v>130</v>
      </c>
      <c r="F117" s="182" t="s">
        <v>1096</v>
      </c>
      <c r="G117" s="166" t="s">
        <v>405</v>
      </c>
      <c r="H117" s="152" t="s">
        <v>92</v>
      </c>
      <c r="I117" s="186" t="s">
        <v>1095</v>
      </c>
      <c r="J117" s="184" t="s">
        <v>1279</v>
      </c>
      <c r="K117" s="175"/>
      <c r="L117" s="168" t="s">
        <v>55</v>
      </c>
      <c r="M117" s="175"/>
      <c r="N117" s="170" t="str">
        <f t="shared" ca="1" si="2"/>
        <v/>
      </c>
      <c r="O117" s="79"/>
      <c r="P117" s="175"/>
      <c r="Q117" s="80"/>
      <c r="R117" s="80"/>
      <c r="S117" s="80"/>
      <c r="T117" s="80"/>
      <c r="U117" s="80"/>
      <c r="V117" s="80"/>
      <c r="W117" s="80"/>
      <c r="X117" s="80"/>
    </row>
    <row r="118" spans="1:24" s="69" customFormat="1" ht="20.100000000000001" customHeight="1" x14ac:dyDescent="0.15">
      <c r="A118" s="174">
        <f t="shared" si="3"/>
        <v>114</v>
      </c>
      <c r="B118" s="181" t="s">
        <v>1218</v>
      </c>
      <c r="C118" s="181" t="s">
        <v>1218</v>
      </c>
      <c r="D118" s="175" t="s">
        <v>86</v>
      </c>
      <c r="E118" s="175" t="s">
        <v>1219</v>
      </c>
      <c r="F118" s="182" t="s">
        <v>1312</v>
      </c>
      <c r="G118" s="194" t="s">
        <v>349</v>
      </c>
      <c r="H118" s="152" t="s">
        <v>92</v>
      </c>
      <c r="I118" s="186" t="s">
        <v>1314</v>
      </c>
      <c r="J118" s="184" t="s">
        <v>1279</v>
      </c>
      <c r="K118" s="175"/>
      <c r="L118" s="168" t="s">
        <v>55</v>
      </c>
      <c r="M118" s="175"/>
      <c r="N118" s="170" t="str">
        <f t="shared" ca="1" si="2"/>
        <v/>
      </c>
      <c r="O118" s="79"/>
      <c r="P118" s="175"/>
      <c r="Q118" s="80"/>
      <c r="R118" s="80"/>
      <c r="S118" s="80"/>
      <c r="T118" s="80"/>
      <c r="U118" s="80"/>
      <c r="V118" s="80"/>
      <c r="W118" s="80"/>
      <c r="X118" s="80"/>
    </row>
    <row r="119" spans="1:24" s="69" customFormat="1" ht="20.100000000000001" customHeight="1" x14ac:dyDescent="0.15">
      <c r="A119" s="174">
        <f t="shared" si="3"/>
        <v>115</v>
      </c>
      <c r="B119" s="181" t="s">
        <v>1218</v>
      </c>
      <c r="C119" s="181" t="s">
        <v>1218</v>
      </c>
      <c r="D119" s="175" t="s">
        <v>86</v>
      </c>
      <c r="E119" s="175" t="s">
        <v>1219</v>
      </c>
      <c r="F119" s="182" t="s">
        <v>1313</v>
      </c>
      <c r="G119" s="194" t="s">
        <v>349</v>
      </c>
      <c r="H119" s="152" t="s">
        <v>92</v>
      </c>
      <c r="I119" s="186" t="s">
        <v>1314</v>
      </c>
      <c r="J119" s="184" t="s">
        <v>1279</v>
      </c>
      <c r="K119" s="175"/>
      <c r="L119" s="168" t="s">
        <v>55</v>
      </c>
      <c r="M119" s="175"/>
      <c r="N119" s="170" t="str">
        <f t="shared" ca="1" si="2"/>
        <v/>
      </c>
      <c r="O119" s="79"/>
      <c r="P119" s="175"/>
      <c r="Q119" s="80"/>
      <c r="R119" s="80"/>
      <c r="S119" s="80"/>
      <c r="T119" s="80"/>
      <c r="U119" s="80"/>
      <c r="V119" s="80"/>
      <c r="W119" s="80"/>
      <c r="X119" s="80"/>
    </row>
    <row r="120" spans="1:24" s="69" customFormat="1" ht="20.100000000000001" customHeight="1" x14ac:dyDescent="0.15">
      <c r="A120" s="174">
        <f t="shared" si="3"/>
        <v>116</v>
      </c>
      <c r="B120" s="181" t="s">
        <v>409</v>
      </c>
      <c r="C120" s="181" t="s">
        <v>409</v>
      </c>
      <c r="D120" s="175" t="s">
        <v>86</v>
      </c>
      <c r="E120" s="182" t="s">
        <v>130</v>
      </c>
      <c r="F120" s="182" t="s">
        <v>1358</v>
      </c>
      <c r="G120" s="166" t="s">
        <v>414</v>
      </c>
      <c r="H120" s="152" t="s">
        <v>92</v>
      </c>
      <c r="I120" s="186" t="s">
        <v>1359</v>
      </c>
      <c r="J120" s="184" t="s">
        <v>1617</v>
      </c>
      <c r="K120" s="175"/>
      <c r="L120" s="168" t="s">
        <v>55</v>
      </c>
      <c r="M120" s="175"/>
      <c r="N120" s="170" t="str">
        <f t="shared" ca="1" si="2"/>
        <v/>
      </c>
      <c r="O120" s="79"/>
      <c r="P120" s="175"/>
      <c r="Q120" s="80"/>
      <c r="R120" s="80"/>
      <c r="S120" s="80"/>
      <c r="T120" s="80"/>
      <c r="U120" s="80"/>
      <c r="V120" s="80"/>
      <c r="W120" s="80"/>
      <c r="X120" s="80"/>
    </row>
    <row r="121" spans="1:24" s="69" customFormat="1" ht="20.100000000000001" customHeight="1" x14ac:dyDescent="0.15">
      <c r="A121" s="174">
        <f t="shared" si="3"/>
        <v>117</v>
      </c>
      <c r="B121" s="181" t="s">
        <v>409</v>
      </c>
      <c r="C121" s="181" t="s">
        <v>409</v>
      </c>
      <c r="D121" s="175" t="s">
        <v>86</v>
      </c>
      <c r="E121" s="175" t="s">
        <v>1219</v>
      </c>
      <c r="F121" s="175" t="s">
        <v>1370</v>
      </c>
      <c r="G121" s="166" t="s">
        <v>414</v>
      </c>
      <c r="H121" s="152" t="s">
        <v>92</v>
      </c>
      <c r="I121" s="186" t="s">
        <v>1534</v>
      </c>
      <c r="J121" s="184" t="s">
        <v>1535</v>
      </c>
      <c r="K121" s="175"/>
      <c r="L121" s="168" t="s">
        <v>55</v>
      </c>
      <c r="M121" s="175"/>
      <c r="N121" s="170" t="str">
        <f t="shared" ca="1" si="2"/>
        <v>即将到期</v>
      </c>
      <c r="O121" s="79"/>
      <c r="P121" s="175"/>
      <c r="Q121" s="80"/>
      <c r="R121" s="80"/>
      <c r="S121" s="80"/>
      <c r="T121" s="80"/>
      <c r="U121" s="80"/>
      <c r="V121" s="80"/>
      <c r="W121" s="80"/>
      <c r="X121" s="80"/>
    </row>
    <row r="122" spans="1:24" s="69" customFormat="1" ht="20.100000000000001" customHeight="1" x14ac:dyDescent="0.15">
      <c r="A122" s="174">
        <f t="shared" si="3"/>
        <v>118</v>
      </c>
      <c r="B122" s="181" t="s">
        <v>409</v>
      </c>
      <c r="C122" s="181" t="s">
        <v>409</v>
      </c>
      <c r="D122" s="175" t="s">
        <v>86</v>
      </c>
      <c r="E122" s="175" t="s">
        <v>1284</v>
      </c>
      <c r="F122" s="175" t="s">
        <v>1369</v>
      </c>
      <c r="G122" s="166" t="s">
        <v>414</v>
      </c>
      <c r="H122" s="152" t="s">
        <v>92</v>
      </c>
      <c r="I122" s="186" t="s">
        <v>1534</v>
      </c>
      <c r="J122" s="184" t="s">
        <v>1535</v>
      </c>
      <c r="K122" s="175"/>
      <c r="L122" s="168" t="s">
        <v>55</v>
      </c>
      <c r="M122" s="175"/>
      <c r="N122" s="170" t="str">
        <f t="shared" ca="1" si="2"/>
        <v>即将到期</v>
      </c>
      <c r="O122" s="79"/>
      <c r="P122" s="175"/>
      <c r="Q122" s="80"/>
      <c r="R122" s="80"/>
      <c r="S122" s="80"/>
      <c r="T122" s="80"/>
      <c r="U122" s="80"/>
      <c r="V122" s="80"/>
      <c r="W122" s="80"/>
      <c r="X122" s="80"/>
    </row>
    <row r="123" spans="1:24" s="69" customFormat="1" ht="21.95" customHeight="1" x14ac:dyDescent="0.15">
      <c r="A123" s="174">
        <f t="shared" si="3"/>
        <v>119</v>
      </c>
      <c r="B123" s="61" t="s">
        <v>409</v>
      </c>
      <c r="C123" s="61" t="s">
        <v>409</v>
      </c>
      <c r="D123" s="61" t="s">
        <v>364</v>
      </c>
      <c r="E123" s="61" t="s">
        <v>188</v>
      </c>
      <c r="F123" s="61" t="s">
        <v>477</v>
      </c>
      <c r="G123" s="62" t="s">
        <v>405</v>
      </c>
      <c r="H123" s="109" t="s">
        <v>92</v>
      </c>
      <c r="I123" s="109" t="s">
        <v>593</v>
      </c>
      <c r="J123" s="184" t="s">
        <v>1279</v>
      </c>
      <c r="K123" s="169"/>
      <c r="L123" s="161" t="s">
        <v>55</v>
      </c>
      <c r="M123" s="170"/>
      <c r="N123" s="170" t="str">
        <f t="shared" ca="1" si="2"/>
        <v/>
      </c>
      <c r="O123" s="79"/>
      <c r="P123" s="61"/>
      <c r="Q123" s="80"/>
      <c r="R123" s="80"/>
      <c r="S123" s="80"/>
      <c r="T123" s="80"/>
      <c r="U123" s="80"/>
      <c r="V123" s="80"/>
      <c r="W123" s="80"/>
      <c r="X123" s="80"/>
    </row>
    <row r="124" spans="1:24" s="69" customFormat="1" ht="21.95" customHeight="1" x14ac:dyDescent="0.15">
      <c r="A124" s="174">
        <f t="shared" si="3"/>
        <v>120</v>
      </c>
      <c r="B124" s="61" t="s">
        <v>409</v>
      </c>
      <c r="C124" s="61" t="s">
        <v>409</v>
      </c>
      <c r="D124" s="61" t="s">
        <v>364</v>
      </c>
      <c r="E124" s="61" t="s">
        <v>188</v>
      </c>
      <c r="F124" s="61" t="s">
        <v>478</v>
      </c>
      <c r="G124" s="62" t="s">
        <v>405</v>
      </c>
      <c r="H124" s="109" t="s">
        <v>92</v>
      </c>
      <c r="I124" s="109" t="s">
        <v>594</v>
      </c>
      <c r="J124" s="184" t="s">
        <v>1279</v>
      </c>
      <c r="K124" s="169"/>
      <c r="L124" s="161" t="s">
        <v>55</v>
      </c>
      <c r="M124" s="170"/>
      <c r="N124" s="170" t="str">
        <f t="shared" ca="1" si="2"/>
        <v/>
      </c>
      <c r="O124" s="79"/>
      <c r="P124" s="61"/>
      <c r="Q124" s="80"/>
      <c r="R124" s="80"/>
      <c r="S124" s="80"/>
      <c r="T124" s="80"/>
      <c r="U124" s="80"/>
      <c r="V124" s="80"/>
      <c r="W124" s="80"/>
      <c r="X124" s="80"/>
    </row>
    <row r="125" spans="1:24" s="69" customFormat="1" ht="21.95" customHeight="1" x14ac:dyDescent="0.15">
      <c r="A125" s="174">
        <f t="shared" si="3"/>
        <v>121</v>
      </c>
      <c r="B125" s="61" t="s">
        <v>409</v>
      </c>
      <c r="C125" s="61" t="s">
        <v>409</v>
      </c>
      <c r="D125" s="61" t="s">
        <v>364</v>
      </c>
      <c r="E125" s="61" t="s">
        <v>188</v>
      </c>
      <c r="F125" s="61" t="s">
        <v>476</v>
      </c>
      <c r="G125" s="62" t="s">
        <v>405</v>
      </c>
      <c r="H125" s="109" t="s">
        <v>92</v>
      </c>
      <c r="I125" s="109" t="s">
        <v>595</v>
      </c>
      <c r="J125" s="184" t="s">
        <v>1279</v>
      </c>
      <c r="K125" s="169"/>
      <c r="L125" s="161" t="s">
        <v>55</v>
      </c>
      <c r="M125" s="170"/>
      <c r="N125" s="170" t="str">
        <f t="shared" ca="1" si="2"/>
        <v/>
      </c>
      <c r="O125" s="79"/>
      <c r="P125" s="61"/>
      <c r="Q125" s="80"/>
      <c r="R125" s="80"/>
      <c r="S125" s="80"/>
      <c r="T125" s="80"/>
      <c r="U125" s="80"/>
      <c r="V125" s="80"/>
      <c r="W125" s="80"/>
      <c r="X125" s="80"/>
    </row>
    <row r="126" spans="1:24" s="69" customFormat="1" ht="21.95" customHeight="1" x14ac:dyDescent="0.15">
      <c r="A126" s="174">
        <f t="shared" si="3"/>
        <v>122</v>
      </c>
      <c r="B126" s="61" t="s">
        <v>409</v>
      </c>
      <c r="C126" s="61" t="s">
        <v>409</v>
      </c>
      <c r="D126" s="61" t="s">
        <v>364</v>
      </c>
      <c r="E126" s="61" t="s">
        <v>188</v>
      </c>
      <c r="F126" s="61" t="s">
        <v>479</v>
      </c>
      <c r="G126" s="62" t="s">
        <v>405</v>
      </c>
      <c r="H126" s="109" t="s">
        <v>92</v>
      </c>
      <c r="I126" s="109" t="s">
        <v>593</v>
      </c>
      <c r="J126" s="184" t="s">
        <v>1279</v>
      </c>
      <c r="K126" s="169"/>
      <c r="L126" s="161" t="s">
        <v>55</v>
      </c>
      <c r="M126" s="170"/>
      <c r="N126" s="170" t="str">
        <f t="shared" ca="1" si="2"/>
        <v/>
      </c>
      <c r="O126" s="79"/>
      <c r="P126" s="61"/>
      <c r="Q126" s="80"/>
      <c r="R126" s="80"/>
      <c r="S126" s="80"/>
      <c r="T126" s="80"/>
      <c r="U126" s="80"/>
      <c r="V126" s="80"/>
      <c r="W126" s="80"/>
      <c r="X126" s="80"/>
    </row>
    <row r="127" spans="1:24" s="69" customFormat="1" ht="20.100000000000001" customHeight="1" x14ac:dyDescent="0.15">
      <c r="A127" s="174">
        <f t="shared" si="3"/>
        <v>123</v>
      </c>
      <c r="B127" s="174" t="s">
        <v>409</v>
      </c>
      <c r="C127" s="174" t="s">
        <v>409</v>
      </c>
      <c r="D127" s="175" t="s">
        <v>120</v>
      </c>
      <c r="E127" s="175" t="s">
        <v>157</v>
      </c>
      <c r="F127" s="175" t="s">
        <v>900</v>
      </c>
      <c r="G127" s="166" t="s">
        <v>348</v>
      </c>
      <c r="H127" s="152" t="s">
        <v>92</v>
      </c>
      <c r="I127" s="186" t="s">
        <v>987</v>
      </c>
      <c r="J127" s="184" t="s">
        <v>1279</v>
      </c>
      <c r="K127" s="169"/>
      <c r="L127" s="161" t="s">
        <v>55</v>
      </c>
      <c r="M127" s="170"/>
      <c r="N127" s="170" t="str">
        <f t="shared" ca="1" si="2"/>
        <v/>
      </c>
      <c r="O127" s="79"/>
      <c r="P127" s="175"/>
      <c r="Q127" s="80"/>
      <c r="R127" s="80"/>
      <c r="S127" s="80"/>
      <c r="T127" s="80"/>
      <c r="U127" s="80"/>
      <c r="V127" s="80"/>
      <c r="W127" s="80"/>
      <c r="X127" s="80"/>
    </row>
    <row r="128" spans="1:24" s="69" customFormat="1" ht="20.100000000000001" customHeight="1" x14ac:dyDescent="0.15">
      <c r="A128" s="174">
        <f t="shared" si="3"/>
        <v>124</v>
      </c>
      <c r="B128" s="181" t="s">
        <v>409</v>
      </c>
      <c r="C128" s="181" t="s">
        <v>409</v>
      </c>
      <c r="D128" s="175" t="s">
        <v>120</v>
      </c>
      <c r="E128" s="175" t="s">
        <v>157</v>
      </c>
      <c r="F128" s="175" t="s">
        <v>1164</v>
      </c>
      <c r="G128" s="166" t="s">
        <v>405</v>
      </c>
      <c r="H128" s="152" t="s">
        <v>92</v>
      </c>
      <c r="I128" s="186" t="s">
        <v>1187</v>
      </c>
      <c r="J128" s="184" t="s">
        <v>1279</v>
      </c>
      <c r="K128" s="169"/>
      <c r="L128" s="161" t="s">
        <v>55</v>
      </c>
      <c r="M128" s="170"/>
      <c r="N128" s="170" t="str">
        <f t="shared" ca="1" si="2"/>
        <v/>
      </c>
      <c r="O128" s="79"/>
      <c r="P128" s="175"/>
      <c r="Q128" s="80"/>
      <c r="R128" s="80"/>
      <c r="S128" s="80"/>
      <c r="T128" s="80"/>
      <c r="U128" s="80"/>
      <c r="V128" s="80"/>
      <c r="W128" s="80"/>
      <c r="X128" s="80"/>
    </row>
    <row r="129" spans="1:24" ht="21.95" customHeight="1" x14ac:dyDescent="0.15">
      <c r="A129" s="174">
        <f t="shared" si="3"/>
        <v>125</v>
      </c>
      <c r="B129" s="60" t="s">
        <v>409</v>
      </c>
      <c r="C129" s="60" t="s">
        <v>409</v>
      </c>
      <c r="D129" s="61" t="s">
        <v>86</v>
      </c>
      <c r="E129" s="61" t="s">
        <v>87</v>
      </c>
      <c r="F129" s="62" t="s">
        <v>542</v>
      </c>
      <c r="G129" s="62" t="s">
        <v>348</v>
      </c>
      <c r="H129" s="109" t="s">
        <v>123</v>
      </c>
      <c r="I129" s="109" t="s">
        <v>135</v>
      </c>
      <c r="J129" s="184" t="s">
        <v>1410</v>
      </c>
      <c r="K129" s="169"/>
      <c r="L129" s="161" t="s">
        <v>55</v>
      </c>
      <c r="M129" s="170"/>
      <c r="N129" s="170" t="str">
        <f t="shared" ca="1" si="2"/>
        <v>即将到期</v>
      </c>
      <c r="O129" s="66"/>
      <c r="P129" s="67"/>
    </row>
    <row r="130" spans="1:24" s="69" customFormat="1" ht="20.100000000000001" customHeight="1" x14ac:dyDescent="0.15">
      <c r="A130" s="174">
        <f t="shared" si="3"/>
        <v>126</v>
      </c>
      <c r="B130" s="181" t="s">
        <v>409</v>
      </c>
      <c r="C130" s="181" t="s">
        <v>409</v>
      </c>
      <c r="D130" s="175" t="s">
        <v>120</v>
      </c>
      <c r="E130" s="175" t="s">
        <v>1093</v>
      </c>
      <c r="F130" s="182" t="s">
        <v>1098</v>
      </c>
      <c r="G130" s="166" t="s">
        <v>349</v>
      </c>
      <c r="H130" s="152" t="s">
        <v>92</v>
      </c>
      <c r="I130" s="186" t="s">
        <v>1099</v>
      </c>
      <c r="J130" s="184" t="s">
        <v>1279</v>
      </c>
      <c r="K130" s="169"/>
      <c r="L130" s="161" t="s">
        <v>55</v>
      </c>
      <c r="M130" s="170"/>
      <c r="N130" s="170" t="str">
        <f t="shared" ca="1" si="2"/>
        <v/>
      </c>
      <c r="O130" s="79"/>
      <c r="P130" s="175"/>
      <c r="Q130" s="80"/>
      <c r="R130" s="80"/>
      <c r="S130" s="80"/>
      <c r="T130" s="80"/>
      <c r="U130" s="80"/>
      <c r="V130" s="80"/>
      <c r="W130" s="80"/>
      <c r="X130" s="80"/>
    </row>
    <row r="131" spans="1:24" s="69" customFormat="1" ht="20.100000000000001" customHeight="1" x14ac:dyDescent="0.15">
      <c r="A131" s="174">
        <f t="shared" si="3"/>
        <v>127</v>
      </c>
      <c r="B131" s="181" t="s">
        <v>409</v>
      </c>
      <c r="C131" s="181" t="s">
        <v>409</v>
      </c>
      <c r="D131" s="175" t="s">
        <v>120</v>
      </c>
      <c r="E131" s="175" t="s">
        <v>1093</v>
      </c>
      <c r="F131" s="182" t="s">
        <v>1100</v>
      </c>
      <c r="G131" s="166" t="s">
        <v>349</v>
      </c>
      <c r="H131" s="152" t="s">
        <v>92</v>
      </c>
      <c r="I131" s="186" t="s">
        <v>1099</v>
      </c>
      <c r="J131" s="184" t="s">
        <v>1279</v>
      </c>
      <c r="K131" s="169"/>
      <c r="L131" s="161" t="s">
        <v>55</v>
      </c>
      <c r="M131" s="170"/>
      <c r="N131" s="170" t="str">
        <f t="shared" ca="1" si="2"/>
        <v/>
      </c>
      <c r="O131" s="79"/>
      <c r="P131" s="175"/>
      <c r="Q131" s="80"/>
      <c r="R131" s="80"/>
      <c r="S131" s="80"/>
      <c r="T131" s="80"/>
      <c r="U131" s="80"/>
      <c r="V131" s="80"/>
      <c r="W131" s="80"/>
      <c r="X131" s="80"/>
    </row>
    <row r="132" spans="1:24" s="69" customFormat="1" ht="20.100000000000001" customHeight="1" x14ac:dyDescent="0.15">
      <c r="A132" s="174">
        <f t="shared" si="3"/>
        <v>128</v>
      </c>
      <c r="B132" s="181" t="s">
        <v>409</v>
      </c>
      <c r="C132" s="181" t="s">
        <v>409</v>
      </c>
      <c r="D132" s="175" t="s">
        <v>120</v>
      </c>
      <c r="E132" s="175" t="s">
        <v>1093</v>
      </c>
      <c r="F132" s="182" t="s">
        <v>1127</v>
      </c>
      <c r="G132" s="166" t="s">
        <v>405</v>
      </c>
      <c r="H132" s="152" t="s">
        <v>92</v>
      </c>
      <c r="I132" s="186" t="s">
        <v>1104</v>
      </c>
      <c r="J132" s="184" t="s">
        <v>1279</v>
      </c>
      <c r="K132" s="169"/>
      <c r="L132" s="161" t="s">
        <v>55</v>
      </c>
      <c r="M132" s="170"/>
      <c r="N132" s="170" t="str">
        <f t="shared" ca="1" si="2"/>
        <v/>
      </c>
      <c r="O132" s="79"/>
      <c r="P132" s="175"/>
      <c r="Q132" s="80"/>
      <c r="R132" s="80"/>
      <c r="S132" s="80"/>
      <c r="T132" s="80"/>
      <c r="U132" s="80"/>
      <c r="V132" s="80"/>
      <c r="W132" s="80"/>
      <c r="X132" s="80"/>
    </row>
    <row r="133" spans="1:24" s="69" customFormat="1" ht="20.100000000000001" customHeight="1" x14ac:dyDescent="0.15">
      <c r="A133" s="174">
        <f t="shared" si="3"/>
        <v>129</v>
      </c>
      <c r="B133" s="181" t="s">
        <v>409</v>
      </c>
      <c r="C133" s="181" t="s">
        <v>409</v>
      </c>
      <c r="D133" s="175" t="s">
        <v>120</v>
      </c>
      <c r="E133" s="175" t="s">
        <v>1093</v>
      </c>
      <c r="F133" s="182" t="s">
        <v>1116</v>
      </c>
      <c r="G133" s="166" t="s">
        <v>349</v>
      </c>
      <c r="H133" s="152" t="s">
        <v>92</v>
      </c>
      <c r="I133" s="186" t="s">
        <v>1117</v>
      </c>
      <c r="J133" s="184" t="s">
        <v>1279</v>
      </c>
      <c r="K133" s="169"/>
      <c r="L133" s="161" t="s">
        <v>55</v>
      </c>
      <c r="M133" s="170"/>
      <c r="N133" s="170" t="str">
        <f t="shared" ca="1" si="2"/>
        <v/>
      </c>
      <c r="O133" s="79"/>
      <c r="P133" s="175"/>
      <c r="Q133" s="80"/>
      <c r="R133" s="80"/>
      <c r="S133" s="80"/>
      <c r="T133" s="80"/>
      <c r="U133" s="80"/>
      <c r="V133" s="80"/>
      <c r="W133" s="80"/>
      <c r="X133" s="80"/>
    </row>
    <row r="134" spans="1:24" s="69" customFormat="1" ht="20.100000000000001" customHeight="1" x14ac:dyDescent="0.15">
      <c r="A134" s="174">
        <f t="shared" si="3"/>
        <v>130</v>
      </c>
      <c r="B134" s="181" t="s">
        <v>409</v>
      </c>
      <c r="C134" s="181" t="s">
        <v>409</v>
      </c>
      <c r="D134" s="175" t="s">
        <v>120</v>
      </c>
      <c r="E134" s="175" t="s">
        <v>1093</v>
      </c>
      <c r="F134" s="182" t="s">
        <v>1118</v>
      </c>
      <c r="G134" s="166" t="s">
        <v>349</v>
      </c>
      <c r="H134" s="152" t="s">
        <v>92</v>
      </c>
      <c r="I134" s="186" t="s">
        <v>1119</v>
      </c>
      <c r="J134" s="184" t="s">
        <v>1279</v>
      </c>
      <c r="K134" s="169"/>
      <c r="L134" s="161" t="s">
        <v>55</v>
      </c>
      <c r="M134" s="170"/>
      <c r="N134" s="170" t="str">
        <f t="shared" ca="1" si="2"/>
        <v/>
      </c>
      <c r="O134" s="79"/>
      <c r="P134" s="175"/>
      <c r="Q134" s="80"/>
      <c r="R134" s="80"/>
      <c r="S134" s="80"/>
      <c r="T134" s="80"/>
      <c r="U134" s="80"/>
      <c r="V134" s="80"/>
      <c r="W134" s="80"/>
      <c r="X134" s="80"/>
    </row>
    <row r="135" spans="1:24" s="69" customFormat="1" ht="20.100000000000001" customHeight="1" x14ac:dyDescent="0.15">
      <c r="A135" s="174">
        <f t="shared" si="3"/>
        <v>131</v>
      </c>
      <c r="B135" s="181" t="s">
        <v>409</v>
      </c>
      <c r="C135" s="181" t="s">
        <v>409</v>
      </c>
      <c r="D135" s="175" t="s">
        <v>120</v>
      </c>
      <c r="E135" s="175" t="s">
        <v>1093</v>
      </c>
      <c r="F135" s="182" t="s">
        <v>1125</v>
      </c>
      <c r="G135" s="166" t="s">
        <v>405</v>
      </c>
      <c r="H135" s="152" t="s">
        <v>92</v>
      </c>
      <c r="I135" s="186" t="s">
        <v>1126</v>
      </c>
      <c r="J135" s="184" t="s">
        <v>1279</v>
      </c>
      <c r="K135" s="169"/>
      <c r="L135" s="161" t="s">
        <v>55</v>
      </c>
      <c r="M135" s="170"/>
      <c r="N135" s="170" t="str">
        <f t="shared" ref="N135:N198" ca="1" si="4">IF(ISNUMBER(FIND(".",J135)),IF(AND(DATEVALUE(SUBSTITUTE(J135,".","/"))-TODAY()&lt;=90,DATEVALUE(SUBSTITUTE(J135,".","/"))-TODAY()&gt;0),"即将到期",""),"")</f>
        <v/>
      </c>
      <c r="O135" s="79"/>
      <c r="P135" s="175"/>
      <c r="Q135" s="80"/>
      <c r="R135" s="80"/>
      <c r="S135" s="80"/>
      <c r="T135" s="80"/>
      <c r="U135" s="80"/>
      <c r="V135" s="80"/>
      <c r="W135" s="80"/>
      <c r="X135" s="80"/>
    </row>
    <row r="136" spans="1:24" s="69" customFormat="1" ht="19.5" customHeight="1" x14ac:dyDescent="0.15">
      <c r="A136" s="174">
        <f t="shared" si="3"/>
        <v>132</v>
      </c>
      <c r="B136" s="181" t="s">
        <v>409</v>
      </c>
      <c r="C136" s="181" t="s">
        <v>409</v>
      </c>
      <c r="D136" s="182" t="s">
        <v>86</v>
      </c>
      <c r="E136" s="182" t="s">
        <v>1390</v>
      </c>
      <c r="F136" s="182" t="s">
        <v>1551</v>
      </c>
      <c r="G136" s="166" t="s">
        <v>1378</v>
      </c>
      <c r="H136" s="152" t="s">
        <v>92</v>
      </c>
      <c r="I136" s="186" t="s">
        <v>1553</v>
      </c>
      <c r="J136" s="184" t="s">
        <v>1554</v>
      </c>
      <c r="K136" s="175"/>
      <c r="L136" s="168" t="s">
        <v>55</v>
      </c>
      <c r="M136" s="175"/>
      <c r="N136" s="170" t="str">
        <f t="shared" ca="1" si="4"/>
        <v/>
      </c>
      <c r="O136" s="79"/>
      <c r="P136" s="175"/>
      <c r="Q136" s="80"/>
      <c r="R136" s="80"/>
      <c r="S136" s="80"/>
      <c r="T136" s="80"/>
      <c r="U136" s="80"/>
      <c r="V136" s="80"/>
      <c r="W136" s="80"/>
      <c r="X136" s="80"/>
    </row>
    <row r="137" spans="1:24" s="69" customFormat="1" ht="19.5" customHeight="1" x14ac:dyDescent="0.15">
      <c r="A137" s="174">
        <f t="shared" si="3"/>
        <v>133</v>
      </c>
      <c r="B137" s="181" t="s">
        <v>409</v>
      </c>
      <c r="C137" s="181" t="s">
        <v>409</v>
      </c>
      <c r="D137" s="182" t="s">
        <v>86</v>
      </c>
      <c r="E137" s="182" t="s">
        <v>1390</v>
      </c>
      <c r="F137" s="182" t="s">
        <v>1552</v>
      </c>
      <c r="G137" s="166" t="s">
        <v>1378</v>
      </c>
      <c r="H137" s="152" t="s">
        <v>92</v>
      </c>
      <c r="I137" s="186" t="s">
        <v>1553</v>
      </c>
      <c r="J137" s="184" t="s">
        <v>1554</v>
      </c>
      <c r="K137" s="175"/>
      <c r="L137" s="168" t="s">
        <v>55</v>
      </c>
      <c r="M137" s="175"/>
      <c r="N137" s="170" t="str">
        <f t="shared" ca="1" si="4"/>
        <v/>
      </c>
      <c r="O137" s="79"/>
      <c r="P137" s="175"/>
      <c r="Q137" s="80"/>
      <c r="R137" s="80"/>
      <c r="S137" s="80"/>
      <c r="T137" s="80"/>
      <c r="U137" s="80"/>
      <c r="V137" s="80"/>
      <c r="W137" s="80"/>
      <c r="X137" s="80"/>
    </row>
    <row r="138" spans="1:24" s="88" customFormat="1" ht="21.95" customHeight="1" x14ac:dyDescent="0.15">
      <c r="A138" s="174">
        <f t="shared" si="3"/>
        <v>134</v>
      </c>
      <c r="B138" s="62" t="s">
        <v>409</v>
      </c>
      <c r="C138" s="62" t="s">
        <v>409</v>
      </c>
      <c r="D138" s="62" t="s">
        <v>120</v>
      </c>
      <c r="E138" s="62" t="s">
        <v>361</v>
      </c>
      <c r="F138" s="62" t="s">
        <v>559</v>
      </c>
      <c r="G138" s="62" t="s">
        <v>348</v>
      </c>
      <c r="H138" s="109" t="s">
        <v>92</v>
      </c>
      <c r="I138" s="109" t="s">
        <v>596</v>
      </c>
      <c r="J138" s="160" t="s">
        <v>1326</v>
      </c>
      <c r="K138" s="175"/>
      <c r="L138" s="168" t="s">
        <v>55</v>
      </c>
      <c r="M138" s="175"/>
      <c r="N138" s="170" t="str">
        <f t="shared" ca="1" si="4"/>
        <v/>
      </c>
      <c r="O138" s="66"/>
      <c r="P138" s="87"/>
    </row>
    <row r="139" spans="1:24" s="69" customFormat="1" ht="20.100000000000001" customHeight="1" x14ac:dyDescent="0.15">
      <c r="A139" s="174">
        <f t="shared" si="3"/>
        <v>135</v>
      </c>
      <c r="B139" s="181" t="s">
        <v>409</v>
      </c>
      <c r="C139" s="182" t="s">
        <v>409</v>
      </c>
      <c r="D139" s="175" t="s">
        <v>86</v>
      </c>
      <c r="E139" s="175" t="s">
        <v>1032</v>
      </c>
      <c r="F139" s="175" t="s">
        <v>1033</v>
      </c>
      <c r="G139" s="166" t="s">
        <v>405</v>
      </c>
      <c r="H139" s="152" t="s">
        <v>92</v>
      </c>
      <c r="I139" s="186" t="s">
        <v>1090</v>
      </c>
      <c r="J139" s="184" t="s">
        <v>1569</v>
      </c>
      <c r="K139" s="175"/>
      <c r="L139" s="168" t="s">
        <v>55</v>
      </c>
      <c r="M139" s="175"/>
      <c r="N139" s="170" t="str">
        <f t="shared" ca="1" si="4"/>
        <v/>
      </c>
      <c r="O139" s="79"/>
      <c r="P139" s="175"/>
      <c r="Q139" s="80"/>
      <c r="R139" s="80"/>
      <c r="S139" s="80"/>
      <c r="T139" s="80"/>
      <c r="U139" s="80"/>
      <c r="V139" s="80"/>
      <c r="W139" s="80"/>
      <c r="X139" s="80"/>
    </row>
    <row r="140" spans="1:24" s="69" customFormat="1" ht="20.100000000000001" customHeight="1" x14ac:dyDescent="0.15">
      <c r="A140" s="174">
        <f t="shared" si="3"/>
        <v>136</v>
      </c>
      <c r="B140" s="181" t="s">
        <v>409</v>
      </c>
      <c r="C140" s="181" t="s">
        <v>409</v>
      </c>
      <c r="D140" s="175" t="s">
        <v>1366</v>
      </c>
      <c r="E140" s="175" t="s">
        <v>1367</v>
      </c>
      <c r="F140" s="175" t="s">
        <v>1368</v>
      </c>
      <c r="G140" s="166" t="s">
        <v>348</v>
      </c>
      <c r="H140" s="152" t="s">
        <v>92</v>
      </c>
      <c r="I140" s="186" t="s">
        <v>1531</v>
      </c>
      <c r="J140" s="184" t="s">
        <v>1532</v>
      </c>
      <c r="K140" s="175"/>
      <c r="L140" s="168" t="s">
        <v>55</v>
      </c>
      <c r="M140" s="175"/>
      <c r="N140" s="170" t="str">
        <f t="shared" ca="1" si="4"/>
        <v>即将到期</v>
      </c>
      <c r="O140" s="79"/>
      <c r="P140" s="175"/>
      <c r="Q140" s="80"/>
      <c r="R140" s="80"/>
      <c r="S140" s="80"/>
      <c r="T140" s="80"/>
      <c r="U140" s="80"/>
      <c r="V140" s="80"/>
      <c r="W140" s="80"/>
      <c r="X140" s="80"/>
    </row>
    <row r="141" spans="1:24" ht="21.95" customHeight="1" x14ac:dyDescent="0.15">
      <c r="A141" s="174">
        <f t="shared" si="3"/>
        <v>137</v>
      </c>
      <c r="B141" s="60" t="s">
        <v>496</v>
      </c>
      <c r="C141" s="174" t="s">
        <v>496</v>
      </c>
      <c r="D141" s="60" t="s">
        <v>136</v>
      </c>
      <c r="E141" s="61" t="s">
        <v>100</v>
      </c>
      <c r="F141" s="62" t="s">
        <v>137</v>
      </c>
      <c r="G141" s="62" t="s">
        <v>348</v>
      </c>
      <c r="H141" s="109" t="s">
        <v>123</v>
      </c>
      <c r="I141" s="109" t="s">
        <v>27</v>
      </c>
      <c r="J141" s="159" t="s">
        <v>1283</v>
      </c>
      <c r="K141" s="175"/>
      <c r="L141" s="168" t="s">
        <v>55</v>
      </c>
      <c r="M141" s="175"/>
      <c r="N141" s="170" t="str">
        <f t="shared" ca="1" si="4"/>
        <v/>
      </c>
      <c r="O141" s="66"/>
      <c r="P141" s="67"/>
    </row>
    <row r="142" spans="1:24" ht="21.95" customHeight="1" x14ac:dyDescent="0.15">
      <c r="A142" s="174">
        <f t="shared" si="3"/>
        <v>138</v>
      </c>
      <c r="B142" s="60" t="s">
        <v>496</v>
      </c>
      <c r="C142" s="174" t="s">
        <v>496</v>
      </c>
      <c r="D142" s="60" t="s">
        <v>136</v>
      </c>
      <c r="E142" s="61" t="s">
        <v>100</v>
      </c>
      <c r="F142" s="62" t="s">
        <v>138</v>
      </c>
      <c r="G142" s="62" t="s">
        <v>348</v>
      </c>
      <c r="H142" s="109" t="s">
        <v>123</v>
      </c>
      <c r="I142" s="109" t="s">
        <v>139</v>
      </c>
      <c r="J142" s="159" t="s">
        <v>1283</v>
      </c>
      <c r="K142" s="175"/>
      <c r="L142" s="168" t="s">
        <v>55</v>
      </c>
      <c r="M142" s="175"/>
      <c r="N142" s="170" t="str">
        <f t="shared" ca="1" si="4"/>
        <v/>
      </c>
      <c r="O142" s="66"/>
      <c r="P142" s="67"/>
    </row>
    <row r="143" spans="1:24" ht="21.95" customHeight="1" x14ac:dyDescent="0.15">
      <c r="A143" s="174">
        <f t="shared" si="3"/>
        <v>139</v>
      </c>
      <c r="B143" s="60" t="s">
        <v>496</v>
      </c>
      <c r="C143" s="174" t="s">
        <v>496</v>
      </c>
      <c r="D143" s="61" t="s">
        <v>136</v>
      </c>
      <c r="E143" s="61" t="s">
        <v>100</v>
      </c>
      <c r="F143" s="62" t="s">
        <v>140</v>
      </c>
      <c r="G143" s="62" t="s">
        <v>349</v>
      </c>
      <c r="H143" s="109" t="s">
        <v>123</v>
      </c>
      <c r="I143" s="109" t="s">
        <v>598</v>
      </c>
      <c r="J143" s="183" t="s">
        <v>1459</v>
      </c>
      <c r="K143" s="175"/>
      <c r="L143" s="168" t="s">
        <v>55</v>
      </c>
      <c r="M143" s="175"/>
      <c r="N143" s="170" t="s">
        <v>1654</v>
      </c>
      <c r="O143" s="66"/>
      <c r="P143" s="67"/>
    </row>
    <row r="144" spans="1:24" s="69" customFormat="1" ht="21.95" customHeight="1" x14ac:dyDescent="0.15">
      <c r="A144" s="174">
        <f t="shared" si="3"/>
        <v>140</v>
      </c>
      <c r="B144" s="61" t="s">
        <v>499</v>
      </c>
      <c r="C144" s="174" t="s">
        <v>496</v>
      </c>
      <c r="D144" s="61" t="s">
        <v>369</v>
      </c>
      <c r="E144" s="61" t="s">
        <v>368</v>
      </c>
      <c r="F144" s="182" t="s">
        <v>365</v>
      </c>
      <c r="G144" s="62" t="s">
        <v>348</v>
      </c>
      <c r="H144" s="151" t="s">
        <v>92</v>
      </c>
      <c r="I144" s="151" t="s">
        <v>754</v>
      </c>
      <c r="J144" s="184" t="s">
        <v>1279</v>
      </c>
      <c r="K144" s="175"/>
      <c r="L144" s="168" t="s">
        <v>55</v>
      </c>
      <c r="M144" s="175"/>
      <c r="N144" s="170" t="str">
        <f t="shared" ca="1" si="4"/>
        <v/>
      </c>
      <c r="O144" s="79"/>
      <c r="P144" s="61"/>
    </row>
    <row r="145" spans="1:24" s="69" customFormat="1" ht="21.95" customHeight="1" x14ac:dyDescent="0.15">
      <c r="A145" s="174">
        <f t="shared" si="3"/>
        <v>141</v>
      </c>
      <c r="B145" s="61" t="s">
        <v>499</v>
      </c>
      <c r="C145" s="174" t="s">
        <v>496</v>
      </c>
      <c r="D145" s="61" t="s">
        <v>369</v>
      </c>
      <c r="E145" s="61" t="s">
        <v>368</v>
      </c>
      <c r="F145" s="61" t="s">
        <v>544</v>
      </c>
      <c r="G145" s="62" t="s">
        <v>405</v>
      </c>
      <c r="H145" s="151" t="s">
        <v>92</v>
      </c>
      <c r="I145" s="151" t="s">
        <v>761</v>
      </c>
      <c r="J145" s="184" t="s">
        <v>1281</v>
      </c>
      <c r="K145" s="175"/>
      <c r="L145" s="168" t="s">
        <v>55</v>
      </c>
      <c r="M145" s="175"/>
      <c r="N145" s="170" t="str">
        <f t="shared" ca="1" si="4"/>
        <v/>
      </c>
      <c r="O145" s="79"/>
      <c r="P145" s="61"/>
      <c r="Q145" s="80"/>
      <c r="R145" s="80"/>
      <c r="S145" s="80"/>
      <c r="T145" s="80"/>
      <c r="U145" s="80"/>
      <c r="V145" s="80"/>
      <c r="W145" s="80"/>
      <c r="X145" s="80"/>
    </row>
    <row r="146" spans="1:24" s="69" customFormat="1" ht="20.100000000000001" customHeight="1" x14ac:dyDescent="0.15">
      <c r="A146" s="174">
        <f t="shared" si="3"/>
        <v>142</v>
      </c>
      <c r="B146" s="182" t="s">
        <v>496</v>
      </c>
      <c r="C146" s="182" t="s">
        <v>496</v>
      </c>
      <c r="D146" s="175" t="s">
        <v>1199</v>
      </c>
      <c r="E146" s="175" t="s">
        <v>517</v>
      </c>
      <c r="F146" s="182" t="s">
        <v>1316</v>
      </c>
      <c r="G146" s="166" t="s">
        <v>405</v>
      </c>
      <c r="H146" s="152" t="s">
        <v>92</v>
      </c>
      <c r="I146" s="186" t="s">
        <v>1317</v>
      </c>
      <c r="J146" s="184" t="s">
        <v>1318</v>
      </c>
      <c r="K146" s="175"/>
      <c r="L146" s="168" t="s">
        <v>55</v>
      </c>
      <c r="M146" s="175"/>
      <c r="N146" s="170" t="str">
        <f t="shared" ca="1" si="4"/>
        <v/>
      </c>
      <c r="O146" s="79"/>
      <c r="P146" s="175"/>
      <c r="Q146" s="80"/>
      <c r="R146" s="80"/>
      <c r="S146" s="80"/>
      <c r="T146" s="80"/>
      <c r="U146" s="80"/>
      <c r="V146" s="80"/>
      <c r="W146" s="80"/>
      <c r="X146" s="80"/>
    </row>
    <row r="147" spans="1:24" s="69" customFormat="1" ht="20.100000000000001" customHeight="1" x14ac:dyDescent="0.15">
      <c r="A147" s="174">
        <f t="shared" si="3"/>
        <v>143</v>
      </c>
      <c r="B147" s="182" t="s">
        <v>496</v>
      </c>
      <c r="C147" s="182" t="s">
        <v>496</v>
      </c>
      <c r="D147" s="175" t="s">
        <v>1199</v>
      </c>
      <c r="E147" s="175" t="s">
        <v>517</v>
      </c>
      <c r="F147" s="182" t="s">
        <v>1315</v>
      </c>
      <c r="G147" s="166" t="s">
        <v>405</v>
      </c>
      <c r="H147" s="152" t="s">
        <v>92</v>
      </c>
      <c r="I147" s="186" t="s">
        <v>1536</v>
      </c>
      <c r="J147" s="184" t="s">
        <v>1537</v>
      </c>
      <c r="K147" s="175"/>
      <c r="L147" s="168" t="s">
        <v>55</v>
      </c>
      <c r="M147" s="175"/>
      <c r="N147" s="170" t="str">
        <f t="shared" ca="1" si="4"/>
        <v/>
      </c>
      <c r="O147" s="79"/>
      <c r="P147" s="175"/>
      <c r="Q147" s="80"/>
      <c r="R147" s="80"/>
      <c r="S147" s="80"/>
      <c r="T147" s="80"/>
      <c r="U147" s="80"/>
      <c r="V147" s="80"/>
      <c r="W147" s="80"/>
      <c r="X147" s="80"/>
    </row>
    <row r="148" spans="1:24" s="69" customFormat="1" ht="20.100000000000001" customHeight="1" x14ac:dyDescent="0.15">
      <c r="A148" s="174">
        <f t="shared" si="3"/>
        <v>144</v>
      </c>
      <c r="B148" s="182" t="s">
        <v>409</v>
      </c>
      <c r="C148" s="182" t="s">
        <v>409</v>
      </c>
      <c r="D148" s="175" t="s">
        <v>136</v>
      </c>
      <c r="E148" s="175" t="s">
        <v>78</v>
      </c>
      <c r="F148" s="182" t="s">
        <v>1567</v>
      </c>
      <c r="G148" s="166" t="s">
        <v>405</v>
      </c>
      <c r="H148" s="152" t="s">
        <v>92</v>
      </c>
      <c r="I148" s="186" t="s">
        <v>955</v>
      </c>
      <c r="J148" s="184" t="s">
        <v>1648</v>
      </c>
      <c r="K148" s="175"/>
      <c r="L148" s="168" t="s">
        <v>55</v>
      </c>
      <c r="M148" s="175"/>
      <c r="N148" s="170" t="str">
        <f t="shared" ca="1" si="4"/>
        <v/>
      </c>
      <c r="O148" s="79"/>
      <c r="P148" s="182"/>
      <c r="Q148" s="80"/>
      <c r="R148" s="80"/>
      <c r="S148" s="80"/>
      <c r="T148" s="80"/>
      <c r="U148" s="80"/>
      <c r="V148" s="80"/>
      <c r="W148" s="80"/>
      <c r="X148" s="80"/>
    </row>
    <row r="149" spans="1:24" s="69" customFormat="1" ht="21.95" customHeight="1" x14ac:dyDescent="0.15">
      <c r="A149" s="174">
        <f t="shared" si="3"/>
        <v>145</v>
      </c>
      <c r="B149" s="60" t="s">
        <v>409</v>
      </c>
      <c r="C149" s="60" t="s">
        <v>409</v>
      </c>
      <c r="D149" s="61" t="s">
        <v>136</v>
      </c>
      <c r="E149" s="61" t="s">
        <v>361</v>
      </c>
      <c r="F149" s="62" t="s">
        <v>145</v>
      </c>
      <c r="G149" s="62" t="s">
        <v>348</v>
      </c>
      <c r="H149" s="109" t="s">
        <v>123</v>
      </c>
      <c r="I149" s="109" t="s">
        <v>146</v>
      </c>
      <c r="J149" s="187" t="s">
        <v>1051</v>
      </c>
      <c r="K149" s="175"/>
      <c r="L149" s="168" t="s">
        <v>55</v>
      </c>
      <c r="M149" s="175"/>
      <c r="N149" s="170" t="str">
        <f t="shared" ca="1" si="4"/>
        <v/>
      </c>
      <c r="O149" s="66"/>
      <c r="P149" s="85"/>
    </row>
    <row r="150" spans="1:24" ht="21.95" customHeight="1" x14ac:dyDescent="0.15">
      <c r="A150" s="174">
        <f t="shared" si="3"/>
        <v>146</v>
      </c>
      <c r="B150" s="60" t="s">
        <v>147</v>
      </c>
      <c r="C150" s="172" t="s">
        <v>411</v>
      </c>
      <c r="D150" s="60" t="s">
        <v>148</v>
      </c>
      <c r="E150" s="61" t="s">
        <v>121</v>
      </c>
      <c r="F150" s="62" t="s">
        <v>149</v>
      </c>
      <c r="G150" s="62" t="s">
        <v>348</v>
      </c>
      <c r="H150" s="109" t="s">
        <v>123</v>
      </c>
      <c r="I150" s="109" t="s">
        <v>599</v>
      </c>
      <c r="J150" s="91" t="s">
        <v>1438</v>
      </c>
      <c r="K150" s="175"/>
      <c r="L150" s="168" t="s">
        <v>55</v>
      </c>
      <c r="M150" s="175"/>
      <c r="N150" s="170" t="str">
        <f t="shared" ca="1" si="4"/>
        <v/>
      </c>
      <c r="O150" s="66"/>
      <c r="P150" s="67"/>
    </row>
    <row r="151" spans="1:24" s="69" customFormat="1" ht="21.95" customHeight="1" x14ac:dyDescent="0.15">
      <c r="A151" s="174">
        <f t="shared" si="3"/>
        <v>147</v>
      </c>
      <c r="B151" s="123" t="s">
        <v>147</v>
      </c>
      <c r="C151" s="172" t="s">
        <v>411</v>
      </c>
      <c r="D151" s="120" t="s">
        <v>433</v>
      </c>
      <c r="E151" s="120" t="s">
        <v>368</v>
      </c>
      <c r="F151" s="120" t="s">
        <v>702</v>
      </c>
      <c r="G151" s="115" t="s">
        <v>348</v>
      </c>
      <c r="H151" s="152" t="s">
        <v>92</v>
      </c>
      <c r="I151" s="152" t="s">
        <v>92</v>
      </c>
      <c r="J151" s="147" t="s">
        <v>92</v>
      </c>
      <c r="K151" s="147" t="s">
        <v>92</v>
      </c>
      <c r="L151" s="118" t="s">
        <v>55</v>
      </c>
      <c r="M151" s="120"/>
      <c r="N151" s="170" t="str">
        <f t="shared" ca="1" si="4"/>
        <v/>
      </c>
      <c r="O151" s="79"/>
      <c r="P151" s="184" t="s">
        <v>456</v>
      </c>
      <c r="Q151" s="80"/>
      <c r="R151" s="80"/>
      <c r="S151" s="80"/>
      <c r="T151" s="80"/>
      <c r="U151" s="80"/>
      <c r="V151" s="80"/>
      <c r="W151" s="80"/>
      <c r="X151" s="80"/>
    </row>
    <row r="152" spans="1:24" ht="21.95" customHeight="1" x14ac:dyDescent="0.15">
      <c r="A152" s="174">
        <f t="shared" si="3"/>
        <v>148</v>
      </c>
      <c r="B152" s="60" t="s">
        <v>147</v>
      </c>
      <c r="C152" s="172" t="s">
        <v>411</v>
      </c>
      <c r="D152" s="60" t="s">
        <v>148</v>
      </c>
      <c r="E152" s="61" t="s">
        <v>150</v>
      </c>
      <c r="F152" s="62" t="s">
        <v>151</v>
      </c>
      <c r="G152" s="62" t="s">
        <v>348</v>
      </c>
      <c r="H152" s="109" t="s">
        <v>123</v>
      </c>
      <c r="I152" s="109" t="s">
        <v>20</v>
      </c>
      <c r="J152" s="183" t="s">
        <v>1621</v>
      </c>
      <c r="K152" s="175"/>
      <c r="L152" s="168" t="s">
        <v>55</v>
      </c>
      <c r="M152" s="175"/>
      <c r="N152" s="170" t="str">
        <f t="shared" ca="1" si="4"/>
        <v/>
      </c>
      <c r="O152" s="66"/>
      <c r="P152" s="67"/>
    </row>
    <row r="153" spans="1:24" s="69" customFormat="1" ht="21.95" customHeight="1" x14ac:dyDescent="0.15">
      <c r="A153" s="174">
        <f t="shared" si="3"/>
        <v>149</v>
      </c>
      <c r="B153" s="164" t="s">
        <v>411</v>
      </c>
      <c r="C153" s="164" t="s">
        <v>411</v>
      </c>
      <c r="D153" s="164" t="s">
        <v>433</v>
      </c>
      <c r="E153" s="164" t="s">
        <v>650</v>
      </c>
      <c r="F153" s="164" t="s">
        <v>793</v>
      </c>
      <c r="G153" s="166" t="s">
        <v>405</v>
      </c>
      <c r="H153" s="152" t="s">
        <v>92</v>
      </c>
      <c r="I153" s="186" t="s">
        <v>975</v>
      </c>
      <c r="J153" s="183" t="s">
        <v>1621</v>
      </c>
      <c r="K153" s="175"/>
      <c r="L153" s="168" t="s">
        <v>55</v>
      </c>
      <c r="M153" s="175"/>
      <c r="N153" s="170" t="str">
        <f t="shared" ca="1" si="4"/>
        <v/>
      </c>
      <c r="O153" s="79"/>
      <c r="P153" s="131"/>
      <c r="Q153" s="80"/>
      <c r="R153" s="80"/>
      <c r="S153" s="80"/>
      <c r="T153" s="80"/>
      <c r="U153" s="80"/>
      <c r="V153" s="80"/>
      <c r="W153" s="80"/>
      <c r="X153" s="80"/>
    </row>
    <row r="154" spans="1:24" s="69" customFormat="1" ht="20.100000000000001" customHeight="1" x14ac:dyDescent="0.15">
      <c r="A154" s="174">
        <f t="shared" si="3"/>
        <v>150</v>
      </c>
      <c r="B154" s="178" t="s">
        <v>831</v>
      </c>
      <c r="C154" s="178" t="s">
        <v>831</v>
      </c>
      <c r="D154" s="178" t="s">
        <v>136</v>
      </c>
      <c r="E154" s="178" t="s">
        <v>150</v>
      </c>
      <c r="F154" s="178" t="s">
        <v>832</v>
      </c>
      <c r="G154" s="166" t="s">
        <v>405</v>
      </c>
      <c r="H154" s="152" t="s">
        <v>92</v>
      </c>
      <c r="I154" s="186" t="s">
        <v>994</v>
      </c>
      <c r="J154" s="184" t="s">
        <v>1279</v>
      </c>
      <c r="K154" s="175"/>
      <c r="L154" s="168" t="s">
        <v>55</v>
      </c>
      <c r="M154" s="175"/>
      <c r="N154" s="170" t="str">
        <f t="shared" ca="1" si="4"/>
        <v/>
      </c>
      <c r="O154" s="79"/>
      <c r="P154" s="175"/>
      <c r="Q154" s="80"/>
      <c r="R154" s="80"/>
      <c r="S154" s="80"/>
      <c r="T154" s="80"/>
      <c r="U154" s="80"/>
      <c r="V154" s="80"/>
      <c r="W154" s="80"/>
      <c r="X154" s="80"/>
    </row>
    <row r="155" spans="1:24" s="69" customFormat="1" ht="20.100000000000001" customHeight="1" x14ac:dyDescent="0.15">
      <c r="A155" s="174">
        <f t="shared" si="3"/>
        <v>151</v>
      </c>
      <c r="B155" s="181" t="s">
        <v>1477</v>
      </c>
      <c r="C155" s="181" t="s">
        <v>1477</v>
      </c>
      <c r="D155" s="175" t="s">
        <v>38</v>
      </c>
      <c r="E155" s="175" t="s">
        <v>1198</v>
      </c>
      <c r="F155" s="175" t="s">
        <v>1483</v>
      </c>
      <c r="G155" s="166" t="s">
        <v>1378</v>
      </c>
      <c r="H155" s="152" t="s">
        <v>92</v>
      </c>
      <c r="I155" s="186" t="s">
        <v>1520</v>
      </c>
      <c r="J155" s="184" t="s">
        <v>1521</v>
      </c>
      <c r="K155" s="175"/>
      <c r="L155" s="168" t="s">
        <v>55</v>
      </c>
      <c r="M155" s="175"/>
      <c r="N155" s="170" t="str">
        <f t="shared" ca="1" si="4"/>
        <v>即将到期</v>
      </c>
      <c r="O155" s="79"/>
      <c r="P155" s="175"/>
      <c r="Q155" s="80"/>
      <c r="R155" s="80"/>
      <c r="S155" s="80"/>
      <c r="T155" s="80"/>
      <c r="U155" s="80"/>
      <c r="V155" s="80"/>
      <c r="W155" s="80"/>
      <c r="X155" s="80"/>
    </row>
    <row r="156" spans="1:24" s="69" customFormat="1" ht="20.100000000000001" customHeight="1" x14ac:dyDescent="0.15">
      <c r="A156" s="174">
        <f t="shared" si="3"/>
        <v>152</v>
      </c>
      <c r="B156" s="181" t="s">
        <v>1477</v>
      </c>
      <c r="C156" s="181" t="s">
        <v>1477</v>
      </c>
      <c r="D156" s="175" t="s">
        <v>38</v>
      </c>
      <c r="E156" s="175" t="s">
        <v>1198</v>
      </c>
      <c r="F156" s="175" t="s">
        <v>1485</v>
      </c>
      <c r="G156" s="166" t="s">
        <v>1378</v>
      </c>
      <c r="H156" s="152" t="s">
        <v>92</v>
      </c>
      <c r="I156" s="193" t="s">
        <v>1555</v>
      </c>
      <c r="J156" s="184" t="s">
        <v>1556</v>
      </c>
      <c r="K156" s="175"/>
      <c r="L156" s="168" t="s">
        <v>55</v>
      </c>
      <c r="M156" s="175"/>
      <c r="N156" s="170" t="str">
        <f t="shared" ca="1" si="4"/>
        <v>即将到期</v>
      </c>
      <c r="O156" s="79"/>
      <c r="P156" s="175"/>
      <c r="Q156" s="80"/>
      <c r="R156" s="80"/>
      <c r="S156" s="80"/>
      <c r="T156" s="80"/>
      <c r="U156" s="80"/>
      <c r="V156" s="80"/>
      <c r="W156" s="80"/>
      <c r="X156" s="80"/>
    </row>
    <row r="157" spans="1:24" s="69" customFormat="1" ht="20.100000000000001" customHeight="1" x14ac:dyDescent="0.15">
      <c r="A157" s="174">
        <f t="shared" si="3"/>
        <v>153</v>
      </c>
      <c r="B157" s="181" t="s">
        <v>1477</v>
      </c>
      <c r="C157" s="181" t="s">
        <v>1477</v>
      </c>
      <c r="D157" s="175" t="s">
        <v>38</v>
      </c>
      <c r="E157" s="175" t="s">
        <v>1198</v>
      </c>
      <c r="F157" s="175" t="s">
        <v>1484</v>
      </c>
      <c r="G157" s="166" t="s">
        <v>1378</v>
      </c>
      <c r="H157" s="152" t="s">
        <v>92</v>
      </c>
      <c r="I157" s="186" t="s">
        <v>1563</v>
      </c>
      <c r="J157" s="184" t="s">
        <v>1565</v>
      </c>
      <c r="K157" s="175"/>
      <c r="L157" s="168" t="s">
        <v>55</v>
      </c>
      <c r="M157" s="175"/>
      <c r="N157" s="170" t="str">
        <f t="shared" ca="1" si="4"/>
        <v>即将到期</v>
      </c>
      <c r="O157" s="79"/>
      <c r="P157" s="175"/>
      <c r="Q157" s="80"/>
      <c r="R157" s="80"/>
      <c r="S157" s="80"/>
      <c r="T157" s="80"/>
      <c r="U157" s="80"/>
      <c r="V157" s="80"/>
      <c r="W157" s="80"/>
      <c r="X157" s="80"/>
    </row>
    <row r="158" spans="1:24" s="69" customFormat="1" ht="21.95" customHeight="1" x14ac:dyDescent="0.15">
      <c r="A158" s="174">
        <f t="shared" si="3"/>
        <v>154</v>
      </c>
      <c r="B158" s="61" t="s">
        <v>147</v>
      </c>
      <c r="C158" s="171" t="s">
        <v>89</v>
      </c>
      <c r="D158" s="61" t="s">
        <v>165</v>
      </c>
      <c r="E158" s="61" t="s">
        <v>124</v>
      </c>
      <c r="F158" s="78" t="s">
        <v>166</v>
      </c>
      <c r="G158" s="62" t="s">
        <v>348</v>
      </c>
      <c r="H158" s="109" t="s">
        <v>123</v>
      </c>
      <c r="I158" s="102" t="s">
        <v>167</v>
      </c>
      <c r="J158" s="159" t="s">
        <v>1212</v>
      </c>
      <c r="K158" s="175"/>
      <c r="L158" s="175" t="s">
        <v>55</v>
      </c>
      <c r="M158" s="170"/>
      <c r="N158" s="170" t="str">
        <f t="shared" ca="1" si="4"/>
        <v/>
      </c>
      <c r="O158" s="66"/>
      <c r="P158" s="85"/>
    </row>
    <row r="159" spans="1:24" s="69" customFormat="1" ht="21.95" customHeight="1" x14ac:dyDescent="0.15">
      <c r="A159" s="174">
        <f t="shared" si="3"/>
        <v>155</v>
      </c>
      <c r="B159" s="61" t="s">
        <v>147</v>
      </c>
      <c r="C159" s="171" t="s">
        <v>89</v>
      </c>
      <c r="D159" s="61" t="s">
        <v>165</v>
      </c>
      <c r="E159" s="61" t="s">
        <v>78</v>
      </c>
      <c r="F159" s="62" t="s">
        <v>168</v>
      </c>
      <c r="G159" s="62" t="s">
        <v>348</v>
      </c>
      <c r="H159" s="109" t="s">
        <v>123</v>
      </c>
      <c r="I159" s="109" t="s">
        <v>32</v>
      </c>
      <c r="J159" s="159" t="s">
        <v>1212</v>
      </c>
      <c r="K159" s="175"/>
      <c r="L159" s="175" t="s">
        <v>55</v>
      </c>
      <c r="M159" s="170"/>
      <c r="N159" s="170" t="str">
        <f t="shared" ca="1" si="4"/>
        <v/>
      </c>
      <c r="O159" s="66"/>
      <c r="P159" s="85"/>
    </row>
    <row r="160" spans="1:24" s="69" customFormat="1" ht="21.95" customHeight="1" x14ac:dyDescent="0.15">
      <c r="A160" s="174">
        <f t="shared" si="3"/>
        <v>156</v>
      </c>
      <c r="B160" s="157" t="s">
        <v>89</v>
      </c>
      <c r="C160" s="157" t="s">
        <v>89</v>
      </c>
      <c r="D160" s="71" t="s">
        <v>165</v>
      </c>
      <c r="E160" s="155" t="s">
        <v>78</v>
      </c>
      <c r="F160" s="158" t="s">
        <v>791</v>
      </c>
      <c r="G160" s="150" t="s">
        <v>348</v>
      </c>
      <c r="H160" s="152" t="s">
        <v>92</v>
      </c>
      <c r="I160" s="152" t="s">
        <v>92</v>
      </c>
      <c r="J160" s="159" t="s">
        <v>1212</v>
      </c>
      <c r="K160" s="175"/>
      <c r="L160" s="175" t="s">
        <v>55</v>
      </c>
      <c r="M160" s="170"/>
      <c r="N160" s="170" t="str">
        <f t="shared" ca="1" si="4"/>
        <v/>
      </c>
      <c r="O160" s="66"/>
      <c r="P160" s="85"/>
    </row>
    <row r="161" spans="1:24" s="69" customFormat="1" ht="21.95" customHeight="1" x14ac:dyDescent="0.15">
      <c r="A161" s="174">
        <f t="shared" si="3"/>
        <v>157</v>
      </c>
      <c r="B161" s="61" t="s">
        <v>147</v>
      </c>
      <c r="C161" s="171" t="s">
        <v>89</v>
      </c>
      <c r="D161" s="71" t="s">
        <v>165</v>
      </c>
      <c r="E161" s="61" t="s">
        <v>78</v>
      </c>
      <c r="F161" s="81" t="s">
        <v>1068</v>
      </c>
      <c r="G161" s="62" t="s">
        <v>348</v>
      </c>
      <c r="H161" s="109" t="s">
        <v>123</v>
      </c>
      <c r="I161" s="105" t="s">
        <v>33</v>
      </c>
      <c r="J161" s="159" t="s">
        <v>1212</v>
      </c>
      <c r="K161" s="175"/>
      <c r="L161" s="175" t="s">
        <v>55</v>
      </c>
      <c r="M161" s="170"/>
      <c r="N161" s="170" t="str">
        <f t="shared" ca="1" si="4"/>
        <v/>
      </c>
      <c r="O161" s="66"/>
      <c r="P161" s="87" t="s">
        <v>525</v>
      </c>
    </row>
    <row r="162" spans="1:24" s="69" customFormat="1" ht="21.95" customHeight="1" x14ac:dyDescent="0.15">
      <c r="A162" s="174">
        <f t="shared" si="3"/>
        <v>158</v>
      </c>
      <c r="B162" s="61" t="s">
        <v>147</v>
      </c>
      <c r="C162" s="171" t="s">
        <v>89</v>
      </c>
      <c r="D162" s="71" t="s">
        <v>165</v>
      </c>
      <c r="E162" s="61" t="s">
        <v>78</v>
      </c>
      <c r="F162" s="75" t="s">
        <v>515</v>
      </c>
      <c r="G162" s="61" t="s">
        <v>348</v>
      </c>
      <c r="H162" s="109" t="s">
        <v>92</v>
      </c>
      <c r="I162" s="105" t="s">
        <v>523</v>
      </c>
      <c r="J162" s="159" t="s">
        <v>1212</v>
      </c>
      <c r="K162" s="175"/>
      <c r="L162" s="175" t="s">
        <v>55</v>
      </c>
      <c r="M162" s="170"/>
      <c r="N162" s="170" t="str">
        <f t="shared" ca="1" si="4"/>
        <v/>
      </c>
      <c r="O162" s="66"/>
      <c r="P162" s="87" t="s">
        <v>524</v>
      </c>
    </row>
    <row r="163" spans="1:24" ht="21.95" customHeight="1" x14ac:dyDescent="0.15">
      <c r="A163" s="174">
        <f t="shared" si="3"/>
        <v>159</v>
      </c>
      <c r="B163" s="60" t="s">
        <v>147</v>
      </c>
      <c r="C163" s="171" t="s">
        <v>89</v>
      </c>
      <c r="D163" s="61" t="s">
        <v>165</v>
      </c>
      <c r="E163" s="61" t="s">
        <v>78</v>
      </c>
      <c r="F163" s="62" t="s">
        <v>171</v>
      </c>
      <c r="G163" s="62" t="s">
        <v>348</v>
      </c>
      <c r="H163" s="109" t="s">
        <v>123</v>
      </c>
      <c r="I163" s="109" t="s">
        <v>34</v>
      </c>
      <c r="J163" s="159" t="s">
        <v>1083</v>
      </c>
      <c r="K163" s="175"/>
      <c r="L163" s="175" t="s">
        <v>55</v>
      </c>
      <c r="M163" s="170"/>
      <c r="N163" s="170" t="s">
        <v>1654</v>
      </c>
      <c r="O163" s="66"/>
      <c r="P163" s="67"/>
    </row>
    <row r="164" spans="1:24" ht="21.95" customHeight="1" x14ac:dyDescent="0.15">
      <c r="A164" s="174">
        <f t="shared" si="3"/>
        <v>160</v>
      </c>
      <c r="B164" s="60" t="s">
        <v>147</v>
      </c>
      <c r="C164" s="171" t="s">
        <v>89</v>
      </c>
      <c r="D164" s="61" t="s">
        <v>165</v>
      </c>
      <c r="E164" s="61" t="s">
        <v>78</v>
      </c>
      <c r="F164" s="62" t="s">
        <v>172</v>
      </c>
      <c r="G164" s="62" t="s">
        <v>348</v>
      </c>
      <c r="H164" s="109" t="s">
        <v>123</v>
      </c>
      <c r="I164" s="109" t="s">
        <v>34</v>
      </c>
      <c r="J164" s="159" t="s">
        <v>1083</v>
      </c>
      <c r="K164" s="175"/>
      <c r="L164" s="175" t="s">
        <v>55</v>
      </c>
      <c r="M164" s="170"/>
      <c r="N164" s="170" t="s">
        <v>1654</v>
      </c>
      <c r="O164" s="66"/>
      <c r="P164" s="67"/>
    </row>
    <row r="165" spans="1:24" ht="21.95" customHeight="1" x14ac:dyDescent="0.15">
      <c r="A165" s="174">
        <f t="shared" si="3"/>
        <v>161</v>
      </c>
      <c r="B165" s="60" t="s">
        <v>147</v>
      </c>
      <c r="C165" s="171" t="s">
        <v>89</v>
      </c>
      <c r="D165" s="61" t="s">
        <v>165</v>
      </c>
      <c r="E165" s="61" t="s">
        <v>78</v>
      </c>
      <c r="F165" s="62" t="s">
        <v>173</v>
      </c>
      <c r="G165" s="62" t="s">
        <v>348</v>
      </c>
      <c r="H165" s="109" t="s">
        <v>123</v>
      </c>
      <c r="I165" s="109" t="s">
        <v>29</v>
      </c>
      <c r="J165" s="159" t="s">
        <v>1083</v>
      </c>
      <c r="K165" s="175"/>
      <c r="L165" s="175" t="s">
        <v>55</v>
      </c>
      <c r="M165" s="170"/>
      <c r="N165" s="170" t="s">
        <v>1654</v>
      </c>
      <c r="O165" s="66"/>
      <c r="P165" s="67"/>
    </row>
    <row r="166" spans="1:24" ht="21.95" customHeight="1" x14ac:dyDescent="0.15">
      <c r="A166" s="174">
        <f t="shared" si="3"/>
        <v>162</v>
      </c>
      <c r="B166" s="61" t="s">
        <v>147</v>
      </c>
      <c r="C166" s="171" t="s">
        <v>89</v>
      </c>
      <c r="D166" s="61" t="s">
        <v>165</v>
      </c>
      <c r="E166" s="61" t="s">
        <v>78</v>
      </c>
      <c r="F166" s="78" t="s">
        <v>175</v>
      </c>
      <c r="G166" s="62" t="s">
        <v>348</v>
      </c>
      <c r="H166" s="109" t="s">
        <v>123</v>
      </c>
      <c r="I166" s="110" t="s">
        <v>176</v>
      </c>
      <c r="J166" s="159" t="s">
        <v>1212</v>
      </c>
      <c r="K166" s="175"/>
      <c r="L166" s="175" t="s">
        <v>55</v>
      </c>
      <c r="M166" s="170"/>
      <c r="N166" s="170" t="str">
        <f t="shared" ca="1" si="4"/>
        <v/>
      </c>
      <c r="O166" s="66"/>
      <c r="P166" s="85"/>
    </row>
    <row r="167" spans="1:24" s="69" customFormat="1" ht="21.95" customHeight="1" x14ac:dyDescent="0.15">
      <c r="A167" s="174">
        <f t="shared" si="3"/>
        <v>163</v>
      </c>
      <c r="B167" s="61" t="s">
        <v>147</v>
      </c>
      <c r="C167" s="171" t="s">
        <v>89</v>
      </c>
      <c r="D167" s="61" t="s">
        <v>165</v>
      </c>
      <c r="E167" s="61" t="s">
        <v>78</v>
      </c>
      <c r="F167" s="62" t="s">
        <v>177</v>
      </c>
      <c r="G167" s="62" t="s">
        <v>349</v>
      </c>
      <c r="H167" s="109" t="s">
        <v>123</v>
      </c>
      <c r="I167" s="109" t="s">
        <v>35</v>
      </c>
      <c r="J167" s="159" t="s">
        <v>1212</v>
      </c>
      <c r="K167" s="175"/>
      <c r="L167" s="175" t="s">
        <v>55</v>
      </c>
      <c r="M167" s="170"/>
      <c r="N167" s="170" t="str">
        <f t="shared" ca="1" si="4"/>
        <v/>
      </c>
      <c r="O167" s="66"/>
      <c r="P167" s="85"/>
    </row>
    <row r="168" spans="1:24" s="69" customFormat="1" ht="21.95" customHeight="1" x14ac:dyDescent="0.15">
      <c r="A168" s="174">
        <f t="shared" si="3"/>
        <v>164</v>
      </c>
      <c r="B168" s="61" t="s">
        <v>147</v>
      </c>
      <c r="C168" s="171" t="s">
        <v>89</v>
      </c>
      <c r="D168" s="61" t="s">
        <v>165</v>
      </c>
      <c r="E168" s="61" t="s">
        <v>78</v>
      </c>
      <c r="F168" s="62" t="s">
        <v>178</v>
      </c>
      <c r="G168" s="62" t="s">
        <v>349</v>
      </c>
      <c r="H168" s="109" t="s">
        <v>123</v>
      </c>
      <c r="I168" s="109" t="s">
        <v>36</v>
      </c>
      <c r="J168" s="159" t="s">
        <v>1212</v>
      </c>
      <c r="K168" s="175"/>
      <c r="L168" s="175" t="s">
        <v>55</v>
      </c>
      <c r="M168" s="170"/>
      <c r="N168" s="170" t="str">
        <f t="shared" ca="1" si="4"/>
        <v/>
      </c>
      <c r="O168" s="66"/>
      <c r="P168" s="85"/>
    </row>
    <row r="169" spans="1:24" s="69" customFormat="1" ht="21.95" customHeight="1" x14ac:dyDescent="0.15">
      <c r="A169" s="174">
        <f t="shared" si="3"/>
        <v>165</v>
      </c>
      <c r="B169" s="61" t="s">
        <v>147</v>
      </c>
      <c r="C169" s="171" t="s">
        <v>89</v>
      </c>
      <c r="D169" s="61" t="s">
        <v>165</v>
      </c>
      <c r="E169" s="61" t="s">
        <v>78</v>
      </c>
      <c r="F169" s="62" t="s">
        <v>179</v>
      </c>
      <c r="G169" s="62" t="s">
        <v>348</v>
      </c>
      <c r="H169" s="109" t="s">
        <v>123</v>
      </c>
      <c r="I169" s="109" t="s">
        <v>180</v>
      </c>
      <c r="J169" s="159" t="s">
        <v>1083</v>
      </c>
      <c r="K169" s="175"/>
      <c r="L169" s="175" t="s">
        <v>55</v>
      </c>
      <c r="M169" s="170"/>
      <c r="N169" s="170" t="s">
        <v>1654</v>
      </c>
      <c r="O169" s="66"/>
      <c r="P169" s="85" t="s">
        <v>486</v>
      </c>
    </row>
    <row r="170" spans="1:24" s="69" customFormat="1" ht="21.95" customHeight="1" x14ac:dyDescent="0.15">
      <c r="A170" s="174">
        <f t="shared" si="3"/>
        <v>166</v>
      </c>
      <c r="B170" s="61" t="s">
        <v>147</v>
      </c>
      <c r="C170" s="171" t="s">
        <v>89</v>
      </c>
      <c r="D170" s="61" t="s">
        <v>165</v>
      </c>
      <c r="E170" s="61" t="s">
        <v>78</v>
      </c>
      <c r="F170" s="62" t="s">
        <v>182</v>
      </c>
      <c r="G170" s="62" t="s">
        <v>348</v>
      </c>
      <c r="H170" s="109" t="s">
        <v>123</v>
      </c>
      <c r="I170" s="109" t="s">
        <v>183</v>
      </c>
      <c r="J170" s="159" t="s">
        <v>1083</v>
      </c>
      <c r="K170" s="175"/>
      <c r="L170" s="175" t="s">
        <v>55</v>
      </c>
      <c r="M170" s="170"/>
      <c r="N170" s="170" t="s">
        <v>1654</v>
      </c>
      <c r="O170" s="66"/>
      <c r="P170" s="85" t="s">
        <v>485</v>
      </c>
    </row>
    <row r="171" spans="1:24" s="69" customFormat="1" ht="21.95" customHeight="1" x14ac:dyDescent="0.15">
      <c r="A171" s="174">
        <f t="shared" si="3"/>
        <v>167</v>
      </c>
      <c r="B171" s="61" t="s">
        <v>147</v>
      </c>
      <c r="C171" s="171" t="s">
        <v>89</v>
      </c>
      <c r="D171" s="61" t="s">
        <v>38</v>
      </c>
      <c r="E171" s="61" t="s">
        <v>78</v>
      </c>
      <c r="F171" s="62" t="s">
        <v>83</v>
      </c>
      <c r="G171" s="62" t="s">
        <v>348</v>
      </c>
      <c r="H171" s="109" t="s">
        <v>123</v>
      </c>
      <c r="I171" s="109" t="s">
        <v>603</v>
      </c>
      <c r="J171" s="159" t="s">
        <v>1212</v>
      </c>
      <c r="K171" s="175"/>
      <c r="L171" s="175" t="s">
        <v>55</v>
      </c>
      <c r="M171" s="170"/>
      <c r="N171" s="170" t="str">
        <f t="shared" ca="1" si="4"/>
        <v/>
      </c>
      <c r="O171" s="66"/>
      <c r="P171" s="85"/>
    </row>
    <row r="172" spans="1:24" ht="21.95" customHeight="1" x14ac:dyDescent="0.15">
      <c r="A172" s="174">
        <f t="shared" si="3"/>
        <v>168</v>
      </c>
      <c r="B172" s="70" t="s">
        <v>147</v>
      </c>
      <c r="C172" s="171" t="s">
        <v>89</v>
      </c>
      <c r="D172" s="71" t="s">
        <v>38</v>
      </c>
      <c r="E172" s="61" t="s">
        <v>78</v>
      </c>
      <c r="F172" s="72" t="s">
        <v>84</v>
      </c>
      <c r="G172" s="72" t="s">
        <v>349</v>
      </c>
      <c r="H172" s="109" t="s">
        <v>123</v>
      </c>
      <c r="I172" s="109" t="s">
        <v>603</v>
      </c>
      <c r="J172" s="159" t="s">
        <v>1212</v>
      </c>
      <c r="K172" s="175"/>
      <c r="L172" s="175" t="s">
        <v>55</v>
      </c>
      <c r="M172" s="170"/>
      <c r="N172" s="170" t="str">
        <f t="shared" ca="1" si="4"/>
        <v/>
      </c>
      <c r="O172" s="66"/>
      <c r="P172" s="85"/>
    </row>
    <row r="173" spans="1:24" ht="21.95" customHeight="1" x14ac:dyDescent="0.15">
      <c r="A173" s="174">
        <f t="shared" ref="A173:A236" si="5">ROW()-4</f>
        <v>169</v>
      </c>
      <c r="B173" s="70" t="s">
        <v>147</v>
      </c>
      <c r="C173" s="171" t="s">
        <v>89</v>
      </c>
      <c r="D173" s="71" t="s">
        <v>38</v>
      </c>
      <c r="E173" s="61" t="s">
        <v>78</v>
      </c>
      <c r="F173" s="72" t="s">
        <v>85</v>
      </c>
      <c r="G173" s="72" t="s">
        <v>349</v>
      </c>
      <c r="H173" s="109" t="s">
        <v>123</v>
      </c>
      <c r="I173" s="110" t="s">
        <v>185</v>
      </c>
      <c r="J173" s="159" t="s">
        <v>1212</v>
      </c>
      <c r="K173" s="175"/>
      <c r="L173" s="175" t="s">
        <v>55</v>
      </c>
      <c r="M173" s="170"/>
      <c r="N173" s="170" t="str">
        <f t="shared" ca="1" si="4"/>
        <v/>
      </c>
      <c r="O173" s="66"/>
      <c r="P173" s="85"/>
    </row>
    <row r="174" spans="1:24" ht="21.95" customHeight="1" x14ac:dyDescent="0.15">
      <c r="A174" s="174">
        <f t="shared" si="5"/>
        <v>170</v>
      </c>
      <c r="B174" s="60" t="s">
        <v>147</v>
      </c>
      <c r="C174" s="171" t="s">
        <v>89</v>
      </c>
      <c r="D174" s="61" t="s">
        <v>38</v>
      </c>
      <c r="E174" s="61" t="s">
        <v>273</v>
      </c>
      <c r="F174" s="62" t="s">
        <v>342</v>
      </c>
      <c r="G174" s="72" t="s">
        <v>349</v>
      </c>
      <c r="H174" s="109" t="s">
        <v>344</v>
      </c>
      <c r="I174" s="109" t="s">
        <v>343</v>
      </c>
      <c r="J174" s="159" t="s">
        <v>1083</v>
      </c>
      <c r="K174" s="175"/>
      <c r="L174" s="175" t="s">
        <v>55</v>
      </c>
      <c r="M174" s="170"/>
      <c r="N174" s="170" t="s">
        <v>1654</v>
      </c>
      <c r="O174" s="66"/>
      <c r="P174" s="67"/>
    </row>
    <row r="175" spans="1:24" s="69" customFormat="1" ht="21.95" customHeight="1" x14ac:dyDescent="0.15">
      <c r="A175" s="174">
        <f t="shared" si="5"/>
        <v>171</v>
      </c>
      <c r="B175" s="112" t="s">
        <v>147</v>
      </c>
      <c r="C175" s="171" t="s">
        <v>89</v>
      </c>
      <c r="D175" s="61" t="s">
        <v>192</v>
      </c>
      <c r="E175" s="61" t="s">
        <v>273</v>
      </c>
      <c r="F175" s="61" t="s">
        <v>639</v>
      </c>
      <c r="G175" s="115" t="s">
        <v>405</v>
      </c>
      <c r="H175" s="151" t="s">
        <v>92</v>
      </c>
      <c r="I175" s="151" t="s">
        <v>764</v>
      </c>
      <c r="J175" s="159" t="s">
        <v>1083</v>
      </c>
      <c r="K175" s="175"/>
      <c r="L175" s="175" t="s">
        <v>55</v>
      </c>
      <c r="M175" s="170"/>
      <c r="N175" s="170" t="s">
        <v>1654</v>
      </c>
      <c r="O175" s="79"/>
      <c r="P175" s="61"/>
      <c r="Q175" s="80"/>
      <c r="R175" s="80"/>
      <c r="S175" s="80"/>
      <c r="T175" s="80"/>
      <c r="U175" s="80"/>
      <c r="V175" s="80"/>
      <c r="W175" s="80"/>
      <c r="X175" s="80"/>
    </row>
    <row r="176" spans="1:24" s="69" customFormat="1" ht="21.95" customHeight="1" x14ac:dyDescent="0.15">
      <c r="A176" s="174">
        <f t="shared" si="5"/>
        <v>172</v>
      </c>
      <c r="B176" s="120" t="s">
        <v>147</v>
      </c>
      <c r="C176" s="171" t="s">
        <v>89</v>
      </c>
      <c r="D176" s="116" t="s">
        <v>192</v>
      </c>
      <c r="E176" s="116" t="s">
        <v>273</v>
      </c>
      <c r="F176" s="116" t="s">
        <v>649</v>
      </c>
      <c r="G176" s="115" t="s">
        <v>348</v>
      </c>
      <c r="H176" s="151" t="s">
        <v>92</v>
      </c>
      <c r="I176" s="151" t="s">
        <v>760</v>
      </c>
      <c r="J176" s="184" t="s">
        <v>1206</v>
      </c>
      <c r="K176" s="175"/>
      <c r="L176" s="175" t="s">
        <v>55</v>
      </c>
      <c r="M176" s="170"/>
      <c r="N176" s="170" t="str">
        <f t="shared" ca="1" si="4"/>
        <v/>
      </c>
      <c r="O176" s="79"/>
      <c r="P176" s="184" t="s">
        <v>1056</v>
      </c>
      <c r="Q176" s="80"/>
      <c r="R176" s="80"/>
      <c r="S176" s="80"/>
      <c r="T176" s="80"/>
      <c r="U176" s="80"/>
      <c r="V176" s="80"/>
      <c r="W176" s="80"/>
      <c r="X176" s="80"/>
    </row>
    <row r="177" spans="1:24" s="69" customFormat="1" ht="21.95" customHeight="1" x14ac:dyDescent="0.15">
      <c r="A177" s="174">
        <f t="shared" si="5"/>
        <v>173</v>
      </c>
      <c r="B177" s="175" t="s">
        <v>89</v>
      </c>
      <c r="C177" s="175" t="s">
        <v>89</v>
      </c>
      <c r="D177" s="175" t="s">
        <v>165</v>
      </c>
      <c r="E177" s="175" t="s">
        <v>78</v>
      </c>
      <c r="F177" s="175" t="s">
        <v>1074</v>
      </c>
      <c r="G177" s="166" t="s">
        <v>348</v>
      </c>
      <c r="H177" s="152" t="s">
        <v>92</v>
      </c>
      <c r="I177" s="152" t="s">
        <v>92</v>
      </c>
      <c r="J177" s="159" t="s">
        <v>1206</v>
      </c>
      <c r="K177" s="175"/>
      <c r="L177" s="175" t="s">
        <v>55</v>
      </c>
      <c r="M177" s="170"/>
      <c r="N177" s="170" t="str">
        <f t="shared" ca="1" si="4"/>
        <v/>
      </c>
      <c r="O177" s="79"/>
      <c r="P177" s="175"/>
      <c r="Q177" s="80"/>
      <c r="R177" s="80"/>
      <c r="S177" s="80"/>
      <c r="T177" s="80"/>
      <c r="U177" s="80"/>
      <c r="V177" s="80"/>
      <c r="W177" s="80"/>
      <c r="X177" s="80"/>
    </row>
    <row r="178" spans="1:24" s="69" customFormat="1" ht="20.100000000000001" customHeight="1" x14ac:dyDescent="0.15">
      <c r="A178" s="174">
        <f t="shared" si="5"/>
        <v>174</v>
      </c>
      <c r="B178" s="175" t="s">
        <v>819</v>
      </c>
      <c r="C178" s="175" t="s">
        <v>819</v>
      </c>
      <c r="D178" s="175" t="s">
        <v>165</v>
      </c>
      <c r="E178" s="175" t="s">
        <v>78</v>
      </c>
      <c r="F178" s="182" t="s">
        <v>1084</v>
      </c>
      <c r="G178" s="166" t="s">
        <v>405</v>
      </c>
      <c r="H178" s="152" t="s">
        <v>92</v>
      </c>
      <c r="I178" s="186" t="s">
        <v>895</v>
      </c>
      <c r="J178" s="159" t="s">
        <v>1083</v>
      </c>
      <c r="K178" s="175"/>
      <c r="L178" s="175" t="s">
        <v>55</v>
      </c>
      <c r="M178" s="170"/>
      <c r="N178" s="170" t="s">
        <v>1654</v>
      </c>
      <c r="O178" s="79"/>
      <c r="P178" s="175"/>
      <c r="Q178" s="80"/>
      <c r="R178" s="80"/>
      <c r="S178" s="80"/>
      <c r="T178" s="80"/>
      <c r="U178" s="80"/>
      <c r="V178" s="80"/>
      <c r="W178" s="80"/>
      <c r="X178" s="80"/>
    </row>
    <row r="179" spans="1:24" s="69" customFormat="1" ht="20.100000000000001" customHeight="1" x14ac:dyDescent="0.15">
      <c r="A179" s="174">
        <f t="shared" si="5"/>
        <v>175</v>
      </c>
      <c r="B179" s="176" t="s">
        <v>89</v>
      </c>
      <c r="C179" s="178" t="s">
        <v>89</v>
      </c>
      <c r="D179" s="175" t="s">
        <v>165</v>
      </c>
      <c r="E179" s="175" t="s">
        <v>78</v>
      </c>
      <c r="F179" s="175" t="s">
        <v>872</v>
      </c>
      <c r="G179" s="166" t="s">
        <v>405</v>
      </c>
      <c r="H179" s="152" t="s">
        <v>92</v>
      </c>
      <c r="I179" s="186" t="s">
        <v>897</v>
      </c>
      <c r="J179" s="184" t="s">
        <v>1212</v>
      </c>
      <c r="K179" s="175"/>
      <c r="L179" s="175" t="s">
        <v>55</v>
      </c>
      <c r="M179" s="170"/>
      <c r="N179" s="170" t="str">
        <f t="shared" ca="1" si="4"/>
        <v/>
      </c>
      <c r="O179" s="79"/>
      <c r="P179" s="206" t="s">
        <v>1384</v>
      </c>
      <c r="Q179" s="80"/>
      <c r="R179" s="80"/>
      <c r="S179" s="80"/>
      <c r="T179" s="80"/>
      <c r="U179" s="80"/>
      <c r="V179" s="80"/>
      <c r="W179" s="80"/>
      <c r="X179" s="80"/>
    </row>
    <row r="180" spans="1:24" s="69" customFormat="1" ht="20.100000000000001" customHeight="1" x14ac:dyDescent="0.15">
      <c r="A180" s="174">
        <f t="shared" si="5"/>
        <v>176</v>
      </c>
      <c r="B180" s="176" t="s">
        <v>842</v>
      </c>
      <c r="C180" s="176" t="s">
        <v>842</v>
      </c>
      <c r="D180" s="175" t="s">
        <v>165</v>
      </c>
      <c r="E180" s="175" t="s">
        <v>78</v>
      </c>
      <c r="F180" s="175" t="s">
        <v>843</v>
      </c>
      <c r="G180" s="166" t="s">
        <v>405</v>
      </c>
      <c r="H180" s="152" t="s">
        <v>92</v>
      </c>
      <c r="I180" s="186" t="s">
        <v>898</v>
      </c>
      <c r="J180" s="184" t="s">
        <v>1083</v>
      </c>
      <c r="K180" s="175"/>
      <c r="L180" s="175" t="s">
        <v>55</v>
      </c>
      <c r="M180" s="170"/>
      <c r="N180" s="170" t="s">
        <v>1654</v>
      </c>
      <c r="O180" s="79"/>
      <c r="P180" s="175"/>
      <c r="Q180" s="80"/>
      <c r="R180" s="80"/>
      <c r="S180" s="80"/>
      <c r="T180" s="80"/>
      <c r="U180" s="80"/>
      <c r="V180" s="80"/>
      <c r="W180" s="80"/>
      <c r="X180" s="80"/>
    </row>
    <row r="181" spans="1:24" s="69" customFormat="1" ht="20.100000000000001" customHeight="1" x14ac:dyDescent="0.15">
      <c r="A181" s="174">
        <f t="shared" si="5"/>
        <v>177</v>
      </c>
      <c r="B181" s="181" t="s">
        <v>89</v>
      </c>
      <c r="C181" s="182" t="s">
        <v>89</v>
      </c>
      <c r="D181" s="175" t="s">
        <v>165</v>
      </c>
      <c r="E181" s="175" t="s">
        <v>78</v>
      </c>
      <c r="F181" s="175" t="s">
        <v>912</v>
      </c>
      <c r="G181" s="166" t="s">
        <v>405</v>
      </c>
      <c r="H181" s="152" t="s">
        <v>92</v>
      </c>
      <c r="I181" s="186" t="s">
        <v>1000</v>
      </c>
      <c r="J181" s="184" t="s">
        <v>1471</v>
      </c>
      <c r="K181" s="169">
        <v>5</v>
      </c>
      <c r="L181" s="170" t="s">
        <v>47</v>
      </c>
      <c r="M181" s="169">
        <v>6.9</v>
      </c>
      <c r="N181" s="170" t="str">
        <f t="shared" ca="1" si="4"/>
        <v/>
      </c>
      <c r="O181" s="79"/>
      <c r="P181" s="175"/>
      <c r="Q181" s="80"/>
      <c r="R181" s="80"/>
      <c r="S181" s="80"/>
      <c r="T181" s="80"/>
      <c r="U181" s="80"/>
      <c r="V181" s="80"/>
      <c r="W181" s="80"/>
      <c r="X181" s="80"/>
    </row>
    <row r="182" spans="1:24" s="69" customFormat="1" ht="20.100000000000001" customHeight="1" x14ac:dyDescent="0.15">
      <c r="A182" s="174">
        <f t="shared" si="5"/>
        <v>178</v>
      </c>
      <c r="B182" s="181" t="s">
        <v>89</v>
      </c>
      <c r="C182" s="182" t="s">
        <v>89</v>
      </c>
      <c r="D182" s="175" t="s">
        <v>165</v>
      </c>
      <c r="E182" s="175" t="s">
        <v>78</v>
      </c>
      <c r="F182" s="182" t="s">
        <v>1472</v>
      </c>
      <c r="G182" s="166" t="s">
        <v>348</v>
      </c>
      <c r="H182" s="152" t="s">
        <v>92</v>
      </c>
      <c r="I182" s="186" t="s">
        <v>997</v>
      </c>
      <c r="J182" s="184" t="s">
        <v>1473</v>
      </c>
      <c r="K182" s="169">
        <v>1</v>
      </c>
      <c r="L182" s="169" t="s">
        <v>47</v>
      </c>
      <c r="M182" s="170">
        <v>6.9</v>
      </c>
      <c r="N182" s="170" t="str">
        <f t="shared" ca="1" si="4"/>
        <v/>
      </c>
      <c r="O182" s="79"/>
      <c r="P182" s="175"/>
      <c r="Q182" s="80"/>
      <c r="R182" s="80"/>
      <c r="S182" s="80"/>
      <c r="T182" s="80"/>
      <c r="U182" s="80"/>
      <c r="V182" s="80"/>
      <c r="W182" s="80"/>
      <c r="X182" s="80"/>
    </row>
    <row r="183" spans="1:24" s="69" customFormat="1" ht="20.100000000000001" customHeight="1" x14ac:dyDescent="0.15">
      <c r="A183" s="174">
        <f t="shared" si="5"/>
        <v>179</v>
      </c>
      <c r="B183" s="181" t="s">
        <v>89</v>
      </c>
      <c r="C183" s="182" t="s">
        <v>89</v>
      </c>
      <c r="D183" s="175" t="s">
        <v>165</v>
      </c>
      <c r="E183" s="175" t="s">
        <v>78</v>
      </c>
      <c r="F183" s="175" t="s">
        <v>904</v>
      </c>
      <c r="G183" s="166" t="s">
        <v>348</v>
      </c>
      <c r="H183" s="152" t="s">
        <v>92</v>
      </c>
      <c r="I183" s="202" t="s">
        <v>998</v>
      </c>
      <c r="J183" s="203" t="s">
        <v>1210</v>
      </c>
      <c r="K183" s="175"/>
      <c r="L183" s="168" t="s">
        <v>55</v>
      </c>
      <c r="M183" s="170"/>
      <c r="N183" s="170" t="str">
        <f t="shared" ca="1" si="4"/>
        <v/>
      </c>
      <c r="O183" s="79"/>
      <c r="P183" s="175"/>
      <c r="Q183" s="80"/>
      <c r="R183" s="80"/>
      <c r="S183" s="80"/>
      <c r="T183" s="80"/>
      <c r="U183" s="80"/>
      <c r="V183" s="80"/>
      <c r="W183" s="80"/>
      <c r="X183" s="80"/>
    </row>
    <row r="184" spans="1:24" s="69" customFormat="1" ht="20.100000000000001" customHeight="1" x14ac:dyDescent="0.15">
      <c r="A184" s="174">
        <f t="shared" si="5"/>
        <v>180</v>
      </c>
      <c r="B184" s="181" t="s">
        <v>89</v>
      </c>
      <c r="C184" s="182" t="s">
        <v>89</v>
      </c>
      <c r="D184" s="175" t="s">
        <v>165</v>
      </c>
      <c r="E184" s="175" t="s">
        <v>78</v>
      </c>
      <c r="F184" s="175" t="s">
        <v>905</v>
      </c>
      <c r="G184" s="166" t="s">
        <v>348</v>
      </c>
      <c r="H184" s="152" t="s">
        <v>92</v>
      </c>
      <c r="I184" s="186" t="s">
        <v>999</v>
      </c>
      <c r="J184" s="184" t="s">
        <v>1442</v>
      </c>
      <c r="K184" s="175"/>
      <c r="L184" s="168" t="s">
        <v>55</v>
      </c>
      <c r="M184" s="170"/>
      <c r="N184" s="170" t="str">
        <f t="shared" ca="1" si="4"/>
        <v/>
      </c>
      <c r="O184" s="79"/>
      <c r="P184" s="175"/>
      <c r="Q184" s="80"/>
      <c r="R184" s="80"/>
      <c r="S184" s="80"/>
      <c r="T184" s="80"/>
      <c r="U184" s="80"/>
      <c r="V184" s="80"/>
      <c r="W184" s="80"/>
      <c r="X184" s="80"/>
    </row>
    <row r="185" spans="1:24" s="69" customFormat="1" ht="20.100000000000001" customHeight="1" x14ac:dyDescent="0.15">
      <c r="A185" s="174">
        <f t="shared" si="5"/>
        <v>181</v>
      </c>
      <c r="B185" s="181" t="s">
        <v>89</v>
      </c>
      <c r="C185" s="182" t="s">
        <v>89</v>
      </c>
      <c r="D185" s="175" t="s">
        <v>165</v>
      </c>
      <c r="E185" s="175" t="s">
        <v>78</v>
      </c>
      <c r="F185" s="175" t="s">
        <v>878</v>
      </c>
      <c r="G185" s="166" t="s">
        <v>348</v>
      </c>
      <c r="H185" s="152" t="s">
        <v>92</v>
      </c>
      <c r="I185" s="186" t="s">
        <v>995</v>
      </c>
      <c r="J185" s="184" t="s">
        <v>1206</v>
      </c>
      <c r="K185" s="175"/>
      <c r="L185" s="168" t="s">
        <v>55</v>
      </c>
      <c r="M185" s="170"/>
      <c r="N185" s="170" t="str">
        <f t="shared" ca="1" si="4"/>
        <v/>
      </c>
      <c r="O185" s="79"/>
      <c r="P185" s="175"/>
      <c r="Q185" s="80"/>
      <c r="R185" s="80"/>
      <c r="S185" s="80"/>
      <c r="T185" s="80"/>
      <c r="U185" s="80"/>
      <c r="V185" s="80"/>
      <c r="W185" s="80"/>
      <c r="X185" s="80"/>
    </row>
    <row r="186" spans="1:24" s="69" customFormat="1" ht="20.100000000000001" customHeight="1" x14ac:dyDescent="0.15">
      <c r="A186" s="174">
        <f t="shared" si="5"/>
        <v>182</v>
      </c>
      <c r="B186" s="181" t="s">
        <v>89</v>
      </c>
      <c r="C186" s="182" t="s">
        <v>89</v>
      </c>
      <c r="D186" s="175" t="s">
        <v>165</v>
      </c>
      <c r="E186" s="175" t="s">
        <v>78</v>
      </c>
      <c r="F186" s="175" t="s">
        <v>879</v>
      </c>
      <c r="G186" s="166" t="s">
        <v>348</v>
      </c>
      <c r="H186" s="152" t="s">
        <v>92</v>
      </c>
      <c r="I186" s="186" t="s">
        <v>1001</v>
      </c>
      <c r="J186" s="184" t="s">
        <v>1206</v>
      </c>
      <c r="K186" s="175"/>
      <c r="L186" s="168" t="s">
        <v>55</v>
      </c>
      <c r="M186" s="170"/>
      <c r="N186" s="170" t="str">
        <f t="shared" ca="1" si="4"/>
        <v/>
      </c>
      <c r="O186" s="79"/>
      <c r="P186" s="175"/>
      <c r="Q186" s="80"/>
      <c r="R186" s="80"/>
      <c r="S186" s="80"/>
      <c r="T186" s="80"/>
      <c r="U186" s="80"/>
      <c r="V186" s="80"/>
      <c r="W186" s="80"/>
      <c r="X186" s="80"/>
    </row>
    <row r="187" spans="1:24" s="69" customFormat="1" ht="20.100000000000001" customHeight="1" x14ac:dyDescent="0.15">
      <c r="A187" s="174">
        <f t="shared" si="5"/>
        <v>183</v>
      </c>
      <c r="B187" s="181" t="s">
        <v>89</v>
      </c>
      <c r="C187" s="182" t="s">
        <v>89</v>
      </c>
      <c r="D187" s="175" t="s">
        <v>165</v>
      </c>
      <c r="E187" s="175" t="s">
        <v>78</v>
      </c>
      <c r="F187" s="182" t="s">
        <v>1078</v>
      </c>
      <c r="G187" s="166" t="s">
        <v>348</v>
      </c>
      <c r="H187" s="152" t="s">
        <v>92</v>
      </c>
      <c r="I187" s="186" t="s">
        <v>1002</v>
      </c>
      <c r="J187" s="184" t="s">
        <v>1206</v>
      </c>
      <c r="K187" s="175"/>
      <c r="L187" s="168" t="s">
        <v>55</v>
      </c>
      <c r="M187" s="170"/>
      <c r="N187" s="170" t="str">
        <f t="shared" ca="1" si="4"/>
        <v/>
      </c>
      <c r="O187" s="79"/>
      <c r="P187" s="175"/>
      <c r="Q187" s="80"/>
      <c r="R187" s="80"/>
      <c r="S187" s="80"/>
      <c r="T187" s="80"/>
      <c r="U187" s="80"/>
      <c r="V187" s="80"/>
      <c r="W187" s="80"/>
      <c r="X187" s="80"/>
    </row>
    <row r="188" spans="1:24" s="69" customFormat="1" ht="20.100000000000001" customHeight="1" x14ac:dyDescent="0.15">
      <c r="A188" s="174">
        <f t="shared" si="5"/>
        <v>184</v>
      </c>
      <c r="B188" s="181" t="s">
        <v>89</v>
      </c>
      <c r="C188" s="182" t="s">
        <v>89</v>
      </c>
      <c r="D188" s="175" t="s">
        <v>165</v>
      </c>
      <c r="E188" s="175" t="s">
        <v>78</v>
      </c>
      <c r="F188" s="175" t="s">
        <v>880</v>
      </c>
      <c r="G188" s="166" t="s">
        <v>348</v>
      </c>
      <c r="H188" s="152" t="s">
        <v>92</v>
      </c>
      <c r="I188" s="186" t="s">
        <v>995</v>
      </c>
      <c r="J188" s="184" t="s">
        <v>1397</v>
      </c>
      <c r="K188" s="175"/>
      <c r="L188" s="168" t="s">
        <v>55</v>
      </c>
      <c r="M188" s="170"/>
      <c r="N188" s="170" t="str">
        <f t="shared" ca="1" si="4"/>
        <v/>
      </c>
      <c r="O188" s="79"/>
      <c r="P188" s="175"/>
      <c r="Q188" s="80"/>
      <c r="R188" s="80"/>
      <c r="S188" s="80"/>
      <c r="T188" s="80"/>
      <c r="U188" s="80"/>
      <c r="V188" s="80"/>
      <c r="W188" s="80"/>
      <c r="X188" s="80"/>
    </row>
    <row r="189" spans="1:24" s="69" customFormat="1" ht="20.100000000000001" customHeight="1" x14ac:dyDescent="0.15">
      <c r="A189" s="174">
        <f t="shared" si="5"/>
        <v>185</v>
      </c>
      <c r="B189" s="181" t="s">
        <v>89</v>
      </c>
      <c r="C189" s="182" t="s">
        <v>89</v>
      </c>
      <c r="D189" s="175" t="s">
        <v>165</v>
      </c>
      <c r="E189" s="175" t="s">
        <v>78</v>
      </c>
      <c r="F189" s="182" t="s">
        <v>1010</v>
      </c>
      <c r="G189" s="194" t="s">
        <v>349</v>
      </c>
      <c r="H189" s="152" t="s">
        <v>92</v>
      </c>
      <c r="I189" s="186" t="s">
        <v>1011</v>
      </c>
      <c r="J189" s="184" t="s">
        <v>1211</v>
      </c>
      <c r="K189" s="74"/>
      <c r="L189" s="75" t="s">
        <v>55</v>
      </c>
      <c r="M189" s="170"/>
      <c r="N189" s="170" t="str">
        <f t="shared" ca="1" si="4"/>
        <v/>
      </c>
      <c r="O189" s="79"/>
      <c r="P189" s="175"/>
      <c r="Q189" s="80"/>
      <c r="R189" s="80"/>
      <c r="S189" s="80"/>
      <c r="T189" s="80"/>
      <c r="U189" s="80"/>
      <c r="V189" s="80"/>
      <c r="W189" s="80"/>
      <c r="X189" s="80"/>
    </row>
    <row r="190" spans="1:24" s="69" customFormat="1" ht="20.100000000000001" customHeight="1" x14ac:dyDescent="0.15">
      <c r="A190" s="174">
        <f t="shared" si="5"/>
        <v>186</v>
      </c>
      <c r="B190" s="181" t="s">
        <v>89</v>
      </c>
      <c r="C190" s="182" t="s">
        <v>89</v>
      </c>
      <c r="D190" s="175" t="s">
        <v>165</v>
      </c>
      <c r="E190" s="175" t="s">
        <v>78</v>
      </c>
      <c r="F190" s="182" t="s">
        <v>965</v>
      </c>
      <c r="G190" s="194" t="s">
        <v>349</v>
      </c>
      <c r="H190" s="152" t="s">
        <v>92</v>
      </c>
      <c r="I190" s="193" t="s">
        <v>1013</v>
      </c>
      <c r="J190" s="192" t="s">
        <v>1208</v>
      </c>
      <c r="K190" s="74"/>
      <c r="L190" s="75" t="s">
        <v>55</v>
      </c>
      <c r="M190" s="170"/>
      <c r="N190" s="170" t="str">
        <f t="shared" ca="1" si="4"/>
        <v/>
      </c>
      <c r="O190" s="79"/>
      <c r="P190" s="175"/>
      <c r="Q190" s="80"/>
      <c r="R190" s="80"/>
      <c r="S190" s="80"/>
      <c r="T190" s="80"/>
      <c r="U190" s="80"/>
      <c r="V190" s="80"/>
      <c r="W190" s="80"/>
      <c r="X190" s="80"/>
    </row>
    <row r="191" spans="1:24" s="69" customFormat="1" ht="20.100000000000001" customHeight="1" x14ac:dyDescent="0.15">
      <c r="A191" s="174">
        <f t="shared" si="5"/>
        <v>187</v>
      </c>
      <c r="B191" s="181" t="s">
        <v>89</v>
      </c>
      <c r="C191" s="182" t="s">
        <v>89</v>
      </c>
      <c r="D191" s="175" t="s">
        <v>165</v>
      </c>
      <c r="E191" s="175" t="s">
        <v>78</v>
      </c>
      <c r="F191" s="182" t="s">
        <v>1162</v>
      </c>
      <c r="G191" s="166" t="s">
        <v>348</v>
      </c>
      <c r="H191" s="152" t="s">
        <v>92</v>
      </c>
      <c r="I191" s="186" t="s">
        <v>1028</v>
      </c>
      <c r="J191" s="184" t="s">
        <v>1209</v>
      </c>
      <c r="K191" s="175"/>
      <c r="L191" s="168" t="s">
        <v>55</v>
      </c>
      <c r="M191" s="170"/>
      <c r="N191" s="170" t="str">
        <f t="shared" ca="1" si="4"/>
        <v/>
      </c>
      <c r="O191" s="79"/>
      <c r="P191" s="175"/>
      <c r="Q191" s="80"/>
      <c r="R191" s="80"/>
      <c r="S191" s="80"/>
      <c r="T191" s="80"/>
      <c r="U191" s="80"/>
      <c r="V191" s="80"/>
      <c r="W191" s="80"/>
      <c r="X191" s="80"/>
    </row>
    <row r="192" spans="1:24" s="69" customFormat="1" ht="20.100000000000001" customHeight="1" x14ac:dyDescent="0.15">
      <c r="A192" s="174">
        <f t="shared" si="5"/>
        <v>188</v>
      </c>
      <c r="B192" s="181" t="s">
        <v>89</v>
      </c>
      <c r="C192" s="182" t="s">
        <v>89</v>
      </c>
      <c r="D192" s="175" t="s">
        <v>165</v>
      </c>
      <c r="E192" s="175" t="s">
        <v>78</v>
      </c>
      <c r="F192" s="182" t="s">
        <v>1474</v>
      </c>
      <c r="G192" s="166" t="s">
        <v>348</v>
      </c>
      <c r="H192" s="152" t="s">
        <v>92</v>
      </c>
      <c r="I192" s="186" t="s">
        <v>1045</v>
      </c>
      <c r="J192" s="184" t="s">
        <v>1475</v>
      </c>
      <c r="K192" s="175"/>
      <c r="L192" s="168" t="s">
        <v>55</v>
      </c>
      <c r="M192" s="170"/>
      <c r="N192" s="170" t="s">
        <v>1654</v>
      </c>
      <c r="O192" s="79"/>
      <c r="P192" s="175"/>
      <c r="Q192" s="80"/>
      <c r="R192" s="80"/>
      <c r="S192" s="80"/>
      <c r="T192" s="80"/>
      <c r="U192" s="80"/>
      <c r="V192" s="80"/>
      <c r="W192" s="80"/>
      <c r="X192" s="80"/>
    </row>
    <row r="193" spans="1:24" s="69" customFormat="1" ht="20.100000000000001" customHeight="1" x14ac:dyDescent="0.15">
      <c r="A193" s="174">
        <f t="shared" si="5"/>
        <v>189</v>
      </c>
      <c r="B193" s="181" t="s">
        <v>89</v>
      </c>
      <c r="C193" s="182" t="s">
        <v>89</v>
      </c>
      <c r="D193" s="175" t="s">
        <v>165</v>
      </c>
      <c r="E193" s="175" t="s">
        <v>78</v>
      </c>
      <c r="F193" s="182" t="s">
        <v>1476</v>
      </c>
      <c r="G193" s="166" t="s">
        <v>348</v>
      </c>
      <c r="H193" s="152" t="s">
        <v>92</v>
      </c>
      <c r="I193" s="186" t="s">
        <v>1045</v>
      </c>
      <c r="J193" s="184" t="s">
        <v>1475</v>
      </c>
      <c r="K193" s="175"/>
      <c r="L193" s="168" t="s">
        <v>55</v>
      </c>
      <c r="M193" s="170"/>
      <c r="N193" s="170" t="s">
        <v>1654</v>
      </c>
      <c r="O193" s="79"/>
      <c r="P193" s="175"/>
      <c r="Q193" s="80"/>
      <c r="R193" s="80"/>
      <c r="S193" s="80"/>
      <c r="T193" s="80"/>
      <c r="U193" s="80"/>
      <c r="V193" s="80"/>
      <c r="W193" s="80"/>
      <c r="X193" s="80"/>
    </row>
    <row r="194" spans="1:24" s="69" customFormat="1" ht="20.100000000000001" customHeight="1" x14ac:dyDescent="0.15">
      <c r="A194" s="174">
        <f t="shared" si="5"/>
        <v>190</v>
      </c>
      <c r="B194" s="181" t="s">
        <v>89</v>
      </c>
      <c r="C194" s="182" t="s">
        <v>89</v>
      </c>
      <c r="D194" s="175" t="s">
        <v>165</v>
      </c>
      <c r="E194" s="175" t="s">
        <v>78</v>
      </c>
      <c r="F194" s="182" t="s">
        <v>1435</v>
      </c>
      <c r="G194" s="166" t="s">
        <v>348</v>
      </c>
      <c r="H194" s="152" t="s">
        <v>92</v>
      </c>
      <c r="I194" s="186" t="s">
        <v>1046</v>
      </c>
      <c r="J194" s="184" t="s">
        <v>1470</v>
      </c>
      <c r="K194" s="175"/>
      <c r="L194" s="168" t="s">
        <v>55</v>
      </c>
      <c r="M194" s="170"/>
      <c r="N194" s="170" t="str">
        <f t="shared" ca="1" si="4"/>
        <v/>
      </c>
      <c r="O194" s="79"/>
      <c r="P194" s="175"/>
      <c r="Q194" s="80"/>
      <c r="R194" s="80"/>
      <c r="S194" s="80"/>
      <c r="T194" s="80"/>
      <c r="U194" s="80"/>
      <c r="V194" s="80"/>
      <c r="W194" s="80"/>
      <c r="X194" s="80"/>
    </row>
    <row r="195" spans="1:24" s="69" customFormat="1" ht="20.100000000000001" customHeight="1" x14ac:dyDescent="0.15">
      <c r="A195" s="174">
        <f t="shared" si="5"/>
        <v>191</v>
      </c>
      <c r="B195" s="181" t="s">
        <v>89</v>
      </c>
      <c r="C195" s="182" t="s">
        <v>89</v>
      </c>
      <c r="D195" s="175" t="s">
        <v>165</v>
      </c>
      <c r="E195" s="175" t="s">
        <v>78</v>
      </c>
      <c r="F195" s="182" t="s">
        <v>1436</v>
      </c>
      <c r="G195" s="166" t="s">
        <v>348</v>
      </c>
      <c r="H195" s="152" t="s">
        <v>92</v>
      </c>
      <c r="I195" s="186" t="s">
        <v>1046</v>
      </c>
      <c r="J195" s="184" t="s">
        <v>1470</v>
      </c>
      <c r="K195" s="175"/>
      <c r="L195" s="168" t="s">
        <v>55</v>
      </c>
      <c r="M195" s="170"/>
      <c r="N195" s="170" t="str">
        <f t="shared" ca="1" si="4"/>
        <v/>
      </c>
      <c r="O195" s="79"/>
      <c r="P195" s="175"/>
      <c r="Q195" s="80"/>
      <c r="R195" s="80"/>
      <c r="S195" s="80"/>
      <c r="T195" s="80"/>
      <c r="U195" s="80"/>
      <c r="V195" s="80"/>
      <c r="W195" s="80"/>
      <c r="X195" s="80"/>
    </row>
    <row r="196" spans="1:24" s="69" customFormat="1" ht="20.100000000000001" customHeight="1" x14ac:dyDescent="0.15">
      <c r="A196" s="174">
        <f t="shared" si="5"/>
        <v>192</v>
      </c>
      <c r="B196" s="181" t="s">
        <v>89</v>
      </c>
      <c r="C196" s="182" t="s">
        <v>89</v>
      </c>
      <c r="D196" s="175" t="s">
        <v>165</v>
      </c>
      <c r="E196" s="175" t="s">
        <v>78</v>
      </c>
      <c r="F196" s="175" t="s">
        <v>913</v>
      </c>
      <c r="G196" s="166" t="s">
        <v>349</v>
      </c>
      <c r="H196" s="152" t="s">
        <v>92</v>
      </c>
      <c r="I196" s="186" t="s">
        <v>1071</v>
      </c>
      <c r="J196" s="184" t="s">
        <v>1632</v>
      </c>
      <c r="K196" s="169">
        <v>4</v>
      </c>
      <c r="L196" s="170" t="s">
        <v>47</v>
      </c>
      <c r="M196" s="170">
        <v>7</v>
      </c>
      <c r="N196" s="170" t="str">
        <f t="shared" ca="1" si="4"/>
        <v/>
      </c>
      <c r="O196" s="79"/>
      <c r="P196" s="175" t="s">
        <v>1424</v>
      </c>
      <c r="Q196" s="80"/>
      <c r="R196" s="80"/>
      <c r="S196" s="80"/>
      <c r="T196" s="80"/>
      <c r="U196" s="80"/>
      <c r="V196" s="80"/>
      <c r="W196" s="80"/>
      <c r="X196" s="80"/>
    </row>
    <row r="197" spans="1:24" s="69" customFormat="1" ht="20.100000000000001" customHeight="1" x14ac:dyDescent="0.15">
      <c r="A197" s="174">
        <f t="shared" si="5"/>
        <v>193</v>
      </c>
      <c r="B197" s="181" t="s">
        <v>89</v>
      </c>
      <c r="C197" s="181" t="s">
        <v>89</v>
      </c>
      <c r="D197" s="175" t="s">
        <v>165</v>
      </c>
      <c r="E197" s="175" t="s">
        <v>78</v>
      </c>
      <c r="F197" s="175" t="s">
        <v>1055</v>
      </c>
      <c r="G197" s="166" t="s">
        <v>405</v>
      </c>
      <c r="H197" s="152" t="s">
        <v>92</v>
      </c>
      <c r="I197" s="186" t="s">
        <v>1072</v>
      </c>
      <c r="J197" s="184" t="s">
        <v>1073</v>
      </c>
      <c r="K197" s="169">
        <v>19</v>
      </c>
      <c r="L197" s="170" t="s">
        <v>47</v>
      </c>
      <c r="M197" s="169">
        <v>7</v>
      </c>
      <c r="N197" s="170" t="str">
        <f t="shared" ca="1" si="4"/>
        <v/>
      </c>
      <c r="O197" s="79"/>
      <c r="P197" s="175"/>
      <c r="Q197" s="80"/>
      <c r="R197" s="80"/>
      <c r="S197" s="80"/>
      <c r="T197" s="80"/>
      <c r="U197" s="80"/>
      <c r="V197" s="80"/>
      <c r="W197" s="80"/>
      <c r="X197" s="80"/>
    </row>
    <row r="198" spans="1:24" s="69" customFormat="1" ht="20.100000000000001" customHeight="1" x14ac:dyDescent="0.15">
      <c r="A198" s="174">
        <f t="shared" si="5"/>
        <v>194</v>
      </c>
      <c r="B198" s="181" t="s">
        <v>89</v>
      </c>
      <c r="C198" s="181" t="s">
        <v>89</v>
      </c>
      <c r="D198" s="175" t="s">
        <v>165</v>
      </c>
      <c r="E198" s="175" t="s">
        <v>78</v>
      </c>
      <c r="F198" s="182" t="s">
        <v>1192</v>
      </c>
      <c r="G198" s="166" t="s">
        <v>405</v>
      </c>
      <c r="H198" s="152" t="s">
        <v>92</v>
      </c>
      <c r="I198" s="186" t="s">
        <v>1189</v>
      </c>
      <c r="J198" s="184" t="s">
        <v>1190</v>
      </c>
      <c r="K198" s="175"/>
      <c r="L198" s="168" t="s">
        <v>55</v>
      </c>
      <c r="M198" s="175"/>
      <c r="N198" s="170" t="str">
        <f t="shared" ca="1" si="4"/>
        <v/>
      </c>
      <c r="O198" s="79"/>
      <c r="P198" s="175"/>
      <c r="Q198" s="80"/>
      <c r="R198" s="80"/>
      <c r="S198" s="80"/>
      <c r="T198" s="80"/>
      <c r="U198" s="80"/>
      <c r="V198" s="80"/>
      <c r="W198" s="80"/>
      <c r="X198" s="80"/>
    </row>
    <row r="199" spans="1:24" s="69" customFormat="1" ht="20.100000000000001" customHeight="1" x14ac:dyDescent="0.15">
      <c r="A199" s="174">
        <f t="shared" si="5"/>
        <v>195</v>
      </c>
      <c r="B199" s="181" t="s">
        <v>89</v>
      </c>
      <c r="C199" s="181" t="s">
        <v>89</v>
      </c>
      <c r="D199" s="175" t="s">
        <v>165</v>
      </c>
      <c r="E199" s="175" t="s">
        <v>78</v>
      </c>
      <c r="F199" s="182" t="s">
        <v>1193</v>
      </c>
      <c r="G199" s="166" t="s">
        <v>349</v>
      </c>
      <c r="H199" s="152" t="s">
        <v>92</v>
      </c>
      <c r="I199" s="186" t="s">
        <v>1189</v>
      </c>
      <c r="J199" s="184" t="s">
        <v>1191</v>
      </c>
      <c r="K199" s="175"/>
      <c r="L199" s="168" t="s">
        <v>55</v>
      </c>
      <c r="M199" s="175"/>
      <c r="N199" s="170" t="str">
        <f t="shared" ref="N199:N262" ca="1" si="6">IF(ISNUMBER(FIND(".",J199)),IF(AND(DATEVALUE(SUBSTITUTE(J199,".","/"))-TODAY()&lt;=90,DATEVALUE(SUBSTITUTE(J199,".","/"))-TODAY()&gt;0),"即将到期",""),"")</f>
        <v>即将到期</v>
      </c>
      <c r="O199" s="79"/>
      <c r="P199" s="175"/>
      <c r="Q199" s="80"/>
      <c r="R199" s="80"/>
      <c r="S199" s="80"/>
      <c r="T199" s="80"/>
      <c r="U199" s="80"/>
      <c r="V199" s="80"/>
      <c r="W199" s="80"/>
      <c r="X199" s="80"/>
    </row>
    <row r="200" spans="1:24" s="69" customFormat="1" ht="20.100000000000001" customHeight="1" x14ac:dyDescent="0.15">
      <c r="A200" s="174">
        <f t="shared" si="5"/>
        <v>196</v>
      </c>
      <c r="B200" s="181" t="s">
        <v>89</v>
      </c>
      <c r="C200" s="181" t="s">
        <v>89</v>
      </c>
      <c r="D200" s="175" t="s">
        <v>165</v>
      </c>
      <c r="E200" s="175" t="s">
        <v>78</v>
      </c>
      <c r="F200" s="182" t="s">
        <v>1185</v>
      </c>
      <c r="G200" s="166" t="s">
        <v>405</v>
      </c>
      <c r="H200" s="152" t="s">
        <v>92</v>
      </c>
      <c r="I200" s="186" t="s">
        <v>1195</v>
      </c>
      <c r="J200" s="184" t="s">
        <v>1197</v>
      </c>
      <c r="K200" s="175"/>
      <c r="L200" s="168" t="s">
        <v>55</v>
      </c>
      <c r="M200" s="175"/>
      <c r="N200" s="170" t="str">
        <f t="shared" ca="1" si="6"/>
        <v/>
      </c>
      <c r="O200" s="79"/>
      <c r="P200" s="175"/>
      <c r="Q200" s="80"/>
      <c r="R200" s="80"/>
      <c r="S200" s="80"/>
      <c r="T200" s="80"/>
      <c r="U200" s="80"/>
      <c r="V200" s="80"/>
      <c r="W200" s="80"/>
      <c r="X200" s="80"/>
    </row>
    <row r="201" spans="1:24" s="69" customFormat="1" ht="20.100000000000001" customHeight="1" x14ac:dyDescent="0.15">
      <c r="A201" s="174">
        <f t="shared" si="5"/>
        <v>197</v>
      </c>
      <c r="B201" s="181" t="s">
        <v>89</v>
      </c>
      <c r="C201" s="181" t="s">
        <v>89</v>
      </c>
      <c r="D201" s="175" t="s">
        <v>165</v>
      </c>
      <c r="E201" s="175" t="s">
        <v>78</v>
      </c>
      <c r="F201" s="182" t="s">
        <v>1101</v>
      </c>
      <c r="G201" s="166" t="s">
        <v>349</v>
      </c>
      <c r="H201" s="152" t="s">
        <v>92</v>
      </c>
      <c r="I201" s="186" t="s">
        <v>1102</v>
      </c>
      <c r="J201" s="184" t="s">
        <v>1103</v>
      </c>
      <c r="K201" s="175"/>
      <c r="L201" s="168" t="s">
        <v>55</v>
      </c>
      <c r="M201" s="175"/>
      <c r="N201" s="170" t="str">
        <f t="shared" ca="1" si="6"/>
        <v/>
      </c>
      <c r="O201" s="79"/>
      <c r="P201" s="175"/>
      <c r="Q201" s="80"/>
      <c r="R201" s="80"/>
      <c r="S201" s="80"/>
      <c r="T201" s="80"/>
      <c r="U201" s="80"/>
      <c r="V201" s="80"/>
      <c r="W201" s="80"/>
      <c r="X201" s="80"/>
    </row>
    <row r="202" spans="1:24" s="69" customFormat="1" ht="20.100000000000001" customHeight="1" x14ac:dyDescent="0.15">
      <c r="A202" s="174">
        <f t="shared" si="5"/>
        <v>198</v>
      </c>
      <c r="B202" s="182" t="s">
        <v>89</v>
      </c>
      <c r="C202" s="182" t="s">
        <v>89</v>
      </c>
      <c r="D202" s="175" t="s">
        <v>1223</v>
      </c>
      <c r="E202" s="175" t="s">
        <v>1224</v>
      </c>
      <c r="F202" s="182" t="s">
        <v>1296</v>
      </c>
      <c r="G202" s="166" t="s">
        <v>405</v>
      </c>
      <c r="H202" s="152" t="s">
        <v>92</v>
      </c>
      <c r="I202" s="186" t="s">
        <v>1297</v>
      </c>
      <c r="J202" s="184" t="s">
        <v>1298</v>
      </c>
      <c r="K202" s="175"/>
      <c r="L202" s="168" t="s">
        <v>55</v>
      </c>
      <c r="M202" s="175"/>
      <c r="N202" s="170" t="str">
        <f t="shared" ca="1" si="6"/>
        <v/>
      </c>
      <c r="O202" s="79"/>
      <c r="P202" s="175"/>
      <c r="Q202" s="80"/>
      <c r="R202" s="80"/>
      <c r="S202" s="80"/>
      <c r="T202" s="80"/>
      <c r="U202" s="80"/>
      <c r="V202" s="80"/>
      <c r="W202" s="80"/>
      <c r="X202" s="80"/>
    </row>
    <row r="203" spans="1:24" s="69" customFormat="1" ht="20.100000000000001" customHeight="1" x14ac:dyDescent="0.15">
      <c r="A203" s="174">
        <f t="shared" si="5"/>
        <v>199</v>
      </c>
      <c r="B203" s="182" t="s">
        <v>89</v>
      </c>
      <c r="C203" s="182" t="s">
        <v>89</v>
      </c>
      <c r="D203" s="175" t="s">
        <v>1223</v>
      </c>
      <c r="E203" s="175" t="s">
        <v>1224</v>
      </c>
      <c r="F203" s="182" t="s">
        <v>1243</v>
      </c>
      <c r="G203" s="166" t="s">
        <v>405</v>
      </c>
      <c r="H203" s="152" t="s">
        <v>92</v>
      </c>
      <c r="I203" s="186" t="s">
        <v>1244</v>
      </c>
      <c r="J203" s="184" t="s">
        <v>1245</v>
      </c>
      <c r="K203" s="175"/>
      <c r="L203" s="168" t="s">
        <v>55</v>
      </c>
      <c r="M203" s="175"/>
      <c r="N203" s="170" t="str">
        <f t="shared" ca="1" si="6"/>
        <v/>
      </c>
      <c r="O203" s="79"/>
      <c r="P203" s="175"/>
      <c r="Q203" s="80"/>
      <c r="R203" s="80"/>
      <c r="S203" s="80"/>
      <c r="T203" s="80"/>
      <c r="U203" s="80"/>
      <c r="V203" s="80"/>
      <c r="W203" s="80"/>
      <c r="X203" s="80"/>
    </row>
    <row r="204" spans="1:24" s="69" customFormat="1" ht="20.100000000000001" customHeight="1" x14ac:dyDescent="0.15">
      <c r="A204" s="174">
        <f t="shared" si="5"/>
        <v>200</v>
      </c>
      <c r="B204" s="182" t="s">
        <v>89</v>
      </c>
      <c r="C204" s="182" t="s">
        <v>89</v>
      </c>
      <c r="D204" s="175" t="s">
        <v>1223</v>
      </c>
      <c r="E204" s="175" t="s">
        <v>1224</v>
      </c>
      <c r="F204" s="182" t="s">
        <v>1290</v>
      </c>
      <c r="G204" s="166" t="s">
        <v>405</v>
      </c>
      <c r="H204" s="152" t="s">
        <v>92</v>
      </c>
      <c r="I204" s="186" t="s">
        <v>1246</v>
      </c>
      <c r="J204" s="184" t="s">
        <v>1291</v>
      </c>
      <c r="K204" s="175"/>
      <c r="L204" s="168" t="s">
        <v>55</v>
      </c>
      <c r="M204" s="175"/>
      <c r="N204" s="170" t="str">
        <f t="shared" ca="1" si="6"/>
        <v/>
      </c>
      <c r="O204" s="79"/>
      <c r="P204" s="175"/>
      <c r="Q204" s="80"/>
      <c r="R204" s="80"/>
      <c r="S204" s="80"/>
      <c r="T204" s="80"/>
      <c r="U204" s="80"/>
      <c r="V204" s="80"/>
      <c r="W204" s="80"/>
      <c r="X204" s="80"/>
    </row>
    <row r="205" spans="1:24" s="69" customFormat="1" ht="20.100000000000001" customHeight="1" x14ac:dyDescent="0.15">
      <c r="A205" s="174">
        <f t="shared" si="5"/>
        <v>201</v>
      </c>
      <c r="B205" s="181" t="s">
        <v>89</v>
      </c>
      <c r="C205" s="181" t="s">
        <v>89</v>
      </c>
      <c r="D205" s="175" t="s">
        <v>38</v>
      </c>
      <c r="E205" s="175" t="s">
        <v>1248</v>
      </c>
      <c r="F205" s="206" t="s">
        <v>1293</v>
      </c>
      <c r="G205" s="166" t="s">
        <v>348</v>
      </c>
      <c r="H205" s="152" t="s">
        <v>92</v>
      </c>
      <c r="I205" s="186" t="s">
        <v>1294</v>
      </c>
      <c r="J205" s="184" t="s">
        <v>1295</v>
      </c>
      <c r="K205" s="175"/>
      <c r="L205" s="168" t="s">
        <v>55</v>
      </c>
      <c r="M205" s="175"/>
      <c r="N205" s="170" t="str">
        <f t="shared" ca="1" si="6"/>
        <v/>
      </c>
      <c r="O205" s="79"/>
      <c r="P205" s="175"/>
      <c r="Q205" s="80"/>
      <c r="R205" s="80"/>
      <c r="S205" s="80"/>
      <c r="T205" s="80"/>
      <c r="U205" s="80"/>
      <c r="V205" s="80"/>
      <c r="W205" s="80"/>
      <c r="X205" s="80"/>
    </row>
    <row r="206" spans="1:24" s="69" customFormat="1" ht="36" customHeight="1" x14ac:dyDescent="0.15">
      <c r="A206" s="174">
        <f t="shared" si="5"/>
        <v>202</v>
      </c>
      <c r="B206" s="181" t="s">
        <v>89</v>
      </c>
      <c r="C206" s="181" t="s">
        <v>89</v>
      </c>
      <c r="D206" s="175" t="s">
        <v>38</v>
      </c>
      <c r="E206" s="175" t="s">
        <v>1248</v>
      </c>
      <c r="F206" s="206" t="s">
        <v>1307</v>
      </c>
      <c r="G206" s="166" t="s">
        <v>414</v>
      </c>
      <c r="H206" s="152" t="s">
        <v>92</v>
      </c>
      <c r="I206" s="186" t="s">
        <v>1305</v>
      </c>
      <c r="J206" s="184" t="s">
        <v>1306</v>
      </c>
      <c r="K206" s="175"/>
      <c r="L206" s="168" t="s">
        <v>55</v>
      </c>
      <c r="M206" s="175"/>
      <c r="N206" s="170" t="str">
        <f t="shared" ca="1" si="6"/>
        <v/>
      </c>
      <c r="O206" s="79"/>
      <c r="P206" s="175"/>
      <c r="Q206" s="80"/>
      <c r="R206" s="80"/>
      <c r="S206" s="80"/>
      <c r="T206" s="80"/>
      <c r="U206" s="80"/>
      <c r="V206" s="80"/>
      <c r="W206" s="80"/>
      <c r="X206" s="80"/>
    </row>
    <row r="207" spans="1:24" s="69" customFormat="1" ht="36" customHeight="1" x14ac:dyDescent="0.15">
      <c r="A207" s="174">
        <f t="shared" si="5"/>
        <v>203</v>
      </c>
      <c r="B207" s="181" t="s">
        <v>89</v>
      </c>
      <c r="C207" s="181" t="s">
        <v>89</v>
      </c>
      <c r="D207" s="175" t="s">
        <v>38</v>
      </c>
      <c r="E207" s="175" t="s">
        <v>1248</v>
      </c>
      <c r="F207" s="206" t="s">
        <v>1308</v>
      </c>
      <c r="G207" s="166" t="s">
        <v>414</v>
      </c>
      <c r="H207" s="152" t="s">
        <v>92</v>
      </c>
      <c r="I207" s="186" t="s">
        <v>1294</v>
      </c>
      <c r="J207" s="184" t="s">
        <v>1295</v>
      </c>
      <c r="K207" s="175"/>
      <c r="L207" s="168" t="s">
        <v>55</v>
      </c>
      <c r="M207" s="175"/>
      <c r="N207" s="170" t="str">
        <f t="shared" ca="1" si="6"/>
        <v/>
      </c>
      <c r="O207" s="79"/>
      <c r="P207" s="175"/>
      <c r="Q207" s="80"/>
      <c r="R207" s="80"/>
      <c r="S207" s="80"/>
      <c r="T207" s="80"/>
      <c r="U207" s="80"/>
      <c r="V207" s="80"/>
      <c r="W207" s="80"/>
      <c r="X207" s="80"/>
    </row>
    <row r="208" spans="1:24" s="69" customFormat="1" ht="46.5" customHeight="1" x14ac:dyDescent="0.15">
      <c r="A208" s="174">
        <f t="shared" si="5"/>
        <v>204</v>
      </c>
      <c r="B208" s="181" t="s">
        <v>89</v>
      </c>
      <c r="C208" s="181" t="s">
        <v>89</v>
      </c>
      <c r="D208" s="175" t="s">
        <v>38</v>
      </c>
      <c r="E208" s="175" t="s">
        <v>1248</v>
      </c>
      <c r="F208" s="206" t="s">
        <v>1309</v>
      </c>
      <c r="G208" s="166" t="s">
        <v>414</v>
      </c>
      <c r="H208" s="152" t="s">
        <v>92</v>
      </c>
      <c r="I208" s="186" t="s">
        <v>1310</v>
      </c>
      <c r="J208" s="184" t="s">
        <v>1311</v>
      </c>
      <c r="K208" s="175"/>
      <c r="L208" s="168" t="s">
        <v>55</v>
      </c>
      <c r="M208" s="175"/>
      <c r="N208" s="170" t="str">
        <f t="shared" ca="1" si="6"/>
        <v/>
      </c>
      <c r="O208" s="79"/>
      <c r="P208" s="175"/>
      <c r="Q208" s="80"/>
      <c r="R208" s="80"/>
      <c r="S208" s="80"/>
      <c r="T208" s="80"/>
      <c r="U208" s="80"/>
      <c r="V208" s="80"/>
      <c r="W208" s="80"/>
      <c r="X208" s="80"/>
    </row>
    <row r="209" spans="1:24" s="69" customFormat="1" ht="74.25" customHeight="1" x14ac:dyDescent="0.15">
      <c r="A209" s="174">
        <f t="shared" si="5"/>
        <v>205</v>
      </c>
      <c r="B209" s="181" t="s">
        <v>89</v>
      </c>
      <c r="C209" s="181" t="s">
        <v>89</v>
      </c>
      <c r="D209" s="175" t="s">
        <v>38</v>
      </c>
      <c r="E209" s="175" t="s">
        <v>1248</v>
      </c>
      <c r="F209" s="206" t="s">
        <v>1339</v>
      </c>
      <c r="G209" s="166" t="s">
        <v>348</v>
      </c>
      <c r="H209" s="152" t="s">
        <v>92</v>
      </c>
      <c r="I209" s="186" t="s">
        <v>1340</v>
      </c>
      <c r="J209" s="184" t="s">
        <v>1341</v>
      </c>
      <c r="K209" s="175"/>
      <c r="L209" s="168" t="s">
        <v>55</v>
      </c>
      <c r="M209" s="175"/>
      <c r="N209" s="170" t="str">
        <f t="shared" ca="1" si="6"/>
        <v/>
      </c>
      <c r="O209" s="79"/>
      <c r="P209" s="175"/>
      <c r="Q209" s="80"/>
      <c r="R209" s="80"/>
      <c r="S209" s="80"/>
      <c r="T209" s="80"/>
      <c r="U209" s="80"/>
      <c r="V209" s="80"/>
      <c r="W209" s="80"/>
      <c r="X209" s="80"/>
    </row>
    <row r="210" spans="1:24" s="69" customFormat="1" ht="61.5" customHeight="1" x14ac:dyDescent="0.15">
      <c r="A210" s="174">
        <f t="shared" si="5"/>
        <v>206</v>
      </c>
      <c r="B210" s="181" t="s">
        <v>89</v>
      </c>
      <c r="C210" s="181" t="s">
        <v>89</v>
      </c>
      <c r="D210" s="175" t="s">
        <v>38</v>
      </c>
      <c r="E210" s="175" t="s">
        <v>1248</v>
      </c>
      <c r="F210" s="206" t="s">
        <v>1492</v>
      </c>
      <c r="G210" s="166" t="s">
        <v>348</v>
      </c>
      <c r="H210" s="152" t="s">
        <v>92</v>
      </c>
      <c r="I210" s="186" t="s">
        <v>1490</v>
      </c>
      <c r="J210" s="184" t="s">
        <v>1491</v>
      </c>
      <c r="K210" s="175"/>
      <c r="L210" s="168" t="s">
        <v>55</v>
      </c>
      <c r="M210" s="175"/>
      <c r="N210" s="170" t="str">
        <f t="shared" ca="1" si="6"/>
        <v/>
      </c>
      <c r="O210" s="79"/>
      <c r="P210" s="175"/>
      <c r="Q210" s="80"/>
      <c r="R210" s="80"/>
      <c r="S210" s="80"/>
      <c r="T210" s="80"/>
      <c r="U210" s="80"/>
      <c r="V210" s="80"/>
      <c r="W210" s="80"/>
      <c r="X210" s="80"/>
    </row>
    <row r="211" spans="1:24" s="69" customFormat="1" ht="19.5" customHeight="1" x14ac:dyDescent="0.15">
      <c r="A211" s="174">
        <f t="shared" si="5"/>
        <v>207</v>
      </c>
      <c r="B211" s="181" t="s">
        <v>89</v>
      </c>
      <c r="C211" s="181" t="s">
        <v>89</v>
      </c>
      <c r="D211" s="182" t="s">
        <v>165</v>
      </c>
      <c r="E211" s="182" t="s">
        <v>78</v>
      </c>
      <c r="F211" s="182" t="s">
        <v>1381</v>
      </c>
      <c r="G211" s="166" t="s">
        <v>1378</v>
      </c>
      <c r="H211" s="152" t="s">
        <v>92</v>
      </c>
      <c r="I211" s="186" t="s">
        <v>1493</v>
      </c>
      <c r="J211" s="184" t="s">
        <v>1494</v>
      </c>
      <c r="K211" s="175"/>
      <c r="L211" s="168" t="s">
        <v>55</v>
      </c>
      <c r="M211" s="175"/>
      <c r="N211" s="170" t="str">
        <f t="shared" ca="1" si="6"/>
        <v>即将到期</v>
      </c>
      <c r="O211" s="79"/>
      <c r="P211" s="175"/>
      <c r="Q211" s="80"/>
      <c r="R211" s="80"/>
      <c r="S211" s="80"/>
      <c r="T211" s="80"/>
      <c r="U211" s="80"/>
      <c r="V211" s="80"/>
      <c r="W211" s="80"/>
      <c r="X211" s="80"/>
    </row>
    <row r="212" spans="1:24" s="69" customFormat="1" ht="19.5" customHeight="1" x14ac:dyDescent="0.15">
      <c r="A212" s="174">
        <f t="shared" si="5"/>
        <v>208</v>
      </c>
      <c r="B212" s="181" t="s">
        <v>89</v>
      </c>
      <c r="C212" s="181" t="s">
        <v>89</v>
      </c>
      <c r="D212" s="175" t="s">
        <v>38</v>
      </c>
      <c r="E212" s="175" t="s">
        <v>1248</v>
      </c>
      <c r="F212" s="182" t="s">
        <v>1497</v>
      </c>
      <c r="G212" s="166" t="s">
        <v>348</v>
      </c>
      <c r="H212" s="152" t="s">
        <v>92</v>
      </c>
      <c r="I212" s="186" t="s">
        <v>1495</v>
      </c>
      <c r="J212" s="184" t="s">
        <v>1496</v>
      </c>
      <c r="K212" s="175"/>
      <c r="L212" s="168" t="s">
        <v>55</v>
      </c>
      <c r="M212" s="175"/>
      <c r="N212" s="170" t="str">
        <f t="shared" ca="1" si="6"/>
        <v/>
      </c>
      <c r="O212" s="79"/>
      <c r="P212" s="175"/>
      <c r="Q212" s="80"/>
      <c r="R212" s="80"/>
      <c r="S212" s="80"/>
      <c r="T212" s="80"/>
      <c r="U212" s="80"/>
      <c r="V212" s="80"/>
      <c r="W212" s="80"/>
      <c r="X212" s="80"/>
    </row>
    <row r="213" spans="1:24" s="69" customFormat="1" ht="19.5" customHeight="1" x14ac:dyDescent="0.15">
      <c r="A213" s="174">
        <f t="shared" si="5"/>
        <v>209</v>
      </c>
      <c r="B213" s="181" t="s">
        <v>89</v>
      </c>
      <c r="C213" s="181" t="s">
        <v>89</v>
      </c>
      <c r="D213" s="175" t="s">
        <v>38</v>
      </c>
      <c r="E213" s="175" t="s">
        <v>1248</v>
      </c>
      <c r="F213" s="182" t="s">
        <v>1498</v>
      </c>
      <c r="G213" s="166" t="s">
        <v>348</v>
      </c>
      <c r="H213" s="152" t="s">
        <v>92</v>
      </c>
      <c r="I213" s="186" t="s">
        <v>1499</v>
      </c>
      <c r="J213" s="184" t="s">
        <v>1500</v>
      </c>
      <c r="K213" s="175"/>
      <c r="L213" s="168" t="s">
        <v>55</v>
      </c>
      <c r="M213" s="175"/>
      <c r="N213" s="170" t="str">
        <f t="shared" ca="1" si="6"/>
        <v/>
      </c>
      <c r="O213" s="79"/>
      <c r="P213" s="175"/>
      <c r="Q213" s="80"/>
      <c r="R213" s="80"/>
      <c r="S213" s="80"/>
      <c r="T213" s="80"/>
      <c r="U213" s="80"/>
      <c r="V213" s="80"/>
      <c r="W213" s="80"/>
      <c r="X213" s="80"/>
    </row>
    <row r="214" spans="1:24" s="69" customFormat="1" ht="20.100000000000001" customHeight="1" x14ac:dyDescent="0.15">
      <c r="A214" s="174">
        <f t="shared" si="5"/>
        <v>210</v>
      </c>
      <c r="B214" s="182" t="s">
        <v>89</v>
      </c>
      <c r="C214" s="182" t="s">
        <v>89</v>
      </c>
      <c r="D214" s="175" t="s">
        <v>38</v>
      </c>
      <c r="E214" s="175" t="s">
        <v>1248</v>
      </c>
      <c r="F214" s="182" t="s">
        <v>1501</v>
      </c>
      <c r="G214" s="166" t="s">
        <v>348</v>
      </c>
      <c r="H214" s="152" t="s">
        <v>92</v>
      </c>
      <c r="I214" s="186" t="s">
        <v>1503</v>
      </c>
      <c r="J214" s="184" t="s">
        <v>1504</v>
      </c>
      <c r="K214" s="175"/>
      <c r="L214" s="168" t="s">
        <v>55</v>
      </c>
      <c r="M214" s="175"/>
      <c r="N214" s="170" t="str">
        <f t="shared" ca="1" si="6"/>
        <v/>
      </c>
      <c r="O214" s="79"/>
      <c r="P214" s="175"/>
      <c r="Q214" s="80"/>
      <c r="R214" s="80"/>
      <c r="S214" s="80"/>
      <c r="T214" s="80"/>
      <c r="U214" s="80"/>
      <c r="V214" s="80"/>
      <c r="W214" s="80"/>
      <c r="X214" s="80"/>
    </row>
    <row r="215" spans="1:24" s="69" customFormat="1" ht="20.100000000000001" customHeight="1" x14ac:dyDescent="0.15">
      <c r="A215" s="174">
        <f t="shared" si="5"/>
        <v>211</v>
      </c>
      <c r="B215" s="182" t="s">
        <v>89</v>
      </c>
      <c r="C215" s="182" t="s">
        <v>89</v>
      </c>
      <c r="D215" s="175" t="s">
        <v>38</v>
      </c>
      <c r="E215" s="175" t="s">
        <v>1248</v>
      </c>
      <c r="F215" s="182" t="s">
        <v>1502</v>
      </c>
      <c r="G215" s="166" t="s">
        <v>348</v>
      </c>
      <c r="H215" s="152" t="s">
        <v>92</v>
      </c>
      <c r="I215" s="186" t="s">
        <v>1365</v>
      </c>
      <c r="J215" s="184" t="s">
        <v>1505</v>
      </c>
      <c r="K215" s="175"/>
      <c r="L215" s="168" t="s">
        <v>55</v>
      </c>
      <c r="M215" s="175"/>
      <c r="N215" s="170" t="str">
        <f t="shared" ca="1" si="6"/>
        <v/>
      </c>
      <c r="O215" s="79"/>
      <c r="P215" s="175"/>
      <c r="Q215" s="80"/>
      <c r="R215" s="80"/>
      <c r="S215" s="80"/>
      <c r="T215" s="80"/>
      <c r="U215" s="80"/>
      <c r="V215" s="80"/>
      <c r="W215" s="80"/>
      <c r="X215" s="80"/>
    </row>
    <row r="216" spans="1:24" s="69" customFormat="1" ht="19.5" customHeight="1" x14ac:dyDescent="0.15">
      <c r="A216" s="174">
        <f t="shared" si="5"/>
        <v>212</v>
      </c>
      <c r="B216" s="181" t="s">
        <v>89</v>
      </c>
      <c r="C216" s="181" t="s">
        <v>89</v>
      </c>
      <c r="D216" s="182" t="s">
        <v>38</v>
      </c>
      <c r="E216" s="182" t="s">
        <v>1248</v>
      </c>
      <c r="F216" s="182" t="s">
        <v>1506</v>
      </c>
      <c r="G216" s="166" t="s">
        <v>1378</v>
      </c>
      <c r="H216" s="152" t="s">
        <v>92</v>
      </c>
      <c r="I216" s="186" t="s">
        <v>1507</v>
      </c>
      <c r="J216" s="184" t="s">
        <v>1508</v>
      </c>
      <c r="K216" s="175"/>
      <c r="L216" s="168" t="s">
        <v>55</v>
      </c>
      <c r="M216" s="175"/>
      <c r="N216" s="170" t="str">
        <f t="shared" ca="1" si="6"/>
        <v/>
      </c>
      <c r="O216" s="79"/>
      <c r="P216" s="175"/>
      <c r="Q216" s="80"/>
      <c r="R216" s="80"/>
      <c r="S216" s="80"/>
      <c r="T216" s="80"/>
      <c r="U216" s="80"/>
      <c r="V216" s="80"/>
      <c r="W216" s="80"/>
      <c r="X216" s="80"/>
    </row>
    <row r="217" spans="1:24" s="69" customFormat="1" ht="19.5" customHeight="1" x14ac:dyDescent="0.15">
      <c r="A217" s="174">
        <f t="shared" si="5"/>
        <v>213</v>
      </c>
      <c r="B217" s="181" t="s">
        <v>89</v>
      </c>
      <c r="C217" s="181" t="s">
        <v>89</v>
      </c>
      <c r="D217" s="182" t="s">
        <v>1429</v>
      </c>
      <c r="E217" s="182" t="s">
        <v>1430</v>
      </c>
      <c r="F217" s="182" t="s">
        <v>1522</v>
      </c>
      <c r="G217" s="166" t="s">
        <v>1431</v>
      </c>
      <c r="H217" s="152" t="s">
        <v>92</v>
      </c>
      <c r="I217" s="186" t="s">
        <v>1273</v>
      </c>
      <c r="J217" s="184" t="s">
        <v>1523</v>
      </c>
      <c r="K217" s="175"/>
      <c r="L217" s="168" t="s">
        <v>55</v>
      </c>
      <c r="M217" s="175"/>
      <c r="N217" s="170" t="str">
        <f t="shared" ca="1" si="6"/>
        <v/>
      </c>
      <c r="O217" s="79"/>
      <c r="P217" s="175"/>
      <c r="Q217" s="80"/>
      <c r="R217" s="80"/>
      <c r="S217" s="80"/>
      <c r="T217" s="80"/>
      <c r="U217" s="80"/>
      <c r="V217" s="80"/>
      <c r="W217" s="80"/>
      <c r="X217" s="80"/>
    </row>
    <row r="218" spans="1:24" s="69" customFormat="1" ht="20.100000000000001" customHeight="1" x14ac:dyDescent="0.15">
      <c r="A218" s="174">
        <f t="shared" si="5"/>
        <v>214</v>
      </c>
      <c r="B218" s="181" t="s">
        <v>1477</v>
      </c>
      <c r="C218" s="181" t="s">
        <v>1477</v>
      </c>
      <c r="D218" s="175" t="s">
        <v>38</v>
      </c>
      <c r="E218" s="175" t="s">
        <v>1248</v>
      </c>
      <c r="F218" s="175" t="s">
        <v>1482</v>
      </c>
      <c r="G218" s="166" t="s">
        <v>1378</v>
      </c>
      <c r="H218" s="152" t="s">
        <v>92</v>
      </c>
      <c r="I218" s="186" t="s">
        <v>1524</v>
      </c>
      <c r="J218" s="184" t="s">
        <v>1525</v>
      </c>
      <c r="K218" s="175"/>
      <c r="L218" s="168" t="s">
        <v>55</v>
      </c>
      <c r="M218" s="175"/>
      <c r="N218" s="170" t="str">
        <f t="shared" ca="1" si="6"/>
        <v/>
      </c>
      <c r="O218" s="79"/>
      <c r="P218" s="175"/>
      <c r="Q218" s="80"/>
      <c r="R218" s="80"/>
      <c r="S218" s="80"/>
      <c r="T218" s="80"/>
      <c r="U218" s="80"/>
      <c r="V218" s="80"/>
      <c r="W218" s="80"/>
      <c r="X218" s="80"/>
    </row>
    <row r="219" spans="1:24" s="69" customFormat="1" ht="20.100000000000001" customHeight="1" x14ac:dyDescent="0.15">
      <c r="A219" s="174">
        <f t="shared" si="5"/>
        <v>215</v>
      </c>
      <c r="B219" s="181" t="s">
        <v>89</v>
      </c>
      <c r="C219" s="181" t="s">
        <v>89</v>
      </c>
      <c r="D219" s="175" t="s">
        <v>1429</v>
      </c>
      <c r="E219" s="175" t="s">
        <v>1430</v>
      </c>
      <c r="F219" s="182" t="s">
        <v>1526</v>
      </c>
      <c r="G219" s="166" t="s">
        <v>1431</v>
      </c>
      <c r="H219" s="152" t="s">
        <v>92</v>
      </c>
      <c r="I219" s="186" t="s">
        <v>1519</v>
      </c>
      <c r="J219" s="184" t="s">
        <v>1281</v>
      </c>
      <c r="K219" s="175"/>
      <c r="L219" s="168" t="s">
        <v>55</v>
      </c>
      <c r="M219" s="175"/>
      <c r="N219" s="170" t="str">
        <f t="shared" ca="1" si="6"/>
        <v/>
      </c>
      <c r="O219" s="79"/>
      <c r="P219" s="175"/>
      <c r="Q219" s="80"/>
      <c r="R219" s="80"/>
      <c r="S219" s="80"/>
      <c r="T219" s="80"/>
      <c r="U219" s="80"/>
      <c r="V219" s="80"/>
      <c r="W219" s="80"/>
      <c r="X219" s="80"/>
    </row>
    <row r="220" spans="1:24" s="69" customFormat="1" ht="20.100000000000001" customHeight="1" x14ac:dyDescent="0.15">
      <c r="A220" s="174">
        <f t="shared" si="5"/>
        <v>216</v>
      </c>
      <c r="B220" s="182" t="s">
        <v>89</v>
      </c>
      <c r="C220" s="182" t="s">
        <v>89</v>
      </c>
      <c r="D220" s="175" t="s">
        <v>38</v>
      </c>
      <c r="E220" s="175" t="s">
        <v>1253</v>
      </c>
      <c r="F220" s="175" t="s">
        <v>1256</v>
      </c>
      <c r="G220" s="166" t="s">
        <v>348</v>
      </c>
      <c r="H220" s="152" t="s">
        <v>92</v>
      </c>
      <c r="I220" s="186" t="s">
        <v>1334</v>
      </c>
      <c r="J220" s="184" t="s">
        <v>1335</v>
      </c>
      <c r="K220" s="169">
        <v>1</v>
      </c>
      <c r="L220" s="170" t="s">
        <v>47</v>
      </c>
      <c r="M220" s="169">
        <v>5</v>
      </c>
      <c r="N220" s="170" t="str">
        <f t="shared" ca="1" si="6"/>
        <v/>
      </c>
      <c r="O220" s="79"/>
      <c r="P220" s="175"/>
      <c r="Q220" s="80"/>
      <c r="R220" s="80"/>
      <c r="S220" s="80"/>
      <c r="T220" s="80"/>
      <c r="U220" s="80"/>
      <c r="V220" s="80"/>
      <c r="W220" s="80"/>
      <c r="X220" s="80"/>
    </row>
    <row r="221" spans="1:24" s="69" customFormat="1" ht="20.100000000000001" customHeight="1" x14ac:dyDescent="0.15">
      <c r="A221" s="174">
        <f t="shared" si="5"/>
        <v>217</v>
      </c>
      <c r="B221" s="182" t="s">
        <v>89</v>
      </c>
      <c r="C221" s="182" t="s">
        <v>89</v>
      </c>
      <c r="D221" s="175" t="s">
        <v>38</v>
      </c>
      <c r="E221" s="175" t="s">
        <v>1253</v>
      </c>
      <c r="F221" s="175" t="s">
        <v>1257</v>
      </c>
      <c r="G221" s="166" t="s">
        <v>348</v>
      </c>
      <c r="H221" s="152" t="s">
        <v>92</v>
      </c>
      <c r="I221" s="186" t="s">
        <v>1299</v>
      </c>
      <c r="J221" s="184" t="s">
        <v>1300</v>
      </c>
      <c r="K221" s="169">
        <v>4</v>
      </c>
      <c r="L221" s="170" t="s">
        <v>47</v>
      </c>
      <c r="M221" s="169">
        <v>5</v>
      </c>
      <c r="N221" s="170" t="str">
        <f t="shared" ca="1" si="6"/>
        <v/>
      </c>
      <c r="O221" s="79"/>
      <c r="P221" s="175"/>
      <c r="Q221" s="80"/>
      <c r="R221" s="80"/>
      <c r="S221" s="80"/>
      <c r="T221" s="80"/>
      <c r="U221" s="80"/>
      <c r="V221" s="80"/>
      <c r="W221" s="80"/>
      <c r="X221" s="80"/>
    </row>
    <row r="222" spans="1:24" s="69" customFormat="1" ht="20.100000000000001" customHeight="1" x14ac:dyDescent="0.15">
      <c r="A222" s="174">
        <f t="shared" si="5"/>
        <v>218</v>
      </c>
      <c r="B222" s="182" t="s">
        <v>89</v>
      </c>
      <c r="C222" s="182" t="s">
        <v>89</v>
      </c>
      <c r="D222" s="175" t="s">
        <v>38</v>
      </c>
      <c r="E222" s="175" t="s">
        <v>1253</v>
      </c>
      <c r="F222" s="175" t="s">
        <v>1260</v>
      </c>
      <c r="G222" s="166" t="s">
        <v>348</v>
      </c>
      <c r="H222" s="152" t="s">
        <v>92</v>
      </c>
      <c r="I222" s="186" t="s">
        <v>1301</v>
      </c>
      <c r="J222" s="184" t="s">
        <v>1302</v>
      </c>
      <c r="K222" s="169">
        <v>4</v>
      </c>
      <c r="L222" s="170" t="s">
        <v>47</v>
      </c>
      <c r="M222" s="169">
        <v>5</v>
      </c>
      <c r="N222" s="170" t="str">
        <f t="shared" ca="1" si="6"/>
        <v/>
      </c>
      <c r="O222" s="79"/>
      <c r="P222" s="175"/>
      <c r="Q222" s="80"/>
      <c r="R222" s="80"/>
      <c r="S222" s="80"/>
      <c r="T222" s="80"/>
      <c r="U222" s="80"/>
      <c r="V222" s="80"/>
      <c r="W222" s="80"/>
      <c r="X222" s="80"/>
    </row>
    <row r="223" spans="1:24" s="69" customFormat="1" ht="20.100000000000001" customHeight="1" x14ac:dyDescent="0.15">
      <c r="A223" s="174">
        <f t="shared" si="5"/>
        <v>219</v>
      </c>
      <c r="B223" s="182" t="s">
        <v>89</v>
      </c>
      <c r="C223" s="182" t="s">
        <v>89</v>
      </c>
      <c r="D223" s="175" t="s">
        <v>38</v>
      </c>
      <c r="E223" s="175" t="s">
        <v>1253</v>
      </c>
      <c r="F223" s="175" t="s">
        <v>1254</v>
      </c>
      <c r="G223" s="166" t="s">
        <v>348</v>
      </c>
      <c r="H223" s="152" t="s">
        <v>92</v>
      </c>
      <c r="I223" s="186" t="s">
        <v>1299</v>
      </c>
      <c r="J223" s="184" t="s">
        <v>1300</v>
      </c>
      <c r="K223" s="169">
        <v>4</v>
      </c>
      <c r="L223" s="170" t="s">
        <v>47</v>
      </c>
      <c r="M223" s="169">
        <v>5</v>
      </c>
      <c r="N223" s="170" t="str">
        <f t="shared" ca="1" si="6"/>
        <v/>
      </c>
      <c r="O223" s="79"/>
      <c r="P223" s="175"/>
      <c r="Q223" s="80"/>
      <c r="R223" s="80"/>
      <c r="S223" s="80"/>
      <c r="T223" s="80"/>
      <c r="U223" s="80"/>
      <c r="V223" s="80"/>
      <c r="W223" s="80"/>
      <c r="X223" s="80"/>
    </row>
    <row r="224" spans="1:24" s="69" customFormat="1" ht="20.100000000000001" customHeight="1" x14ac:dyDescent="0.15">
      <c r="A224" s="174">
        <f t="shared" si="5"/>
        <v>220</v>
      </c>
      <c r="B224" s="182" t="s">
        <v>89</v>
      </c>
      <c r="C224" s="182" t="s">
        <v>89</v>
      </c>
      <c r="D224" s="175" t="s">
        <v>38</v>
      </c>
      <c r="E224" s="175" t="s">
        <v>1253</v>
      </c>
      <c r="F224" s="175" t="s">
        <v>1255</v>
      </c>
      <c r="G224" s="166" t="s">
        <v>348</v>
      </c>
      <c r="H224" s="152" t="s">
        <v>92</v>
      </c>
      <c r="I224" s="186" t="s">
        <v>1303</v>
      </c>
      <c r="J224" s="184" t="s">
        <v>1304</v>
      </c>
      <c r="K224" s="169">
        <v>3</v>
      </c>
      <c r="L224" s="170" t="s">
        <v>47</v>
      </c>
      <c r="M224" s="169">
        <v>5</v>
      </c>
      <c r="N224" s="170" t="str">
        <f t="shared" ca="1" si="6"/>
        <v/>
      </c>
      <c r="O224" s="79"/>
      <c r="P224" s="175"/>
      <c r="Q224" s="80"/>
      <c r="R224" s="80"/>
      <c r="S224" s="80"/>
      <c r="T224" s="80"/>
      <c r="U224" s="80"/>
      <c r="V224" s="80"/>
      <c r="W224" s="80"/>
      <c r="X224" s="80"/>
    </row>
    <row r="225" spans="1:24" s="69" customFormat="1" ht="20.100000000000001" customHeight="1" x14ac:dyDescent="0.15">
      <c r="A225" s="174">
        <f t="shared" si="5"/>
        <v>221</v>
      </c>
      <c r="B225" s="182" t="s">
        <v>89</v>
      </c>
      <c r="C225" s="182" t="s">
        <v>89</v>
      </c>
      <c r="D225" s="175" t="s">
        <v>38</v>
      </c>
      <c r="E225" s="175" t="s">
        <v>1253</v>
      </c>
      <c r="F225" s="175" t="s">
        <v>1261</v>
      </c>
      <c r="G225" s="166" t="s">
        <v>414</v>
      </c>
      <c r="H225" s="152" t="s">
        <v>92</v>
      </c>
      <c r="I225" s="186" t="s">
        <v>1342</v>
      </c>
      <c r="J225" s="184" t="s">
        <v>1343</v>
      </c>
      <c r="K225" s="169">
        <v>2</v>
      </c>
      <c r="L225" s="170" t="s">
        <v>47</v>
      </c>
      <c r="M225" s="169">
        <v>5</v>
      </c>
      <c r="N225" s="170" t="str">
        <f t="shared" ca="1" si="6"/>
        <v/>
      </c>
      <c r="O225" s="79"/>
      <c r="P225" s="175"/>
      <c r="Q225" s="80"/>
      <c r="R225" s="80"/>
      <c r="S225" s="80"/>
      <c r="T225" s="80"/>
      <c r="U225" s="80"/>
      <c r="V225" s="80"/>
      <c r="W225" s="80"/>
      <c r="X225" s="80"/>
    </row>
    <row r="226" spans="1:24" s="69" customFormat="1" ht="20.100000000000001" customHeight="1" x14ac:dyDescent="0.15">
      <c r="A226" s="174">
        <f t="shared" si="5"/>
        <v>222</v>
      </c>
      <c r="B226" s="182" t="s">
        <v>89</v>
      </c>
      <c r="C226" s="182" t="s">
        <v>89</v>
      </c>
      <c r="D226" s="175" t="s">
        <v>38</v>
      </c>
      <c r="E226" s="175" t="s">
        <v>1253</v>
      </c>
      <c r="F226" s="175" t="s">
        <v>1258</v>
      </c>
      <c r="G226" s="166" t="s">
        <v>414</v>
      </c>
      <c r="H226" s="152" t="s">
        <v>92</v>
      </c>
      <c r="I226" s="186" t="s">
        <v>1344</v>
      </c>
      <c r="J226" s="184" t="s">
        <v>1345</v>
      </c>
      <c r="K226" s="169">
        <v>2</v>
      </c>
      <c r="L226" s="170" t="s">
        <v>47</v>
      </c>
      <c r="M226" s="169">
        <v>5</v>
      </c>
      <c r="N226" s="170" t="str">
        <f t="shared" ca="1" si="6"/>
        <v/>
      </c>
      <c r="O226" s="79"/>
      <c r="P226" s="175"/>
      <c r="Q226" s="80"/>
      <c r="R226" s="80"/>
      <c r="S226" s="80"/>
      <c r="T226" s="80"/>
      <c r="U226" s="80"/>
      <c r="V226" s="80"/>
      <c r="W226" s="80"/>
      <c r="X226" s="80"/>
    </row>
    <row r="227" spans="1:24" s="69" customFormat="1" ht="20.100000000000001" customHeight="1" x14ac:dyDescent="0.15">
      <c r="A227" s="174">
        <f t="shared" si="5"/>
        <v>223</v>
      </c>
      <c r="B227" s="182" t="s">
        <v>89</v>
      </c>
      <c r="C227" s="182" t="s">
        <v>89</v>
      </c>
      <c r="D227" s="175" t="s">
        <v>38</v>
      </c>
      <c r="E227" s="175" t="s">
        <v>1253</v>
      </c>
      <c r="F227" s="175" t="s">
        <v>1259</v>
      </c>
      <c r="G227" s="166" t="s">
        <v>414</v>
      </c>
      <c r="H227" s="152" t="s">
        <v>92</v>
      </c>
      <c r="I227" s="186" t="s">
        <v>1346</v>
      </c>
      <c r="J227" s="184" t="s">
        <v>1347</v>
      </c>
      <c r="K227" s="169">
        <v>2</v>
      </c>
      <c r="L227" s="170" t="s">
        <v>47</v>
      </c>
      <c r="M227" s="169">
        <v>5</v>
      </c>
      <c r="N227" s="170" t="str">
        <f t="shared" ca="1" si="6"/>
        <v/>
      </c>
      <c r="O227" s="79"/>
      <c r="P227" s="175"/>
      <c r="Q227" s="80"/>
      <c r="R227" s="80"/>
      <c r="S227" s="80"/>
      <c r="T227" s="80"/>
      <c r="U227" s="80"/>
      <c r="V227" s="80"/>
      <c r="W227" s="80"/>
      <c r="X227" s="80"/>
    </row>
    <row r="228" spans="1:24" s="69" customFormat="1" ht="20.100000000000001" customHeight="1" x14ac:dyDescent="0.15">
      <c r="A228" s="174">
        <f t="shared" si="5"/>
        <v>224</v>
      </c>
      <c r="B228" s="182" t="s">
        <v>89</v>
      </c>
      <c r="C228" s="182" t="s">
        <v>89</v>
      </c>
      <c r="D228" s="175" t="s">
        <v>38</v>
      </c>
      <c r="E228" s="175" t="s">
        <v>1253</v>
      </c>
      <c r="F228" s="175" t="s">
        <v>1264</v>
      </c>
      <c r="G228" s="166" t="s">
        <v>414</v>
      </c>
      <c r="H228" s="152" t="s">
        <v>92</v>
      </c>
      <c r="I228" s="186" t="s">
        <v>1247</v>
      </c>
      <c r="J228" s="184" t="s">
        <v>1348</v>
      </c>
      <c r="K228" s="169">
        <v>1</v>
      </c>
      <c r="L228" s="170" t="s">
        <v>47</v>
      </c>
      <c r="M228" s="169">
        <v>5</v>
      </c>
      <c r="N228" s="170" t="str">
        <f t="shared" ca="1" si="6"/>
        <v/>
      </c>
      <c r="O228" s="79"/>
      <c r="P228" s="175"/>
      <c r="Q228" s="80"/>
      <c r="R228" s="80"/>
      <c r="S228" s="80"/>
      <c r="T228" s="80"/>
      <c r="U228" s="80"/>
      <c r="V228" s="80"/>
      <c r="W228" s="80"/>
      <c r="X228" s="80"/>
    </row>
    <row r="229" spans="1:24" s="69" customFormat="1" ht="20.100000000000001" customHeight="1" x14ac:dyDescent="0.15">
      <c r="A229" s="174">
        <f t="shared" si="5"/>
        <v>225</v>
      </c>
      <c r="B229" s="182" t="s">
        <v>89</v>
      </c>
      <c r="C229" s="182" t="s">
        <v>89</v>
      </c>
      <c r="D229" s="175" t="s">
        <v>38</v>
      </c>
      <c r="E229" s="175" t="s">
        <v>1253</v>
      </c>
      <c r="F229" s="175" t="s">
        <v>1263</v>
      </c>
      <c r="G229" s="166" t="s">
        <v>414</v>
      </c>
      <c r="H229" s="152" t="s">
        <v>92</v>
      </c>
      <c r="I229" s="186" t="s">
        <v>1349</v>
      </c>
      <c r="J229" s="184" t="s">
        <v>1350</v>
      </c>
      <c r="K229" s="169">
        <v>1</v>
      </c>
      <c r="L229" s="170" t="s">
        <v>47</v>
      </c>
      <c r="M229" s="169">
        <v>5</v>
      </c>
      <c r="N229" s="170" t="str">
        <f t="shared" ca="1" si="6"/>
        <v/>
      </c>
      <c r="O229" s="79"/>
      <c r="P229" s="175"/>
      <c r="Q229" s="80"/>
      <c r="R229" s="80"/>
      <c r="S229" s="80"/>
      <c r="T229" s="80"/>
      <c r="U229" s="80"/>
      <c r="V229" s="80"/>
      <c r="W229" s="80"/>
      <c r="X229" s="80"/>
    </row>
    <row r="230" spans="1:24" s="69" customFormat="1" ht="20.100000000000001" customHeight="1" x14ac:dyDescent="0.15">
      <c r="A230" s="174">
        <f t="shared" si="5"/>
        <v>226</v>
      </c>
      <c r="B230" s="182" t="s">
        <v>89</v>
      </c>
      <c r="C230" s="182" t="s">
        <v>89</v>
      </c>
      <c r="D230" s="175" t="s">
        <v>38</v>
      </c>
      <c r="E230" s="175" t="s">
        <v>1253</v>
      </c>
      <c r="F230" s="175" t="s">
        <v>1262</v>
      </c>
      <c r="G230" s="166" t="s">
        <v>414</v>
      </c>
      <c r="H230" s="152" t="s">
        <v>92</v>
      </c>
      <c r="I230" s="186" t="s">
        <v>1351</v>
      </c>
      <c r="J230" s="184" t="s">
        <v>1352</v>
      </c>
      <c r="K230" s="169">
        <v>1</v>
      </c>
      <c r="L230" s="170" t="s">
        <v>47</v>
      </c>
      <c r="M230" s="169">
        <v>5</v>
      </c>
      <c r="N230" s="170" t="str">
        <f t="shared" ca="1" si="6"/>
        <v/>
      </c>
      <c r="O230" s="79"/>
      <c r="P230" s="175"/>
      <c r="Q230" s="80"/>
      <c r="R230" s="80"/>
      <c r="S230" s="80"/>
      <c r="T230" s="80"/>
      <c r="U230" s="80"/>
      <c r="V230" s="80"/>
      <c r="W230" s="80"/>
      <c r="X230" s="80"/>
    </row>
    <row r="231" spans="1:24" s="69" customFormat="1" ht="20.100000000000001" customHeight="1" x14ac:dyDescent="0.15">
      <c r="A231" s="174">
        <f t="shared" si="5"/>
        <v>227</v>
      </c>
      <c r="B231" s="181" t="s">
        <v>89</v>
      </c>
      <c r="C231" s="181" t="s">
        <v>89</v>
      </c>
      <c r="D231" s="175" t="s">
        <v>38</v>
      </c>
      <c r="E231" s="182" t="s">
        <v>1327</v>
      </c>
      <c r="F231" s="182" t="s">
        <v>1336</v>
      </c>
      <c r="G231" s="166" t="s">
        <v>348</v>
      </c>
      <c r="H231" s="152" t="s">
        <v>92</v>
      </c>
      <c r="I231" s="186" t="s">
        <v>1337</v>
      </c>
      <c r="J231" s="184" t="s">
        <v>1338</v>
      </c>
      <c r="K231" s="175"/>
      <c r="L231" s="168" t="s">
        <v>55</v>
      </c>
      <c r="M231" s="175"/>
      <c r="N231" s="170" t="str">
        <f t="shared" ca="1" si="6"/>
        <v>即将到期</v>
      </c>
      <c r="O231" s="79"/>
      <c r="P231" s="175"/>
      <c r="Q231" s="80"/>
      <c r="R231" s="80"/>
      <c r="S231" s="80"/>
      <c r="T231" s="80"/>
      <c r="U231" s="80"/>
      <c r="V231" s="80"/>
      <c r="W231" s="80"/>
      <c r="X231" s="80"/>
    </row>
    <row r="232" spans="1:24" ht="21.95" customHeight="1" x14ac:dyDescent="0.15">
      <c r="A232" s="174">
        <f t="shared" si="5"/>
        <v>228</v>
      </c>
      <c r="B232" s="121" t="s">
        <v>147</v>
      </c>
      <c r="C232" s="171" t="s">
        <v>89</v>
      </c>
      <c r="D232" s="61" t="s">
        <v>192</v>
      </c>
      <c r="E232" s="61" t="s">
        <v>193</v>
      </c>
      <c r="F232" s="62" t="s">
        <v>194</v>
      </c>
      <c r="G232" s="62" t="s">
        <v>348</v>
      </c>
      <c r="H232" s="109" t="s">
        <v>195</v>
      </c>
      <c r="I232" s="109" t="s">
        <v>96</v>
      </c>
      <c r="J232" s="191" t="s">
        <v>1271</v>
      </c>
      <c r="K232" s="162">
        <v>5</v>
      </c>
      <c r="L232" s="74" t="s">
        <v>47</v>
      </c>
      <c r="M232" s="170">
        <v>6</v>
      </c>
      <c r="N232" s="170" t="str">
        <f t="shared" ca="1" si="6"/>
        <v/>
      </c>
      <c r="O232" s="66"/>
      <c r="P232" s="67"/>
    </row>
    <row r="233" spans="1:24" ht="21.95" customHeight="1" x14ac:dyDescent="0.15">
      <c r="A233" s="174">
        <f t="shared" si="5"/>
        <v>229</v>
      </c>
      <c r="B233" s="145" t="s">
        <v>147</v>
      </c>
      <c r="C233" s="171" t="s">
        <v>89</v>
      </c>
      <c r="D233" s="138" t="s">
        <v>192</v>
      </c>
      <c r="E233" s="138" t="s">
        <v>193</v>
      </c>
      <c r="F233" s="150" t="s">
        <v>750</v>
      </c>
      <c r="G233" s="139" t="s">
        <v>348</v>
      </c>
      <c r="H233" s="136" t="s">
        <v>92</v>
      </c>
      <c r="I233" s="136" t="s">
        <v>92</v>
      </c>
      <c r="J233" s="191" t="s">
        <v>1279</v>
      </c>
      <c r="K233" s="175"/>
      <c r="L233" s="168" t="s">
        <v>55</v>
      </c>
      <c r="M233" s="175"/>
      <c r="N233" s="170" t="str">
        <f t="shared" ca="1" si="6"/>
        <v/>
      </c>
      <c r="O233" s="66"/>
      <c r="P233" s="137"/>
    </row>
    <row r="234" spans="1:24" s="69" customFormat="1" ht="21.95" customHeight="1" x14ac:dyDescent="0.15">
      <c r="A234" s="174">
        <f t="shared" si="5"/>
        <v>230</v>
      </c>
      <c r="B234" s="155" t="s">
        <v>89</v>
      </c>
      <c r="C234" s="155" t="s">
        <v>89</v>
      </c>
      <c r="D234" s="61" t="s">
        <v>192</v>
      </c>
      <c r="E234" s="61" t="s">
        <v>193</v>
      </c>
      <c r="F234" s="61" t="s">
        <v>404</v>
      </c>
      <c r="G234" s="62" t="s">
        <v>405</v>
      </c>
      <c r="H234" s="109" t="s">
        <v>463</v>
      </c>
      <c r="I234" s="152" t="s">
        <v>92</v>
      </c>
      <c r="J234" s="191" t="s">
        <v>1279</v>
      </c>
      <c r="K234" s="175"/>
      <c r="L234" s="168" t="s">
        <v>55</v>
      </c>
      <c r="M234" s="175"/>
      <c r="N234" s="170" t="str">
        <f t="shared" ca="1" si="6"/>
        <v/>
      </c>
      <c r="O234" s="79"/>
      <c r="P234" s="61"/>
    </row>
    <row r="235" spans="1:24" s="69" customFormat="1" ht="20.100000000000001" customHeight="1" x14ac:dyDescent="0.15">
      <c r="A235" s="174">
        <f t="shared" si="5"/>
        <v>231</v>
      </c>
      <c r="B235" s="181" t="s">
        <v>89</v>
      </c>
      <c r="C235" s="181" t="s">
        <v>89</v>
      </c>
      <c r="D235" s="175" t="s">
        <v>38</v>
      </c>
      <c r="E235" s="182" t="s">
        <v>1327</v>
      </c>
      <c r="F235" s="182" t="s">
        <v>1489</v>
      </c>
      <c r="G235" s="166" t="s">
        <v>348</v>
      </c>
      <c r="H235" s="152" t="s">
        <v>92</v>
      </c>
      <c r="I235" s="186" t="s">
        <v>1362</v>
      </c>
      <c r="J235" s="184" t="s">
        <v>1363</v>
      </c>
      <c r="K235" s="175"/>
      <c r="L235" s="168" t="s">
        <v>55</v>
      </c>
      <c r="M235" s="175"/>
      <c r="N235" s="170" t="str">
        <f t="shared" ca="1" si="6"/>
        <v>即将到期</v>
      </c>
      <c r="O235" s="79"/>
      <c r="P235" s="175"/>
      <c r="Q235" s="80"/>
      <c r="R235" s="80"/>
      <c r="S235" s="80"/>
      <c r="T235" s="80"/>
      <c r="U235" s="80"/>
      <c r="V235" s="80"/>
      <c r="W235" s="80"/>
      <c r="X235" s="80"/>
    </row>
    <row r="236" spans="1:24" s="69" customFormat="1" ht="20.100000000000001" customHeight="1" x14ac:dyDescent="0.15">
      <c r="A236" s="174">
        <f t="shared" si="5"/>
        <v>232</v>
      </c>
      <c r="B236" s="175" t="s">
        <v>828</v>
      </c>
      <c r="C236" s="175" t="s">
        <v>828</v>
      </c>
      <c r="D236" s="178" t="s">
        <v>165</v>
      </c>
      <c r="E236" s="178" t="s">
        <v>540</v>
      </c>
      <c r="F236" s="182" t="s">
        <v>829</v>
      </c>
      <c r="G236" s="166" t="s">
        <v>405</v>
      </c>
      <c r="H236" s="152" t="s">
        <v>883</v>
      </c>
      <c r="I236" s="180" t="s">
        <v>884</v>
      </c>
      <c r="J236" s="184" t="s">
        <v>1270</v>
      </c>
      <c r="K236" s="162">
        <v>5</v>
      </c>
      <c r="L236" s="74" t="s">
        <v>47</v>
      </c>
      <c r="M236" s="169">
        <v>7</v>
      </c>
      <c r="N236" s="170" t="str">
        <f t="shared" ca="1" si="6"/>
        <v/>
      </c>
      <c r="O236" s="79"/>
      <c r="P236" s="175"/>
      <c r="Q236" s="80"/>
      <c r="R236" s="80"/>
      <c r="S236" s="80"/>
      <c r="T236" s="80"/>
      <c r="U236" s="80"/>
      <c r="V236" s="80"/>
      <c r="W236" s="80"/>
      <c r="X236" s="80"/>
    </row>
    <row r="237" spans="1:24" ht="21.95" customHeight="1" x14ac:dyDescent="0.15">
      <c r="A237" s="174">
        <f t="shared" ref="A237:A441" si="7">ROW()-4</f>
        <v>233</v>
      </c>
      <c r="B237" s="145" t="s">
        <v>147</v>
      </c>
      <c r="C237" s="171" t="s">
        <v>89</v>
      </c>
      <c r="D237" s="138" t="s">
        <v>192</v>
      </c>
      <c r="E237" s="138" t="s">
        <v>336</v>
      </c>
      <c r="F237" s="182" t="s">
        <v>1331</v>
      </c>
      <c r="G237" s="150" t="s">
        <v>405</v>
      </c>
      <c r="H237" s="151" t="s">
        <v>92</v>
      </c>
      <c r="I237" s="152" t="s">
        <v>784</v>
      </c>
      <c r="J237" s="184" t="s">
        <v>889</v>
      </c>
      <c r="K237" s="162">
        <v>8</v>
      </c>
      <c r="L237" s="170" t="s">
        <v>47</v>
      </c>
      <c r="M237" s="170">
        <v>8</v>
      </c>
      <c r="N237" s="170" t="str">
        <f t="shared" ca="1" si="6"/>
        <v/>
      </c>
      <c r="O237" s="79"/>
      <c r="P237" s="138"/>
    </row>
    <row r="238" spans="1:24" s="69" customFormat="1" ht="20.100000000000001" customHeight="1" x14ac:dyDescent="0.15">
      <c r="A238" s="174">
        <f t="shared" si="7"/>
        <v>234</v>
      </c>
      <c r="B238" s="181" t="s">
        <v>89</v>
      </c>
      <c r="C238" s="181" t="s">
        <v>89</v>
      </c>
      <c r="D238" s="175" t="s">
        <v>1223</v>
      </c>
      <c r="E238" s="175" t="s">
        <v>1320</v>
      </c>
      <c r="F238" s="182" t="s">
        <v>1625</v>
      </c>
      <c r="G238" s="166" t="s">
        <v>348</v>
      </c>
      <c r="H238" s="152" t="s">
        <v>92</v>
      </c>
      <c r="I238" s="186" t="s">
        <v>1626</v>
      </c>
      <c r="J238" s="184" t="s">
        <v>1627</v>
      </c>
      <c r="K238" s="162">
        <v>2</v>
      </c>
      <c r="L238" s="170" t="s">
        <v>47</v>
      </c>
      <c r="M238" s="169">
        <v>10</v>
      </c>
      <c r="N238" s="170" t="str">
        <f t="shared" ca="1" si="6"/>
        <v/>
      </c>
      <c r="O238" s="79"/>
      <c r="P238" s="175"/>
      <c r="Q238" s="80"/>
      <c r="R238" s="80"/>
      <c r="S238" s="80"/>
      <c r="T238" s="80"/>
      <c r="U238" s="80"/>
      <c r="V238" s="80"/>
      <c r="W238" s="80"/>
      <c r="X238" s="80"/>
    </row>
    <row r="239" spans="1:24" s="69" customFormat="1" ht="19.5" customHeight="1" x14ac:dyDescent="0.15">
      <c r="A239" s="174">
        <f t="shared" si="7"/>
        <v>235</v>
      </c>
      <c r="B239" s="181" t="s">
        <v>89</v>
      </c>
      <c r="C239" s="181" t="s">
        <v>89</v>
      </c>
      <c r="D239" s="182" t="s">
        <v>38</v>
      </c>
      <c r="E239" s="182" t="s">
        <v>1386</v>
      </c>
      <c r="F239" s="182" t="s">
        <v>1486</v>
      </c>
      <c r="G239" s="166" t="s">
        <v>1378</v>
      </c>
      <c r="H239" s="152" t="s">
        <v>92</v>
      </c>
      <c r="I239" s="193" t="s">
        <v>1487</v>
      </c>
      <c r="J239" s="184" t="s">
        <v>1488</v>
      </c>
      <c r="K239" s="175"/>
      <c r="L239" s="168" t="s">
        <v>55</v>
      </c>
      <c r="M239" s="175"/>
      <c r="N239" s="170" t="str">
        <f t="shared" ca="1" si="6"/>
        <v/>
      </c>
      <c r="O239" s="79"/>
      <c r="P239" s="175"/>
      <c r="Q239" s="80"/>
      <c r="R239" s="80"/>
      <c r="S239" s="80"/>
      <c r="T239" s="80"/>
      <c r="U239" s="80"/>
      <c r="V239" s="80"/>
      <c r="W239" s="80"/>
      <c r="X239" s="80"/>
    </row>
    <row r="240" spans="1:24" s="69" customFormat="1" ht="19.5" customHeight="1" x14ac:dyDescent="0.15">
      <c r="A240" s="174">
        <f t="shared" si="7"/>
        <v>236</v>
      </c>
      <c r="B240" s="181" t="s">
        <v>89</v>
      </c>
      <c r="C240" s="181" t="s">
        <v>89</v>
      </c>
      <c r="D240" s="182" t="s">
        <v>165</v>
      </c>
      <c r="E240" s="182" t="s">
        <v>58</v>
      </c>
      <c r="F240" s="182" t="s">
        <v>1387</v>
      </c>
      <c r="G240" s="166" t="s">
        <v>1378</v>
      </c>
      <c r="H240" s="152" t="s">
        <v>92</v>
      </c>
      <c r="I240" s="186" t="s">
        <v>1448</v>
      </c>
      <c r="J240" s="184" t="s">
        <v>1628</v>
      </c>
      <c r="K240" s="175"/>
      <c r="L240" s="168" t="s">
        <v>55</v>
      </c>
      <c r="M240" s="175"/>
      <c r="N240" s="170" t="str">
        <f t="shared" ca="1" si="6"/>
        <v>即将到期</v>
      </c>
      <c r="O240" s="79"/>
      <c r="P240" s="175"/>
      <c r="Q240" s="80"/>
      <c r="R240" s="80"/>
      <c r="S240" s="80"/>
      <c r="T240" s="80"/>
      <c r="U240" s="80"/>
      <c r="V240" s="80"/>
      <c r="W240" s="80"/>
      <c r="X240" s="80"/>
    </row>
    <row r="241" spans="1:24" s="69" customFormat="1" ht="19.5" customHeight="1" x14ac:dyDescent="0.15">
      <c r="A241" s="174">
        <f t="shared" si="7"/>
        <v>237</v>
      </c>
      <c r="B241" s="181" t="s">
        <v>89</v>
      </c>
      <c r="C241" s="181" t="s">
        <v>89</v>
      </c>
      <c r="D241" s="182" t="s">
        <v>38</v>
      </c>
      <c r="E241" s="182" t="s">
        <v>1386</v>
      </c>
      <c r="F241" s="182" t="s">
        <v>1509</v>
      </c>
      <c r="G241" s="166" t="s">
        <v>1378</v>
      </c>
      <c r="H241" s="152" t="s">
        <v>92</v>
      </c>
      <c r="I241" s="186" t="s">
        <v>1510</v>
      </c>
      <c r="J241" s="184" t="s">
        <v>1511</v>
      </c>
      <c r="K241" s="175"/>
      <c r="L241" s="168" t="s">
        <v>55</v>
      </c>
      <c r="M241" s="175"/>
      <c r="N241" s="170" t="str">
        <f t="shared" ca="1" si="6"/>
        <v/>
      </c>
      <c r="O241" s="79"/>
      <c r="P241" s="175"/>
      <c r="Q241" s="80"/>
      <c r="R241" s="80"/>
      <c r="S241" s="80"/>
      <c r="T241" s="80"/>
      <c r="U241" s="80"/>
      <c r="V241" s="80"/>
      <c r="W241" s="80"/>
      <c r="X241" s="80"/>
    </row>
    <row r="242" spans="1:24" s="69" customFormat="1" ht="20.100000000000001" customHeight="1" x14ac:dyDescent="0.15">
      <c r="A242" s="174">
        <f t="shared" si="7"/>
        <v>238</v>
      </c>
      <c r="B242" s="181" t="s">
        <v>89</v>
      </c>
      <c r="C242" s="181" t="s">
        <v>89</v>
      </c>
      <c r="D242" s="175" t="s">
        <v>38</v>
      </c>
      <c r="E242" s="175" t="s">
        <v>1386</v>
      </c>
      <c r="F242" s="182" t="s">
        <v>1512</v>
      </c>
      <c r="G242" s="166" t="s">
        <v>1378</v>
      </c>
      <c r="H242" s="152" t="s">
        <v>92</v>
      </c>
      <c r="I242" s="186" t="s">
        <v>1513</v>
      </c>
      <c r="J242" s="184" t="s">
        <v>1514</v>
      </c>
      <c r="K242" s="175"/>
      <c r="L242" s="168" t="s">
        <v>55</v>
      </c>
      <c r="M242" s="175"/>
      <c r="N242" s="170" t="str">
        <f t="shared" ca="1" si="6"/>
        <v/>
      </c>
      <c r="O242" s="79"/>
      <c r="P242" s="175"/>
      <c r="Q242" s="80"/>
      <c r="R242" s="80"/>
      <c r="S242" s="80"/>
      <c r="T242" s="80"/>
      <c r="U242" s="80"/>
      <c r="V242" s="80"/>
      <c r="W242" s="80"/>
      <c r="X242" s="80"/>
    </row>
    <row r="243" spans="1:24" s="69" customFormat="1" ht="20.100000000000001" customHeight="1" x14ac:dyDescent="0.15">
      <c r="A243" s="174">
        <f t="shared" si="7"/>
        <v>239</v>
      </c>
      <c r="B243" s="181" t="s">
        <v>89</v>
      </c>
      <c r="C243" s="181" t="s">
        <v>89</v>
      </c>
      <c r="D243" s="175" t="s">
        <v>38</v>
      </c>
      <c r="E243" s="175" t="s">
        <v>1386</v>
      </c>
      <c r="F243" s="182" t="s">
        <v>1515</v>
      </c>
      <c r="G243" s="166" t="s">
        <v>1378</v>
      </c>
      <c r="H243" s="152" t="s">
        <v>92</v>
      </c>
      <c r="I243" s="186" t="s">
        <v>1513</v>
      </c>
      <c r="J243" s="184" t="s">
        <v>1514</v>
      </c>
      <c r="K243" s="175"/>
      <c r="L243" s="168" t="s">
        <v>55</v>
      </c>
      <c r="M243" s="175"/>
      <c r="N243" s="170" t="str">
        <f t="shared" ca="1" si="6"/>
        <v/>
      </c>
      <c r="O243" s="79"/>
      <c r="P243" s="175"/>
      <c r="Q243" s="80"/>
      <c r="R243" s="80"/>
      <c r="S243" s="80"/>
      <c r="T243" s="80"/>
      <c r="U243" s="80"/>
      <c r="V243" s="80"/>
      <c r="W243" s="80"/>
      <c r="X243" s="80"/>
    </row>
    <row r="244" spans="1:24" s="69" customFormat="1" ht="20.100000000000001" customHeight="1" x14ac:dyDescent="0.15">
      <c r="A244" s="174">
        <f t="shared" si="7"/>
        <v>240</v>
      </c>
      <c r="B244" s="181" t="s">
        <v>89</v>
      </c>
      <c r="C244" s="181" t="s">
        <v>89</v>
      </c>
      <c r="D244" s="175" t="s">
        <v>38</v>
      </c>
      <c r="E244" s="175" t="s">
        <v>1386</v>
      </c>
      <c r="F244" s="182" t="s">
        <v>1516</v>
      </c>
      <c r="G244" s="166" t="s">
        <v>1378</v>
      </c>
      <c r="H244" s="152" t="s">
        <v>92</v>
      </c>
      <c r="I244" s="186" t="s">
        <v>1517</v>
      </c>
      <c r="J244" s="184" t="s">
        <v>1518</v>
      </c>
      <c r="K244" s="175"/>
      <c r="L244" s="168" t="s">
        <v>55</v>
      </c>
      <c r="M244" s="175"/>
      <c r="N244" s="170" t="str">
        <f t="shared" ca="1" si="6"/>
        <v/>
      </c>
      <c r="O244" s="79"/>
      <c r="P244" s="175"/>
      <c r="Q244" s="80"/>
      <c r="R244" s="80"/>
      <c r="S244" s="80"/>
      <c r="T244" s="80"/>
      <c r="U244" s="80"/>
      <c r="V244" s="80"/>
      <c r="W244" s="80"/>
      <c r="X244" s="80"/>
    </row>
    <row r="245" spans="1:24" s="69" customFormat="1" ht="19.5" customHeight="1" x14ac:dyDescent="0.15">
      <c r="A245" s="174">
        <f t="shared" si="7"/>
        <v>241</v>
      </c>
      <c r="B245" s="181" t="s">
        <v>89</v>
      </c>
      <c r="C245" s="181" t="s">
        <v>89</v>
      </c>
      <c r="D245" s="182" t="s">
        <v>38</v>
      </c>
      <c r="E245" s="182" t="s">
        <v>1386</v>
      </c>
      <c r="F245" s="182" t="s">
        <v>1389</v>
      </c>
      <c r="G245" s="166" t="s">
        <v>1378</v>
      </c>
      <c r="H245" s="152" t="s">
        <v>92</v>
      </c>
      <c r="I245" s="186" t="s">
        <v>1519</v>
      </c>
      <c r="J245" s="184" t="s">
        <v>1281</v>
      </c>
      <c r="K245" s="175"/>
      <c r="L245" s="168" t="s">
        <v>55</v>
      </c>
      <c r="M245" s="175"/>
      <c r="N245" s="170" t="str">
        <f t="shared" ca="1" si="6"/>
        <v/>
      </c>
      <c r="O245" s="79"/>
      <c r="P245" s="175"/>
      <c r="Q245" s="80"/>
      <c r="R245" s="80"/>
      <c r="S245" s="80"/>
      <c r="T245" s="80"/>
      <c r="U245" s="80"/>
      <c r="V245" s="80"/>
      <c r="W245" s="80"/>
      <c r="X245" s="80"/>
    </row>
    <row r="246" spans="1:24" s="69" customFormat="1" ht="19.5" customHeight="1" x14ac:dyDescent="0.15">
      <c r="A246" s="174">
        <f t="shared" si="7"/>
        <v>242</v>
      </c>
      <c r="B246" s="181" t="s">
        <v>89</v>
      </c>
      <c r="C246" s="181" t="s">
        <v>89</v>
      </c>
      <c r="D246" s="182" t="s">
        <v>38</v>
      </c>
      <c r="E246" s="182" t="s">
        <v>1386</v>
      </c>
      <c r="F246" s="182" t="s">
        <v>1388</v>
      </c>
      <c r="G246" s="166" t="s">
        <v>1378</v>
      </c>
      <c r="H246" s="152" t="s">
        <v>92</v>
      </c>
      <c r="I246" s="186" t="s">
        <v>1563</v>
      </c>
      <c r="J246" s="184" t="s">
        <v>1564</v>
      </c>
      <c r="K246" s="175"/>
      <c r="L246" s="168" t="s">
        <v>55</v>
      </c>
      <c r="M246" s="175"/>
      <c r="N246" s="170" t="str">
        <f t="shared" ca="1" si="6"/>
        <v/>
      </c>
      <c r="O246" s="79"/>
      <c r="P246" s="175"/>
      <c r="Q246" s="80"/>
      <c r="R246" s="80"/>
      <c r="S246" s="80"/>
      <c r="T246" s="80"/>
      <c r="U246" s="80"/>
      <c r="V246" s="80"/>
      <c r="W246" s="80"/>
      <c r="X246" s="80"/>
    </row>
    <row r="247" spans="1:24" s="69" customFormat="1" ht="20.100000000000001" customHeight="1" x14ac:dyDescent="0.15">
      <c r="A247" s="174">
        <f t="shared" si="7"/>
        <v>243</v>
      </c>
      <c r="B247" s="181" t="s">
        <v>89</v>
      </c>
      <c r="C247" s="181" t="s">
        <v>89</v>
      </c>
      <c r="D247" s="175" t="s">
        <v>1223</v>
      </c>
      <c r="E247" s="175" t="s">
        <v>1376</v>
      </c>
      <c r="F247" s="175" t="s">
        <v>1377</v>
      </c>
      <c r="G247" s="166" t="s">
        <v>349</v>
      </c>
      <c r="H247" s="152" t="s">
        <v>92</v>
      </c>
      <c r="I247" s="186" t="s">
        <v>1517</v>
      </c>
      <c r="J247" s="184" t="s">
        <v>1518</v>
      </c>
      <c r="K247" s="175"/>
      <c r="L247" s="168" t="s">
        <v>55</v>
      </c>
      <c r="M247" s="175"/>
      <c r="N247" s="170" t="str">
        <f t="shared" ca="1" si="6"/>
        <v/>
      </c>
      <c r="O247" s="79"/>
      <c r="P247" s="175"/>
      <c r="Q247" s="80"/>
      <c r="R247" s="80"/>
      <c r="S247" s="80"/>
      <c r="T247" s="80"/>
      <c r="U247" s="80"/>
      <c r="V247" s="80"/>
      <c r="W247" s="80"/>
      <c r="X247" s="80"/>
    </row>
    <row r="248" spans="1:24" ht="21.95" customHeight="1" x14ac:dyDescent="0.15">
      <c r="A248" s="174">
        <f t="shared" si="7"/>
        <v>244</v>
      </c>
      <c r="B248" s="153" t="s">
        <v>196</v>
      </c>
      <c r="C248" s="138" t="s">
        <v>196</v>
      </c>
      <c r="D248" s="138" t="s">
        <v>192</v>
      </c>
      <c r="E248" s="138" t="s">
        <v>361</v>
      </c>
      <c r="F248" s="153" t="s">
        <v>782</v>
      </c>
      <c r="G248" s="150" t="s">
        <v>405</v>
      </c>
      <c r="H248" s="151" t="s">
        <v>92</v>
      </c>
      <c r="I248" s="152" t="s">
        <v>783</v>
      </c>
      <c r="J248" s="190" t="s">
        <v>947</v>
      </c>
      <c r="K248" s="169">
        <v>3</v>
      </c>
      <c r="L248" s="170" t="s">
        <v>47</v>
      </c>
      <c r="M248" s="170">
        <v>7</v>
      </c>
      <c r="N248" s="170" t="str">
        <f t="shared" ca="1" si="6"/>
        <v/>
      </c>
      <c r="O248" s="79"/>
      <c r="P248" s="138"/>
    </row>
    <row r="249" spans="1:24" ht="21.95" customHeight="1" x14ac:dyDescent="0.15">
      <c r="A249" s="174">
        <f t="shared" si="7"/>
        <v>245</v>
      </c>
      <c r="B249" s="62" t="s">
        <v>196</v>
      </c>
      <c r="C249" s="62" t="s">
        <v>196</v>
      </c>
      <c r="D249" s="62" t="s">
        <v>197</v>
      </c>
      <c r="E249" s="62" t="s">
        <v>198</v>
      </c>
      <c r="F249" s="62" t="s">
        <v>199</v>
      </c>
      <c r="G249" s="62" t="s">
        <v>348</v>
      </c>
      <c r="H249" s="109" t="s">
        <v>123</v>
      </c>
      <c r="I249" s="109" t="s">
        <v>200</v>
      </c>
      <c r="J249" s="197" t="s">
        <v>1052</v>
      </c>
      <c r="K249" s="162"/>
      <c r="L249" s="168" t="s">
        <v>55</v>
      </c>
      <c r="M249" s="170"/>
      <c r="N249" s="170" t="str">
        <f t="shared" ca="1" si="6"/>
        <v/>
      </c>
      <c r="O249" s="66"/>
      <c r="P249" s="85"/>
    </row>
    <row r="250" spans="1:24" ht="21.95" customHeight="1" x14ac:dyDescent="0.15">
      <c r="A250" s="174">
        <f t="shared" si="7"/>
        <v>246</v>
      </c>
      <c r="B250" s="60" t="s">
        <v>196</v>
      </c>
      <c r="C250" s="60" t="s">
        <v>196</v>
      </c>
      <c r="D250" s="60" t="s">
        <v>197</v>
      </c>
      <c r="E250" s="62" t="s">
        <v>198</v>
      </c>
      <c r="F250" s="81" t="s">
        <v>201</v>
      </c>
      <c r="G250" s="62" t="s">
        <v>348</v>
      </c>
      <c r="H250" s="109" t="s">
        <v>123</v>
      </c>
      <c r="I250" s="105" t="s">
        <v>39</v>
      </c>
      <c r="J250" s="197" t="s">
        <v>1052</v>
      </c>
      <c r="K250" s="162"/>
      <c r="L250" s="168" t="s">
        <v>55</v>
      </c>
      <c r="M250" s="170"/>
      <c r="N250" s="170" t="str">
        <f t="shared" ca="1" si="6"/>
        <v/>
      </c>
      <c r="O250" s="66"/>
      <c r="P250" s="85"/>
    </row>
    <row r="251" spans="1:24" ht="21.95" customHeight="1" x14ac:dyDescent="0.15">
      <c r="A251" s="174">
        <f t="shared" si="7"/>
        <v>247</v>
      </c>
      <c r="B251" s="60" t="s">
        <v>196</v>
      </c>
      <c r="C251" s="60" t="s">
        <v>196</v>
      </c>
      <c r="D251" s="61" t="s">
        <v>197</v>
      </c>
      <c r="E251" s="62" t="s">
        <v>198</v>
      </c>
      <c r="F251" s="81" t="s">
        <v>202</v>
      </c>
      <c r="G251" s="62" t="s">
        <v>348</v>
      </c>
      <c r="H251" s="109" t="s">
        <v>123</v>
      </c>
      <c r="I251" s="109" t="s">
        <v>203</v>
      </c>
      <c r="J251" s="197" t="s">
        <v>1052</v>
      </c>
      <c r="K251" s="162"/>
      <c r="L251" s="168" t="s">
        <v>55</v>
      </c>
      <c r="M251" s="170"/>
      <c r="N251" s="170" t="str">
        <f t="shared" ca="1" si="6"/>
        <v/>
      </c>
      <c r="O251" s="66"/>
      <c r="P251" s="85"/>
    </row>
    <row r="252" spans="1:24" ht="21.95" customHeight="1" x14ac:dyDescent="0.15">
      <c r="A252" s="174">
        <f t="shared" si="7"/>
        <v>248</v>
      </c>
      <c r="B252" s="60" t="s">
        <v>196</v>
      </c>
      <c r="C252" s="60" t="s">
        <v>196</v>
      </c>
      <c r="D252" s="61" t="s">
        <v>197</v>
      </c>
      <c r="E252" s="62" t="s">
        <v>198</v>
      </c>
      <c r="F252" s="81" t="s">
        <v>204</v>
      </c>
      <c r="G252" s="62" t="s">
        <v>348</v>
      </c>
      <c r="H252" s="109" t="s">
        <v>123</v>
      </c>
      <c r="I252" s="109" t="s">
        <v>606</v>
      </c>
      <c r="J252" s="197" t="s">
        <v>1052</v>
      </c>
      <c r="K252" s="162"/>
      <c r="L252" s="168" t="s">
        <v>55</v>
      </c>
      <c r="M252" s="170"/>
      <c r="N252" s="170" t="str">
        <f t="shared" ca="1" si="6"/>
        <v/>
      </c>
      <c r="O252" s="66"/>
      <c r="P252" s="85"/>
    </row>
    <row r="253" spans="1:24" s="69" customFormat="1" ht="20.100000000000001" customHeight="1" x14ac:dyDescent="0.15">
      <c r="A253" s="174">
        <f t="shared" si="7"/>
        <v>249</v>
      </c>
      <c r="B253" s="181" t="s">
        <v>196</v>
      </c>
      <c r="C253" s="181" t="s">
        <v>196</v>
      </c>
      <c r="D253" s="175" t="s">
        <v>197</v>
      </c>
      <c r="E253" s="175" t="s">
        <v>198</v>
      </c>
      <c r="F253" s="175" t="s">
        <v>1016</v>
      </c>
      <c r="G253" s="166" t="s">
        <v>405</v>
      </c>
      <c r="H253" s="152" t="s">
        <v>92</v>
      </c>
      <c r="I253" s="186" t="s">
        <v>1031</v>
      </c>
      <c r="J253" s="184" t="s">
        <v>1207</v>
      </c>
      <c r="K253" s="162"/>
      <c r="L253" s="168" t="s">
        <v>55</v>
      </c>
      <c r="M253" s="170"/>
      <c r="N253" s="170" t="str">
        <f t="shared" ca="1" si="6"/>
        <v/>
      </c>
      <c r="O253" s="79"/>
      <c r="P253" s="175"/>
      <c r="Q253" s="80"/>
      <c r="R253" s="80"/>
      <c r="S253" s="80"/>
      <c r="T253" s="80"/>
      <c r="U253" s="80"/>
      <c r="V253" s="80"/>
      <c r="W253" s="80"/>
      <c r="X253" s="80"/>
    </row>
    <row r="254" spans="1:24" ht="21.95" customHeight="1" x14ac:dyDescent="0.15">
      <c r="A254" s="174">
        <f t="shared" si="7"/>
        <v>250</v>
      </c>
      <c r="B254" s="60" t="s">
        <v>196</v>
      </c>
      <c r="C254" s="60" t="s">
        <v>196</v>
      </c>
      <c r="D254" s="61" t="s">
        <v>197</v>
      </c>
      <c r="E254" s="61" t="s">
        <v>205</v>
      </c>
      <c r="F254" s="62" t="s">
        <v>454</v>
      </c>
      <c r="G254" s="62" t="s">
        <v>348</v>
      </c>
      <c r="H254" s="109" t="s">
        <v>123</v>
      </c>
      <c r="I254" s="109" t="s">
        <v>607</v>
      </c>
      <c r="J254" s="144" t="s">
        <v>1155</v>
      </c>
      <c r="K254" s="175"/>
      <c r="L254" s="168" t="s">
        <v>55</v>
      </c>
      <c r="M254" s="170"/>
      <c r="N254" s="170" t="str">
        <f t="shared" ca="1" si="6"/>
        <v/>
      </c>
      <c r="O254" s="66"/>
      <c r="P254" s="67" t="s">
        <v>461</v>
      </c>
    </row>
    <row r="255" spans="1:24" ht="21.95" customHeight="1" x14ac:dyDescent="0.15">
      <c r="A255" s="174">
        <f t="shared" si="7"/>
        <v>251</v>
      </c>
      <c r="B255" s="60" t="s">
        <v>196</v>
      </c>
      <c r="C255" s="60" t="s">
        <v>196</v>
      </c>
      <c r="D255" s="61" t="s">
        <v>197</v>
      </c>
      <c r="E255" s="61" t="s">
        <v>206</v>
      </c>
      <c r="F255" s="62" t="s">
        <v>207</v>
      </c>
      <c r="G255" s="62" t="s">
        <v>348</v>
      </c>
      <c r="H255" s="109" t="s">
        <v>123</v>
      </c>
      <c r="I255" s="109" t="s">
        <v>208</v>
      </c>
      <c r="J255" s="111" t="s">
        <v>1417</v>
      </c>
      <c r="K255" s="162"/>
      <c r="L255" s="168" t="s">
        <v>55</v>
      </c>
      <c r="M255" s="170"/>
      <c r="N255" s="170" t="str">
        <f t="shared" ca="1" si="6"/>
        <v/>
      </c>
      <c r="O255" s="66"/>
      <c r="P255" s="67"/>
    </row>
    <row r="256" spans="1:24" ht="21.95" customHeight="1" x14ac:dyDescent="0.15">
      <c r="A256" s="174">
        <f t="shared" si="7"/>
        <v>252</v>
      </c>
      <c r="B256" s="60" t="s">
        <v>196</v>
      </c>
      <c r="C256" s="60" t="s">
        <v>196</v>
      </c>
      <c r="D256" s="61" t="s">
        <v>292</v>
      </c>
      <c r="E256" s="60" t="s">
        <v>294</v>
      </c>
      <c r="F256" s="61" t="s">
        <v>295</v>
      </c>
      <c r="G256" s="62" t="s">
        <v>348</v>
      </c>
      <c r="H256" s="109" t="s">
        <v>566</v>
      </c>
      <c r="I256" s="109" t="s">
        <v>608</v>
      </c>
      <c r="J256" s="111" t="s">
        <v>1417</v>
      </c>
      <c r="K256" s="162"/>
      <c r="L256" s="168" t="s">
        <v>55</v>
      </c>
      <c r="M256" s="170"/>
      <c r="N256" s="170" t="str">
        <f t="shared" ca="1" si="6"/>
        <v/>
      </c>
      <c r="O256" s="76"/>
      <c r="P256" s="67"/>
    </row>
    <row r="257" spans="1:24" ht="21.95" customHeight="1" x14ac:dyDescent="0.15">
      <c r="A257" s="174">
        <f t="shared" si="7"/>
        <v>253</v>
      </c>
      <c r="B257" s="174" t="s">
        <v>196</v>
      </c>
      <c r="C257" s="174" t="s">
        <v>196</v>
      </c>
      <c r="D257" s="175" t="s">
        <v>449</v>
      </c>
      <c r="E257" s="174" t="s">
        <v>1420</v>
      </c>
      <c r="F257" s="175" t="s">
        <v>1421</v>
      </c>
      <c r="G257" s="166" t="s">
        <v>348</v>
      </c>
      <c r="H257" s="152" t="s">
        <v>92</v>
      </c>
      <c r="I257" s="152" t="s">
        <v>1419</v>
      </c>
      <c r="J257" s="111" t="s">
        <v>1416</v>
      </c>
      <c r="K257" s="162"/>
      <c r="L257" s="168" t="s">
        <v>55</v>
      </c>
      <c r="M257" s="170"/>
      <c r="N257" s="170" t="str">
        <f t="shared" ca="1" si="6"/>
        <v/>
      </c>
      <c r="O257" s="76"/>
      <c r="P257" s="137"/>
    </row>
    <row r="258" spans="1:24" ht="21.95" customHeight="1" x14ac:dyDescent="0.15">
      <c r="A258" s="174">
        <f t="shared" si="7"/>
        <v>254</v>
      </c>
      <c r="B258" s="174" t="s">
        <v>196</v>
      </c>
      <c r="C258" s="174" t="s">
        <v>196</v>
      </c>
      <c r="D258" s="175" t="s">
        <v>197</v>
      </c>
      <c r="E258" s="174" t="s">
        <v>540</v>
      </c>
      <c r="F258" s="175" t="s">
        <v>934</v>
      </c>
      <c r="G258" s="166" t="s">
        <v>405</v>
      </c>
      <c r="H258" s="152" t="s">
        <v>92</v>
      </c>
      <c r="I258" s="186" t="s">
        <v>1019</v>
      </c>
      <c r="J258" s="111" t="s">
        <v>1252</v>
      </c>
      <c r="K258" s="162">
        <v>5</v>
      </c>
      <c r="L258" s="74" t="s">
        <v>47</v>
      </c>
      <c r="M258" s="169">
        <v>5</v>
      </c>
      <c r="N258" s="170" t="str">
        <f t="shared" ca="1" si="6"/>
        <v/>
      </c>
      <c r="O258" s="76"/>
      <c r="P258" s="137"/>
    </row>
    <row r="259" spans="1:24" ht="21.95" customHeight="1" x14ac:dyDescent="0.15">
      <c r="A259" s="174">
        <f t="shared" si="7"/>
        <v>255</v>
      </c>
      <c r="B259" s="60" t="s">
        <v>196</v>
      </c>
      <c r="C259" s="60" t="s">
        <v>196</v>
      </c>
      <c r="D259" s="61" t="s">
        <v>292</v>
      </c>
      <c r="E259" s="60" t="s">
        <v>417</v>
      </c>
      <c r="F259" s="61" t="s">
        <v>293</v>
      </c>
      <c r="G259" s="62" t="s">
        <v>348</v>
      </c>
      <c r="H259" s="151" t="s">
        <v>92</v>
      </c>
      <c r="I259" s="151" t="s">
        <v>753</v>
      </c>
      <c r="J259" s="111" t="s">
        <v>1635</v>
      </c>
      <c r="K259" s="162"/>
      <c r="L259" s="168" t="s">
        <v>55</v>
      </c>
      <c r="M259" s="170"/>
      <c r="N259" s="170" t="str">
        <f t="shared" ca="1" si="6"/>
        <v/>
      </c>
      <c r="O259" s="76"/>
      <c r="P259" s="67" t="s">
        <v>418</v>
      </c>
    </row>
    <row r="260" spans="1:24" ht="21.95" customHeight="1" x14ac:dyDescent="0.15">
      <c r="A260" s="174">
        <f t="shared" si="7"/>
        <v>256</v>
      </c>
      <c r="B260" s="60" t="s">
        <v>196</v>
      </c>
      <c r="C260" s="60" t="s">
        <v>196</v>
      </c>
      <c r="D260" s="60" t="s">
        <v>215</v>
      </c>
      <c r="E260" s="61" t="s">
        <v>155</v>
      </c>
      <c r="F260" s="62" t="s">
        <v>216</v>
      </c>
      <c r="G260" s="62" t="s">
        <v>348</v>
      </c>
      <c r="H260" s="109" t="s">
        <v>123</v>
      </c>
      <c r="I260" s="109" t="s">
        <v>217</v>
      </c>
      <c r="J260" s="147" t="s">
        <v>1035</v>
      </c>
      <c r="K260" s="162"/>
      <c r="L260" s="168" t="s">
        <v>55</v>
      </c>
      <c r="M260" s="170"/>
      <c r="N260" s="170" t="str">
        <f t="shared" ca="1" si="6"/>
        <v>即将到期</v>
      </c>
      <c r="O260" s="66"/>
      <c r="P260" s="67"/>
    </row>
    <row r="261" spans="1:24" ht="21.95" customHeight="1" x14ac:dyDescent="0.15">
      <c r="A261" s="174">
        <f t="shared" si="7"/>
        <v>257</v>
      </c>
      <c r="B261" s="60" t="s">
        <v>196</v>
      </c>
      <c r="C261" s="60" t="s">
        <v>196</v>
      </c>
      <c r="D261" s="60" t="s">
        <v>215</v>
      </c>
      <c r="E261" s="61" t="s">
        <v>110</v>
      </c>
      <c r="F261" s="62" t="s">
        <v>609</v>
      </c>
      <c r="G261" s="62" t="s">
        <v>348</v>
      </c>
      <c r="H261" s="109" t="s">
        <v>123</v>
      </c>
      <c r="I261" s="110" t="s">
        <v>208</v>
      </c>
      <c r="J261" s="159" t="s">
        <v>1036</v>
      </c>
      <c r="K261" s="162"/>
      <c r="L261" s="168" t="s">
        <v>55</v>
      </c>
      <c r="M261" s="170"/>
      <c r="N261" s="170" t="str">
        <f t="shared" ca="1" si="6"/>
        <v>即将到期</v>
      </c>
      <c r="O261" s="66"/>
      <c r="P261" s="67"/>
    </row>
    <row r="262" spans="1:24" s="69" customFormat="1" ht="19.5" customHeight="1" x14ac:dyDescent="0.15">
      <c r="A262" s="174">
        <f t="shared" si="7"/>
        <v>258</v>
      </c>
      <c r="B262" s="181" t="s">
        <v>196</v>
      </c>
      <c r="C262" s="181" t="s">
        <v>196</v>
      </c>
      <c r="D262" s="182" t="s">
        <v>1391</v>
      </c>
      <c r="E262" s="182" t="s">
        <v>1392</v>
      </c>
      <c r="F262" s="182" t="s">
        <v>1393</v>
      </c>
      <c r="G262" s="166" t="s">
        <v>1378</v>
      </c>
      <c r="H262" s="152" t="s">
        <v>92</v>
      </c>
      <c r="I262" s="186" t="s">
        <v>1545</v>
      </c>
      <c r="J262" s="184" t="s">
        <v>1546</v>
      </c>
      <c r="K262" s="175"/>
      <c r="L262" s="168" t="s">
        <v>55</v>
      </c>
      <c r="M262" s="175"/>
      <c r="N262" s="170" t="str">
        <f t="shared" ca="1" si="6"/>
        <v/>
      </c>
      <c r="O262" s="79"/>
      <c r="P262" s="175"/>
      <c r="Q262" s="80"/>
      <c r="R262" s="80"/>
      <c r="S262" s="80"/>
      <c r="T262" s="80"/>
      <c r="U262" s="80"/>
      <c r="V262" s="80"/>
      <c r="W262" s="80"/>
      <c r="X262" s="80"/>
    </row>
    <row r="263" spans="1:24" s="69" customFormat="1" ht="19.5" customHeight="1" x14ac:dyDescent="0.15">
      <c r="A263" s="174">
        <f t="shared" si="7"/>
        <v>259</v>
      </c>
      <c r="B263" s="181" t="s">
        <v>196</v>
      </c>
      <c r="C263" s="181" t="s">
        <v>196</v>
      </c>
      <c r="D263" s="182" t="s">
        <v>1391</v>
      </c>
      <c r="E263" s="182" t="s">
        <v>1392</v>
      </c>
      <c r="F263" s="182" t="s">
        <v>1394</v>
      </c>
      <c r="G263" s="166" t="s">
        <v>1378</v>
      </c>
      <c r="H263" s="152" t="s">
        <v>92</v>
      </c>
      <c r="I263" s="186" t="s">
        <v>1543</v>
      </c>
      <c r="J263" s="184" t="s">
        <v>1544</v>
      </c>
      <c r="K263" s="175"/>
      <c r="L263" s="168" t="s">
        <v>55</v>
      </c>
      <c r="M263" s="175"/>
      <c r="N263" s="170" t="str">
        <f t="shared" ref="N263:N279" ca="1" si="8">IF(ISNUMBER(FIND(".",J263)),IF(AND(DATEVALUE(SUBSTITUTE(J263,".","/"))-TODAY()&lt;=90,DATEVALUE(SUBSTITUTE(J263,".","/"))-TODAY()&gt;0),"即将到期",""),"")</f>
        <v/>
      </c>
      <c r="O263" s="79"/>
      <c r="P263" s="175"/>
      <c r="Q263" s="80"/>
      <c r="R263" s="80"/>
      <c r="S263" s="80"/>
      <c r="T263" s="80"/>
      <c r="U263" s="80"/>
      <c r="V263" s="80"/>
      <c r="W263" s="80"/>
      <c r="X263" s="80"/>
    </row>
    <row r="264" spans="1:24" s="69" customFormat="1" ht="19.5" customHeight="1" x14ac:dyDescent="0.15">
      <c r="A264" s="174">
        <f t="shared" si="7"/>
        <v>260</v>
      </c>
      <c r="B264" s="181" t="s">
        <v>196</v>
      </c>
      <c r="C264" s="181" t="s">
        <v>196</v>
      </c>
      <c r="D264" s="182" t="s">
        <v>1391</v>
      </c>
      <c r="E264" s="182" t="s">
        <v>1392</v>
      </c>
      <c r="F264" s="182" t="s">
        <v>1395</v>
      </c>
      <c r="G264" s="166" t="s">
        <v>1378</v>
      </c>
      <c r="H264" s="152" t="s">
        <v>92</v>
      </c>
      <c r="I264" s="186" t="s">
        <v>1547</v>
      </c>
      <c r="J264" s="184" t="s">
        <v>1548</v>
      </c>
      <c r="K264" s="175"/>
      <c r="L264" s="168" t="s">
        <v>55</v>
      </c>
      <c r="M264" s="175"/>
      <c r="N264" s="170" t="str">
        <f t="shared" ca="1" si="8"/>
        <v/>
      </c>
      <c r="O264" s="79"/>
      <c r="P264" s="175"/>
      <c r="Q264" s="80"/>
      <c r="R264" s="80"/>
      <c r="S264" s="80"/>
      <c r="T264" s="80"/>
      <c r="U264" s="80"/>
      <c r="V264" s="80"/>
      <c r="W264" s="80"/>
      <c r="X264" s="80"/>
    </row>
    <row r="265" spans="1:24" s="69" customFormat="1" ht="19.5" customHeight="1" x14ac:dyDescent="0.15">
      <c r="A265" s="174">
        <f t="shared" si="7"/>
        <v>261</v>
      </c>
      <c r="B265" s="181" t="s">
        <v>196</v>
      </c>
      <c r="C265" s="181" t="s">
        <v>196</v>
      </c>
      <c r="D265" s="182" t="s">
        <v>1391</v>
      </c>
      <c r="E265" s="182" t="s">
        <v>1392</v>
      </c>
      <c r="F265" s="182" t="s">
        <v>1396</v>
      </c>
      <c r="G265" s="166" t="s">
        <v>1378</v>
      </c>
      <c r="H265" s="152" t="s">
        <v>92</v>
      </c>
      <c r="I265" s="186" t="s">
        <v>1549</v>
      </c>
      <c r="J265" s="184" t="s">
        <v>1550</v>
      </c>
      <c r="K265" s="175"/>
      <c r="L265" s="168" t="s">
        <v>55</v>
      </c>
      <c r="M265" s="175"/>
      <c r="N265" s="170" t="str">
        <f t="shared" ca="1" si="8"/>
        <v/>
      </c>
      <c r="O265" s="79"/>
      <c r="P265" s="175"/>
      <c r="Q265" s="80"/>
      <c r="R265" s="80"/>
      <c r="S265" s="80"/>
      <c r="T265" s="80"/>
      <c r="U265" s="80"/>
      <c r="V265" s="80"/>
      <c r="W265" s="80"/>
      <c r="X265" s="80"/>
    </row>
    <row r="266" spans="1:24" s="69" customFormat="1" ht="19.5" customHeight="1" x14ac:dyDescent="0.15">
      <c r="A266" s="174">
        <f t="shared" si="7"/>
        <v>262</v>
      </c>
      <c r="B266" s="181" t="s">
        <v>196</v>
      </c>
      <c r="C266" s="181" t="s">
        <v>196</v>
      </c>
      <c r="D266" s="182" t="s">
        <v>215</v>
      </c>
      <c r="E266" s="182" t="s">
        <v>1379</v>
      </c>
      <c r="F266" s="182" t="s">
        <v>1380</v>
      </c>
      <c r="G266" s="166" t="s">
        <v>1378</v>
      </c>
      <c r="H266" s="152" t="s">
        <v>92</v>
      </c>
      <c r="I266" s="186" t="s">
        <v>1541</v>
      </c>
      <c r="J266" s="184" t="s">
        <v>1542</v>
      </c>
      <c r="K266" s="175"/>
      <c r="L266" s="168" t="s">
        <v>55</v>
      </c>
      <c r="M266" s="175"/>
      <c r="N266" s="170" t="str">
        <f t="shared" ca="1" si="8"/>
        <v/>
      </c>
      <c r="O266" s="79"/>
      <c r="P266" s="175"/>
      <c r="Q266" s="80"/>
      <c r="R266" s="80"/>
      <c r="S266" s="80"/>
      <c r="T266" s="80"/>
      <c r="U266" s="80"/>
      <c r="V266" s="80"/>
      <c r="W266" s="80"/>
      <c r="X266" s="80"/>
    </row>
    <row r="267" spans="1:24" ht="21.95" customHeight="1" x14ac:dyDescent="0.15">
      <c r="A267" s="174">
        <f t="shared" si="7"/>
        <v>263</v>
      </c>
      <c r="B267" s="61" t="s">
        <v>219</v>
      </c>
      <c r="C267" s="171" t="s">
        <v>89</v>
      </c>
      <c r="D267" s="61" t="s">
        <v>226</v>
      </c>
      <c r="E267" s="61" t="s">
        <v>128</v>
      </c>
      <c r="F267" s="78" t="s">
        <v>232</v>
      </c>
      <c r="G267" s="62" t="s">
        <v>348</v>
      </c>
      <c r="H267" s="109" t="s">
        <v>123</v>
      </c>
      <c r="I267" s="102" t="s">
        <v>233</v>
      </c>
      <c r="J267" s="148" t="s">
        <v>1053</v>
      </c>
      <c r="K267" s="68"/>
      <c r="L267" s="146" t="s">
        <v>55</v>
      </c>
      <c r="M267" s="170"/>
      <c r="N267" s="170" t="str">
        <f t="shared" ca="1" si="8"/>
        <v/>
      </c>
      <c r="O267" s="66"/>
      <c r="P267" s="90" t="s">
        <v>380</v>
      </c>
    </row>
    <row r="268" spans="1:24" s="80" customFormat="1" ht="21.95" customHeight="1" x14ac:dyDescent="0.15">
      <c r="A268" s="174">
        <f t="shared" si="7"/>
        <v>264</v>
      </c>
      <c r="B268" s="70" t="s">
        <v>219</v>
      </c>
      <c r="C268" s="171" t="s">
        <v>89</v>
      </c>
      <c r="D268" s="70" t="s">
        <v>374</v>
      </c>
      <c r="E268" s="70" t="s">
        <v>375</v>
      </c>
      <c r="F268" s="70" t="s">
        <v>373</v>
      </c>
      <c r="G268" s="62" t="s">
        <v>348</v>
      </c>
      <c r="H268" s="109" t="s">
        <v>92</v>
      </c>
      <c r="I268" s="102" t="s">
        <v>379</v>
      </c>
      <c r="J268" s="184" t="s">
        <v>1052</v>
      </c>
      <c r="K268" s="68"/>
      <c r="L268" s="146" t="s">
        <v>55</v>
      </c>
      <c r="M268" s="170"/>
      <c r="N268" s="170" t="str">
        <f t="shared" ca="1" si="8"/>
        <v/>
      </c>
      <c r="O268" s="66"/>
      <c r="P268" s="142" t="s">
        <v>635</v>
      </c>
    </row>
    <row r="269" spans="1:24" ht="21.95" customHeight="1" x14ac:dyDescent="0.15">
      <c r="A269" s="174">
        <f t="shared" si="7"/>
        <v>265</v>
      </c>
      <c r="B269" s="61" t="s">
        <v>219</v>
      </c>
      <c r="C269" s="171" t="s">
        <v>89</v>
      </c>
      <c r="D269" s="60" t="s">
        <v>226</v>
      </c>
      <c r="E269" s="61" t="s">
        <v>115</v>
      </c>
      <c r="F269" s="62" t="s">
        <v>237</v>
      </c>
      <c r="G269" s="62" t="s">
        <v>349</v>
      </c>
      <c r="H269" s="109" t="s">
        <v>123</v>
      </c>
      <c r="I269" s="109" t="s">
        <v>238</v>
      </c>
      <c r="J269" s="148" t="s">
        <v>1051</v>
      </c>
      <c r="K269" s="68"/>
      <c r="L269" s="146" t="s">
        <v>55</v>
      </c>
      <c r="M269" s="170"/>
      <c r="N269" s="170" t="str">
        <f t="shared" ca="1" si="8"/>
        <v/>
      </c>
      <c r="O269" s="66"/>
      <c r="P269" s="67"/>
    </row>
    <row r="270" spans="1:24" ht="21.95" customHeight="1" x14ac:dyDescent="0.15">
      <c r="A270" s="174">
        <f t="shared" si="7"/>
        <v>266</v>
      </c>
      <c r="B270" s="61" t="s">
        <v>219</v>
      </c>
      <c r="C270" s="171" t="s">
        <v>89</v>
      </c>
      <c r="D270" s="61" t="s">
        <v>226</v>
      </c>
      <c r="E270" s="61" t="s">
        <v>115</v>
      </c>
      <c r="F270" s="114" t="s">
        <v>637</v>
      </c>
      <c r="G270" s="62" t="s">
        <v>348</v>
      </c>
      <c r="H270" s="109" t="s">
        <v>123</v>
      </c>
      <c r="I270" s="109" t="s">
        <v>235</v>
      </c>
      <c r="J270" s="147" t="s">
        <v>1051</v>
      </c>
      <c r="K270" s="68"/>
      <c r="L270" s="146" t="s">
        <v>55</v>
      </c>
      <c r="M270" s="170"/>
      <c r="N270" s="170" t="str">
        <f t="shared" ca="1" si="8"/>
        <v/>
      </c>
      <c r="O270" s="66"/>
      <c r="P270" s="90" t="s">
        <v>381</v>
      </c>
    </row>
    <row r="271" spans="1:24" s="80" customFormat="1" ht="21.95" customHeight="1" x14ac:dyDescent="0.15">
      <c r="A271" s="174">
        <f t="shared" si="7"/>
        <v>267</v>
      </c>
      <c r="B271" s="61" t="s">
        <v>219</v>
      </c>
      <c r="C271" s="171" t="s">
        <v>89</v>
      </c>
      <c r="D271" s="70" t="s">
        <v>374</v>
      </c>
      <c r="E271" s="70" t="s">
        <v>375</v>
      </c>
      <c r="F271" s="115" t="s">
        <v>636</v>
      </c>
      <c r="G271" s="62" t="s">
        <v>348</v>
      </c>
      <c r="H271" s="109" t="s">
        <v>92</v>
      </c>
      <c r="I271" s="109" t="s">
        <v>379</v>
      </c>
      <c r="J271" s="184" t="s">
        <v>1052</v>
      </c>
      <c r="K271" s="68"/>
      <c r="L271" s="146" t="s">
        <v>55</v>
      </c>
      <c r="M271" s="170"/>
      <c r="N271" s="170" t="str">
        <f t="shared" ca="1" si="8"/>
        <v/>
      </c>
      <c r="O271" s="76"/>
      <c r="P271" s="91" t="s">
        <v>456</v>
      </c>
    </row>
    <row r="272" spans="1:24" ht="21.95" customHeight="1" x14ac:dyDescent="0.15">
      <c r="A272" s="174">
        <f t="shared" si="7"/>
        <v>268</v>
      </c>
      <c r="B272" s="61" t="s">
        <v>219</v>
      </c>
      <c r="C272" s="171" t="s">
        <v>89</v>
      </c>
      <c r="D272" s="61" t="s">
        <v>226</v>
      </c>
      <c r="E272" s="61" t="s">
        <v>239</v>
      </c>
      <c r="F272" s="205" t="s">
        <v>240</v>
      </c>
      <c r="G272" s="62" t="s">
        <v>349</v>
      </c>
      <c r="H272" s="109" t="s">
        <v>123</v>
      </c>
      <c r="I272" s="109" t="s">
        <v>616</v>
      </c>
      <c r="J272" s="159" t="s">
        <v>1481</v>
      </c>
      <c r="K272" s="162">
        <v>5</v>
      </c>
      <c r="L272" s="74" t="s">
        <v>47</v>
      </c>
      <c r="M272" s="169">
        <v>7.2</v>
      </c>
      <c r="N272" s="170" t="str">
        <f t="shared" ca="1" si="8"/>
        <v/>
      </c>
      <c r="O272" s="86"/>
      <c r="P272" s="91"/>
    </row>
    <row r="273" spans="1:24" s="69" customFormat="1" ht="21.95" customHeight="1" x14ac:dyDescent="0.15">
      <c r="A273" s="174">
        <f t="shared" si="7"/>
        <v>269</v>
      </c>
      <c r="B273" s="60" t="s">
        <v>219</v>
      </c>
      <c r="C273" s="171" t="s">
        <v>89</v>
      </c>
      <c r="D273" s="61" t="s">
        <v>241</v>
      </c>
      <c r="E273" s="61" t="s">
        <v>570</v>
      </c>
      <c r="F273" s="182" t="s">
        <v>1079</v>
      </c>
      <c r="G273" s="62" t="s">
        <v>405</v>
      </c>
      <c r="H273" s="151" t="s">
        <v>92</v>
      </c>
      <c r="I273" s="151" t="s">
        <v>763</v>
      </c>
      <c r="J273" s="159" t="s">
        <v>1383</v>
      </c>
      <c r="K273" s="170">
        <v>4</v>
      </c>
      <c r="L273" s="170" t="s">
        <v>47</v>
      </c>
      <c r="M273" s="170">
        <v>12</v>
      </c>
      <c r="N273" s="170" t="str">
        <f t="shared" ca="1" si="8"/>
        <v/>
      </c>
      <c r="O273" s="79"/>
      <c r="P273" s="61"/>
      <c r="Q273" s="80"/>
      <c r="R273" s="80"/>
      <c r="S273" s="80"/>
      <c r="T273" s="80"/>
      <c r="U273" s="80"/>
      <c r="V273" s="80"/>
      <c r="W273" s="80"/>
      <c r="X273" s="80"/>
    </row>
    <row r="274" spans="1:24" s="69" customFormat="1" ht="21.95" customHeight="1" x14ac:dyDescent="0.15">
      <c r="A274" s="174">
        <f t="shared" si="7"/>
        <v>270</v>
      </c>
      <c r="B274" s="61" t="s">
        <v>196</v>
      </c>
      <c r="C274" s="61" t="s">
        <v>196</v>
      </c>
      <c r="D274" s="61" t="s">
        <v>247</v>
      </c>
      <c r="E274" s="61" t="s">
        <v>261</v>
      </c>
      <c r="F274" s="61" t="s">
        <v>447</v>
      </c>
      <c r="G274" s="62" t="s">
        <v>405</v>
      </c>
      <c r="H274" s="151" t="s">
        <v>92</v>
      </c>
      <c r="I274" s="151" t="s">
        <v>755</v>
      </c>
      <c r="J274" s="184" t="s">
        <v>1603</v>
      </c>
      <c r="K274" s="175"/>
      <c r="L274" s="168" t="s">
        <v>55</v>
      </c>
      <c r="M274" s="175"/>
      <c r="N274" s="170" t="str">
        <f t="shared" ca="1" si="8"/>
        <v/>
      </c>
      <c r="O274" s="79"/>
      <c r="P274" s="61"/>
      <c r="Q274" s="80"/>
      <c r="R274" s="80"/>
      <c r="S274" s="80"/>
      <c r="T274" s="80"/>
      <c r="U274" s="80"/>
      <c r="V274" s="80"/>
      <c r="W274" s="80"/>
      <c r="X274" s="80"/>
    </row>
    <row r="275" spans="1:24" s="69" customFormat="1" ht="20.100000000000001" customHeight="1" x14ac:dyDescent="0.15">
      <c r="A275" s="174">
        <f t="shared" si="7"/>
        <v>271</v>
      </c>
      <c r="B275" s="174" t="s">
        <v>196</v>
      </c>
      <c r="C275" s="174" t="s">
        <v>196</v>
      </c>
      <c r="D275" s="175" t="s">
        <v>244</v>
      </c>
      <c r="E275" s="175" t="s">
        <v>53</v>
      </c>
      <c r="F275" s="175" t="s">
        <v>817</v>
      </c>
      <c r="G275" s="166" t="s">
        <v>405</v>
      </c>
      <c r="H275" s="152" t="s">
        <v>92</v>
      </c>
      <c r="I275" s="186" t="s">
        <v>986</v>
      </c>
      <c r="J275" s="184" t="s">
        <v>1603</v>
      </c>
      <c r="K275" s="175"/>
      <c r="L275" s="168" t="s">
        <v>55</v>
      </c>
      <c r="M275" s="175"/>
      <c r="N275" s="170" t="str">
        <f t="shared" ca="1" si="8"/>
        <v/>
      </c>
      <c r="O275" s="79"/>
      <c r="P275" s="175"/>
      <c r="Q275" s="80"/>
      <c r="R275" s="80"/>
      <c r="S275" s="80"/>
      <c r="T275" s="80"/>
      <c r="U275" s="80"/>
      <c r="V275" s="80"/>
      <c r="W275" s="80"/>
      <c r="X275" s="80"/>
    </row>
    <row r="276" spans="1:24" s="69" customFormat="1" ht="20.100000000000001" customHeight="1" x14ac:dyDescent="0.15">
      <c r="A276" s="174">
        <f t="shared" si="7"/>
        <v>272</v>
      </c>
      <c r="B276" s="182" t="s">
        <v>196</v>
      </c>
      <c r="C276" s="182" t="s">
        <v>196</v>
      </c>
      <c r="D276" s="175" t="s">
        <v>1434</v>
      </c>
      <c r="E276" s="175" t="s">
        <v>1198</v>
      </c>
      <c r="F276" s="182" t="s">
        <v>1538</v>
      </c>
      <c r="G276" s="166" t="s">
        <v>405</v>
      </c>
      <c r="H276" s="152" t="s">
        <v>92</v>
      </c>
      <c r="I276" s="186" t="s">
        <v>1539</v>
      </c>
      <c r="J276" s="184" t="s">
        <v>1540</v>
      </c>
      <c r="K276" s="175"/>
      <c r="L276" s="168" t="s">
        <v>55</v>
      </c>
      <c r="M276" s="175"/>
      <c r="N276" s="170" t="str">
        <f t="shared" ca="1" si="8"/>
        <v/>
      </c>
      <c r="O276" s="79"/>
      <c r="P276" s="182" t="s">
        <v>1428</v>
      </c>
      <c r="Q276" s="80"/>
      <c r="R276" s="80"/>
      <c r="S276" s="80"/>
      <c r="T276" s="80"/>
      <c r="U276" s="80"/>
      <c r="V276" s="80"/>
      <c r="W276" s="80"/>
      <c r="X276" s="80"/>
    </row>
    <row r="277" spans="1:24" s="69" customFormat="1" ht="20.100000000000001" customHeight="1" x14ac:dyDescent="0.15">
      <c r="A277" s="174">
        <f t="shared" si="7"/>
        <v>273</v>
      </c>
      <c r="B277" s="182" t="s">
        <v>411</v>
      </c>
      <c r="C277" s="182" t="s">
        <v>411</v>
      </c>
      <c r="D277" s="175" t="s">
        <v>1439</v>
      </c>
      <c r="E277" s="175" t="s">
        <v>1440</v>
      </c>
      <c r="F277" s="175" t="s">
        <v>1441</v>
      </c>
      <c r="G277" s="166" t="s">
        <v>405</v>
      </c>
      <c r="H277" s="152" t="s">
        <v>92</v>
      </c>
      <c r="I277" s="193" t="s">
        <v>1558</v>
      </c>
      <c r="J277" s="184" t="s">
        <v>1559</v>
      </c>
      <c r="K277" s="175"/>
      <c r="L277" s="168" t="s">
        <v>55</v>
      </c>
      <c r="M277" s="175"/>
      <c r="N277" s="170" t="str">
        <f t="shared" ca="1" si="8"/>
        <v/>
      </c>
      <c r="O277" s="79"/>
      <c r="P277" s="175"/>
      <c r="Q277" s="80"/>
      <c r="R277" s="80"/>
      <c r="S277" s="80"/>
      <c r="T277" s="80"/>
      <c r="U277" s="80"/>
      <c r="V277" s="80"/>
      <c r="W277" s="80"/>
      <c r="X277" s="80"/>
    </row>
    <row r="278" spans="1:24" ht="21.95" customHeight="1" x14ac:dyDescent="0.15">
      <c r="A278" s="174">
        <f t="shared" si="7"/>
        <v>274</v>
      </c>
      <c r="B278" s="114" t="s">
        <v>411</v>
      </c>
      <c r="C278" s="114" t="s">
        <v>411</v>
      </c>
      <c r="D278" s="60" t="s">
        <v>249</v>
      </c>
      <c r="E278" s="175" t="s">
        <v>193</v>
      </c>
      <c r="F278" s="62" t="s">
        <v>250</v>
      </c>
      <c r="G278" s="62" t="s">
        <v>348</v>
      </c>
      <c r="H278" s="109" t="s">
        <v>123</v>
      </c>
      <c r="I278" s="109" t="s">
        <v>251</v>
      </c>
      <c r="J278" s="91" t="s">
        <v>1051</v>
      </c>
      <c r="K278" s="175"/>
      <c r="L278" s="168" t="s">
        <v>55</v>
      </c>
      <c r="M278" s="175"/>
      <c r="N278" s="170" t="str">
        <f t="shared" ca="1" si="8"/>
        <v/>
      </c>
      <c r="O278" s="66"/>
      <c r="P278" s="191" t="s">
        <v>970</v>
      </c>
    </row>
    <row r="279" spans="1:24" s="69" customFormat="1" ht="21.95" customHeight="1" x14ac:dyDescent="0.15">
      <c r="A279" s="174">
        <f t="shared" si="7"/>
        <v>275</v>
      </c>
      <c r="B279" s="124" t="s">
        <v>411</v>
      </c>
      <c r="C279" s="124" t="s">
        <v>411</v>
      </c>
      <c r="D279" s="131" t="s">
        <v>278</v>
      </c>
      <c r="E279" s="131" t="s">
        <v>193</v>
      </c>
      <c r="F279" s="131" t="s">
        <v>732</v>
      </c>
      <c r="G279" s="115" t="s">
        <v>348</v>
      </c>
      <c r="H279" s="152" t="s">
        <v>92</v>
      </c>
      <c r="I279" s="186" t="s">
        <v>251</v>
      </c>
      <c r="J279" s="147" t="s">
        <v>92</v>
      </c>
      <c r="K279" s="147" t="s">
        <v>92</v>
      </c>
      <c r="L279" s="74"/>
      <c r="M279" s="175"/>
      <c r="N279" s="170" t="str">
        <f t="shared" ca="1" si="8"/>
        <v/>
      </c>
      <c r="O279" s="79"/>
      <c r="P279" s="184" t="s">
        <v>985</v>
      </c>
      <c r="Q279" s="80"/>
      <c r="R279" s="80"/>
      <c r="S279" s="80"/>
      <c r="T279" s="80"/>
      <c r="U279" s="80"/>
      <c r="V279" s="80"/>
      <c r="W279" s="80"/>
      <c r="X279" s="80"/>
    </row>
    <row r="280" spans="1:24" s="94" customFormat="1" ht="20.100000000000001" customHeight="1" x14ac:dyDescent="0.15">
      <c r="A280" s="92"/>
      <c r="B280" s="92"/>
      <c r="C280" s="92"/>
      <c r="D280" s="92"/>
      <c r="E280" s="92"/>
      <c r="F280" s="93"/>
      <c r="H280" s="93"/>
      <c r="I280" s="93"/>
      <c r="J280" s="95" t="s">
        <v>425</v>
      </c>
      <c r="K280" s="92">
        <f>SUM(K5:K279)</f>
        <v>149</v>
      </c>
      <c r="M280" s="95">
        <f>SUM(M5:M279)</f>
        <v>212.46</v>
      </c>
      <c r="N280" s="95"/>
      <c r="O280" s="96"/>
      <c r="P280" s="97"/>
    </row>
    <row r="281" spans="1:24" ht="20.100000000000001" customHeight="1" x14ac:dyDescent="0.15">
      <c r="A281" s="209" t="s">
        <v>359</v>
      </c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</row>
    <row r="282" spans="1:24" ht="20.100000000000001" customHeight="1" x14ac:dyDescent="0.15">
      <c r="A282" s="145">
        <v>1</v>
      </c>
      <c r="B282" s="188"/>
      <c r="C282" s="133"/>
      <c r="D282" s="131"/>
      <c r="E282" s="131"/>
      <c r="F282" s="131"/>
      <c r="G282" s="115"/>
      <c r="H282" s="128"/>
      <c r="I282" s="128"/>
      <c r="J282" s="130"/>
      <c r="K282" s="64"/>
      <c r="L282" s="126"/>
      <c r="M282" s="126"/>
      <c r="N282" s="168"/>
      <c r="O282" s="76"/>
      <c r="P282" s="137"/>
    </row>
    <row r="283" spans="1:24" s="69" customFormat="1" ht="20.100000000000001" customHeight="1" x14ac:dyDescent="0.15">
      <c r="A283" s="145">
        <v>2</v>
      </c>
      <c r="B283" s="133"/>
      <c r="C283" s="133"/>
      <c r="D283" s="131"/>
      <c r="E283" s="131"/>
      <c r="F283" s="131"/>
      <c r="G283" s="115"/>
      <c r="H283" s="128"/>
      <c r="I283" s="128"/>
      <c r="J283" s="127"/>
      <c r="K283" s="68"/>
      <c r="L283" s="126"/>
      <c r="M283" s="131"/>
      <c r="N283" s="175"/>
      <c r="O283" s="79"/>
      <c r="P283" s="137"/>
    </row>
    <row r="284" spans="1:24" s="98" customFormat="1" ht="20.100000000000001" customHeight="1" x14ac:dyDescent="0.15">
      <c r="A284" s="93"/>
      <c r="B284" s="93"/>
      <c r="C284" s="93"/>
      <c r="D284" s="93"/>
      <c r="E284" s="93"/>
      <c r="F284" s="93"/>
      <c r="H284" s="93"/>
      <c r="I284" s="93"/>
      <c r="J284" s="95" t="s">
        <v>425</v>
      </c>
      <c r="K284" s="93">
        <f>SUM(K282:K283)</f>
        <v>0</v>
      </c>
      <c r="L284" s="99"/>
      <c r="M284" s="99">
        <f>SUM(M282:M283)</f>
        <v>0</v>
      </c>
      <c r="N284" s="99"/>
      <c r="O284" s="96"/>
      <c r="P284" s="100"/>
      <c r="Q284" s="51"/>
      <c r="R284" s="51"/>
    </row>
    <row r="285" spans="1:24" ht="20.100000000000001" customHeight="1" x14ac:dyDescent="0.15">
      <c r="A285" s="209" t="s">
        <v>360</v>
      </c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</row>
    <row r="286" spans="1:24" s="69" customFormat="1" ht="20.100000000000001" customHeight="1" x14ac:dyDescent="0.15">
      <c r="A286" s="174">
        <v>1</v>
      </c>
      <c r="B286" s="181" t="s">
        <v>411</v>
      </c>
      <c r="C286" s="182" t="s">
        <v>411</v>
      </c>
      <c r="D286" s="175" t="s">
        <v>1047</v>
      </c>
      <c r="E286" s="175" t="s">
        <v>1048</v>
      </c>
      <c r="F286" s="175" t="s">
        <v>1049</v>
      </c>
      <c r="G286" s="166" t="s">
        <v>405</v>
      </c>
      <c r="H286" s="152" t="s">
        <v>259</v>
      </c>
      <c r="I286" s="152" t="s">
        <v>259</v>
      </c>
      <c r="J286" s="184" t="s">
        <v>406</v>
      </c>
      <c r="K286" s="175"/>
      <c r="L286" s="168" t="s">
        <v>55</v>
      </c>
      <c r="M286" s="175"/>
      <c r="N286" s="175"/>
      <c r="O286" s="79"/>
      <c r="P286" s="175"/>
      <c r="Q286" s="80"/>
      <c r="R286" s="80"/>
      <c r="S286" s="80"/>
      <c r="T286" s="80"/>
      <c r="U286" s="80"/>
      <c r="V286" s="80"/>
      <c r="W286" s="80"/>
      <c r="X286" s="80"/>
    </row>
    <row r="287" spans="1:24" s="69" customFormat="1" ht="20.100000000000001" customHeight="1" x14ac:dyDescent="0.15">
      <c r="A287" s="174">
        <v>2</v>
      </c>
      <c r="B287" s="181" t="s">
        <v>411</v>
      </c>
      <c r="C287" s="182" t="s">
        <v>411</v>
      </c>
      <c r="D287" s="175" t="s">
        <v>1047</v>
      </c>
      <c r="E287" s="175" t="s">
        <v>1048</v>
      </c>
      <c r="F287" s="175" t="s">
        <v>1050</v>
      </c>
      <c r="G287" s="166" t="s">
        <v>405</v>
      </c>
      <c r="H287" s="152" t="s">
        <v>259</v>
      </c>
      <c r="I287" s="152" t="s">
        <v>259</v>
      </c>
      <c r="J287" s="184" t="s">
        <v>406</v>
      </c>
      <c r="K287" s="175"/>
      <c r="L287" s="168" t="s">
        <v>55</v>
      </c>
      <c r="M287" s="175"/>
      <c r="N287" s="175"/>
      <c r="O287" s="79"/>
      <c r="P287" s="175"/>
      <c r="Q287" s="80"/>
      <c r="R287" s="80"/>
      <c r="S287" s="80"/>
      <c r="T287" s="80"/>
      <c r="U287" s="80"/>
      <c r="V287" s="80"/>
      <c r="W287" s="80"/>
      <c r="X287" s="80"/>
    </row>
    <row r="288" spans="1:24" s="69" customFormat="1" ht="20.100000000000001" customHeight="1" x14ac:dyDescent="0.15">
      <c r="A288" s="174">
        <v>3</v>
      </c>
      <c r="B288" s="181" t="s">
        <v>496</v>
      </c>
      <c r="C288" s="181" t="s">
        <v>496</v>
      </c>
      <c r="D288" s="175" t="s">
        <v>136</v>
      </c>
      <c r="E288" s="175" t="s">
        <v>157</v>
      </c>
      <c r="F288" s="175" t="s">
        <v>1169</v>
      </c>
      <c r="G288" s="166" t="s">
        <v>405</v>
      </c>
      <c r="H288" s="152" t="s">
        <v>259</v>
      </c>
      <c r="I288" s="186" t="s">
        <v>259</v>
      </c>
      <c r="J288" s="184" t="s">
        <v>564</v>
      </c>
      <c r="K288" s="175"/>
      <c r="L288" s="168" t="s">
        <v>55</v>
      </c>
      <c r="M288" s="175"/>
      <c r="N288" s="175"/>
      <c r="O288" s="79"/>
      <c r="P288" s="175"/>
      <c r="Q288" s="80"/>
      <c r="R288" s="80"/>
      <c r="S288" s="80"/>
      <c r="T288" s="80"/>
      <c r="U288" s="80"/>
      <c r="V288" s="80"/>
      <c r="W288" s="80"/>
      <c r="X288" s="80"/>
    </row>
    <row r="289" spans="1:24" s="69" customFormat="1" ht="20.100000000000001" customHeight="1" x14ac:dyDescent="0.15">
      <c r="A289" s="174">
        <v>4</v>
      </c>
      <c r="B289" s="175" t="s">
        <v>1180</v>
      </c>
      <c r="C289" s="175" t="s">
        <v>1180</v>
      </c>
      <c r="D289" s="175" t="s">
        <v>88</v>
      </c>
      <c r="E289" s="175" t="s">
        <v>1183</v>
      </c>
      <c r="F289" s="175" t="s">
        <v>1184</v>
      </c>
      <c r="G289" s="166" t="s">
        <v>405</v>
      </c>
      <c r="H289" s="152" t="s">
        <v>259</v>
      </c>
      <c r="I289" s="186" t="s">
        <v>259</v>
      </c>
      <c r="J289" s="184" t="s">
        <v>564</v>
      </c>
      <c r="K289" s="175"/>
      <c r="L289" s="168" t="s">
        <v>55</v>
      </c>
      <c r="M289" s="175"/>
      <c r="N289" s="175"/>
      <c r="O289" s="79"/>
      <c r="P289" s="175"/>
      <c r="Q289" s="80"/>
      <c r="R289" s="80"/>
      <c r="S289" s="80"/>
      <c r="T289" s="80"/>
      <c r="U289" s="80"/>
      <c r="V289" s="80"/>
      <c r="W289" s="80"/>
      <c r="X289" s="80"/>
    </row>
    <row r="290" spans="1:24" s="69" customFormat="1" ht="20.100000000000001" customHeight="1" x14ac:dyDescent="0.15">
      <c r="A290" s="174">
        <v>5</v>
      </c>
      <c r="B290" s="181" t="s">
        <v>89</v>
      </c>
      <c r="C290" s="181" t="s">
        <v>89</v>
      </c>
      <c r="D290" s="175" t="s">
        <v>38</v>
      </c>
      <c r="E290" s="175" t="s">
        <v>1248</v>
      </c>
      <c r="F290" s="182" t="s">
        <v>1292</v>
      </c>
      <c r="G290" s="166" t="s">
        <v>414</v>
      </c>
      <c r="H290" s="152" t="s">
        <v>259</v>
      </c>
      <c r="I290" s="186" t="s">
        <v>259</v>
      </c>
      <c r="J290" s="184" t="s">
        <v>406</v>
      </c>
      <c r="K290" s="175"/>
      <c r="L290" s="168" t="s">
        <v>55</v>
      </c>
      <c r="M290" s="175"/>
      <c r="N290" s="175"/>
      <c r="O290" s="79"/>
      <c r="P290" s="175"/>
      <c r="Q290" s="80"/>
      <c r="R290" s="80"/>
      <c r="S290" s="80"/>
      <c r="T290" s="80"/>
      <c r="U290" s="80"/>
      <c r="V290" s="80"/>
      <c r="W290" s="80"/>
      <c r="X290" s="80"/>
    </row>
    <row r="291" spans="1:24" s="69" customFormat="1" ht="20.100000000000001" customHeight="1" x14ac:dyDescent="0.15">
      <c r="A291" s="174">
        <v>6</v>
      </c>
      <c r="B291" s="181" t="s">
        <v>89</v>
      </c>
      <c r="C291" s="181" t="s">
        <v>89</v>
      </c>
      <c r="D291" s="175" t="s">
        <v>38</v>
      </c>
      <c r="E291" s="175" t="s">
        <v>1248</v>
      </c>
      <c r="F291" s="175" t="s">
        <v>1249</v>
      </c>
      <c r="G291" s="166" t="s">
        <v>414</v>
      </c>
      <c r="H291" s="152" t="s">
        <v>259</v>
      </c>
      <c r="I291" s="186" t="s">
        <v>259</v>
      </c>
      <c r="J291" s="184" t="s">
        <v>406</v>
      </c>
      <c r="K291" s="175"/>
      <c r="L291" s="168" t="s">
        <v>55</v>
      </c>
      <c r="M291" s="175"/>
      <c r="N291" s="175"/>
      <c r="O291" s="79"/>
      <c r="P291" s="175"/>
      <c r="Q291" s="80"/>
      <c r="R291" s="80"/>
      <c r="S291" s="80"/>
      <c r="T291" s="80"/>
      <c r="U291" s="80"/>
      <c r="V291" s="80"/>
      <c r="W291" s="80"/>
      <c r="X291" s="80"/>
    </row>
    <row r="292" spans="1:24" s="69" customFormat="1" ht="20.100000000000001" customHeight="1" x14ac:dyDescent="0.15">
      <c r="A292" s="174">
        <v>7</v>
      </c>
      <c r="B292" s="181" t="s">
        <v>496</v>
      </c>
      <c r="C292" s="181" t="s">
        <v>496</v>
      </c>
      <c r="D292" s="175" t="s">
        <v>1275</v>
      </c>
      <c r="E292" s="175" t="s">
        <v>1276</v>
      </c>
      <c r="F292" s="175" t="s">
        <v>1277</v>
      </c>
      <c r="G292" s="166" t="s">
        <v>348</v>
      </c>
      <c r="H292" s="152" t="s">
        <v>259</v>
      </c>
      <c r="I292" s="186" t="s">
        <v>259</v>
      </c>
      <c r="J292" s="184" t="s">
        <v>1165</v>
      </c>
      <c r="K292" s="175"/>
      <c r="L292" s="168" t="s">
        <v>55</v>
      </c>
      <c r="M292" s="175"/>
      <c r="N292" s="175"/>
      <c r="O292" s="79"/>
      <c r="P292" s="175"/>
      <c r="Q292" s="80"/>
      <c r="R292" s="80"/>
      <c r="S292" s="80"/>
      <c r="T292" s="80"/>
      <c r="U292" s="80"/>
      <c r="V292" s="80"/>
      <c r="W292" s="80"/>
      <c r="X292" s="80"/>
    </row>
    <row r="293" spans="1:24" s="69" customFormat="1" ht="20.100000000000001" customHeight="1" x14ac:dyDescent="0.15">
      <c r="A293" s="174">
        <v>9</v>
      </c>
      <c r="B293" s="181" t="s">
        <v>89</v>
      </c>
      <c r="C293" s="181" t="s">
        <v>89</v>
      </c>
      <c r="D293" s="175" t="s">
        <v>38</v>
      </c>
      <c r="E293" s="175" t="s">
        <v>1386</v>
      </c>
      <c r="F293" s="175" t="s">
        <v>1426</v>
      </c>
      <c r="G293" s="194" t="s">
        <v>1427</v>
      </c>
      <c r="H293" s="152" t="s">
        <v>259</v>
      </c>
      <c r="I293" s="186" t="s">
        <v>259</v>
      </c>
      <c r="J293" s="184" t="s">
        <v>406</v>
      </c>
      <c r="K293" s="175"/>
      <c r="L293" s="168" t="s">
        <v>55</v>
      </c>
      <c r="M293" s="175"/>
      <c r="N293" s="175"/>
      <c r="O293" s="79"/>
      <c r="P293" s="182" t="s">
        <v>1428</v>
      </c>
      <c r="Q293" s="80"/>
      <c r="R293" s="80"/>
      <c r="S293" s="80"/>
      <c r="T293" s="80"/>
      <c r="U293" s="80"/>
      <c r="V293" s="80"/>
      <c r="W293" s="80"/>
      <c r="X293" s="80"/>
    </row>
    <row r="294" spans="1:24" s="69" customFormat="1" ht="20.100000000000001" customHeight="1" x14ac:dyDescent="0.15">
      <c r="A294" s="174">
        <v>10</v>
      </c>
      <c r="B294" s="181" t="s">
        <v>370</v>
      </c>
      <c r="C294" s="181" t="s">
        <v>370</v>
      </c>
      <c r="D294" s="175" t="s">
        <v>1047</v>
      </c>
      <c r="E294" s="175" t="s">
        <v>1048</v>
      </c>
      <c r="F294" s="175" t="s">
        <v>1445</v>
      </c>
      <c r="G294" s="166" t="s">
        <v>1378</v>
      </c>
      <c r="H294" s="152" t="s">
        <v>259</v>
      </c>
      <c r="I294" s="186" t="s">
        <v>259</v>
      </c>
      <c r="J294" s="184" t="s">
        <v>406</v>
      </c>
      <c r="K294" s="175"/>
      <c r="L294" s="168" t="s">
        <v>55</v>
      </c>
      <c r="M294" s="175"/>
      <c r="N294" s="175"/>
      <c r="O294" s="79"/>
      <c r="P294" s="175"/>
      <c r="Q294" s="80"/>
      <c r="R294" s="80"/>
      <c r="S294" s="80"/>
      <c r="T294" s="80"/>
      <c r="U294" s="80"/>
      <c r="V294" s="80"/>
      <c r="W294" s="80"/>
      <c r="X294" s="80"/>
    </row>
    <row r="295" spans="1:24" s="69" customFormat="1" ht="20.100000000000001" customHeight="1" x14ac:dyDescent="0.15">
      <c r="A295" s="174">
        <v>11</v>
      </c>
      <c r="B295" s="181" t="s">
        <v>496</v>
      </c>
      <c r="C295" s="181" t="s">
        <v>496</v>
      </c>
      <c r="D295" s="175" t="s">
        <v>88</v>
      </c>
      <c r="E295" s="175" t="s">
        <v>1219</v>
      </c>
      <c r="F295" s="175" t="s">
        <v>1437</v>
      </c>
      <c r="G295" s="166" t="s">
        <v>1378</v>
      </c>
      <c r="H295" s="152" t="s">
        <v>259</v>
      </c>
      <c r="I295" s="186" t="s">
        <v>259</v>
      </c>
      <c r="J295" s="184" t="s">
        <v>564</v>
      </c>
      <c r="K295" s="175"/>
      <c r="L295" s="168" t="s">
        <v>55</v>
      </c>
      <c r="M295" s="175"/>
      <c r="N295" s="175"/>
      <c r="O295" s="79"/>
      <c r="P295" s="175"/>
      <c r="Q295" s="80"/>
      <c r="R295" s="80"/>
      <c r="S295" s="80"/>
      <c r="T295" s="80"/>
      <c r="U295" s="80"/>
      <c r="V295" s="80"/>
      <c r="W295" s="80"/>
      <c r="X295" s="80"/>
    </row>
    <row r="296" spans="1:24" s="69" customFormat="1" ht="20.100000000000001" customHeight="1" x14ac:dyDescent="0.15">
      <c r="A296" s="174">
        <v>12</v>
      </c>
      <c r="B296" s="182" t="s">
        <v>196</v>
      </c>
      <c r="C296" s="182" t="s">
        <v>196</v>
      </c>
      <c r="D296" s="175" t="s">
        <v>1570</v>
      </c>
      <c r="E296" s="175" t="s">
        <v>1571</v>
      </c>
      <c r="F296" s="175" t="s">
        <v>1572</v>
      </c>
      <c r="G296" s="166" t="s">
        <v>1378</v>
      </c>
      <c r="H296" s="152" t="s">
        <v>259</v>
      </c>
      <c r="I296" s="186" t="s">
        <v>259</v>
      </c>
      <c r="J296" s="184" t="s">
        <v>406</v>
      </c>
      <c r="K296" s="175"/>
      <c r="L296" s="168" t="s">
        <v>55</v>
      </c>
      <c r="M296" s="175"/>
      <c r="N296" s="175"/>
      <c r="O296" s="79"/>
      <c r="P296" s="182" t="s">
        <v>1428</v>
      </c>
      <c r="Q296" s="80"/>
      <c r="R296" s="80"/>
      <c r="S296" s="80"/>
      <c r="T296" s="80"/>
      <c r="U296" s="80"/>
      <c r="V296" s="80"/>
      <c r="W296" s="80"/>
      <c r="X296" s="80"/>
    </row>
    <row r="297" spans="1:24" s="69" customFormat="1" ht="20.100000000000001" customHeight="1" x14ac:dyDescent="0.15">
      <c r="A297" s="174">
        <v>13</v>
      </c>
      <c r="B297" s="182" t="s">
        <v>409</v>
      </c>
      <c r="C297" s="182" t="s">
        <v>409</v>
      </c>
      <c r="D297" s="175" t="s">
        <v>1366</v>
      </c>
      <c r="E297" s="175" t="s">
        <v>1573</v>
      </c>
      <c r="F297" s="175" t="s">
        <v>1574</v>
      </c>
      <c r="G297" s="166" t="s">
        <v>1378</v>
      </c>
      <c r="H297" s="152" t="s">
        <v>259</v>
      </c>
      <c r="I297" s="186" t="s">
        <v>259</v>
      </c>
      <c r="J297" s="184" t="s">
        <v>564</v>
      </c>
      <c r="K297" s="175"/>
      <c r="L297" s="168" t="s">
        <v>55</v>
      </c>
      <c r="M297" s="175"/>
      <c r="N297" s="175"/>
      <c r="O297" s="79"/>
      <c r="P297" s="175"/>
      <c r="Q297" s="80"/>
      <c r="R297" s="80"/>
      <c r="S297" s="80"/>
      <c r="T297" s="80"/>
      <c r="U297" s="80"/>
      <c r="V297" s="80"/>
      <c r="W297" s="80"/>
      <c r="X297" s="80"/>
    </row>
    <row r="298" spans="1:24" s="69" customFormat="1" ht="20.100000000000001" customHeight="1" x14ac:dyDescent="0.15">
      <c r="A298" s="174">
        <v>14</v>
      </c>
      <c r="B298" s="182" t="s">
        <v>496</v>
      </c>
      <c r="C298" s="182" t="s">
        <v>496</v>
      </c>
      <c r="D298" s="175" t="s">
        <v>86</v>
      </c>
      <c r="E298" s="175" t="s">
        <v>1610</v>
      </c>
      <c r="F298" s="175" t="s">
        <v>1615</v>
      </c>
      <c r="G298" s="166" t="s">
        <v>414</v>
      </c>
      <c r="H298" s="152" t="s">
        <v>259</v>
      </c>
      <c r="I298" s="186" t="s">
        <v>259</v>
      </c>
      <c r="J298" s="184" t="s">
        <v>1616</v>
      </c>
      <c r="K298" s="175"/>
      <c r="L298" s="168" t="s">
        <v>55</v>
      </c>
      <c r="M298" s="175"/>
      <c r="N298" s="175"/>
      <c r="O298" s="79"/>
      <c r="P298" s="175"/>
      <c r="Q298" s="80"/>
      <c r="R298" s="80"/>
      <c r="S298" s="80"/>
      <c r="T298" s="80"/>
      <c r="U298" s="80"/>
      <c r="V298" s="80"/>
      <c r="W298" s="80"/>
      <c r="X298" s="80"/>
    </row>
    <row r="299" spans="1:24" s="69" customFormat="1" ht="20.100000000000001" customHeight="1" x14ac:dyDescent="0.15">
      <c r="A299" s="174">
        <v>15</v>
      </c>
      <c r="B299" s="182" t="s">
        <v>496</v>
      </c>
      <c r="C299" s="182" t="s">
        <v>496</v>
      </c>
      <c r="D299" s="175" t="s">
        <v>86</v>
      </c>
      <c r="E299" s="175" t="s">
        <v>1610</v>
      </c>
      <c r="F299" s="182" t="s">
        <v>1631</v>
      </c>
      <c r="G299" s="166" t="s">
        <v>414</v>
      </c>
      <c r="H299" s="152" t="s">
        <v>259</v>
      </c>
      <c r="I299" s="186" t="s">
        <v>259</v>
      </c>
      <c r="J299" s="184" t="s">
        <v>1616</v>
      </c>
      <c r="K299" s="175"/>
      <c r="L299" s="168" t="s">
        <v>55</v>
      </c>
      <c r="M299" s="175"/>
      <c r="N299" s="175"/>
      <c r="O299" s="79"/>
      <c r="P299" s="175"/>
      <c r="Q299" s="80"/>
      <c r="R299" s="80"/>
      <c r="S299" s="80"/>
      <c r="T299" s="80"/>
      <c r="U299" s="80"/>
      <c r="V299" s="80"/>
      <c r="W299" s="80"/>
      <c r="X299" s="80"/>
    </row>
    <row r="300" spans="1:24" s="69" customFormat="1" ht="20.100000000000001" customHeight="1" x14ac:dyDescent="0.15">
      <c r="A300" s="174">
        <v>16</v>
      </c>
      <c r="B300" s="182" t="s">
        <v>496</v>
      </c>
      <c r="C300" s="182" t="s">
        <v>496</v>
      </c>
      <c r="D300" s="175" t="s">
        <v>86</v>
      </c>
      <c r="E300" s="175" t="s">
        <v>1610</v>
      </c>
      <c r="F300" s="182" t="s">
        <v>1630</v>
      </c>
      <c r="G300" s="166" t="s">
        <v>414</v>
      </c>
      <c r="H300" s="152" t="s">
        <v>259</v>
      </c>
      <c r="I300" s="186" t="s">
        <v>259</v>
      </c>
      <c r="J300" s="127" t="s">
        <v>1618</v>
      </c>
      <c r="K300" s="175"/>
      <c r="L300" s="168" t="s">
        <v>55</v>
      </c>
      <c r="M300" s="175"/>
      <c r="N300" s="175"/>
      <c r="O300" s="79"/>
      <c r="P300" s="175"/>
      <c r="Q300" s="80"/>
      <c r="R300" s="80"/>
      <c r="S300" s="80"/>
      <c r="T300" s="80"/>
      <c r="U300" s="80"/>
      <c r="V300" s="80"/>
      <c r="W300" s="80"/>
      <c r="X300" s="80"/>
    </row>
    <row r="301" spans="1:24" s="69" customFormat="1" ht="20.100000000000001" customHeight="1" x14ac:dyDescent="0.15">
      <c r="A301" s="174">
        <v>17</v>
      </c>
      <c r="B301" s="182" t="s">
        <v>496</v>
      </c>
      <c r="C301" s="182" t="s">
        <v>496</v>
      </c>
      <c r="D301" s="175" t="s">
        <v>88</v>
      </c>
      <c r="E301" s="175" t="s">
        <v>1183</v>
      </c>
      <c r="F301" s="175" t="s">
        <v>1633</v>
      </c>
      <c r="G301" s="166" t="s">
        <v>1378</v>
      </c>
      <c r="H301" s="152" t="s">
        <v>259</v>
      </c>
      <c r="I301" s="186" t="s">
        <v>259</v>
      </c>
      <c r="J301" s="127" t="s">
        <v>1165</v>
      </c>
      <c r="K301" s="175"/>
      <c r="L301" s="168" t="s">
        <v>55</v>
      </c>
      <c r="M301" s="175"/>
      <c r="N301" s="175"/>
      <c r="O301" s="79"/>
      <c r="P301" s="175"/>
      <c r="Q301" s="80"/>
      <c r="R301" s="80"/>
      <c r="S301" s="80"/>
      <c r="T301" s="80"/>
      <c r="U301" s="80"/>
      <c r="V301" s="80"/>
      <c r="W301" s="80"/>
      <c r="X301" s="80"/>
    </row>
    <row r="302" spans="1:24" s="69" customFormat="1" ht="20.100000000000001" customHeight="1" x14ac:dyDescent="0.15">
      <c r="A302" s="174">
        <v>18</v>
      </c>
      <c r="B302" s="182" t="s">
        <v>496</v>
      </c>
      <c r="C302" s="182" t="s">
        <v>496</v>
      </c>
      <c r="D302" s="175" t="s">
        <v>86</v>
      </c>
      <c r="E302" s="175" t="s">
        <v>1610</v>
      </c>
      <c r="F302" s="175" t="s">
        <v>1636</v>
      </c>
      <c r="G302" s="166" t="s">
        <v>1378</v>
      </c>
      <c r="H302" s="152" t="s">
        <v>259</v>
      </c>
      <c r="I302" s="186" t="s">
        <v>259</v>
      </c>
      <c r="J302" s="127" t="s">
        <v>1634</v>
      </c>
      <c r="K302" s="175"/>
      <c r="L302" s="168" t="s">
        <v>55</v>
      </c>
      <c r="M302" s="175"/>
      <c r="N302" s="175"/>
      <c r="O302" s="79"/>
      <c r="P302" s="175"/>
      <c r="Q302" s="80"/>
      <c r="R302" s="80"/>
      <c r="S302" s="80"/>
      <c r="T302" s="80"/>
      <c r="U302" s="80"/>
      <c r="V302" s="80"/>
      <c r="W302" s="80"/>
      <c r="X302" s="80"/>
    </row>
    <row r="303" spans="1:24" s="69" customFormat="1" ht="20.100000000000001" customHeight="1" x14ac:dyDescent="0.15">
      <c r="A303" s="174">
        <v>19</v>
      </c>
      <c r="B303" s="182" t="s">
        <v>196</v>
      </c>
      <c r="C303" s="182" t="s">
        <v>196</v>
      </c>
      <c r="D303" s="175" t="s">
        <v>449</v>
      </c>
      <c r="E303" s="175" t="s">
        <v>1420</v>
      </c>
      <c r="F303" s="175" t="s">
        <v>1637</v>
      </c>
      <c r="G303" s="166" t="s">
        <v>1378</v>
      </c>
      <c r="H303" s="152" t="s">
        <v>259</v>
      </c>
      <c r="I303" s="186" t="s">
        <v>259</v>
      </c>
      <c r="J303" s="184" t="s">
        <v>406</v>
      </c>
      <c r="K303" s="175"/>
      <c r="L303" s="168" t="s">
        <v>55</v>
      </c>
      <c r="M303" s="175"/>
      <c r="N303" s="175"/>
      <c r="O303" s="79"/>
      <c r="P303" s="175"/>
      <c r="Q303" s="80"/>
      <c r="R303" s="80"/>
      <c r="S303" s="80"/>
      <c r="T303" s="80"/>
      <c r="U303" s="80"/>
      <c r="V303" s="80"/>
      <c r="W303" s="80"/>
      <c r="X303" s="80"/>
    </row>
    <row r="304" spans="1:24" s="69" customFormat="1" ht="20.100000000000001" customHeight="1" x14ac:dyDescent="0.15">
      <c r="A304" s="174">
        <v>20</v>
      </c>
      <c r="B304" s="175" t="s">
        <v>1180</v>
      </c>
      <c r="C304" s="175" t="s">
        <v>1180</v>
      </c>
      <c r="D304" s="175" t="s">
        <v>88</v>
      </c>
      <c r="E304" s="175" t="s">
        <v>1183</v>
      </c>
      <c r="F304" s="175" t="s">
        <v>1651</v>
      </c>
      <c r="G304" s="194" t="s">
        <v>1431</v>
      </c>
      <c r="H304" s="152" t="s">
        <v>259</v>
      </c>
      <c r="I304" s="186" t="s">
        <v>259</v>
      </c>
      <c r="J304" s="184" t="s">
        <v>1653</v>
      </c>
      <c r="K304" s="175"/>
      <c r="L304" s="168" t="s">
        <v>55</v>
      </c>
      <c r="M304" s="175"/>
      <c r="N304" s="175"/>
      <c r="O304" s="79"/>
      <c r="P304" s="175"/>
      <c r="Q304" s="80"/>
      <c r="R304" s="80"/>
      <c r="S304" s="80"/>
      <c r="T304" s="80"/>
      <c r="U304" s="80"/>
      <c r="V304" s="80"/>
      <c r="W304" s="80"/>
      <c r="X304" s="80"/>
    </row>
    <row r="305" spans="1:24" s="69" customFormat="1" ht="20.100000000000001" customHeight="1" x14ac:dyDescent="0.15">
      <c r="A305" s="174">
        <v>21</v>
      </c>
      <c r="B305" s="175" t="s">
        <v>1645</v>
      </c>
      <c r="C305" s="175" t="s">
        <v>1645</v>
      </c>
      <c r="D305" s="175" t="s">
        <v>88</v>
      </c>
      <c r="E305" s="175" t="s">
        <v>1198</v>
      </c>
      <c r="F305" s="175" t="s">
        <v>1652</v>
      </c>
      <c r="G305" s="166" t="s">
        <v>1378</v>
      </c>
      <c r="H305" s="152" t="s">
        <v>259</v>
      </c>
      <c r="I305" s="186" t="s">
        <v>259</v>
      </c>
      <c r="J305" s="184" t="s">
        <v>406</v>
      </c>
      <c r="K305" s="175"/>
      <c r="L305" s="168" t="s">
        <v>55</v>
      </c>
      <c r="M305" s="175"/>
      <c r="N305" s="175"/>
      <c r="O305" s="79"/>
      <c r="P305" s="175"/>
      <c r="Q305" s="80"/>
      <c r="R305" s="80"/>
      <c r="S305" s="80"/>
      <c r="T305" s="80"/>
      <c r="U305" s="80"/>
      <c r="V305" s="80"/>
      <c r="W305" s="80"/>
      <c r="X305" s="80"/>
    </row>
    <row r="306" spans="1:24" s="69" customFormat="1" ht="20.100000000000001" customHeight="1" x14ac:dyDescent="0.15">
      <c r="A306" s="174"/>
      <c r="B306" s="175"/>
      <c r="C306" s="175"/>
      <c r="D306" s="175"/>
      <c r="E306" s="175"/>
      <c r="F306" s="175"/>
      <c r="G306" s="166"/>
      <c r="H306" s="63"/>
      <c r="I306" s="63"/>
      <c r="J306" s="175"/>
      <c r="K306" s="175"/>
      <c r="L306" s="168"/>
      <c r="M306" s="175"/>
      <c r="N306" s="175"/>
      <c r="O306" s="79"/>
      <c r="P306" s="175"/>
      <c r="Q306" s="80"/>
      <c r="R306" s="80"/>
      <c r="S306" s="80"/>
      <c r="T306" s="80"/>
      <c r="U306" s="80"/>
      <c r="V306" s="80"/>
      <c r="W306" s="80"/>
      <c r="X306" s="80"/>
    </row>
    <row r="307" spans="1:24" s="69" customFormat="1" ht="20.100000000000001" customHeight="1" x14ac:dyDescent="0.15">
      <c r="A307" s="174"/>
      <c r="B307" s="61"/>
      <c r="C307" s="61"/>
      <c r="D307" s="61"/>
      <c r="E307" s="61"/>
      <c r="F307" s="61"/>
      <c r="G307" s="62"/>
      <c r="H307" s="63"/>
      <c r="I307" s="63"/>
      <c r="J307" s="61"/>
      <c r="K307" s="61"/>
      <c r="L307" s="65"/>
      <c r="M307" s="61"/>
      <c r="N307" s="175"/>
      <c r="O307" s="79"/>
      <c r="P307" s="61"/>
      <c r="Q307" s="80"/>
      <c r="R307" s="80"/>
      <c r="S307" s="80"/>
      <c r="T307" s="80"/>
      <c r="U307" s="80"/>
      <c r="V307" s="80"/>
      <c r="W307" s="80"/>
      <c r="X307" s="80"/>
    </row>
    <row r="308" spans="1:24" s="69" customFormat="1" ht="20.100000000000001" customHeight="1" x14ac:dyDescent="0.15">
      <c r="A308" s="60"/>
      <c r="B308" s="60"/>
      <c r="C308" s="61"/>
      <c r="D308" s="61"/>
      <c r="E308" s="61"/>
      <c r="F308" s="61"/>
      <c r="G308" s="62"/>
      <c r="H308" s="63"/>
      <c r="I308" s="63"/>
      <c r="J308" s="61"/>
      <c r="K308" s="55">
        <f>SUM(K27:K307)</f>
        <v>296</v>
      </c>
      <c r="L308" s="61"/>
      <c r="M308" s="55">
        <f>SUM(M27:M307)</f>
        <v>419.46000000000004</v>
      </c>
      <c r="N308" s="55"/>
      <c r="O308" s="101"/>
      <c r="P308" s="61"/>
    </row>
    <row r="309" spans="1:24" ht="20.100000000000001" customHeight="1" x14ac:dyDescent="0.15">
      <c r="A309" s="209" t="s">
        <v>423</v>
      </c>
      <c r="B309" s="209"/>
      <c r="C309" s="209"/>
      <c r="D309" s="209"/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</row>
    <row r="310" spans="1:24" s="69" customFormat="1" ht="20.100000000000001" customHeight="1" x14ac:dyDescent="0.15">
      <c r="A310" s="174">
        <v>1</v>
      </c>
      <c r="B310" s="181" t="s">
        <v>89</v>
      </c>
      <c r="C310" s="181" t="s">
        <v>89</v>
      </c>
      <c r="D310" s="175" t="s">
        <v>1047</v>
      </c>
      <c r="E310" s="175" t="s">
        <v>1222</v>
      </c>
      <c r="F310" s="175" t="s">
        <v>1251</v>
      </c>
      <c r="G310" s="166" t="s">
        <v>348</v>
      </c>
      <c r="H310" s="152" t="s">
        <v>259</v>
      </c>
      <c r="I310" s="186" t="s">
        <v>259</v>
      </c>
      <c r="J310" s="184" t="s">
        <v>416</v>
      </c>
      <c r="K310" s="175"/>
      <c r="L310" s="168" t="s">
        <v>55</v>
      </c>
      <c r="M310" s="175"/>
      <c r="N310" s="175"/>
      <c r="O310" s="79"/>
      <c r="P310" s="175"/>
      <c r="Q310" s="80"/>
      <c r="R310" s="80"/>
      <c r="S310" s="80"/>
      <c r="T310" s="80"/>
      <c r="U310" s="80"/>
      <c r="V310" s="80"/>
      <c r="W310" s="80"/>
      <c r="X310" s="80"/>
    </row>
    <row r="311" spans="1:24" s="69" customFormat="1" ht="20.100000000000001" customHeight="1" x14ac:dyDescent="0.15">
      <c r="A311" s="174">
        <v>3</v>
      </c>
      <c r="B311" s="181" t="s">
        <v>496</v>
      </c>
      <c r="C311" s="181" t="s">
        <v>496</v>
      </c>
      <c r="D311" s="175" t="s">
        <v>88</v>
      </c>
      <c r="E311" s="175" t="s">
        <v>1219</v>
      </c>
      <c r="F311" s="175" t="s">
        <v>1641</v>
      </c>
      <c r="G311" s="166" t="s">
        <v>348</v>
      </c>
      <c r="H311" s="152" t="s">
        <v>259</v>
      </c>
      <c r="I311" s="186" t="s">
        <v>259</v>
      </c>
      <c r="J311" s="184" t="s">
        <v>564</v>
      </c>
      <c r="K311" s="175"/>
      <c r="L311" s="168" t="s">
        <v>55</v>
      </c>
      <c r="M311" s="175"/>
      <c r="N311" s="175"/>
      <c r="O311" s="79"/>
      <c r="P311" s="175"/>
      <c r="Q311" s="80"/>
      <c r="R311" s="80"/>
      <c r="S311" s="80"/>
      <c r="T311" s="80"/>
      <c r="U311" s="80"/>
      <c r="V311" s="80"/>
      <c r="W311" s="80"/>
      <c r="X311" s="80"/>
    </row>
    <row r="312" spans="1:24" s="69" customFormat="1" ht="20.100000000000001" customHeight="1" x14ac:dyDescent="0.15">
      <c r="A312" s="174"/>
      <c r="B312" s="181"/>
      <c r="C312" s="181"/>
      <c r="D312" s="175"/>
      <c r="E312" s="175"/>
      <c r="F312" s="175"/>
      <c r="G312" s="166"/>
      <c r="H312" s="152"/>
      <c r="I312" s="186"/>
      <c r="J312" s="184"/>
      <c r="K312" s="175"/>
      <c r="L312" s="168"/>
      <c r="M312" s="175"/>
      <c r="N312" s="175"/>
      <c r="O312" s="79"/>
      <c r="P312" s="175"/>
      <c r="Q312" s="80"/>
      <c r="R312" s="80"/>
      <c r="S312" s="80"/>
      <c r="T312" s="80"/>
      <c r="U312" s="80"/>
      <c r="V312" s="80"/>
      <c r="W312" s="80"/>
      <c r="X312" s="80"/>
    </row>
    <row r="313" spans="1:24" s="98" customFormat="1" ht="20.100000000000001" customHeight="1" x14ac:dyDescent="0.15">
      <c r="A313" s="93"/>
      <c r="B313" s="93"/>
      <c r="C313" s="93"/>
      <c r="D313" s="93"/>
      <c r="E313" s="93"/>
      <c r="F313" s="93"/>
      <c r="G313" s="93"/>
      <c r="H313" s="93"/>
      <c r="I313" s="93"/>
      <c r="J313" s="95" t="s">
        <v>425</v>
      </c>
      <c r="K313" s="93" t="e">
        <f>SUM(#REF!)</f>
        <v>#REF!</v>
      </c>
      <c r="L313" s="99"/>
      <c r="M313" s="99" t="e">
        <f>SUM(#REF!)</f>
        <v>#REF!</v>
      </c>
      <c r="N313" s="99"/>
      <c r="O313" s="96"/>
      <c r="P313" s="100"/>
      <c r="Q313" s="80"/>
      <c r="R313" s="80"/>
      <c r="S313" s="80"/>
      <c r="T313" s="80"/>
      <c r="U313" s="80"/>
      <c r="V313" s="80"/>
      <c r="W313" s="80"/>
      <c r="X313" s="80"/>
    </row>
    <row r="314" spans="1:24" ht="20.100000000000001" customHeight="1" x14ac:dyDescent="0.15">
      <c r="A314" s="209" t="s">
        <v>424</v>
      </c>
      <c r="B314" s="209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80"/>
      <c r="R314" s="80"/>
      <c r="S314" s="80"/>
      <c r="T314" s="80"/>
      <c r="U314" s="80"/>
      <c r="V314" s="80"/>
      <c r="W314" s="80"/>
      <c r="X314" s="80"/>
    </row>
    <row r="315" spans="1:24" ht="21.95" customHeight="1" x14ac:dyDescent="0.15">
      <c r="A315" s="63">
        <v>1</v>
      </c>
      <c r="B315" s="63"/>
      <c r="C315" s="63"/>
      <c r="D315" s="63" t="s">
        <v>260</v>
      </c>
      <c r="E315" s="63" t="s">
        <v>273</v>
      </c>
      <c r="F315" s="63" t="s">
        <v>300</v>
      </c>
      <c r="G315" s="63" t="s">
        <v>348</v>
      </c>
      <c r="H315" s="63" t="s">
        <v>123</v>
      </c>
      <c r="I315" s="63" t="s">
        <v>15</v>
      </c>
      <c r="J315" s="63" t="s">
        <v>152</v>
      </c>
      <c r="K315" s="73"/>
      <c r="L315" s="89" t="s">
        <v>391</v>
      </c>
      <c r="M315" s="77"/>
      <c r="N315" s="77"/>
      <c r="O315" s="77"/>
      <c r="P315" s="102" t="s">
        <v>301</v>
      </c>
      <c r="Q315" s="80"/>
      <c r="R315" s="80"/>
      <c r="S315" s="80"/>
      <c r="T315" s="80"/>
      <c r="U315" s="80"/>
      <c r="V315" s="80"/>
      <c r="W315" s="80"/>
      <c r="X315" s="80"/>
    </row>
    <row r="316" spans="1:24" ht="21.95" customHeight="1" x14ac:dyDescent="0.15">
      <c r="A316" s="63">
        <v>2</v>
      </c>
      <c r="B316" s="63"/>
      <c r="C316" s="63"/>
      <c r="D316" s="63" t="s">
        <v>260</v>
      </c>
      <c r="E316" s="63" t="s">
        <v>362</v>
      </c>
      <c r="F316" s="63" t="s">
        <v>302</v>
      </c>
      <c r="G316" s="63" t="s">
        <v>348</v>
      </c>
      <c r="H316" s="63" t="s">
        <v>123</v>
      </c>
      <c r="I316" s="63" t="s">
        <v>21</v>
      </c>
      <c r="J316" s="63" t="s">
        <v>303</v>
      </c>
      <c r="K316" s="73">
        <v>42</v>
      </c>
      <c r="L316" s="89" t="s">
        <v>386</v>
      </c>
      <c r="M316" s="103">
        <v>42</v>
      </c>
      <c r="N316" s="103"/>
      <c r="O316" s="103"/>
      <c r="P316" s="102" t="s">
        <v>304</v>
      </c>
    </row>
    <row r="317" spans="1:24" ht="21.95" customHeight="1" x14ac:dyDescent="0.15">
      <c r="A317" s="63">
        <v>3</v>
      </c>
      <c r="B317" s="63"/>
      <c r="C317" s="63"/>
      <c r="D317" s="63" t="s">
        <v>136</v>
      </c>
      <c r="E317" s="63" t="s">
        <v>130</v>
      </c>
      <c r="F317" s="63" t="s">
        <v>337</v>
      </c>
      <c r="G317" s="63" t="s">
        <v>348</v>
      </c>
      <c r="H317" s="63" t="s">
        <v>123</v>
      </c>
      <c r="I317" s="63" t="s">
        <v>28</v>
      </c>
      <c r="J317" s="73" t="s">
        <v>91</v>
      </c>
      <c r="K317" s="73">
        <v>33</v>
      </c>
      <c r="L317" s="89" t="s">
        <v>386</v>
      </c>
      <c r="M317" s="103">
        <v>43</v>
      </c>
      <c r="N317" s="103"/>
      <c r="O317" s="103"/>
      <c r="P317" s="102" t="s">
        <v>338</v>
      </c>
    </row>
    <row r="318" spans="1:24" ht="21.95" customHeight="1" x14ac:dyDescent="0.15">
      <c r="A318" s="63">
        <v>4</v>
      </c>
      <c r="B318" s="63"/>
      <c r="C318" s="63"/>
      <c r="D318" s="63" t="s">
        <v>136</v>
      </c>
      <c r="E318" s="63" t="s">
        <v>361</v>
      </c>
      <c r="F318" s="63" t="s">
        <v>339</v>
      </c>
      <c r="G318" s="63" t="s">
        <v>415</v>
      </c>
      <c r="H318" s="63" t="s">
        <v>259</v>
      </c>
      <c r="I318" s="63" t="s">
        <v>259</v>
      </c>
      <c r="J318" s="73" t="s">
        <v>340</v>
      </c>
      <c r="K318" s="104"/>
      <c r="L318" s="77" t="s">
        <v>391</v>
      </c>
      <c r="M318" s="77"/>
      <c r="N318" s="77"/>
      <c r="O318" s="77"/>
      <c r="P318" s="102" t="s">
        <v>341</v>
      </c>
    </row>
    <row r="319" spans="1:24" ht="21.95" customHeight="1" x14ac:dyDescent="0.15">
      <c r="A319" s="63">
        <v>5</v>
      </c>
      <c r="B319" s="63"/>
      <c r="C319" s="63"/>
      <c r="D319" s="63" t="s">
        <v>148</v>
      </c>
      <c r="E319" s="63" t="s">
        <v>305</v>
      </c>
      <c r="F319" s="63" t="s">
        <v>306</v>
      </c>
      <c r="G319" s="63" t="s">
        <v>348</v>
      </c>
      <c r="H319" s="63" t="s">
        <v>123</v>
      </c>
      <c r="I319" s="63" t="s">
        <v>29</v>
      </c>
      <c r="J319" s="73" t="s">
        <v>307</v>
      </c>
      <c r="K319" s="73"/>
      <c r="L319" s="89" t="s">
        <v>391</v>
      </c>
      <c r="M319" s="77"/>
      <c r="N319" s="77"/>
      <c r="O319" s="77"/>
      <c r="P319" s="102" t="s">
        <v>308</v>
      </c>
    </row>
    <row r="320" spans="1:24" ht="21.95" customHeight="1" x14ac:dyDescent="0.15">
      <c r="A320" s="63">
        <v>6</v>
      </c>
      <c r="B320" s="63"/>
      <c r="C320" s="63"/>
      <c r="D320" s="63" t="s">
        <v>156</v>
      </c>
      <c r="E320" s="63" t="s">
        <v>141</v>
      </c>
      <c r="F320" s="63" t="s">
        <v>4</v>
      </c>
      <c r="G320" s="63" t="s">
        <v>348</v>
      </c>
      <c r="H320" s="63" t="s">
        <v>123</v>
      </c>
      <c r="I320" s="63" t="s">
        <v>624</v>
      </c>
      <c r="J320" s="73" t="s">
        <v>309</v>
      </c>
      <c r="K320" s="73"/>
      <c r="L320" s="89" t="s">
        <v>391</v>
      </c>
      <c r="M320" s="77"/>
      <c r="N320" s="77"/>
      <c r="O320" s="77"/>
      <c r="P320" s="102" t="s">
        <v>310</v>
      </c>
    </row>
    <row r="321" spans="1:16" ht="21.95" customHeight="1" x14ac:dyDescent="0.15">
      <c r="A321" s="63">
        <v>7</v>
      </c>
      <c r="B321" s="63"/>
      <c r="C321" s="63"/>
      <c r="D321" s="63" t="s">
        <v>156</v>
      </c>
      <c r="E321" s="63" t="s">
        <v>157</v>
      </c>
      <c r="F321" s="63" t="s">
        <v>0</v>
      </c>
      <c r="G321" s="63" t="s">
        <v>348</v>
      </c>
      <c r="H321" s="63" t="s">
        <v>123</v>
      </c>
      <c r="I321" s="63" t="s">
        <v>30</v>
      </c>
      <c r="J321" s="73" t="s">
        <v>323</v>
      </c>
      <c r="K321" s="73">
        <v>29</v>
      </c>
      <c r="L321" s="89" t="s">
        <v>386</v>
      </c>
      <c r="M321" s="103">
        <v>12</v>
      </c>
      <c r="N321" s="103"/>
      <c r="O321" s="103"/>
      <c r="P321" s="102" t="s">
        <v>625</v>
      </c>
    </row>
    <row r="322" spans="1:16" ht="21.95" customHeight="1" x14ac:dyDescent="0.15">
      <c r="A322" s="63">
        <v>8</v>
      </c>
      <c r="B322" s="63"/>
      <c r="C322" s="63"/>
      <c r="D322" s="63" t="s">
        <v>156</v>
      </c>
      <c r="E322" s="63" t="s">
        <v>205</v>
      </c>
      <c r="F322" s="63" t="s">
        <v>1</v>
      </c>
      <c r="G322" s="63" t="s">
        <v>348</v>
      </c>
      <c r="H322" s="63" t="s">
        <v>123</v>
      </c>
      <c r="I322" s="63" t="s">
        <v>31</v>
      </c>
      <c r="J322" s="73" t="s">
        <v>324</v>
      </c>
      <c r="K322" s="73">
        <v>28</v>
      </c>
      <c r="L322" s="89" t="s">
        <v>386</v>
      </c>
      <c r="M322" s="103">
        <v>12</v>
      </c>
      <c r="N322" s="103"/>
      <c r="O322" s="103"/>
      <c r="P322" s="102" t="s">
        <v>626</v>
      </c>
    </row>
    <row r="323" spans="1:16" ht="21.95" customHeight="1" x14ac:dyDescent="0.15">
      <c r="A323" s="63">
        <v>9</v>
      </c>
      <c r="B323" s="63"/>
      <c r="C323" s="63"/>
      <c r="D323" s="63" t="s">
        <v>156</v>
      </c>
      <c r="E323" s="63" t="s">
        <v>205</v>
      </c>
      <c r="F323" s="63" t="s">
        <v>2</v>
      </c>
      <c r="G323" s="63" t="s">
        <v>348</v>
      </c>
      <c r="H323" s="63" t="s">
        <v>123</v>
      </c>
      <c r="I323" s="77" t="s">
        <v>325</v>
      </c>
      <c r="J323" s="73" t="s">
        <v>326</v>
      </c>
      <c r="K323" s="73">
        <v>28</v>
      </c>
      <c r="L323" s="89" t="s">
        <v>386</v>
      </c>
      <c r="M323" s="103">
        <v>12</v>
      </c>
      <c r="N323" s="103"/>
      <c r="O323" s="103"/>
      <c r="P323" s="102" t="s">
        <v>627</v>
      </c>
    </row>
    <row r="324" spans="1:16" ht="21.95" customHeight="1" x14ac:dyDescent="0.15">
      <c r="A324" s="63">
        <v>10</v>
      </c>
      <c r="B324" s="63"/>
      <c r="C324" s="63"/>
      <c r="D324" s="63" t="s">
        <v>165</v>
      </c>
      <c r="E324" s="63" t="s">
        <v>327</v>
      </c>
      <c r="F324" s="63" t="s">
        <v>328</v>
      </c>
      <c r="G324" s="63" t="s">
        <v>348</v>
      </c>
      <c r="H324" s="63" t="s">
        <v>123</v>
      </c>
      <c r="I324" s="63" t="s">
        <v>37</v>
      </c>
      <c r="J324" s="73" t="s">
        <v>329</v>
      </c>
      <c r="K324" s="73">
        <v>28</v>
      </c>
      <c r="L324" s="89" t="s">
        <v>386</v>
      </c>
      <c r="M324" s="103">
        <v>10</v>
      </c>
      <c r="N324" s="103"/>
      <c r="O324" s="103"/>
      <c r="P324" s="102" t="s">
        <v>330</v>
      </c>
    </row>
    <row r="325" spans="1:16" ht="21.95" customHeight="1" x14ac:dyDescent="0.15">
      <c r="A325" s="63">
        <v>11</v>
      </c>
      <c r="B325" s="63"/>
      <c r="C325" s="63"/>
      <c r="D325" s="63" t="s">
        <v>38</v>
      </c>
      <c r="E325" s="63" t="s">
        <v>40</v>
      </c>
      <c r="F325" s="63" t="s">
        <v>331</v>
      </c>
      <c r="G325" s="63" t="s">
        <v>348</v>
      </c>
      <c r="H325" s="63" t="s">
        <v>332</v>
      </c>
      <c r="I325" s="63" t="s">
        <v>333</v>
      </c>
      <c r="J325" s="63" t="s">
        <v>334</v>
      </c>
      <c r="K325" s="73">
        <v>5</v>
      </c>
      <c r="L325" s="89" t="s">
        <v>386</v>
      </c>
      <c r="M325" s="77"/>
      <c r="N325" s="77"/>
      <c r="O325" s="77"/>
      <c r="P325" s="102" t="s">
        <v>335</v>
      </c>
    </row>
    <row r="326" spans="1:16" ht="21.95" customHeight="1" x14ac:dyDescent="0.15">
      <c r="A326" s="63">
        <v>12</v>
      </c>
      <c r="B326" s="63"/>
      <c r="C326" s="63"/>
      <c r="D326" s="63" t="s">
        <v>281</v>
      </c>
      <c r="E326" s="63" t="s">
        <v>155</v>
      </c>
      <c r="F326" s="63" t="s">
        <v>282</v>
      </c>
      <c r="G326" s="63" t="s">
        <v>348</v>
      </c>
      <c r="H326" s="63" t="s">
        <v>259</v>
      </c>
      <c r="I326" s="63" t="s">
        <v>259</v>
      </c>
      <c r="J326" s="73" t="s">
        <v>283</v>
      </c>
      <c r="K326" s="104"/>
      <c r="L326" s="89" t="s">
        <v>55</v>
      </c>
      <c r="M326" s="77"/>
      <c r="N326" s="77"/>
      <c r="O326" s="77"/>
      <c r="P326" s="102" t="s">
        <v>412</v>
      </c>
    </row>
    <row r="327" spans="1:16" ht="21.95" customHeight="1" x14ac:dyDescent="0.15">
      <c r="A327" s="63">
        <v>13</v>
      </c>
      <c r="B327" s="63"/>
      <c r="C327" s="63"/>
      <c r="D327" s="63" t="s">
        <v>281</v>
      </c>
      <c r="E327" s="63" t="s">
        <v>155</v>
      </c>
      <c r="F327" s="63" t="s">
        <v>284</v>
      </c>
      <c r="G327" s="63" t="s">
        <v>348</v>
      </c>
      <c r="H327" s="63" t="s">
        <v>259</v>
      </c>
      <c r="I327" s="63" t="s">
        <v>259</v>
      </c>
      <c r="J327" s="73" t="s">
        <v>283</v>
      </c>
      <c r="K327" s="104"/>
      <c r="L327" s="89" t="s">
        <v>55</v>
      </c>
      <c r="M327" s="77"/>
      <c r="N327" s="77"/>
      <c r="O327" s="77"/>
      <c r="P327" s="102" t="s">
        <v>413</v>
      </c>
    </row>
    <row r="328" spans="1:16" ht="21.95" customHeight="1" x14ac:dyDescent="0.15">
      <c r="A328" s="63">
        <v>14</v>
      </c>
      <c r="B328" s="63"/>
      <c r="C328" s="63"/>
      <c r="D328" s="63" t="s">
        <v>197</v>
      </c>
      <c r="E328" s="63" t="s">
        <v>311</v>
      </c>
      <c r="F328" s="63" t="s">
        <v>312</v>
      </c>
      <c r="G328" s="63" t="s">
        <v>348</v>
      </c>
      <c r="H328" s="63" t="s">
        <v>123</v>
      </c>
      <c r="I328" s="63" t="s">
        <v>313</v>
      </c>
      <c r="J328" s="73" t="s">
        <v>314</v>
      </c>
      <c r="K328" s="89"/>
      <c r="L328" s="89" t="s">
        <v>390</v>
      </c>
      <c r="M328" s="77"/>
      <c r="N328" s="77"/>
      <c r="O328" s="77"/>
      <c r="P328" s="102" t="s">
        <v>315</v>
      </c>
    </row>
    <row r="329" spans="1:16" ht="21.95" customHeight="1" x14ac:dyDescent="0.15">
      <c r="A329" s="63">
        <v>15</v>
      </c>
      <c r="B329" s="63"/>
      <c r="C329" s="63"/>
      <c r="D329" s="63" t="s">
        <v>226</v>
      </c>
      <c r="E329" s="63" t="s">
        <v>162</v>
      </c>
      <c r="F329" s="63" t="s">
        <v>316</v>
      </c>
      <c r="G329" s="63" t="s">
        <v>348</v>
      </c>
      <c r="H329" s="63" t="s">
        <v>123</v>
      </c>
      <c r="I329" s="63" t="s">
        <v>628</v>
      </c>
      <c r="J329" s="63" t="s">
        <v>629</v>
      </c>
      <c r="K329" s="73">
        <v>16</v>
      </c>
      <c r="L329" s="89" t="s">
        <v>386</v>
      </c>
      <c r="M329" s="103">
        <v>15</v>
      </c>
      <c r="N329" s="103"/>
      <c r="O329" s="103"/>
      <c r="P329" s="102" t="s">
        <v>317</v>
      </c>
    </row>
    <row r="330" spans="1:16" ht="21.95" customHeight="1" x14ac:dyDescent="0.15">
      <c r="A330" s="63">
        <v>16</v>
      </c>
      <c r="B330" s="63"/>
      <c r="C330" s="73"/>
      <c r="D330" s="73" t="s">
        <v>226</v>
      </c>
      <c r="E330" s="73" t="s">
        <v>318</v>
      </c>
      <c r="F330" s="73" t="s">
        <v>319</v>
      </c>
      <c r="G330" s="63" t="s">
        <v>348</v>
      </c>
      <c r="H330" s="63" t="s">
        <v>123</v>
      </c>
      <c r="I330" s="73" t="s">
        <v>320</v>
      </c>
      <c r="J330" s="89" t="s">
        <v>321</v>
      </c>
      <c r="K330" s="89">
        <v>10</v>
      </c>
      <c r="L330" s="89" t="s">
        <v>386</v>
      </c>
      <c r="M330" s="89"/>
      <c r="N330" s="89"/>
      <c r="O330" s="89"/>
      <c r="P330" s="105" t="s">
        <v>322</v>
      </c>
    </row>
    <row r="331" spans="1:16" ht="21.95" customHeight="1" x14ac:dyDescent="0.15">
      <c r="A331" s="63">
        <v>17</v>
      </c>
      <c r="B331" s="63" t="s">
        <v>147</v>
      </c>
      <c r="C331" s="73"/>
      <c r="D331" s="73" t="s">
        <v>148</v>
      </c>
      <c r="E331" s="73" t="s">
        <v>650</v>
      </c>
      <c r="F331" s="73" t="s">
        <v>651</v>
      </c>
      <c r="G331" s="63" t="s">
        <v>348</v>
      </c>
      <c r="H331" s="63" t="s">
        <v>92</v>
      </c>
      <c r="I331" s="73" t="s">
        <v>153</v>
      </c>
      <c r="J331" s="89" t="s">
        <v>154</v>
      </c>
      <c r="K331" s="89">
        <v>45</v>
      </c>
      <c r="L331" s="89" t="s">
        <v>47</v>
      </c>
      <c r="M331" s="103">
        <v>8</v>
      </c>
      <c r="N331" s="103"/>
      <c r="O331" s="89"/>
      <c r="P331" s="122" t="s">
        <v>693</v>
      </c>
    </row>
    <row r="332" spans="1:16" ht="21.95" customHeight="1" x14ac:dyDescent="0.15">
      <c r="A332" s="63">
        <v>18</v>
      </c>
      <c r="B332" s="63" t="s">
        <v>147</v>
      </c>
      <c r="C332" s="73"/>
      <c r="D332" s="73" t="s">
        <v>148</v>
      </c>
      <c r="E332" s="73" t="s">
        <v>652</v>
      </c>
      <c r="F332" s="73" t="s">
        <v>653</v>
      </c>
      <c r="G332" s="63" t="s">
        <v>348</v>
      </c>
      <c r="H332" s="63" t="s">
        <v>92</v>
      </c>
      <c r="I332" s="73" t="s">
        <v>654</v>
      </c>
      <c r="J332" s="89" t="s">
        <v>600</v>
      </c>
      <c r="K332" s="89">
        <v>51</v>
      </c>
      <c r="L332" s="89" t="s">
        <v>47</v>
      </c>
      <c r="M332" s="103">
        <v>8</v>
      </c>
      <c r="N332" s="103"/>
      <c r="O332" s="89"/>
      <c r="P332" s="122" t="s">
        <v>695</v>
      </c>
    </row>
    <row r="333" spans="1:16" ht="21.95" customHeight="1" x14ac:dyDescent="0.15">
      <c r="A333" s="63">
        <v>19</v>
      </c>
      <c r="B333" s="63" t="s">
        <v>147</v>
      </c>
      <c r="C333" s="73"/>
      <c r="D333" s="73" t="s">
        <v>148</v>
      </c>
      <c r="E333" s="73" t="s">
        <v>273</v>
      </c>
      <c r="F333" s="73" t="s">
        <v>655</v>
      </c>
      <c r="G333" s="63" t="s">
        <v>349</v>
      </c>
      <c r="H333" s="63" t="s">
        <v>92</v>
      </c>
      <c r="I333" s="73" t="s">
        <v>601</v>
      </c>
      <c r="J333" s="89" t="s">
        <v>488</v>
      </c>
      <c r="K333" s="89">
        <v>22</v>
      </c>
      <c r="L333" s="89" t="s">
        <v>47</v>
      </c>
      <c r="M333" s="103">
        <v>6.5</v>
      </c>
      <c r="N333" s="103"/>
      <c r="O333" s="89"/>
      <c r="P333" s="122" t="s">
        <v>694</v>
      </c>
    </row>
    <row r="334" spans="1:16" ht="21.95" customHeight="1" x14ac:dyDescent="0.15">
      <c r="A334" s="63">
        <v>20</v>
      </c>
      <c r="B334" s="63" t="s">
        <v>496</v>
      </c>
      <c r="C334" s="73"/>
      <c r="D334" s="73" t="s">
        <v>136</v>
      </c>
      <c r="E334" s="73" t="s">
        <v>261</v>
      </c>
      <c r="F334" s="73" t="s">
        <v>656</v>
      </c>
      <c r="G334" s="63" t="s">
        <v>348</v>
      </c>
      <c r="H334" s="63" t="s">
        <v>92</v>
      </c>
      <c r="I334" s="73" t="s">
        <v>142</v>
      </c>
      <c r="J334" s="89" t="s">
        <v>143</v>
      </c>
      <c r="K334" s="89">
        <v>74</v>
      </c>
      <c r="L334" s="89" t="s">
        <v>47</v>
      </c>
      <c r="M334" s="103">
        <v>11.1</v>
      </c>
      <c r="N334" s="103"/>
      <c r="O334" s="89"/>
      <c r="P334" s="105" t="s">
        <v>689</v>
      </c>
    </row>
    <row r="335" spans="1:16" ht="21.95" customHeight="1" x14ac:dyDescent="0.15">
      <c r="A335" s="63">
        <v>21</v>
      </c>
      <c r="B335" s="63" t="s">
        <v>409</v>
      </c>
      <c r="C335" s="73"/>
      <c r="D335" s="73" t="s">
        <v>136</v>
      </c>
      <c r="E335" s="73" t="s">
        <v>384</v>
      </c>
      <c r="F335" s="73" t="s">
        <v>657</v>
      </c>
      <c r="G335" s="63" t="s">
        <v>348</v>
      </c>
      <c r="H335" s="63" t="s">
        <v>92</v>
      </c>
      <c r="I335" s="73" t="s">
        <v>658</v>
      </c>
      <c r="J335" s="89" t="s">
        <v>347</v>
      </c>
      <c r="K335" s="89">
        <v>21</v>
      </c>
      <c r="L335" s="89" t="s">
        <v>47</v>
      </c>
      <c r="M335" s="103">
        <v>10</v>
      </c>
      <c r="N335" s="103"/>
      <c r="O335" s="89"/>
      <c r="P335" s="105"/>
    </row>
    <row r="336" spans="1:16" ht="21.95" customHeight="1" x14ac:dyDescent="0.15">
      <c r="A336" s="63">
        <v>22</v>
      </c>
      <c r="B336" s="63" t="s">
        <v>496</v>
      </c>
      <c r="C336" s="73"/>
      <c r="D336" s="73" t="s">
        <v>136</v>
      </c>
      <c r="E336" s="73" t="s">
        <v>271</v>
      </c>
      <c r="F336" s="73" t="s">
        <v>659</v>
      </c>
      <c r="G336" s="63" t="s">
        <v>348</v>
      </c>
      <c r="H336" s="63" t="s">
        <v>272</v>
      </c>
      <c r="I336" s="73" t="s">
        <v>259</v>
      </c>
      <c r="J336" s="89" t="s">
        <v>353</v>
      </c>
      <c r="K336" s="89">
        <v>42</v>
      </c>
      <c r="L336" s="89" t="s">
        <v>47</v>
      </c>
      <c r="M336" s="103">
        <v>0</v>
      </c>
      <c r="N336" s="103"/>
      <c r="O336" s="89"/>
      <c r="P336" s="105"/>
    </row>
    <row r="337" spans="1:16" ht="21.95" customHeight="1" x14ac:dyDescent="0.15">
      <c r="A337" s="63">
        <v>23</v>
      </c>
      <c r="B337" s="63" t="s">
        <v>496</v>
      </c>
      <c r="C337" s="73"/>
      <c r="D337" s="73" t="s">
        <v>136</v>
      </c>
      <c r="E337" s="73" t="s">
        <v>271</v>
      </c>
      <c r="F337" s="73" t="s">
        <v>287</v>
      </c>
      <c r="G337" s="63" t="s">
        <v>348</v>
      </c>
      <c r="H337" s="63" t="s">
        <v>462</v>
      </c>
      <c r="I337" s="73" t="s">
        <v>259</v>
      </c>
      <c r="J337" s="89" t="s">
        <v>471</v>
      </c>
      <c r="K337" s="89">
        <v>6</v>
      </c>
      <c r="L337" s="89" t="s">
        <v>47</v>
      </c>
      <c r="M337" s="103">
        <v>0</v>
      </c>
      <c r="N337" s="103"/>
      <c r="O337" s="89"/>
      <c r="P337" s="105" t="s">
        <v>686</v>
      </c>
    </row>
    <row r="338" spans="1:16" ht="21.95" customHeight="1" x14ac:dyDescent="0.15">
      <c r="A338" s="63">
        <v>24</v>
      </c>
      <c r="B338" s="63" t="s">
        <v>411</v>
      </c>
      <c r="C338" s="73"/>
      <c r="D338" s="73" t="s">
        <v>156</v>
      </c>
      <c r="E338" s="73" t="s">
        <v>188</v>
      </c>
      <c r="F338" s="73" t="s">
        <v>660</v>
      </c>
      <c r="G338" s="63" t="s">
        <v>348</v>
      </c>
      <c r="H338" s="63" t="s">
        <v>92</v>
      </c>
      <c r="I338" s="73" t="s">
        <v>159</v>
      </c>
      <c r="J338" s="89" t="s">
        <v>160</v>
      </c>
      <c r="K338" s="89">
        <v>64</v>
      </c>
      <c r="L338" s="89" t="s">
        <v>47</v>
      </c>
      <c r="M338" s="103">
        <v>8</v>
      </c>
      <c r="N338" s="103"/>
      <c r="O338" s="89"/>
      <c r="P338" s="105" t="s">
        <v>161</v>
      </c>
    </row>
    <row r="339" spans="1:16" ht="21.95" customHeight="1" x14ac:dyDescent="0.15">
      <c r="A339" s="63">
        <v>25</v>
      </c>
      <c r="B339" s="63" t="s">
        <v>411</v>
      </c>
      <c r="C339" s="73"/>
      <c r="D339" s="73" t="s">
        <v>156</v>
      </c>
      <c r="E339" s="73" t="s">
        <v>526</v>
      </c>
      <c r="F339" s="73" t="s">
        <v>661</v>
      </c>
      <c r="G339" s="63" t="s">
        <v>348</v>
      </c>
      <c r="H339" s="63" t="s">
        <v>92</v>
      </c>
      <c r="I339" s="73" t="s">
        <v>662</v>
      </c>
      <c r="J339" s="89" t="s">
        <v>602</v>
      </c>
      <c r="K339" s="89">
        <v>9</v>
      </c>
      <c r="L339" s="89" t="s">
        <v>47</v>
      </c>
      <c r="M339" s="103">
        <v>9.9</v>
      </c>
      <c r="N339" s="103"/>
      <c r="O339" s="89"/>
      <c r="P339" s="105" t="s">
        <v>680</v>
      </c>
    </row>
    <row r="340" spans="1:16" ht="21.95" customHeight="1" x14ac:dyDescent="0.15">
      <c r="A340" s="63">
        <v>26</v>
      </c>
      <c r="B340" s="63" t="s">
        <v>411</v>
      </c>
      <c r="C340" s="73"/>
      <c r="D340" s="73" t="s">
        <v>156</v>
      </c>
      <c r="E340" s="73" t="s">
        <v>271</v>
      </c>
      <c r="F340" s="73" t="s">
        <v>663</v>
      </c>
      <c r="G340" s="63" t="s">
        <v>348</v>
      </c>
      <c r="H340" s="63" t="s">
        <v>92</v>
      </c>
      <c r="I340" s="73" t="s">
        <v>664</v>
      </c>
      <c r="J340" s="89" t="s">
        <v>126</v>
      </c>
      <c r="K340" s="89">
        <v>33</v>
      </c>
      <c r="L340" s="89" t="s">
        <v>47</v>
      </c>
      <c r="M340" s="103">
        <v>0</v>
      </c>
      <c r="N340" s="103"/>
      <c r="O340" s="89"/>
      <c r="P340" s="105" t="s">
        <v>683</v>
      </c>
    </row>
    <row r="341" spans="1:16" ht="21.95" customHeight="1" x14ac:dyDescent="0.15">
      <c r="A341" s="63">
        <v>27</v>
      </c>
      <c r="B341" s="63" t="s">
        <v>196</v>
      </c>
      <c r="C341" s="73"/>
      <c r="D341" s="73" t="s">
        <v>218</v>
      </c>
      <c r="E341" s="73" t="s">
        <v>361</v>
      </c>
      <c r="F341" s="73" t="s">
        <v>665</v>
      </c>
      <c r="G341" s="63" t="s">
        <v>348</v>
      </c>
      <c r="H341" s="63" t="s">
        <v>92</v>
      </c>
      <c r="I341" s="73" t="s">
        <v>180</v>
      </c>
      <c r="J341" s="89" t="s">
        <v>537</v>
      </c>
      <c r="K341" s="89">
        <v>8</v>
      </c>
      <c r="L341" s="89" t="s">
        <v>47</v>
      </c>
      <c r="M341" s="103">
        <v>9</v>
      </c>
      <c r="N341" s="103"/>
      <c r="O341" s="89"/>
      <c r="P341" s="105" t="s">
        <v>688</v>
      </c>
    </row>
    <row r="342" spans="1:16" s="69" customFormat="1" ht="21.95" customHeight="1" x14ac:dyDescent="0.15">
      <c r="A342" s="63">
        <v>28</v>
      </c>
      <c r="B342" s="63" t="s">
        <v>147</v>
      </c>
      <c r="C342" s="73"/>
      <c r="D342" s="73" t="s">
        <v>165</v>
      </c>
      <c r="E342" s="73" t="s">
        <v>367</v>
      </c>
      <c r="F342" s="73" t="s">
        <v>666</v>
      </c>
      <c r="G342" s="63" t="s">
        <v>348</v>
      </c>
      <c r="H342" s="63" t="s">
        <v>92</v>
      </c>
      <c r="I342" s="73" t="s">
        <v>667</v>
      </c>
      <c r="J342" s="89" t="s">
        <v>347</v>
      </c>
      <c r="K342" s="89">
        <v>21</v>
      </c>
      <c r="L342" s="89" t="s">
        <v>47</v>
      </c>
      <c r="M342" s="103">
        <v>14</v>
      </c>
      <c r="N342" s="103"/>
      <c r="O342" s="89"/>
      <c r="P342" s="105"/>
    </row>
    <row r="343" spans="1:16" ht="21.95" customHeight="1" x14ac:dyDescent="0.15">
      <c r="A343" s="63">
        <v>29</v>
      </c>
      <c r="B343" s="63" t="s">
        <v>219</v>
      </c>
      <c r="C343" s="73"/>
      <c r="D343" s="73" t="s">
        <v>226</v>
      </c>
      <c r="E343" s="73" t="s">
        <v>261</v>
      </c>
      <c r="F343" s="73" t="s">
        <v>276</v>
      </c>
      <c r="G343" s="63" t="s">
        <v>348</v>
      </c>
      <c r="H343" s="63" t="s">
        <v>277</v>
      </c>
      <c r="I343" s="73" t="s">
        <v>446</v>
      </c>
      <c r="J343" s="89" t="s">
        <v>613</v>
      </c>
      <c r="K343" s="89">
        <v>21</v>
      </c>
      <c r="L343" s="89" t="s">
        <v>47</v>
      </c>
      <c r="M343" s="103">
        <v>10</v>
      </c>
      <c r="N343" s="103"/>
      <c r="O343" s="89"/>
      <c r="P343" s="105" t="s">
        <v>685</v>
      </c>
    </row>
    <row r="344" spans="1:16" ht="21.95" customHeight="1" x14ac:dyDescent="0.15">
      <c r="A344" s="63">
        <v>30</v>
      </c>
      <c r="B344" s="63" t="s">
        <v>219</v>
      </c>
      <c r="C344" s="73"/>
      <c r="D344" s="73" t="s">
        <v>226</v>
      </c>
      <c r="E344" s="73" t="s">
        <v>361</v>
      </c>
      <c r="F344" s="73" t="s">
        <v>242</v>
      </c>
      <c r="G344" s="63" t="s">
        <v>349</v>
      </c>
      <c r="H344" s="63" t="s">
        <v>243</v>
      </c>
      <c r="I344" s="73" t="s">
        <v>214</v>
      </c>
      <c r="J344" s="89" t="s">
        <v>489</v>
      </c>
      <c r="K344" s="89">
        <v>14</v>
      </c>
      <c r="L344" s="89" t="s">
        <v>47</v>
      </c>
      <c r="M344" s="103">
        <v>0</v>
      </c>
      <c r="N344" s="103"/>
      <c r="O344" s="89"/>
      <c r="P344" s="105" t="s">
        <v>668</v>
      </c>
    </row>
    <row r="345" spans="1:16" ht="21.95" customHeight="1" x14ac:dyDescent="0.15">
      <c r="A345" s="63">
        <v>31</v>
      </c>
      <c r="B345" s="63" t="s">
        <v>219</v>
      </c>
      <c r="C345" s="73"/>
      <c r="D345" s="73" t="s">
        <v>220</v>
      </c>
      <c r="E345" s="73" t="s">
        <v>361</v>
      </c>
      <c r="F345" s="73" t="s">
        <v>669</v>
      </c>
      <c r="G345" s="63" t="s">
        <v>349</v>
      </c>
      <c r="H345" s="63" t="s">
        <v>92</v>
      </c>
      <c r="I345" s="73" t="s">
        <v>224</v>
      </c>
      <c r="J345" s="89" t="s">
        <v>225</v>
      </c>
      <c r="K345" s="89">
        <v>6</v>
      </c>
      <c r="L345" s="89" t="s">
        <v>47</v>
      </c>
      <c r="M345" s="103">
        <v>0</v>
      </c>
      <c r="N345" s="103"/>
      <c r="O345" s="89"/>
      <c r="P345" s="105" t="s">
        <v>610</v>
      </c>
    </row>
    <row r="346" spans="1:16" ht="21.95" customHeight="1" x14ac:dyDescent="0.15">
      <c r="A346" s="63">
        <v>32</v>
      </c>
      <c r="B346" s="63" t="s">
        <v>411</v>
      </c>
      <c r="C346" s="73"/>
      <c r="D346" s="73" t="s">
        <v>252</v>
      </c>
      <c r="E346" s="73" t="s">
        <v>285</v>
      </c>
      <c r="F346" s="73" t="s">
        <v>286</v>
      </c>
      <c r="G346" s="63" t="s">
        <v>405</v>
      </c>
      <c r="H346" s="63" t="s">
        <v>92</v>
      </c>
      <c r="I346" s="73" t="s">
        <v>355</v>
      </c>
      <c r="J346" s="89" t="s">
        <v>621</v>
      </c>
      <c r="K346" s="89"/>
      <c r="L346" s="89" t="s">
        <v>55</v>
      </c>
      <c r="M346" s="103"/>
      <c r="N346" s="103"/>
      <c r="O346" s="89"/>
      <c r="P346" s="105"/>
    </row>
    <row r="347" spans="1:16" ht="21.95" customHeight="1" x14ac:dyDescent="0.15">
      <c r="A347" s="63">
        <v>33</v>
      </c>
      <c r="B347" s="63" t="s">
        <v>499</v>
      </c>
      <c r="C347" s="73"/>
      <c r="D347" s="73" t="s">
        <v>45</v>
      </c>
      <c r="E347" s="73" t="s">
        <v>271</v>
      </c>
      <c r="F347" s="73" t="s">
        <v>670</v>
      </c>
      <c r="G347" s="63" t="s">
        <v>405</v>
      </c>
      <c r="H347" s="63" t="s">
        <v>92</v>
      </c>
      <c r="I347" s="73" t="s">
        <v>583</v>
      </c>
      <c r="J347" s="89" t="s">
        <v>584</v>
      </c>
      <c r="K347" s="89">
        <v>21</v>
      </c>
      <c r="L347" s="89" t="s">
        <v>47</v>
      </c>
      <c r="M347" s="103">
        <v>0</v>
      </c>
      <c r="N347" s="103"/>
      <c r="O347" s="89"/>
      <c r="P347" s="105" t="s">
        <v>682</v>
      </c>
    </row>
    <row r="348" spans="1:16" ht="21.95" customHeight="1" x14ac:dyDescent="0.15">
      <c r="A348" s="63">
        <v>34</v>
      </c>
      <c r="B348" s="63" t="s">
        <v>499</v>
      </c>
      <c r="C348" s="73"/>
      <c r="D348" s="73" t="s">
        <v>45</v>
      </c>
      <c r="E348" s="73" t="s">
        <v>271</v>
      </c>
      <c r="F348" s="73" t="s">
        <v>671</v>
      </c>
      <c r="G348" s="63" t="s">
        <v>405</v>
      </c>
      <c r="H348" s="63" t="s">
        <v>92</v>
      </c>
      <c r="I348" s="73" t="s">
        <v>672</v>
      </c>
      <c r="J348" s="89" t="s">
        <v>585</v>
      </c>
      <c r="K348" s="89">
        <v>21</v>
      </c>
      <c r="L348" s="89" t="s">
        <v>47</v>
      </c>
      <c r="M348" s="103">
        <v>0</v>
      </c>
      <c r="N348" s="103"/>
      <c r="O348" s="89"/>
      <c r="P348" s="105" t="s">
        <v>470</v>
      </c>
    </row>
    <row r="349" spans="1:16" ht="21.95" customHeight="1" x14ac:dyDescent="0.15">
      <c r="A349" s="63">
        <v>35</v>
      </c>
      <c r="B349" s="63" t="s">
        <v>499</v>
      </c>
      <c r="C349" s="73"/>
      <c r="D349" s="73" t="s">
        <v>45</v>
      </c>
      <c r="E349" s="73" t="s">
        <v>271</v>
      </c>
      <c r="F349" s="73" t="s">
        <v>673</v>
      </c>
      <c r="G349" s="63" t="s">
        <v>405</v>
      </c>
      <c r="H349" s="63" t="s">
        <v>92</v>
      </c>
      <c r="I349" s="73" t="s">
        <v>674</v>
      </c>
      <c r="J349" s="89" t="s">
        <v>584</v>
      </c>
      <c r="K349" s="89">
        <v>21</v>
      </c>
      <c r="L349" s="89" t="s">
        <v>47</v>
      </c>
      <c r="M349" s="103">
        <v>0</v>
      </c>
      <c r="N349" s="103"/>
      <c r="O349" s="89"/>
      <c r="P349" s="122" t="s">
        <v>696</v>
      </c>
    </row>
    <row r="350" spans="1:16" ht="21.95" customHeight="1" x14ac:dyDescent="0.15">
      <c r="A350" s="63">
        <v>36</v>
      </c>
      <c r="B350" s="63" t="s">
        <v>499</v>
      </c>
      <c r="C350" s="73"/>
      <c r="D350" s="73" t="s">
        <v>45</v>
      </c>
      <c r="E350" s="73" t="s">
        <v>271</v>
      </c>
      <c r="F350" s="73" t="s">
        <v>90</v>
      </c>
      <c r="G350" s="63" t="s">
        <v>405</v>
      </c>
      <c r="H350" s="63" t="s">
        <v>92</v>
      </c>
      <c r="I350" s="73" t="s">
        <v>586</v>
      </c>
      <c r="J350" s="89" t="s">
        <v>587</v>
      </c>
      <c r="K350" s="89">
        <v>21</v>
      </c>
      <c r="L350" s="89" t="s">
        <v>47</v>
      </c>
      <c r="M350" s="103">
        <v>0</v>
      </c>
      <c r="N350" s="103"/>
      <c r="O350" s="89"/>
      <c r="P350" s="122" t="s">
        <v>697</v>
      </c>
    </row>
    <row r="351" spans="1:16" ht="21.95" customHeight="1" x14ac:dyDescent="0.15">
      <c r="A351" s="63">
        <v>37</v>
      </c>
      <c r="B351" s="63" t="s">
        <v>499</v>
      </c>
      <c r="C351" s="73"/>
      <c r="D351" s="73" t="s">
        <v>45</v>
      </c>
      <c r="E351" s="73" t="s">
        <v>271</v>
      </c>
      <c r="F351" s="73" t="s">
        <v>675</v>
      </c>
      <c r="G351" s="63" t="s">
        <v>349</v>
      </c>
      <c r="H351" s="63" t="s">
        <v>97</v>
      </c>
      <c r="I351" s="73" t="s">
        <v>98</v>
      </c>
      <c r="J351" s="89" t="s">
        <v>382</v>
      </c>
      <c r="K351" s="89">
        <v>23</v>
      </c>
      <c r="L351" s="89" t="s">
        <v>47</v>
      </c>
      <c r="M351" s="103">
        <v>0</v>
      </c>
      <c r="N351" s="103"/>
      <c r="O351" s="89"/>
      <c r="P351" s="105" t="s">
        <v>681</v>
      </c>
    </row>
    <row r="352" spans="1:16" ht="21.95" customHeight="1" x14ac:dyDescent="0.15">
      <c r="A352" s="63">
        <v>38</v>
      </c>
      <c r="B352" s="63" t="s">
        <v>676</v>
      </c>
      <c r="C352" s="73"/>
      <c r="D352" s="73" t="s">
        <v>45</v>
      </c>
      <c r="E352" s="73" t="s">
        <v>361</v>
      </c>
      <c r="F352" s="73" t="s">
        <v>512</v>
      </c>
      <c r="G352" s="63" t="s">
        <v>405</v>
      </c>
      <c r="H352" s="63" t="s">
        <v>268</v>
      </c>
      <c r="I352" s="73" t="s">
        <v>259</v>
      </c>
      <c r="J352" s="89" t="s">
        <v>622</v>
      </c>
      <c r="K352" s="89">
        <v>9</v>
      </c>
      <c r="L352" s="89" t="s">
        <v>47</v>
      </c>
      <c r="M352" s="103">
        <v>5.5</v>
      </c>
      <c r="N352" s="103"/>
      <c r="O352" s="89"/>
      <c r="P352" s="105" t="s">
        <v>687</v>
      </c>
    </row>
    <row r="353" spans="1:24" s="69" customFormat="1" ht="21.95" customHeight="1" x14ac:dyDescent="0.15">
      <c r="A353" s="63">
        <v>39</v>
      </c>
      <c r="B353" s="63" t="s">
        <v>631</v>
      </c>
      <c r="C353" s="73"/>
      <c r="D353" s="73" t="s">
        <v>120</v>
      </c>
      <c r="E353" s="73" t="s">
        <v>361</v>
      </c>
      <c r="F353" s="73" t="s">
        <v>385</v>
      </c>
      <c r="G353" s="63" t="s">
        <v>349</v>
      </c>
      <c r="H353" s="63" t="s">
        <v>465</v>
      </c>
      <c r="I353" s="73" t="s">
        <v>259</v>
      </c>
      <c r="J353" s="89" t="s">
        <v>677</v>
      </c>
      <c r="K353" s="89">
        <v>28</v>
      </c>
      <c r="L353" s="89" t="s">
        <v>47</v>
      </c>
      <c r="M353" s="103">
        <v>8</v>
      </c>
      <c r="N353" s="103"/>
      <c r="O353" s="89"/>
      <c r="P353" s="105" t="s">
        <v>692</v>
      </c>
    </row>
    <row r="354" spans="1:24" s="69" customFormat="1" ht="21.95" customHeight="1" x14ac:dyDescent="0.15">
      <c r="A354" s="63">
        <v>40</v>
      </c>
      <c r="B354" s="63" t="s">
        <v>474</v>
      </c>
      <c r="C354" s="73"/>
      <c r="D354" s="73" t="s">
        <v>136</v>
      </c>
      <c r="E354" s="73" t="s">
        <v>193</v>
      </c>
      <c r="F354" s="73" t="s">
        <v>475</v>
      </c>
      <c r="G354" s="63" t="s">
        <v>405</v>
      </c>
      <c r="H354" s="63" t="s">
        <v>259</v>
      </c>
      <c r="I354" s="73" t="s">
        <v>259</v>
      </c>
      <c r="J354" s="89" t="s">
        <v>406</v>
      </c>
      <c r="K354" s="89"/>
      <c r="L354" s="89" t="s">
        <v>55</v>
      </c>
      <c r="M354" s="89"/>
      <c r="N354" s="89"/>
      <c r="O354" s="89"/>
      <c r="P354" s="105" t="s">
        <v>691</v>
      </c>
      <c r="Q354" s="80"/>
      <c r="R354" s="80"/>
      <c r="S354" s="80"/>
      <c r="T354" s="80"/>
      <c r="U354" s="80"/>
      <c r="V354" s="80"/>
      <c r="W354" s="80"/>
      <c r="X354" s="80"/>
    </row>
    <row r="355" spans="1:24" ht="21.95" customHeight="1" x14ac:dyDescent="0.15">
      <c r="A355" s="63">
        <v>41</v>
      </c>
      <c r="B355" s="63" t="s">
        <v>196</v>
      </c>
      <c r="C355" s="73"/>
      <c r="D355" s="73" t="s">
        <v>249</v>
      </c>
      <c r="E355" s="73" t="s">
        <v>271</v>
      </c>
      <c r="F355" s="73" t="s">
        <v>297</v>
      </c>
      <c r="G355" s="63" t="s">
        <v>405</v>
      </c>
      <c r="H355" s="63" t="s">
        <v>259</v>
      </c>
      <c r="I355" s="73" t="s">
        <v>259</v>
      </c>
      <c r="J355" s="89" t="s">
        <v>564</v>
      </c>
      <c r="K355" s="89"/>
      <c r="L355" s="89" t="s">
        <v>55</v>
      </c>
      <c r="M355" s="89"/>
      <c r="N355" s="89"/>
      <c r="O355" s="89"/>
      <c r="P355" s="105" t="s">
        <v>684</v>
      </c>
    </row>
    <row r="356" spans="1:24" s="69" customFormat="1" ht="21.95" customHeight="1" x14ac:dyDescent="0.15">
      <c r="A356" s="63">
        <v>42</v>
      </c>
      <c r="B356" s="63" t="s">
        <v>92</v>
      </c>
      <c r="C356" s="73"/>
      <c r="D356" s="73" t="s">
        <v>136</v>
      </c>
      <c r="E356" s="73" t="s">
        <v>271</v>
      </c>
      <c r="F356" s="73" t="s">
        <v>481</v>
      </c>
      <c r="G356" s="63" t="s">
        <v>405</v>
      </c>
      <c r="H356" s="63" t="s">
        <v>259</v>
      </c>
      <c r="I356" s="73" t="s">
        <v>259</v>
      </c>
      <c r="J356" s="89" t="s">
        <v>419</v>
      </c>
      <c r="K356" s="89"/>
      <c r="L356" s="89" t="s">
        <v>55</v>
      </c>
      <c r="M356" s="89"/>
      <c r="N356" s="89"/>
      <c r="O356" s="89"/>
      <c r="P356" s="105" t="s">
        <v>416</v>
      </c>
      <c r="Q356" s="80"/>
      <c r="R356" s="80"/>
      <c r="S356" s="80"/>
      <c r="T356" s="80"/>
      <c r="U356" s="80"/>
      <c r="V356" s="80"/>
      <c r="W356" s="80"/>
      <c r="X356" s="80"/>
    </row>
    <row r="357" spans="1:24" s="80" customFormat="1" ht="21.95" customHeight="1" x14ac:dyDescent="0.15">
      <c r="A357" s="63">
        <v>43</v>
      </c>
      <c r="B357" s="63" t="s">
        <v>92</v>
      </c>
      <c r="C357" s="73"/>
      <c r="D357" s="73" t="s">
        <v>165</v>
      </c>
      <c r="E357" s="73" t="s">
        <v>367</v>
      </c>
      <c r="F357" s="73" t="s">
        <v>372</v>
      </c>
      <c r="G357" s="63" t="s">
        <v>405</v>
      </c>
      <c r="H357" s="63" t="s">
        <v>259</v>
      </c>
      <c r="I357" s="73" t="s">
        <v>259</v>
      </c>
      <c r="J357" s="89" t="s">
        <v>419</v>
      </c>
      <c r="K357" s="89"/>
      <c r="L357" s="89" t="s">
        <v>55</v>
      </c>
      <c r="M357" s="89"/>
      <c r="N357" s="89"/>
      <c r="O357" s="89"/>
      <c r="P357" s="105" t="s">
        <v>416</v>
      </c>
    </row>
    <row r="358" spans="1:24" s="69" customFormat="1" ht="21.95" customHeight="1" x14ac:dyDescent="0.15">
      <c r="A358" s="63">
        <v>44</v>
      </c>
      <c r="B358" s="63" t="s">
        <v>92</v>
      </c>
      <c r="C358" s="73"/>
      <c r="D358" s="73" t="s">
        <v>165</v>
      </c>
      <c r="E358" s="73" t="s">
        <v>367</v>
      </c>
      <c r="F358" s="73" t="s">
        <v>366</v>
      </c>
      <c r="G358" s="63" t="s">
        <v>405</v>
      </c>
      <c r="H358" s="63" t="s">
        <v>259</v>
      </c>
      <c r="I358" s="73" t="s">
        <v>259</v>
      </c>
      <c r="J358" s="89" t="s">
        <v>371</v>
      </c>
      <c r="K358" s="89"/>
      <c r="L358" s="89" t="s">
        <v>55</v>
      </c>
      <c r="M358" s="89"/>
      <c r="N358" s="89"/>
      <c r="O358" s="89"/>
      <c r="P358" s="105" t="s">
        <v>416</v>
      </c>
    </row>
    <row r="359" spans="1:24" s="69" customFormat="1" ht="21.95" customHeight="1" x14ac:dyDescent="0.15">
      <c r="A359" s="63">
        <v>45</v>
      </c>
      <c r="B359" s="63" t="s">
        <v>92</v>
      </c>
      <c r="C359" s="73"/>
      <c r="D359" s="73" t="s">
        <v>58</v>
      </c>
      <c r="E359" s="73" t="s">
        <v>241</v>
      </c>
      <c r="F359" s="73" t="s">
        <v>420</v>
      </c>
      <c r="G359" s="63" t="s">
        <v>405</v>
      </c>
      <c r="H359" s="63" t="s">
        <v>259</v>
      </c>
      <c r="I359" s="73" t="s">
        <v>259</v>
      </c>
      <c r="J359" s="89" t="s">
        <v>421</v>
      </c>
      <c r="K359" s="89"/>
      <c r="L359" s="89" t="s">
        <v>55</v>
      </c>
      <c r="M359" s="89"/>
      <c r="N359" s="89"/>
      <c r="O359" s="89"/>
      <c r="P359" s="105"/>
    </row>
    <row r="360" spans="1:24" ht="21.95" customHeight="1" x14ac:dyDescent="0.15">
      <c r="A360" s="63">
        <v>46</v>
      </c>
      <c r="B360" s="63" t="s">
        <v>196</v>
      </c>
      <c r="C360" s="73"/>
      <c r="D360" s="73" t="s">
        <v>197</v>
      </c>
      <c r="E360" s="73" t="s">
        <v>556</v>
      </c>
      <c r="F360" s="73" t="s">
        <v>678</v>
      </c>
      <c r="G360" s="63" t="s">
        <v>405</v>
      </c>
      <c r="H360" s="63" t="s">
        <v>92</v>
      </c>
      <c r="I360" s="73" t="s">
        <v>679</v>
      </c>
      <c r="J360" s="89" t="s">
        <v>605</v>
      </c>
      <c r="K360" s="89"/>
      <c r="L360" s="89" t="s">
        <v>55</v>
      </c>
      <c r="M360" s="89"/>
      <c r="N360" s="89"/>
      <c r="O360" s="89"/>
      <c r="P360" s="105" t="s">
        <v>690</v>
      </c>
    </row>
    <row r="361" spans="1:24" ht="21.95" customHeight="1" x14ac:dyDescent="0.15">
      <c r="A361" s="63">
        <v>47</v>
      </c>
      <c r="B361" s="63" t="s">
        <v>147</v>
      </c>
      <c r="C361" s="73"/>
      <c r="D361" s="73" t="s">
        <v>165</v>
      </c>
      <c r="E361" s="73" t="s">
        <v>798</v>
      </c>
      <c r="F361" s="73" t="s">
        <v>799</v>
      </c>
      <c r="G361" s="63" t="s">
        <v>405</v>
      </c>
      <c r="H361" s="63" t="s">
        <v>92</v>
      </c>
      <c r="I361" s="73" t="s">
        <v>604</v>
      </c>
      <c r="J361" s="89" t="s">
        <v>741</v>
      </c>
      <c r="K361" s="89"/>
      <c r="L361" s="89" t="s">
        <v>47</v>
      </c>
      <c r="M361" s="89"/>
      <c r="N361" s="89"/>
      <c r="O361" s="89"/>
      <c r="P361" s="173" t="s">
        <v>800</v>
      </c>
    </row>
    <row r="362" spans="1:24" s="69" customFormat="1" ht="21.95" customHeight="1" x14ac:dyDescent="0.15">
      <c r="A362" s="63">
        <v>48</v>
      </c>
      <c r="B362" s="63" t="s">
        <v>147</v>
      </c>
      <c r="C362" s="73"/>
      <c r="D362" s="73" t="s">
        <v>165</v>
      </c>
      <c r="E362" s="73" t="s">
        <v>58</v>
      </c>
      <c r="F362" s="73" t="s">
        <v>543</v>
      </c>
      <c r="G362" s="63" t="s">
        <v>405</v>
      </c>
      <c r="H362" s="63" t="s">
        <v>259</v>
      </c>
      <c r="I362" s="73" t="s">
        <v>259</v>
      </c>
      <c r="J362" s="89" t="s">
        <v>406</v>
      </c>
      <c r="K362" s="89"/>
      <c r="L362" s="89" t="s">
        <v>55</v>
      </c>
      <c r="M362" s="89"/>
      <c r="N362" s="89"/>
      <c r="O362" s="89"/>
      <c r="P362" s="173"/>
      <c r="Q362" s="80"/>
      <c r="R362" s="80"/>
      <c r="S362" s="80"/>
      <c r="T362" s="80"/>
      <c r="U362" s="80"/>
      <c r="V362" s="80"/>
      <c r="W362" s="80"/>
      <c r="X362" s="80"/>
    </row>
    <row r="363" spans="1:24" s="69" customFormat="1" ht="21.95" customHeight="1" x14ac:dyDescent="0.15">
      <c r="A363" s="63">
        <v>49</v>
      </c>
      <c r="B363" s="63" t="s">
        <v>191</v>
      </c>
      <c r="C363" s="73"/>
      <c r="D363" s="73" t="s">
        <v>553</v>
      </c>
      <c r="E363" s="73" t="s">
        <v>58</v>
      </c>
      <c r="F363" s="73" t="s">
        <v>554</v>
      </c>
      <c r="G363" s="63" t="s">
        <v>405</v>
      </c>
      <c r="H363" s="63" t="s">
        <v>259</v>
      </c>
      <c r="I363" s="73" t="s">
        <v>259</v>
      </c>
      <c r="J363" s="89" t="s">
        <v>406</v>
      </c>
      <c r="K363" s="89"/>
      <c r="L363" s="89" t="s">
        <v>55</v>
      </c>
      <c r="M363" s="89"/>
      <c r="N363" s="89"/>
      <c r="O363" s="89"/>
      <c r="P363" s="173"/>
      <c r="Q363" s="80"/>
      <c r="R363" s="80"/>
      <c r="S363" s="80"/>
      <c r="T363" s="80"/>
      <c r="U363" s="80"/>
      <c r="V363" s="80"/>
      <c r="W363" s="80"/>
      <c r="X363" s="80"/>
    </row>
    <row r="364" spans="1:24" s="69" customFormat="1" ht="21.95" customHeight="1" x14ac:dyDescent="0.15">
      <c r="A364" s="63">
        <v>50</v>
      </c>
      <c r="B364" s="63" t="s">
        <v>409</v>
      </c>
      <c r="C364" s="73"/>
      <c r="D364" s="73" t="s">
        <v>120</v>
      </c>
      <c r="E364" s="73" t="s">
        <v>193</v>
      </c>
      <c r="F364" s="73" t="s">
        <v>557</v>
      </c>
      <c r="G364" s="63" t="s">
        <v>405</v>
      </c>
      <c r="H364" s="63" t="s">
        <v>259</v>
      </c>
      <c r="I364" s="73" t="s">
        <v>259</v>
      </c>
      <c r="J364" s="89" t="s">
        <v>406</v>
      </c>
      <c r="K364" s="89"/>
      <c r="L364" s="89" t="s">
        <v>55</v>
      </c>
      <c r="M364" s="89"/>
      <c r="N364" s="89"/>
      <c r="O364" s="89"/>
      <c r="P364" s="173"/>
      <c r="Q364" s="80"/>
      <c r="R364" s="80"/>
      <c r="S364" s="80"/>
      <c r="T364" s="80"/>
      <c r="U364" s="80"/>
      <c r="V364" s="80"/>
      <c r="W364" s="80"/>
      <c r="X364" s="80"/>
    </row>
    <row r="365" spans="1:24" ht="21.95" customHeight="1" x14ac:dyDescent="0.15">
      <c r="A365" s="63">
        <v>51</v>
      </c>
      <c r="B365" s="63" t="s">
        <v>699</v>
      </c>
      <c r="C365" s="73"/>
      <c r="D365" s="73" t="s">
        <v>120</v>
      </c>
      <c r="E365" s="73" t="s">
        <v>132</v>
      </c>
      <c r="F365" s="73" t="s">
        <v>133</v>
      </c>
      <c r="G365" s="63" t="s">
        <v>405</v>
      </c>
      <c r="H365" s="63" t="s">
        <v>92</v>
      </c>
      <c r="I365" s="73" t="s">
        <v>134</v>
      </c>
      <c r="J365" s="89" t="s">
        <v>700</v>
      </c>
      <c r="K365" s="89"/>
      <c r="L365" s="89" t="s">
        <v>47</v>
      </c>
      <c r="M365" s="89"/>
      <c r="N365" s="89"/>
      <c r="O365" s="89"/>
      <c r="P365" s="179" t="s">
        <v>827</v>
      </c>
    </row>
    <row r="366" spans="1:24" ht="21.95" customHeight="1" x14ac:dyDescent="0.15">
      <c r="A366" s="63">
        <v>52</v>
      </c>
      <c r="B366" s="63" t="s">
        <v>147</v>
      </c>
      <c r="C366" s="73"/>
      <c r="D366" s="73" t="s">
        <v>165</v>
      </c>
      <c r="E366" s="73" t="s">
        <v>100</v>
      </c>
      <c r="F366" s="73" t="s">
        <v>168</v>
      </c>
      <c r="G366" s="63" t="s">
        <v>405</v>
      </c>
      <c r="H366" s="63" t="s">
        <v>92</v>
      </c>
      <c r="I366" s="73" t="s">
        <v>345</v>
      </c>
      <c r="J366" s="89" t="s">
        <v>746</v>
      </c>
      <c r="K366" s="89"/>
      <c r="L366" s="89" t="s">
        <v>55</v>
      </c>
      <c r="M366" s="89"/>
      <c r="N366" s="89"/>
      <c r="O366" s="89"/>
      <c r="P366" s="179" t="s">
        <v>882</v>
      </c>
    </row>
    <row r="367" spans="1:24" ht="21.95" customHeight="1" x14ac:dyDescent="0.15">
      <c r="A367" s="63">
        <v>53</v>
      </c>
      <c r="B367" s="63" t="s">
        <v>495</v>
      </c>
      <c r="C367" s="73"/>
      <c r="D367" s="73" t="s">
        <v>45</v>
      </c>
      <c r="E367" s="73" t="s">
        <v>58</v>
      </c>
      <c r="F367" s="73" t="s">
        <v>59</v>
      </c>
      <c r="G367" s="63" t="s">
        <v>405</v>
      </c>
      <c r="H367" s="63" t="s">
        <v>92</v>
      </c>
      <c r="I367" s="73" t="s">
        <v>918</v>
      </c>
      <c r="J367" s="89" t="s">
        <v>853</v>
      </c>
      <c r="K367" s="89">
        <v>6</v>
      </c>
      <c r="L367" s="89" t="s">
        <v>47</v>
      </c>
      <c r="M367" s="89">
        <v>0</v>
      </c>
      <c r="N367" s="89"/>
      <c r="O367" s="89"/>
      <c r="P367" s="179"/>
    </row>
    <row r="368" spans="1:24" ht="21.95" customHeight="1" x14ac:dyDescent="0.15">
      <c r="A368" s="63">
        <v>54</v>
      </c>
      <c r="B368" s="63" t="s">
        <v>495</v>
      </c>
      <c r="C368" s="73"/>
      <c r="D368" s="73" t="s">
        <v>45</v>
      </c>
      <c r="E368" s="73" t="s">
        <v>58</v>
      </c>
      <c r="F368" s="73" t="s">
        <v>60</v>
      </c>
      <c r="G368" s="63" t="s">
        <v>405</v>
      </c>
      <c r="H368" s="63" t="s">
        <v>92</v>
      </c>
      <c r="I368" s="73" t="s">
        <v>919</v>
      </c>
      <c r="J368" s="89" t="s">
        <v>853</v>
      </c>
      <c r="K368" s="89">
        <v>6</v>
      </c>
      <c r="L368" s="89" t="s">
        <v>47</v>
      </c>
      <c r="M368" s="89">
        <v>0</v>
      </c>
      <c r="N368" s="89"/>
      <c r="O368" s="89"/>
      <c r="P368" s="179"/>
    </row>
    <row r="369" spans="1:16" ht="21.95" customHeight="1" x14ac:dyDescent="0.15">
      <c r="A369" s="63">
        <v>55</v>
      </c>
      <c r="B369" s="63" t="s">
        <v>495</v>
      </c>
      <c r="C369" s="73"/>
      <c r="D369" s="73" t="s">
        <v>45</v>
      </c>
      <c r="E369" s="73" t="s">
        <v>58</v>
      </c>
      <c r="F369" s="73" t="s">
        <v>61</v>
      </c>
      <c r="G369" s="63" t="s">
        <v>405</v>
      </c>
      <c r="H369" s="63" t="s">
        <v>92</v>
      </c>
      <c r="I369" s="73" t="s">
        <v>920</v>
      </c>
      <c r="J369" s="89" t="s">
        <v>853</v>
      </c>
      <c r="K369" s="89">
        <v>6</v>
      </c>
      <c r="L369" s="89" t="s">
        <v>47</v>
      </c>
      <c r="M369" s="89">
        <v>0</v>
      </c>
      <c r="N369" s="89"/>
      <c r="O369" s="89"/>
      <c r="P369" s="179"/>
    </row>
    <row r="370" spans="1:16" ht="21.95" customHeight="1" x14ac:dyDescent="0.15">
      <c r="A370" s="63">
        <v>56</v>
      </c>
      <c r="B370" s="63" t="s">
        <v>495</v>
      </c>
      <c r="C370" s="73"/>
      <c r="D370" s="73" t="s">
        <v>45</v>
      </c>
      <c r="E370" s="73" t="s">
        <v>58</v>
      </c>
      <c r="F370" s="73" t="s">
        <v>62</v>
      </c>
      <c r="G370" s="63" t="s">
        <v>405</v>
      </c>
      <c r="H370" s="63" t="s">
        <v>92</v>
      </c>
      <c r="I370" s="73" t="s">
        <v>921</v>
      </c>
      <c r="J370" s="89" t="s">
        <v>853</v>
      </c>
      <c r="K370" s="89">
        <v>6</v>
      </c>
      <c r="L370" s="89" t="s">
        <v>47</v>
      </c>
      <c r="M370" s="89">
        <v>0</v>
      </c>
      <c r="N370" s="89"/>
      <c r="O370" s="89"/>
      <c r="P370" s="179"/>
    </row>
    <row r="371" spans="1:16" ht="21.95" customHeight="1" x14ac:dyDescent="0.15">
      <c r="A371" s="63">
        <v>57</v>
      </c>
      <c r="B371" s="63" t="s">
        <v>495</v>
      </c>
      <c r="C371" s="73"/>
      <c r="D371" s="73" t="s">
        <v>45</v>
      </c>
      <c r="E371" s="73" t="s">
        <v>58</v>
      </c>
      <c r="F371" s="73" t="s">
        <v>63</v>
      </c>
      <c r="G371" s="63" t="s">
        <v>405</v>
      </c>
      <c r="H371" s="63" t="s">
        <v>92</v>
      </c>
      <c r="I371" s="73" t="s">
        <v>918</v>
      </c>
      <c r="J371" s="89" t="s">
        <v>853</v>
      </c>
      <c r="K371" s="89">
        <v>6</v>
      </c>
      <c r="L371" s="89" t="s">
        <v>47</v>
      </c>
      <c r="M371" s="89">
        <v>0</v>
      </c>
      <c r="N371" s="89"/>
      <c r="O371" s="89"/>
      <c r="P371" s="179"/>
    </row>
    <row r="372" spans="1:16" ht="21.95" customHeight="1" x14ac:dyDescent="0.15">
      <c r="A372" s="63">
        <v>58</v>
      </c>
      <c r="B372" s="63" t="s">
        <v>495</v>
      </c>
      <c r="C372" s="73"/>
      <c r="D372" s="73" t="s">
        <v>45</v>
      </c>
      <c r="E372" s="73" t="s">
        <v>58</v>
      </c>
      <c r="F372" s="73" t="s">
        <v>64</v>
      </c>
      <c r="G372" s="63" t="s">
        <v>405</v>
      </c>
      <c r="H372" s="63" t="s">
        <v>92</v>
      </c>
      <c r="I372" s="73" t="s">
        <v>922</v>
      </c>
      <c r="J372" s="89" t="s">
        <v>854</v>
      </c>
      <c r="K372" s="89"/>
      <c r="L372" s="89" t="s">
        <v>55</v>
      </c>
      <c r="M372" s="89"/>
      <c r="N372" s="89"/>
      <c r="O372" s="89"/>
      <c r="P372" s="179"/>
    </row>
    <row r="373" spans="1:16" ht="21.95" customHeight="1" x14ac:dyDescent="0.15">
      <c r="A373" s="63">
        <v>59</v>
      </c>
      <c r="B373" s="63" t="s">
        <v>495</v>
      </c>
      <c r="C373" s="73"/>
      <c r="D373" s="73" t="s">
        <v>45</v>
      </c>
      <c r="E373" s="73" t="s">
        <v>58</v>
      </c>
      <c r="F373" s="73" t="s">
        <v>65</v>
      </c>
      <c r="G373" s="63" t="s">
        <v>405</v>
      </c>
      <c r="H373" s="63" t="s">
        <v>92</v>
      </c>
      <c r="I373" s="73" t="s">
        <v>923</v>
      </c>
      <c r="J373" s="89" t="s">
        <v>853</v>
      </c>
      <c r="K373" s="89">
        <v>6</v>
      </c>
      <c r="L373" s="89" t="s">
        <v>47</v>
      </c>
      <c r="M373" s="89">
        <v>0</v>
      </c>
      <c r="N373" s="89"/>
      <c r="O373" s="89"/>
      <c r="P373" s="179"/>
    </row>
    <row r="374" spans="1:16" ht="21.95" customHeight="1" x14ac:dyDescent="0.15">
      <c r="A374" s="63">
        <v>60</v>
      </c>
      <c r="B374" s="63" t="s">
        <v>495</v>
      </c>
      <c r="C374" s="73"/>
      <c r="D374" s="73" t="s">
        <v>45</v>
      </c>
      <c r="E374" s="73" t="s">
        <v>58</v>
      </c>
      <c r="F374" s="73" t="s">
        <v>66</v>
      </c>
      <c r="G374" s="63" t="s">
        <v>405</v>
      </c>
      <c r="H374" s="63" t="s">
        <v>92</v>
      </c>
      <c r="I374" s="73" t="s">
        <v>924</v>
      </c>
      <c r="J374" s="89" t="s">
        <v>853</v>
      </c>
      <c r="K374" s="89">
        <v>6</v>
      </c>
      <c r="L374" s="89" t="s">
        <v>47</v>
      </c>
      <c r="M374" s="89">
        <v>0</v>
      </c>
      <c r="N374" s="89"/>
      <c r="O374" s="89"/>
      <c r="P374" s="179"/>
    </row>
    <row r="375" spans="1:16" ht="21.95" customHeight="1" x14ac:dyDescent="0.15">
      <c r="A375" s="63">
        <v>61</v>
      </c>
      <c r="B375" s="63" t="s">
        <v>495</v>
      </c>
      <c r="C375" s="73"/>
      <c r="D375" s="73" t="s">
        <v>45</v>
      </c>
      <c r="E375" s="73" t="s">
        <v>58</v>
      </c>
      <c r="F375" s="73" t="s">
        <v>67</v>
      </c>
      <c r="G375" s="63" t="s">
        <v>405</v>
      </c>
      <c r="H375" s="63" t="s">
        <v>92</v>
      </c>
      <c r="I375" s="73" t="s">
        <v>925</v>
      </c>
      <c r="J375" s="89" t="s">
        <v>853</v>
      </c>
      <c r="K375" s="89">
        <v>6</v>
      </c>
      <c r="L375" s="89" t="s">
        <v>47</v>
      </c>
      <c r="M375" s="89">
        <v>0</v>
      </c>
      <c r="N375" s="89"/>
      <c r="O375" s="89"/>
      <c r="P375" s="179"/>
    </row>
    <row r="376" spans="1:16" ht="21.95" customHeight="1" x14ac:dyDescent="0.15">
      <c r="A376" s="63">
        <v>62</v>
      </c>
      <c r="B376" s="63" t="s">
        <v>495</v>
      </c>
      <c r="C376" s="73"/>
      <c r="D376" s="73" t="s">
        <v>45</v>
      </c>
      <c r="E376" s="73" t="s">
        <v>58</v>
      </c>
      <c r="F376" s="73" t="s">
        <v>68</v>
      </c>
      <c r="G376" s="63" t="s">
        <v>405</v>
      </c>
      <c r="H376" s="63" t="s">
        <v>92</v>
      </c>
      <c r="I376" s="73" t="s">
        <v>926</v>
      </c>
      <c r="J376" s="89" t="s">
        <v>854</v>
      </c>
      <c r="K376" s="89"/>
      <c r="L376" s="89" t="s">
        <v>55</v>
      </c>
      <c r="M376" s="89"/>
      <c r="N376" s="89"/>
      <c r="O376" s="89"/>
      <c r="P376" s="179"/>
    </row>
    <row r="377" spans="1:16" ht="21.95" customHeight="1" x14ac:dyDescent="0.15">
      <c r="A377" s="63">
        <v>63</v>
      </c>
      <c r="B377" s="63" t="s">
        <v>495</v>
      </c>
      <c r="C377" s="73"/>
      <c r="D377" s="73" t="s">
        <v>45</v>
      </c>
      <c r="E377" s="73" t="s">
        <v>58</v>
      </c>
      <c r="F377" s="73" t="s">
        <v>69</v>
      </c>
      <c r="G377" s="63" t="s">
        <v>405</v>
      </c>
      <c r="H377" s="63" t="s">
        <v>92</v>
      </c>
      <c r="I377" s="73" t="s">
        <v>926</v>
      </c>
      <c r="J377" s="89" t="s">
        <v>854</v>
      </c>
      <c r="K377" s="89"/>
      <c r="L377" s="89" t="s">
        <v>55</v>
      </c>
      <c r="M377" s="89"/>
      <c r="N377" s="89"/>
      <c r="O377" s="89"/>
      <c r="P377" s="179"/>
    </row>
    <row r="378" spans="1:16" ht="21.95" customHeight="1" x14ac:dyDescent="0.15">
      <c r="A378" s="63">
        <v>64</v>
      </c>
      <c r="B378" s="63" t="s">
        <v>495</v>
      </c>
      <c r="C378" s="73"/>
      <c r="D378" s="73" t="s">
        <v>45</v>
      </c>
      <c r="E378" s="73" t="s">
        <v>58</v>
      </c>
      <c r="F378" s="73" t="s">
        <v>70</v>
      </c>
      <c r="G378" s="63" t="s">
        <v>405</v>
      </c>
      <c r="H378" s="63" t="s">
        <v>92</v>
      </c>
      <c r="I378" s="73" t="s">
        <v>926</v>
      </c>
      <c r="J378" s="89" t="s">
        <v>854</v>
      </c>
      <c r="K378" s="89"/>
      <c r="L378" s="89" t="s">
        <v>55</v>
      </c>
      <c r="M378" s="89"/>
      <c r="N378" s="89"/>
      <c r="O378" s="89"/>
      <c r="P378" s="179"/>
    </row>
    <row r="379" spans="1:16" ht="21.95" customHeight="1" x14ac:dyDescent="0.15">
      <c r="A379" s="63">
        <v>65</v>
      </c>
      <c r="B379" s="63" t="s">
        <v>495</v>
      </c>
      <c r="C379" s="73"/>
      <c r="D379" s="73" t="s">
        <v>45</v>
      </c>
      <c r="E379" s="73" t="s">
        <v>58</v>
      </c>
      <c r="F379" s="73" t="s">
        <v>71</v>
      </c>
      <c r="G379" s="63" t="s">
        <v>405</v>
      </c>
      <c r="H379" s="63" t="s">
        <v>92</v>
      </c>
      <c r="I379" s="73" t="s">
        <v>926</v>
      </c>
      <c r="J379" s="89" t="s">
        <v>854</v>
      </c>
      <c r="K379" s="89"/>
      <c r="L379" s="89" t="s">
        <v>55</v>
      </c>
      <c r="M379" s="89"/>
      <c r="N379" s="89"/>
      <c r="O379" s="89"/>
      <c r="P379" s="179"/>
    </row>
    <row r="380" spans="1:16" ht="21.95" customHeight="1" x14ac:dyDescent="0.15">
      <c r="A380" s="63">
        <v>66</v>
      </c>
      <c r="B380" s="63" t="s">
        <v>495</v>
      </c>
      <c r="C380" s="73"/>
      <c r="D380" s="73" t="s">
        <v>45</v>
      </c>
      <c r="E380" s="73" t="s">
        <v>58</v>
      </c>
      <c r="F380" s="73" t="s">
        <v>72</v>
      </c>
      <c r="G380" s="63" t="s">
        <v>405</v>
      </c>
      <c r="H380" s="63" t="s">
        <v>92</v>
      </c>
      <c r="I380" s="73" t="s">
        <v>927</v>
      </c>
      <c r="J380" s="89" t="s">
        <v>854</v>
      </c>
      <c r="K380" s="89"/>
      <c r="L380" s="89" t="s">
        <v>55</v>
      </c>
      <c r="M380" s="89"/>
      <c r="N380" s="89"/>
      <c r="O380" s="89"/>
      <c r="P380" s="179"/>
    </row>
    <row r="381" spans="1:16" ht="21.95" customHeight="1" x14ac:dyDescent="0.15">
      <c r="A381" s="63">
        <v>67</v>
      </c>
      <c r="B381" s="63" t="s">
        <v>495</v>
      </c>
      <c r="C381" s="73"/>
      <c r="D381" s="73" t="s">
        <v>45</v>
      </c>
      <c r="E381" s="73" t="s">
        <v>58</v>
      </c>
      <c r="F381" s="73" t="s">
        <v>73</v>
      </c>
      <c r="G381" s="63" t="s">
        <v>405</v>
      </c>
      <c r="H381" s="63" t="s">
        <v>92</v>
      </c>
      <c r="I381" s="73" t="s">
        <v>928</v>
      </c>
      <c r="J381" s="89" t="s">
        <v>853</v>
      </c>
      <c r="K381" s="89">
        <v>6</v>
      </c>
      <c r="L381" s="89" t="s">
        <v>47</v>
      </c>
      <c r="M381" s="89">
        <v>0</v>
      </c>
      <c r="N381" s="89"/>
      <c r="O381" s="89"/>
      <c r="P381" s="179"/>
    </row>
    <row r="382" spans="1:16" ht="21.95" customHeight="1" x14ac:dyDescent="0.15">
      <c r="A382" s="63">
        <v>68</v>
      </c>
      <c r="B382" s="63" t="s">
        <v>495</v>
      </c>
      <c r="C382" s="73"/>
      <c r="D382" s="73" t="s">
        <v>45</v>
      </c>
      <c r="E382" s="73" t="s">
        <v>58</v>
      </c>
      <c r="F382" s="73" t="s">
        <v>74</v>
      </c>
      <c r="G382" s="63" t="s">
        <v>405</v>
      </c>
      <c r="H382" s="63" t="s">
        <v>92</v>
      </c>
      <c r="I382" s="73" t="s">
        <v>928</v>
      </c>
      <c r="J382" s="89" t="s">
        <v>853</v>
      </c>
      <c r="K382" s="89">
        <v>6</v>
      </c>
      <c r="L382" s="89" t="s">
        <v>47</v>
      </c>
      <c r="M382" s="89">
        <v>0</v>
      </c>
      <c r="N382" s="89"/>
      <c r="O382" s="89"/>
      <c r="P382" s="179"/>
    </row>
    <row r="383" spans="1:16" ht="21.95" customHeight="1" x14ac:dyDescent="0.15">
      <c r="A383" s="63">
        <v>69</v>
      </c>
      <c r="B383" s="63" t="s">
        <v>495</v>
      </c>
      <c r="C383" s="73"/>
      <c r="D383" s="73" t="s">
        <v>45</v>
      </c>
      <c r="E383" s="73" t="s">
        <v>58</v>
      </c>
      <c r="F383" s="73" t="s">
        <v>75</v>
      </c>
      <c r="G383" s="63" t="s">
        <v>405</v>
      </c>
      <c r="H383" s="63" t="s">
        <v>92</v>
      </c>
      <c r="I383" s="73" t="s">
        <v>929</v>
      </c>
      <c r="J383" s="89" t="s">
        <v>853</v>
      </c>
      <c r="K383" s="89">
        <v>6</v>
      </c>
      <c r="L383" s="89" t="s">
        <v>47</v>
      </c>
      <c r="M383" s="89">
        <v>0</v>
      </c>
      <c r="N383" s="89"/>
      <c r="O383" s="89"/>
      <c r="P383" s="179"/>
    </row>
    <row r="384" spans="1:16" ht="21.95" customHeight="1" x14ac:dyDescent="0.15">
      <c r="A384" s="63">
        <v>70</v>
      </c>
      <c r="B384" s="63" t="s">
        <v>495</v>
      </c>
      <c r="C384" s="73"/>
      <c r="D384" s="73" t="s">
        <v>45</v>
      </c>
      <c r="E384" s="73" t="s">
        <v>58</v>
      </c>
      <c r="F384" s="73" t="s">
        <v>76</v>
      </c>
      <c r="G384" s="63" t="s">
        <v>405</v>
      </c>
      <c r="H384" s="63" t="s">
        <v>92</v>
      </c>
      <c r="I384" s="73" t="s">
        <v>658</v>
      </c>
      <c r="J384" s="89" t="s">
        <v>853</v>
      </c>
      <c r="K384" s="89">
        <v>6</v>
      </c>
      <c r="L384" s="89" t="s">
        <v>47</v>
      </c>
      <c r="M384" s="89">
        <v>0</v>
      </c>
      <c r="N384" s="89"/>
      <c r="O384" s="89"/>
      <c r="P384" s="179"/>
    </row>
    <row r="385" spans="1:16" ht="21.95" customHeight="1" x14ac:dyDescent="0.15">
      <c r="A385" s="63">
        <v>71</v>
      </c>
      <c r="B385" s="63" t="s">
        <v>495</v>
      </c>
      <c r="C385" s="73"/>
      <c r="D385" s="73" t="s">
        <v>45</v>
      </c>
      <c r="E385" s="73" t="s">
        <v>58</v>
      </c>
      <c r="F385" s="73" t="s">
        <v>77</v>
      </c>
      <c r="G385" s="63" t="s">
        <v>405</v>
      </c>
      <c r="H385" s="63" t="s">
        <v>92</v>
      </c>
      <c r="I385" s="73" t="s">
        <v>581</v>
      </c>
      <c r="J385" s="89" t="s">
        <v>855</v>
      </c>
      <c r="K385" s="89">
        <v>6</v>
      </c>
      <c r="L385" s="89" t="s">
        <v>47</v>
      </c>
      <c r="M385" s="89">
        <v>0</v>
      </c>
      <c r="N385" s="89"/>
      <c r="O385" s="89"/>
      <c r="P385" s="179"/>
    </row>
    <row r="386" spans="1:16" ht="21.95" customHeight="1" x14ac:dyDescent="0.15">
      <c r="A386" s="63">
        <v>72</v>
      </c>
      <c r="B386" s="63" t="s">
        <v>147</v>
      </c>
      <c r="C386" s="73"/>
      <c r="D386" s="73" t="s">
        <v>165</v>
      </c>
      <c r="E386" s="73" t="s">
        <v>58</v>
      </c>
      <c r="F386" s="73" t="s">
        <v>168</v>
      </c>
      <c r="G386" s="63" t="s">
        <v>405</v>
      </c>
      <c r="H386" s="63" t="s">
        <v>259</v>
      </c>
      <c r="I386" s="73" t="s">
        <v>752</v>
      </c>
      <c r="J386" s="89" t="s">
        <v>873</v>
      </c>
      <c r="K386" s="89"/>
      <c r="L386" s="89" t="s">
        <v>55</v>
      </c>
      <c r="M386" s="89"/>
      <c r="N386" s="89"/>
      <c r="O386" s="89"/>
      <c r="P386" s="173" t="s">
        <v>1274</v>
      </c>
    </row>
    <row r="387" spans="1:16" ht="21.95" customHeight="1" x14ac:dyDescent="0.15">
      <c r="A387" s="63">
        <v>73</v>
      </c>
      <c r="B387" s="63" t="s">
        <v>219</v>
      </c>
      <c r="C387" s="73"/>
      <c r="D387" s="73" t="s">
        <v>165</v>
      </c>
      <c r="E387" s="73" t="s">
        <v>540</v>
      </c>
      <c r="F387" s="73" t="s">
        <v>541</v>
      </c>
      <c r="G387" s="63" t="s">
        <v>405</v>
      </c>
      <c r="H387" s="63" t="s">
        <v>92</v>
      </c>
      <c r="I387" s="73" t="s">
        <v>760</v>
      </c>
      <c r="J387" s="89" t="s">
        <v>870</v>
      </c>
      <c r="K387" s="89">
        <v>10</v>
      </c>
      <c r="L387" s="89" t="s">
        <v>47</v>
      </c>
      <c r="M387" s="89">
        <v>8</v>
      </c>
      <c r="N387" s="89"/>
      <c r="O387" s="89"/>
      <c r="P387" s="173" t="s">
        <v>915</v>
      </c>
    </row>
    <row r="388" spans="1:16" ht="21.95" customHeight="1" x14ac:dyDescent="0.15">
      <c r="A388" s="63">
        <v>74</v>
      </c>
      <c r="B388" s="63" t="s">
        <v>147</v>
      </c>
      <c r="C388" s="73"/>
      <c r="D388" s="73" t="s">
        <v>165</v>
      </c>
      <c r="E388" s="73" t="s">
        <v>78</v>
      </c>
      <c r="F388" s="73" t="s">
        <v>552</v>
      </c>
      <c r="G388" s="63" t="s">
        <v>349</v>
      </c>
      <c r="H388" s="63" t="s">
        <v>92</v>
      </c>
      <c r="I388" s="73" t="s">
        <v>710</v>
      </c>
      <c r="J388" s="89" t="s">
        <v>820</v>
      </c>
      <c r="K388" s="89">
        <v>5</v>
      </c>
      <c r="L388" s="89" t="s">
        <v>47</v>
      </c>
      <c r="M388" s="89">
        <v>0</v>
      </c>
      <c r="N388" s="89"/>
      <c r="O388" s="89"/>
      <c r="P388" s="173" t="s">
        <v>917</v>
      </c>
    </row>
    <row r="389" spans="1:16" ht="21.95" customHeight="1" x14ac:dyDescent="0.15">
      <c r="A389" s="63">
        <v>75</v>
      </c>
      <c r="B389" s="63" t="s">
        <v>147</v>
      </c>
      <c r="C389" s="73"/>
      <c r="D389" s="73" t="s">
        <v>165</v>
      </c>
      <c r="E389" s="73" t="s">
        <v>78</v>
      </c>
      <c r="F389" s="73" t="s">
        <v>170</v>
      </c>
      <c r="G389" s="63" t="s">
        <v>349</v>
      </c>
      <c r="H389" s="63" t="s">
        <v>92</v>
      </c>
      <c r="I389" s="73" t="s">
        <v>914</v>
      </c>
      <c r="J389" s="89" t="s">
        <v>820</v>
      </c>
      <c r="K389" s="89">
        <v>5</v>
      </c>
      <c r="L389" s="89" t="s">
        <v>47</v>
      </c>
      <c r="M389" s="89">
        <v>0</v>
      </c>
      <c r="N389" s="89"/>
      <c r="O389" s="89"/>
      <c r="P389" s="173" t="s">
        <v>916</v>
      </c>
    </row>
    <row r="390" spans="1:16" ht="21.95" customHeight="1" x14ac:dyDescent="0.15">
      <c r="A390" s="63">
        <v>76</v>
      </c>
      <c r="B390" s="63" t="s">
        <v>196</v>
      </c>
      <c r="C390" s="73"/>
      <c r="D390" s="73" t="s">
        <v>209</v>
      </c>
      <c r="E390" s="73" t="s">
        <v>130</v>
      </c>
      <c r="F390" s="73" t="s">
        <v>648</v>
      </c>
      <c r="G390" s="63" t="s">
        <v>405</v>
      </c>
      <c r="H390" s="63" t="s">
        <v>92</v>
      </c>
      <c r="I390" s="73" t="s">
        <v>767</v>
      </c>
      <c r="J390" s="89" t="s">
        <v>948</v>
      </c>
      <c r="K390" s="89"/>
      <c r="L390" s="89" t="s">
        <v>55</v>
      </c>
      <c r="M390" s="89"/>
      <c r="N390" s="89"/>
      <c r="O390" s="89"/>
      <c r="P390" s="173" t="s">
        <v>964</v>
      </c>
    </row>
    <row r="391" spans="1:16" ht="21.95" customHeight="1" x14ac:dyDescent="0.15">
      <c r="A391" s="63">
        <v>77</v>
      </c>
      <c r="B391" s="63" t="s">
        <v>196</v>
      </c>
      <c r="C391" s="73"/>
      <c r="D391" s="73" t="s">
        <v>209</v>
      </c>
      <c r="E391" s="73" t="s">
        <v>53</v>
      </c>
      <c r="F391" s="73" t="s">
        <v>212</v>
      </c>
      <c r="G391" s="63" t="s">
        <v>405</v>
      </c>
      <c r="H391" s="63" t="s">
        <v>213</v>
      </c>
      <c r="I391" s="73" t="s">
        <v>214</v>
      </c>
      <c r="J391" s="89" t="s">
        <v>869</v>
      </c>
      <c r="K391" s="89"/>
      <c r="L391" s="89" t="s">
        <v>55</v>
      </c>
      <c r="M391" s="89"/>
      <c r="N391" s="89"/>
      <c r="O391" s="89"/>
      <c r="P391" s="173" t="s">
        <v>963</v>
      </c>
    </row>
    <row r="392" spans="1:16" ht="21.95" customHeight="1" x14ac:dyDescent="0.15">
      <c r="A392" s="63">
        <v>78</v>
      </c>
      <c r="B392" s="63" t="s">
        <v>196</v>
      </c>
      <c r="C392" s="73"/>
      <c r="D392" s="73" t="s">
        <v>209</v>
      </c>
      <c r="E392" s="73" t="s">
        <v>53</v>
      </c>
      <c r="F392" s="73" t="s">
        <v>296</v>
      </c>
      <c r="G392" s="63" t="s">
        <v>405</v>
      </c>
      <c r="H392" s="63" t="s">
        <v>92</v>
      </c>
      <c r="I392" s="73" t="s">
        <v>464</v>
      </c>
      <c r="J392" s="89" t="s">
        <v>868</v>
      </c>
      <c r="K392" s="89"/>
      <c r="L392" s="89" t="s">
        <v>55</v>
      </c>
      <c r="M392" s="89"/>
      <c r="N392" s="89"/>
      <c r="O392" s="89"/>
      <c r="P392" s="173" t="s">
        <v>963</v>
      </c>
    </row>
    <row r="393" spans="1:16" ht="21.95" customHeight="1" x14ac:dyDescent="0.15">
      <c r="A393" s="63">
        <v>79</v>
      </c>
      <c r="B393" s="63" t="s">
        <v>196</v>
      </c>
      <c r="C393" s="73"/>
      <c r="D393" s="73" t="s">
        <v>148</v>
      </c>
      <c r="E393" s="73" t="s">
        <v>361</v>
      </c>
      <c r="F393" s="73" t="s">
        <v>785</v>
      </c>
      <c r="G393" s="63" t="s">
        <v>405</v>
      </c>
      <c r="H393" s="63" t="s">
        <v>259</v>
      </c>
      <c r="I393" s="73" t="s">
        <v>259</v>
      </c>
      <c r="J393" s="89" t="s">
        <v>406</v>
      </c>
      <c r="K393" s="89"/>
      <c r="L393" s="89" t="s">
        <v>55</v>
      </c>
      <c r="M393" s="89"/>
      <c r="N393" s="89"/>
      <c r="O393" s="89"/>
      <c r="P393" s="173" t="s">
        <v>962</v>
      </c>
    </row>
    <row r="394" spans="1:16" ht="21.95" customHeight="1" x14ac:dyDescent="0.15">
      <c r="A394" s="63">
        <v>80</v>
      </c>
      <c r="B394" s="63" t="s">
        <v>370</v>
      </c>
      <c r="C394" s="73"/>
      <c r="D394" s="73" t="s">
        <v>45</v>
      </c>
      <c r="E394" s="73" t="s">
        <v>58</v>
      </c>
      <c r="F394" s="73" t="s">
        <v>821</v>
      </c>
      <c r="G394" s="63" t="s">
        <v>405</v>
      </c>
      <c r="H394" s="63" t="s">
        <v>259</v>
      </c>
      <c r="I394" s="73" t="s">
        <v>259</v>
      </c>
      <c r="J394" s="89" t="s">
        <v>406</v>
      </c>
      <c r="K394" s="89"/>
      <c r="L394" s="89" t="s">
        <v>55</v>
      </c>
      <c r="M394" s="89"/>
      <c r="N394" s="89"/>
      <c r="O394" s="89"/>
      <c r="P394" s="173" t="s">
        <v>961</v>
      </c>
    </row>
    <row r="395" spans="1:16" ht="21.95" customHeight="1" x14ac:dyDescent="0.15">
      <c r="A395" s="63">
        <v>81</v>
      </c>
      <c r="B395" s="63" t="s">
        <v>196</v>
      </c>
      <c r="C395" s="73"/>
      <c r="D395" s="73" t="s">
        <v>215</v>
      </c>
      <c r="E395" s="73" t="s">
        <v>58</v>
      </c>
      <c r="F395" s="73" t="s">
        <v>547</v>
      </c>
      <c r="G395" s="63" t="s">
        <v>405</v>
      </c>
      <c r="H395" s="63" t="s">
        <v>92</v>
      </c>
      <c r="I395" s="73" t="s">
        <v>771</v>
      </c>
      <c r="J395" s="89" t="s">
        <v>852</v>
      </c>
      <c r="K395" s="89">
        <v>15</v>
      </c>
      <c r="L395" s="89" t="s">
        <v>47</v>
      </c>
      <c r="M395" s="89">
        <v>0</v>
      </c>
      <c r="N395" s="89"/>
      <c r="O395" s="89"/>
      <c r="P395" s="173" t="s">
        <v>959</v>
      </c>
    </row>
    <row r="396" spans="1:16" ht="21.95" customHeight="1" x14ac:dyDescent="0.15">
      <c r="A396" s="63">
        <v>82</v>
      </c>
      <c r="B396" s="63" t="s">
        <v>196</v>
      </c>
      <c r="C396" s="73"/>
      <c r="D396" s="73" t="s">
        <v>209</v>
      </c>
      <c r="E396" s="73" t="s">
        <v>53</v>
      </c>
      <c r="F396" s="73" t="s">
        <v>210</v>
      </c>
      <c r="G396" s="63" t="s">
        <v>405</v>
      </c>
      <c r="H396" s="63" t="s">
        <v>92</v>
      </c>
      <c r="I396" s="73" t="s">
        <v>211</v>
      </c>
      <c r="J396" s="89" t="s">
        <v>867</v>
      </c>
      <c r="K396" s="89">
        <v>4</v>
      </c>
      <c r="L396" s="89" t="s">
        <v>47</v>
      </c>
      <c r="M396" s="89">
        <v>0</v>
      </c>
      <c r="N396" s="89"/>
      <c r="O396" s="89"/>
      <c r="P396" s="173" t="s">
        <v>960</v>
      </c>
    </row>
    <row r="397" spans="1:16" ht="21.95" customHeight="1" x14ac:dyDescent="0.15">
      <c r="A397" s="63">
        <v>83</v>
      </c>
      <c r="B397" s="63" t="s">
        <v>495</v>
      </c>
      <c r="C397" s="73"/>
      <c r="D397" s="73" t="s">
        <v>120</v>
      </c>
      <c r="E397" s="73" t="s">
        <v>58</v>
      </c>
      <c r="F397" s="73" t="s">
        <v>527</v>
      </c>
      <c r="G397" s="63" t="s">
        <v>405</v>
      </c>
      <c r="H397" s="63" t="s">
        <v>92</v>
      </c>
      <c r="I397" s="73" t="s">
        <v>757</v>
      </c>
      <c r="J397" s="89" t="s">
        <v>773</v>
      </c>
      <c r="K397" s="89">
        <v>21</v>
      </c>
      <c r="L397" s="89" t="s">
        <v>47</v>
      </c>
      <c r="M397" s="89">
        <v>0</v>
      </c>
      <c r="N397" s="89"/>
      <c r="O397" s="89"/>
      <c r="P397" s="173" t="s">
        <v>957</v>
      </c>
    </row>
    <row r="398" spans="1:16" ht="21.95" customHeight="1" x14ac:dyDescent="0.15">
      <c r="A398" s="63">
        <v>84</v>
      </c>
      <c r="B398" s="63" t="s">
        <v>495</v>
      </c>
      <c r="C398" s="73"/>
      <c r="D398" s="73" t="s">
        <v>120</v>
      </c>
      <c r="E398" s="73" t="s">
        <v>58</v>
      </c>
      <c r="F398" s="73" t="s">
        <v>528</v>
      </c>
      <c r="G398" s="63" t="s">
        <v>405</v>
      </c>
      <c r="H398" s="63" t="s">
        <v>92</v>
      </c>
      <c r="I398" s="73" t="s">
        <v>758</v>
      </c>
      <c r="J398" s="89" t="s">
        <v>773</v>
      </c>
      <c r="K398" s="89">
        <v>21</v>
      </c>
      <c r="L398" s="89" t="s">
        <v>47</v>
      </c>
      <c r="M398" s="89">
        <v>0</v>
      </c>
      <c r="N398" s="89"/>
      <c r="O398" s="89"/>
      <c r="P398" s="173" t="s">
        <v>958</v>
      </c>
    </row>
    <row r="399" spans="1:16" ht="21.95" customHeight="1" x14ac:dyDescent="0.15">
      <c r="A399" s="63">
        <v>85</v>
      </c>
      <c r="B399" s="63" t="s">
        <v>411</v>
      </c>
      <c r="C399" s="73"/>
      <c r="D399" s="73" t="s">
        <v>252</v>
      </c>
      <c r="E399" s="73" t="s">
        <v>193</v>
      </c>
      <c r="F399" s="73" t="s">
        <v>254</v>
      </c>
      <c r="G399" s="63" t="s">
        <v>405</v>
      </c>
      <c r="H399" s="63" t="s">
        <v>92</v>
      </c>
      <c r="I399" s="73" t="s">
        <v>255</v>
      </c>
      <c r="J399" s="89" t="s">
        <v>620</v>
      </c>
      <c r="K399" s="89">
        <v>21</v>
      </c>
      <c r="L399" s="89" t="s">
        <v>47</v>
      </c>
      <c r="M399" s="89">
        <v>8</v>
      </c>
      <c r="N399" s="89"/>
      <c r="O399" s="89"/>
      <c r="P399" s="173" t="s">
        <v>954</v>
      </c>
    </row>
    <row r="400" spans="1:16" ht="21.95" customHeight="1" x14ac:dyDescent="0.15">
      <c r="A400" s="63">
        <v>86</v>
      </c>
      <c r="B400" s="63" t="s">
        <v>411</v>
      </c>
      <c r="C400" s="73"/>
      <c r="D400" s="73" t="s">
        <v>163</v>
      </c>
      <c r="E400" s="73" t="s">
        <v>53</v>
      </c>
      <c r="F400" s="73" t="s">
        <v>164</v>
      </c>
      <c r="G400" s="63" t="s">
        <v>405</v>
      </c>
      <c r="H400" s="63" t="s">
        <v>92</v>
      </c>
      <c r="I400" s="73" t="s">
        <v>955</v>
      </c>
      <c r="J400" s="89" t="s">
        <v>740</v>
      </c>
      <c r="K400" s="89">
        <v>21</v>
      </c>
      <c r="L400" s="89" t="s">
        <v>47</v>
      </c>
      <c r="M400" s="89">
        <v>7</v>
      </c>
      <c r="N400" s="89"/>
      <c r="O400" s="89"/>
      <c r="P400" s="173" t="s">
        <v>953</v>
      </c>
    </row>
    <row r="401" spans="1:16" ht="21.95" customHeight="1" x14ac:dyDescent="0.15">
      <c r="A401" s="63">
        <v>87</v>
      </c>
      <c r="B401" s="63" t="s">
        <v>411</v>
      </c>
      <c r="C401" s="73"/>
      <c r="D401" s="73" t="s">
        <v>156</v>
      </c>
      <c r="E401" s="73" t="s">
        <v>157</v>
      </c>
      <c r="F401" s="73" t="s">
        <v>158</v>
      </c>
      <c r="G401" s="63" t="s">
        <v>405</v>
      </c>
      <c r="H401" s="63" t="s">
        <v>92</v>
      </c>
      <c r="I401" s="73" t="s">
        <v>159</v>
      </c>
      <c r="J401" s="89" t="s">
        <v>160</v>
      </c>
      <c r="K401" s="89">
        <v>95</v>
      </c>
      <c r="L401" s="89" t="s">
        <v>47</v>
      </c>
      <c r="M401" s="89">
        <v>8</v>
      </c>
      <c r="N401" s="89"/>
      <c r="O401" s="89"/>
      <c r="P401" s="173" t="s">
        <v>952</v>
      </c>
    </row>
    <row r="402" spans="1:16" ht="21.95" customHeight="1" x14ac:dyDescent="0.15">
      <c r="A402" s="63">
        <v>88</v>
      </c>
      <c r="B402" s="63" t="s">
        <v>147</v>
      </c>
      <c r="C402" s="73"/>
      <c r="D402" s="73" t="s">
        <v>244</v>
      </c>
      <c r="E402" s="73" t="s">
        <v>110</v>
      </c>
      <c r="F402" s="73" t="s">
        <v>245</v>
      </c>
      <c r="G402" s="63" t="s">
        <v>405</v>
      </c>
      <c r="H402" s="63" t="s">
        <v>92</v>
      </c>
      <c r="I402" s="73" t="s">
        <v>246</v>
      </c>
      <c r="J402" s="89" t="s">
        <v>617</v>
      </c>
      <c r="K402" s="89">
        <v>5</v>
      </c>
      <c r="L402" s="89" t="s">
        <v>47</v>
      </c>
      <c r="M402" s="89">
        <v>8</v>
      </c>
      <c r="N402" s="89"/>
      <c r="O402" s="89"/>
      <c r="P402" s="173" t="s">
        <v>972</v>
      </c>
    </row>
    <row r="403" spans="1:16" ht="21.95" customHeight="1" x14ac:dyDescent="0.15">
      <c r="A403" s="63">
        <v>89</v>
      </c>
      <c r="B403" s="63" t="s">
        <v>411</v>
      </c>
      <c r="C403" s="73"/>
      <c r="D403" s="73" t="s">
        <v>249</v>
      </c>
      <c r="E403" s="73" t="s">
        <v>53</v>
      </c>
      <c r="F403" s="73" t="s">
        <v>279</v>
      </c>
      <c r="G403" s="63" t="s">
        <v>405</v>
      </c>
      <c r="H403" s="63" t="s">
        <v>280</v>
      </c>
      <c r="I403" s="73" t="s">
        <v>393</v>
      </c>
      <c r="J403" s="89" t="s">
        <v>619</v>
      </c>
      <c r="K403" s="89"/>
      <c r="L403" s="89" t="s">
        <v>47</v>
      </c>
      <c r="M403" s="89">
        <v>0</v>
      </c>
      <c r="N403" s="89"/>
      <c r="O403" s="89"/>
      <c r="P403" s="173" t="s">
        <v>1015</v>
      </c>
    </row>
    <row r="404" spans="1:16" ht="21.95" customHeight="1" x14ac:dyDescent="0.15">
      <c r="A404" s="63">
        <v>90</v>
      </c>
      <c r="B404" s="63" t="s">
        <v>411</v>
      </c>
      <c r="C404" s="73"/>
      <c r="D404" s="73" t="s">
        <v>252</v>
      </c>
      <c r="E404" s="73" t="s">
        <v>538</v>
      </c>
      <c r="F404" s="73" t="s">
        <v>539</v>
      </c>
      <c r="G404" s="63" t="s">
        <v>405</v>
      </c>
      <c r="H404" s="63" t="s">
        <v>92</v>
      </c>
      <c r="I404" s="73" t="s">
        <v>759</v>
      </c>
      <c r="J404" s="89" t="s">
        <v>774</v>
      </c>
      <c r="K404" s="89">
        <v>9</v>
      </c>
      <c r="L404" s="89" t="s">
        <v>47</v>
      </c>
      <c r="M404" s="89">
        <v>8</v>
      </c>
      <c r="N404" s="89"/>
      <c r="O404" s="89"/>
      <c r="P404" s="173" t="s">
        <v>1014</v>
      </c>
    </row>
    <row r="405" spans="1:16" ht="21.95" customHeight="1" x14ac:dyDescent="0.15">
      <c r="A405" s="63">
        <v>91</v>
      </c>
      <c r="B405" s="63" t="s">
        <v>411</v>
      </c>
      <c r="C405" s="73"/>
      <c r="D405" s="73" t="s">
        <v>716</v>
      </c>
      <c r="E405" s="73" t="s">
        <v>193</v>
      </c>
      <c r="F405" s="73" t="s">
        <v>717</v>
      </c>
      <c r="G405" s="63" t="s">
        <v>405</v>
      </c>
      <c r="H405" s="63" t="s">
        <v>259</v>
      </c>
      <c r="I405" s="73" t="s">
        <v>259</v>
      </c>
      <c r="J405" s="89" t="s">
        <v>406</v>
      </c>
      <c r="K405" s="89"/>
      <c r="L405" s="89" t="s">
        <v>55</v>
      </c>
      <c r="M405" s="89"/>
      <c r="N405" s="89"/>
      <c r="O405" s="89"/>
      <c r="P405" s="173" t="s">
        <v>1017</v>
      </c>
    </row>
    <row r="406" spans="1:16" ht="21.95" customHeight="1" x14ac:dyDescent="0.15">
      <c r="A406" s="63">
        <v>92</v>
      </c>
      <c r="B406" s="63" t="s">
        <v>411</v>
      </c>
      <c r="C406" s="73"/>
      <c r="D406" s="73" t="s">
        <v>716</v>
      </c>
      <c r="E406" s="73" t="s">
        <v>193</v>
      </c>
      <c r="F406" s="73" t="s">
        <v>733</v>
      </c>
      <c r="G406" s="63" t="s">
        <v>405</v>
      </c>
      <c r="H406" s="63" t="s">
        <v>259</v>
      </c>
      <c r="I406" s="73" t="s">
        <v>259</v>
      </c>
      <c r="J406" s="89" t="s">
        <v>406</v>
      </c>
      <c r="K406" s="89"/>
      <c r="L406" s="89" t="s">
        <v>55</v>
      </c>
      <c r="M406" s="89"/>
      <c r="N406" s="89"/>
      <c r="O406" s="89"/>
      <c r="P406" s="173" t="s">
        <v>1017</v>
      </c>
    </row>
    <row r="407" spans="1:16" ht="21.95" customHeight="1" x14ac:dyDescent="0.15">
      <c r="A407" s="63">
        <v>93</v>
      </c>
      <c r="B407" s="63" t="s">
        <v>411</v>
      </c>
      <c r="C407" s="73"/>
      <c r="D407" s="73" t="s">
        <v>716</v>
      </c>
      <c r="E407" s="73" t="s">
        <v>193</v>
      </c>
      <c r="F407" s="73" t="s">
        <v>734</v>
      </c>
      <c r="G407" s="63" t="s">
        <v>405</v>
      </c>
      <c r="H407" s="63" t="s">
        <v>259</v>
      </c>
      <c r="I407" s="73" t="s">
        <v>259</v>
      </c>
      <c r="J407" s="89" t="s">
        <v>406</v>
      </c>
      <c r="K407" s="89"/>
      <c r="L407" s="89" t="s">
        <v>55</v>
      </c>
      <c r="M407" s="89"/>
      <c r="N407" s="89"/>
      <c r="O407" s="89"/>
      <c r="P407" s="173" t="s">
        <v>1017</v>
      </c>
    </row>
    <row r="408" spans="1:16" ht="21.95" customHeight="1" x14ac:dyDescent="0.15">
      <c r="A408" s="63">
        <v>94</v>
      </c>
      <c r="B408" s="63" t="s">
        <v>370</v>
      </c>
      <c r="C408" s="73"/>
      <c r="D408" s="73" t="s">
        <v>120</v>
      </c>
      <c r="E408" s="73" t="s">
        <v>115</v>
      </c>
      <c r="F408" s="73" t="s">
        <v>644</v>
      </c>
      <c r="G408" s="63" t="s">
        <v>405</v>
      </c>
      <c r="H408" s="63" t="s">
        <v>259</v>
      </c>
      <c r="I408" s="73" t="s">
        <v>259</v>
      </c>
      <c r="J408" s="89" t="s">
        <v>419</v>
      </c>
      <c r="K408" s="89"/>
      <c r="L408" s="89" t="s">
        <v>55</v>
      </c>
      <c r="M408" s="89"/>
      <c r="N408" s="89"/>
      <c r="O408" s="89"/>
      <c r="P408" s="173" t="s">
        <v>1018</v>
      </c>
    </row>
    <row r="409" spans="1:16" ht="21.95" customHeight="1" x14ac:dyDescent="0.15">
      <c r="A409" s="63">
        <v>95</v>
      </c>
      <c r="B409" s="63" t="s">
        <v>370</v>
      </c>
      <c r="C409" s="73"/>
      <c r="D409" s="73" t="s">
        <v>45</v>
      </c>
      <c r="E409" s="73" t="s">
        <v>361</v>
      </c>
      <c r="F409" s="73" t="s">
        <v>822</v>
      </c>
      <c r="G409" s="63" t="s">
        <v>405</v>
      </c>
      <c r="H409" s="63" t="s">
        <v>92</v>
      </c>
      <c r="I409" s="73" t="s">
        <v>983</v>
      </c>
      <c r="J409" s="89" t="s">
        <v>984</v>
      </c>
      <c r="K409" s="89">
        <v>8</v>
      </c>
      <c r="L409" s="89" t="s">
        <v>47</v>
      </c>
      <c r="M409" s="89">
        <v>8</v>
      </c>
      <c r="N409" s="89"/>
      <c r="O409" s="89"/>
      <c r="P409" s="173" t="s">
        <v>1042</v>
      </c>
    </row>
    <row r="410" spans="1:16" ht="21.95" customHeight="1" x14ac:dyDescent="0.15">
      <c r="A410" s="63">
        <v>96</v>
      </c>
      <c r="B410" s="63" t="s">
        <v>147</v>
      </c>
      <c r="C410" s="73"/>
      <c r="D410" s="73" t="s">
        <v>156</v>
      </c>
      <c r="E410" s="73" t="s">
        <v>78</v>
      </c>
      <c r="F410" s="73" t="s">
        <v>274</v>
      </c>
      <c r="G410" s="63" t="s">
        <v>405</v>
      </c>
      <c r="H410" s="63" t="s">
        <v>275</v>
      </c>
      <c r="I410" s="73" t="s">
        <v>259</v>
      </c>
      <c r="J410" s="89" t="s">
        <v>623</v>
      </c>
      <c r="K410" s="89">
        <v>16</v>
      </c>
      <c r="L410" s="89" t="s">
        <v>47</v>
      </c>
      <c r="M410" s="89">
        <v>8</v>
      </c>
      <c r="N410" s="89"/>
      <c r="O410" s="89"/>
      <c r="P410" s="173" t="s">
        <v>1042</v>
      </c>
    </row>
    <row r="411" spans="1:16" ht="21.95" customHeight="1" x14ac:dyDescent="0.15">
      <c r="A411" s="63">
        <v>97</v>
      </c>
      <c r="B411" s="63" t="s">
        <v>147</v>
      </c>
      <c r="C411" s="73"/>
      <c r="D411" s="73" t="s">
        <v>165</v>
      </c>
      <c r="E411" s="73" t="s">
        <v>58</v>
      </c>
      <c r="F411" s="73" t="s">
        <v>555</v>
      </c>
      <c r="G411" s="63" t="s">
        <v>405</v>
      </c>
      <c r="H411" s="63" t="s">
        <v>92</v>
      </c>
      <c r="I411" s="73" t="s">
        <v>780</v>
      </c>
      <c r="J411" s="89" t="s">
        <v>781</v>
      </c>
      <c r="K411" s="89"/>
      <c r="L411" s="89" t="s">
        <v>55</v>
      </c>
      <c r="M411" s="89"/>
      <c r="N411" s="89"/>
      <c r="O411" s="89"/>
      <c r="P411" s="173" t="s">
        <v>1021</v>
      </c>
    </row>
    <row r="412" spans="1:16" ht="21.95" customHeight="1" x14ac:dyDescent="0.15">
      <c r="A412" s="63">
        <v>98</v>
      </c>
      <c r="B412" s="63" t="s">
        <v>370</v>
      </c>
      <c r="C412" s="73"/>
      <c r="D412" s="73" t="s">
        <v>45</v>
      </c>
      <c r="E412" s="73" t="s">
        <v>108</v>
      </c>
      <c r="F412" s="73" t="s">
        <v>109</v>
      </c>
      <c r="G412" s="63" t="s">
        <v>405</v>
      </c>
      <c r="H412" s="63" t="s">
        <v>92</v>
      </c>
      <c r="I412" s="73" t="s">
        <v>1043</v>
      </c>
      <c r="J412" s="89" t="s">
        <v>877</v>
      </c>
      <c r="K412" s="89">
        <v>8</v>
      </c>
      <c r="L412" s="89" t="s">
        <v>47</v>
      </c>
      <c r="M412" s="89">
        <v>7</v>
      </c>
      <c r="N412" s="89"/>
      <c r="O412" s="89"/>
      <c r="P412" s="173" t="s">
        <v>1044</v>
      </c>
    </row>
    <row r="413" spans="1:16" ht="21.95" customHeight="1" x14ac:dyDescent="0.15">
      <c r="A413" s="63">
        <v>99</v>
      </c>
      <c r="B413" s="63" t="s">
        <v>147</v>
      </c>
      <c r="C413" s="73" t="s">
        <v>89</v>
      </c>
      <c r="D413" s="73" t="s">
        <v>165</v>
      </c>
      <c r="E413" s="73" t="s">
        <v>157</v>
      </c>
      <c r="F413" s="73" t="s">
        <v>189</v>
      </c>
      <c r="G413" s="63" t="s">
        <v>405</v>
      </c>
      <c r="H413" s="63" t="s">
        <v>92</v>
      </c>
      <c r="I413" s="73" t="s">
        <v>190</v>
      </c>
      <c r="J413" s="89" t="s">
        <v>698</v>
      </c>
      <c r="K413" s="89">
        <v>5</v>
      </c>
      <c r="L413" s="89" t="s">
        <v>47</v>
      </c>
      <c r="M413" s="89">
        <v>9</v>
      </c>
      <c r="N413" s="89"/>
      <c r="O413" s="89"/>
      <c r="P413" s="173" t="s">
        <v>1086</v>
      </c>
    </row>
    <row r="414" spans="1:16" ht="21.95" customHeight="1" x14ac:dyDescent="0.15">
      <c r="A414" s="63">
        <v>100</v>
      </c>
      <c r="B414" s="63" t="s">
        <v>147</v>
      </c>
      <c r="C414" s="73" t="s">
        <v>89</v>
      </c>
      <c r="D414" s="73" t="s">
        <v>165</v>
      </c>
      <c r="E414" s="73" t="s">
        <v>157</v>
      </c>
      <c r="F414" s="73" t="s">
        <v>288</v>
      </c>
      <c r="G414" s="63" t="s">
        <v>405</v>
      </c>
      <c r="H414" s="63" t="s">
        <v>92</v>
      </c>
      <c r="I414" s="73" t="s">
        <v>392</v>
      </c>
      <c r="J414" s="89" t="s">
        <v>1088</v>
      </c>
      <c r="K414" s="89"/>
      <c r="L414" s="89" t="s">
        <v>55</v>
      </c>
      <c r="M414" s="89"/>
      <c r="N414" s="89"/>
      <c r="O414" s="89"/>
      <c r="P414" s="173" t="s">
        <v>1089</v>
      </c>
    </row>
    <row r="415" spans="1:16" ht="21.95" customHeight="1" x14ac:dyDescent="0.15">
      <c r="A415" s="63">
        <v>101</v>
      </c>
      <c r="B415" s="63" t="s">
        <v>370</v>
      </c>
      <c r="C415" s="73" t="s">
        <v>411</v>
      </c>
      <c r="D415" s="73" t="s">
        <v>45</v>
      </c>
      <c r="E415" s="73" t="s">
        <v>112</v>
      </c>
      <c r="F415" s="73" t="s">
        <v>263</v>
      </c>
      <c r="G415" s="63" t="s">
        <v>405</v>
      </c>
      <c r="H415" s="63" t="s">
        <v>262</v>
      </c>
      <c r="I415" s="73" t="s">
        <v>345</v>
      </c>
      <c r="J415" s="89" t="s">
        <v>591</v>
      </c>
      <c r="K415" s="89">
        <v>49</v>
      </c>
      <c r="L415" s="89" t="s">
        <v>47</v>
      </c>
      <c r="M415" s="89">
        <v>10</v>
      </c>
      <c r="N415" s="89"/>
      <c r="O415" s="89"/>
      <c r="P415" s="173" t="s">
        <v>1097</v>
      </c>
    </row>
    <row r="416" spans="1:16" ht="21.95" customHeight="1" x14ac:dyDescent="0.15">
      <c r="A416" s="63">
        <v>102</v>
      </c>
      <c r="B416" s="63" t="s">
        <v>219</v>
      </c>
      <c r="C416" s="73" t="s">
        <v>89</v>
      </c>
      <c r="D416" s="73" t="s">
        <v>226</v>
      </c>
      <c r="E416" s="73" t="s">
        <v>53</v>
      </c>
      <c r="F416" s="73" t="s">
        <v>229</v>
      </c>
      <c r="G416" s="63" t="s">
        <v>405</v>
      </c>
      <c r="H416" s="63" t="s">
        <v>92</v>
      </c>
      <c r="I416" s="73" t="s">
        <v>611</v>
      </c>
      <c r="J416" s="89" t="s">
        <v>786</v>
      </c>
      <c r="K416" s="89">
        <v>2</v>
      </c>
      <c r="L416" s="89" t="s">
        <v>47</v>
      </c>
      <c r="M416" s="89">
        <v>0</v>
      </c>
      <c r="N416" s="89"/>
      <c r="O416" s="89"/>
      <c r="P416" s="173" t="s">
        <v>1114</v>
      </c>
    </row>
    <row r="417" spans="1:16" ht="21.95" customHeight="1" x14ac:dyDescent="0.15">
      <c r="A417" s="63">
        <v>103</v>
      </c>
      <c r="B417" s="63" t="s">
        <v>147</v>
      </c>
      <c r="C417" s="73" t="s">
        <v>89</v>
      </c>
      <c r="D417" s="73" t="s">
        <v>165</v>
      </c>
      <c r="E417" s="73" t="s">
        <v>100</v>
      </c>
      <c r="F417" s="73" t="s">
        <v>174</v>
      </c>
      <c r="G417" s="63" t="s">
        <v>405</v>
      </c>
      <c r="H417" s="63" t="s">
        <v>92</v>
      </c>
      <c r="I417" s="73" t="s">
        <v>180</v>
      </c>
      <c r="J417" s="89" t="s">
        <v>1054</v>
      </c>
      <c r="K417" s="89">
        <v>2</v>
      </c>
      <c r="L417" s="89" t="s">
        <v>47</v>
      </c>
      <c r="M417" s="89">
        <v>0</v>
      </c>
      <c r="N417" s="89"/>
      <c r="O417" s="89"/>
      <c r="P417" s="173" t="s">
        <v>1128</v>
      </c>
    </row>
    <row r="418" spans="1:16" ht="21.95" customHeight="1" x14ac:dyDescent="0.15">
      <c r="A418" s="63">
        <v>104</v>
      </c>
      <c r="B418" s="63" t="s">
        <v>409</v>
      </c>
      <c r="C418" s="73" t="s">
        <v>409</v>
      </c>
      <c r="D418" s="73" t="s">
        <v>120</v>
      </c>
      <c r="E418" s="73" t="s">
        <v>58</v>
      </c>
      <c r="F418" s="73" t="s">
        <v>701</v>
      </c>
      <c r="G418" s="63" t="s">
        <v>405</v>
      </c>
      <c r="H418" s="63" t="s">
        <v>259</v>
      </c>
      <c r="I418" s="73" t="s">
        <v>259</v>
      </c>
      <c r="J418" s="89" t="s">
        <v>416</v>
      </c>
      <c r="K418" s="89"/>
      <c r="L418" s="89" t="s">
        <v>55</v>
      </c>
      <c r="M418" s="89"/>
      <c r="N418" s="89"/>
      <c r="O418" s="89"/>
      <c r="P418" s="173" t="s">
        <v>1120</v>
      </c>
    </row>
    <row r="419" spans="1:16" ht="21.95" customHeight="1" x14ac:dyDescent="0.15">
      <c r="A419" s="63">
        <v>105</v>
      </c>
      <c r="B419" s="63" t="s">
        <v>495</v>
      </c>
      <c r="C419" s="73" t="s">
        <v>495</v>
      </c>
      <c r="D419" s="73" t="s">
        <v>215</v>
      </c>
      <c r="E419" s="73" t="s">
        <v>193</v>
      </c>
      <c r="F419" s="73" t="s">
        <v>735</v>
      </c>
      <c r="G419" s="63" t="s">
        <v>405</v>
      </c>
      <c r="H419" s="63" t="s">
        <v>259</v>
      </c>
      <c r="I419" s="73" t="s">
        <v>259</v>
      </c>
      <c r="J419" s="89" t="s">
        <v>406</v>
      </c>
      <c r="K419" s="89"/>
      <c r="L419" s="89" t="s">
        <v>55</v>
      </c>
      <c r="M419" s="89"/>
      <c r="N419" s="89"/>
      <c r="O419" s="89"/>
      <c r="P419" s="173" t="s">
        <v>322</v>
      </c>
    </row>
    <row r="420" spans="1:16" ht="21.95" customHeight="1" x14ac:dyDescent="0.15">
      <c r="A420" s="63">
        <v>106</v>
      </c>
      <c r="B420" s="63" t="s">
        <v>89</v>
      </c>
      <c r="C420" s="73" t="s">
        <v>89</v>
      </c>
      <c r="D420" s="73" t="s">
        <v>165</v>
      </c>
      <c r="E420" s="73" t="s">
        <v>78</v>
      </c>
      <c r="F420" s="73" t="s">
        <v>1030</v>
      </c>
      <c r="G420" s="63" t="s">
        <v>349</v>
      </c>
      <c r="H420" s="63" t="s">
        <v>92</v>
      </c>
      <c r="I420" s="73" t="s">
        <v>1028</v>
      </c>
      <c r="J420" s="89" t="s">
        <v>1029</v>
      </c>
      <c r="K420" s="89">
        <v>4</v>
      </c>
      <c r="L420" s="89" t="s">
        <v>47</v>
      </c>
      <c r="M420" s="89">
        <v>7</v>
      </c>
      <c r="N420" s="89"/>
      <c r="O420" s="89"/>
      <c r="P420" s="173" t="s">
        <v>1235</v>
      </c>
    </row>
    <row r="421" spans="1:16" ht="21.95" customHeight="1" x14ac:dyDescent="0.15">
      <c r="A421" s="63">
        <v>107</v>
      </c>
      <c r="B421" s="63" t="s">
        <v>89</v>
      </c>
      <c r="C421" s="73" t="s">
        <v>89</v>
      </c>
      <c r="D421" s="73" t="s">
        <v>165</v>
      </c>
      <c r="E421" s="73" t="s">
        <v>53</v>
      </c>
      <c r="F421" s="73" t="s">
        <v>790</v>
      </c>
      <c r="G421" s="63" t="s">
        <v>349</v>
      </c>
      <c r="H421" s="63" t="s">
        <v>92</v>
      </c>
      <c r="I421" s="73" t="s">
        <v>865</v>
      </c>
      <c r="J421" s="89" t="s">
        <v>1059</v>
      </c>
      <c r="K421" s="89">
        <v>3</v>
      </c>
      <c r="L421" s="89" t="s">
        <v>47</v>
      </c>
      <c r="M421" s="89">
        <v>7</v>
      </c>
      <c r="N421" s="89"/>
      <c r="O421" s="89"/>
      <c r="P421" s="173" t="s">
        <v>1234</v>
      </c>
    </row>
    <row r="422" spans="1:16" ht="21.95" customHeight="1" x14ac:dyDescent="0.15">
      <c r="A422" s="63">
        <v>108</v>
      </c>
      <c r="B422" s="63" t="s">
        <v>495</v>
      </c>
      <c r="C422" s="73" t="s">
        <v>411</v>
      </c>
      <c r="D422" s="73" t="s">
        <v>45</v>
      </c>
      <c r="E422" s="73" t="s">
        <v>53</v>
      </c>
      <c r="F422" s="73" t="s">
        <v>54</v>
      </c>
      <c r="G422" s="63" t="s">
        <v>405</v>
      </c>
      <c r="H422" s="63" t="s">
        <v>92</v>
      </c>
      <c r="I422" s="73" t="s">
        <v>1204</v>
      </c>
      <c r="J422" s="89" t="s">
        <v>1178</v>
      </c>
      <c r="K422" s="89"/>
      <c r="L422" s="89" t="s">
        <v>55</v>
      </c>
      <c r="M422" s="89"/>
      <c r="N422" s="89"/>
      <c r="O422" s="89"/>
      <c r="P422" s="173" t="s">
        <v>1205</v>
      </c>
    </row>
    <row r="423" spans="1:16" ht="21.95" customHeight="1" x14ac:dyDescent="0.15">
      <c r="A423" s="63">
        <v>109</v>
      </c>
      <c r="B423" s="63" t="s">
        <v>496</v>
      </c>
      <c r="C423" s="73" t="s">
        <v>411</v>
      </c>
      <c r="D423" s="73" t="s">
        <v>45</v>
      </c>
      <c r="E423" s="73" t="s">
        <v>112</v>
      </c>
      <c r="F423" s="73" t="s">
        <v>113</v>
      </c>
      <c r="G423" s="63" t="s">
        <v>405</v>
      </c>
      <c r="H423" s="63" t="s">
        <v>92</v>
      </c>
      <c r="I423" s="73" t="s">
        <v>251</v>
      </c>
      <c r="J423" s="89" t="s">
        <v>114</v>
      </c>
      <c r="K423" s="89">
        <v>73</v>
      </c>
      <c r="L423" s="89" t="s">
        <v>47</v>
      </c>
      <c r="M423" s="89">
        <v>10</v>
      </c>
      <c r="N423" s="89"/>
      <c r="O423" s="89"/>
      <c r="P423" s="173" t="s">
        <v>1242</v>
      </c>
    </row>
    <row r="424" spans="1:16" ht="21.95" customHeight="1" x14ac:dyDescent="0.15">
      <c r="A424" s="63">
        <v>110</v>
      </c>
      <c r="B424" s="63" t="s">
        <v>495</v>
      </c>
      <c r="C424" s="73" t="s">
        <v>495</v>
      </c>
      <c r="D424" s="73" t="s">
        <v>218</v>
      </c>
      <c r="E424" s="73" t="s">
        <v>193</v>
      </c>
      <c r="F424" s="73" t="s">
        <v>899</v>
      </c>
      <c r="G424" s="63" t="s">
        <v>405</v>
      </c>
      <c r="H424" s="63" t="s">
        <v>92</v>
      </c>
      <c r="I424" s="73" t="s">
        <v>1007</v>
      </c>
      <c r="J424" s="89" t="s">
        <v>1008</v>
      </c>
      <c r="K424" s="89">
        <v>14</v>
      </c>
      <c r="L424" s="89" t="s">
        <v>47</v>
      </c>
      <c r="M424" s="89">
        <v>0</v>
      </c>
      <c r="N424" s="89"/>
      <c r="O424" s="89"/>
      <c r="P424" s="173" t="s">
        <v>1234</v>
      </c>
    </row>
    <row r="425" spans="1:16" ht="21.95" customHeight="1" x14ac:dyDescent="0.15">
      <c r="A425" s="63">
        <v>111</v>
      </c>
      <c r="B425" s="63" t="s">
        <v>219</v>
      </c>
      <c r="C425" s="73" t="s">
        <v>89</v>
      </c>
      <c r="D425" s="73" t="s">
        <v>226</v>
      </c>
      <c r="E425" s="73" t="s">
        <v>53</v>
      </c>
      <c r="F425" s="73" t="s">
        <v>230</v>
      </c>
      <c r="G425" s="63" t="s">
        <v>405</v>
      </c>
      <c r="H425" s="63" t="s">
        <v>92</v>
      </c>
      <c r="I425" s="73" t="s">
        <v>1238</v>
      </c>
      <c r="J425" s="89" t="s">
        <v>357</v>
      </c>
      <c r="K425" s="89">
        <v>36</v>
      </c>
      <c r="L425" s="89" t="s">
        <v>47</v>
      </c>
      <c r="M425" s="89">
        <v>8.5</v>
      </c>
      <c r="N425" s="89"/>
      <c r="O425" s="89"/>
      <c r="P425" s="173" t="s">
        <v>1241</v>
      </c>
    </row>
    <row r="426" spans="1:16" ht="21.95" customHeight="1" x14ac:dyDescent="0.15">
      <c r="A426" s="63">
        <v>112</v>
      </c>
      <c r="B426" s="63" t="s">
        <v>219</v>
      </c>
      <c r="C426" s="73" t="s">
        <v>89</v>
      </c>
      <c r="D426" s="73" t="s">
        <v>226</v>
      </c>
      <c r="E426" s="73" t="s">
        <v>53</v>
      </c>
      <c r="F426" s="73" t="s">
        <v>231</v>
      </c>
      <c r="G426" s="63" t="s">
        <v>405</v>
      </c>
      <c r="H426" s="63" t="s">
        <v>92</v>
      </c>
      <c r="I426" s="73" t="s">
        <v>1238</v>
      </c>
      <c r="J426" s="89" t="s">
        <v>612</v>
      </c>
      <c r="K426" s="89">
        <v>36</v>
      </c>
      <c r="L426" s="89" t="s">
        <v>47</v>
      </c>
      <c r="M426" s="89">
        <v>8.5</v>
      </c>
      <c r="N426" s="89"/>
      <c r="O426" s="89"/>
      <c r="P426" s="173" t="s">
        <v>1241</v>
      </c>
    </row>
    <row r="427" spans="1:16" ht="21.95" customHeight="1" x14ac:dyDescent="0.15">
      <c r="A427" s="63">
        <v>113</v>
      </c>
      <c r="B427" s="63" t="s">
        <v>219</v>
      </c>
      <c r="C427" s="73" t="s">
        <v>89</v>
      </c>
      <c r="D427" s="73" t="s">
        <v>220</v>
      </c>
      <c r="E427" s="73" t="s">
        <v>110</v>
      </c>
      <c r="F427" s="73" t="s">
        <v>221</v>
      </c>
      <c r="G427" s="63" t="s">
        <v>405</v>
      </c>
      <c r="H427" s="63" t="s">
        <v>92</v>
      </c>
      <c r="I427" s="73" t="s">
        <v>378</v>
      </c>
      <c r="J427" s="89" t="s">
        <v>971</v>
      </c>
      <c r="K427" s="89">
        <v>11</v>
      </c>
      <c r="L427" s="89" t="s">
        <v>47</v>
      </c>
      <c r="M427" s="89">
        <v>8</v>
      </c>
      <c r="N427" s="89"/>
      <c r="O427" s="89"/>
      <c r="P427" s="173" t="s">
        <v>1239</v>
      </c>
    </row>
    <row r="428" spans="1:16" ht="21.95" customHeight="1" x14ac:dyDescent="0.15">
      <c r="A428" s="63">
        <v>114</v>
      </c>
      <c r="B428" s="63" t="s">
        <v>219</v>
      </c>
      <c r="C428" s="73" t="s">
        <v>89</v>
      </c>
      <c r="D428" s="73" t="s">
        <v>220</v>
      </c>
      <c r="E428" s="73" t="s">
        <v>110</v>
      </c>
      <c r="F428" s="73" t="s">
        <v>222</v>
      </c>
      <c r="G428" s="63" t="s">
        <v>405</v>
      </c>
      <c r="H428" s="63" t="s">
        <v>92</v>
      </c>
      <c r="I428" s="73" t="s">
        <v>223</v>
      </c>
      <c r="J428" s="89" t="s">
        <v>971</v>
      </c>
      <c r="K428" s="89">
        <v>11</v>
      </c>
      <c r="L428" s="89" t="s">
        <v>47</v>
      </c>
      <c r="M428" s="89">
        <v>8</v>
      </c>
      <c r="N428" s="89"/>
      <c r="O428" s="89"/>
      <c r="P428" s="173" t="s">
        <v>1240</v>
      </c>
    </row>
    <row r="429" spans="1:16" ht="21.95" customHeight="1" x14ac:dyDescent="0.15">
      <c r="A429" s="63">
        <v>115</v>
      </c>
      <c r="B429" s="63" t="s">
        <v>147</v>
      </c>
      <c r="C429" s="73" t="s">
        <v>89</v>
      </c>
      <c r="D429" s="73" t="s">
        <v>165</v>
      </c>
      <c r="E429" s="73" t="s">
        <v>53</v>
      </c>
      <c r="F429" s="73" t="s">
        <v>186</v>
      </c>
      <c r="G429" s="63" t="s">
        <v>405</v>
      </c>
      <c r="H429" s="63" t="s">
        <v>92</v>
      </c>
      <c r="I429" s="73" t="s">
        <v>187</v>
      </c>
      <c r="J429" s="89" t="s">
        <v>1059</v>
      </c>
      <c r="K429" s="89">
        <v>3</v>
      </c>
      <c r="L429" s="89" t="s">
        <v>47</v>
      </c>
      <c r="M429" s="89">
        <v>8</v>
      </c>
      <c r="N429" s="89"/>
      <c r="O429" s="89"/>
      <c r="P429" s="173" t="s">
        <v>1250</v>
      </c>
    </row>
    <row r="430" spans="1:16" ht="21.95" customHeight="1" x14ac:dyDescent="0.15">
      <c r="A430" s="63">
        <v>116</v>
      </c>
      <c r="B430" s="63" t="s">
        <v>495</v>
      </c>
      <c r="C430" s="73" t="s">
        <v>411</v>
      </c>
      <c r="D430" s="73" t="s">
        <v>45</v>
      </c>
      <c r="E430" s="73" t="s">
        <v>53</v>
      </c>
      <c r="F430" s="73" t="s">
        <v>497</v>
      </c>
      <c r="G430" s="63" t="s">
        <v>405</v>
      </c>
      <c r="H430" s="63" t="s">
        <v>262</v>
      </c>
      <c r="I430" s="73" t="s">
        <v>92</v>
      </c>
      <c r="J430" s="89" t="s">
        <v>1178</v>
      </c>
      <c r="K430" s="89"/>
      <c r="L430" s="89" t="s">
        <v>55</v>
      </c>
      <c r="M430" s="89"/>
      <c r="N430" s="89"/>
      <c r="O430" s="89"/>
      <c r="P430" s="173" t="s">
        <v>1205</v>
      </c>
    </row>
    <row r="431" spans="1:16" ht="21.95" customHeight="1" x14ac:dyDescent="0.15">
      <c r="A431" s="63">
        <v>117</v>
      </c>
      <c r="B431" s="63" t="s">
        <v>89</v>
      </c>
      <c r="C431" s="73" t="s">
        <v>89</v>
      </c>
      <c r="D431" s="73" t="s">
        <v>165</v>
      </c>
      <c r="E431" s="73" t="s">
        <v>53</v>
      </c>
      <c r="F431" s="73" t="s">
        <v>906</v>
      </c>
      <c r="G431" s="63" t="s">
        <v>405</v>
      </c>
      <c r="H431" s="63" t="s">
        <v>92</v>
      </c>
      <c r="I431" s="73" t="s">
        <v>1006</v>
      </c>
      <c r="J431" s="89" t="s">
        <v>1058</v>
      </c>
      <c r="K431" s="89">
        <v>1</v>
      </c>
      <c r="L431" s="89" t="s">
        <v>47</v>
      </c>
      <c r="M431" s="89">
        <v>8</v>
      </c>
      <c r="N431" s="89"/>
      <c r="O431" s="89"/>
      <c r="P431" s="173" t="s">
        <v>1321</v>
      </c>
    </row>
    <row r="432" spans="1:16" ht="21.95" customHeight="1" x14ac:dyDescent="0.15">
      <c r="A432" s="63">
        <v>118</v>
      </c>
      <c r="B432" s="63" t="s">
        <v>147</v>
      </c>
      <c r="C432" s="73" t="s">
        <v>411</v>
      </c>
      <c r="D432" s="73" t="s">
        <v>244</v>
      </c>
      <c r="E432" s="73" t="s">
        <v>157</v>
      </c>
      <c r="F432" s="73" t="s">
        <v>248</v>
      </c>
      <c r="G432" s="63" t="s">
        <v>405</v>
      </c>
      <c r="H432" s="63" t="s">
        <v>92</v>
      </c>
      <c r="I432" s="73" t="s">
        <v>1332</v>
      </c>
      <c r="J432" s="89" t="s">
        <v>968</v>
      </c>
      <c r="K432" s="89">
        <v>5</v>
      </c>
      <c r="L432" s="89" t="s">
        <v>47</v>
      </c>
      <c r="M432" s="89">
        <v>8</v>
      </c>
      <c r="N432" s="89"/>
      <c r="O432" s="89"/>
      <c r="P432" s="173" t="s">
        <v>1333</v>
      </c>
    </row>
    <row r="433" spans="1:18" ht="21.95" customHeight="1" x14ac:dyDescent="0.15">
      <c r="A433" s="63">
        <v>119</v>
      </c>
      <c r="B433" s="63" t="s">
        <v>147</v>
      </c>
      <c r="C433" s="73" t="s">
        <v>411</v>
      </c>
      <c r="D433" s="73" t="s">
        <v>244</v>
      </c>
      <c r="E433" s="73" t="s">
        <v>157</v>
      </c>
      <c r="F433" s="73" t="s">
        <v>1364</v>
      </c>
      <c r="G433" s="63" t="s">
        <v>405</v>
      </c>
      <c r="H433" s="63" t="s">
        <v>92</v>
      </c>
      <c r="I433" s="73" t="s">
        <v>1332</v>
      </c>
      <c r="J433" s="89" t="s">
        <v>968</v>
      </c>
      <c r="K433" s="89">
        <v>5</v>
      </c>
      <c r="L433" s="89" t="s">
        <v>47</v>
      </c>
      <c r="M433" s="89"/>
      <c r="N433" s="89"/>
      <c r="O433" s="89"/>
      <c r="P433" s="173" t="s">
        <v>1333</v>
      </c>
    </row>
    <row r="434" spans="1:18" ht="21.95" customHeight="1" x14ac:dyDescent="0.15">
      <c r="A434" s="63">
        <v>120</v>
      </c>
      <c r="B434" s="63" t="s">
        <v>370</v>
      </c>
      <c r="C434" s="73" t="s">
        <v>411</v>
      </c>
      <c r="D434" s="73" t="s">
        <v>45</v>
      </c>
      <c r="E434" s="73" t="s">
        <v>361</v>
      </c>
      <c r="F434" s="73" t="s">
        <v>388</v>
      </c>
      <c r="G434" s="63" t="s">
        <v>349</v>
      </c>
      <c r="H434" s="63" t="s">
        <v>92</v>
      </c>
      <c r="I434" s="73" t="s">
        <v>466</v>
      </c>
      <c r="J434" s="89" t="s">
        <v>1270</v>
      </c>
      <c r="K434" s="89"/>
      <c r="L434" s="89" t="s">
        <v>55</v>
      </c>
      <c r="M434" s="89"/>
      <c r="N434" s="89"/>
      <c r="O434" s="89"/>
      <c r="P434" s="173" t="s">
        <v>1361</v>
      </c>
    </row>
    <row r="435" spans="1:18" ht="21.95" customHeight="1" x14ac:dyDescent="0.15">
      <c r="A435" s="63">
        <v>121</v>
      </c>
      <c r="B435" s="63" t="s">
        <v>370</v>
      </c>
      <c r="C435" s="73" t="s">
        <v>411</v>
      </c>
      <c r="D435" s="73" t="s">
        <v>45</v>
      </c>
      <c r="E435" s="73" t="s">
        <v>361</v>
      </c>
      <c r="F435" s="73" t="s">
        <v>388</v>
      </c>
      <c r="G435" s="63" t="s">
        <v>349</v>
      </c>
      <c r="H435" s="63"/>
      <c r="I435" s="73"/>
      <c r="J435" s="89"/>
      <c r="K435" s="89"/>
      <c r="L435" s="89" t="s">
        <v>55</v>
      </c>
      <c r="M435" s="89"/>
      <c r="N435" s="89"/>
      <c r="O435" s="89"/>
      <c r="P435" s="173" t="s">
        <v>416</v>
      </c>
    </row>
    <row r="436" spans="1:18" ht="21.95" customHeight="1" x14ac:dyDescent="0.15">
      <c r="A436" s="63">
        <v>122</v>
      </c>
      <c r="B436" s="63" t="s">
        <v>411</v>
      </c>
      <c r="C436" s="73" t="s">
        <v>411</v>
      </c>
      <c r="D436" s="73" t="s">
        <v>45</v>
      </c>
      <c r="E436" s="73" t="s">
        <v>361</v>
      </c>
      <c r="F436" s="73" t="s">
        <v>388</v>
      </c>
      <c r="G436" s="63" t="s">
        <v>349</v>
      </c>
      <c r="H436" s="63"/>
      <c r="I436" s="73"/>
      <c r="J436" s="89"/>
      <c r="K436" s="89"/>
      <c r="L436" s="89" t="s">
        <v>55</v>
      </c>
      <c r="M436" s="89"/>
      <c r="N436" s="89"/>
      <c r="O436" s="89"/>
      <c r="P436" s="173" t="s">
        <v>1111</v>
      </c>
    </row>
    <row r="437" spans="1:18" ht="21.95" customHeight="1" x14ac:dyDescent="0.15">
      <c r="A437" s="63">
        <v>123</v>
      </c>
      <c r="B437" s="63" t="s">
        <v>495</v>
      </c>
      <c r="C437" s="73" t="s">
        <v>370</v>
      </c>
      <c r="D437" s="73" t="s">
        <v>45</v>
      </c>
      <c r="E437" s="73" t="s">
        <v>53</v>
      </c>
      <c r="F437" s="73" t="s">
        <v>299</v>
      </c>
      <c r="G437" s="63" t="s">
        <v>349</v>
      </c>
      <c r="H437" s="63" t="s">
        <v>465</v>
      </c>
      <c r="I437" s="73" t="s">
        <v>92</v>
      </c>
      <c r="J437" s="89" t="s">
        <v>1178</v>
      </c>
      <c r="K437" s="89">
        <v>1</v>
      </c>
      <c r="L437" s="89" t="s">
        <v>47</v>
      </c>
      <c r="M437" s="89">
        <v>0</v>
      </c>
      <c r="N437" s="89"/>
      <c r="O437" s="89"/>
      <c r="P437" s="173" t="s">
        <v>1398</v>
      </c>
    </row>
    <row r="438" spans="1:18" ht="21.95" customHeight="1" x14ac:dyDescent="0.15">
      <c r="A438" s="63">
        <v>124</v>
      </c>
      <c r="B438" s="63" t="s">
        <v>370</v>
      </c>
      <c r="C438" s="73" t="s">
        <v>411</v>
      </c>
      <c r="D438" s="73" t="s">
        <v>120</v>
      </c>
      <c r="E438" s="73" t="s">
        <v>193</v>
      </c>
      <c r="F438" s="73" t="s">
        <v>269</v>
      </c>
      <c r="G438" s="63" t="s">
        <v>349</v>
      </c>
      <c r="H438" s="63" t="s">
        <v>270</v>
      </c>
      <c r="I438" s="73" t="s">
        <v>597</v>
      </c>
      <c r="J438" s="89" t="s">
        <v>1365</v>
      </c>
      <c r="K438" s="89"/>
      <c r="L438" s="89" t="s">
        <v>55</v>
      </c>
      <c r="M438" s="89"/>
      <c r="N438" s="89"/>
      <c r="O438" s="89"/>
      <c r="P438" s="173" t="s">
        <v>1375</v>
      </c>
    </row>
    <row r="439" spans="1:18" ht="21.95" customHeight="1" x14ac:dyDescent="0.15">
      <c r="A439" s="63">
        <f t="shared" ref="A439:A440" si="9">ROW()-4</f>
        <v>435</v>
      </c>
      <c r="B439" s="63" t="s">
        <v>147</v>
      </c>
      <c r="C439" s="73" t="s">
        <v>89</v>
      </c>
      <c r="D439" s="73" t="s">
        <v>165</v>
      </c>
      <c r="E439" s="73" t="s">
        <v>289</v>
      </c>
      <c r="F439" s="73" t="s">
        <v>290</v>
      </c>
      <c r="G439" s="63" t="s">
        <v>405</v>
      </c>
      <c r="H439" s="63" t="s">
        <v>354</v>
      </c>
      <c r="I439" s="73" t="s">
        <v>352</v>
      </c>
      <c r="J439" s="89" t="s">
        <v>1448</v>
      </c>
      <c r="K439" s="89">
        <v>4</v>
      </c>
      <c r="L439" s="89" t="s">
        <v>47</v>
      </c>
      <c r="M439" s="89">
        <v>8</v>
      </c>
      <c r="N439" s="89"/>
      <c r="O439" s="89"/>
      <c r="P439" s="173" t="s">
        <v>1449</v>
      </c>
    </row>
    <row r="440" spans="1:18" ht="21.95" customHeight="1" x14ac:dyDescent="0.15">
      <c r="A440" s="63">
        <f t="shared" si="9"/>
        <v>436</v>
      </c>
      <c r="B440" s="63" t="s">
        <v>147</v>
      </c>
      <c r="C440" s="73" t="s">
        <v>89</v>
      </c>
      <c r="D440" s="73" t="s">
        <v>165</v>
      </c>
      <c r="E440" s="73" t="s">
        <v>289</v>
      </c>
      <c r="F440" s="73" t="s">
        <v>291</v>
      </c>
      <c r="G440" s="63" t="s">
        <v>405</v>
      </c>
      <c r="H440" s="63" t="s">
        <v>92</v>
      </c>
      <c r="I440" s="73" t="s">
        <v>578</v>
      </c>
      <c r="J440" s="89" t="s">
        <v>1272</v>
      </c>
      <c r="K440" s="89"/>
      <c r="L440" s="89" t="s">
        <v>55</v>
      </c>
      <c r="M440" s="89"/>
      <c r="N440" s="89"/>
      <c r="O440" s="89"/>
      <c r="P440" s="173" t="s">
        <v>1450</v>
      </c>
    </row>
    <row r="441" spans="1:18" ht="21.95" customHeight="1" x14ac:dyDescent="0.15">
      <c r="A441" s="63">
        <f t="shared" si="7"/>
        <v>437</v>
      </c>
      <c r="B441" s="63" t="s">
        <v>219</v>
      </c>
      <c r="C441" s="73" t="s">
        <v>89</v>
      </c>
      <c r="D441" s="73" t="s">
        <v>226</v>
      </c>
      <c r="E441" s="73" t="s">
        <v>205</v>
      </c>
      <c r="F441" s="73" t="s">
        <v>227</v>
      </c>
      <c r="G441" s="63" t="s">
        <v>349</v>
      </c>
      <c r="H441" s="63" t="s">
        <v>92</v>
      </c>
      <c r="I441" s="73" t="s">
        <v>228</v>
      </c>
      <c r="J441" s="89" t="s">
        <v>1269</v>
      </c>
      <c r="K441" s="89">
        <v>2</v>
      </c>
      <c r="L441" s="89" t="s">
        <v>47</v>
      </c>
      <c r="M441" s="89">
        <v>12</v>
      </c>
      <c r="N441" s="89" t="str">
        <f ca="1">IF(ISNUMBER(FIND(".",J441)),IF(AND(DATEVALUE(SUBSTITUTE(J441,".","/"))-TODAY()&lt;=90,DATEVALUE(SUBSTITUTE(J441,".","/"))-TODAY()&gt;0),"即将到期",""),"")</f>
        <v/>
      </c>
      <c r="O441" s="89"/>
      <c r="P441" s="173" t="s">
        <v>1639</v>
      </c>
    </row>
    <row r="442" spans="1:18" ht="21.95" customHeight="1" x14ac:dyDescent="0.15">
      <c r="A442" s="63">
        <f t="shared" ref="A442" si="10">ROW()-4</f>
        <v>438</v>
      </c>
      <c r="B442" s="63" t="s">
        <v>409</v>
      </c>
      <c r="C442" s="73" t="s">
        <v>409</v>
      </c>
      <c r="D442" s="73" t="s">
        <v>136</v>
      </c>
      <c r="E442" s="73" t="s">
        <v>78</v>
      </c>
      <c r="F442" s="73" t="s">
        <v>144</v>
      </c>
      <c r="G442" s="63" t="s">
        <v>405</v>
      </c>
      <c r="H442" s="63" t="s">
        <v>92</v>
      </c>
      <c r="I442" s="73" t="s">
        <v>955</v>
      </c>
      <c r="J442" s="89" t="s">
        <v>1451</v>
      </c>
      <c r="K442" s="89">
        <v>1</v>
      </c>
      <c r="L442" s="89" t="s">
        <v>47</v>
      </c>
      <c r="M442" s="89">
        <v>8</v>
      </c>
      <c r="N442" s="89"/>
      <c r="O442" s="89"/>
      <c r="P442" s="173" t="s">
        <v>1566</v>
      </c>
    </row>
    <row r="443" spans="1:18" ht="21.95" customHeight="1" x14ac:dyDescent="0.15">
      <c r="A443" s="63">
        <v>125</v>
      </c>
      <c r="B443" s="63" t="s">
        <v>147</v>
      </c>
      <c r="C443" s="73"/>
      <c r="D443" s="73" t="s">
        <v>244</v>
      </c>
      <c r="E443" s="73" t="s">
        <v>78</v>
      </c>
      <c r="F443" s="73" t="s">
        <v>565</v>
      </c>
      <c r="G443" s="63" t="s">
        <v>405</v>
      </c>
      <c r="H443" s="63" t="s">
        <v>92</v>
      </c>
      <c r="I443" s="73" t="s">
        <v>762</v>
      </c>
      <c r="J443" s="89" t="s">
        <v>776</v>
      </c>
      <c r="K443" s="89">
        <v>7</v>
      </c>
      <c r="L443" s="89" t="s">
        <v>47</v>
      </c>
      <c r="M443" s="89">
        <v>0</v>
      </c>
      <c r="N443" s="89"/>
      <c r="O443" s="89"/>
      <c r="P443" s="173" t="s">
        <v>956</v>
      </c>
    </row>
    <row r="444" spans="1:18" s="98" customFormat="1" ht="20.100000000000001" customHeight="1" x14ac:dyDescent="0.15">
      <c r="A444" s="93"/>
      <c r="B444" s="93"/>
      <c r="C444" s="93"/>
      <c r="D444" s="93"/>
      <c r="E444" s="93"/>
      <c r="F444" s="93"/>
      <c r="G444" s="95"/>
      <c r="H444" s="93"/>
      <c r="I444" s="93"/>
      <c r="J444" s="95" t="s">
        <v>425</v>
      </c>
      <c r="K444" s="93">
        <f>SUM(K315:K443)</f>
        <v>1417</v>
      </c>
      <c r="L444" s="99"/>
      <c r="M444" s="99">
        <f>SUM(M315:M443)</f>
        <v>452</v>
      </c>
      <c r="N444" s="99"/>
      <c r="O444" s="99"/>
      <c r="P444" s="100"/>
      <c r="Q444" s="51"/>
      <c r="R444" s="51"/>
    </row>
    <row r="448" spans="1:18" s="107" customFormat="1" ht="20.100000000000001" customHeight="1" x14ac:dyDescent="0.15">
      <c r="J448" s="107" t="s">
        <v>394</v>
      </c>
      <c r="K448" s="107" t="e">
        <f>K280+K284+K308+K313+K444</f>
        <v>#REF!</v>
      </c>
      <c r="L448" s="108"/>
      <c r="M448" s="108" t="e">
        <f>M280+M284+M308+M313+M444</f>
        <v>#REF!</v>
      </c>
      <c r="N448" s="108"/>
      <c r="O448" s="108"/>
      <c r="P448" s="108"/>
    </row>
    <row r="449" spans="13:15" ht="20.100000000000001" customHeight="1" x14ac:dyDescent="0.15">
      <c r="M449" s="107" t="s">
        <v>426</v>
      </c>
      <c r="N449" s="107"/>
      <c r="O449" s="107"/>
    </row>
  </sheetData>
  <autoFilter ref="A3:P444" xr:uid="{00000000-0009-0000-0000-000000000000}"/>
  <mergeCells count="6">
    <mergeCell ref="A314:P314"/>
    <mergeCell ref="A281:P281"/>
    <mergeCell ref="A285:P285"/>
    <mergeCell ref="A309:P309"/>
    <mergeCell ref="A1:P1"/>
    <mergeCell ref="A4:P4"/>
  </mergeCells>
  <phoneticPr fontId="9" type="noConversion"/>
  <pageMargins left="0" right="0" top="0" bottom="0" header="0" footer="0"/>
  <pageSetup paperSize="9" orientation="landscape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3"/>
  <sheetViews>
    <sheetView topLeftCell="A173" workbookViewId="0">
      <selection activeCell="I195" sqref="I195"/>
    </sheetView>
  </sheetViews>
  <sheetFormatPr defaultRowHeight="13.5" x14ac:dyDescent="0.15"/>
  <cols>
    <col min="1" max="4" width="13" customWidth="1"/>
    <col min="5" max="5" width="17.875" customWidth="1"/>
    <col min="6" max="6" width="13" customWidth="1"/>
    <col min="7" max="8" width="18.25" style="16" customWidth="1"/>
    <col min="9" max="9" width="13" style="16" customWidth="1"/>
    <col min="10" max="10" width="40" style="2" customWidth="1"/>
    <col min="11" max="11" width="25.5" style="16" customWidth="1"/>
    <col min="12" max="12" width="16" customWidth="1"/>
  </cols>
  <sheetData>
    <row r="1" spans="1:11" s="1" customFormat="1" ht="27" x14ac:dyDescent="0.15">
      <c r="A1" s="8" t="s">
        <v>402</v>
      </c>
      <c r="B1" s="8" t="s">
        <v>42</v>
      </c>
      <c r="C1" s="8" t="s">
        <v>396</v>
      </c>
      <c r="D1" s="8" t="s">
        <v>43</v>
      </c>
      <c r="E1" s="8" t="s">
        <v>395</v>
      </c>
      <c r="F1" s="8" t="s">
        <v>350</v>
      </c>
      <c r="G1" s="9" t="s">
        <v>398</v>
      </c>
      <c r="H1" s="9" t="s">
        <v>399</v>
      </c>
      <c r="I1" s="15" t="s">
        <v>445</v>
      </c>
      <c r="J1" s="9" t="s">
        <v>400</v>
      </c>
      <c r="K1" s="9" t="s">
        <v>401</v>
      </c>
    </row>
    <row r="2" spans="1:11" s="1" customFormat="1" ht="20.100000000000001" customHeight="1" x14ac:dyDescent="0.15">
      <c r="A2" s="11" t="s">
        <v>92</v>
      </c>
      <c r="B2" s="11" t="s">
        <v>147</v>
      </c>
      <c r="C2" s="11" t="s">
        <v>433</v>
      </c>
      <c r="D2" s="11" t="s">
        <v>368</v>
      </c>
      <c r="E2" s="11" t="s">
        <v>434</v>
      </c>
      <c r="F2" s="5" t="s">
        <v>348</v>
      </c>
      <c r="G2" s="12" t="s">
        <v>440</v>
      </c>
      <c r="H2" s="12" t="s">
        <v>439</v>
      </c>
      <c r="I2" s="12">
        <v>19</v>
      </c>
      <c r="J2" s="11" t="s">
        <v>92</v>
      </c>
      <c r="K2" s="13"/>
    </row>
    <row r="3" spans="1:11" s="1" customFormat="1" ht="20.100000000000001" customHeight="1" x14ac:dyDescent="0.15">
      <c r="A3" s="11" t="s">
        <v>427</v>
      </c>
      <c r="B3" s="11" t="s">
        <v>370</v>
      </c>
      <c r="C3" s="11" t="s">
        <v>256</v>
      </c>
      <c r="D3" s="11" t="s">
        <v>375</v>
      </c>
      <c r="E3" s="11" t="s">
        <v>428</v>
      </c>
      <c r="F3" s="5" t="s">
        <v>348</v>
      </c>
      <c r="G3" s="12" t="s">
        <v>441</v>
      </c>
      <c r="H3" s="12" t="s">
        <v>436</v>
      </c>
      <c r="I3" s="12">
        <v>5</v>
      </c>
      <c r="J3" s="11" t="s">
        <v>92</v>
      </c>
      <c r="K3" s="13"/>
    </row>
    <row r="4" spans="1:11" s="1" customFormat="1" ht="20.100000000000001" customHeight="1" x14ac:dyDescent="0.15">
      <c r="A4" s="11" t="s">
        <v>427</v>
      </c>
      <c r="B4" s="11" t="s">
        <v>370</v>
      </c>
      <c r="C4" s="11" t="s">
        <v>364</v>
      </c>
      <c r="D4" s="11" t="s">
        <v>375</v>
      </c>
      <c r="E4" s="11" t="s">
        <v>429</v>
      </c>
      <c r="F4" s="5" t="s">
        <v>348</v>
      </c>
      <c r="G4" s="12" t="s">
        <v>442</v>
      </c>
      <c r="H4" s="12" t="s">
        <v>436</v>
      </c>
      <c r="I4" s="12">
        <v>26</v>
      </c>
      <c r="J4" s="11" t="s">
        <v>92</v>
      </c>
      <c r="K4" s="13"/>
    </row>
    <row r="5" spans="1:11" s="1" customFormat="1" ht="20.100000000000001" customHeight="1" x14ac:dyDescent="0.15">
      <c r="A5" s="11" t="s">
        <v>430</v>
      </c>
      <c r="B5" s="11" t="s">
        <v>435</v>
      </c>
      <c r="C5" s="11" t="s">
        <v>369</v>
      </c>
      <c r="D5" s="11" t="s">
        <v>384</v>
      </c>
      <c r="E5" s="11" t="s">
        <v>431</v>
      </c>
      <c r="F5" s="5" t="s">
        <v>348</v>
      </c>
      <c r="G5" s="12" t="s">
        <v>437</v>
      </c>
      <c r="H5" s="12" t="s">
        <v>436</v>
      </c>
      <c r="I5" s="12">
        <v>36</v>
      </c>
      <c r="J5" s="11" t="s">
        <v>92</v>
      </c>
      <c r="K5" s="13"/>
    </row>
    <row r="6" spans="1:11" s="1" customFormat="1" ht="27" x14ac:dyDescent="0.15">
      <c r="A6" s="11" t="s">
        <v>430</v>
      </c>
      <c r="B6" s="11" t="s">
        <v>219</v>
      </c>
      <c r="C6" s="11" t="s">
        <v>241</v>
      </c>
      <c r="D6" s="10" t="s">
        <v>205</v>
      </c>
      <c r="E6" s="11" t="s">
        <v>432</v>
      </c>
      <c r="F6" s="5" t="s">
        <v>414</v>
      </c>
      <c r="G6" s="12" t="s">
        <v>438</v>
      </c>
      <c r="H6" s="12" t="s">
        <v>443</v>
      </c>
      <c r="I6" s="12">
        <v>26</v>
      </c>
      <c r="J6" s="13" t="s">
        <v>444</v>
      </c>
      <c r="K6" s="13"/>
    </row>
    <row r="7" spans="1:11" s="1" customFormat="1" ht="20.100000000000001" customHeight="1" x14ac:dyDescent="0.15">
      <c r="A7" s="5" t="s">
        <v>455</v>
      </c>
      <c r="B7" s="5" t="s">
        <v>448</v>
      </c>
      <c r="C7" s="5" t="s">
        <v>449</v>
      </c>
      <c r="D7" s="5" t="s">
        <v>450</v>
      </c>
      <c r="E7" s="5" t="s">
        <v>451</v>
      </c>
      <c r="F7" s="5" t="s">
        <v>348</v>
      </c>
      <c r="G7" s="7" t="s">
        <v>452</v>
      </c>
      <c r="H7" s="7" t="s">
        <v>453</v>
      </c>
      <c r="I7" s="7">
        <v>5</v>
      </c>
      <c r="J7" s="20" t="s">
        <v>92</v>
      </c>
      <c r="K7" s="4"/>
    </row>
    <row r="8" spans="1:11" s="1" customFormat="1" ht="20.100000000000001" customHeight="1" x14ac:dyDescent="0.15">
      <c r="A8" s="22" t="s">
        <v>467</v>
      </c>
      <c r="B8" s="22" t="s">
        <v>196</v>
      </c>
      <c r="C8" s="21" t="s">
        <v>197</v>
      </c>
      <c r="D8" s="21" t="s">
        <v>206</v>
      </c>
      <c r="E8" s="6" t="s">
        <v>207</v>
      </c>
      <c r="F8" s="5" t="s">
        <v>348</v>
      </c>
      <c r="G8" s="23" t="s">
        <v>468</v>
      </c>
      <c r="H8" s="23" t="s">
        <v>469</v>
      </c>
      <c r="I8" s="7">
        <v>9</v>
      </c>
      <c r="J8" s="22" t="s">
        <v>92</v>
      </c>
      <c r="K8" s="4"/>
    </row>
    <row r="9" spans="1:11" s="1" customFormat="1" ht="20.100000000000001" customHeight="1" x14ac:dyDescent="0.15">
      <c r="A9" s="5" t="s">
        <v>482</v>
      </c>
      <c r="B9" s="5" t="s">
        <v>219</v>
      </c>
      <c r="C9" s="24" t="s">
        <v>226</v>
      </c>
      <c r="D9" s="24" t="s">
        <v>239</v>
      </c>
      <c r="E9" s="6" t="s">
        <v>240</v>
      </c>
      <c r="F9" s="5" t="s">
        <v>414</v>
      </c>
      <c r="G9" s="7" t="s">
        <v>483</v>
      </c>
      <c r="H9" s="7" t="s">
        <v>436</v>
      </c>
      <c r="I9" s="7">
        <v>5</v>
      </c>
      <c r="J9" s="4"/>
      <c r="K9" s="4"/>
    </row>
    <row r="10" spans="1:11" s="1" customFormat="1" ht="20.100000000000001" customHeight="1" x14ac:dyDescent="0.15">
      <c r="A10" s="5" t="s">
        <v>482</v>
      </c>
      <c r="B10" s="5" t="s">
        <v>147</v>
      </c>
      <c r="C10" s="5" t="s">
        <v>192</v>
      </c>
      <c r="D10" s="5" t="s">
        <v>273</v>
      </c>
      <c r="E10" s="5" t="s">
        <v>484</v>
      </c>
      <c r="F10" s="5" t="s">
        <v>405</v>
      </c>
      <c r="G10" s="7" t="s">
        <v>184</v>
      </c>
      <c r="H10" s="7" t="s">
        <v>436</v>
      </c>
      <c r="I10" s="7">
        <v>13</v>
      </c>
      <c r="J10" s="4"/>
      <c r="K10" s="4"/>
    </row>
    <row r="11" spans="1:11" s="1" customFormat="1" ht="20.100000000000001" customHeight="1" x14ac:dyDescent="0.15">
      <c r="A11" s="5" t="s">
        <v>482</v>
      </c>
      <c r="B11" s="5" t="s">
        <v>147</v>
      </c>
      <c r="C11" s="5" t="s">
        <v>192</v>
      </c>
      <c r="D11" s="5" t="s">
        <v>273</v>
      </c>
      <c r="E11" s="5" t="s">
        <v>487</v>
      </c>
      <c r="F11" s="5" t="s">
        <v>405</v>
      </c>
      <c r="G11" s="7" t="s">
        <v>181</v>
      </c>
      <c r="H11" s="7" t="s">
        <v>436</v>
      </c>
      <c r="I11" s="7">
        <v>13</v>
      </c>
      <c r="J11" s="4"/>
      <c r="K11" s="4"/>
    </row>
    <row r="12" spans="1:11" s="1" customFormat="1" ht="20.100000000000001" customHeight="1" x14ac:dyDescent="0.15">
      <c r="A12" s="25" t="s">
        <v>490</v>
      </c>
      <c r="B12" s="25" t="s">
        <v>219</v>
      </c>
      <c r="C12" s="25" t="s">
        <v>241</v>
      </c>
      <c r="D12" s="25" t="s">
        <v>361</v>
      </c>
      <c r="E12" s="25" t="s">
        <v>242</v>
      </c>
      <c r="F12" s="25" t="s">
        <v>349</v>
      </c>
      <c r="G12" s="26" t="s">
        <v>491</v>
      </c>
      <c r="H12" s="26" t="s">
        <v>492</v>
      </c>
      <c r="I12" s="7">
        <v>2</v>
      </c>
      <c r="J12" s="4"/>
      <c r="K12" s="4"/>
    </row>
    <row r="13" spans="1:11" s="1" customFormat="1" ht="20.100000000000001" customHeight="1" x14ac:dyDescent="0.15">
      <c r="A13" s="29" t="s">
        <v>500</v>
      </c>
      <c r="B13" s="29" t="s">
        <v>147</v>
      </c>
      <c r="C13" s="29" t="s">
        <v>192</v>
      </c>
      <c r="D13" s="29" t="s">
        <v>188</v>
      </c>
      <c r="E13" s="29" t="s">
        <v>189</v>
      </c>
      <c r="F13" s="29" t="s">
        <v>405</v>
      </c>
      <c r="G13" s="30" t="s">
        <v>501</v>
      </c>
      <c r="H13" s="30" t="s">
        <v>502</v>
      </c>
      <c r="I13" s="7">
        <v>12</v>
      </c>
      <c r="J13" s="4"/>
      <c r="K13" s="4"/>
    </row>
    <row r="14" spans="1:11" s="1" customFormat="1" ht="20.100000000000001" customHeight="1" x14ac:dyDescent="0.15">
      <c r="A14" s="29" t="s">
        <v>500</v>
      </c>
      <c r="B14" s="29" t="s">
        <v>370</v>
      </c>
      <c r="C14" s="29" t="s">
        <v>256</v>
      </c>
      <c r="D14" s="29" t="s">
        <v>285</v>
      </c>
      <c r="E14" s="29" t="s">
        <v>504</v>
      </c>
      <c r="F14" s="29" t="s">
        <v>349</v>
      </c>
      <c r="G14" s="30" t="s">
        <v>505</v>
      </c>
      <c r="H14" s="30" t="s">
        <v>506</v>
      </c>
      <c r="I14" s="30">
        <v>0.3</v>
      </c>
      <c r="J14" s="4"/>
      <c r="K14" s="4"/>
    </row>
    <row r="15" spans="1:11" s="1" customFormat="1" ht="20.100000000000001" customHeight="1" x14ac:dyDescent="0.15">
      <c r="A15" s="32" t="s">
        <v>507</v>
      </c>
      <c r="B15" s="31" t="s">
        <v>370</v>
      </c>
      <c r="C15" s="31" t="s">
        <v>256</v>
      </c>
      <c r="D15" s="31" t="s">
        <v>508</v>
      </c>
      <c r="E15" s="31" t="s">
        <v>509</v>
      </c>
      <c r="F15" s="32" t="s">
        <v>405</v>
      </c>
      <c r="G15" s="33" t="s">
        <v>510</v>
      </c>
      <c r="H15" s="33" t="s">
        <v>511</v>
      </c>
      <c r="I15" s="30">
        <v>8</v>
      </c>
      <c r="J15" s="4"/>
      <c r="K15" s="4"/>
    </row>
    <row r="16" spans="1:11" s="1" customFormat="1" ht="20.100000000000001" customHeight="1" x14ac:dyDescent="0.15">
      <c r="A16" s="32" t="s">
        <v>507</v>
      </c>
      <c r="B16" s="31" t="s">
        <v>370</v>
      </c>
      <c r="C16" s="31" t="s">
        <v>256</v>
      </c>
      <c r="D16" s="32" t="s">
        <v>361</v>
      </c>
      <c r="E16" s="32" t="s">
        <v>512</v>
      </c>
      <c r="F16" s="31" t="s">
        <v>349</v>
      </c>
      <c r="G16" s="33" t="s">
        <v>268</v>
      </c>
      <c r="H16" s="33" t="s">
        <v>436</v>
      </c>
      <c r="I16" s="30">
        <v>12</v>
      </c>
      <c r="J16" s="34" t="s">
        <v>513</v>
      </c>
      <c r="K16" s="4"/>
    </row>
    <row r="17" spans="1:11" s="1" customFormat="1" ht="20.100000000000001" customHeight="1" x14ac:dyDescent="0.15">
      <c r="A17" s="35" t="s">
        <v>518</v>
      </c>
      <c r="B17" s="35" t="s">
        <v>410</v>
      </c>
      <c r="C17" s="32" t="s">
        <v>156</v>
      </c>
      <c r="D17" s="28" t="s">
        <v>58</v>
      </c>
      <c r="E17" s="27" t="s">
        <v>3</v>
      </c>
      <c r="F17" s="35" t="s">
        <v>405</v>
      </c>
      <c r="G17" s="36" t="s">
        <v>519</v>
      </c>
      <c r="H17" s="36" t="s">
        <v>520</v>
      </c>
      <c r="I17" s="7">
        <v>12</v>
      </c>
      <c r="J17" s="4"/>
      <c r="K17" s="4"/>
    </row>
    <row r="18" spans="1:11" s="1" customFormat="1" ht="20.100000000000001" customHeight="1" x14ac:dyDescent="0.15">
      <c r="A18" s="35" t="s">
        <v>518</v>
      </c>
      <c r="B18" s="35" t="s">
        <v>370</v>
      </c>
      <c r="C18" s="32" t="s">
        <v>45</v>
      </c>
      <c r="D18" s="32" t="s">
        <v>110</v>
      </c>
      <c r="E18" s="32" t="s">
        <v>111</v>
      </c>
      <c r="F18" s="35" t="s">
        <v>405</v>
      </c>
      <c r="G18" s="36" t="s">
        <v>519</v>
      </c>
      <c r="H18" s="36" t="s">
        <v>522</v>
      </c>
      <c r="I18" s="7">
        <v>26</v>
      </c>
      <c r="J18" s="4"/>
      <c r="K18" s="4"/>
    </row>
    <row r="19" spans="1:11" s="1" customFormat="1" ht="20.100000000000001" customHeight="1" x14ac:dyDescent="0.15">
      <c r="A19" s="37" t="s">
        <v>529</v>
      </c>
      <c r="B19" s="35" t="s">
        <v>191</v>
      </c>
      <c r="C19" s="35" t="s">
        <v>192</v>
      </c>
      <c r="D19" s="35" t="s">
        <v>193</v>
      </c>
      <c r="E19" s="35" t="s">
        <v>194</v>
      </c>
      <c r="F19" s="37" t="s">
        <v>405</v>
      </c>
      <c r="G19" s="38" t="s">
        <v>530</v>
      </c>
      <c r="H19" s="38" t="s">
        <v>531</v>
      </c>
      <c r="I19" s="7">
        <v>2</v>
      </c>
      <c r="J19" s="4"/>
      <c r="K19" s="4"/>
    </row>
    <row r="20" spans="1:11" s="1" customFormat="1" ht="20.100000000000001" customHeight="1" x14ac:dyDescent="0.15">
      <c r="A20" s="39" t="s">
        <v>532</v>
      </c>
      <c r="B20" s="39" t="s">
        <v>411</v>
      </c>
      <c r="C20" s="37" t="s">
        <v>533</v>
      </c>
      <c r="D20" s="37" t="s">
        <v>193</v>
      </c>
      <c r="E20" s="37" t="s">
        <v>534</v>
      </c>
      <c r="F20" s="37" t="s">
        <v>405</v>
      </c>
      <c r="G20" s="40" t="s">
        <v>535</v>
      </c>
      <c r="H20" s="40" t="s">
        <v>536</v>
      </c>
      <c r="I20" s="7">
        <v>7</v>
      </c>
      <c r="J20" s="4"/>
      <c r="K20" s="4"/>
    </row>
    <row r="21" spans="1:11" s="1" customFormat="1" ht="20.100000000000001" customHeight="1" x14ac:dyDescent="0.15">
      <c r="A21" s="42" t="s">
        <v>549</v>
      </c>
      <c r="B21" s="42" t="s">
        <v>147</v>
      </c>
      <c r="C21" s="41" t="s">
        <v>38</v>
      </c>
      <c r="D21" s="41" t="s">
        <v>273</v>
      </c>
      <c r="E21" s="3" t="s">
        <v>342</v>
      </c>
      <c r="F21" s="42" t="s">
        <v>349</v>
      </c>
      <c r="G21" s="43" t="s">
        <v>550</v>
      </c>
      <c r="H21" s="43" t="s">
        <v>551</v>
      </c>
      <c r="I21" s="7">
        <v>7</v>
      </c>
      <c r="J21" s="4"/>
      <c r="K21" s="4"/>
    </row>
    <row r="22" spans="1:11" s="1" customFormat="1" ht="20.100000000000001" customHeight="1" x14ac:dyDescent="0.15">
      <c r="A22" s="47" t="s">
        <v>562</v>
      </c>
      <c r="B22" s="47" t="s">
        <v>370</v>
      </c>
      <c r="C22" s="45" t="s">
        <v>45</v>
      </c>
      <c r="D22" s="45" t="s">
        <v>115</v>
      </c>
      <c r="E22" s="6" t="s">
        <v>116</v>
      </c>
      <c r="F22" s="44" t="s">
        <v>405</v>
      </c>
      <c r="G22" s="46" t="s">
        <v>560</v>
      </c>
      <c r="H22" s="46" t="s">
        <v>561</v>
      </c>
      <c r="I22" s="7">
        <v>3</v>
      </c>
      <c r="J22" s="4"/>
      <c r="K22" s="4"/>
    </row>
    <row r="23" spans="1:11" s="1" customFormat="1" ht="20.100000000000001" customHeight="1" x14ac:dyDescent="0.15">
      <c r="A23" s="47" t="s">
        <v>563</v>
      </c>
      <c r="B23" s="47" t="s">
        <v>370</v>
      </c>
      <c r="C23" s="45" t="s">
        <v>45</v>
      </c>
      <c r="D23" s="45" t="s">
        <v>115</v>
      </c>
      <c r="E23" s="47" t="s">
        <v>429</v>
      </c>
      <c r="F23" s="44" t="s">
        <v>405</v>
      </c>
      <c r="G23" s="46" t="s">
        <v>560</v>
      </c>
      <c r="H23" s="46" t="s">
        <v>561</v>
      </c>
      <c r="I23" s="7">
        <v>3</v>
      </c>
      <c r="J23" s="4"/>
      <c r="K23" s="4"/>
    </row>
    <row r="24" spans="1:11" s="1" customFormat="1" ht="20.100000000000001" customHeight="1" x14ac:dyDescent="0.15">
      <c r="A24" s="49" t="s">
        <v>567</v>
      </c>
      <c r="B24" s="49" t="s">
        <v>147</v>
      </c>
      <c r="C24" s="47" t="s">
        <v>148</v>
      </c>
      <c r="D24" s="48" t="s">
        <v>100</v>
      </c>
      <c r="E24" s="47" t="s">
        <v>434</v>
      </c>
      <c r="F24" s="49" t="s">
        <v>405</v>
      </c>
      <c r="G24" s="50" t="s">
        <v>568</v>
      </c>
      <c r="H24" s="50" t="s">
        <v>569</v>
      </c>
      <c r="I24" s="7">
        <v>24</v>
      </c>
      <c r="J24" s="4"/>
      <c r="K24" s="4"/>
    </row>
    <row r="25" spans="1:11" s="1" customFormat="1" ht="20.100000000000001" customHeight="1" x14ac:dyDescent="0.15">
      <c r="A25" s="49" t="s">
        <v>567</v>
      </c>
      <c r="B25" s="49" t="s">
        <v>411</v>
      </c>
      <c r="C25" s="47" t="s">
        <v>249</v>
      </c>
      <c r="D25" s="48" t="s">
        <v>53</v>
      </c>
      <c r="E25" s="47" t="s">
        <v>279</v>
      </c>
      <c r="F25" s="49" t="s">
        <v>405</v>
      </c>
      <c r="G25" s="50" t="s">
        <v>571</v>
      </c>
      <c r="H25" s="50" t="s">
        <v>572</v>
      </c>
      <c r="I25" s="7">
        <v>11</v>
      </c>
      <c r="J25" s="4"/>
      <c r="K25" s="4"/>
    </row>
    <row r="26" spans="1:11" s="1" customFormat="1" ht="20.100000000000001" customHeight="1" x14ac:dyDescent="0.15">
      <c r="A26" s="49" t="s">
        <v>503</v>
      </c>
      <c r="B26" s="49" t="s">
        <v>411</v>
      </c>
      <c r="C26" s="47" t="s">
        <v>252</v>
      </c>
      <c r="D26" s="48" t="s">
        <v>253</v>
      </c>
      <c r="E26" s="47" t="s">
        <v>534</v>
      </c>
      <c r="F26" s="49" t="s">
        <v>405</v>
      </c>
      <c r="G26" s="50" t="s">
        <v>573</v>
      </c>
      <c r="H26" s="50" t="s">
        <v>574</v>
      </c>
      <c r="I26" s="7">
        <v>1.5</v>
      </c>
      <c r="J26" s="4"/>
      <c r="K26" s="4"/>
    </row>
    <row r="27" spans="1:11" s="1" customFormat="1" ht="20.100000000000001" customHeight="1" x14ac:dyDescent="0.15">
      <c r="A27" s="49" t="s">
        <v>503</v>
      </c>
      <c r="B27" s="49" t="s">
        <v>147</v>
      </c>
      <c r="C27" s="47" t="s">
        <v>165</v>
      </c>
      <c r="D27" s="48" t="s">
        <v>157</v>
      </c>
      <c r="E27" s="47" t="s">
        <v>575</v>
      </c>
      <c r="F27" s="49" t="s">
        <v>405</v>
      </c>
      <c r="G27" s="50" t="s">
        <v>576</v>
      </c>
      <c r="H27" s="50" t="s">
        <v>577</v>
      </c>
      <c r="I27" s="7">
        <v>12</v>
      </c>
      <c r="J27" s="4"/>
      <c r="K27" s="4"/>
    </row>
    <row r="28" spans="1:11" s="1" customFormat="1" ht="20.100000000000001" customHeight="1" x14ac:dyDescent="0.15">
      <c r="A28" s="112" t="s">
        <v>633</v>
      </c>
      <c r="B28" s="112" t="s">
        <v>219</v>
      </c>
      <c r="C28" s="61" t="s">
        <v>226</v>
      </c>
      <c r="D28" s="61" t="s">
        <v>115</v>
      </c>
      <c r="E28" s="78" t="s">
        <v>232</v>
      </c>
      <c r="F28" s="60" t="s">
        <v>405</v>
      </c>
      <c r="G28" s="65" t="s">
        <v>234</v>
      </c>
      <c r="H28" s="113" t="s">
        <v>634</v>
      </c>
      <c r="I28" s="7">
        <v>42</v>
      </c>
      <c r="J28" s="4"/>
      <c r="K28" s="4"/>
    </row>
    <row r="29" spans="1:11" s="1" customFormat="1" ht="20.100000000000001" customHeight="1" x14ac:dyDescent="0.15">
      <c r="A29" s="112" t="s">
        <v>633</v>
      </c>
      <c r="B29" s="112" t="s">
        <v>219</v>
      </c>
      <c r="C29" s="70" t="s">
        <v>241</v>
      </c>
      <c r="D29" s="70" t="s">
        <v>375</v>
      </c>
      <c r="E29" s="70" t="s">
        <v>373</v>
      </c>
      <c r="F29" s="60" t="s">
        <v>405</v>
      </c>
      <c r="G29" s="65" t="s">
        <v>614</v>
      </c>
      <c r="H29" s="113" t="s">
        <v>634</v>
      </c>
      <c r="I29" s="7">
        <v>9</v>
      </c>
      <c r="J29" s="4"/>
      <c r="K29" s="4"/>
    </row>
    <row r="30" spans="1:11" s="1" customFormat="1" ht="20.100000000000001" customHeight="1" x14ac:dyDescent="0.15">
      <c r="A30" s="112" t="s">
        <v>633</v>
      </c>
      <c r="B30" s="112" t="s">
        <v>219</v>
      </c>
      <c r="C30" s="60" t="s">
        <v>226</v>
      </c>
      <c r="D30" s="61" t="s">
        <v>115</v>
      </c>
      <c r="E30" s="62" t="s">
        <v>237</v>
      </c>
      <c r="F30" s="112" t="s">
        <v>349</v>
      </c>
      <c r="G30" s="65" t="s">
        <v>615</v>
      </c>
      <c r="H30" s="113" t="s">
        <v>634</v>
      </c>
      <c r="I30" s="7">
        <v>26</v>
      </c>
      <c r="J30" s="4"/>
      <c r="K30" s="4"/>
    </row>
    <row r="31" spans="1:11" s="1" customFormat="1" ht="20.100000000000001" customHeight="1" x14ac:dyDescent="0.15">
      <c r="A31" s="112" t="s">
        <v>633</v>
      </c>
      <c r="B31" s="112" t="s">
        <v>219</v>
      </c>
      <c r="C31" s="60" t="s">
        <v>226</v>
      </c>
      <c r="D31" s="61" t="s">
        <v>115</v>
      </c>
      <c r="E31" s="112" t="s">
        <v>638</v>
      </c>
      <c r="F31" s="112" t="s">
        <v>405</v>
      </c>
      <c r="G31" s="65" t="s">
        <v>236</v>
      </c>
      <c r="H31" s="113" t="s">
        <v>634</v>
      </c>
      <c r="I31" s="7">
        <v>34</v>
      </c>
      <c r="J31" s="4"/>
      <c r="K31" s="4"/>
    </row>
    <row r="32" spans="1:11" s="1" customFormat="1" ht="20.100000000000001" customHeight="1" x14ac:dyDescent="0.15">
      <c r="A32" s="112" t="s">
        <v>633</v>
      </c>
      <c r="B32" s="112" t="s">
        <v>147</v>
      </c>
      <c r="C32" s="61" t="s">
        <v>38</v>
      </c>
      <c r="D32" s="61" t="s">
        <v>78</v>
      </c>
      <c r="E32" s="62" t="s">
        <v>83</v>
      </c>
      <c r="F32" s="62" t="s">
        <v>348</v>
      </c>
      <c r="G32" s="65" t="s">
        <v>592</v>
      </c>
      <c r="H32" s="113" t="s">
        <v>640</v>
      </c>
      <c r="I32" s="7">
        <v>5</v>
      </c>
      <c r="J32" s="4"/>
      <c r="K32" s="4"/>
    </row>
    <row r="33" spans="1:11" s="1" customFormat="1" ht="20.100000000000001" customHeight="1" x14ac:dyDescent="0.15">
      <c r="A33" s="112" t="s">
        <v>633</v>
      </c>
      <c r="B33" s="112" t="s">
        <v>147</v>
      </c>
      <c r="C33" s="71" t="s">
        <v>38</v>
      </c>
      <c r="D33" s="61" t="s">
        <v>78</v>
      </c>
      <c r="E33" s="72" t="s">
        <v>84</v>
      </c>
      <c r="F33" s="72" t="s">
        <v>349</v>
      </c>
      <c r="G33" s="65" t="s">
        <v>592</v>
      </c>
      <c r="H33" s="113" t="s">
        <v>640</v>
      </c>
      <c r="I33" s="7">
        <v>5</v>
      </c>
      <c r="J33" s="4"/>
      <c r="K33" s="4"/>
    </row>
    <row r="34" spans="1:11" s="1" customFormat="1" ht="20.100000000000001" customHeight="1" x14ac:dyDescent="0.15">
      <c r="A34" s="112" t="s">
        <v>633</v>
      </c>
      <c r="B34" s="112" t="s">
        <v>147</v>
      </c>
      <c r="C34" s="61" t="s">
        <v>165</v>
      </c>
      <c r="D34" s="61" t="s">
        <v>78</v>
      </c>
      <c r="E34" s="62" t="s">
        <v>168</v>
      </c>
      <c r="F34" s="62" t="s">
        <v>348</v>
      </c>
      <c r="G34" s="65" t="s">
        <v>592</v>
      </c>
      <c r="H34" s="113" t="s">
        <v>640</v>
      </c>
      <c r="I34" s="7">
        <v>5</v>
      </c>
      <c r="J34" s="4"/>
      <c r="K34" s="4"/>
    </row>
    <row r="35" spans="1:11" s="1" customFormat="1" ht="20.100000000000001" customHeight="1" x14ac:dyDescent="0.15">
      <c r="A35" s="112" t="s">
        <v>633</v>
      </c>
      <c r="B35" s="112" t="s">
        <v>147</v>
      </c>
      <c r="C35" s="61" t="s">
        <v>165</v>
      </c>
      <c r="D35" s="61" t="s">
        <v>78</v>
      </c>
      <c r="E35" s="78" t="s">
        <v>166</v>
      </c>
      <c r="F35" s="62" t="s">
        <v>348</v>
      </c>
      <c r="G35" s="65" t="s">
        <v>592</v>
      </c>
      <c r="H35" s="113" t="s">
        <v>640</v>
      </c>
      <c r="I35" s="7">
        <v>5</v>
      </c>
      <c r="J35" s="4"/>
      <c r="K35" s="4"/>
    </row>
    <row r="36" spans="1:11" s="1" customFormat="1" ht="20.100000000000001" customHeight="1" x14ac:dyDescent="0.15">
      <c r="A36" s="112" t="s">
        <v>633</v>
      </c>
      <c r="B36" s="112" t="s">
        <v>147</v>
      </c>
      <c r="C36" s="71" t="s">
        <v>38</v>
      </c>
      <c r="D36" s="61" t="s">
        <v>78</v>
      </c>
      <c r="E36" s="72" t="s">
        <v>85</v>
      </c>
      <c r="F36" s="72" t="s">
        <v>349</v>
      </c>
      <c r="G36" s="65" t="s">
        <v>592</v>
      </c>
      <c r="H36" s="113" t="s">
        <v>640</v>
      </c>
      <c r="I36" s="7">
        <v>5</v>
      </c>
      <c r="J36" s="4"/>
      <c r="K36" s="4"/>
    </row>
    <row r="37" spans="1:11" s="1" customFormat="1" ht="20.100000000000001" customHeight="1" x14ac:dyDescent="0.15">
      <c r="A37" s="112" t="s">
        <v>633</v>
      </c>
      <c r="B37" s="112" t="s">
        <v>147</v>
      </c>
      <c r="C37" s="61" t="s">
        <v>165</v>
      </c>
      <c r="D37" s="61" t="s">
        <v>78</v>
      </c>
      <c r="E37" s="62" t="s">
        <v>177</v>
      </c>
      <c r="F37" s="62" t="s">
        <v>349</v>
      </c>
      <c r="G37" s="65" t="s">
        <v>592</v>
      </c>
      <c r="H37" s="113" t="s">
        <v>640</v>
      </c>
      <c r="I37" s="7">
        <v>5</v>
      </c>
      <c r="J37" s="4"/>
      <c r="K37" s="4"/>
    </row>
    <row r="38" spans="1:11" s="1" customFormat="1" ht="20.100000000000001" customHeight="1" x14ac:dyDescent="0.15">
      <c r="A38" s="112" t="s">
        <v>633</v>
      </c>
      <c r="B38" s="112" t="s">
        <v>147</v>
      </c>
      <c r="C38" s="61" t="s">
        <v>165</v>
      </c>
      <c r="D38" s="61" t="s">
        <v>78</v>
      </c>
      <c r="E38" s="62" t="s">
        <v>178</v>
      </c>
      <c r="F38" s="62" t="s">
        <v>349</v>
      </c>
      <c r="G38" s="65" t="s">
        <v>592</v>
      </c>
      <c r="H38" s="113" t="s">
        <v>640</v>
      </c>
      <c r="I38" s="7">
        <v>5</v>
      </c>
      <c r="J38" s="4"/>
      <c r="K38" s="4"/>
    </row>
    <row r="39" spans="1:11" s="1" customFormat="1" ht="20.100000000000001" customHeight="1" x14ac:dyDescent="0.15">
      <c r="A39" s="112" t="s">
        <v>633</v>
      </c>
      <c r="B39" s="112" t="s">
        <v>147</v>
      </c>
      <c r="C39" s="71" t="s">
        <v>165</v>
      </c>
      <c r="D39" s="61" t="s">
        <v>78</v>
      </c>
      <c r="E39" s="81" t="s">
        <v>169</v>
      </c>
      <c r="F39" s="62" t="s">
        <v>348</v>
      </c>
      <c r="G39" s="65" t="s">
        <v>592</v>
      </c>
      <c r="H39" s="113" t="s">
        <v>640</v>
      </c>
      <c r="I39" s="7">
        <v>5</v>
      </c>
      <c r="J39" s="4"/>
      <c r="K39" s="4"/>
    </row>
    <row r="40" spans="1:11" s="1" customFormat="1" ht="20.100000000000001" customHeight="1" x14ac:dyDescent="0.15">
      <c r="A40" s="112" t="s">
        <v>633</v>
      </c>
      <c r="B40" s="112" t="s">
        <v>147</v>
      </c>
      <c r="C40" s="71" t="s">
        <v>165</v>
      </c>
      <c r="D40" s="61" t="s">
        <v>78</v>
      </c>
      <c r="E40" s="75" t="s">
        <v>515</v>
      </c>
      <c r="F40" s="62" t="s">
        <v>348</v>
      </c>
      <c r="G40" s="113" t="s">
        <v>641</v>
      </c>
      <c r="H40" s="113" t="s">
        <v>640</v>
      </c>
      <c r="I40" s="7">
        <v>4</v>
      </c>
      <c r="J40" s="4"/>
      <c r="K40" s="4"/>
    </row>
    <row r="41" spans="1:11" s="1" customFormat="1" ht="20.100000000000001" customHeight="1" x14ac:dyDescent="0.15">
      <c r="A41" s="112" t="s">
        <v>633</v>
      </c>
      <c r="B41" s="112" t="s">
        <v>147</v>
      </c>
      <c r="C41" s="61" t="s">
        <v>165</v>
      </c>
      <c r="D41" s="61" t="s">
        <v>78</v>
      </c>
      <c r="E41" s="78" t="s">
        <v>175</v>
      </c>
      <c r="F41" s="62" t="s">
        <v>348</v>
      </c>
      <c r="G41" s="65" t="s">
        <v>592</v>
      </c>
      <c r="H41" s="113" t="s">
        <v>640</v>
      </c>
      <c r="I41" s="7">
        <v>5</v>
      </c>
      <c r="J41" s="4"/>
      <c r="K41" s="4"/>
    </row>
    <row r="42" spans="1:11" s="1" customFormat="1" ht="20.100000000000001" customHeight="1" x14ac:dyDescent="0.15">
      <c r="A42" s="112" t="s">
        <v>633</v>
      </c>
      <c r="B42" s="112" t="s">
        <v>409</v>
      </c>
      <c r="C42" s="61" t="s">
        <v>136</v>
      </c>
      <c r="D42" s="61" t="s">
        <v>361</v>
      </c>
      <c r="E42" s="62" t="s">
        <v>145</v>
      </c>
      <c r="F42" s="62" t="s">
        <v>348</v>
      </c>
      <c r="G42" s="65" t="s">
        <v>582</v>
      </c>
      <c r="H42" s="113" t="s">
        <v>642</v>
      </c>
      <c r="I42" s="7">
        <v>10</v>
      </c>
      <c r="J42" s="4"/>
      <c r="K42" s="4"/>
    </row>
    <row r="43" spans="1:11" s="1" customFormat="1" ht="20.100000000000001" customHeight="1" x14ac:dyDescent="0.15">
      <c r="A43" s="112" t="s">
        <v>633</v>
      </c>
      <c r="B43" s="112" t="s">
        <v>631</v>
      </c>
      <c r="C43" s="60" t="s">
        <v>256</v>
      </c>
      <c r="D43" s="61" t="s">
        <v>157</v>
      </c>
      <c r="E43" s="62" t="s">
        <v>257</v>
      </c>
      <c r="F43" s="62" t="s">
        <v>348</v>
      </c>
      <c r="G43" s="65" t="s">
        <v>356</v>
      </c>
      <c r="H43" s="113" t="s">
        <v>643</v>
      </c>
      <c r="I43" s="7">
        <v>17</v>
      </c>
      <c r="J43" s="4"/>
      <c r="K43" s="4"/>
    </row>
    <row r="44" spans="1:11" s="1" customFormat="1" ht="20.100000000000001" customHeight="1" x14ac:dyDescent="0.15">
      <c r="A44" s="117" t="s">
        <v>645</v>
      </c>
      <c r="B44" s="117" t="s">
        <v>370</v>
      </c>
      <c r="C44" s="112" t="s">
        <v>45</v>
      </c>
      <c r="D44" s="116" t="s">
        <v>108</v>
      </c>
      <c r="E44" s="115" t="s">
        <v>109</v>
      </c>
      <c r="F44" s="117" t="s">
        <v>405</v>
      </c>
      <c r="G44" s="118" t="s">
        <v>646</v>
      </c>
      <c r="H44" s="118" t="s">
        <v>647</v>
      </c>
      <c r="I44" s="7">
        <v>1</v>
      </c>
      <c r="J44" s="4"/>
      <c r="K44" s="4"/>
    </row>
    <row r="45" spans="1:11" s="1" customFormat="1" ht="20.100000000000001" customHeight="1" x14ac:dyDescent="0.15">
      <c r="A45" s="124" t="s">
        <v>703</v>
      </c>
      <c r="B45" s="124" t="s">
        <v>147</v>
      </c>
      <c r="C45" s="125" t="s">
        <v>704</v>
      </c>
      <c r="D45" s="125" t="s">
        <v>705</v>
      </c>
      <c r="E45" s="125" t="s">
        <v>706</v>
      </c>
      <c r="F45" s="123" t="s">
        <v>405</v>
      </c>
      <c r="G45" s="126" t="s">
        <v>707</v>
      </c>
      <c r="H45" s="126" t="s">
        <v>708</v>
      </c>
      <c r="I45" s="7">
        <v>19</v>
      </c>
      <c r="J45" s="4"/>
      <c r="K45" s="4"/>
    </row>
    <row r="46" spans="1:11" s="1" customFormat="1" ht="20.100000000000001" customHeight="1" x14ac:dyDescent="0.15">
      <c r="A46" s="124" t="s">
        <v>703</v>
      </c>
      <c r="B46" s="124" t="s">
        <v>147</v>
      </c>
      <c r="C46" s="71" t="s">
        <v>165</v>
      </c>
      <c r="D46" s="120" t="s">
        <v>78</v>
      </c>
      <c r="E46" s="81" t="s">
        <v>170</v>
      </c>
      <c r="F46" s="123" t="s">
        <v>405</v>
      </c>
      <c r="G46" s="126" t="s">
        <v>709</v>
      </c>
      <c r="H46" s="126" t="s">
        <v>710</v>
      </c>
      <c r="I46" s="7">
        <v>5</v>
      </c>
      <c r="J46" s="4"/>
      <c r="K46" s="4"/>
    </row>
    <row r="47" spans="1:11" s="1" customFormat="1" ht="20.100000000000001" customHeight="1" x14ac:dyDescent="0.15">
      <c r="A47" s="124" t="s">
        <v>703</v>
      </c>
      <c r="B47" s="124" t="s">
        <v>370</v>
      </c>
      <c r="C47" s="129" t="s">
        <v>711</v>
      </c>
      <c r="D47" s="129" t="s">
        <v>712</v>
      </c>
      <c r="E47" s="129" t="s">
        <v>713</v>
      </c>
      <c r="F47" s="124" t="s">
        <v>349</v>
      </c>
      <c r="G47" s="126" t="s">
        <v>714</v>
      </c>
      <c r="H47" s="126" t="s">
        <v>715</v>
      </c>
      <c r="I47" s="7">
        <v>15</v>
      </c>
      <c r="J47" s="4"/>
      <c r="K47" s="4"/>
    </row>
    <row r="48" spans="1:11" s="1" customFormat="1" ht="20.100000000000001" customHeight="1" x14ac:dyDescent="0.15">
      <c r="A48" s="132" t="s">
        <v>718</v>
      </c>
      <c r="B48" s="124" t="s">
        <v>496</v>
      </c>
      <c r="C48" s="124" t="s">
        <v>88</v>
      </c>
      <c r="D48" s="131" t="s">
        <v>100</v>
      </c>
      <c r="E48" s="115" t="s">
        <v>106</v>
      </c>
      <c r="F48" s="115" t="s">
        <v>348</v>
      </c>
      <c r="G48" s="135" t="s">
        <v>719</v>
      </c>
      <c r="H48" s="133" t="s">
        <v>720</v>
      </c>
      <c r="I48" s="7">
        <v>3</v>
      </c>
      <c r="J48" s="4"/>
      <c r="K48" s="4"/>
    </row>
    <row r="49" spans="1:11" s="1" customFormat="1" ht="20.100000000000001" customHeight="1" x14ac:dyDescent="0.15">
      <c r="A49" s="132" t="s">
        <v>718</v>
      </c>
      <c r="B49" s="124" t="s">
        <v>496</v>
      </c>
      <c r="C49" s="124" t="s">
        <v>136</v>
      </c>
      <c r="D49" s="131" t="s">
        <v>100</v>
      </c>
      <c r="E49" s="115" t="s">
        <v>137</v>
      </c>
      <c r="F49" s="115" t="s">
        <v>348</v>
      </c>
      <c r="G49" s="133" t="s">
        <v>719</v>
      </c>
      <c r="H49" s="133" t="s">
        <v>722</v>
      </c>
      <c r="I49" s="7">
        <v>3</v>
      </c>
      <c r="J49" s="4"/>
      <c r="K49" s="4"/>
    </row>
    <row r="50" spans="1:11" s="1" customFormat="1" ht="20.100000000000001" customHeight="1" x14ac:dyDescent="0.15">
      <c r="A50" s="132" t="s">
        <v>718</v>
      </c>
      <c r="B50" s="124" t="s">
        <v>496</v>
      </c>
      <c r="C50" s="124" t="s">
        <v>45</v>
      </c>
      <c r="D50" s="131" t="s">
        <v>100</v>
      </c>
      <c r="E50" s="115" t="s">
        <v>101</v>
      </c>
      <c r="F50" s="115" t="s">
        <v>348</v>
      </c>
      <c r="G50" s="133" t="s">
        <v>719</v>
      </c>
      <c r="H50" s="133" t="s">
        <v>725</v>
      </c>
      <c r="I50" s="7">
        <v>3</v>
      </c>
      <c r="J50" s="4"/>
      <c r="K50" s="4"/>
    </row>
    <row r="51" spans="1:11" s="1" customFormat="1" ht="20.100000000000001" customHeight="1" x14ac:dyDescent="0.15">
      <c r="A51" s="132" t="s">
        <v>718</v>
      </c>
      <c r="B51" s="124" t="s">
        <v>496</v>
      </c>
      <c r="C51" s="124" t="s">
        <v>45</v>
      </c>
      <c r="D51" s="131" t="s">
        <v>100</v>
      </c>
      <c r="E51" s="115" t="s">
        <v>105</v>
      </c>
      <c r="F51" s="124" t="s">
        <v>349</v>
      </c>
      <c r="G51" s="133" t="s">
        <v>719</v>
      </c>
      <c r="H51" s="133" t="s">
        <v>726</v>
      </c>
      <c r="I51" s="7">
        <v>3</v>
      </c>
      <c r="J51" s="4"/>
      <c r="K51" s="4"/>
    </row>
    <row r="52" spans="1:11" s="1" customFormat="1" ht="20.100000000000001" customHeight="1" x14ac:dyDescent="0.15">
      <c r="A52" s="132" t="s">
        <v>718</v>
      </c>
      <c r="B52" s="124" t="s">
        <v>496</v>
      </c>
      <c r="C52" s="124" t="s">
        <v>45</v>
      </c>
      <c r="D52" s="131" t="s">
        <v>100</v>
      </c>
      <c r="E52" s="115" t="s">
        <v>104</v>
      </c>
      <c r="F52" s="132" t="s">
        <v>405</v>
      </c>
      <c r="G52" s="133" t="s">
        <v>719</v>
      </c>
      <c r="H52" s="133" t="s">
        <v>727</v>
      </c>
      <c r="I52" s="7">
        <v>3</v>
      </c>
      <c r="J52" s="4"/>
      <c r="K52" s="4"/>
    </row>
    <row r="53" spans="1:11" s="1" customFormat="1" ht="20.100000000000001" customHeight="1" x14ac:dyDescent="0.15">
      <c r="A53" s="132" t="s">
        <v>718</v>
      </c>
      <c r="B53" s="132" t="s">
        <v>370</v>
      </c>
      <c r="C53" s="124" t="s">
        <v>88</v>
      </c>
      <c r="D53" s="124" t="s">
        <v>265</v>
      </c>
      <c r="E53" s="115" t="s">
        <v>266</v>
      </c>
      <c r="F53" s="132" t="s">
        <v>349</v>
      </c>
      <c r="G53" s="133" t="s">
        <v>728</v>
      </c>
      <c r="H53" s="133" t="s">
        <v>729</v>
      </c>
      <c r="I53" s="7">
        <v>9</v>
      </c>
      <c r="J53" s="4"/>
      <c r="K53" s="4"/>
    </row>
    <row r="54" spans="1:11" s="1" customFormat="1" ht="20.100000000000001" customHeight="1" x14ac:dyDescent="0.15">
      <c r="A54" s="138" t="s">
        <v>736</v>
      </c>
      <c r="B54" s="131" t="s">
        <v>219</v>
      </c>
      <c r="C54" s="132" t="s">
        <v>220</v>
      </c>
      <c r="D54" s="131" t="s">
        <v>110</v>
      </c>
      <c r="E54" s="114" t="s">
        <v>221</v>
      </c>
      <c r="F54" s="135" t="s">
        <v>348</v>
      </c>
      <c r="G54" s="133" t="s">
        <v>737</v>
      </c>
      <c r="H54" s="133" t="s">
        <v>738</v>
      </c>
      <c r="I54" s="7">
        <v>1</v>
      </c>
      <c r="J54" s="4"/>
      <c r="K54" s="4"/>
    </row>
    <row r="55" spans="1:11" s="1" customFormat="1" ht="20.100000000000001" customHeight="1" x14ac:dyDescent="0.15">
      <c r="A55" s="139" t="s">
        <v>736</v>
      </c>
      <c r="B55" s="135" t="s">
        <v>219</v>
      </c>
      <c r="C55" s="135" t="s">
        <v>220</v>
      </c>
      <c r="D55" s="135" t="s">
        <v>110</v>
      </c>
      <c r="E55" s="114" t="s">
        <v>222</v>
      </c>
      <c r="F55" s="135" t="s">
        <v>348</v>
      </c>
      <c r="G55" s="133" t="s">
        <v>737</v>
      </c>
      <c r="H55" s="133" t="s">
        <v>738</v>
      </c>
      <c r="I55" s="7">
        <v>1</v>
      </c>
      <c r="J55" s="4"/>
      <c r="K55" s="4"/>
    </row>
    <row r="56" spans="1:11" s="1" customFormat="1" ht="20.100000000000001" customHeight="1" x14ac:dyDescent="0.15">
      <c r="A56" s="145" t="s">
        <v>743</v>
      </c>
      <c r="B56" s="145" t="s">
        <v>499</v>
      </c>
      <c r="C56" s="138" t="s">
        <v>136</v>
      </c>
      <c r="D56" s="138" t="s">
        <v>100</v>
      </c>
      <c r="E56" s="139" t="s">
        <v>140</v>
      </c>
      <c r="F56" s="145" t="s">
        <v>349</v>
      </c>
      <c r="G56" s="146" t="s">
        <v>744</v>
      </c>
      <c r="H56" s="146" t="s">
        <v>745</v>
      </c>
      <c r="I56" s="7">
        <v>3</v>
      </c>
      <c r="J56" s="4"/>
      <c r="K56" s="4"/>
    </row>
    <row r="57" spans="1:11" s="1" customFormat="1" ht="20.100000000000001" customHeight="1" x14ac:dyDescent="0.15">
      <c r="A57" s="145" t="s">
        <v>743</v>
      </c>
      <c r="B57" s="145" t="s">
        <v>196</v>
      </c>
      <c r="C57" s="138" t="s">
        <v>197</v>
      </c>
      <c r="D57" s="138" t="s">
        <v>205</v>
      </c>
      <c r="E57" s="139" t="s">
        <v>454</v>
      </c>
      <c r="F57" s="145" t="s">
        <v>405</v>
      </c>
      <c r="G57" s="146" t="s">
        <v>747</v>
      </c>
      <c r="H57" s="146" t="s">
        <v>748</v>
      </c>
      <c r="I57" s="7">
        <v>13</v>
      </c>
      <c r="J57" s="4"/>
      <c r="K57" s="4"/>
    </row>
    <row r="58" spans="1:11" s="1" customFormat="1" ht="20.100000000000001" customHeight="1" x14ac:dyDescent="0.15">
      <c r="A58" s="154" t="s">
        <v>787</v>
      </c>
      <c r="B58" s="154" t="s">
        <v>631</v>
      </c>
      <c r="C58" s="145" t="s">
        <v>45</v>
      </c>
      <c r="D58" s="145" t="s">
        <v>261</v>
      </c>
      <c r="E58" s="153" t="s">
        <v>298</v>
      </c>
      <c r="F58" s="145" t="s">
        <v>349</v>
      </c>
      <c r="G58" s="149" t="s">
        <v>377</v>
      </c>
      <c r="H58" s="149" t="s">
        <v>748</v>
      </c>
      <c r="I58" s="7">
        <v>21</v>
      </c>
      <c r="J58" s="4"/>
      <c r="K58" s="4"/>
    </row>
    <row r="59" spans="1:11" s="1" customFormat="1" ht="20.100000000000001" customHeight="1" x14ac:dyDescent="0.15">
      <c r="A59" s="154" t="s">
        <v>787</v>
      </c>
      <c r="B59" s="154" t="s">
        <v>631</v>
      </c>
      <c r="C59" s="153" t="s">
        <v>256</v>
      </c>
      <c r="D59" s="145" t="s">
        <v>53</v>
      </c>
      <c r="E59" s="145" t="s">
        <v>299</v>
      </c>
      <c r="F59" s="145" t="s">
        <v>349</v>
      </c>
      <c r="G59" s="149" t="s">
        <v>788</v>
      </c>
      <c r="H59" s="149" t="s">
        <v>748</v>
      </c>
      <c r="I59" s="7">
        <v>19</v>
      </c>
      <c r="J59" s="4"/>
      <c r="K59" s="4"/>
    </row>
    <row r="60" spans="1:11" s="1" customFormat="1" ht="20.100000000000001" customHeight="1" x14ac:dyDescent="0.15">
      <c r="A60" s="167" t="s">
        <v>794</v>
      </c>
      <c r="B60" s="167" t="s">
        <v>370</v>
      </c>
      <c r="C60" s="167" t="s">
        <v>256</v>
      </c>
      <c r="D60" s="157" t="s">
        <v>193</v>
      </c>
      <c r="E60" s="72" t="s">
        <v>111</v>
      </c>
      <c r="F60" s="167" t="s">
        <v>405</v>
      </c>
      <c r="G60" s="165" t="s">
        <v>795</v>
      </c>
      <c r="H60" s="165" t="s">
        <v>796</v>
      </c>
      <c r="I60" s="7">
        <v>6</v>
      </c>
      <c r="J60" s="4"/>
      <c r="K60" s="4"/>
    </row>
    <row r="61" spans="1:11" s="1" customFormat="1" ht="20.100000000000001" customHeight="1" x14ac:dyDescent="0.15">
      <c r="A61" s="176" t="s">
        <v>801</v>
      </c>
      <c r="B61" s="176" t="s">
        <v>802</v>
      </c>
      <c r="C61" s="175" t="s">
        <v>165</v>
      </c>
      <c r="D61" s="174" t="s">
        <v>289</v>
      </c>
      <c r="E61" s="174" t="s">
        <v>290</v>
      </c>
      <c r="F61" s="174" t="s">
        <v>405</v>
      </c>
      <c r="G61" s="177" t="s">
        <v>803</v>
      </c>
      <c r="H61" s="177" t="s">
        <v>804</v>
      </c>
      <c r="I61" s="7">
        <v>1</v>
      </c>
      <c r="J61" s="4"/>
      <c r="K61" s="4"/>
    </row>
    <row r="62" spans="1:11" s="1" customFormat="1" ht="20.100000000000001" customHeight="1" x14ac:dyDescent="0.15">
      <c r="A62" s="176" t="s">
        <v>801</v>
      </c>
      <c r="B62" s="176" t="s">
        <v>802</v>
      </c>
      <c r="C62" s="175" t="s">
        <v>165</v>
      </c>
      <c r="D62" s="175" t="s">
        <v>78</v>
      </c>
      <c r="E62" s="114" t="s">
        <v>166</v>
      </c>
      <c r="F62" s="166" t="s">
        <v>348</v>
      </c>
      <c r="G62" s="177" t="s">
        <v>805</v>
      </c>
      <c r="H62" s="177" t="s">
        <v>807</v>
      </c>
      <c r="I62" s="7">
        <v>1</v>
      </c>
      <c r="J62" s="4"/>
      <c r="K62" s="4"/>
    </row>
    <row r="63" spans="1:11" s="1" customFormat="1" ht="20.100000000000001" customHeight="1" x14ac:dyDescent="0.15">
      <c r="A63" s="176" t="s">
        <v>801</v>
      </c>
      <c r="B63" s="176" t="s">
        <v>802</v>
      </c>
      <c r="C63" s="175" t="s">
        <v>165</v>
      </c>
      <c r="D63" s="175" t="s">
        <v>78</v>
      </c>
      <c r="E63" s="166" t="s">
        <v>168</v>
      </c>
      <c r="F63" s="166" t="s">
        <v>348</v>
      </c>
      <c r="G63" s="177" t="s">
        <v>805</v>
      </c>
      <c r="H63" s="177" t="s">
        <v>807</v>
      </c>
      <c r="I63" s="7">
        <v>1</v>
      </c>
      <c r="J63" s="4"/>
      <c r="K63" s="4"/>
    </row>
    <row r="64" spans="1:11" s="1" customFormat="1" ht="20.100000000000001" customHeight="1" x14ac:dyDescent="0.15">
      <c r="A64" s="176" t="s">
        <v>801</v>
      </c>
      <c r="B64" s="176" t="s">
        <v>802</v>
      </c>
      <c r="C64" s="71" t="s">
        <v>165</v>
      </c>
      <c r="D64" s="175" t="s">
        <v>78</v>
      </c>
      <c r="E64" s="158" t="s">
        <v>169</v>
      </c>
      <c r="F64" s="166" t="s">
        <v>348</v>
      </c>
      <c r="G64" s="177" t="s">
        <v>806</v>
      </c>
      <c r="H64" s="177" t="s">
        <v>807</v>
      </c>
      <c r="I64" s="7">
        <v>1</v>
      </c>
      <c r="J64" s="4"/>
      <c r="K64" s="4"/>
    </row>
    <row r="65" spans="1:11" s="1" customFormat="1" ht="20.100000000000001" customHeight="1" x14ac:dyDescent="0.15">
      <c r="A65" s="176" t="s">
        <v>801</v>
      </c>
      <c r="B65" s="176" t="s">
        <v>802</v>
      </c>
      <c r="C65" s="71" t="s">
        <v>165</v>
      </c>
      <c r="D65" s="175" t="s">
        <v>78</v>
      </c>
      <c r="E65" s="75" t="s">
        <v>515</v>
      </c>
      <c r="F65" s="175" t="s">
        <v>348</v>
      </c>
      <c r="G65" s="177" t="s">
        <v>806</v>
      </c>
      <c r="H65" s="177" t="s">
        <v>807</v>
      </c>
      <c r="I65" s="7">
        <v>1</v>
      </c>
      <c r="J65" s="4"/>
      <c r="K65" s="4"/>
    </row>
    <row r="66" spans="1:11" s="1" customFormat="1" ht="20.100000000000001" customHeight="1" x14ac:dyDescent="0.15">
      <c r="A66" s="176" t="s">
        <v>801</v>
      </c>
      <c r="B66" s="176" t="s">
        <v>802</v>
      </c>
      <c r="C66" s="175" t="s">
        <v>165</v>
      </c>
      <c r="D66" s="175" t="s">
        <v>78</v>
      </c>
      <c r="E66" s="114" t="s">
        <v>175</v>
      </c>
      <c r="F66" s="166" t="s">
        <v>348</v>
      </c>
      <c r="G66" s="177" t="s">
        <v>806</v>
      </c>
      <c r="H66" s="177" t="s">
        <v>807</v>
      </c>
      <c r="I66" s="7">
        <v>1</v>
      </c>
      <c r="J66" s="4"/>
      <c r="K66" s="4"/>
    </row>
    <row r="67" spans="1:11" s="1" customFormat="1" ht="20.100000000000001" customHeight="1" x14ac:dyDescent="0.15">
      <c r="A67" s="176" t="s">
        <v>801</v>
      </c>
      <c r="B67" s="176" t="s">
        <v>802</v>
      </c>
      <c r="C67" s="175" t="s">
        <v>165</v>
      </c>
      <c r="D67" s="175" t="s">
        <v>78</v>
      </c>
      <c r="E67" s="166" t="s">
        <v>177</v>
      </c>
      <c r="F67" s="166" t="s">
        <v>349</v>
      </c>
      <c r="G67" s="177" t="s">
        <v>806</v>
      </c>
      <c r="H67" s="177" t="s">
        <v>807</v>
      </c>
      <c r="I67" s="7">
        <v>1</v>
      </c>
      <c r="J67" s="4"/>
      <c r="K67" s="4"/>
    </row>
    <row r="68" spans="1:11" s="1" customFormat="1" ht="20.100000000000001" customHeight="1" x14ac:dyDescent="0.15">
      <c r="A68" s="176" t="s">
        <v>801</v>
      </c>
      <c r="B68" s="176" t="s">
        <v>802</v>
      </c>
      <c r="C68" s="175" t="s">
        <v>165</v>
      </c>
      <c r="D68" s="175" t="s">
        <v>78</v>
      </c>
      <c r="E68" s="166" t="s">
        <v>178</v>
      </c>
      <c r="F68" s="166" t="s">
        <v>349</v>
      </c>
      <c r="G68" s="177" t="s">
        <v>806</v>
      </c>
      <c r="H68" s="177" t="s">
        <v>807</v>
      </c>
      <c r="I68" s="7">
        <v>1</v>
      </c>
      <c r="J68" s="4"/>
      <c r="K68" s="4"/>
    </row>
    <row r="69" spans="1:11" s="1" customFormat="1" ht="20.100000000000001" customHeight="1" x14ac:dyDescent="0.15">
      <c r="A69" s="176" t="s">
        <v>801</v>
      </c>
      <c r="B69" s="176" t="s">
        <v>802</v>
      </c>
      <c r="C69" s="175" t="s">
        <v>38</v>
      </c>
      <c r="D69" s="175" t="s">
        <v>78</v>
      </c>
      <c r="E69" s="166" t="s">
        <v>83</v>
      </c>
      <c r="F69" s="166" t="s">
        <v>348</v>
      </c>
      <c r="G69" s="177" t="s">
        <v>806</v>
      </c>
      <c r="H69" s="177" t="s">
        <v>807</v>
      </c>
      <c r="I69" s="7">
        <v>1</v>
      </c>
      <c r="J69" s="4"/>
      <c r="K69" s="4"/>
    </row>
    <row r="70" spans="1:11" s="1" customFormat="1" ht="20.100000000000001" customHeight="1" x14ac:dyDescent="0.15">
      <c r="A70" s="176" t="s">
        <v>801</v>
      </c>
      <c r="B70" s="176" t="s">
        <v>802</v>
      </c>
      <c r="C70" s="71" t="s">
        <v>38</v>
      </c>
      <c r="D70" s="175" t="s">
        <v>78</v>
      </c>
      <c r="E70" s="72" t="s">
        <v>84</v>
      </c>
      <c r="F70" s="72" t="s">
        <v>349</v>
      </c>
      <c r="G70" s="177" t="s">
        <v>805</v>
      </c>
      <c r="H70" s="177" t="s">
        <v>807</v>
      </c>
      <c r="I70" s="7">
        <v>1</v>
      </c>
      <c r="J70" s="4"/>
      <c r="K70" s="4"/>
    </row>
    <row r="71" spans="1:11" s="1" customFormat="1" ht="20.100000000000001" customHeight="1" x14ac:dyDescent="0.15">
      <c r="A71" s="176" t="s">
        <v>801</v>
      </c>
      <c r="B71" s="176" t="s">
        <v>802</v>
      </c>
      <c r="C71" s="71" t="s">
        <v>38</v>
      </c>
      <c r="D71" s="175" t="s">
        <v>78</v>
      </c>
      <c r="E71" s="72" t="s">
        <v>85</v>
      </c>
      <c r="F71" s="72" t="s">
        <v>349</v>
      </c>
      <c r="G71" s="177" t="s">
        <v>805</v>
      </c>
      <c r="H71" s="177" t="s">
        <v>807</v>
      </c>
      <c r="I71" s="7">
        <v>1</v>
      </c>
      <c r="J71" s="4"/>
      <c r="K71" s="4"/>
    </row>
    <row r="72" spans="1:11" s="1" customFormat="1" ht="20.100000000000001" customHeight="1" x14ac:dyDescent="0.15">
      <c r="A72" s="176" t="s">
        <v>808</v>
      </c>
      <c r="B72" s="176" t="s">
        <v>809</v>
      </c>
      <c r="C72" s="175" t="s">
        <v>197</v>
      </c>
      <c r="D72" s="175" t="s">
        <v>206</v>
      </c>
      <c r="E72" s="166" t="s">
        <v>207</v>
      </c>
      <c r="F72" s="166" t="s">
        <v>348</v>
      </c>
      <c r="G72" s="177" t="s">
        <v>810</v>
      </c>
      <c r="H72" s="177" t="s">
        <v>801</v>
      </c>
      <c r="I72" s="7">
        <v>9</v>
      </c>
      <c r="J72" s="4"/>
      <c r="K72" s="4"/>
    </row>
    <row r="73" spans="1:11" s="1" customFormat="1" ht="20.100000000000001" customHeight="1" x14ac:dyDescent="0.15">
      <c r="A73" s="176" t="s">
        <v>801</v>
      </c>
      <c r="B73" s="176" t="s">
        <v>809</v>
      </c>
      <c r="C73" s="174" t="s">
        <v>215</v>
      </c>
      <c r="D73" s="175" t="s">
        <v>110</v>
      </c>
      <c r="E73" s="166" t="s">
        <v>216</v>
      </c>
      <c r="F73" s="166" t="s">
        <v>348</v>
      </c>
      <c r="G73" s="177" t="s">
        <v>811</v>
      </c>
      <c r="H73" s="177" t="s">
        <v>812</v>
      </c>
      <c r="I73" s="7">
        <v>5</v>
      </c>
      <c r="J73" s="4"/>
      <c r="K73" s="4"/>
    </row>
    <row r="74" spans="1:11" s="1" customFormat="1" ht="20.100000000000001" customHeight="1" x14ac:dyDescent="0.15">
      <c r="A74" s="176" t="s">
        <v>833</v>
      </c>
      <c r="B74" s="176" t="s">
        <v>409</v>
      </c>
      <c r="C74" s="174" t="s">
        <v>120</v>
      </c>
      <c r="D74" s="175" t="s">
        <v>193</v>
      </c>
      <c r="E74" s="166" t="s">
        <v>558</v>
      </c>
      <c r="F74" s="166" t="s">
        <v>348</v>
      </c>
      <c r="G74" s="168" t="s">
        <v>834</v>
      </c>
      <c r="H74" s="7" t="s">
        <v>835</v>
      </c>
      <c r="I74" s="7">
        <v>5</v>
      </c>
      <c r="J74" s="4"/>
      <c r="K74" s="4"/>
    </row>
    <row r="75" spans="1:11" s="1" customFormat="1" ht="20.100000000000001" customHeight="1" x14ac:dyDescent="0.15">
      <c r="A75" s="176" t="s">
        <v>838</v>
      </c>
      <c r="B75" s="176" t="s">
        <v>496</v>
      </c>
      <c r="C75" s="174" t="s">
        <v>120</v>
      </c>
      <c r="D75" s="175" t="s">
        <v>100</v>
      </c>
      <c r="E75" s="166" t="s">
        <v>122</v>
      </c>
      <c r="F75" s="166" t="s">
        <v>348</v>
      </c>
      <c r="G75" s="177" t="s">
        <v>839</v>
      </c>
      <c r="H75" s="177" t="s">
        <v>840</v>
      </c>
      <c r="I75" s="7">
        <v>1</v>
      </c>
      <c r="J75" s="4"/>
      <c r="K75" s="4"/>
    </row>
    <row r="76" spans="1:11" s="1" customFormat="1" ht="20.100000000000001" customHeight="1" x14ac:dyDescent="0.15">
      <c r="A76" s="176" t="s">
        <v>844</v>
      </c>
      <c r="B76" s="176" t="s">
        <v>496</v>
      </c>
      <c r="C76" s="174" t="s">
        <v>45</v>
      </c>
      <c r="D76" s="175" t="s">
        <v>100</v>
      </c>
      <c r="E76" s="166" t="s">
        <v>104</v>
      </c>
      <c r="F76" s="166" t="s">
        <v>348</v>
      </c>
      <c r="G76" s="177" t="s">
        <v>845</v>
      </c>
      <c r="H76" s="177" t="s">
        <v>846</v>
      </c>
      <c r="I76" s="7">
        <v>1</v>
      </c>
      <c r="J76" s="4"/>
      <c r="K76" s="4"/>
    </row>
    <row r="77" spans="1:11" s="1" customFormat="1" ht="20.100000000000001" customHeight="1" x14ac:dyDescent="0.15">
      <c r="A77" s="176" t="s">
        <v>844</v>
      </c>
      <c r="B77" s="176" t="s">
        <v>496</v>
      </c>
      <c r="C77" s="174" t="s">
        <v>136</v>
      </c>
      <c r="D77" s="175" t="s">
        <v>100</v>
      </c>
      <c r="E77" s="166" t="s">
        <v>137</v>
      </c>
      <c r="F77" s="166" t="s">
        <v>348</v>
      </c>
      <c r="G77" s="177" t="s">
        <v>848</v>
      </c>
      <c r="H77" s="177" t="s">
        <v>849</v>
      </c>
      <c r="I77" s="7">
        <v>1</v>
      </c>
      <c r="J77" s="4"/>
      <c r="K77" s="4"/>
    </row>
    <row r="78" spans="1:11" s="1" customFormat="1" ht="20.100000000000001" customHeight="1" x14ac:dyDescent="0.15">
      <c r="A78" s="176" t="s">
        <v>844</v>
      </c>
      <c r="B78" s="176" t="s">
        <v>496</v>
      </c>
      <c r="C78" s="174" t="s">
        <v>45</v>
      </c>
      <c r="D78" s="175" t="s">
        <v>100</v>
      </c>
      <c r="E78" s="166" t="s">
        <v>101</v>
      </c>
      <c r="F78" s="166" t="s">
        <v>348</v>
      </c>
      <c r="G78" s="177" t="s">
        <v>850</v>
      </c>
      <c r="H78" s="177" t="s">
        <v>851</v>
      </c>
      <c r="I78" s="7">
        <v>1</v>
      </c>
      <c r="J78" s="4"/>
      <c r="K78" s="4"/>
    </row>
    <row r="79" spans="1:11" s="1" customFormat="1" ht="20.100000000000001" customHeight="1" x14ac:dyDescent="0.15">
      <c r="A79" s="176" t="s">
        <v>844</v>
      </c>
      <c r="B79" s="176" t="s">
        <v>859</v>
      </c>
      <c r="C79" s="175" t="s">
        <v>88</v>
      </c>
      <c r="D79" s="175" t="s">
        <v>517</v>
      </c>
      <c r="E79" s="178" t="s">
        <v>858</v>
      </c>
      <c r="F79" s="166" t="s">
        <v>348</v>
      </c>
      <c r="G79" s="177" t="s">
        <v>860</v>
      </c>
      <c r="H79" s="177" t="s">
        <v>861</v>
      </c>
      <c r="I79" s="7">
        <v>6</v>
      </c>
      <c r="J79" s="4"/>
      <c r="K79" s="4"/>
    </row>
    <row r="80" spans="1:11" s="1" customFormat="1" ht="20.100000000000001" customHeight="1" x14ac:dyDescent="0.15">
      <c r="A80" s="176" t="s">
        <v>751</v>
      </c>
      <c r="B80" s="176" t="s">
        <v>496</v>
      </c>
      <c r="C80" s="175" t="s">
        <v>120</v>
      </c>
      <c r="D80" s="175" t="s">
        <v>100</v>
      </c>
      <c r="E80" s="175" t="s">
        <v>407</v>
      </c>
      <c r="F80" s="166" t="s">
        <v>348</v>
      </c>
      <c r="G80" s="177" t="s">
        <v>723</v>
      </c>
      <c r="H80" s="177" t="s">
        <v>862</v>
      </c>
      <c r="I80" s="7">
        <v>1</v>
      </c>
      <c r="J80" s="4"/>
      <c r="K80" s="4"/>
    </row>
    <row r="81" spans="1:11" s="1" customFormat="1" ht="20.100000000000001" customHeight="1" x14ac:dyDescent="0.15">
      <c r="A81" s="176" t="s">
        <v>751</v>
      </c>
      <c r="B81" s="176" t="s">
        <v>496</v>
      </c>
      <c r="C81" s="174" t="s">
        <v>88</v>
      </c>
      <c r="D81" s="175" t="s">
        <v>100</v>
      </c>
      <c r="E81" s="166" t="s">
        <v>106</v>
      </c>
      <c r="F81" s="166" t="s">
        <v>348</v>
      </c>
      <c r="G81" s="177" t="s">
        <v>721</v>
      </c>
      <c r="H81" s="177" t="s">
        <v>864</v>
      </c>
      <c r="I81" s="7">
        <v>1</v>
      </c>
      <c r="J81" s="4"/>
      <c r="K81" s="4"/>
    </row>
    <row r="82" spans="1:11" s="1" customFormat="1" ht="20.100000000000001" customHeight="1" x14ac:dyDescent="0.15">
      <c r="A82" s="176" t="s">
        <v>873</v>
      </c>
      <c r="B82" s="176" t="s">
        <v>874</v>
      </c>
      <c r="C82" s="175" t="s">
        <v>165</v>
      </c>
      <c r="D82" s="175" t="s">
        <v>361</v>
      </c>
      <c r="E82" s="175" t="s">
        <v>782</v>
      </c>
      <c r="F82" s="166" t="s">
        <v>348</v>
      </c>
      <c r="G82" s="177" t="s">
        <v>875</v>
      </c>
      <c r="H82" s="177" t="s">
        <v>876</v>
      </c>
      <c r="I82" s="7">
        <v>2</v>
      </c>
      <c r="J82" s="4"/>
      <c r="K82" s="4"/>
    </row>
    <row r="83" spans="1:11" s="1" customFormat="1" ht="20.100000000000001" customHeight="1" x14ac:dyDescent="0.15">
      <c r="A83" s="176" t="s">
        <v>885</v>
      </c>
      <c r="B83" s="176" t="s">
        <v>886</v>
      </c>
      <c r="C83" s="175" t="s">
        <v>197</v>
      </c>
      <c r="D83" s="174" t="s">
        <v>361</v>
      </c>
      <c r="E83" s="175" t="s">
        <v>293</v>
      </c>
      <c r="F83" s="166" t="s">
        <v>348</v>
      </c>
      <c r="G83" s="177" t="s">
        <v>887</v>
      </c>
      <c r="H83" s="177" t="s">
        <v>861</v>
      </c>
      <c r="I83" s="7">
        <v>6</v>
      </c>
      <c r="J83" s="4"/>
      <c r="K83" s="4"/>
    </row>
    <row r="84" spans="1:11" s="1" customFormat="1" ht="20.100000000000001" customHeight="1" x14ac:dyDescent="0.15">
      <c r="A84" s="181" t="s">
        <v>901</v>
      </c>
      <c r="B84" s="174" t="s">
        <v>496</v>
      </c>
      <c r="C84" s="175" t="s">
        <v>136</v>
      </c>
      <c r="D84" s="175" t="s">
        <v>100</v>
      </c>
      <c r="E84" s="175" t="s">
        <v>544</v>
      </c>
      <c r="F84" s="166" t="s">
        <v>348</v>
      </c>
      <c r="G84" s="177" t="s">
        <v>775</v>
      </c>
      <c r="H84" s="177" t="s">
        <v>902</v>
      </c>
      <c r="I84" s="7">
        <v>5</v>
      </c>
      <c r="J84" s="4"/>
      <c r="K84" s="4"/>
    </row>
    <row r="85" spans="1:11" s="1" customFormat="1" ht="20.100000000000001" customHeight="1" x14ac:dyDescent="0.15">
      <c r="A85" s="181" t="s">
        <v>907</v>
      </c>
      <c r="B85" s="181" t="s">
        <v>409</v>
      </c>
      <c r="C85" s="175" t="s">
        <v>120</v>
      </c>
      <c r="D85" s="175" t="s">
        <v>130</v>
      </c>
      <c r="E85" s="175" t="s">
        <v>731</v>
      </c>
      <c r="F85" s="166" t="s">
        <v>348</v>
      </c>
      <c r="G85" s="177" t="s">
        <v>779</v>
      </c>
      <c r="H85" s="177" t="s">
        <v>908</v>
      </c>
      <c r="I85" s="7">
        <v>5</v>
      </c>
      <c r="J85" s="4"/>
      <c r="K85" s="4"/>
    </row>
    <row r="86" spans="1:11" s="1" customFormat="1" ht="20.100000000000001" customHeight="1" x14ac:dyDescent="0.15">
      <c r="A86" s="181" t="s">
        <v>907</v>
      </c>
      <c r="B86" s="181" t="s">
        <v>409</v>
      </c>
      <c r="C86" s="175" t="s">
        <v>120</v>
      </c>
      <c r="D86" s="175" t="s">
        <v>130</v>
      </c>
      <c r="E86" s="181" t="s">
        <v>730</v>
      </c>
      <c r="F86" s="166" t="s">
        <v>348</v>
      </c>
      <c r="G86" s="177" t="s">
        <v>778</v>
      </c>
      <c r="H86" s="177" t="s">
        <v>908</v>
      </c>
      <c r="I86" s="7">
        <v>5</v>
      </c>
      <c r="J86" s="4"/>
      <c r="K86" s="4"/>
    </row>
    <row r="87" spans="1:11" s="1" customFormat="1" ht="20.100000000000001" customHeight="1" x14ac:dyDescent="0.15">
      <c r="A87" s="181" t="s">
        <v>931</v>
      </c>
      <c r="B87" s="181" t="s">
        <v>496</v>
      </c>
      <c r="C87" s="175" t="s">
        <v>136</v>
      </c>
      <c r="D87" s="175" t="s">
        <v>100</v>
      </c>
      <c r="E87" s="175" t="s">
        <v>365</v>
      </c>
      <c r="F87" s="166" t="s">
        <v>348</v>
      </c>
      <c r="G87" s="177" t="s">
        <v>772</v>
      </c>
      <c r="H87" s="188" t="s">
        <v>932</v>
      </c>
      <c r="I87" s="7">
        <v>12</v>
      </c>
      <c r="J87" s="4"/>
      <c r="K87" s="4"/>
    </row>
    <row r="88" spans="1:11" s="1" customFormat="1" ht="20.100000000000001" customHeight="1" x14ac:dyDescent="0.15">
      <c r="A88" s="181" t="s">
        <v>935</v>
      </c>
      <c r="B88" s="181" t="s">
        <v>196</v>
      </c>
      <c r="C88" s="175" t="s">
        <v>244</v>
      </c>
      <c r="D88" s="175" t="s">
        <v>53</v>
      </c>
      <c r="E88" s="175" t="s">
        <v>447</v>
      </c>
      <c r="F88" s="166" t="s">
        <v>348</v>
      </c>
      <c r="G88" s="177" t="s">
        <v>830</v>
      </c>
      <c r="H88" s="188" t="s">
        <v>936</v>
      </c>
      <c r="I88" s="7">
        <v>1</v>
      </c>
      <c r="J88" s="4"/>
      <c r="K88" s="4"/>
    </row>
    <row r="89" spans="1:11" s="1" customFormat="1" ht="20.100000000000001" customHeight="1" x14ac:dyDescent="0.15">
      <c r="A89" s="181" t="s">
        <v>942</v>
      </c>
      <c r="B89" s="181" t="s">
        <v>495</v>
      </c>
      <c r="C89" s="175" t="s">
        <v>45</v>
      </c>
      <c r="D89" s="174" t="s">
        <v>53</v>
      </c>
      <c r="E89" s="174" t="s">
        <v>299</v>
      </c>
      <c r="F89" s="166" t="s">
        <v>348</v>
      </c>
      <c r="G89" s="177" t="s">
        <v>943</v>
      </c>
      <c r="H89" s="188" t="s">
        <v>944</v>
      </c>
      <c r="I89" s="7">
        <v>12</v>
      </c>
      <c r="J89" s="4"/>
      <c r="K89" s="4"/>
    </row>
    <row r="90" spans="1:11" s="1" customFormat="1" ht="20.100000000000001" customHeight="1" x14ac:dyDescent="0.15">
      <c r="A90" s="181" t="s">
        <v>942</v>
      </c>
      <c r="B90" s="181" t="s">
        <v>409</v>
      </c>
      <c r="C90" s="175" t="s">
        <v>120</v>
      </c>
      <c r="D90" s="175" t="s">
        <v>193</v>
      </c>
      <c r="E90" s="175" t="s">
        <v>558</v>
      </c>
      <c r="F90" s="166" t="s">
        <v>348</v>
      </c>
      <c r="G90" s="177" t="s">
        <v>836</v>
      </c>
      <c r="H90" s="188" t="s">
        <v>945</v>
      </c>
      <c r="I90" s="7">
        <v>5</v>
      </c>
      <c r="J90" s="4"/>
      <c r="K90" s="4"/>
    </row>
    <row r="91" spans="1:11" s="1" customFormat="1" ht="20.100000000000001" customHeight="1" x14ac:dyDescent="0.15">
      <c r="A91" s="181" t="s">
        <v>942</v>
      </c>
      <c r="B91" s="181" t="s">
        <v>496</v>
      </c>
      <c r="C91" s="174" t="s">
        <v>45</v>
      </c>
      <c r="D91" s="175" t="s">
        <v>100</v>
      </c>
      <c r="E91" s="166" t="s">
        <v>104</v>
      </c>
      <c r="F91" s="166" t="s">
        <v>348</v>
      </c>
      <c r="G91" s="177" t="s">
        <v>847</v>
      </c>
      <c r="H91" s="188" t="s">
        <v>949</v>
      </c>
      <c r="I91" s="7">
        <v>2</v>
      </c>
      <c r="J91" s="4"/>
      <c r="K91" s="4"/>
    </row>
    <row r="92" spans="1:11" s="1" customFormat="1" ht="20.100000000000001" customHeight="1" x14ac:dyDescent="0.15">
      <c r="A92" s="181" t="s">
        <v>966</v>
      </c>
      <c r="B92" s="181" t="s">
        <v>411</v>
      </c>
      <c r="C92" s="174" t="s">
        <v>249</v>
      </c>
      <c r="D92" s="174" t="s">
        <v>110</v>
      </c>
      <c r="E92" s="166" t="s">
        <v>250</v>
      </c>
      <c r="F92" s="166" t="s">
        <v>348</v>
      </c>
      <c r="G92" s="177" t="s">
        <v>618</v>
      </c>
      <c r="H92" s="188" t="s">
        <v>967</v>
      </c>
      <c r="I92" s="7">
        <v>2</v>
      </c>
      <c r="J92" s="4"/>
      <c r="K92" s="4"/>
    </row>
    <row r="93" spans="1:11" s="1" customFormat="1" ht="20.100000000000001" customHeight="1" x14ac:dyDescent="0.15">
      <c r="A93" s="181" t="s">
        <v>966</v>
      </c>
      <c r="B93" s="181" t="s">
        <v>411</v>
      </c>
      <c r="C93" s="174" t="s">
        <v>244</v>
      </c>
      <c r="D93" s="174" t="s">
        <v>157</v>
      </c>
      <c r="E93" s="166" t="s">
        <v>248</v>
      </c>
      <c r="F93" s="166" t="s">
        <v>348</v>
      </c>
      <c r="G93" s="177" t="s">
        <v>383</v>
      </c>
      <c r="H93" s="188" t="s">
        <v>969</v>
      </c>
      <c r="I93" s="7">
        <v>28</v>
      </c>
      <c r="J93" s="4"/>
      <c r="K93" s="4"/>
    </row>
    <row r="94" spans="1:11" s="1" customFormat="1" ht="20.100000000000001" customHeight="1" x14ac:dyDescent="0.15">
      <c r="A94" s="181" t="s">
        <v>973</v>
      </c>
      <c r="B94" s="181" t="s">
        <v>496</v>
      </c>
      <c r="C94" s="174" t="s">
        <v>120</v>
      </c>
      <c r="D94" s="175" t="s">
        <v>100</v>
      </c>
      <c r="E94" s="166" t="s">
        <v>122</v>
      </c>
      <c r="F94" s="166" t="s">
        <v>348</v>
      </c>
      <c r="G94" s="177" t="s">
        <v>841</v>
      </c>
      <c r="H94" s="188" t="s">
        <v>974</v>
      </c>
      <c r="I94" s="7">
        <v>1</v>
      </c>
      <c r="J94" s="4"/>
      <c r="K94" s="4"/>
    </row>
    <row r="95" spans="1:11" s="1" customFormat="1" ht="20.100000000000001" customHeight="1" x14ac:dyDescent="0.15">
      <c r="A95" s="181" t="s">
        <v>973</v>
      </c>
      <c r="B95" s="181" t="s">
        <v>496</v>
      </c>
      <c r="C95" s="175" t="s">
        <v>120</v>
      </c>
      <c r="D95" s="175" t="s">
        <v>100</v>
      </c>
      <c r="E95" s="175" t="s">
        <v>407</v>
      </c>
      <c r="F95" s="166" t="s">
        <v>348</v>
      </c>
      <c r="G95" s="177" t="s">
        <v>863</v>
      </c>
      <c r="H95" s="188" t="s">
        <v>974</v>
      </c>
      <c r="I95" s="7">
        <v>1</v>
      </c>
      <c r="J95" s="4"/>
      <c r="K95" s="4"/>
    </row>
    <row r="96" spans="1:11" s="1" customFormat="1" ht="20.100000000000001" customHeight="1" x14ac:dyDescent="0.15">
      <c r="A96" s="181" t="s">
        <v>1022</v>
      </c>
      <c r="B96" s="181" t="s">
        <v>409</v>
      </c>
      <c r="C96" s="175" t="s">
        <v>120</v>
      </c>
      <c r="D96" s="175" t="s">
        <v>193</v>
      </c>
      <c r="E96" s="175" t="s">
        <v>818</v>
      </c>
      <c r="F96" s="166" t="s">
        <v>348</v>
      </c>
      <c r="G96" s="177" t="s">
        <v>993</v>
      </c>
      <c r="H96" s="188" t="s">
        <v>1023</v>
      </c>
      <c r="I96" s="7">
        <v>5</v>
      </c>
      <c r="J96" s="4"/>
      <c r="K96" s="4"/>
    </row>
    <row r="97" spans="1:11" s="1" customFormat="1" ht="20.100000000000001" customHeight="1" x14ac:dyDescent="0.15">
      <c r="A97" s="181" t="s">
        <v>1022</v>
      </c>
      <c r="B97" s="181" t="s">
        <v>409</v>
      </c>
      <c r="C97" s="175" t="s">
        <v>120</v>
      </c>
      <c r="D97" s="175" t="s">
        <v>1025</v>
      </c>
      <c r="E97" s="175" t="s">
        <v>542</v>
      </c>
      <c r="F97" s="166" t="s">
        <v>348</v>
      </c>
      <c r="G97" s="177" t="s">
        <v>893</v>
      </c>
      <c r="H97" s="188" t="s">
        <v>1026</v>
      </c>
      <c r="I97" s="7">
        <v>1</v>
      </c>
      <c r="J97" s="4"/>
      <c r="K97" s="4"/>
    </row>
    <row r="98" spans="1:11" s="1" customFormat="1" ht="20.100000000000001" customHeight="1" x14ac:dyDescent="0.15">
      <c r="A98" s="181" t="s">
        <v>1034</v>
      </c>
      <c r="B98" s="181" t="s">
        <v>196</v>
      </c>
      <c r="C98" s="175" t="s">
        <v>215</v>
      </c>
      <c r="D98" s="175" t="s">
        <v>110</v>
      </c>
      <c r="E98" s="175" t="s">
        <v>216</v>
      </c>
      <c r="F98" s="166" t="s">
        <v>348</v>
      </c>
      <c r="G98" s="177" t="s">
        <v>813</v>
      </c>
      <c r="H98" s="188" t="s">
        <v>1026</v>
      </c>
      <c r="I98" s="7">
        <v>6</v>
      </c>
      <c r="J98" s="4"/>
      <c r="K98" s="4"/>
    </row>
    <row r="99" spans="1:11" s="1" customFormat="1" ht="20.100000000000001" customHeight="1" x14ac:dyDescent="0.15">
      <c r="A99" s="181" t="s">
        <v>1034</v>
      </c>
      <c r="B99" s="181" t="s">
        <v>196</v>
      </c>
      <c r="C99" s="174" t="s">
        <v>215</v>
      </c>
      <c r="D99" s="175" t="s">
        <v>110</v>
      </c>
      <c r="E99" s="166" t="s">
        <v>609</v>
      </c>
      <c r="F99" s="166" t="s">
        <v>348</v>
      </c>
      <c r="G99" s="188" t="s">
        <v>857</v>
      </c>
      <c r="H99" s="188" t="s">
        <v>1026</v>
      </c>
      <c r="I99" s="7">
        <v>6</v>
      </c>
      <c r="J99" s="4"/>
      <c r="K99" s="4"/>
    </row>
    <row r="100" spans="1:11" s="1" customFormat="1" ht="20.100000000000001" customHeight="1" x14ac:dyDescent="0.15">
      <c r="A100" s="181" t="s">
        <v>1034</v>
      </c>
      <c r="B100" s="181" t="s">
        <v>89</v>
      </c>
      <c r="C100" s="174" t="s">
        <v>45</v>
      </c>
      <c r="D100" s="175" t="s">
        <v>157</v>
      </c>
      <c r="E100" s="166" t="s">
        <v>257</v>
      </c>
      <c r="F100" s="166" t="s">
        <v>348</v>
      </c>
      <c r="G100" s="188" t="s">
        <v>1037</v>
      </c>
      <c r="H100" s="188" t="s">
        <v>1038</v>
      </c>
      <c r="I100" s="7">
        <v>10</v>
      </c>
      <c r="J100" s="4"/>
      <c r="K100" s="4"/>
    </row>
    <row r="101" spans="1:11" s="1" customFormat="1" ht="20.100000000000001" customHeight="1" x14ac:dyDescent="0.15">
      <c r="A101" s="181" t="s">
        <v>1034</v>
      </c>
      <c r="B101" s="181" t="s">
        <v>89</v>
      </c>
      <c r="C101" s="175" t="s">
        <v>45</v>
      </c>
      <c r="D101" s="175" t="s">
        <v>157</v>
      </c>
      <c r="E101" s="175" t="s">
        <v>630</v>
      </c>
      <c r="F101" s="166" t="s">
        <v>348</v>
      </c>
      <c r="G101" s="188" t="s">
        <v>1039</v>
      </c>
      <c r="H101" s="188" t="s">
        <v>1038</v>
      </c>
      <c r="I101" s="7">
        <v>6</v>
      </c>
      <c r="J101" s="4"/>
      <c r="K101" s="4"/>
    </row>
    <row r="102" spans="1:11" s="1" customFormat="1" ht="20.100000000000001" customHeight="1" x14ac:dyDescent="0.15">
      <c r="A102" s="181" t="s">
        <v>1034</v>
      </c>
      <c r="B102" s="181" t="s">
        <v>89</v>
      </c>
      <c r="C102" s="175" t="s">
        <v>45</v>
      </c>
      <c r="D102" s="175" t="s">
        <v>157</v>
      </c>
      <c r="E102" s="175" t="s">
        <v>632</v>
      </c>
      <c r="F102" s="166" t="s">
        <v>348</v>
      </c>
      <c r="G102" s="188" t="s">
        <v>1039</v>
      </c>
      <c r="H102" s="188" t="s">
        <v>1038</v>
      </c>
      <c r="I102" s="7">
        <v>6</v>
      </c>
      <c r="J102" s="4"/>
      <c r="K102" s="4"/>
    </row>
    <row r="103" spans="1:11" s="1" customFormat="1" ht="20.100000000000001" customHeight="1" x14ac:dyDescent="0.15">
      <c r="A103" s="181" t="s">
        <v>903</v>
      </c>
      <c r="B103" s="181" t="s">
        <v>409</v>
      </c>
      <c r="C103" s="174" t="s">
        <v>120</v>
      </c>
      <c r="D103" s="175" t="s">
        <v>78</v>
      </c>
      <c r="E103" s="166" t="s">
        <v>125</v>
      </c>
      <c r="F103" s="166" t="s">
        <v>348</v>
      </c>
      <c r="G103" s="188" t="s">
        <v>579</v>
      </c>
      <c r="H103" s="188" t="s">
        <v>944</v>
      </c>
      <c r="I103" s="7">
        <v>12</v>
      </c>
      <c r="J103" s="4"/>
      <c r="K103" s="4"/>
    </row>
    <row r="104" spans="1:11" s="1" customFormat="1" ht="20.100000000000001" customHeight="1" x14ac:dyDescent="0.15">
      <c r="A104" s="181" t="s">
        <v>903</v>
      </c>
      <c r="B104" s="181" t="s">
        <v>409</v>
      </c>
      <c r="C104" s="174" t="s">
        <v>120</v>
      </c>
      <c r="D104" s="175" t="s">
        <v>78</v>
      </c>
      <c r="E104" s="166" t="s">
        <v>127</v>
      </c>
      <c r="F104" s="166" t="s">
        <v>348</v>
      </c>
      <c r="G104" s="188" t="s">
        <v>866</v>
      </c>
      <c r="H104" s="188" t="s">
        <v>944</v>
      </c>
      <c r="I104" s="7">
        <v>6</v>
      </c>
      <c r="J104" s="4"/>
      <c r="K104" s="4"/>
    </row>
    <row r="105" spans="1:11" s="1" customFormat="1" ht="20.100000000000001" customHeight="1" x14ac:dyDescent="0.15">
      <c r="A105" s="181" t="s">
        <v>1060</v>
      </c>
      <c r="B105" s="181" t="s">
        <v>409</v>
      </c>
      <c r="C105" s="174" t="s">
        <v>120</v>
      </c>
      <c r="D105" s="175" t="s">
        <v>130</v>
      </c>
      <c r="E105" s="166" t="s">
        <v>131</v>
      </c>
      <c r="F105" s="166" t="s">
        <v>348</v>
      </c>
      <c r="G105" s="188" t="s">
        <v>909</v>
      </c>
      <c r="H105" s="195" t="s">
        <v>1061</v>
      </c>
      <c r="I105" s="7">
        <v>8</v>
      </c>
      <c r="J105" s="4"/>
      <c r="K105" s="4"/>
    </row>
    <row r="106" spans="1:11" s="1" customFormat="1" ht="20.100000000000001" customHeight="1" x14ac:dyDescent="0.15">
      <c r="A106" s="181" t="s">
        <v>1060</v>
      </c>
      <c r="B106" s="181" t="s">
        <v>409</v>
      </c>
      <c r="C106" s="175" t="s">
        <v>120</v>
      </c>
      <c r="D106" s="175" t="s">
        <v>130</v>
      </c>
      <c r="E106" s="175" t="s">
        <v>730</v>
      </c>
      <c r="F106" s="166" t="s">
        <v>348</v>
      </c>
      <c r="G106" s="188" t="s">
        <v>894</v>
      </c>
      <c r="H106" s="188" t="s">
        <v>1062</v>
      </c>
      <c r="I106" s="7">
        <v>2</v>
      </c>
      <c r="J106" s="4"/>
      <c r="K106" s="4"/>
    </row>
    <row r="107" spans="1:11" s="1" customFormat="1" ht="20.100000000000001" customHeight="1" x14ac:dyDescent="0.15">
      <c r="A107" s="181" t="s">
        <v>1060</v>
      </c>
      <c r="B107" s="181" t="s">
        <v>409</v>
      </c>
      <c r="C107" s="175" t="s">
        <v>120</v>
      </c>
      <c r="D107" s="175" t="s">
        <v>130</v>
      </c>
      <c r="E107" s="175" t="s">
        <v>731</v>
      </c>
      <c r="F107" s="166" t="s">
        <v>348</v>
      </c>
      <c r="G107" s="188" t="s">
        <v>894</v>
      </c>
      <c r="H107" s="195" t="s">
        <v>1061</v>
      </c>
      <c r="I107" s="7">
        <v>2</v>
      </c>
      <c r="J107" s="4"/>
      <c r="K107" s="4"/>
    </row>
    <row r="108" spans="1:11" s="1" customFormat="1" ht="20.100000000000001" customHeight="1" x14ac:dyDescent="0.15">
      <c r="A108" s="181" t="s">
        <v>1060</v>
      </c>
      <c r="B108" s="181" t="s">
        <v>409</v>
      </c>
      <c r="C108" s="175" t="s">
        <v>120</v>
      </c>
      <c r="D108" s="175" t="s">
        <v>130</v>
      </c>
      <c r="E108" s="175" t="s">
        <v>890</v>
      </c>
      <c r="F108" s="166" t="s">
        <v>348</v>
      </c>
      <c r="G108" s="188" t="s">
        <v>930</v>
      </c>
      <c r="H108" s="188" t="s">
        <v>1063</v>
      </c>
      <c r="I108" s="7">
        <v>3</v>
      </c>
      <c r="J108" s="4"/>
      <c r="K108" s="4"/>
    </row>
    <row r="109" spans="1:11" s="1" customFormat="1" ht="20.100000000000001" customHeight="1" x14ac:dyDescent="0.15">
      <c r="A109" s="181" t="s">
        <v>1060</v>
      </c>
      <c r="B109" s="181" t="s">
        <v>89</v>
      </c>
      <c r="C109" s="175" t="s">
        <v>38</v>
      </c>
      <c r="D109" s="175" t="s">
        <v>78</v>
      </c>
      <c r="E109" s="166" t="s">
        <v>83</v>
      </c>
      <c r="F109" s="166" t="s">
        <v>348</v>
      </c>
      <c r="G109" s="188" t="s">
        <v>1066</v>
      </c>
      <c r="H109" s="188" t="s">
        <v>1067</v>
      </c>
      <c r="I109" s="7">
        <v>1</v>
      </c>
      <c r="J109" s="4"/>
      <c r="K109" s="4"/>
    </row>
    <row r="110" spans="1:11" s="1" customFormat="1" ht="20.100000000000001" customHeight="1" x14ac:dyDescent="0.15">
      <c r="A110" s="181" t="s">
        <v>1060</v>
      </c>
      <c r="B110" s="181" t="s">
        <v>89</v>
      </c>
      <c r="C110" s="175" t="s">
        <v>165</v>
      </c>
      <c r="D110" s="175" t="s">
        <v>78</v>
      </c>
      <c r="E110" s="114" t="s">
        <v>175</v>
      </c>
      <c r="F110" s="166" t="s">
        <v>348</v>
      </c>
      <c r="G110" s="188" t="s">
        <v>1066</v>
      </c>
      <c r="H110" s="188" t="s">
        <v>1067</v>
      </c>
      <c r="I110" s="7">
        <v>1</v>
      </c>
      <c r="J110" s="4"/>
      <c r="K110" s="4"/>
    </row>
    <row r="111" spans="1:11" s="1" customFormat="1" ht="20.100000000000001" customHeight="1" x14ac:dyDescent="0.15">
      <c r="A111" s="181" t="s">
        <v>1060</v>
      </c>
      <c r="B111" s="181" t="s">
        <v>89</v>
      </c>
      <c r="C111" s="175" t="s">
        <v>165</v>
      </c>
      <c r="D111" s="175" t="s">
        <v>78</v>
      </c>
      <c r="E111" s="166" t="s">
        <v>177</v>
      </c>
      <c r="F111" s="166" t="s">
        <v>349</v>
      </c>
      <c r="G111" s="188" t="s">
        <v>1066</v>
      </c>
      <c r="H111" s="188" t="s">
        <v>1067</v>
      </c>
      <c r="I111" s="7">
        <v>1</v>
      </c>
      <c r="J111" s="4"/>
      <c r="K111" s="4"/>
    </row>
    <row r="112" spans="1:11" s="1" customFormat="1" ht="20.100000000000001" customHeight="1" x14ac:dyDescent="0.15">
      <c r="A112" s="181" t="s">
        <v>1060</v>
      </c>
      <c r="B112" s="181" t="s">
        <v>89</v>
      </c>
      <c r="C112" s="175" t="s">
        <v>165</v>
      </c>
      <c r="D112" s="175" t="s">
        <v>78</v>
      </c>
      <c r="E112" s="166" t="s">
        <v>168</v>
      </c>
      <c r="F112" s="166" t="s">
        <v>348</v>
      </c>
      <c r="G112" s="188" t="s">
        <v>1066</v>
      </c>
      <c r="H112" s="188" t="s">
        <v>1067</v>
      </c>
      <c r="I112" s="7">
        <v>1</v>
      </c>
      <c r="J112" s="4"/>
      <c r="K112" s="4"/>
    </row>
    <row r="113" spans="1:11" s="1" customFormat="1" ht="20.100000000000001" customHeight="1" x14ac:dyDescent="0.15">
      <c r="A113" s="181" t="s">
        <v>1060</v>
      </c>
      <c r="B113" s="181" t="s">
        <v>89</v>
      </c>
      <c r="C113" s="175" t="s">
        <v>165</v>
      </c>
      <c r="D113" s="175" t="s">
        <v>78</v>
      </c>
      <c r="E113" s="114" t="s">
        <v>166</v>
      </c>
      <c r="F113" s="166" t="s">
        <v>348</v>
      </c>
      <c r="G113" s="188" t="s">
        <v>1066</v>
      </c>
      <c r="H113" s="188" t="s">
        <v>1067</v>
      </c>
      <c r="I113" s="7">
        <v>1</v>
      </c>
      <c r="J113" s="4"/>
      <c r="K113" s="4"/>
    </row>
    <row r="114" spans="1:11" s="1" customFormat="1" ht="20.100000000000001" customHeight="1" x14ac:dyDescent="0.15">
      <c r="A114" s="181" t="s">
        <v>1060</v>
      </c>
      <c r="B114" s="181" t="s">
        <v>89</v>
      </c>
      <c r="C114" s="71" t="s">
        <v>38</v>
      </c>
      <c r="D114" s="175" t="s">
        <v>78</v>
      </c>
      <c r="E114" s="72" t="s">
        <v>84</v>
      </c>
      <c r="F114" s="166" t="s">
        <v>349</v>
      </c>
      <c r="G114" s="188" t="s">
        <v>1066</v>
      </c>
      <c r="H114" s="188" t="s">
        <v>1067</v>
      </c>
      <c r="I114" s="7">
        <v>1</v>
      </c>
      <c r="J114" s="4"/>
      <c r="K114" s="4"/>
    </row>
    <row r="115" spans="1:11" s="1" customFormat="1" ht="20.100000000000001" customHeight="1" x14ac:dyDescent="0.15">
      <c r="A115" s="181" t="s">
        <v>1060</v>
      </c>
      <c r="B115" s="181" t="s">
        <v>89</v>
      </c>
      <c r="C115" s="175" t="s">
        <v>165</v>
      </c>
      <c r="D115" s="175" t="s">
        <v>78</v>
      </c>
      <c r="E115" s="166" t="s">
        <v>178</v>
      </c>
      <c r="F115" s="166" t="s">
        <v>349</v>
      </c>
      <c r="G115" s="188" t="s">
        <v>1066</v>
      </c>
      <c r="H115" s="188" t="s">
        <v>1067</v>
      </c>
      <c r="I115" s="7">
        <v>1</v>
      </c>
      <c r="J115" s="4"/>
      <c r="K115" s="4"/>
    </row>
    <row r="116" spans="1:11" s="1" customFormat="1" ht="20.100000000000001" customHeight="1" x14ac:dyDescent="0.15">
      <c r="A116" s="181" t="s">
        <v>1060</v>
      </c>
      <c r="B116" s="181" t="s">
        <v>89</v>
      </c>
      <c r="C116" s="71" t="s">
        <v>165</v>
      </c>
      <c r="D116" s="175" t="s">
        <v>78</v>
      </c>
      <c r="E116" s="158" t="s">
        <v>791</v>
      </c>
      <c r="F116" s="166" t="s">
        <v>348</v>
      </c>
      <c r="G116" s="188" t="s">
        <v>1066</v>
      </c>
      <c r="H116" s="188" t="s">
        <v>1067</v>
      </c>
      <c r="I116" s="7">
        <v>1</v>
      </c>
      <c r="J116" s="4"/>
      <c r="K116" s="4"/>
    </row>
    <row r="117" spans="1:11" s="1" customFormat="1" ht="20.100000000000001" customHeight="1" x14ac:dyDescent="0.15">
      <c r="A117" s="181" t="s">
        <v>1060</v>
      </c>
      <c r="B117" s="181" t="s">
        <v>89</v>
      </c>
      <c r="C117" s="71" t="s">
        <v>165</v>
      </c>
      <c r="D117" s="175" t="s">
        <v>78</v>
      </c>
      <c r="E117" s="158" t="s">
        <v>1068</v>
      </c>
      <c r="F117" s="166" t="s">
        <v>348</v>
      </c>
      <c r="G117" s="188" t="s">
        <v>1066</v>
      </c>
      <c r="H117" s="188" t="s">
        <v>1067</v>
      </c>
      <c r="I117" s="7">
        <v>1</v>
      </c>
      <c r="J117" s="4"/>
      <c r="K117" s="4"/>
    </row>
    <row r="118" spans="1:11" s="1" customFormat="1" ht="20.100000000000001" customHeight="1" x14ac:dyDescent="0.15">
      <c r="A118" s="181" t="s">
        <v>1060</v>
      </c>
      <c r="B118" s="181" t="s">
        <v>89</v>
      </c>
      <c r="C118" s="71" t="s">
        <v>165</v>
      </c>
      <c r="D118" s="175" t="s">
        <v>78</v>
      </c>
      <c r="E118" s="75" t="s">
        <v>515</v>
      </c>
      <c r="F118" s="175" t="s">
        <v>348</v>
      </c>
      <c r="G118" s="188" t="s">
        <v>1066</v>
      </c>
      <c r="H118" s="188" t="s">
        <v>1067</v>
      </c>
      <c r="I118" s="7">
        <v>1</v>
      </c>
      <c r="J118" s="4"/>
      <c r="K118" s="4"/>
    </row>
    <row r="119" spans="1:11" s="1" customFormat="1" ht="20.100000000000001" customHeight="1" x14ac:dyDescent="0.15">
      <c r="A119" s="181" t="s">
        <v>1060</v>
      </c>
      <c r="B119" s="181" t="s">
        <v>89</v>
      </c>
      <c r="C119" s="71" t="s">
        <v>38</v>
      </c>
      <c r="D119" s="175" t="s">
        <v>78</v>
      </c>
      <c r="E119" s="72" t="s">
        <v>85</v>
      </c>
      <c r="F119" s="166" t="s">
        <v>349</v>
      </c>
      <c r="G119" s="188" t="s">
        <v>1066</v>
      </c>
      <c r="H119" s="188" t="s">
        <v>1067</v>
      </c>
      <c r="I119" s="7">
        <v>1</v>
      </c>
      <c r="J119" s="4"/>
      <c r="K119" s="4"/>
    </row>
    <row r="120" spans="1:11" s="1" customFormat="1" ht="20.100000000000001" customHeight="1" x14ac:dyDescent="0.15">
      <c r="A120" s="181" t="s">
        <v>1060</v>
      </c>
      <c r="B120" s="181" t="s">
        <v>89</v>
      </c>
      <c r="C120" s="175" t="s">
        <v>165</v>
      </c>
      <c r="D120" s="175" t="s">
        <v>193</v>
      </c>
      <c r="E120" s="175" t="s">
        <v>404</v>
      </c>
      <c r="F120" s="175" t="s">
        <v>348</v>
      </c>
      <c r="G120" s="188" t="s">
        <v>937</v>
      </c>
      <c r="H120" s="188" t="s">
        <v>1069</v>
      </c>
      <c r="I120" s="7">
        <v>1</v>
      </c>
      <c r="J120" s="4"/>
      <c r="K120" s="4"/>
    </row>
    <row r="121" spans="1:11" s="1" customFormat="1" ht="20.100000000000001" customHeight="1" x14ac:dyDescent="0.15">
      <c r="A121" s="181" t="s">
        <v>1075</v>
      </c>
      <c r="B121" s="181" t="s">
        <v>89</v>
      </c>
      <c r="C121" s="175" t="s">
        <v>165</v>
      </c>
      <c r="D121" s="175" t="s">
        <v>78</v>
      </c>
      <c r="E121" s="175" t="s">
        <v>1074</v>
      </c>
      <c r="F121" s="175" t="s">
        <v>348</v>
      </c>
      <c r="G121" s="188" t="s">
        <v>891</v>
      </c>
      <c r="H121" s="188" t="s">
        <v>1076</v>
      </c>
      <c r="I121" s="7">
        <v>3</v>
      </c>
      <c r="J121" s="4"/>
      <c r="K121" s="4"/>
    </row>
    <row r="122" spans="1:11" s="1" customFormat="1" ht="20.100000000000001" customHeight="1" x14ac:dyDescent="0.15">
      <c r="A122" s="181" t="s">
        <v>1075</v>
      </c>
      <c r="B122" s="181" t="s">
        <v>89</v>
      </c>
      <c r="C122" s="175" t="s">
        <v>165</v>
      </c>
      <c r="D122" s="175" t="s">
        <v>78</v>
      </c>
      <c r="E122" s="175" t="s">
        <v>649</v>
      </c>
      <c r="F122" s="175" t="s">
        <v>348</v>
      </c>
      <c r="G122" s="188" t="s">
        <v>891</v>
      </c>
      <c r="H122" s="188" t="s">
        <v>1076</v>
      </c>
      <c r="I122" s="7">
        <v>3</v>
      </c>
      <c r="J122" s="4"/>
      <c r="K122" s="4"/>
    </row>
    <row r="123" spans="1:11" s="1" customFormat="1" ht="20.100000000000001" customHeight="1" x14ac:dyDescent="0.15">
      <c r="A123" s="181" t="s">
        <v>1075</v>
      </c>
      <c r="B123" s="181" t="s">
        <v>89</v>
      </c>
      <c r="C123" s="175" t="s">
        <v>165</v>
      </c>
      <c r="D123" s="175" t="s">
        <v>78</v>
      </c>
      <c r="E123" s="175" t="s">
        <v>878</v>
      </c>
      <c r="F123" s="175" t="s">
        <v>348</v>
      </c>
      <c r="G123" s="188" t="s">
        <v>1003</v>
      </c>
      <c r="H123" s="188" t="s">
        <v>1076</v>
      </c>
      <c r="I123" s="7">
        <v>1</v>
      </c>
      <c r="J123" s="4"/>
      <c r="K123" s="4"/>
    </row>
    <row r="124" spans="1:11" s="1" customFormat="1" ht="20.100000000000001" customHeight="1" x14ac:dyDescent="0.15">
      <c r="A124" s="181" t="s">
        <v>1075</v>
      </c>
      <c r="B124" s="181" t="s">
        <v>89</v>
      </c>
      <c r="C124" s="175" t="s">
        <v>165</v>
      </c>
      <c r="D124" s="175" t="s">
        <v>78</v>
      </c>
      <c r="E124" s="175" t="s">
        <v>879</v>
      </c>
      <c r="F124" s="175" t="s">
        <v>348</v>
      </c>
      <c r="G124" s="188" t="s">
        <v>1004</v>
      </c>
      <c r="H124" s="188" t="s">
        <v>1076</v>
      </c>
      <c r="I124" s="7">
        <v>1</v>
      </c>
      <c r="J124" s="4"/>
      <c r="K124" s="4"/>
    </row>
    <row r="125" spans="1:11" s="1" customFormat="1" ht="20.100000000000001" customHeight="1" x14ac:dyDescent="0.15">
      <c r="A125" s="181" t="s">
        <v>1075</v>
      </c>
      <c r="B125" s="181" t="s">
        <v>89</v>
      </c>
      <c r="C125" s="175" t="s">
        <v>165</v>
      </c>
      <c r="D125" s="175" t="s">
        <v>78</v>
      </c>
      <c r="E125" s="175" t="s">
        <v>881</v>
      </c>
      <c r="F125" s="175" t="s">
        <v>348</v>
      </c>
      <c r="G125" s="188" t="s">
        <v>1005</v>
      </c>
      <c r="H125" s="188" t="s">
        <v>1076</v>
      </c>
      <c r="I125" s="7">
        <v>1</v>
      </c>
      <c r="J125" s="4"/>
      <c r="K125" s="4"/>
    </row>
    <row r="126" spans="1:11" s="1" customFormat="1" ht="20.100000000000001" customHeight="1" x14ac:dyDescent="0.15">
      <c r="A126" s="181" t="s">
        <v>1075</v>
      </c>
      <c r="B126" s="181" t="s">
        <v>89</v>
      </c>
      <c r="C126" s="175" t="s">
        <v>165</v>
      </c>
      <c r="D126" s="175" t="s">
        <v>78</v>
      </c>
      <c r="E126" s="175" t="s">
        <v>880</v>
      </c>
      <c r="F126" s="175" t="s">
        <v>348</v>
      </c>
      <c r="G126" s="188" t="s">
        <v>996</v>
      </c>
      <c r="H126" s="188" t="s">
        <v>1077</v>
      </c>
      <c r="I126" s="7">
        <v>1</v>
      </c>
      <c r="J126" s="4"/>
      <c r="K126" s="4"/>
    </row>
    <row r="127" spans="1:11" s="1" customFormat="1" ht="20.100000000000001" customHeight="1" x14ac:dyDescent="0.15">
      <c r="A127" s="181" t="s">
        <v>1075</v>
      </c>
      <c r="B127" s="181" t="s">
        <v>89</v>
      </c>
      <c r="C127" s="175" t="s">
        <v>226</v>
      </c>
      <c r="D127" s="175" t="s">
        <v>570</v>
      </c>
      <c r="E127" s="175" t="s">
        <v>1079</v>
      </c>
      <c r="F127" s="175" t="s">
        <v>348</v>
      </c>
      <c r="G127" s="188" t="s">
        <v>777</v>
      </c>
      <c r="H127" s="188" t="s">
        <v>1080</v>
      </c>
      <c r="I127" s="7">
        <v>17</v>
      </c>
      <c r="J127" s="4"/>
      <c r="K127" s="4"/>
    </row>
    <row r="128" spans="1:11" s="1" customFormat="1" ht="20.100000000000001" customHeight="1" x14ac:dyDescent="0.15">
      <c r="A128" s="181" t="s">
        <v>1075</v>
      </c>
      <c r="B128" s="181" t="s">
        <v>89</v>
      </c>
      <c r="C128" s="175" t="s">
        <v>165</v>
      </c>
      <c r="D128" s="175" t="s">
        <v>78</v>
      </c>
      <c r="E128" s="175" t="s">
        <v>179</v>
      </c>
      <c r="F128" s="175" t="s">
        <v>348</v>
      </c>
      <c r="G128" s="188" t="s">
        <v>894</v>
      </c>
      <c r="H128" s="188" t="s">
        <v>1082</v>
      </c>
      <c r="I128" s="7">
        <v>2</v>
      </c>
      <c r="J128" s="4"/>
      <c r="K128" s="4"/>
    </row>
    <row r="129" spans="1:11" s="1" customFormat="1" ht="20.100000000000001" customHeight="1" x14ac:dyDescent="0.15">
      <c r="A129" s="181" t="s">
        <v>1075</v>
      </c>
      <c r="B129" s="181" t="s">
        <v>89</v>
      </c>
      <c r="C129" s="175" t="s">
        <v>165</v>
      </c>
      <c r="D129" s="175" t="s">
        <v>78</v>
      </c>
      <c r="E129" s="175" t="s">
        <v>342</v>
      </c>
      <c r="F129" s="175" t="s">
        <v>349</v>
      </c>
      <c r="G129" s="188" t="s">
        <v>894</v>
      </c>
      <c r="H129" s="188" t="s">
        <v>1082</v>
      </c>
      <c r="I129" s="7">
        <v>2</v>
      </c>
      <c r="J129" s="4"/>
      <c r="K129" s="4"/>
    </row>
    <row r="130" spans="1:11" s="1" customFormat="1" ht="20.100000000000001" customHeight="1" x14ac:dyDescent="0.15">
      <c r="A130" s="181" t="s">
        <v>1075</v>
      </c>
      <c r="B130" s="181" t="s">
        <v>89</v>
      </c>
      <c r="C130" s="175" t="s">
        <v>165</v>
      </c>
      <c r="D130" s="175" t="s">
        <v>78</v>
      </c>
      <c r="E130" s="175" t="s">
        <v>639</v>
      </c>
      <c r="F130" s="175" t="s">
        <v>405</v>
      </c>
      <c r="G130" s="188" t="s">
        <v>910</v>
      </c>
      <c r="H130" s="188" t="s">
        <v>1082</v>
      </c>
      <c r="I130" s="7">
        <v>8</v>
      </c>
      <c r="J130" s="4"/>
      <c r="K130" s="4"/>
    </row>
    <row r="131" spans="1:11" s="1" customFormat="1" ht="20.100000000000001" customHeight="1" x14ac:dyDescent="0.15">
      <c r="A131" s="181" t="s">
        <v>1075</v>
      </c>
      <c r="B131" s="181" t="s">
        <v>89</v>
      </c>
      <c r="C131" s="175" t="s">
        <v>165</v>
      </c>
      <c r="D131" s="175" t="s">
        <v>78</v>
      </c>
      <c r="E131" s="175" t="s">
        <v>171</v>
      </c>
      <c r="F131" s="175" t="s">
        <v>405</v>
      </c>
      <c r="G131" s="188" t="s">
        <v>894</v>
      </c>
      <c r="H131" s="188" t="s">
        <v>1082</v>
      </c>
      <c r="I131" s="7">
        <v>2</v>
      </c>
      <c r="J131" s="4"/>
      <c r="K131" s="4"/>
    </row>
    <row r="132" spans="1:11" s="1" customFormat="1" ht="20.100000000000001" customHeight="1" x14ac:dyDescent="0.15">
      <c r="A132" s="181" t="s">
        <v>1075</v>
      </c>
      <c r="B132" s="181" t="s">
        <v>89</v>
      </c>
      <c r="C132" s="175" t="s">
        <v>165</v>
      </c>
      <c r="D132" s="175" t="s">
        <v>78</v>
      </c>
      <c r="E132" s="175" t="s">
        <v>172</v>
      </c>
      <c r="F132" s="175" t="s">
        <v>405</v>
      </c>
      <c r="G132" s="188" t="s">
        <v>894</v>
      </c>
      <c r="H132" s="188" t="s">
        <v>1082</v>
      </c>
      <c r="I132" s="7">
        <v>2</v>
      </c>
      <c r="J132" s="4"/>
      <c r="K132" s="4"/>
    </row>
    <row r="133" spans="1:11" s="1" customFormat="1" ht="20.100000000000001" customHeight="1" x14ac:dyDescent="0.15">
      <c r="A133" s="181" t="s">
        <v>1075</v>
      </c>
      <c r="B133" s="181" t="s">
        <v>89</v>
      </c>
      <c r="C133" s="175" t="s">
        <v>165</v>
      </c>
      <c r="D133" s="175" t="s">
        <v>78</v>
      </c>
      <c r="E133" s="175" t="s">
        <v>173</v>
      </c>
      <c r="F133" s="175" t="s">
        <v>405</v>
      </c>
      <c r="G133" s="188" t="s">
        <v>894</v>
      </c>
      <c r="H133" s="188" t="s">
        <v>1082</v>
      </c>
      <c r="I133" s="7">
        <v>2</v>
      </c>
      <c r="J133" s="4"/>
      <c r="K133" s="4"/>
    </row>
    <row r="134" spans="1:11" s="1" customFormat="1" ht="20.100000000000001" customHeight="1" x14ac:dyDescent="0.15">
      <c r="A134" s="181" t="s">
        <v>1075</v>
      </c>
      <c r="B134" s="181" t="s">
        <v>89</v>
      </c>
      <c r="C134" s="175" t="s">
        <v>165</v>
      </c>
      <c r="D134" s="175" t="s">
        <v>78</v>
      </c>
      <c r="E134" s="175" t="s">
        <v>1084</v>
      </c>
      <c r="F134" s="175" t="s">
        <v>405</v>
      </c>
      <c r="G134" s="188" t="s">
        <v>896</v>
      </c>
      <c r="H134" s="188" t="s">
        <v>1082</v>
      </c>
      <c r="I134" s="7">
        <v>10</v>
      </c>
      <c r="J134" s="4"/>
      <c r="K134" s="4"/>
    </row>
    <row r="135" spans="1:11" s="1" customFormat="1" ht="20.100000000000001" customHeight="1" x14ac:dyDescent="0.15">
      <c r="A135" s="181" t="s">
        <v>1075</v>
      </c>
      <c r="B135" s="181" t="s">
        <v>89</v>
      </c>
      <c r="C135" s="175" t="s">
        <v>165</v>
      </c>
      <c r="D135" s="175" t="s">
        <v>78</v>
      </c>
      <c r="E135" s="175" t="s">
        <v>182</v>
      </c>
      <c r="F135" s="175" t="s">
        <v>405</v>
      </c>
      <c r="G135" s="188" t="s">
        <v>894</v>
      </c>
      <c r="H135" s="188" t="s">
        <v>1082</v>
      </c>
      <c r="I135" s="7">
        <v>2</v>
      </c>
      <c r="J135" s="4"/>
      <c r="K135" s="4"/>
    </row>
    <row r="136" spans="1:11" s="1" customFormat="1" ht="20.100000000000001" customHeight="1" x14ac:dyDescent="0.15">
      <c r="A136" s="181" t="s">
        <v>1075</v>
      </c>
      <c r="B136" s="181" t="s">
        <v>411</v>
      </c>
      <c r="C136" s="175" t="s">
        <v>45</v>
      </c>
      <c r="D136" s="175" t="s">
        <v>508</v>
      </c>
      <c r="E136" s="175" t="s">
        <v>1085</v>
      </c>
      <c r="F136" s="175" t="s">
        <v>405</v>
      </c>
      <c r="G136" s="188" t="s">
        <v>837</v>
      </c>
      <c r="H136" s="188" t="s">
        <v>1071</v>
      </c>
      <c r="I136" s="7">
        <v>12</v>
      </c>
      <c r="J136" s="4"/>
      <c r="K136" s="4"/>
    </row>
    <row r="137" spans="1:11" s="1" customFormat="1" ht="20.100000000000001" customHeight="1" x14ac:dyDescent="0.15">
      <c r="A137" s="181" t="s">
        <v>1090</v>
      </c>
      <c r="B137" s="181" t="s">
        <v>411</v>
      </c>
      <c r="C137" s="175" t="s">
        <v>45</v>
      </c>
      <c r="D137" s="175" t="s">
        <v>545</v>
      </c>
      <c r="E137" s="175" t="s">
        <v>546</v>
      </c>
      <c r="F137" s="181" t="s">
        <v>349</v>
      </c>
      <c r="G137" s="168" t="s">
        <v>1091</v>
      </c>
      <c r="H137" s="7" t="s">
        <v>1092</v>
      </c>
      <c r="I137" s="7">
        <v>24</v>
      </c>
      <c r="J137" s="4"/>
      <c r="K137" s="4"/>
    </row>
    <row r="138" spans="1:11" s="1" customFormat="1" ht="20.100000000000001" customHeight="1" x14ac:dyDescent="0.15">
      <c r="A138" s="181" t="s">
        <v>941</v>
      </c>
      <c r="B138" s="181" t="s">
        <v>409</v>
      </c>
      <c r="C138" s="175" t="s">
        <v>120</v>
      </c>
      <c r="D138" s="175" t="s">
        <v>115</v>
      </c>
      <c r="E138" s="175" t="s">
        <v>814</v>
      </c>
      <c r="F138" s="181" t="s">
        <v>405</v>
      </c>
      <c r="G138" s="196" t="s">
        <v>1109</v>
      </c>
      <c r="H138" s="188" t="s">
        <v>1108</v>
      </c>
      <c r="I138" s="7">
        <v>12</v>
      </c>
      <c r="J138" s="4"/>
      <c r="K138" s="4"/>
    </row>
    <row r="139" spans="1:11" s="1" customFormat="1" ht="20.100000000000001" customHeight="1" x14ac:dyDescent="0.15">
      <c r="A139" s="181" t="s">
        <v>941</v>
      </c>
      <c r="B139" s="181" t="s">
        <v>409</v>
      </c>
      <c r="C139" s="175" t="s">
        <v>120</v>
      </c>
      <c r="D139" s="175" t="s">
        <v>115</v>
      </c>
      <c r="E139" s="175" t="s">
        <v>797</v>
      </c>
      <c r="F139" s="181" t="s">
        <v>405</v>
      </c>
      <c r="G139" s="188" t="s">
        <v>1110</v>
      </c>
      <c r="H139" s="188" t="s">
        <v>1108</v>
      </c>
      <c r="I139" s="7">
        <v>14</v>
      </c>
      <c r="J139" s="4"/>
      <c r="K139" s="4"/>
    </row>
    <row r="140" spans="1:11" s="1" customFormat="1" ht="20.100000000000001" customHeight="1" x14ac:dyDescent="0.15">
      <c r="A140" s="181" t="s">
        <v>1064</v>
      </c>
      <c r="B140" s="181" t="s">
        <v>411</v>
      </c>
      <c r="C140" s="174" t="s">
        <v>120</v>
      </c>
      <c r="D140" s="175" t="s">
        <v>193</v>
      </c>
      <c r="E140" s="166" t="s">
        <v>269</v>
      </c>
      <c r="F140" s="166" t="s">
        <v>349</v>
      </c>
      <c r="G140" s="188" t="s">
        <v>888</v>
      </c>
      <c r="H140" s="188" t="s">
        <v>1102</v>
      </c>
      <c r="I140" s="7">
        <v>9</v>
      </c>
      <c r="J140" s="4"/>
      <c r="K140" s="4"/>
    </row>
    <row r="141" spans="1:11" s="1" customFormat="1" ht="20.100000000000001" customHeight="1" x14ac:dyDescent="0.15">
      <c r="A141" s="181" t="s">
        <v>1121</v>
      </c>
      <c r="B141" s="181" t="s">
        <v>409</v>
      </c>
      <c r="C141" s="174" t="s">
        <v>120</v>
      </c>
      <c r="D141" s="175" t="s">
        <v>157</v>
      </c>
      <c r="E141" s="166" t="s">
        <v>900</v>
      </c>
      <c r="F141" s="166" t="s">
        <v>405</v>
      </c>
      <c r="G141" s="188" t="s">
        <v>988</v>
      </c>
      <c r="H141" s="188" t="s">
        <v>1122</v>
      </c>
      <c r="I141" s="7">
        <v>3</v>
      </c>
      <c r="J141" s="4"/>
      <c r="K141" s="4"/>
    </row>
    <row r="142" spans="1:11" s="1" customFormat="1" ht="20.100000000000001" customHeight="1" x14ac:dyDescent="0.15">
      <c r="A142" s="181" t="s">
        <v>1132</v>
      </c>
      <c r="B142" s="181" t="s">
        <v>409</v>
      </c>
      <c r="C142" s="175" t="s">
        <v>120</v>
      </c>
      <c r="D142" s="175" t="s">
        <v>193</v>
      </c>
      <c r="E142" s="175" t="s">
        <v>558</v>
      </c>
      <c r="F142" s="166" t="s">
        <v>405</v>
      </c>
      <c r="G142" s="188" t="s">
        <v>946</v>
      </c>
      <c r="H142" s="188" t="s">
        <v>1133</v>
      </c>
      <c r="I142" s="7">
        <v>4</v>
      </c>
      <c r="J142" s="4"/>
      <c r="K142" s="4"/>
    </row>
    <row r="143" spans="1:11" s="1" customFormat="1" ht="20.100000000000001" customHeight="1" x14ac:dyDescent="0.15">
      <c r="A143" s="181" t="s">
        <v>1134</v>
      </c>
      <c r="B143" s="181" t="s">
        <v>409</v>
      </c>
      <c r="C143" s="175" t="s">
        <v>120</v>
      </c>
      <c r="D143" s="175" t="s">
        <v>130</v>
      </c>
      <c r="E143" s="175" t="s">
        <v>826</v>
      </c>
      <c r="F143" s="166" t="s">
        <v>405</v>
      </c>
      <c r="G143" s="188" t="s">
        <v>991</v>
      </c>
      <c r="H143" s="188" t="s">
        <v>1135</v>
      </c>
      <c r="I143" s="7">
        <v>3</v>
      </c>
      <c r="J143" s="4"/>
      <c r="K143" s="4"/>
    </row>
    <row r="144" spans="1:11" s="1" customFormat="1" ht="20.100000000000001" customHeight="1" x14ac:dyDescent="0.15">
      <c r="A144" s="198" t="s">
        <v>1027</v>
      </c>
      <c r="B144" s="198" t="s">
        <v>196</v>
      </c>
      <c r="C144" s="199" t="s">
        <v>197</v>
      </c>
      <c r="D144" s="199" t="s">
        <v>205</v>
      </c>
      <c r="E144" s="199" t="s">
        <v>454</v>
      </c>
      <c r="F144" s="199" t="s">
        <v>405</v>
      </c>
      <c r="G144" s="200" t="s">
        <v>749</v>
      </c>
      <c r="H144" s="200" t="s">
        <v>1153</v>
      </c>
      <c r="I144" s="201">
        <v>17</v>
      </c>
      <c r="J144" s="191" t="s">
        <v>1154</v>
      </c>
      <c r="K144" s="4"/>
    </row>
    <row r="145" spans="1:11" s="1" customFormat="1" ht="20.100000000000001" customHeight="1" x14ac:dyDescent="0.15">
      <c r="A145" s="181" t="s">
        <v>1027</v>
      </c>
      <c r="B145" s="181" t="s">
        <v>89</v>
      </c>
      <c r="C145" s="175" t="s">
        <v>45</v>
      </c>
      <c r="D145" s="175" t="s">
        <v>157</v>
      </c>
      <c r="E145" s="175" t="s">
        <v>933</v>
      </c>
      <c r="F145" s="166" t="s">
        <v>405</v>
      </c>
      <c r="G145" s="188" t="s">
        <v>1087</v>
      </c>
      <c r="H145" s="188" t="s">
        <v>1159</v>
      </c>
      <c r="I145" s="7">
        <v>10</v>
      </c>
      <c r="J145" s="4"/>
      <c r="K145" s="4"/>
    </row>
    <row r="146" spans="1:11" s="1" customFormat="1" ht="20.100000000000001" customHeight="1" x14ac:dyDescent="0.15">
      <c r="A146" s="181" t="s">
        <v>1166</v>
      </c>
      <c r="B146" s="181" t="s">
        <v>411</v>
      </c>
      <c r="C146" s="175" t="s">
        <v>45</v>
      </c>
      <c r="D146" s="175" t="s">
        <v>115</v>
      </c>
      <c r="E146" s="175" t="s">
        <v>116</v>
      </c>
      <c r="F146" s="166" t="s">
        <v>405</v>
      </c>
      <c r="G146" s="188" t="s">
        <v>739</v>
      </c>
      <c r="H146" s="188" t="s">
        <v>1167</v>
      </c>
      <c r="I146" s="7">
        <v>3</v>
      </c>
      <c r="J146" s="4"/>
      <c r="K146" s="4"/>
    </row>
    <row r="147" spans="1:11" s="1" customFormat="1" ht="20.100000000000001" customHeight="1" x14ac:dyDescent="0.15">
      <c r="A147" s="181" t="s">
        <v>1166</v>
      </c>
      <c r="B147" s="181" t="s">
        <v>409</v>
      </c>
      <c r="C147" s="174" t="s">
        <v>120</v>
      </c>
      <c r="D147" s="175" t="s">
        <v>115</v>
      </c>
      <c r="E147" s="166" t="s">
        <v>129</v>
      </c>
      <c r="F147" s="166" t="s">
        <v>405</v>
      </c>
      <c r="G147" s="188" t="s">
        <v>1171</v>
      </c>
      <c r="H147" s="188" t="s">
        <v>1172</v>
      </c>
      <c r="I147" s="7">
        <v>3</v>
      </c>
      <c r="J147" s="4"/>
      <c r="K147" s="4"/>
    </row>
    <row r="148" spans="1:11" s="1" customFormat="1" ht="20.100000000000001" customHeight="1" x14ac:dyDescent="0.15">
      <c r="A148" s="181" t="s">
        <v>1081</v>
      </c>
      <c r="B148" s="181" t="s">
        <v>409</v>
      </c>
      <c r="C148" s="174" t="s">
        <v>120</v>
      </c>
      <c r="D148" s="175" t="s">
        <v>1025</v>
      </c>
      <c r="E148" s="166" t="s">
        <v>542</v>
      </c>
      <c r="F148" s="166" t="s">
        <v>405</v>
      </c>
      <c r="G148" s="188" t="s">
        <v>1027</v>
      </c>
      <c r="H148" s="188" t="s">
        <v>1174</v>
      </c>
      <c r="I148" s="7">
        <v>1</v>
      </c>
      <c r="J148" s="4"/>
      <c r="K148" s="4"/>
    </row>
    <row r="149" spans="1:11" s="1" customFormat="1" ht="20.100000000000001" customHeight="1" x14ac:dyDescent="0.15">
      <c r="A149" s="181" t="s">
        <v>1081</v>
      </c>
      <c r="B149" s="181" t="s">
        <v>411</v>
      </c>
      <c r="C149" s="174" t="s">
        <v>45</v>
      </c>
      <c r="D149" s="175" t="s">
        <v>53</v>
      </c>
      <c r="E149" s="166" t="s">
        <v>299</v>
      </c>
      <c r="F149" s="166" t="s">
        <v>349</v>
      </c>
      <c r="G149" s="188" t="s">
        <v>1024</v>
      </c>
      <c r="H149" s="188" t="s">
        <v>1177</v>
      </c>
      <c r="I149" s="7">
        <v>7</v>
      </c>
      <c r="J149" s="4"/>
      <c r="K149" s="4"/>
    </row>
    <row r="150" spans="1:11" s="1" customFormat="1" ht="20.100000000000001" customHeight="1" x14ac:dyDescent="0.15">
      <c r="A150" s="181" t="s">
        <v>1081</v>
      </c>
      <c r="B150" s="181" t="s">
        <v>411</v>
      </c>
      <c r="C150" s="174" t="s">
        <v>45</v>
      </c>
      <c r="D150" s="175" t="s">
        <v>53</v>
      </c>
      <c r="E150" s="166" t="s">
        <v>54</v>
      </c>
      <c r="F150" s="166" t="s">
        <v>405</v>
      </c>
      <c r="G150" s="188" t="s">
        <v>939</v>
      </c>
      <c r="H150" s="188" t="s">
        <v>1177</v>
      </c>
      <c r="I150" s="7">
        <v>7</v>
      </c>
      <c r="J150" s="4"/>
      <c r="K150" s="4"/>
    </row>
    <row r="151" spans="1:11" s="1" customFormat="1" ht="20.100000000000001" customHeight="1" x14ac:dyDescent="0.15">
      <c r="A151" s="181" t="s">
        <v>1081</v>
      </c>
      <c r="B151" s="181" t="s">
        <v>411</v>
      </c>
      <c r="C151" s="174" t="s">
        <v>45</v>
      </c>
      <c r="D151" s="175" t="s">
        <v>53</v>
      </c>
      <c r="E151" s="166" t="s">
        <v>497</v>
      </c>
      <c r="F151" s="166" t="s">
        <v>405</v>
      </c>
      <c r="G151" s="188" t="s">
        <v>939</v>
      </c>
      <c r="H151" s="188" t="s">
        <v>1177</v>
      </c>
      <c r="I151" s="7">
        <v>7</v>
      </c>
      <c r="J151" s="4"/>
      <c r="K151" s="4"/>
    </row>
    <row r="152" spans="1:11" s="1" customFormat="1" ht="20.100000000000001" customHeight="1" x14ac:dyDescent="0.15">
      <c r="A152" s="181" t="s">
        <v>1059</v>
      </c>
      <c r="B152" s="181" t="s">
        <v>411</v>
      </c>
      <c r="C152" s="175" t="s">
        <v>45</v>
      </c>
      <c r="D152" s="175" t="s">
        <v>361</v>
      </c>
      <c r="E152" s="182" t="s">
        <v>1200</v>
      </c>
      <c r="F152" s="166" t="s">
        <v>405</v>
      </c>
      <c r="G152" s="188" t="s">
        <v>1201</v>
      </c>
      <c r="H152" s="188" t="s">
        <v>1202</v>
      </c>
      <c r="I152" s="7">
        <v>9</v>
      </c>
      <c r="J152" s="4"/>
      <c r="K152" s="4"/>
    </row>
    <row r="153" spans="1:11" s="1" customFormat="1" ht="20.100000000000001" customHeight="1" x14ac:dyDescent="0.15">
      <c r="A153" s="181" t="s">
        <v>1213</v>
      </c>
      <c r="B153" s="181" t="s">
        <v>89</v>
      </c>
      <c r="C153" s="175" t="s">
        <v>165</v>
      </c>
      <c r="D153" s="175" t="s">
        <v>78</v>
      </c>
      <c r="E153" s="182" t="s">
        <v>1010</v>
      </c>
      <c r="F153" s="194" t="s">
        <v>405</v>
      </c>
      <c r="G153" s="188" t="s">
        <v>1012</v>
      </c>
      <c r="H153" s="188" t="s">
        <v>1214</v>
      </c>
      <c r="I153" s="7">
        <v>9</v>
      </c>
      <c r="J153" s="4"/>
      <c r="K153" s="4"/>
    </row>
    <row r="154" spans="1:11" s="1" customFormat="1" ht="20.100000000000001" customHeight="1" x14ac:dyDescent="0.15">
      <c r="A154" s="181" t="s">
        <v>1213</v>
      </c>
      <c r="B154" s="181" t="s">
        <v>411</v>
      </c>
      <c r="C154" s="174" t="s">
        <v>148</v>
      </c>
      <c r="D154" s="175" t="s">
        <v>100</v>
      </c>
      <c r="E154" s="166" t="s">
        <v>149</v>
      </c>
      <c r="F154" s="194" t="s">
        <v>405</v>
      </c>
      <c r="G154" s="188" t="s">
        <v>892</v>
      </c>
      <c r="H154" s="188" t="s">
        <v>1215</v>
      </c>
      <c r="I154" s="7">
        <v>1</v>
      </c>
      <c r="J154" s="4"/>
      <c r="K154" s="4"/>
    </row>
    <row r="155" spans="1:11" s="1" customFormat="1" ht="20.100000000000001" customHeight="1" x14ac:dyDescent="0.15">
      <c r="A155" s="181" t="s">
        <v>968</v>
      </c>
      <c r="B155" s="181" t="s">
        <v>411</v>
      </c>
      <c r="C155" s="175" t="s">
        <v>88</v>
      </c>
      <c r="D155" s="175" t="s">
        <v>1198</v>
      </c>
      <c r="E155" s="175" t="s">
        <v>1266</v>
      </c>
      <c r="F155" s="194" t="s">
        <v>405</v>
      </c>
      <c r="G155" s="188" t="s">
        <v>1268</v>
      </c>
      <c r="H155" s="188" t="s">
        <v>1267</v>
      </c>
      <c r="I155" s="7">
        <v>32</v>
      </c>
      <c r="J155" s="4"/>
      <c r="K155" s="4"/>
    </row>
    <row r="156" spans="1:11" s="1" customFormat="1" ht="20.100000000000001" customHeight="1" x14ac:dyDescent="0.15">
      <c r="A156" s="181" t="s">
        <v>1278</v>
      </c>
      <c r="B156" s="181" t="s">
        <v>496</v>
      </c>
      <c r="C156" s="175" t="s">
        <v>136</v>
      </c>
      <c r="D156" s="175" t="s">
        <v>100</v>
      </c>
      <c r="E156" s="175" t="s">
        <v>365</v>
      </c>
      <c r="F156" s="194" t="s">
        <v>405</v>
      </c>
      <c r="G156" s="188" t="s">
        <v>1152</v>
      </c>
      <c r="H156" s="188" t="s">
        <v>1267</v>
      </c>
      <c r="I156" s="7">
        <v>3</v>
      </c>
      <c r="J156" s="4"/>
      <c r="K156" s="4"/>
    </row>
    <row r="157" spans="1:11" s="1" customFormat="1" ht="20.100000000000001" customHeight="1" x14ac:dyDescent="0.15">
      <c r="A157" s="181" t="s">
        <v>1278</v>
      </c>
      <c r="B157" s="181" t="s">
        <v>496</v>
      </c>
      <c r="C157" s="175" t="s">
        <v>136</v>
      </c>
      <c r="D157" s="175" t="s">
        <v>100</v>
      </c>
      <c r="E157" s="175" t="s">
        <v>544</v>
      </c>
      <c r="F157" s="194" t="s">
        <v>405</v>
      </c>
      <c r="G157" s="188" t="s">
        <v>1136</v>
      </c>
      <c r="H157" s="188" t="s">
        <v>1280</v>
      </c>
      <c r="I157" s="7">
        <v>2</v>
      </c>
      <c r="J157" s="4"/>
      <c r="K157" s="4"/>
    </row>
    <row r="158" spans="1:11" s="1" customFormat="1" ht="20.100000000000001" customHeight="1" x14ac:dyDescent="0.15">
      <c r="A158" s="181" t="s">
        <v>1278</v>
      </c>
      <c r="B158" s="181" t="s">
        <v>496</v>
      </c>
      <c r="C158" s="175" t="s">
        <v>136</v>
      </c>
      <c r="D158" s="175" t="s">
        <v>100</v>
      </c>
      <c r="E158" s="175" t="s">
        <v>137</v>
      </c>
      <c r="F158" s="194" t="s">
        <v>405</v>
      </c>
      <c r="G158" s="188" t="s">
        <v>1150</v>
      </c>
      <c r="H158" s="188" t="s">
        <v>1282</v>
      </c>
      <c r="I158" s="7">
        <v>2</v>
      </c>
      <c r="J158" s="4"/>
      <c r="K158" s="4"/>
    </row>
    <row r="159" spans="1:11" s="1" customFormat="1" ht="20.100000000000001" customHeight="1" x14ac:dyDescent="0.15">
      <c r="A159" s="181" t="s">
        <v>1278</v>
      </c>
      <c r="B159" s="181" t="s">
        <v>496</v>
      </c>
      <c r="C159" s="175" t="s">
        <v>136</v>
      </c>
      <c r="D159" s="175" t="s">
        <v>100</v>
      </c>
      <c r="E159" s="175" t="s">
        <v>138</v>
      </c>
      <c r="F159" s="194" t="s">
        <v>405</v>
      </c>
      <c r="G159" s="188" t="s">
        <v>1151</v>
      </c>
      <c r="H159" s="188" t="s">
        <v>1282</v>
      </c>
      <c r="I159" s="7">
        <v>2</v>
      </c>
      <c r="J159" s="4"/>
      <c r="K159" s="4"/>
    </row>
    <row r="160" spans="1:11" s="1" customFormat="1" ht="20.100000000000001" customHeight="1" x14ac:dyDescent="0.15">
      <c r="A160" s="181" t="s">
        <v>1058</v>
      </c>
      <c r="B160" s="181" t="s">
        <v>411</v>
      </c>
      <c r="C160" s="175" t="s">
        <v>148</v>
      </c>
      <c r="D160" s="175" t="s">
        <v>150</v>
      </c>
      <c r="E160" s="175" t="s">
        <v>151</v>
      </c>
      <c r="F160" s="194" t="s">
        <v>405</v>
      </c>
      <c r="G160" s="188" t="s">
        <v>1113</v>
      </c>
      <c r="H160" s="188" t="s">
        <v>1319</v>
      </c>
      <c r="I160" s="7">
        <v>1</v>
      </c>
      <c r="J160" s="4"/>
      <c r="K160" s="4"/>
    </row>
    <row r="161" spans="1:11" s="1" customFormat="1" ht="20.100000000000001" customHeight="1" x14ac:dyDescent="0.15">
      <c r="A161" s="181" t="s">
        <v>1131</v>
      </c>
      <c r="B161" s="181" t="s">
        <v>495</v>
      </c>
      <c r="C161" s="175" t="s">
        <v>45</v>
      </c>
      <c r="D161" s="175" t="s">
        <v>53</v>
      </c>
      <c r="E161" s="175" t="s">
        <v>298</v>
      </c>
      <c r="F161" s="194" t="s">
        <v>349</v>
      </c>
      <c r="G161" s="188" t="s">
        <v>968</v>
      </c>
      <c r="H161" s="188" t="s">
        <v>1323</v>
      </c>
      <c r="I161" s="7">
        <v>3</v>
      </c>
      <c r="J161" s="4"/>
      <c r="K161" s="4"/>
    </row>
    <row r="162" spans="1:11" s="1" customFormat="1" ht="20.100000000000001" customHeight="1" x14ac:dyDescent="0.15">
      <c r="A162" s="181" t="s">
        <v>1131</v>
      </c>
      <c r="B162" s="181" t="s">
        <v>495</v>
      </c>
      <c r="C162" s="174" t="s">
        <v>45</v>
      </c>
      <c r="D162" s="175" t="s">
        <v>53</v>
      </c>
      <c r="E162" s="194" t="s">
        <v>56</v>
      </c>
      <c r="F162" s="194" t="s">
        <v>405</v>
      </c>
      <c r="G162" s="188" t="s">
        <v>968</v>
      </c>
      <c r="H162" s="188" t="s">
        <v>1323</v>
      </c>
      <c r="I162" s="7">
        <v>3</v>
      </c>
      <c r="J162" s="4"/>
      <c r="K162" s="4"/>
    </row>
    <row r="163" spans="1:11" s="1" customFormat="1" ht="20.100000000000001" customHeight="1" x14ac:dyDescent="0.15">
      <c r="A163" s="181" t="s">
        <v>1131</v>
      </c>
      <c r="B163" s="181" t="s">
        <v>495</v>
      </c>
      <c r="C163" s="174" t="s">
        <v>45</v>
      </c>
      <c r="D163" s="174" t="s">
        <v>53</v>
      </c>
      <c r="E163" s="182" t="s">
        <v>940</v>
      </c>
      <c r="F163" s="194" t="s">
        <v>349</v>
      </c>
      <c r="G163" s="188" t="s">
        <v>968</v>
      </c>
      <c r="H163" s="188" t="s">
        <v>1323</v>
      </c>
      <c r="I163" s="7">
        <v>3</v>
      </c>
      <c r="J163" s="4"/>
      <c r="K163" s="4"/>
    </row>
    <row r="164" spans="1:11" s="1" customFormat="1" ht="20.100000000000001" customHeight="1" x14ac:dyDescent="0.15">
      <c r="A164" s="181" t="s">
        <v>1371</v>
      </c>
      <c r="B164" s="181" t="s">
        <v>370</v>
      </c>
      <c r="C164" s="174" t="s">
        <v>45</v>
      </c>
      <c r="D164" s="82" t="s">
        <v>457</v>
      </c>
      <c r="E164" s="166" t="s">
        <v>118</v>
      </c>
      <c r="F164" s="194" t="s">
        <v>405</v>
      </c>
      <c r="G164" s="188" t="s">
        <v>1372</v>
      </c>
      <c r="H164" s="188" t="s">
        <v>1373</v>
      </c>
      <c r="I164" s="7">
        <v>1</v>
      </c>
      <c r="J164" s="4"/>
      <c r="K164" s="4"/>
    </row>
    <row r="165" spans="1:11" s="1" customFormat="1" ht="20.100000000000001" customHeight="1" x14ac:dyDescent="0.15">
      <c r="A165" s="181" t="s">
        <v>1175</v>
      </c>
      <c r="B165" s="181" t="s">
        <v>89</v>
      </c>
      <c r="C165" s="174" t="s">
        <v>226</v>
      </c>
      <c r="D165" s="82" t="s">
        <v>570</v>
      </c>
      <c r="E165" s="166" t="s">
        <v>1079</v>
      </c>
      <c r="F165" s="194" t="s">
        <v>405</v>
      </c>
      <c r="G165" s="188" t="s">
        <v>1081</v>
      </c>
      <c r="H165" s="188" t="s">
        <v>1382</v>
      </c>
      <c r="I165" s="7">
        <v>6</v>
      </c>
      <c r="J165" s="4"/>
      <c r="K165" s="4"/>
    </row>
    <row r="166" spans="1:11" s="1" customFormat="1" ht="20.100000000000001" customHeight="1" x14ac:dyDescent="0.15">
      <c r="A166" s="181" t="s">
        <v>1407</v>
      </c>
      <c r="B166" s="181" t="s">
        <v>409</v>
      </c>
      <c r="C166" s="175" t="s">
        <v>86</v>
      </c>
      <c r="D166" s="175" t="s">
        <v>87</v>
      </c>
      <c r="E166" s="166" t="s">
        <v>542</v>
      </c>
      <c r="F166" s="194" t="s">
        <v>405</v>
      </c>
      <c r="G166" s="188" t="s">
        <v>1408</v>
      </c>
      <c r="H166" s="188" t="s">
        <v>1409</v>
      </c>
      <c r="I166" s="7">
        <v>1</v>
      </c>
      <c r="J166" s="4"/>
      <c r="K166" s="4"/>
    </row>
    <row r="167" spans="1:11" s="1" customFormat="1" ht="20.100000000000001" customHeight="1" x14ac:dyDescent="0.15">
      <c r="A167" s="181" t="s">
        <v>1407</v>
      </c>
      <c r="B167" s="181" t="s">
        <v>411</v>
      </c>
      <c r="C167" s="175" t="s">
        <v>45</v>
      </c>
      <c r="D167" s="175" t="s">
        <v>193</v>
      </c>
      <c r="E167" s="175" t="s">
        <v>480</v>
      </c>
      <c r="F167" s="194" t="s">
        <v>405</v>
      </c>
      <c r="G167" s="188" t="s">
        <v>1176</v>
      </c>
      <c r="H167" s="188" t="s">
        <v>1412</v>
      </c>
      <c r="I167" s="7">
        <v>1</v>
      </c>
      <c r="J167" s="4"/>
      <c r="K167" s="4"/>
    </row>
    <row r="168" spans="1:11" s="1" customFormat="1" ht="20.100000000000001" customHeight="1" x14ac:dyDescent="0.15">
      <c r="A168" s="181" t="s">
        <v>1407</v>
      </c>
      <c r="B168" s="181" t="s">
        <v>411</v>
      </c>
      <c r="C168" s="72" t="s">
        <v>45</v>
      </c>
      <c r="D168" s="175" t="s">
        <v>193</v>
      </c>
      <c r="E168" s="72" t="s">
        <v>111</v>
      </c>
      <c r="F168" s="194" t="s">
        <v>405</v>
      </c>
      <c r="G168" s="188" t="s">
        <v>1176</v>
      </c>
      <c r="H168" s="188" t="s">
        <v>1412</v>
      </c>
      <c r="I168" s="7">
        <v>1</v>
      </c>
      <c r="J168" s="4"/>
      <c r="K168" s="4"/>
    </row>
    <row r="169" spans="1:11" s="1" customFormat="1" ht="20.100000000000001" customHeight="1" x14ac:dyDescent="0.15">
      <c r="A169" s="181" t="s">
        <v>1407</v>
      </c>
      <c r="B169" s="181" t="s">
        <v>196</v>
      </c>
      <c r="C169" s="175" t="s">
        <v>197</v>
      </c>
      <c r="D169" s="174" t="s">
        <v>294</v>
      </c>
      <c r="E169" s="175" t="s">
        <v>295</v>
      </c>
      <c r="F169" s="194" t="s">
        <v>405</v>
      </c>
      <c r="G169" s="188" t="s">
        <v>1414</v>
      </c>
      <c r="H169" s="188" t="s">
        <v>1415</v>
      </c>
      <c r="I169" s="7">
        <v>11</v>
      </c>
      <c r="J169" s="4"/>
      <c r="K169" s="4"/>
    </row>
    <row r="170" spans="1:11" s="1" customFormat="1" ht="20.100000000000001" customHeight="1" x14ac:dyDescent="0.15">
      <c r="A170" s="181" t="s">
        <v>1407</v>
      </c>
      <c r="B170" s="181" t="s">
        <v>196</v>
      </c>
      <c r="C170" s="175" t="s">
        <v>197</v>
      </c>
      <c r="D170" s="175" t="s">
        <v>206</v>
      </c>
      <c r="E170" s="166" t="s">
        <v>207</v>
      </c>
      <c r="F170" s="194" t="s">
        <v>405</v>
      </c>
      <c r="G170" s="188" t="s">
        <v>1418</v>
      </c>
      <c r="H170" s="188" t="s">
        <v>1419</v>
      </c>
      <c r="I170" s="7">
        <v>8</v>
      </c>
      <c r="J170" s="4"/>
      <c r="K170" s="4"/>
    </row>
    <row r="171" spans="1:11" s="1" customFormat="1" ht="20.100000000000001" customHeight="1" x14ac:dyDescent="0.15">
      <c r="A171" s="181" t="s">
        <v>1270</v>
      </c>
      <c r="B171" s="181" t="s">
        <v>409</v>
      </c>
      <c r="C171" s="175" t="s">
        <v>120</v>
      </c>
      <c r="D171" s="175" t="s">
        <v>130</v>
      </c>
      <c r="E171" s="175" t="s">
        <v>731</v>
      </c>
      <c r="F171" s="194" t="s">
        <v>405</v>
      </c>
      <c r="G171" s="188" t="s">
        <v>1456</v>
      </c>
      <c r="H171" s="188" t="s">
        <v>1457</v>
      </c>
      <c r="I171" s="7">
        <v>2</v>
      </c>
      <c r="J171" s="4"/>
      <c r="K171" s="4"/>
    </row>
    <row r="172" spans="1:11" s="1" customFormat="1" ht="20.100000000000001" customHeight="1" x14ac:dyDescent="0.15">
      <c r="A172" s="181" t="s">
        <v>1270</v>
      </c>
      <c r="B172" s="181" t="s">
        <v>409</v>
      </c>
      <c r="C172" s="174" t="s">
        <v>120</v>
      </c>
      <c r="D172" s="175" t="s">
        <v>130</v>
      </c>
      <c r="E172" s="166" t="s">
        <v>131</v>
      </c>
      <c r="F172" s="194" t="s">
        <v>405</v>
      </c>
      <c r="G172" s="188" t="s">
        <v>1456</v>
      </c>
      <c r="H172" s="188" t="s">
        <v>1457</v>
      </c>
      <c r="I172" s="7">
        <v>2</v>
      </c>
      <c r="J172" s="4"/>
      <c r="K172" s="4"/>
    </row>
    <row r="173" spans="1:11" s="1" customFormat="1" ht="20.100000000000001" customHeight="1" x14ac:dyDescent="0.15">
      <c r="A173" s="181" t="s">
        <v>1270</v>
      </c>
      <c r="B173" s="181" t="s">
        <v>409</v>
      </c>
      <c r="C173" s="175" t="s">
        <v>120</v>
      </c>
      <c r="D173" s="175" t="s">
        <v>130</v>
      </c>
      <c r="E173" s="175" t="s">
        <v>730</v>
      </c>
      <c r="F173" s="194" t="s">
        <v>405</v>
      </c>
      <c r="G173" s="188" t="s">
        <v>1456</v>
      </c>
      <c r="H173" s="188" t="s">
        <v>1457</v>
      </c>
      <c r="I173" s="7">
        <v>2</v>
      </c>
      <c r="J173" s="4"/>
      <c r="K173" s="4"/>
    </row>
    <row r="174" spans="1:11" s="1" customFormat="1" ht="20.100000000000001" customHeight="1" x14ac:dyDescent="0.15">
      <c r="A174" s="181" t="s">
        <v>1270</v>
      </c>
      <c r="B174" s="181" t="s">
        <v>409</v>
      </c>
      <c r="C174" s="175" t="s">
        <v>120</v>
      </c>
      <c r="D174" s="175" t="s">
        <v>130</v>
      </c>
      <c r="E174" s="182" t="s">
        <v>826</v>
      </c>
      <c r="F174" s="194" t="s">
        <v>405</v>
      </c>
      <c r="G174" s="188" t="s">
        <v>1058</v>
      </c>
      <c r="H174" s="188" t="s">
        <v>1458</v>
      </c>
      <c r="I174" s="7">
        <v>7</v>
      </c>
      <c r="J174" s="4"/>
      <c r="K174" s="4"/>
    </row>
    <row r="175" spans="1:11" s="1" customFormat="1" ht="20.100000000000001" customHeight="1" x14ac:dyDescent="0.15">
      <c r="A175" s="181" t="s">
        <v>1270</v>
      </c>
      <c r="B175" s="181" t="s">
        <v>409</v>
      </c>
      <c r="C175" s="175" t="s">
        <v>86</v>
      </c>
      <c r="D175" s="175" t="s">
        <v>1284</v>
      </c>
      <c r="E175" s="175" t="s">
        <v>1285</v>
      </c>
      <c r="F175" s="194" t="s">
        <v>405</v>
      </c>
      <c r="G175" s="188" t="s">
        <v>1460</v>
      </c>
      <c r="H175" s="188" t="s">
        <v>1461</v>
      </c>
      <c r="I175" s="7">
        <v>10</v>
      </c>
      <c r="J175" s="4"/>
      <c r="K175" s="4"/>
    </row>
    <row r="176" spans="1:11" s="1" customFormat="1" ht="20.100000000000001" customHeight="1" x14ac:dyDescent="0.15">
      <c r="A176" s="181" t="s">
        <v>1270</v>
      </c>
      <c r="B176" s="181" t="s">
        <v>409</v>
      </c>
      <c r="C176" s="175" t="s">
        <v>86</v>
      </c>
      <c r="D176" s="175" t="s">
        <v>1284</v>
      </c>
      <c r="E176" s="182" t="s">
        <v>558</v>
      </c>
      <c r="F176" s="194" t="s">
        <v>405</v>
      </c>
      <c r="G176" s="188" t="s">
        <v>1463</v>
      </c>
      <c r="H176" s="188" t="s">
        <v>1461</v>
      </c>
      <c r="I176" s="7">
        <v>8</v>
      </c>
      <c r="J176" s="4"/>
      <c r="K176" s="4"/>
    </row>
    <row r="177" spans="1:11" s="1" customFormat="1" ht="20.100000000000001" customHeight="1" x14ac:dyDescent="0.15">
      <c r="A177" s="181" t="s">
        <v>1270</v>
      </c>
      <c r="B177" s="181" t="s">
        <v>409</v>
      </c>
      <c r="C177" s="175" t="s">
        <v>86</v>
      </c>
      <c r="D177" s="175" t="s">
        <v>1284</v>
      </c>
      <c r="E177" s="182" t="s">
        <v>818</v>
      </c>
      <c r="F177" s="194" t="s">
        <v>405</v>
      </c>
      <c r="G177" s="188" t="s">
        <v>1464</v>
      </c>
      <c r="H177" s="188" t="s">
        <v>1461</v>
      </c>
      <c r="I177" s="7">
        <v>18</v>
      </c>
      <c r="J177" s="4"/>
      <c r="K177" s="4"/>
    </row>
    <row r="178" spans="1:11" s="1" customFormat="1" ht="20.100000000000001" customHeight="1" x14ac:dyDescent="0.15">
      <c r="A178" s="181" t="s">
        <v>1270</v>
      </c>
      <c r="B178" s="181" t="s">
        <v>409</v>
      </c>
      <c r="C178" s="175" t="s">
        <v>86</v>
      </c>
      <c r="D178" s="175" t="s">
        <v>1284</v>
      </c>
      <c r="E178" s="175" t="s">
        <v>1465</v>
      </c>
      <c r="F178" s="194" t="s">
        <v>405</v>
      </c>
      <c r="G178" s="188" t="s">
        <v>1466</v>
      </c>
      <c r="H178" s="188" t="s">
        <v>1461</v>
      </c>
      <c r="I178" s="7">
        <v>5</v>
      </c>
      <c r="J178" s="4"/>
      <c r="K178" s="4"/>
    </row>
    <row r="179" spans="1:11" s="1" customFormat="1" ht="20.100000000000001" customHeight="1" x14ac:dyDescent="0.15">
      <c r="A179" s="181" t="s">
        <v>1270</v>
      </c>
      <c r="B179" s="181" t="s">
        <v>409</v>
      </c>
      <c r="C179" s="175" t="s">
        <v>86</v>
      </c>
      <c r="D179" s="175" t="s">
        <v>1284</v>
      </c>
      <c r="E179" s="175" t="s">
        <v>1137</v>
      </c>
      <c r="F179" s="194" t="s">
        <v>405</v>
      </c>
      <c r="G179" s="188" t="s">
        <v>1360</v>
      </c>
      <c r="H179" s="188" t="s">
        <v>1461</v>
      </c>
      <c r="I179" s="7">
        <v>6</v>
      </c>
      <c r="J179" s="4"/>
      <c r="K179" s="4"/>
    </row>
    <row r="180" spans="1:11" s="1" customFormat="1" ht="20.100000000000001" customHeight="1" x14ac:dyDescent="0.15">
      <c r="A180" s="181" t="s">
        <v>1270</v>
      </c>
      <c r="B180" s="181" t="s">
        <v>409</v>
      </c>
      <c r="C180" s="175" t="s">
        <v>86</v>
      </c>
      <c r="D180" s="175" t="s">
        <v>1284</v>
      </c>
      <c r="E180" s="175" t="s">
        <v>1138</v>
      </c>
      <c r="F180" s="194" t="s">
        <v>405</v>
      </c>
      <c r="G180" s="188" t="s">
        <v>1360</v>
      </c>
      <c r="H180" s="188" t="s">
        <v>1461</v>
      </c>
      <c r="I180" s="7">
        <v>6</v>
      </c>
      <c r="J180" s="4"/>
      <c r="K180" s="4"/>
    </row>
    <row r="181" spans="1:11" s="1" customFormat="1" ht="20.100000000000001" customHeight="1" x14ac:dyDescent="0.15">
      <c r="A181" s="181" t="s">
        <v>1270</v>
      </c>
      <c r="B181" s="181" t="s">
        <v>411</v>
      </c>
      <c r="C181" s="175" t="s">
        <v>88</v>
      </c>
      <c r="D181" s="175" t="s">
        <v>1467</v>
      </c>
      <c r="E181" s="175" t="s">
        <v>1468</v>
      </c>
      <c r="F181" s="194" t="s">
        <v>405</v>
      </c>
      <c r="G181" s="188" t="s">
        <v>1469</v>
      </c>
      <c r="H181" s="188" t="s">
        <v>1461</v>
      </c>
      <c r="I181" s="7">
        <v>3</v>
      </c>
      <c r="J181" s="4"/>
      <c r="K181" s="4"/>
    </row>
    <row r="182" spans="1:11" s="1" customFormat="1" ht="20.100000000000001" customHeight="1" x14ac:dyDescent="0.15">
      <c r="A182" s="181" t="s">
        <v>1270</v>
      </c>
      <c r="B182" s="181" t="s">
        <v>89</v>
      </c>
      <c r="C182" s="175" t="s">
        <v>165</v>
      </c>
      <c r="D182" s="175" t="s">
        <v>78</v>
      </c>
      <c r="E182" s="175" t="s">
        <v>872</v>
      </c>
      <c r="F182" s="194" t="s">
        <v>405</v>
      </c>
      <c r="G182" s="188" t="s">
        <v>1478</v>
      </c>
      <c r="H182" s="188" t="s">
        <v>1479</v>
      </c>
      <c r="I182" s="7">
        <v>5</v>
      </c>
      <c r="J182" s="4"/>
      <c r="K182" s="4"/>
    </row>
    <row r="183" spans="1:11" s="1" customFormat="1" ht="20.100000000000001" customHeight="1" x14ac:dyDescent="0.15">
      <c r="A183" s="181" t="s">
        <v>1088</v>
      </c>
      <c r="B183" s="181" t="s">
        <v>89</v>
      </c>
      <c r="C183" s="175" t="s">
        <v>165</v>
      </c>
      <c r="D183" s="175" t="s">
        <v>193</v>
      </c>
      <c r="E183" s="175" t="s">
        <v>404</v>
      </c>
      <c r="F183" s="194" t="s">
        <v>405</v>
      </c>
      <c r="G183" s="188" t="s">
        <v>1070</v>
      </c>
      <c r="H183" s="188" t="s">
        <v>1568</v>
      </c>
      <c r="I183" s="7">
        <v>1</v>
      </c>
      <c r="J183" s="4"/>
      <c r="K183" s="4"/>
    </row>
    <row r="184" spans="1:11" s="1" customFormat="1" ht="20.100000000000001" customHeight="1" x14ac:dyDescent="0.15">
      <c r="A184" s="181" t="s">
        <v>1597</v>
      </c>
      <c r="B184" s="181" t="s">
        <v>196</v>
      </c>
      <c r="C184" s="175" t="s">
        <v>1434</v>
      </c>
      <c r="D184" s="175" t="s">
        <v>1198</v>
      </c>
      <c r="E184" s="175" t="s">
        <v>1598</v>
      </c>
      <c r="F184" s="194" t="s">
        <v>405</v>
      </c>
      <c r="G184" s="188" t="s">
        <v>1600</v>
      </c>
      <c r="H184" s="188" t="s">
        <v>1602</v>
      </c>
      <c r="I184" s="7">
        <v>3</v>
      </c>
      <c r="J184" s="4"/>
      <c r="K184" s="4"/>
    </row>
    <row r="185" spans="1:11" s="1" customFormat="1" ht="20.100000000000001" customHeight="1" x14ac:dyDescent="0.15">
      <c r="A185" s="181" t="s">
        <v>1597</v>
      </c>
      <c r="B185" s="181" t="s">
        <v>196</v>
      </c>
      <c r="C185" s="175" t="s">
        <v>1434</v>
      </c>
      <c r="D185" s="175" t="s">
        <v>1198</v>
      </c>
      <c r="E185" s="175" t="s">
        <v>1599</v>
      </c>
      <c r="F185" s="194" t="s">
        <v>405</v>
      </c>
      <c r="G185" s="188" t="s">
        <v>1601</v>
      </c>
      <c r="H185" s="188" t="s">
        <v>1602</v>
      </c>
      <c r="I185" s="7">
        <v>1</v>
      </c>
      <c r="J185" s="4"/>
      <c r="K185" s="4"/>
    </row>
    <row r="186" spans="1:11" s="1" customFormat="1" ht="20.100000000000001" customHeight="1" x14ac:dyDescent="0.15">
      <c r="A186" s="181" t="s">
        <v>1597</v>
      </c>
      <c r="B186" s="181" t="s">
        <v>496</v>
      </c>
      <c r="C186" s="175" t="s">
        <v>45</v>
      </c>
      <c r="D186" s="175" t="s">
        <v>157</v>
      </c>
      <c r="E186" s="175" t="s">
        <v>911</v>
      </c>
      <c r="F186" s="194" t="s">
        <v>405</v>
      </c>
      <c r="G186" s="188" t="s">
        <v>1604</v>
      </c>
      <c r="H186" s="188" t="s">
        <v>1605</v>
      </c>
      <c r="I186" s="7">
        <v>25</v>
      </c>
      <c r="J186" s="4"/>
      <c r="K186" s="4"/>
    </row>
    <row r="187" spans="1:11" s="1" customFormat="1" ht="20.100000000000001" customHeight="1" x14ac:dyDescent="0.15">
      <c r="A187" s="181" t="s">
        <v>1597</v>
      </c>
      <c r="B187" s="181" t="s">
        <v>409</v>
      </c>
      <c r="C187" s="175" t="s">
        <v>86</v>
      </c>
      <c r="D187" s="175" t="s">
        <v>517</v>
      </c>
      <c r="E187" s="175" t="s">
        <v>1607</v>
      </c>
      <c r="F187" s="194" t="s">
        <v>405</v>
      </c>
      <c r="G187" s="188" t="s">
        <v>1466</v>
      </c>
      <c r="H187" s="188" t="s">
        <v>1608</v>
      </c>
      <c r="I187" s="7">
        <v>6</v>
      </c>
      <c r="J187" s="4"/>
      <c r="K187" s="4"/>
    </row>
    <row r="188" spans="1:11" s="1" customFormat="1" ht="20.100000000000001" customHeight="1" x14ac:dyDescent="0.15">
      <c r="A188" s="181" t="s">
        <v>1597</v>
      </c>
      <c r="B188" s="181" t="s">
        <v>496</v>
      </c>
      <c r="C188" s="174" t="s">
        <v>45</v>
      </c>
      <c r="D188" s="175" t="s">
        <v>100</v>
      </c>
      <c r="E188" s="166" t="s">
        <v>101</v>
      </c>
      <c r="F188" s="194" t="s">
        <v>405</v>
      </c>
      <c r="G188" s="188" t="s">
        <v>1609</v>
      </c>
      <c r="H188" s="188" t="s">
        <v>1608</v>
      </c>
      <c r="I188" s="7">
        <v>7</v>
      </c>
      <c r="J188" s="4"/>
      <c r="K188" s="4"/>
    </row>
    <row r="189" spans="1:11" s="1" customFormat="1" ht="20.100000000000001" customHeight="1" x14ac:dyDescent="0.15">
      <c r="A189" s="181" t="s">
        <v>1597</v>
      </c>
      <c r="B189" s="181" t="s">
        <v>496</v>
      </c>
      <c r="C189" s="174" t="s">
        <v>45</v>
      </c>
      <c r="D189" s="175" t="s">
        <v>100</v>
      </c>
      <c r="E189" s="166" t="s">
        <v>104</v>
      </c>
      <c r="F189" s="194" t="s">
        <v>405</v>
      </c>
      <c r="G189" s="188" t="s">
        <v>1609</v>
      </c>
      <c r="H189" s="188" t="s">
        <v>1608</v>
      </c>
      <c r="I189" s="7">
        <v>7</v>
      </c>
      <c r="J189" s="4"/>
      <c r="K189" s="4"/>
    </row>
    <row r="190" spans="1:11" s="1" customFormat="1" ht="20.100000000000001" customHeight="1" x14ac:dyDescent="0.15">
      <c r="A190" s="181" t="s">
        <v>1597</v>
      </c>
      <c r="B190" s="181" t="s">
        <v>496</v>
      </c>
      <c r="C190" s="175" t="s">
        <v>88</v>
      </c>
      <c r="D190" s="175" t="s">
        <v>1610</v>
      </c>
      <c r="E190" s="175" t="s">
        <v>1611</v>
      </c>
      <c r="F190" s="166" t="s">
        <v>348</v>
      </c>
      <c r="G190" s="188" t="s">
        <v>1612</v>
      </c>
      <c r="H190" s="188" t="s">
        <v>1613</v>
      </c>
      <c r="I190" s="7">
        <v>37</v>
      </c>
      <c r="J190" s="4"/>
      <c r="K190" s="4"/>
    </row>
    <row r="191" spans="1:11" s="1" customFormat="1" ht="20.100000000000001" customHeight="1" x14ac:dyDescent="0.15">
      <c r="A191" s="181" t="s">
        <v>1597</v>
      </c>
      <c r="B191" s="181" t="s">
        <v>496</v>
      </c>
      <c r="C191" s="175" t="s">
        <v>120</v>
      </c>
      <c r="D191" s="175" t="s">
        <v>100</v>
      </c>
      <c r="E191" s="182" t="s">
        <v>1619</v>
      </c>
      <c r="F191" s="166" t="s">
        <v>348</v>
      </c>
      <c r="G191" s="188" t="s">
        <v>1620</v>
      </c>
      <c r="H191" s="188" t="s">
        <v>1608</v>
      </c>
      <c r="I191" s="7">
        <v>7</v>
      </c>
      <c r="J191" s="4"/>
      <c r="K191" s="4"/>
    </row>
    <row r="192" spans="1:11" s="1" customFormat="1" ht="20.100000000000001" customHeight="1" x14ac:dyDescent="0.15">
      <c r="A192" s="181" t="s">
        <v>1597</v>
      </c>
      <c r="B192" s="181" t="s">
        <v>496</v>
      </c>
      <c r="C192" s="174" t="s">
        <v>120</v>
      </c>
      <c r="D192" s="175" t="s">
        <v>100</v>
      </c>
      <c r="E192" s="166" t="s">
        <v>122</v>
      </c>
      <c r="F192" s="166" t="s">
        <v>348</v>
      </c>
      <c r="G192" s="188" t="s">
        <v>1620</v>
      </c>
      <c r="H192" s="188" t="s">
        <v>1608</v>
      </c>
      <c r="I192" s="7">
        <v>7</v>
      </c>
      <c r="J192" s="4"/>
      <c r="K192" s="4"/>
    </row>
    <row r="193" spans="1:11" s="1" customFormat="1" ht="20.100000000000001" customHeight="1" x14ac:dyDescent="0.15">
      <c r="A193" s="181" t="s">
        <v>1597</v>
      </c>
      <c r="B193" s="181" t="s">
        <v>411</v>
      </c>
      <c r="C193" s="175" t="s">
        <v>1622</v>
      </c>
      <c r="D193" s="175" t="s">
        <v>1623</v>
      </c>
      <c r="E193" s="175" t="s">
        <v>1624</v>
      </c>
      <c r="F193" s="166" t="s">
        <v>348</v>
      </c>
      <c r="G193" s="188" t="s">
        <v>1592</v>
      </c>
      <c r="H193" s="188" t="s">
        <v>1605</v>
      </c>
      <c r="I193" s="7">
        <v>2</v>
      </c>
      <c r="J193" s="4"/>
      <c r="K193" s="4"/>
    </row>
    <row r="194" spans="1:11" s="1" customFormat="1" ht="20.100000000000001" customHeight="1" x14ac:dyDescent="0.15">
      <c r="A194" s="181" t="s">
        <v>1650</v>
      </c>
      <c r="B194" s="181" t="s">
        <v>370</v>
      </c>
      <c r="C194" s="175" t="s">
        <v>45</v>
      </c>
      <c r="D194" s="175" t="s">
        <v>361</v>
      </c>
      <c r="E194" s="175" t="s">
        <v>871</v>
      </c>
      <c r="F194" s="166" t="s">
        <v>348</v>
      </c>
      <c r="G194" s="188" t="s">
        <v>1646</v>
      </c>
      <c r="H194" s="188" t="s">
        <v>1644</v>
      </c>
      <c r="I194" s="7">
        <v>5</v>
      </c>
      <c r="J194" s="4"/>
      <c r="K194" s="4"/>
    </row>
    <row r="195" spans="1:11" s="1" customFormat="1" ht="20.100000000000001" customHeight="1" x14ac:dyDescent="0.15">
      <c r="A195" s="181" t="s">
        <v>1650</v>
      </c>
      <c r="B195" s="181" t="s">
        <v>496</v>
      </c>
      <c r="C195" s="174" t="s">
        <v>88</v>
      </c>
      <c r="D195" s="175" t="s">
        <v>100</v>
      </c>
      <c r="E195" s="166" t="s">
        <v>106</v>
      </c>
      <c r="F195" s="166" t="s">
        <v>348</v>
      </c>
      <c r="G195" s="188" t="s">
        <v>1620</v>
      </c>
      <c r="H195" s="188" t="s">
        <v>1608</v>
      </c>
      <c r="I195" s="7">
        <v>7</v>
      </c>
      <c r="J195" s="4"/>
      <c r="K195" s="4"/>
    </row>
    <row r="196" spans="1:11" s="1" customFormat="1" ht="20.100000000000001" customHeight="1" x14ac:dyDescent="0.15">
      <c r="A196" s="181"/>
      <c r="B196" s="181"/>
      <c r="C196" s="175"/>
      <c r="D196" s="175"/>
      <c r="E196" s="175"/>
      <c r="F196" s="166"/>
      <c r="G196" s="188"/>
      <c r="H196" s="188"/>
      <c r="I196" s="7"/>
      <c r="J196" s="4"/>
      <c r="K196" s="4"/>
    </row>
    <row r="197" spans="1:11" s="1" customFormat="1" ht="20.100000000000001" customHeight="1" x14ac:dyDescent="0.15">
      <c r="A197" s="181"/>
      <c r="B197" s="181"/>
      <c r="C197" s="175"/>
      <c r="D197" s="175"/>
      <c r="E197" s="175"/>
      <c r="F197" s="166"/>
      <c r="G197" s="188"/>
      <c r="H197" s="188"/>
      <c r="I197" s="7"/>
      <c r="J197" s="4"/>
      <c r="K197" s="4"/>
    </row>
    <row r="198" spans="1:11" s="14" customFormat="1" ht="20.100000000000001" customHeight="1" x14ac:dyDescent="0.15">
      <c r="A198" s="17"/>
      <c r="B198" s="17"/>
      <c r="C198" s="17"/>
      <c r="D198" s="17"/>
      <c r="E198" s="17"/>
      <c r="F198" s="17"/>
      <c r="G198" s="18"/>
      <c r="H198" s="18" t="s">
        <v>394</v>
      </c>
      <c r="I198" s="18">
        <f>SUM(I2:I197)</f>
        <v>1309.8</v>
      </c>
      <c r="J198" s="19"/>
      <c r="K198" s="19"/>
    </row>
    <row r="199" spans="1:11" ht="20.100000000000001" customHeight="1" x14ac:dyDescent="0.15"/>
    <row r="200" spans="1:11" ht="20.100000000000001" customHeight="1" x14ac:dyDescent="0.15"/>
    <row r="201" spans="1:11" ht="20.100000000000001" customHeight="1" x14ac:dyDescent="0.15"/>
    <row r="202" spans="1:11" ht="20.100000000000001" customHeight="1" x14ac:dyDescent="0.15">
      <c r="B202" t="s">
        <v>472</v>
      </c>
    </row>
    <row r="203" spans="1:11" ht="20.100000000000001" customHeight="1" x14ac:dyDescent="0.15">
      <c r="B203" t="s">
        <v>387</v>
      </c>
    </row>
    <row r="204" spans="1:11" ht="20.100000000000001" customHeight="1" x14ac:dyDescent="0.15">
      <c r="B204" t="s">
        <v>473</v>
      </c>
    </row>
    <row r="205" spans="1:11" ht="20.100000000000001" customHeight="1" x14ac:dyDescent="0.15"/>
    <row r="206" spans="1:11" ht="20.100000000000001" customHeight="1" x14ac:dyDescent="0.15"/>
    <row r="207" spans="1:11" ht="20.100000000000001" customHeight="1" x14ac:dyDescent="0.15"/>
    <row r="208" spans="1:11" ht="20.100000000000001" customHeight="1" x14ac:dyDescent="0.15"/>
    <row r="209" ht="20.100000000000001" customHeight="1" x14ac:dyDescent="0.15"/>
    <row r="210" ht="20.100000000000001" customHeight="1" x14ac:dyDescent="0.15"/>
    <row r="211" ht="20.100000000000001" customHeight="1" x14ac:dyDescent="0.15"/>
    <row r="212" ht="20.100000000000001" customHeight="1" x14ac:dyDescent="0.15"/>
    <row r="213" ht="20.100000000000001" customHeight="1" x14ac:dyDescent="0.15"/>
  </sheetData>
  <phoneticPr fontId="9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数值天气预报服务台账</vt:lpstr>
      <vt:lpstr>其他信息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2026-05-11T01:52:11Z</dcterms:modified>
</cp:coreProperties>
</file>