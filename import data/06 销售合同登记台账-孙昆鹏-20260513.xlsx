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F:\项目执行-孙昆鹏\3 合同项目-1\1 统计文件\"/>
    </mc:Choice>
  </mc:AlternateContent>
  <xr:revisionPtr revIDLastSave="0" documentId="13_ncr:1_{14D93FCC-F36B-4CFB-B989-31FE57CAC811}" xr6:coauthVersionLast="45" xr6:coauthVersionMax="45" xr10:uidLastSave="{00000000-0000-0000-0000-000000000000}"/>
  <bookViews>
    <workbookView xWindow="-120" yWindow="-120" windowWidth="29040" windowHeight="15840" xr2:uid="{00000000-000D-0000-FFFF-FFFF00000000}"/>
  </bookViews>
  <sheets>
    <sheet name="2026" sheetId="18" r:id="rId1"/>
    <sheet name="2025" sheetId="17" r:id="rId2"/>
    <sheet name="2024" sheetId="16" r:id="rId3"/>
    <sheet name="2023" sheetId="15" r:id="rId4"/>
    <sheet name="2022" sheetId="14" r:id="rId5"/>
    <sheet name="2021" sheetId="13" r:id="rId6"/>
    <sheet name="2020" sheetId="12" r:id="rId7"/>
    <sheet name="2019" sheetId="11" r:id="rId8"/>
    <sheet name="2018" sheetId="4" r:id="rId9"/>
    <sheet name="2017" sheetId="1" r:id="rId10"/>
    <sheet name="2016" sheetId="2" r:id="rId11"/>
    <sheet name="2015" sheetId="5" r:id="rId12"/>
    <sheet name="2014" sheetId="6" r:id="rId13"/>
    <sheet name="2013" sheetId="7" r:id="rId14"/>
    <sheet name="2012" sheetId="8" r:id="rId15"/>
    <sheet name="2011" sheetId="9" r:id="rId16"/>
    <sheet name="2010" sheetId="10" r:id="rId17"/>
  </sheets>
  <definedNames>
    <definedName name="_xlnm._FilterDatabase" localSheetId="14" hidden="1">'2012'!$2:$2</definedName>
    <definedName name="_xlnm._FilterDatabase" localSheetId="13" hidden="1">'2013'!$A$2:$AD$53</definedName>
    <definedName name="_xlnm._FilterDatabase" localSheetId="12" hidden="1">'2014'!$A$2:$AE$78</definedName>
    <definedName name="_xlnm._FilterDatabase" localSheetId="11" hidden="1">'2015'!$A$2:$AD$73</definedName>
    <definedName name="_xlnm._FilterDatabase" localSheetId="10" hidden="1">'2016'!$A$2:$AE$139</definedName>
    <definedName name="_xlnm._FilterDatabase" localSheetId="9" hidden="1">'2017'!$A$2:$AD$164</definedName>
    <definedName name="_xlnm._FilterDatabase" localSheetId="8" hidden="1">'2018'!$A$2:$AE$239</definedName>
    <definedName name="_xlnm._FilterDatabase" localSheetId="7" hidden="1">'2019'!$A$2:$AE$212</definedName>
    <definedName name="_xlnm._FilterDatabase" localSheetId="6" hidden="1">'2020'!$A$2:$AG$249</definedName>
    <definedName name="_xlnm._FilterDatabase" localSheetId="5" hidden="1">'2021'!$A$2:$AG$257</definedName>
    <definedName name="_xlnm._FilterDatabase" localSheetId="4" hidden="1">'2022'!$A$2:$AG$244</definedName>
    <definedName name="_xlnm._FilterDatabase" localSheetId="3" hidden="1">'2023'!$A$2:$AJ$244</definedName>
    <definedName name="_xlnm._FilterDatabase" localSheetId="2" hidden="1">'2024'!$A$2:$AJ$251</definedName>
    <definedName name="_xlnm._FilterDatabase" localSheetId="1" hidden="1">'2025'!$A$2:$AL$321</definedName>
    <definedName name="_xlnm._FilterDatabase" localSheetId="0" hidden="1">'2026'!$A$2:$AM$80</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E51" i="18" l="1"/>
  <c r="AE70" i="18"/>
  <c r="AE68" i="18"/>
  <c r="AE69" i="18"/>
  <c r="AE66" i="18"/>
  <c r="AE67" i="18"/>
  <c r="AE64" i="18"/>
  <c r="AE65" i="18"/>
  <c r="AE63" i="18"/>
  <c r="AE62" i="18"/>
  <c r="AE61" i="18"/>
  <c r="AE60" i="18"/>
  <c r="AE59" i="18"/>
  <c r="AE58" i="18"/>
  <c r="AE55" i="18"/>
  <c r="AE56" i="18"/>
  <c r="AE57" i="18"/>
  <c r="AE54" i="18"/>
  <c r="AE53" i="18"/>
  <c r="AE52" i="18"/>
  <c r="AE50" i="18"/>
  <c r="AE49" i="18"/>
  <c r="AE48" i="18"/>
  <c r="AE47" i="18"/>
  <c r="AE46" i="18"/>
  <c r="AE45" i="18"/>
  <c r="AE44" i="18"/>
  <c r="AE43" i="18"/>
  <c r="AE41" i="18"/>
  <c r="AE42" i="18"/>
  <c r="AE40" i="18"/>
  <c r="AE38" i="18"/>
  <c r="AE39" i="18"/>
  <c r="AE37" i="18"/>
  <c r="AE36" i="18"/>
  <c r="AE34" i="18"/>
  <c r="AE35" i="18"/>
  <c r="AE33" i="18"/>
  <c r="AE32" i="18"/>
  <c r="AE31" i="18"/>
  <c r="AE29" i="18"/>
  <c r="AE30" i="18"/>
  <c r="AE28" i="18"/>
  <c r="AE27" i="18"/>
  <c r="AE26" i="18"/>
  <c r="AE25" i="18"/>
  <c r="AE24" i="18"/>
  <c r="AE23" i="18"/>
  <c r="AE22" i="18"/>
  <c r="AE21" i="18"/>
  <c r="AE20" i="18"/>
  <c r="AE19" i="18"/>
  <c r="AE18" i="18"/>
  <c r="AE17" i="18"/>
  <c r="AE13" i="18"/>
  <c r="AE14" i="18"/>
  <c r="AE12" i="18"/>
  <c r="AE11" i="18"/>
  <c r="AE8" i="18"/>
  <c r="AE9" i="18"/>
  <c r="AE10" i="18"/>
  <c r="AE7" i="18"/>
  <c r="A72" i="18" l="1"/>
  <c r="A71" i="18"/>
  <c r="A69" i="18" l="1"/>
  <c r="A68" i="18"/>
  <c r="A67" i="18"/>
  <c r="A66" i="18"/>
  <c r="A65" i="18"/>
  <c r="A64" i="18"/>
  <c r="A74" i="18"/>
  <c r="A73" i="18"/>
  <c r="A70" i="18"/>
  <c r="A63" i="18" l="1"/>
  <c r="A62" i="18"/>
  <c r="A61" i="18"/>
  <c r="A60" i="18" l="1"/>
  <c r="A59" i="18"/>
  <c r="A57" i="18" l="1"/>
  <c r="A56" i="18"/>
  <c r="A55" i="18"/>
  <c r="A54" i="18"/>
  <c r="A75" i="18"/>
  <c r="A58" i="18"/>
  <c r="A53" i="18" l="1"/>
  <c r="A52" i="18" l="1"/>
  <c r="A51" i="18" l="1"/>
  <c r="A50" i="18"/>
  <c r="A48" i="18" l="1"/>
  <c r="A47" i="18"/>
  <c r="A46" i="18"/>
  <c r="A44" i="18" l="1"/>
  <c r="A43" i="18"/>
  <c r="A42" i="18"/>
  <c r="A41" i="18"/>
  <c r="A49" i="18"/>
  <c r="A45" i="18"/>
  <c r="A40" i="18" l="1"/>
  <c r="A39" i="18" l="1"/>
  <c r="A38" i="18"/>
  <c r="A30" i="18" l="1"/>
  <c r="A33" i="18"/>
  <c r="A32" i="18"/>
  <c r="A31" i="18"/>
  <c r="A29" i="18"/>
  <c r="A28" i="18"/>
  <c r="A27" i="18"/>
  <c r="A36" i="18"/>
  <c r="A35" i="18"/>
  <c r="A34" i="18"/>
  <c r="A25" i="18" l="1"/>
  <c r="A24" i="18"/>
  <c r="A23" i="18"/>
  <c r="A22" i="18"/>
  <c r="A37" i="18"/>
  <c r="A26" i="18"/>
  <c r="A76" i="18"/>
  <c r="AD79" i="18" l="1"/>
  <c r="AC79" i="18"/>
  <c r="AB79" i="18"/>
  <c r="A78" i="18"/>
  <c r="A77" i="18"/>
  <c r="A21" i="18"/>
  <c r="A20" i="18"/>
  <c r="A19" i="18"/>
  <c r="A18" i="18"/>
  <c r="A17" i="18"/>
  <c r="A16" i="18"/>
  <c r="A15" i="18"/>
  <c r="A14" i="18"/>
  <c r="A13" i="18"/>
  <c r="A12" i="18"/>
  <c r="A11" i="18"/>
  <c r="A10" i="18"/>
  <c r="A9" i="18"/>
  <c r="A8" i="18"/>
  <c r="A7" i="18"/>
  <c r="A6" i="18"/>
  <c r="A5" i="18"/>
  <c r="A4" i="18"/>
  <c r="A3" i="18"/>
  <c r="A317" i="17" l="1"/>
  <c r="A314" i="17" l="1"/>
  <c r="A313" i="17"/>
  <c r="A312" i="17"/>
  <c r="A311" i="17" l="1"/>
  <c r="A310" i="17"/>
  <c r="A307" i="17" l="1"/>
  <c r="A306" i="17"/>
  <c r="A305" i="17"/>
  <c r="A304" i="17"/>
  <c r="A294" i="17"/>
  <c r="A293" i="17"/>
  <c r="A292" i="17"/>
  <c r="A291" i="17"/>
  <c r="A290" i="17"/>
  <c r="A289" i="17"/>
  <c r="A288" i="17"/>
  <c r="A301" i="17"/>
  <c r="A300" i="17"/>
  <c r="A299" i="17"/>
  <c r="A298" i="17"/>
  <c r="A297" i="17"/>
  <c r="A296" i="17"/>
  <c r="A295" i="17"/>
  <c r="A283" i="17" l="1"/>
  <c r="A282" i="17"/>
  <c r="A281" i="17"/>
  <c r="A280" i="17"/>
  <c r="A279" i="17"/>
  <c r="A278" i="17"/>
  <c r="A284" i="17"/>
  <c r="A277" i="17"/>
  <c r="A276" i="17"/>
  <c r="A275" i="17"/>
  <c r="A274" i="17"/>
  <c r="A273" i="17"/>
  <c r="A272" i="17"/>
  <c r="A271" i="17"/>
  <c r="A270" i="17"/>
  <c r="A269" i="17"/>
  <c r="A303" i="17"/>
  <c r="A302" i="17"/>
  <c r="A287" i="17"/>
  <c r="A286" i="17"/>
  <c r="A285" i="17"/>
  <c r="A309" i="17" l="1"/>
  <c r="A308" i="17"/>
  <c r="A268" i="17"/>
  <c r="A315" i="17" l="1"/>
  <c r="A267" i="17"/>
  <c r="A316" i="17"/>
  <c r="A266" i="17" l="1"/>
  <c r="A265" i="17"/>
  <c r="A263" i="17" l="1"/>
  <c r="A262" i="17"/>
  <c r="A260" i="17" l="1"/>
  <c r="A259" i="17"/>
  <c r="A261" i="17" l="1"/>
  <c r="A258" i="17"/>
  <c r="A264" i="17"/>
  <c r="A257" i="17"/>
  <c r="A254" i="17"/>
  <c r="A253" i="17"/>
  <c r="A252" i="17"/>
  <c r="A256" i="17"/>
  <c r="A255" i="17"/>
  <c r="A318" i="17" l="1"/>
  <c r="A249" i="17"/>
  <c r="A248" i="17"/>
  <c r="A247" i="17" l="1"/>
  <c r="A246" i="17"/>
  <c r="A245" i="17"/>
  <c r="A242" i="17" l="1"/>
  <c r="A241" i="17"/>
  <c r="A240" i="17"/>
  <c r="A239" i="17"/>
  <c r="A244" i="17"/>
  <c r="A243" i="17"/>
  <c r="A250" i="17"/>
  <c r="A238" i="17" l="1"/>
  <c r="A237" i="17" l="1"/>
  <c r="A233" i="17" l="1"/>
  <c r="A232" i="17"/>
  <c r="A231" i="17"/>
  <c r="A230" i="17"/>
  <c r="A235" i="17"/>
  <c r="A234" i="17"/>
  <c r="A236" i="17"/>
  <c r="A228" i="17" l="1"/>
  <c r="A227" i="17"/>
  <c r="A226" i="17" l="1"/>
  <c r="A229" i="17"/>
  <c r="A222" i="17" l="1"/>
  <c r="A221" i="17"/>
  <c r="A224" i="17"/>
  <c r="A223" i="17"/>
  <c r="A219" i="17" l="1"/>
  <c r="A218" i="17"/>
  <c r="A216" i="17" l="1"/>
  <c r="A215" i="17"/>
  <c r="A214" i="17"/>
  <c r="A213" i="17"/>
  <c r="A220" i="17"/>
  <c r="A217" i="17"/>
  <c r="A211" i="17" l="1"/>
  <c r="A210" i="17"/>
  <c r="A209" i="17"/>
  <c r="A225" i="17"/>
  <c r="A212" i="17"/>
  <c r="A207" i="17" l="1"/>
  <c r="A206" i="17"/>
  <c r="A205" i="17" l="1"/>
  <c r="A204" i="17"/>
  <c r="A203" i="17" l="1"/>
  <c r="A200" i="17" l="1"/>
  <c r="A199" i="17"/>
  <c r="A202" i="17"/>
  <c r="A201" i="17"/>
  <c r="A196" i="17" l="1"/>
  <c r="A195" i="17"/>
  <c r="A194" i="17"/>
  <c r="A198" i="17"/>
  <c r="A197" i="17"/>
  <c r="A191" i="17"/>
  <c r="A190" i="17"/>
  <c r="A193" i="17"/>
  <c r="A192" i="17"/>
  <c r="A186" i="17" l="1"/>
  <c r="A185" i="17"/>
  <c r="A184" i="17"/>
  <c r="A183" i="17"/>
  <c r="A187" i="17" l="1"/>
  <c r="A182" i="17"/>
  <c r="A189" i="17"/>
  <c r="A188" i="17"/>
  <c r="A179" i="17" l="1"/>
  <c r="A178" i="17"/>
  <c r="A177" i="17"/>
  <c r="A176" i="17"/>
  <c r="A181" i="17"/>
  <c r="A180" i="17"/>
  <c r="A173" i="17" l="1"/>
  <c r="A172" i="17"/>
  <c r="A175" i="17"/>
  <c r="A174" i="17"/>
  <c r="A171" i="17" l="1"/>
  <c r="A208" i="17"/>
  <c r="A165" i="17"/>
  <c r="A168" i="17"/>
  <c r="A167" i="17"/>
  <c r="A166" i="17"/>
  <c r="A169" i="17" l="1"/>
  <c r="A164" i="17"/>
  <c r="A170" i="17"/>
  <c r="A163" i="17" l="1"/>
  <c r="A162" i="17"/>
  <c r="A157" i="17" l="1"/>
  <c r="A159" i="17"/>
  <c r="A158" i="17"/>
  <c r="A155" i="17" l="1"/>
  <c r="A154" i="17"/>
  <c r="A153" i="17"/>
  <c r="A152" i="17"/>
  <c r="A156" i="17" l="1"/>
  <c r="A160" i="17"/>
  <c r="A161" i="17"/>
  <c r="A251" i="17"/>
  <c r="A149" i="17" l="1"/>
  <c r="A148" i="17"/>
  <c r="A147" i="17" l="1"/>
  <c r="A146" i="17"/>
  <c r="A145" i="17"/>
  <c r="A144" i="17"/>
  <c r="A151" i="17"/>
  <c r="A150" i="17"/>
  <c r="AC320" i="17" l="1"/>
  <c r="AD320" i="17"/>
  <c r="AB320" i="17"/>
  <c r="A139" i="17" l="1"/>
  <c r="A138" i="17"/>
  <c r="A137" i="17"/>
  <c r="A136" i="17"/>
  <c r="A135" i="17"/>
  <c r="A134" i="17"/>
  <c r="A142" i="17"/>
  <c r="A141" i="17"/>
  <c r="A140" i="17"/>
  <c r="A3" i="17"/>
  <c r="A132" i="17" l="1"/>
  <c r="A131" i="17"/>
  <c r="A143" i="17"/>
  <c r="A133" i="17"/>
  <c r="A130" i="17" l="1"/>
  <c r="A129" i="17" l="1"/>
  <c r="A128" i="17" l="1"/>
  <c r="A127" i="17"/>
  <c r="A120" i="17" l="1"/>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125" i="17" l="1"/>
  <c r="A124" i="17"/>
  <c r="A126" i="17" l="1"/>
  <c r="A123" i="17"/>
  <c r="A122" i="17" l="1"/>
  <c r="A92" i="17" l="1"/>
  <c r="A91" i="17"/>
  <c r="A88" i="17" l="1"/>
  <c r="A87" i="17"/>
  <c r="A90" i="17"/>
  <c r="A89" i="17"/>
  <c r="A86" i="17" l="1"/>
  <c r="A85" i="17"/>
  <c r="A83" i="17" l="1"/>
  <c r="A82" i="17"/>
  <c r="A80" i="17" l="1"/>
  <c r="A79" i="17"/>
  <c r="A78" i="17"/>
  <c r="A75" i="17" l="1"/>
  <c r="A74" i="17"/>
  <c r="A73" i="17"/>
  <c r="A72" i="17"/>
  <c r="A81" i="17"/>
  <c r="A77" i="17"/>
  <c r="A76" i="17"/>
  <c r="A66" i="17" l="1"/>
  <c r="A65" i="17"/>
  <c r="A70" i="17"/>
  <c r="A69" i="17"/>
  <c r="A68" i="17"/>
  <c r="A67" i="17"/>
  <c r="A84" i="17"/>
  <c r="A71" i="17"/>
  <c r="A63" i="17"/>
  <c r="A62" i="17"/>
  <c r="A61" i="17"/>
  <c r="A57" i="17"/>
  <c r="A56" i="17"/>
  <c r="A55" i="17"/>
  <c r="A54" i="17"/>
  <c r="A53" i="17"/>
  <c r="A51" i="17" l="1"/>
  <c r="A50" i="17"/>
  <c r="A49" i="17"/>
  <c r="A48" i="17"/>
  <c r="A47" i="17"/>
  <c r="A59" i="17"/>
  <c r="A58" i="17"/>
  <c r="A52" i="17"/>
  <c r="A46" i="17"/>
  <c r="A60" i="17" l="1"/>
  <c r="A45" i="17"/>
  <c r="A44" i="17"/>
  <c r="A43" i="17"/>
  <c r="A121" i="17"/>
  <c r="A64" i="17"/>
  <c r="A41" i="17" l="1"/>
  <c r="A40" i="17"/>
  <c r="A39" i="17"/>
  <c r="A38" i="17"/>
  <c r="A42" i="17" l="1"/>
  <c r="A30" i="17" l="1"/>
  <c r="A29" i="17"/>
  <c r="A36" i="17"/>
  <c r="A35" i="17"/>
  <c r="A34" i="17"/>
  <c r="A33" i="17"/>
  <c r="A32" i="17"/>
  <c r="A31" i="17"/>
  <c r="A37" i="17"/>
  <c r="A27" i="17" l="1"/>
  <c r="A26" i="17"/>
  <c r="A25" i="17"/>
  <c r="A23" i="17" l="1"/>
  <c r="A22" i="17"/>
  <c r="A21" i="17"/>
  <c r="A20" i="17"/>
  <c r="A19" i="17" l="1"/>
  <c r="A18" i="17"/>
  <c r="A17" i="17"/>
  <c r="A16" i="17"/>
  <c r="A10" i="17" l="1"/>
  <c r="A9" i="17"/>
  <c r="A8" i="17"/>
  <c r="A6" i="17" l="1"/>
  <c r="A24" i="17" l="1"/>
  <c r="A15" i="17"/>
  <c r="A14" i="17"/>
  <c r="A13" i="17"/>
  <c r="A28" i="17"/>
  <c r="A319" i="17" l="1"/>
  <c r="A12" i="17"/>
  <c r="A11" i="17"/>
  <c r="A7" i="17"/>
  <c r="A5" i="17"/>
  <c r="A4" i="17"/>
  <c r="A247" i="16" l="1"/>
  <c r="A246" i="16" l="1"/>
  <c r="A230" i="16" l="1"/>
  <c r="A225" i="16" l="1"/>
  <c r="A224" i="16"/>
  <c r="A223" i="16"/>
  <c r="A222" i="16"/>
  <c r="A221" i="16"/>
  <c r="A244" i="16" l="1"/>
  <c r="A243" i="16"/>
  <c r="A241" i="16" l="1"/>
  <c r="A240" i="16"/>
  <c r="A242" i="16" l="1"/>
  <c r="A245" i="16" l="1"/>
  <c r="A239" i="16"/>
  <c r="A231" i="16" l="1"/>
  <c r="A229" i="16"/>
  <c r="A228" i="16"/>
  <c r="A227" i="16"/>
  <c r="A226" i="16"/>
  <c r="A220" i="16"/>
  <c r="A219" i="16"/>
  <c r="A218" i="16"/>
  <c r="A235" i="16"/>
  <c r="A234" i="16"/>
  <c r="A233" i="16"/>
  <c r="A232" i="16"/>
  <c r="A237" i="16"/>
  <c r="A236" i="16"/>
  <c r="A216" i="16" l="1"/>
  <c r="A217" i="16" l="1"/>
  <c r="A213" i="16" l="1"/>
  <c r="A212" i="16"/>
  <c r="A211" i="16"/>
  <c r="A202" i="16" l="1"/>
  <c r="A201" i="16"/>
  <c r="A200" i="16"/>
  <c r="A199" i="16"/>
  <c r="A198" i="16"/>
  <c r="A197" i="16"/>
  <c r="A196" i="16"/>
  <c r="A195" i="16"/>
  <c r="A194" i="16"/>
  <c r="A193" i="16"/>
  <c r="A192" i="16"/>
  <c r="A191" i="16"/>
  <c r="A208" i="16"/>
  <c r="A207" i="16"/>
  <c r="A206" i="16"/>
  <c r="A205" i="16"/>
  <c r="A204" i="16"/>
  <c r="A203" i="16"/>
  <c r="A214" i="16"/>
  <c r="A210" i="16"/>
  <c r="A209" i="16"/>
  <c r="A189" i="16" l="1"/>
  <c r="A188" i="16"/>
  <c r="A187" i="16"/>
  <c r="A186" i="16"/>
  <c r="A215" i="16"/>
  <c r="A190" i="16"/>
  <c r="A238" i="16"/>
  <c r="A185" i="16" l="1"/>
  <c r="A183" i="16" l="1"/>
  <c r="A182" i="16"/>
  <c r="A181" i="16" l="1"/>
  <c r="A180" i="16"/>
  <c r="A179" i="16" l="1"/>
  <c r="A178" i="16"/>
  <c r="A177" i="16" l="1"/>
  <c r="A176" i="16"/>
  <c r="A173" i="16" l="1"/>
  <c r="A172" i="16"/>
  <c r="A171" i="16"/>
  <c r="A170" i="16"/>
  <c r="A175" i="16"/>
  <c r="A174" i="16"/>
  <c r="A184" i="16"/>
  <c r="A163" i="16" l="1"/>
  <c r="A162" i="16"/>
  <c r="A161" i="16"/>
  <c r="A160" i="16"/>
  <c r="A159" i="16"/>
  <c r="A158" i="16"/>
  <c r="A157" i="16"/>
  <c r="A156" i="16"/>
  <c r="A155" i="16"/>
  <c r="A154" i="16"/>
  <c r="A153" i="16"/>
  <c r="A152" i="16"/>
  <c r="A151" i="16"/>
  <c r="A150" i="16"/>
  <c r="A169" i="16" l="1"/>
  <c r="A168" i="16"/>
  <c r="A165" i="16" l="1"/>
  <c r="A164" i="16"/>
  <c r="A149" i="16"/>
  <c r="A166" i="16" l="1"/>
  <c r="A148" i="16"/>
  <c r="A145" i="16" l="1"/>
  <c r="A144" i="16"/>
  <c r="A143" i="16"/>
  <c r="A142" i="16"/>
  <c r="A141" i="16"/>
  <c r="A140" i="16"/>
  <c r="A139" i="16"/>
  <c r="A138" i="16"/>
  <c r="A137" i="16"/>
  <c r="A136" i="16"/>
  <c r="A167" i="16"/>
  <c r="A147" i="16"/>
  <c r="A146" i="16"/>
  <c r="A135" i="16" l="1"/>
  <c r="A248" i="16"/>
  <c r="A129" i="16" l="1"/>
  <c r="A128" i="16"/>
  <c r="A130" i="16" l="1"/>
  <c r="A127" i="16"/>
  <c r="A126" i="16"/>
  <c r="A125" i="16"/>
  <c r="A132" i="16"/>
  <c r="A131" i="16"/>
  <c r="A119" i="16" l="1"/>
  <c r="A118" i="16"/>
  <c r="A117" i="16"/>
  <c r="A116" i="16"/>
  <c r="A123" i="16" l="1"/>
  <c r="A122" i="16"/>
  <c r="A121" i="16"/>
  <c r="A120" i="16"/>
  <c r="A115" i="16" l="1"/>
  <c r="A114" i="16"/>
  <c r="A124" i="16" l="1"/>
  <c r="A113" i="16"/>
  <c r="A133" i="16" l="1"/>
  <c r="A112" i="16"/>
  <c r="A110" i="16" l="1"/>
  <c r="A109" i="16"/>
  <c r="A107" i="16" l="1"/>
  <c r="A106" i="16"/>
  <c r="A105" i="16"/>
  <c r="A108" i="16" l="1"/>
  <c r="A104" i="16"/>
  <c r="A101" i="16" l="1"/>
  <c r="A100" i="16"/>
  <c r="A102" i="16"/>
  <c r="A99" i="16"/>
  <c r="A98" i="16" l="1"/>
  <c r="A97" i="16"/>
  <c r="A96" i="16"/>
  <c r="A111" i="16"/>
  <c r="A103" i="16"/>
  <c r="A94" i="16" l="1"/>
  <c r="A93" i="16"/>
  <c r="A91" i="16" l="1"/>
  <c r="A90" i="16"/>
  <c r="A89" i="16"/>
  <c r="A95" i="16"/>
  <c r="A92" i="16"/>
  <c r="A86" i="16" l="1"/>
  <c r="A85" i="16"/>
  <c r="A84" i="16"/>
  <c r="A81" i="16" l="1"/>
  <c r="A80" i="16"/>
  <c r="A79" i="16"/>
  <c r="A78" i="16"/>
  <c r="A87" i="16"/>
  <c r="A83" i="16"/>
  <c r="A82" i="16"/>
  <c r="A76" i="16" l="1"/>
  <c r="A75" i="16"/>
  <c r="A74" i="16"/>
  <c r="A73" i="16"/>
  <c r="A88" i="16"/>
  <c r="A77" i="16"/>
  <c r="A62" i="16" l="1"/>
  <c r="A61" i="16"/>
  <c r="A60" i="16"/>
  <c r="A70" i="16"/>
  <c r="A69" i="16"/>
  <c r="A68" i="16"/>
  <c r="A67" i="16"/>
  <c r="A66" i="16"/>
  <c r="A65" i="16"/>
  <c r="A64" i="16"/>
  <c r="A59" i="16" l="1"/>
  <c r="A58" i="16"/>
  <c r="A57" i="16" l="1"/>
  <c r="A56" i="16"/>
  <c r="A55" i="16"/>
  <c r="A54" i="16"/>
  <c r="A53" i="16"/>
  <c r="A52" i="16"/>
  <c r="A72" i="16"/>
  <c r="A71" i="16"/>
  <c r="A63" i="16"/>
  <c r="A134" i="16"/>
  <c r="A50" i="16" l="1"/>
  <c r="A49" i="16"/>
  <c r="A47" i="16" l="1"/>
  <c r="A46" i="16"/>
  <c r="A42" i="16" l="1"/>
  <c r="A41" i="16" l="1"/>
  <c r="A40" i="16"/>
  <c r="A44" i="16" l="1"/>
  <c r="A43" i="16"/>
  <c r="A39" i="16"/>
  <c r="A48" i="16"/>
  <c r="A45" i="16"/>
  <c r="A37" i="16" l="1"/>
  <c r="A35" i="16"/>
  <c r="A34" i="16"/>
  <c r="A38" i="16" l="1"/>
  <c r="A36" i="16"/>
  <c r="A51" i="16"/>
  <c r="A32" i="16" l="1"/>
  <c r="A31" i="16"/>
  <c r="A28" i="16" l="1"/>
  <c r="A27" i="16"/>
  <c r="A26" i="16"/>
  <c r="A30" i="16"/>
  <c r="A29" i="16"/>
  <c r="A33" i="16"/>
  <c r="A17" i="16" l="1"/>
  <c r="A24" i="16"/>
  <c r="A23" i="16"/>
  <c r="A20" i="16" l="1"/>
  <c r="A19" i="16"/>
  <c r="A18" i="16"/>
  <c r="A16" i="16"/>
  <c r="A22" i="16"/>
  <c r="A21" i="16"/>
  <c r="A8" i="16" l="1"/>
  <c r="A7" i="16"/>
  <c r="A6" i="16"/>
  <c r="A5" i="16"/>
  <c r="A12" i="16"/>
  <c r="A11" i="16"/>
  <c r="A10" i="16"/>
  <c r="A9" i="16"/>
  <c r="AC250" i="16" l="1"/>
  <c r="AB250" i="16"/>
  <c r="A249" i="16"/>
  <c r="AD250" i="16"/>
  <c r="A25" i="16"/>
  <c r="A15" i="16"/>
  <c r="A14" i="16"/>
  <c r="A13" i="16"/>
  <c r="A4" i="16"/>
  <c r="A3" i="16"/>
  <c r="AD240" i="15" l="1"/>
  <c r="AD239" i="15"/>
  <c r="AD238" i="15"/>
  <c r="A240" i="15" l="1"/>
  <c r="A239" i="15"/>
  <c r="A238" i="15"/>
  <c r="A237" i="15"/>
  <c r="A241" i="15"/>
  <c r="A233" i="15" l="1"/>
  <c r="A235" i="15"/>
  <c r="A234" i="15"/>
  <c r="A230" i="15" l="1"/>
  <c r="A229" i="15"/>
  <c r="A228" i="15"/>
  <c r="A227" i="15"/>
  <c r="A232" i="15"/>
  <c r="A231" i="15"/>
  <c r="A236" i="15"/>
  <c r="A219" i="15" l="1"/>
  <c r="A218" i="15"/>
  <c r="A217" i="15"/>
  <c r="A216" i="15"/>
  <c r="A215" i="15"/>
  <c r="A214" i="15"/>
  <c r="A213" i="15"/>
  <c r="A212" i="15"/>
  <c r="A223" i="15"/>
  <c r="A222" i="15"/>
  <c r="A221" i="15"/>
  <c r="A220" i="15"/>
  <c r="A207" i="15" l="1"/>
  <c r="A206" i="15"/>
  <c r="A205" i="15"/>
  <c r="A204" i="15"/>
  <c r="A203" i="15"/>
  <c r="A202" i="15"/>
  <c r="A201" i="15"/>
  <c r="A211" i="15"/>
  <c r="A210" i="15"/>
  <c r="A209" i="15"/>
  <c r="A208" i="15"/>
  <c r="A198" i="15" l="1"/>
  <c r="A188" i="15" l="1"/>
  <c r="A197" i="15" l="1"/>
  <c r="A196" i="15"/>
  <c r="A195" i="15"/>
  <c r="A194" i="15"/>
  <c r="A200" i="15"/>
  <c r="A199" i="15"/>
  <c r="A224" i="15" l="1"/>
  <c r="A193" i="15"/>
  <c r="A192" i="15" l="1"/>
  <c r="A191" i="15"/>
  <c r="A190" i="15"/>
  <c r="A186" i="15" l="1"/>
  <c r="A185" i="15"/>
  <c r="A184" i="15"/>
  <c r="A189" i="15"/>
  <c r="A187" i="15"/>
  <c r="A179" i="15" l="1"/>
  <c r="A178" i="15"/>
  <c r="A171" i="15" l="1"/>
  <c r="A170" i="15"/>
  <c r="A160" i="15" l="1"/>
  <c r="A159" i="15"/>
  <c r="A183" i="15" l="1"/>
  <c r="A182" i="15"/>
  <c r="A177" i="15"/>
  <c r="A176" i="15"/>
  <c r="A175" i="15"/>
  <c r="A174" i="15"/>
  <c r="A181" i="15"/>
  <c r="A180" i="15"/>
  <c r="A166" i="15" l="1"/>
  <c r="A165" i="15"/>
  <c r="A164" i="15"/>
  <c r="A163" i="15"/>
  <c r="A162" i="15"/>
  <c r="A161" i="15"/>
  <c r="A158" i="15"/>
  <c r="A172" i="15"/>
  <c r="A169" i="15"/>
  <c r="A168" i="15"/>
  <c r="A167" i="15"/>
  <c r="A154" i="15" l="1"/>
  <c r="A153" i="15"/>
  <c r="A152" i="15"/>
  <c r="A151" i="15"/>
  <c r="A150" i="15"/>
  <c r="A149" i="15"/>
  <c r="A157" i="15"/>
  <c r="A156" i="15"/>
  <c r="A155" i="15"/>
  <c r="A147" i="15" l="1"/>
  <c r="A146" i="15"/>
  <c r="A145" i="15" l="1"/>
  <c r="A144" i="15"/>
  <c r="A143" i="15"/>
  <c r="A173" i="15"/>
  <c r="A148" i="15"/>
  <c r="A139" i="15"/>
  <c r="A138" i="15"/>
  <c r="A137" i="15"/>
  <c r="A136" i="15"/>
  <c r="A135" i="15"/>
  <c r="A134" i="15" l="1"/>
  <c r="A133" i="15"/>
  <c r="A132" i="15"/>
  <c r="A131" i="15"/>
  <c r="A130" i="15"/>
  <c r="A129" i="15" l="1"/>
  <c r="A128" i="15"/>
  <c r="A127" i="15"/>
  <c r="A126" i="15"/>
  <c r="A141" i="15" l="1"/>
  <c r="A140" i="15"/>
  <c r="A225" i="15"/>
  <c r="A142" i="15"/>
  <c r="A124" i="15" l="1"/>
  <c r="A123" i="15" l="1"/>
  <c r="A122" i="15"/>
  <c r="A121" i="15"/>
  <c r="A120" i="15" l="1"/>
  <c r="A119" i="15"/>
  <c r="A118" i="15"/>
  <c r="A117" i="15" l="1"/>
  <c r="A116" i="15"/>
  <c r="A115" i="15" l="1"/>
  <c r="A114" i="15"/>
  <c r="A113" i="15"/>
  <c r="A110" i="15" l="1"/>
  <c r="A109" i="15"/>
  <c r="A112" i="15"/>
  <c r="A111" i="15"/>
  <c r="A98" i="15" l="1"/>
  <c r="A103" i="15" l="1"/>
  <c r="A100" i="15"/>
  <c r="A102" i="15" l="1"/>
  <c r="A101" i="15"/>
  <c r="A99" i="15"/>
  <c r="A97" i="15"/>
  <c r="A107" i="15"/>
  <c r="A106" i="15"/>
  <c r="A105" i="15"/>
  <c r="A104" i="15"/>
  <c r="A94" i="15" l="1"/>
  <c r="A95" i="15"/>
  <c r="A96" i="15" l="1"/>
  <c r="A93" i="15"/>
  <c r="A92" i="15"/>
  <c r="A125" i="15"/>
  <c r="A108" i="15"/>
  <c r="A82" i="15" l="1"/>
  <c r="A81" i="15"/>
  <c r="A77" i="15" l="1"/>
  <c r="A76" i="15"/>
  <c r="A85" i="15" l="1"/>
  <c r="A84" i="15"/>
  <c r="A83" i="15"/>
  <c r="A80" i="15"/>
  <c r="A79" i="15"/>
  <c r="A78" i="15"/>
  <c r="A75" i="15"/>
  <c r="A74" i="15"/>
  <c r="A89" i="15"/>
  <c r="A88" i="15"/>
  <c r="A87" i="15"/>
  <c r="A86" i="15"/>
  <c r="A91" i="15"/>
  <c r="A90" i="15"/>
  <c r="A72" i="15" l="1"/>
  <c r="A71" i="15"/>
  <c r="A67" i="15" l="1"/>
  <c r="A66" i="15"/>
  <c r="A69" i="15" l="1"/>
  <c r="A68" i="15"/>
  <c r="A65" i="15"/>
  <c r="A73" i="15"/>
  <c r="A70" i="15"/>
  <c r="A63" i="15" l="1"/>
  <c r="A62" i="15"/>
  <c r="A61" i="15"/>
  <c r="A64" i="15"/>
  <c r="A60" i="15"/>
  <c r="A56" i="15" l="1"/>
  <c r="A55" i="15"/>
  <c r="A54" i="15" l="1"/>
  <c r="A53" i="15"/>
  <c r="A52" i="15"/>
  <c r="A51" i="15"/>
  <c r="A58" i="15"/>
  <c r="A57" i="15"/>
  <c r="A49" i="15" l="1"/>
  <c r="A48" i="15"/>
  <c r="A47" i="15"/>
  <c r="A46" i="15"/>
  <c r="A59" i="15"/>
  <c r="A50" i="15"/>
  <c r="A40" i="15" l="1"/>
  <c r="A39" i="15"/>
  <c r="A38" i="15" l="1"/>
  <c r="A36" i="15" l="1"/>
  <c r="A35" i="15"/>
  <c r="A34" i="15"/>
  <c r="A33" i="15"/>
  <c r="A32" i="15"/>
  <c r="A43" i="15"/>
  <c r="A42" i="15"/>
  <c r="A41" i="15"/>
  <c r="A37" i="15"/>
  <c r="A30" i="15" l="1"/>
  <c r="A29" i="15" l="1"/>
  <c r="A28" i="15"/>
  <c r="A27" i="15"/>
  <c r="A26" i="15"/>
  <c r="A31" i="15" l="1"/>
  <c r="A25" i="15"/>
  <c r="A24" i="15"/>
  <c r="A22" i="15" l="1"/>
  <c r="A21" i="15"/>
  <c r="A20" i="15"/>
  <c r="A19" i="15"/>
  <c r="A18" i="15"/>
  <c r="A17" i="15"/>
  <c r="A16" i="15"/>
  <c r="AD243" i="15" l="1"/>
  <c r="AC243" i="15"/>
  <c r="AB243" i="15"/>
  <c r="A242" i="15"/>
  <c r="A226" i="15"/>
  <c r="A45" i="15"/>
  <c r="A44" i="15"/>
  <c r="A23" i="15"/>
  <c r="A15" i="15"/>
  <c r="A13" i="15"/>
  <c r="A12" i="15"/>
  <c r="A11" i="15"/>
  <c r="A10" i="15"/>
  <c r="A9" i="15"/>
  <c r="A8" i="15"/>
  <c r="A7" i="15"/>
  <c r="A6" i="15"/>
  <c r="A5" i="15"/>
  <c r="A4" i="15"/>
  <c r="A3" i="15"/>
  <c r="A234" i="14" l="1"/>
  <c r="A233" i="14"/>
  <c r="A232" i="14"/>
  <c r="A231" i="14"/>
  <c r="A230" i="14"/>
  <c r="A229" i="14"/>
  <c r="A228" i="14"/>
  <c r="A227" i="14"/>
  <c r="A238" i="14"/>
  <c r="A237" i="14"/>
  <c r="A236" i="14"/>
  <c r="A235" i="14"/>
  <c r="A240" i="14"/>
  <c r="A239" i="14"/>
  <c r="A222" i="14" l="1"/>
  <c r="A221" i="14"/>
  <c r="A220" i="14"/>
  <c r="A219" i="14"/>
  <c r="A218" i="14"/>
  <c r="A217" i="14"/>
  <c r="A216" i="14" l="1"/>
  <c r="A215" i="14"/>
  <c r="A214" i="14"/>
  <c r="A213" i="14"/>
  <c r="A212" i="14"/>
  <c r="A211" i="14"/>
  <c r="A225" i="14"/>
  <c r="A224" i="14"/>
  <c r="A223" i="14"/>
  <c r="A208" i="14" l="1"/>
  <c r="A207" i="14"/>
  <c r="A206" i="14"/>
  <c r="A205" i="14"/>
  <c r="A204" i="14"/>
  <c r="A203" i="14"/>
  <c r="A202" i="14"/>
  <c r="A201" i="14"/>
  <c r="A200" i="14"/>
  <c r="A199" i="14"/>
  <c r="A197" i="14" l="1"/>
  <c r="A196" i="14"/>
  <c r="A195" i="14"/>
  <c r="A194" i="14"/>
  <c r="A193" i="14"/>
  <c r="A192" i="14"/>
  <c r="A191" i="14"/>
  <c r="A190" i="14"/>
  <c r="A226" i="14" l="1"/>
  <c r="A210" i="14"/>
  <c r="A209" i="14"/>
  <c r="A198" i="14"/>
  <c r="A241" i="14"/>
  <c r="A178" i="14" l="1"/>
  <c r="A177" i="14"/>
  <c r="A176" i="14" l="1"/>
  <c r="A175" i="14"/>
  <c r="A174" i="14"/>
  <c r="A173" i="14"/>
  <c r="A172" i="14"/>
  <c r="A171" i="14"/>
  <c r="A184" i="14"/>
  <c r="A183" i="14"/>
  <c r="A182" i="14"/>
  <c r="A181" i="14"/>
  <c r="A180" i="14"/>
  <c r="A179" i="14"/>
  <c r="A170" i="14" l="1"/>
  <c r="A169" i="14"/>
  <c r="A168" i="14"/>
  <c r="A167" i="14"/>
  <c r="A166" i="14"/>
  <c r="A165" i="14"/>
  <c r="A187" i="14"/>
  <c r="A186" i="14"/>
  <c r="A185" i="14"/>
  <c r="A163" i="14" l="1"/>
  <c r="A162" i="14"/>
  <c r="A161" i="14"/>
  <c r="A160" i="14"/>
  <c r="A164" i="14" l="1"/>
  <c r="A159" i="14"/>
  <c r="A158" i="14"/>
  <c r="A157" i="14" l="1"/>
  <c r="A155" i="14" l="1"/>
  <c r="A154" i="14"/>
  <c r="A153" i="14"/>
  <c r="A152" i="14"/>
  <c r="A188" i="14"/>
  <c r="A156" i="14"/>
  <c r="A149" i="14" l="1"/>
  <c r="A148" i="14"/>
  <c r="A150" i="14" l="1"/>
  <c r="A147" i="14"/>
  <c r="A144" i="14" l="1"/>
  <c r="A143" i="14"/>
  <c r="A142" i="14"/>
  <c r="A141" i="14"/>
  <c r="A139" i="14" l="1"/>
  <c r="A138" i="14"/>
  <c r="A137" i="14"/>
  <c r="A146" i="14"/>
  <c r="A145" i="14"/>
  <c r="A140" i="14"/>
  <c r="A131" i="14" l="1"/>
  <c r="A130" i="14"/>
  <c r="A129" i="14"/>
  <c r="A135" i="14"/>
  <c r="A134" i="14"/>
  <c r="A133" i="14"/>
  <c r="A132" i="14"/>
  <c r="A128" i="14" l="1"/>
  <c r="A127" i="14"/>
  <c r="A126" i="14"/>
  <c r="A120" i="14" l="1"/>
  <c r="A112" i="14"/>
  <c r="A111" i="14"/>
  <c r="A110" i="14"/>
  <c r="A109" i="14"/>
  <c r="A108" i="14"/>
  <c r="A121" i="14"/>
  <c r="A119" i="14"/>
  <c r="A118" i="14"/>
  <c r="A117" i="14"/>
  <c r="A116" i="14"/>
  <c r="A115" i="14"/>
  <c r="A114" i="14"/>
  <c r="A113" i="14"/>
  <c r="A125" i="14"/>
  <c r="A124" i="14"/>
  <c r="A123" i="14"/>
  <c r="A122" i="14"/>
  <c r="A151" i="14" l="1"/>
  <c r="A136" i="14"/>
  <c r="A106" i="14" l="1"/>
  <c r="A105" i="14"/>
  <c r="A103" i="14" l="1"/>
  <c r="A102" i="14" l="1"/>
  <c r="A101" i="14"/>
  <c r="A100" i="14" l="1"/>
  <c r="A99" i="14"/>
  <c r="A98" i="14"/>
  <c r="A92" i="14"/>
  <c r="A91" i="14"/>
  <c r="A90" i="14"/>
  <c r="A89" i="14"/>
  <c r="A88" i="14"/>
  <c r="A87" i="14"/>
  <c r="A96" i="14"/>
  <c r="A95" i="14"/>
  <c r="A94" i="14"/>
  <c r="A93" i="14"/>
  <c r="A104" i="14"/>
  <c r="A97" i="14"/>
  <c r="A73" i="14"/>
  <c r="A77" i="14"/>
  <c r="A76" i="14"/>
  <c r="A75" i="14"/>
  <c r="A74" i="14"/>
  <c r="A72" i="14"/>
  <c r="A71" i="14"/>
  <c r="A70" i="14"/>
  <c r="A69" i="14"/>
  <c r="A68" i="14"/>
  <c r="A67" i="14"/>
  <c r="A66" i="14"/>
  <c r="A65" i="14"/>
  <c r="A83" i="14"/>
  <c r="A82" i="14"/>
  <c r="A81" i="14"/>
  <c r="A80" i="14"/>
  <c r="A79" i="14"/>
  <c r="A78" i="14"/>
  <c r="A86" i="14"/>
  <c r="A85" i="14"/>
  <c r="A84" i="14"/>
  <c r="A64" i="14"/>
  <c r="A63" i="14"/>
  <c r="A62" i="14"/>
  <c r="A61" i="14"/>
  <c r="A60" i="14"/>
  <c r="A59" i="14"/>
  <c r="A58" i="14"/>
  <c r="A57" i="14" l="1"/>
  <c r="A56" i="14"/>
  <c r="A52" i="14" l="1"/>
  <c r="A54" i="14"/>
  <c r="A53" i="14"/>
  <c r="A51" i="14"/>
  <c r="A50" i="14"/>
  <c r="A107" i="14"/>
  <c r="A55" i="14"/>
  <c r="A47" i="14"/>
  <c r="A46" i="14"/>
  <c r="A45" i="14"/>
  <c r="A44" i="14"/>
  <c r="A48" i="14"/>
  <c r="A43" i="14"/>
  <c r="A49" i="14"/>
  <c r="A42" i="14"/>
  <c r="A41" i="14"/>
  <c r="A40"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189" i="14"/>
  <c r="A242" i="14"/>
  <c r="A3" i="14"/>
  <c r="Z243" i="14"/>
  <c r="Y243" i="14"/>
  <c r="AA243" i="14"/>
  <c r="Z256" i="13"/>
  <c r="Y256" i="13"/>
  <c r="AA3" i="13"/>
  <c r="AA256" i="13" s="1"/>
  <c r="AA244" i="12" l="1"/>
  <c r="AA243" i="12"/>
  <c r="AA242" i="12"/>
  <c r="AA241" i="12"/>
  <c r="Y248" i="12" l="1"/>
  <c r="Z248" i="12"/>
  <c r="AA3" i="12"/>
  <c r="AA248" i="12" l="1"/>
  <c r="Z211" i="11"/>
  <c r="Y211" i="11"/>
  <c r="AA151" i="11" l="1"/>
  <c r="AA4" i="11" l="1"/>
  <c r="AA150" i="11" l="1"/>
  <c r="AA149" i="11"/>
  <c r="AA148" i="11" l="1"/>
  <c r="AA147" i="11"/>
  <c r="AA146" i="11"/>
  <c r="AA3" i="11"/>
  <c r="AA211" i="11" l="1"/>
  <c r="Z43" i="9"/>
  <c r="AA43" i="9"/>
  <c r="Y43" i="9"/>
  <c r="Z53" i="7" l="1"/>
  <c r="Y53" i="7"/>
  <c r="Z78" i="6" l="1"/>
  <c r="Y78" i="6"/>
  <c r="Z10" i="10" l="1"/>
  <c r="AA10" i="10"/>
  <c r="Y10" i="10"/>
  <c r="Z64" i="8"/>
  <c r="AA64" i="8"/>
  <c r="Y64" i="8"/>
  <c r="AA73" i="5"/>
  <c r="Z73" i="5"/>
  <c r="Y73" i="5"/>
  <c r="Y139" i="2"/>
  <c r="AD164" i="1"/>
  <c r="Z164" i="1"/>
  <c r="Y164" i="1"/>
  <c r="Z239" i="4"/>
  <c r="Y239" i="4"/>
  <c r="Z100" i="2" l="1"/>
  <c r="Z139" i="2" s="1"/>
  <c r="AA139" i="1" l="1"/>
  <c r="AA100" i="2" l="1"/>
  <c r="AA139" i="2" s="1"/>
  <c r="AA9" i="6" l="1"/>
  <c r="AA78" i="6" s="1"/>
  <c r="AA21" i="7"/>
  <c r="AA4" i="7"/>
  <c r="AA3" i="7"/>
  <c r="AA53" i="7" l="1"/>
  <c r="AA19" i="4"/>
  <c r="AA13" i="4"/>
  <c r="AA14" i="4"/>
  <c r="AA15" i="4"/>
  <c r="AA16" i="4"/>
  <c r="AA17" i="4"/>
  <c r="AA18" i="4"/>
  <c r="AA12" i="4"/>
  <c r="AA11" i="4"/>
  <c r="AA10" i="4"/>
  <c r="AA4" i="4" l="1"/>
  <c r="AA5" i="4"/>
  <c r="AA6" i="4"/>
  <c r="AA7" i="4"/>
  <c r="AA8" i="4"/>
  <c r="AA9" i="4"/>
  <c r="AA3" i="4"/>
  <c r="AA162" i="1"/>
  <c r="AA163" i="1"/>
  <c r="AA160" i="1"/>
  <c r="AA161" i="1"/>
  <c r="AA159" i="1"/>
  <c r="AA158" i="1"/>
  <c r="AA157" i="1"/>
  <c r="AA156" i="1"/>
  <c r="AA155" i="1"/>
  <c r="AA154" i="1"/>
  <c r="AA151" i="1"/>
  <c r="AA143" i="1"/>
  <c r="AA144" i="1"/>
  <c r="AA145" i="1"/>
  <c r="AA146" i="1"/>
  <c r="AA147" i="1"/>
  <c r="AA148" i="1"/>
  <c r="AA149" i="1"/>
  <c r="AA150" i="1"/>
  <c r="AA142" i="1"/>
  <c r="AA239" i="4" l="1"/>
  <c r="AA141" i="1"/>
  <c r="AA140" i="1" l="1"/>
  <c r="AA138" i="1"/>
  <c r="AA137" i="1"/>
  <c r="AA136" i="1"/>
  <c r="AA135" i="1"/>
  <c r="AA134" i="1"/>
  <c r="AA133" i="1"/>
  <c r="AA132" i="1"/>
  <c r="AA131" i="1"/>
  <c r="AA130" i="1"/>
  <c r="AA129" i="1"/>
  <c r="AA128" i="1"/>
  <c r="AA127" i="1"/>
  <c r="AA126" i="1"/>
  <c r="AA119" i="1"/>
  <c r="AA120" i="1"/>
  <c r="AA121" i="1"/>
  <c r="AA122" i="1"/>
  <c r="AA123" i="1"/>
  <c r="AA124" i="1"/>
  <c r="AA125" i="1"/>
  <c r="AA118" i="1"/>
  <c r="AA117" i="1"/>
  <c r="AA116" i="1"/>
  <c r="AA115" i="1"/>
  <c r="AA114" i="1"/>
  <c r="AA113" i="1"/>
  <c r="AA105" i="1"/>
  <c r="AA106" i="1"/>
  <c r="AA107" i="1"/>
  <c r="AA108" i="1"/>
  <c r="AA109" i="1"/>
  <c r="AA110" i="1"/>
  <c r="AA111" i="1"/>
  <c r="AA112" i="1"/>
  <c r="AA104" i="1" l="1"/>
  <c r="AA103" i="1"/>
  <c r="AA102" i="1"/>
  <c r="AA101" i="1"/>
  <c r="AA100" i="1"/>
  <c r="AA99" i="1"/>
  <c r="AA92" i="1"/>
  <c r="AA93" i="1"/>
  <c r="AA94" i="1"/>
  <c r="AA95" i="1"/>
  <c r="AA96" i="1"/>
  <c r="AA97" i="1"/>
  <c r="AA98" i="1"/>
  <c r="AA91" i="1"/>
  <c r="AA16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LiYan</author>
  </authors>
  <commentList>
    <comment ref="Y60" authorId="0" shapeId="0" xr:uid="{A4DF9E69-C1F1-4DB9-A64D-951F233A41D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1" authorId="0" shapeId="0" xr:uid="{A1BFD613-FFD4-4F8D-BDEC-C131982F34F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2" authorId="0" shapeId="0" xr:uid="{3A35C27B-9CA0-433D-A10E-857D21012CC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3" authorId="0" shapeId="0" xr:uid="{BCA77BD3-EAA3-4715-A63D-42110A6CB11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4" authorId="0" shapeId="0" xr:uid="{DE292BCC-C884-4C4C-958F-27457F101D4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8" authorId="0" shapeId="0" xr:uid="{CFAA69B7-1A27-4B19-A364-41AB85AACCA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89" authorId="0" shapeId="0" xr:uid="{A1F5F585-2D45-4CE4-A684-5EF4B3DE059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2" authorId="0" shapeId="0" xr:uid="{F8503E7A-8709-4A51-8DD7-00B55B7791E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3" authorId="0" shapeId="0" xr:uid="{9C6DC466-D973-4816-8AA7-6870228AEFB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4" authorId="0" shapeId="0" xr:uid="{113475ED-57A1-4F00-9FEE-3698A21233C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5" authorId="0" shapeId="0" xr:uid="{08E985AF-6C21-4820-8712-133F41AEB69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6" authorId="0" shapeId="0" xr:uid="{3C29A9BF-007A-48B6-B895-47E59605335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7" authorId="0" shapeId="0" xr:uid="{E8182855-BE90-48DB-B5F5-B7BF8FA5D47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8" authorId="0" shapeId="0" xr:uid="{330538CF-30A1-4338-89CA-8A81E19557F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9" authorId="0" shapeId="0" xr:uid="{D8DCC9BC-9299-4A39-999D-5843E817478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0" authorId="0" shapeId="0" xr:uid="{C7BA87FA-8E7C-401C-A274-6D691559986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1" authorId="0" shapeId="0" xr:uid="{6298DF04-E97D-486E-8BEA-8ADD5579A93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2" authorId="0" shapeId="0" xr:uid="{87A1BF65-341A-452C-810D-A5819EEE5C4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3" authorId="0" shapeId="0" xr:uid="{459AAB77-D20B-434E-BD4E-F63F48E24B5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4" authorId="0" shapeId="0" xr:uid="{D9EC8AB6-A782-4D79-9E04-D1A55FFAAC5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5" authorId="0" shapeId="0" xr:uid="{6CA546CC-D208-4B12-95C8-E2BAE9B307C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6" authorId="0" shapeId="0" xr:uid="{8F0EB5FB-ECD5-4CDB-8B07-5E9335C0144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7" authorId="0" shapeId="0" xr:uid="{93256BEA-C164-4EB4-BE72-1F3299774F2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8" authorId="0" shapeId="0" xr:uid="{1CD5F36A-B451-4E16-87DD-EA7D85CEF9F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9" authorId="0" shapeId="0" xr:uid="{8159E979-F98C-498F-99DB-EB722B7A4E8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0" authorId="0" shapeId="0" xr:uid="{130A0700-D79E-4889-A163-D6394B3567E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1" authorId="0" shapeId="0" xr:uid="{15D4D151-9CF2-4CDB-B91E-880E721D8CF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2" authorId="0" shapeId="0" xr:uid="{3CF03622-8D00-495C-A386-7CF9673DC66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3" authorId="0" shapeId="0" xr:uid="{2C7021F9-5CAB-486D-9432-A17820F92EF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4" authorId="0" shapeId="0" xr:uid="{483F216F-2F4E-4C14-BC2C-04E01A6A529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5" authorId="0" shapeId="0" xr:uid="{CF746AD0-5DB2-479D-B0F9-D124D784845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6" authorId="0" shapeId="0" xr:uid="{CC2FF5B2-A17E-4CE4-A2C2-219B5CCD08E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7" authorId="0" shapeId="0" xr:uid="{3AEF6C13-E294-414E-8E9A-7D71F98A39A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8" authorId="0" shapeId="0" xr:uid="{9C85ED0F-EBB0-4691-9F85-B0D65E43D24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9" authorId="0" shapeId="0" xr:uid="{B1C92BAF-B9A5-4165-84E7-AD46104949B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0" authorId="0" shapeId="0" xr:uid="{87EDA61E-0CEC-4197-8378-DDA4A5B9153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3" authorId="0" shapeId="0" xr:uid="{67C12DA4-FA85-40A5-9DD5-DBE0416CAC0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6" authorId="0" shapeId="0" xr:uid="{3A02BD8A-7C22-4830-803B-E0DF8272AA9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41" authorId="0" shapeId="0" xr:uid="{34821B87-6C20-4E6B-AC16-2C0C20774C8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42" authorId="0" shapeId="0" xr:uid="{1AEBE949-3668-42D9-9E74-B7E1D6E74C1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43" authorId="0" shapeId="0" xr:uid="{140F8080-B17E-4136-9C10-E09AA8A0783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0" authorId="0" shapeId="0" xr:uid="{46AA0962-65D5-4509-9DF3-DD004C9EC7F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1" authorId="0" shapeId="0" xr:uid="{99A4B920-61EA-4ACB-9AD8-890AC88209E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2" authorId="0" shapeId="0" xr:uid="{EEC2F6EA-FB7B-48C5-9F0D-080A4554914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3" authorId="0" shapeId="0" xr:uid="{5AEE3AE8-7BB1-47A7-AFDB-9E88FC1EC3D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8" authorId="0" shapeId="0" xr:uid="{D738527C-C174-4B81-84D6-9286B1087B2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9" authorId="0" shapeId="0" xr:uid="{803ACD6C-73D7-4C99-91D8-0E7F9061FFB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00" authorId="0" shapeId="0" xr:uid="{A2E8AAFF-4D5E-4108-9A6F-41825EF057F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01" authorId="0" shapeId="0" xr:uid="{7F555442-5A60-4904-AFA7-BFCB63FEB84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02" authorId="0" shapeId="0" xr:uid="{37CD52CE-E7A6-4BA6-AE25-8F21BC22AEC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7" authorId="0" shapeId="0" xr:uid="{B136B3CF-165D-4E84-8942-239F4C5E3E9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34" authorId="0" shapeId="0" xr:uid="{8A53E537-4BEF-4658-95B4-2593D5E8ED9B}">
      <text>
        <r>
          <rPr>
            <b/>
            <sz val="9"/>
            <color indexed="81"/>
            <rFont val="Tahoma"/>
            <family val="2"/>
          </rPr>
          <t>LiYan:</t>
        </r>
        <r>
          <rPr>
            <sz val="9"/>
            <color indexed="81"/>
            <rFont val="Tahoma"/>
            <family val="2"/>
          </rPr>
          <t xml:space="preserve">
</t>
        </r>
        <r>
          <rPr>
            <sz val="9"/>
            <color indexed="81"/>
            <rFont val="宋体"/>
            <family val="3"/>
            <charset val="134"/>
          </rPr>
          <t>电子版合同</t>
        </r>
      </text>
    </comment>
    <comment ref="Y239" authorId="0" shapeId="0" xr:uid="{A1FAE70A-32D4-43B8-81F9-4A4A60C1311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0" authorId="0" shapeId="0" xr:uid="{EC5576A5-27C2-49C8-9C6D-F0BC0DBAFF6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1" authorId="0" shapeId="0" xr:uid="{BE678E26-1B55-4ECE-B76B-7367DE0DEA2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2" authorId="0" shapeId="0" xr:uid="{0B30F6C6-FECD-4FEA-935D-FAB392D2983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3" authorId="0" shapeId="0" xr:uid="{6D6D51E3-D605-4A56-AE77-8B0A65EA625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7" authorId="0" shapeId="0" xr:uid="{FB64D7F9-891E-4D6E-8F7E-4D039461ADC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2" authorId="0" shapeId="0" xr:uid="{A4136702-95FB-4D3B-8F72-6AF5E671062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3" authorId="0" shapeId="0" xr:uid="{653C9D3F-D616-47E5-A00A-8C36A87203F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4" authorId="0" shapeId="0" xr:uid="{BF943037-AF4E-4A24-A409-1721963D01E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5" authorId="0" shapeId="0" xr:uid="{0A6D044F-2E3B-47DE-A28B-CBF5921419C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6" authorId="0" shapeId="0" xr:uid="{69BF1B43-2920-4943-95B5-92872A4B832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7" authorId="0" shapeId="0" xr:uid="{3A7DAD26-98C7-438D-A5A1-9A0A046958B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9" authorId="0" shapeId="0" xr:uid="{81693F4A-379F-4226-99B4-8051F48634B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0" authorId="0" shapeId="0" xr:uid="{B147298B-FC6B-4A24-A567-086AD0FAC1F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1" authorId="0" shapeId="0" xr:uid="{3C53EE7E-E451-421B-8753-493D5BE4D76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2" authorId="0" shapeId="0" xr:uid="{46C93B3A-6FD3-4D92-96DA-8217271531A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3" authorId="0" shapeId="0" xr:uid="{C1A96BF9-FBD7-4F5E-A0F3-9DFB302A728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4" authorId="0" shapeId="0" xr:uid="{6402A6DA-59D5-4D5C-B43F-5437B6F32EA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5" authorId="0" shapeId="0" xr:uid="{F24D4C3D-3E71-4D72-8D38-F157AFA797A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88" authorId="0" shapeId="0" xr:uid="{1C25591E-54E5-470D-818D-EB4476B7AF0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89" authorId="0" shapeId="0" xr:uid="{C7442734-D861-410D-8C53-48DAE702306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0" authorId="0" shapeId="0" xr:uid="{4C7677D9-BB5B-4907-9BF5-1EC58CDA06F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1" authorId="0" shapeId="0" xr:uid="{F80D01AA-FCF1-45F7-A090-C3CBF3DE145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2" authorId="0" shapeId="0" xr:uid="{EDDE02FB-A1A6-4C63-B86F-76773D298BD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3" authorId="0" shapeId="0" xr:uid="{5E05038E-E9EA-4476-B01D-F55FA8C4BC3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4" authorId="0" shapeId="0" xr:uid="{AFC86DB3-953B-4BCF-95A2-9DBCF1FD089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5" authorId="0" shapeId="0" xr:uid="{EC992ECB-12CE-4960-8143-7ED436A241B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6" authorId="0" shapeId="0" xr:uid="{644CD6B0-4034-44BC-B24C-53768A096F9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7" authorId="0" shapeId="0" xr:uid="{0513BFB5-CB09-40A7-8B77-A78D749C229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8" authorId="0" shapeId="0" xr:uid="{3F12E629-F608-4BDA-99A0-B7E6D3218DC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9" authorId="0" shapeId="0" xr:uid="{32572B52-C8D1-433E-82D3-765A293E609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0" authorId="0" shapeId="0" xr:uid="{D5CA4CCA-B72C-4170-A375-EF40F02920F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1" authorId="0" shapeId="0" xr:uid="{4EAD9283-0678-4FB9-95F9-11F8E9FA0F4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2" authorId="0" shapeId="0" xr:uid="{68B572B7-3B82-4C00-8374-22B9DB2F89D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3" authorId="0" shapeId="0" xr:uid="{29F93D33-7DE5-408A-A6C6-817BC4B6BA1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14" authorId="0" shapeId="0" xr:uid="{F7309FF7-259B-4E1E-A2DB-0F2B6AB3C3F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17" authorId="0" shapeId="0" xr:uid="{D83FB883-0DAF-442E-B2EF-6D6FB9339C2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LiYan</author>
    <author>Administrator</author>
  </authors>
  <commentList>
    <comment ref="Y3" authorId="0" shapeId="0" xr:uid="{E36A776C-48CF-469D-9B48-EB6F63D7CED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 authorId="0" shapeId="0" xr:uid="{A06EB30F-9122-45B0-9FCE-98FD4684D86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 authorId="0" shapeId="0" xr:uid="{2DF4A001-15F5-45C2-9DA6-FBB08348FAB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 authorId="0" shapeId="0" xr:uid="{C8A1E3A4-71AD-4D6D-8F46-5706FD1ACA2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7" authorId="0" shapeId="0" xr:uid="{3B68DF7A-8E93-405A-A525-DA7546B411FB}">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48" authorId="0" shapeId="0" xr:uid="{AB771CC4-E585-49C6-8C43-14B59183EA1B}">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53" authorId="0" shapeId="0" xr:uid="{442047D9-E91E-4159-8BEC-5FE2EBA5E9C0}">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AB71" authorId="1" shapeId="0" xr:uid="{A2A1053B-885D-477A-8EF6-9F70725F9753}">
      <text>
        <r>
          <rPr>
            <b/>
            <sz val="9"/>
            <color indexed="81"/>
            <rFont val="宋体"/>
            <family val="3"/>
            <charset val="134"/>
          </rPr>
          <t>Administrator:</t>
        </r>
        <r>
          <rPr>
            <sz val="9"/>
            <color indexed="81"/>
            <rFont val="宋体"/>
            <family val="3"/>
            <charset val="134"/>
          </rPr>
          <t xml:space="preserve">
2024年11月30日开票21.5225万元发票，合同金额变更。</t>
        </r>
      </text>
    </comment>
    <comment ref="AD71" authorId="1" shapeId="0" xr:uid="{295222EB-E44C-405E-A58B-7AEA131374E7}">
      <text>
        <r>
          <rPr>
            <b/>
            <sz val="9"/>
            <color indexed="81"/>
            <rFont val="宋体"/>
            <family val="3"/>
            <charset val="134"/>
          </rPr>
          <t>Administrator:</t>
        </r>
        <r>
          <rPr>
            <sz val="9"/>
            <color indexed="81"/>
            <rFont val="宋体"/>
            <family val="3"/>
            <charset val="134"/>
          </rPr>
          <t xml:space="preserve">
2024年11月30日开票21.5225万元发票，合同金额变更。</t>
        </r>
      </text>
    </comment>
    <comment ref="AB72" authorId="1" shapeId="0" xr:uid="{A4506ECE-3796-4615-BF9F-996312C6C018}">
      <text>
        <r>
          <rPr>
            <b/>
            <sz val="9"/>
            <color indexed="81"/>
            <rFont val="宋体"/>
            <family val="3"/>
            <charset val="134"/>
          </rPr>
          <t>Administrator:</t>
        </r>
        <r>
          <rPr>
            <sz val="9"/>
            <color indexed="81"/>
            <rFont val="宋体"/>
            <family val="3"/>
            <charset val="134"/>
          </rPr>
          <t xml:space="preserve">
2024年11月30日开票22.5274万元发票，合同金额变更。</t>
        </r>
      </text>
    </comment>
    <comment ref="AD72" authorId="1" shapeId="0" xr:uid="{151C7629-9FA9-42EE-B949-111B4DACFB48}">
      <text>
        <r>
          <rPr>
            <b/>
            <sz val="9"/>
            <color indexed="81"/>
            <rFont val="宋体"/>
            <family val="3"/>
            <charset val="134"/>
          </rPr>
          <t>Administrator:</t>
        </r>
        <r>
          <rPr>
            <sz val="9"/>
            <color indexed="81"/>
            <rFont val="宋体"/>
            <family val="3"/>
            <charset val="134"/>
          </rPr>
          <t xml:space="preserve">
2024年11月30日开票22.5274万元发票，合同金额变更。</t>
        </r>
      </text>
    </comment>
    <comment ref="Y73" authorId="0" shapeId="0" xr:uid="{3CC7F5CA-3131-4F7C-BD90-1F8A22178FC2}">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76" authorId="0" shapeId="0" xr:uid="{24EE06ED-9905-49FC-A577-DDEA52FDF2A3}">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77" authorId="0" shapeId="0" xr:uid="{02F46D86-E1AD-416C-A06B-F53281118B16}">
      <text>
        <r>
          <rPr>
            <b/>
            <sz val="9"/>
            <color indexed="81"/>
            <rFont val="Tahoma"/>
            <family val="2"/>
          </rPr>
          <t>LiYan:</t>
        </r>
        <r>
          <rPr>
            <sz val="9"/>
            <color indexed="81"/>
            <rFont val="Tahoma"/>
            <family val="2"/>
          </rPr>
          <t xml:space="preserve">
</t>
        </r>
        <r>
          <rPr>
            <sz val="9"/>
            <color indexed="81"/>
            <rFont val="宋体"/>
            <family val="3"/>
            <charset val="134"/>
          </rPr>
          <t>合同原件后邮寄</t>
        </r>
      </text>
    </comment>
    <comment ref="Y83" authorId="0" shapeId="0" xr:uid="{595DA0DB-FFB6-4146-ABAF-D84B8193A01D}">
      <text>
        <r>
          <rPr>
            <b/>
            <sz val="9"/>
            <color indexed="81"/>
            <rFont val="Tahoma"/>
            <family val="2"/>
          </rPr>
          <t>LiYan:</t>
        </r>
        <r>
          <rPr>
            <sz val="9"/>
            <color indexed="81"/>
            <rFont val="Tahoma"/>
            <family val="2"/>
          </rPr>
          <t xml:space="preserve">
</t>
        </r>
        <r>
          <rPr>
            <sz val="9"/>
            <color indexed="81"/>
            <rFont val="宋体"/>
            <family val="3"/>
            <charset val="134"/>
          </rPr>
          <t>合同原件后邮寄</t>
        </r>
      </text>
    </comment>
    <comment ref="Y87" authorId="0" shapeId="0" xr:uid="{F57517F7-6776-4E3A-9A99-689D580A3210}">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95" authorId="0" shapeId="0" xr:uid="{4BB93112-BDBC-418E-9DE2-E8A94DBC4421}">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96" authorId="0" shapeId="0" xr:uid="{7C17111F-2362-4C8F-95BE-384E78CB0590}">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97" authorId="0" shapeId="0" xr:uid="{BF02C4AF-8C22-465D-97B9-058B94162163}">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X103" authorId="1" shapeId="0" xr:uid="{422D4BFB-D311-402A-B3A4-2C200E1B0647}">
      <text>
        <r>
          <rPr>
            <b/>
            <sz val="9"/>
            <color indexed="81"/>
            <rFont val="宋体"/>
            <family val="3"/>
            <charset val="134"/>
          </rPr>
          <t>Administrator:</t>
        </r>
        <r>
          <rPr>
            <sz val="9"/>
            <color indexed="81"/>
            <rFont val="宋体"/>
            <family val="3"/>
            <charset val="134"/>
          </rPr>
          <t xml:space="preserve">
含技术协议1份</t>
        </r>
      </text>
    </comment>
    <comment ref="Y110" authorId="0" shapeId="0" xr:uid="{A05A6E27-A39E-40DF-9500-FBDC0F876A73}">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1" authorId="0" shapeId="0" xr:uid="{2FE0130A-1E53-44AC-950F-E09E6CF1BA37}">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4" authorId="0" shapeId="0" xr:uid="{35930EFD-4C14-4C37-958A-058890903344}">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5" authorId="0" shapeId="0" xr:uid="{BC70EAF5-DB7E-4752-B3E7-7399A5D53E4F}">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6" authorId="0" shapeId="0" xr:uid="{583F7033-BB7F-4184-B821-148BFB7DEF1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7" authorId="0" shapeId="0" xr:uid="{DA8067F8-868E-4666-A47C-CDCA1330291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8" authorId="0" shapeId="0" xr:uid="{DE4CA3E8-2989-449C-9E53-4DE7B709034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9" authorId="0" shapeId="0" xr:uid="{A8CCB64D-C7E5-4DCB-8916-4ADC7C27F8C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0" authorId="0" shapeId="0" xr:uid="{0DDD8527-22DA-4C0C-8000-A75CB05F2B1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1" authorId="0" shapeId="0" xr:uid="{52B56C76-4DBD-4313-8E17-79FF3AE1761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2" authorId="0" shapeId="0" xr:uid="{B418549D-8549-4D0B-BF3D-E04F2579487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4" authorId="0" shapeId="0" xr:uid="{8AA8CD6E-4F0F-4F4A-8248-FCAA20FCEC7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35" authorId="0" shapeId="0" xr:uid="{EBD8DEF8-B7AF-4AAE-928E-99F2B071E64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64" authorId="0" shapeId="0" xr:uid="{B1EE2103-C5B9-4536-A95C-793FBB056A0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82" authorId="1" shapeId="0" xr:uid="{1A9BD9C2-F662-4EC5-905C-238BBF29EF74}">
      <text>
        <r>
          <rPr>
            <b/>
            <sz val="9"/>
            <color indexed="81"/>
            <rFont val="宋体"/>
            <family val="3"/>
            <charset val="134"/>
          </rPr>
          <t>Administrator:</t>
        </r>
        <r>
          <rPr>
            <sz val="9"/>
            <color indexed="81"/>
            <rFont val="宋体"/>
            <family val="3"/>
            <charset val="134"/>
          </rPr>
          <t xml:space="preserve">
技术协议2份</t>
        </r>
      </text>
    </comment>
    <comment ref="Y183" authorId="0" shapeId="0" xr:uid="{6B871F8E-9C89-4C23-8046-DBFB80BCDB1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84" authorId="0" shapeId="0" xr:uid="{1B88C518-7315-4B23-819F-1DE75934326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0" authorId="0" shapeId="0" xr:uid="{FF6B0BE9-747E-4A20-9D6B-432541B2A00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4" authorId="0" shapeId="0" xr:uid="{25157738-37A1-400A-BD04-643AD9AA0DE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LiYan</author>
  </authors>
  <commentList>
    <comment ref="Y14" authorId="0" shapeId="0" xr:uid="{31D5B07B-EDCB-4361-AADB-3D04E79543B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6" authorId="0" shapeId="0" xr:uid="{AF07D819-F965-4B8B-8201-A6949CA216A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40" authorId="0" shapeId="0" xr:uid="{35C38899-BAC3-4A7E-89D1-8B614FE563C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58" authorId="0" shapeId="0" xr:uid="{921032A9-0ECE-4E8B-AA5A-843FB27DFAF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0" authorId="0" shapeId="0" xr:uid="{05142E93-EE3B-494B-8DC1-C4CCCC04356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4" authorId="0" shapeId="0" xr:uid="{8ACF8A70-E862-497E-95E8-AEA7267A865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5" authorId="0" shapeId="0" xr:uid="{246379CE-43AB-42F8-A1FE-F58C87BC104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6" authorId="0" shapeId="0" xr:uid="{FEAB08E1-61EC-48AC-B5A4-99889B544DD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7" authorId="0" shapeId="0" xr:uid="{C1B46689-D14F-459C-A783-5ADA15572BE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5" authorId="0" shapeId="0" xr:uid="{AA66668A-FDAD-4454-ABB0-3D81DC16045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6" authorId="0" shapeId="0" xr:uid="{0F519F0A-EF38-41C5-9730-65F3447B7CA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7" authorId="0" shapeId="0" xr:uid="{D45FE2D2-B3E4-47BA-B9FB-E0FEE7C33C6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6" authorId="0" shapeId="0" xr:uid="{9F6F907A-286C-41BC-B3CD-649A59F9AD8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9" authorId="0" shapeId="0" xr:uid="{C48993EF-FF88-45FD-8426-B52E7C96C41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0" authorId="0" shapeId="0" xr:uid="{1D99C468-3745-48DE-BA68-595F416B396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30" authorId="0" shapeId="0" xr:uid="{A4D7E8B6-C31E-42D4-B0CA-22B95D49129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58" authorId="0" shapeId="0" xr:uid="{4BA366F8-CF4E-4998-B62F-066591393F2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59" authorId="0" shapeId="0" xr:uid="{74640863-DEF0-4E08-BB75-E62F1AC5945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60" authorId="0" shapeId="0" xr:uid="{130B33F3-9CCD-4044-B15E-72FB3C5F7F3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18" authorId="0" shapeId="0" xr:uid="{1C0FCD5D-F086-4CFD-9B22-217A2621DFE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19" authorId="0" shapeId="0" xr:uid="{478BE566-410F-4784-B54F-87A7E64A389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0" authorId="0" shapeId="0" xr:uid="{69533050-DB1F-4E74-BD46-B0CB2C58778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1" authorId="0" shapeId="0" xr:uid="{CFF6DDC5-4A49-4A1B-9087-F7FEE17C47B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2" authorId="0" shapeId="0" xr:uid="{5495E75A-C8D2-496E-88D8-8039810FD5F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3" authorId="0" shapeId="0" xr:uid="{30D96395-F29F-4C65-875D-7AFC1B20D8D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33" authorId="0" shapeId="0" xr:uid="{D1527404-A58E-41D8-B0B9-F4246E18CDC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LiYan</author>
    <author>Administrator</author>
  </authors>
  <commentList>
    <comment ref="V14" authorId="0" shapeId="0" xr:uid="{00000000-0006-0000-0000-00000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 authorId="0" shapeId="0" xr:uid="{00000000-0006-0000-0000-00000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 authorId="0" shapeId="0" xr:uid="{00000000-0006-0000-0000-00000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 authorId="0" shapeId="0" xr:uid="{00000000-0006-0000-0000-00000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 authorId="0" shapeId="0" xr:uid="{00000000-0006-0000-00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 authorId="0" shapeId="0" xr:uid="{00000000-0006-0000-00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 authorId="0" shapeId="0" xr:uid="{00000000-0006-0000-00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6" authorId="0" shapeId="0" xr:uid="{00000000-0006-0000-00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7" authorId="0" shapeId="0" xr:uid="{00000000-0006-0000-00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0" shapeId="0" xr:uid="{00000000-0006-0000-00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5" authorId="0" shapeId="0" xr:uid="{00000000-0006-0000-0000-00000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8" authorId="0" shapeId="0" xr:uid="{00000000-0006-0000-00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3" authorId="1" shapeId="0" xr:uid="{BF5F8DB9-AA2F-4E79-9E90-6A702FB52AF9}">
      <text>
        <r>
          <rPr>
            <b/>
            <sz val="9"/>
            <color indexed="81"/>
            <rFont val="宋体"/>
            <family val="3"/>
            <charset val="134"/>
          </rPr>
          <t>Administrator:</t>
        </r>
        <r>
          <rPr>
            <sz val="9"/>
            <color indexed="81"/>
            <rFont val="宋体"/>
            <family val="3"/>
            <charset val="134"/>
          </rPr>
          <t xml:space="preserve">
合同为电子版</t>
        </r>
      </text>
    </comment>
    <comment ref="V144" authorId="0" shapeId="0" xr:uid="{C35B0124-F07C-4CC3-8C43-B63C608CB13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5" authorId="0" shapeId="0" xr:uid="{BBD7E877-0BED-4309-A3FE-0BE13FB9F18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6" authorId="0" shapeId="0" xr:uid="{FCAA7A59-585A-40AE-81B1-C3C37C36B74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1" authorId="0" shapeId="0" xr:uid="{1888DFD3-28C8-4BC9-8537-46085208005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4" authorId="0" shapeId="0" xr:uid="{1679AFC4-B0D6-4F54-9242-6CFDA0D3102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5" authorId="0" shapeId="0" xr:uid="{9FFEB6EE-AFAD-42ED-A3FE-4806E6437F4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6" authorId="0" shapeId="0" xr:uid="{801A8826-A1D4-4735-931E-79F0B92D9DC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7" authorId="0" shapeId="0" xr:uid="{C430FC9F-E6B0-432D-87AE-1035EEBA009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8" authorId="0" shapeId="0" xr:uid="{4A3E2D69-DB2D-438A-98AA-5E84BC531D6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9" authorId="0" shapeId="0" xr:uid="{672C6CDB-9028-4762-9BCE-7A4493BC71F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0" authorId="0" shapeId="0" xr:uid="{11E18B29-6643-4567-8730-279B541BAF2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1" authorId="0" shapeId="0" xr:uid="{B9491048-3701-4200-BF56-8BD42013BE1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2" authorId="0" shapeId="0" xr:uid="{DCB84A31-A6F7-4FA4-9182-1470ADC7666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3" authorId="0" shapeId="0" xr:uid="{9ADFB522-AD84-4808-A855-925F839B2D0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4" authorId="0" shapeId="0" xr:uid="{319AB86E-B697-4FDB-8C0C-9648FE7926D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5" authorId="0" shapeId="0" xr:uid="{7E2A72F3-8EA1-462E-8F0E-F06A3F2D6A4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6" authorId="0" shapeId="0" xr:uid="{5ECBAD69-AEE6-4010-972D-D4A107F723C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7" authorId="0" shapeId="0" xr:uid="{1CF19C79-D906-40EF-9996-0383CD55AB6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7" authorId="0" shapeId="0" xr:uid="{233AEDB1-BF98-4982-BBBD-83EDDAEBC1A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8" authorId="0" shapeId="0" xr:uid="{25B85FCA-6789-4AAC-8615-56DA07C7754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9" authorId="0" shapeId="0" xr:uid="{15CF0050-E500-4E4F-A329-513E0CE8C6F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0" authorId="0" shapeId="0" xr:uid="{8D98CAA2-AA26-4C0A-847B-7C4AA5207D4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1" authorId="0" shapeId="0" xr:uid="{73CE7A8E-5F9A-4B77-855C-23356991425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2" authorId="0" shapeId="0" xr:uid="{D3DC2C2D-D66F-46C6-B236-05FF90CCB3B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3" authorId="0" shapeId="0" xr:uid="{61377F09-E706-43DE-9BE3-B8D0C8DC02C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4" authorId="0" shapeId="0" xr:uid="{E4ACFEB5-2F3E-45E8-9B06-46238F559F7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5" authorId="0" shapeId="0" xr:uid="{789B37F7-7277-4C0C-9A00-6ADF59ECB4F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6" authorId="0" shapeId="0" xr:uid="{04EF8DAD-6D99-46BD-9EDB-A18025BD0CA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4" authorId="0" shapeId="0" xr:uid="{BBE8AE0E-BDCE-4E9D-B9E2-BAAB3675825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xmzx</author>
    <author>Administrator</author>
    <author>LiYan</author>
  </authors>
  <commentList>
    <comment ref="V4" authorId="0" shapeId="0" xr:uid="{00000000-0006-0000-0100-000001000000}">
      <text>
        <r>
          <rPr>
            <b/>
            <sz val="9"/>
            <color indexed="81"/>
            <rFont val="宋体"/>
            <family val="3"/>
            <charset val="134"/>
          </rPr>
          <t>xmzx:</t>
        </r>
        <r>
          <rPr>
            <sz val="9"/>
            <color indexed="81"/>
            <rFont val="宋体"/>
            <family val="3"/>
            <charset val="134"/>
          </rPr>
          <t xml:space="preserve">
只有1份合同原件交给财务</t>
        </r>
      </text>
    </comment>
    <comment ref="V5" authorId="0" shapeId="0" xr:uid="{00000000-0006-0000-0100-000002000000}">
      <text>
        <r>
          <rPr>
            <b/>
            <sz val="9"/>
            <color indexed="81"/>
            <rFont val="宋体"/>
            <family val="3"/>
            <charset val="134"/>
          </rPr>
          <t>xmzx:</t>
        </r>
        <r>
          <rPr>
            <sz val="9"/>
            <color indexed="81"/>
            <rFont val="宋体"/>
            <family val="3"/>
            <charset val="134"/>
          </rPr>
          <t xml:space="preserve">
只有1份合同原件交给财务</t>
        </r>
      </text>
    </comment>
    <comment ref="V6" authorId="0" shapeId="0" xr:uid="{00000000-0006-0000-0100-000003000000}">
      <text>
        <r>
          <rPr>
            <b/>
            <sz val="9"/>
            <color indexed="81"/>
            <rFont val="宋体"/>
            <family val="3"/>
            <charset val="134"/>
          </rPr>
          <t>xmzx:</t>
        </r>
        <r>
          <rPr>
            <sz val="9"/>
            <color indexed="81"/>
            <rFont val="宋体"/>
            <family val="3"/>
            <charset val="134"/>
          </rPr>
          <t xml:space="preserve">
只有1份合同原件交给财务</t>
        </r>
      </text>
    </comment>
    <comment ref="V7" authorId="0" shapeId="0" xr:uid="{00000000-0006-0000-0100-000004000000}">
      <text>
        <r>
          <rPr>
            <b/>
            <sz val="9"/>
            <color indexed="81"/>
            <rFont val="宋体"/>
            <family val="3"/>
            <charset val="134"/>
          </rPr>
          <t>xmzx:</t>
        </r>
        <r>
          <rPr>
            <sz val="9"/>
            <color indexed="81"/>
            <rFont val="宋体"/>
            <family val="3"/>
            <charset val="134"/>
          </rPr>
          <t xml:space="preserve">
只有1份合同原件交给财务</t>
        </r>
      </text>
    </comment>
    <comment ref="V10" authorId="1" shapeId="0" xr:uid="{DD30A370-DC32-4E02-846B-FE8F619D9507}">
      <text>
        <r>
          <rPr>
            <b/>
            <sz val="9"/>
            <color indexed="81"/>
            <rFont val="宋体"/>
            <family val="3"/>
            <charset val="134"/>
          </rPr>
          <t>Administrator:</t>
        </r>
        <r>
          <rPr>
            <sz val="9"/>
            <color indexed="81"/>
            <rFont val="宋体"/>
            <family val="3"/>
            <charset val="134"/>
          </rPr>
          <t xml:space="preserve">
原件于2023.12.7给业主。业主原件丢失，必须有原件才可支付。</t>
        </r>
      </text>
    </comment>
    <comment ref="V14" authorId="2" shapeId="0" xr:uid="{00000000-0006-0000-01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 authorId="2" shapeId="0" xr:uid="{00000000-0006-0000-01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 authorId="2" shapeId="0" xr:uid="{00000000-0006-0000-01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 authorId="2" shapeId="0" xr:uid="{00000000-0006-0000-01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 authorId="2" shapeId="0" xr:uid="{00000000-0006-0000-01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 authorId="2" shapeId="0" xr:uid="{00000000-0006-0000-01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 authorId="2" shapeId="0" xr:uid="{00000000-0006-0000-0100-00000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 authorId="2" shapeId="0" xr:uid="{00000000-0006-0000-01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 authorId="2" shapeId="0" xr:uid="{00000000-0006-0000-0100-00000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4" authorId="2" shapeId="0" xr:uid="{00000000-0006-0000-0100-00000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 authorId="2" shapeId="0" xr:uid="{00000000-0006-0000-0100-00000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4" authorId="2" shapeId="0" xr:uid="{00000000-0006-0000-0100-00001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5" authorId="2" shapeId="0" xr:uid="{00000000-0006-0000-0100-00001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71" authorId="0" shapeId="0" xr:uid="{00000000-0006-0000-0100-000012000000}">
      <text>
        <r>
          <rPr>
            <b/>
            <sz val="9"/>
            <color indexed="81"/>
            <rFont val="宋体"/>
            <family val="3"/>
            <charset val="134"/>
          </rPr>
          <t>xmzx:</t>
        </r>
        <r>
          <rPr>
            <sz val="9"/>
            <color indexed="81"/>
            <rFont val="宋体"/>
            <family val="3"/>
            <charset val="134"/>
          </rPr>
          <t xml:space="preserve">
只有1份原件给财务</t>
        </r>
      </text>
    </comment>
    <comment ref="V74" authorId="0" shapeId="0" xr:uid="{00000000-0006-0000-0100-000013000000}">
      <text>
        <r>
          <rPr>
            <b/>
            <sz val="9"/>
            <color indexed="81"/>
            <rFont val="宋体"/>
            <family val="3"/>
            <charset val="134"/>
          </rPr>
          <t>xmzx:</t>
        </r>
        <r>
          <rPr>
            <sz val="9"/>
            <color indexed="81"/>
            <rFont val="宋体"/>
            <family val="3"/>
            <charset val="134"/>
          </rPr>
          <t xml:space="preserve">
只有1份原件给财务</t>
        </r>
      </text>
    </comment>
    <comment ref="V84" authorId="0" shapeId="0" xr:uid="{00000000-0006-0000-0100-000014000000}">
      <text>
        <r>
          <rPr>
            <b/>
            <sz val="9"/>
            <color indexed="81"/>
            <rFont val="宋体"/>
            <family val="3"/>
            <charset val="134"/>
          </rPr>
          <t>xmzx:</t>
        </r>
        <r>
          <rPr>
            <sz val="9"/>
            <color indexed="81"/>
            <rFont val="宋体"/>
            <family val="3"/>
            <charset val="134"/>
          </rPr>
          <t xml:space="preserve">
没有红章原件，合同为电子版打印黑章</t>
        </r>
      </text>
    </comment>
    <comment ref="V90" authorId="0" shapeId="0" xr:uid="{00000000-0006-0000-0100-000015000000}">
      <text>
        <r>
          <rPr>
            <b/>
            <sz val="9"/>
            <color indexed="81"/>
            <rFont val="宋体"/>
            <family val="3"/>
            <charset val="134"/>
          </rPr>
          <t>xmzx:</t>
        </r>
        <r>
          <rPr>
            <sz val="9"/>
            <color indexed="81"/>
            <rFont val="宋体"/>
            <family val="3"/>
            <charset val="134"/>
          </rPr>
          <t xml:space="preserve">
没有红章原件，合同为电子版打印黑章</t>
        </r>
      </text>
    </comment>
    <comment ref="V91" authorId="0" shapeId="0" xr:uid="{00000000-0006-0000-0100-000016000000}">
      <text>
        <r>
          <rPr>
            <b/>
            <sz val="9"/>
            <color indexed="81"/>
            <rFont val="宋体"/>
            <family val="3"/>
            <charset val="134"/>
          </rPr>
          <t>xmzx:</t>
        </r>
        <r>
          <rPr>
            <sz val="9"/>
            <color indexed="81"/>
            <rFont val="宋体"/>
            <family val="3"/>
            <charset val="134"/>
          </rPr>
          <t xml:space="preserve">
没有红章原件，合同为电子版打印黑章</t>
        </r>
      </text>
    </comment>
    <comment ref="V100" authorId="0" shapeId="0" xr:uid="{00000000-0006-0000-0100-000017000000}">
      <text>
        <r>
          <rPr>
            <b/>
            <sz val="9"/>
            <color indexed="81"/>
            <rFont val="宋体"/>
            <family val="3"/>
            <charset val="134"/>
          </rPr>
          <t>xmzx:</t>
        </r>
        <r>
          <rPr>
            <sz val="9"/>
            <color indexed="81"/>
            <rFont val="宋体"/>
            <family val="3"/>
            <charset val="134"/>
          </rPr>
          <t xml:space="preserve">
只有1份原件给财务</t>
        </r>
      </text>
    </comment>
    <comment ref="V102" authorId="0" shapeId="0" xr:uid="{00000000-0006-0000-0100-000018000000}">
      <text>
        <r>
          <rPr>
            <b/>
            <sz val="9"/>
            <color indexed="81"/>
            <rFont val="宋体"/>
            <family val="3"/>
            <charset val="134"/>
          </rPr>
          <t>xmzx:</t>
        </r>
        <r>
          <rPr>
            <sz val="9"/>
            <color indexed="81"/>
            <rFont val="宋体"/>
            <family val="3"/>
            <charset val="134"/>
          </rPr>
          <t xml:space="preserve">
只有1份原件给财务</t>
        </r>
      </text>
    </comment>
    <comment ref="V103" authorId="0" shapeId="0" xr:uid="{00000000-0006-0000-0100-000019000000}">
      <text>
        <r>
          <rPr>
            <b/>
            <sz val="9"/>
            <color indexed="81"/>
            <rFont val="宋体"/>
            <family val="3"/>
            <charset val="134"/>
          </rPr>
          <t>xmzx:</t>
        </r>
        <r>
          <rPr>
            <sz val="9"/>
            <color indexed="81"/>
            <rFont val="宋体"/>
            <family val="3"/>
            <charset val="134"/>
          </rPr>
          <t xml:space="preserve">
只有1份原件给财务</t>
        </r>
      </text>
    </comment>
    <comment ref="V104" authorId="0" shapeId="0" xr:uid="{00000000-0006-0000-0100-00001A000000}">
      <text>
        <r>
          <rPr>
            <b/>
            <sz val="9"/>
            <color indexed="81"/>
            <rFont val="宋体"/>
            <family val="3"/>
            <charset val="134"/>
          </rPr>
          <t>xmzx:</t>
        </r>
        <r>
          <rPr>
            <sz val="9"/>
            <color indexed="81"/>
            <rFont val="宋体"/>
            <family val="3"/>
            <charset val="134"/>
          </rPr>
          <t xml:space="preserve">
只有1份原件给财务</t>
        </r>
      </text>
    </comment>
    <comment ref="V105" authorId="0" shapeId="0" xr:uid="{00000000-0006-0000-0100-00001B000000}">
      <text>
        <r>
          <rPr>
            <b/>
            <sz val="9"/>
            <color indexed="81"/>
            <rFont val="宋体"/>
            <family val="3"/>
            <charset val="134"/>
          </rPr>
          <t>xmzx:</t>
        </r>
        <r>
          <rPr>
            <sz val="9"/>
            <color indexed="81"/>
            <rFont val="宋体"/>
            <family val="3"/>
            <charset val="134"/>
          </rPr>
          <t xml:space="preserve">
只有1份原件给财务</t>
        </r>
      </text>
    </comment>
    <comment ref="V120" authorId="0" shapeId="0" xr:uid="{00000000-0006-0000-0100-00001C000000}">
      <text>
        <r>
          <rPr>
            <b/>
            <sz val="9"/>
            <color indexed="81"/>
            <rFont val="宋体"/>
            <family val="3"/>
            <charset val="134"/>
          </rPr>
          <t>xmzx:</t>
        </r>
        <r>
          <rPr>
            <sz val="9"/>
            <color indexed="81"/>
            <rFont val="宋体"/>
            <family val="3"/>
            <charset val="134"/>
          </rPr>
          <t xml:space="preserve">
无合同原件，为电子版合同</t>
        </r>
      </text>
    </comment>
    <comment ref="V122" authorId="0" shapeId="0" xr:uid="{00000000-0006-0000-0100-00001D000000}">
      <text>
        <r>
          <rPr>
            <b/>
            <sz val="9"/>
            <color indexed="81"/>
            <rFont val="宋体"/>
            <family val="3"/>
            <charset val="134"/>
          </rPr>
          <t>xmzx:</t>
        </r>
        <r>
          <rPr>
            <sz val="9"/>
            <color indexed="81"/>
            <rFont val="宋体"/>
            <family val="3"/>
            <charset val="134"/>
          </rPr>
          <t xml:space="preserve">
无合同原件，为电子版合同</t>
        </r>
      </text>
    </comment>
    <comment ref="V132" authorId="0" shapeId="0" xr:uid="{00000000-0006-0000-0100-00001E000000}">
      <text>
        <r>
          <rPr>
            <b/>
            <sz val="9"/>
            <color indexed="81"/>
            <rFont val="宋体"/>
            <family val="3"/>
            <charset val="134"/>
          </rPr>
          <t>xmzx:</t>
        </r>
        <r>
          <rPr>
            <sz val="9"/>
            <color indexed="81"/>
            <rFont val="宋体"/>
            <family val="3"/>
            <charset val="134"/>
          </rPr>
          <t xml:space="preserve">
只有1份原件给财务</t>
        </r>
      </text>
    </comment>
    <comment ref="V139" authorId="0" shapeId="0" xr:uid="{00000000-0006-0000-0100-00001F000000}">
      <text>
        <r>
          <rPr>
            <b/>
            <sz val="9"/>
            <color indexed="81"/>
            <rFont val="宋体"/>
            <family val="3"/>
            <charset val="134"/>
          </rPr>
          <t>xmzx:</t>
        </r>
        <r>
          <rPr>
            <sz val="9"/>
            <color indexed="81"/>
            <rFont val="宋体"/>
            <family val="3"/>
            <charset val="134"/>
          </rPr>
          <t xml:space="preserve">
无合同原件，为电子版合同</t>
        </r>
      </text>
    </comment>
    <comment ref="V140" authorId="0" shapeId="0" xr:uid="{00000000-0006-0000-0100-000020000000}">
      <text>
        <r>
          <rPr>
            <b/>
            <sz val="9"/>
            <color indexed="81"/>
            <rFont val="宋体"/>
            <family val="3"/>
            <charset val="134"/>
          </rPr>
          <t>xmzx:</t>
        </r>
        <r>
          <rPr>
            <sz val="9"/>
            <color indexed="81"/>
            <rFont val="宋体"/>
            <family val="3"/>
            <charset val="134"/>
          </rPr>
          <t xml:space="preserve">
无合同原件，为电子版合同</t>
        </r>
      </text>
    </comment>
    <comment ref="V141" authorId="0" shapeId="0" xr:uid="{00000000-0006-0000-0100-000021000000}">
      <text>
        <r>
          <rPr>
            <b/>
            <sz val="9"/>
            <color indexed="81"/>
            <rFont val="宋体"/>
            <family val="3"/>
            <charset val="134"/>
          </rPr>
          <t>xmzx:</t>
        </r>
        <r>
          <rPr>
            <sz val="9"/>
            <color indexed="81"/>
            <rFont val="宋体"/>
            <family val="3"/>
            <charset val="134"/>
          </rPr>
          <t xml:space="preserve">
无合同原件，为电子版合同</t>
        </r>
      </text>
    </comment>
    <comment ref="V142" authorId="0" shapeId="0" xr:uid="{00000000-0006-0000-0100-000022000000}">
      <text>
        <r>
          <rPr>
            <b/>
            <sz val="9"/>
            <color indexed="81"/>
            <rFont val="宋体"/>
            <family val="3"/>
            <charset val="134"/>
          </rPr>
          <t>xmzx:</t>
        </r>
        <r>
          <rPr>
            <sz val="9"/>
            <color indexed="81"/>
            <rFont val="宋体"/>
            <family val="3"/>
            <charset val="134"/>
          </rPr>
          <t xml:space="preserve">
无合同原件，为电子版合同</t>
        </r>
      </text>
    </comment>
    <comment ref="V143" authorId="0" shapeId="0" xr:uid="{00000000-0006-0000-0100-000023000000}">
      <text>
        <r>
          <rPr>
            <b/>
            <sz val="9"/>
            <color indexed="81"/>
            <rFont val="宋体"/>
            <family val="3"/>
            <charset val="134"/>
          </rPr>
          <t>xmzx:</t>
        </r>
        <r>
          <rPr>
            <sz val="9"/>
            <color indexed="81"/>
            <rFont val="宋体"/>
            <family val="3"/>
            <charset val="134"/>
          </rPr>
          <t xml:space="preserve">
无合同原件，为电子版合同</t>
        </r>
      </text>
    </comment>
    <comment ref="V144" authorId="0" shapeId="0" xr:uid="{00000000-0006-0000-0100-000024000000}">
      <text>
        <r>
          <rPr>
            <b/>
            <sz val="9"/>
            <color indexed="81"/>
            <rFont val="宋体"/>
            <family val="3"/>
            <charset val="134"/>
          </rPr>
          <t>xmzx:</t>
        </r>
        <r>
          <rPr>
            <sz val="9"/>
            <color indexed="81"/>
            <rFont val="宋体"/>
            <family val="3"/>
            <charset val="134"/>
          </rPr>
          <t xml:space="preserve">
无合同原件，为电子版合同</t>
        </r>
      </text>
    </comment>
    <comment ref="V146" authorId="0" shapeId="0" xr:uid="{00000000-0006-0000-0100-000025000000}">
      <text>
        <r>
          <rPr>
            <b/>
            <sz val="9"/>
            <color indexed="81"/>
            <rFont val="宋体"/>
            <family val="3"/>
            <charset val="134"/>
          </rPr>
          <t>xmzx:</t>
        </r>
        <r>
          <rPr>
            <sz val="9"/>
            <color indexed="81"/>
            <rFont val="宋体"/>
            <family val="3"/>
            <charset val="134"/>
          </rPr>
          <t xml:space="preserve">
只有1份原件给财务</t>
        </r>
      </text>
    </comment>
    <comment ref="V157" authorId="0" shapeId="0" xr:uid="{00000000-0006-0000-0100-000026000000}">
      <text>
        <r>
          <rPr>
            <b/>
            <sz val="9"/>
            <color indexed="81"/>
            <rFont val="宋体"/>
            <family val="3"/>
            <charset val="134"/>
          </rPr>
          <t>xmzx:</t>
        </r>
        <r>
          <rPr>
            <sz val="9"/>
            <color indexed="81"/>
            <rFont val="宋体"/>
            <family val="3"/>
            <charset val="134"/>
          </rPr>
          <t xml:space="preserve">
只有1份原件给财务</t>
        </r>
      </text>
    </comment>
    <comment ref="V158" authorId="0" shapeId="0" xr:uid="{00000000-0006-0000-0100-000027000000}">
      <text>
        <r>
          <rPr>
            <b/>
            <sz val="9"/>
            <color indexed="81"/>
            <rFont val="宋体"/>
            <family val="3"/>
            <charset val="134"/>
          </rPr>
          <t>xmzx:</t>
        </r>
        <r>
          <rPr>
            <sz val="9"/>
            <color indexed="81"/>
            <rFont val="宋体"/>
            <family val="3"/>
            <charset val="134"/>
          </rPr>
          <t xml:space="preserve">
只有1份原件给财务</t>
        </r>
      </text>
    </comment>
    <comment ref="V159" authorId="0" shapeId="0" xr:uid="{00000000-0006-0000-0100-000028000000}">
      <text>
        <r>
          <rPr>
            <b/>
            <sz val="9"/>
            <color indexed="81"/>
            <rFont val="宋体"/>
            <family val="3"/>
            <charset val="134"/>
          </rPr>
          <t>xmzx:</t>
        </r>
        <r>
          <rPr>
            <sz val="9"/>
            <color indexed="81"/>
            <rFont val="宋体"/>
            <family val="3"/>
            <charset val="134"/>
          </rPr>
          <t xml:space="preserve">
只有1份原件给财务</t>
        </r>
      </text>
    </comment>
    <comment ref="V172" authorId="2" shapeId="0" xr:uid="{00000000-0006-0000-0100-00002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3" authorId="2" shapeId="0" xr:uid="{00000000-0006-0000-0100-00002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4" authorId="2" shapeId="0" xr:uid="{00000000-0006-0000-0100-00002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5" authorId="2" shapeId="0" xr:uid="{00000000-0006-0000-0100-00002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6" authorId="2" shapeId="0" xr:uid="{00000000-0006-0000-0100-00002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7" authorId="2" shapeId="0" xr:uid="{00000000-0006-0000-0100-00002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8" authorId="2" shapeId="0" xr:uid="{00000000-0006-0000-0100-00002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9" authorId="2" shapeId="0" xr:uid="{00000000-0006-0000-0100-00003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0" authorId="2" shapeId="0" xr:uid="{00000000-0006-0000-0100-00003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1" authorId="2" shapeId="0" xr:uid="{00000000-0006-0000-0100-00003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2" authorId="2" shapeId="0" xr:uid="{00000000-0006-0000-0100-00003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3" authorId="2" shapeId="0" xr:uid="{00000000-0006-0000-0100-00003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4" authorId="2" shapeId="0" xr:uid="{00000000-0006-0000-0100-00003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5" authorId="2" shapeId="0" xr:uid="{00000000-0006-0000-0100-00003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6" authorId="0" shapeId="0" xr:uid="{00000000-0006-0000-0100-000037000000}">
      <text>
        <r>
          <rPr>
            <b/>
            <sz val="9"/>
            <color indexed="81"/>
            <rFont val="宋体"/>
            <family val="3"/>
            <charset val="134"/>
          </rPr>
          <t>xmzx:</t>
        </r>
        <r>
          <rPr>
            <sz val="9"/>
            <color indexed="81"/>
            <rFont val="宋体"/>
            <family val="3"/>
            <charset val="134"/>
          </rPr>
          <t xml:space="preserve">
只有1份原件给财务</t>
        </r>
      </text>
    </comment>
    <comment ref="V187" authorId="0" shapeId="0" xr:uid="{00000000-0006-0000-0100-000038000000}">
      <text>
        <r>
          <rPr>
            <b/>
            <sz val="9"/>
            <color indexed="81"/>
            <rFont val="宋体"/>
            <family val="3"/>
            <charset val="134"/>
          </rPr>
          <t>xmzx:</t>
        </r>
        <r>
          <rPr>
            <sz val="9"/>
            <color indexed="81"/>
            <rFont val="宋体"/>
            <family val="3"/>
            <charset val="134"/>
          </rPr>
          <t xml:space="preserve">
只有1份原件给财务</t>
        </r>
      </text>
    </comment>
    <comment ref="V188" authorId="0" shapeId="0" xr:uid="{00000000-0006-0000-0100-000039000000}">
      <text>
        <r>
          <rPr>
            <b/>
            <sz val="9"/>
            <color indexed="81"/>
            <rFont val="宋体"/>
            <family val="3"/>
            <charset val="134"/>
          </rPr>
          <t>xmzx:</t>
        </r>
        <r>
          <rPr>
            <sz val="9"/>
            <color indexed="81"/>
            <rFont val="宋体"/>
            <family val="3"/>
            <charset val="134"/>
          </rPr>
          <t xml:space="preserve">
只有1份原件给财务</t>
        </r>
      </text>
    </comment>
    <comment ref="V189" authorId="0" shapeId="0" xr:uid="{00000000-0006-0000-0100-00003A000000}">
      <text>
        <r>
          <rPr>
            <b/>
            <sz val="9"/>
            <color indexed="81"/>
            <rFont val="宋体"/>
            <family val="3"/>
            <charset val="134"/>
          </rPr>
          <t>xmzx:</t>
        </r>
        <r>
          <rPr>
            <sz val="9"/>
            <color indexed="81"/>
            <rFont val="宋体"/>
            <family val="3"/>
            <charset val="134"/>
          </rPr>
          <t xml:space="preserve">
只有1份原件给财务</t>
        </r>
      </text>
    </comment>
    <comment ref="V190" authorId="0" shapeId="0" xr:uid="{00000000-0006-0000-0100-00003B000000}">
      <text>
        <r>
          <rPr>
            <b/>
            <sz val="9"/>
            <color indexed="81"/>
            <rFont val="宋体"/>
            <family val="3"/>
            <charset val="134"/>
          </rPr>
          <t>xmzx:</t>
        </r>
        <r>
          <rPr>
            <sz val="9"/>
            <color indexed="81"/>
            <rFont val="宋体"/>
            <family val="3"/>
            <charset val="134"/>
          </rPr>
          <t xml:space="preserve">
只有1份原件给财务</t>
        </r>
      </text>
    </comment>
    <comment ref="V191" authorId="2" shapeId="0" xr:uid="{00000000-0006-0000-0100-00003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2" authorId="2" shapeId="0" xr:uid="{00000000-0006-0000-0100-00003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2" authorId="0" shapeId="0" xr:uid="{00000000-0006-0000-0100-00003E000000}">
      <text>
        <r>
          <rPr>
            <b/>
            <sz val="9"/>
            <color indexed="81"/>
            <rFont val="宋体"/>
            <family val="3"/>
            <charset val="134"/>
          </rPr>
          <t>xmzx:</t>
        </r>
        <r>
          <rPr>
            <sz val="9"/>
            <color indexed="81"/>
            <rFont val="宋体"/>
            <family val="3"/>
            <charset val="134"/>
          </rPr>
          <t xml:space="preserve">
只有1份原件给财务</t>
        </r>
      </text>
    </comment>
    <comment ref="V226" authorId="2" shapeId="0" xr:uid="{00000000-0006-0000-0100-00003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7" authorId="2" shapeId="0" xr:uid="{00000000-0006-0000-0100-00004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8" authorId="2" shapeId="0" xr:uid="{00000000-0006-0000-0100-00004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9" authorId="2" shapeId="0" xr:uid="{00000000-0006-0000-0100-00004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0" authorId="2" shapeId="0" xr:uid="{00000000-0006-0000-0100-00004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3" authorId="2" shapeId="0" xr:uid="{00000000-0006-0000-0100-00004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4" authorId="2" shapeId="0" xr:uid="{00000000-0006-0000-0100-00004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5" authorId="2" shapeId="0" xr:uid="{00000000-0006-0000-0100-00004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6" authorId="2" shapeId="0" xr:uid="{00000000-0006-0000-0100-00004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48" authorId="2" shapeId="0" xr:uid="{00000000-0006-0000-0100-00004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49" authorId="2" shapeId="0" xr:uid="{00000000-0006-0000-0100-00004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0" authorId="2" shapeId="0" xr:uid="{00000000-0006-0000-0100-00004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1" authorId="2" shapeId="0" xr:uid="{00000000-0006-0000-0100-00004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2" authorId="2" shapeId="0" xr:uid="{00000000-0006-0000-0100-00004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LiYan</author>
    <author>xmzx</author>
    <author>Administrator</author>
  </authors>
  <commentList>
    <comment ref="V4" authorId="0" shapeId="0" xr:uid="{00000000-0006-0000-0200-00000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 authorId="1" shapeId="0" xr:uid="{00000000-0006-0000-0200-000002000000}">
      <text>
        <r>
          <rPr>
            <b/>
            <sz val="9"/>
            <color indexed="81"/>
            <rFont val="宋体"/>
            <family val="3"/>
            <charset val="134"/>
          </rPr>
          <t>xmzx:</t>
        </r>
        <r>
          <rPr>
            <sz val="9"/>
            <color indexed="81"/>
            <rFont val="宋体"/>
            <family val="3"/>
            <charset val="134"/>
          </rPr>
          <t xml:space="preserve">
含技术协议原件1份</t>
        </r>
      </text>
    </comment>
    <comment ref="V14" authorId="1" shapeId="0" xr:uid="{00000000-0006-0000-0200-000003000000}">
      <text>
        <r>
          <rPr>
            <b/>
            <sz val="9"/>
            <color indexed="81"/>
            <rFont val="宋体"/>
            <family val="3"/>
            <charset val="134"/>
          </rPr>
          <t>xmzx:</t>
        </r>
        <r>
          <rPr>
            <sz val="9"/>
            <color indexed="81"/>
            <rFont val="宋体"/>
            <family val="3"/>
            <charset val="134"/>
          </rPr>
          <t xml:space="preserve">
含技术协议原件1份</t>
        </r>
      </text>
    </comment>
    <comment ref="V24" authorId="0" shapeId="0" xr:uid="{00000000-0006-0000-0200-000004000000}">
      <text>
        <r>
          <rPr>
            <b/>
            <sz val="9"/>
            <color indexed="81"/>
            <rFont val="Tahoma"/>
            <family val="2"/>
          </rPr>
          <t>LiYan:</t>
        </r>
        <r>
          <rPr>
            <sz val="9"/>
            <color indexed="81"/>
            <rFont val="Tahoma"/>
            <family val="2"/>
          </rPr>
          <t xml:space="preserve">
</t>
        </r>
        <r>
          <rPr>
            <sz val="9"/>
            <color indexed="81"/>
            <rFont val="宋体"/>
            <family val="3"/>
            <charset val="134"/>
          </rPr>
          <t>业主提供为电子版合同，没有合同原件</t>
        </r>
      </text>
    </comment>
    <comment ref="V28" authorId="0" shapeId="0" xr:uid="{00000000-0006-0000-02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9" authorId="0" shapeId="0" xr:uid="{00000000-0006-0000-02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0" shapeId="0" xr:uid="{00000000-0006-0000-02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1" authorId="0" shapeId="0" xr:uid="{00000000-0006-0000-02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2" authorId="0" shapeId="0" xr:uid="{00000000-0006-0000-02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3" authorId="0" shapeId="0" xr:uid="{00000000-0006-0000-02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7" authorId="0" shapeId="0" xr:uid="{00000000-0006-0000-0200-00000B000000}">
      <text>
        <r>
          <rPr>
            <b/>
            <sz val="9"/>
            <color indexed="81"/>
            <rFont val="Tahoma"/>
            <family val="2"/>
          </rPr>
          <t>LiYan:</t>
        </r>
        <r>
          <rPr>
            <sz val="9"/>
            <color indexed="81"/>
            <rFont val="Tahoma"/>
            <family val="2"/>
          </rPr>
          <t xml:space="preserve">
</t>
        </r>
        <r>
          <rPr>
            <sz val="9"/>
            <color indexed="81"/>
            <rFont val="宋体"/>
            <family val="3"/>
            <charset val="134"/>
          </rPr>
          <t>业主提供为电子版合同，没有合同原件</t>
        </r>
      </text>
    </comment>
    <comment ref="V42" authorId="0" shapeId="0" xr:uid="{00000000-0006-0000-02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3" authorId="0" shapeId="0" xr:uid="{00000000-0006-0000-0200-00000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9" authorId="2" shapeId="0" xr:uid="{A0D28ADB-501A-4C17-A425-46D08F83183F}">
      <text>
        <r>
          <rPr>
            <b/>
            <sz val="9"/>
            <color indexed="81"/>
            <rFont val="宋体"/>
            <family val="3"/>
            <charset val="134"/>
          </rPr>
          <t>Administrator:</t>
        </r>
        <r>
          <rPr>
            <sz val="9"/>
            <color indexed="81"/>
            <rFont val="宋体"/>
            <family val="3"/>
            <charset val="134"/>
          </rPr>
          <t xml:space="preserve">
原件于2023.12.7给业主。业主原件丢失，必须有原件才可支付。</t>
        </r>
      </text>
    </comment>
    <comment ref="V85" authorId="0" shapeId="0" xr:uid="{00000000-0006-0000-0200-00000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1" authorId="0" shapeId="0" xr:uid="{00000000-0006-0000-0200-00000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9" authorId="0" shapeId="0" xr:uid="{00000000-0006-0000-0200-00001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5" authorId="0" shapeId="0" xr:uid="{00000000-0006-0000-0200-00001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1" authorId="0" shapeId="0" xr:uid="{00000000-0006-0000-0200-00001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6" authorId="0" shapeId="0" xr:uid="{00000000-0006-0000-0200-00001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2" authorId="0" shapeId="0" xr:uid="{00000000-0006-0000-0200-000014000000}">
      <text>
        <r>
          <rPr>
            <b/>
            <sz val="9"/>
            <color indexed="81"/>
            <rFont val="Tahoma"/>
            <family val="2"/>
          </rPr>
          <t>LiYan:</t>
        </r>
        <r>
          <rPr>
            <sz val="9"/>
            <color indexed="81"/>
            <rFont val="Tahoma"/>
            <family val="2"/>
          </rPr>
          <t xml:space="preserve">
</t>
        </r>
        <r>
          <rPr>
            <sz val="9"/>
            <color indexed="81"/>
            <rFont val="宋体"/>
            <family val="3"/>
            <charset val="134"/>
          </rPr>
          <t>没有合同原件，财务也为复印件</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LiYan</author>
    <author>xmzx</author>
  </authors>
  <commentList>
    <comment ref="V12" authorId="0" shapeId="0" xr:uid="{00000000-0006-0000-0300-00000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 authorId="0" shapeId="0" xr:uid="{00000000-0006-0000-0300-00000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6" authorId="0" shapeId="0" xr:uid="{00000000-0006-0000-0300-00000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7" authorId="0" shapeId="0" xr:uid="{00000000-0006-0000-0300-00000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8" authorId="0" shapeId="0" xr:uid="{00000000-0006-0000-03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9" authorId="0" shapeId="0" xr:uid="{00000000-0006-0000-03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0" authorId="0" shapeId="0" xr:uid="{00000000-0006-0000-03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1" authorId="0" shapeId="0" xr:uid="{00000000-0006-0000-03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0" authorId="0" shapeId="0" xr:uid="{00000000-0006-0000-03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2" authorId="0" shapeId="0" xr:uid="{00000000-0006-0000-03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3" authorId="1" shapeId="0" xr:uid="{00000000-0006-0000-0300-00000B000000}">
      <text>
        <r>
          <rPr>
            <b/>
            <sz val="9"/>
            <color indexed="81"/>
            <rFont val="宋体"/>
            <family val="3"/>
            <charset val="134"/>
          </rPr>
          <t>xmzx:</t>
        </r>
        <r>
          <rPr>
            <sz val="9"/>
            <color indexed="81"/>
            <rFont val="宋体"/>
            <family val="3"/>
            <charset val="134"/>
          </rPr>
          <t xml:space="preserve">
含技术协议复印件1份</t>
        </r>
      </text>
    </comment>
    <comment ref="V56" authorId="0" shapeId="0" xr:uid="{00000000-0006-0000-03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75" authorId="0" shapeId="0" xr:uid="{00000000-0006-0000-0300-00000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7" authorId="1" shapeId="0" xr:uid="{00000000-0006-0000-0300-00000E000000}">
      <text>
        <r>
          <rPr>
            <b/>
            <sz val="9"/>
            <color indexed="81"/>
            <rFont val="宋体"/>
            <family val="3"/>
            <charset val="134"/>
          </rPr>
          <t>xmzx:</t>
        </r>
        <r>
          <rPr>
            <sz val="9"/>
            <color indexed="81"/>
            <rFont val="宋体"/>
            <family val="3"/>
            <charset val="134"/>
          </rPr>
          <t xml:space="preserve">
含技术协议1份</t>
        </r>
      </text>
    </comment>
    <comment ref="V88" authorId="1" shapeId="0" xr:uid="{00000000-0006-0000-0300-00000F000000}">
      <text>
        <r>
          <rPr>
            <b/>
            <sz val="9"/>
            <color indexed="81"/>
            <rFont val="宋体"/>
            <family val="3"/>
            <charset val="134"/>
          </rPr>
          <t>xmzx:</t>
        </r>
        <r>
          <rPr>
            <sz val="9"/>
            <color indexed="81"/>
            <rFont val="宋体"/>
            <family val="3"/>
            <charset val="134"/>
          </rPr>
          <t xml:space="preserve">
含技术协议1份</t>
        </r>
      </text>
    </comment>
    <comment ref="V89" authorId="1" shapeId="0" xr:uid="{00000000-0006-0000-0300-000010000000}">
      <text>
        <r>
          <rPr>
            <b/>
            <sz val="9"/>
            <color indexed="81"/>
            <rFont val="宋体"/>
            <family val="3"/>
            <charset val="134"/>
          </rPr>
          <t>xmzx:</t>
        </r>
        <r>
          <rPr>
            <sz val="9"/>
            <color indexed="81"/>
            <rFont val="宋体"/>
            <family val="3"/>
            <charset val="134"/>
          </rPr>
          <t xml:space="preserve">
含技术协议1份</t>
        </r>
      </text>
    </comment>
    <comment ref="V94" authorId="1" shapeId="0" xr:uid="{00000000-0006-0000-0300-000011000000}">
      <text>
        <r>
          <rPr>
            <b/>
            <sz val="9"/>
            <color indexed="81"/>
            <rFont val="宋体"/>
            <family val="3"/>
            <charset val="134"/>
          </rPr>
          <t>xmzx:</t>
        </r>
        <r>
          <rPr>
            <sz val="9"/>
            <color indexed="81"/>
            <rFont val="宋体"/>
            <family val="3"/>
            <charset val="134"/>
          </rPr>
          <t xml:space="preserve">
含技术协议1份</t>
        </r>
      </text>
    </comment>
    <comment ref="V95" authorId="1" shapeId="0" xr:uid="{00000000-0006-0000-0300-000012000000}">
      <text>
        <r>
          <rPr>
            <b/>
            <sz val="9"/>
            <color indexed="81"/>
            <rFont val="宋体"/>
            <family val="3"/>
            <charset val="134"/>
          </rPr>
          <t>xmzx:</t>
        </r>
        <r>
          <rPr>
            <sz val="9"/>
            <color indexed="81"/>
            <rFont val="宋体"/>
            <family val="3"/>
            <charset val="134"/>
          </rPr>
          <t xml:space="preserve">
含补充协议原件1份</t>
        </r>
      </text>
    </comment>
    <comment ref="V131" authorId="0" shapeId="0" xr:uid="{00000000-0006-0000-0300-00001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6" authorId="0" shapeId="0" xr:uid="{00000000-0006-0000-0300-00001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4" authorId="1" shapeId="0" xr:uid="{00000000-0006-0000-0300-000015000000}">
      <text>
        <r>
          <rPr>
            <b/>
            <sz val="9"/>
            <color indexed="81"/>
            <rFont val="宋体"/>
            <family val="3"/>
            <charset val="134"/>
          </rPr>
          <t>xmzx:</t>
        </r>
        <r>
          <rPr>
            <sz val="9"/>
            <color indexed="81"/>
            <rFont val="宋体"/>
            <family val="3"/>
            <charset val="134"/>
          </rPr>
          <t xml:space="preserve">
含技术协议复印件1份</t>
        </r>
      </text>
    </comment>
    <comment ref="V145" authorId="1" shapeId="0" xr:uid="{00000000-0006-0000-0300-000016000000}">
      <text>
        <r>
          <rPr>
            <b/>
            <sz val="9"/>
            <color indexed="81"/>
            <rFont val="宋体"/>
            <family val="3"/>
            <charset val="134"/>
          </rPr>
          <t>xmzx:</t>
        </r>
        <r>
          <rPr>
            <sz val="9"/>
            <color indexed="81"/>
            <rFont val="宋体"/>
            <family val="3"/>
            <charset val="134"/>
          </rPr>
          <t xml:space="preserve">
含技术协议复印件1份</t>
        </r>
      </text>
    </comment>
    <comment ref="V157" authorId="1" shapeId="0" xr:uid="{00000000-0006-0000-0300-000017000000}">
      <text>
        <r>
          <rPr>
            <b/>
            <sz val="9"/>
            <color indexed="81"/>
            <rFont val="宋体"/>
            <family val="3"/>
            <charset val="134"/>
          </rPr>
          <t>xmzx:</t>
        </r>
        <r>
          <rPr>
            <sz val="9"/>
            <color indexed="81"/>
            <rFont val="宋体"/>
            <family val="3"/>
            <charset val="134"/>
          </rPr>
          <t xml:space="preserve">
含技术协议复印件1份</t>
        </r>
      </text>
    </comment>
    <comment ref="V159" authorId="1" shapeId="0" xr:uid="{00000000-0006-0000-0300-000018000000}">
      <text>
        <r>
          <rPr>
            <b/>
            <sz val="9"/>
            <color indexed="81"/>
            <rFont val="宋体"/>
            <family val="3"/>
            <charset val="134"/>
          </rPr>
          <t>xmzx:</t>
        </r>
        <r>
          <rPr>
            <sz val="9"/>
            <color indexed="81"/>
            <rFont val="宋体"/>
            <family val="3"/>
            <charset val="134"/>
          </rPr>
          <t xml:space="preserve">
含技术协议2份</t>
        </r>
      </text>
    </comment>
    <comment ref="V182" authorId="0" shapeId="0" xr:uid="{00000000-0006-0000-0300-00001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7" authorId="1" shapeId="0" xr:uid="{00000000-0006-0000-0300-00001A000000}">
      <text>
        <r>
          <rPr>
            <b/>
            <sz val="9"/>
            <color indexed="81"/>
            <rFont val="宋体"/>
            <family val="3"/>
            <charset val="134"/>
          </rPr>
          <t>xmzx:</t>
        </r>
        <r>
          <rPr>
            <sz val="9"/>
            <color indexed="81"/>
            <rFont val="宋体"/>
            <family val="3"/>
            <charset val="134"/>
          </rPr>
          <t xml:space="preserve">
含技术协议1份</t>
        </r>
      </text>
    </comment>
    <comment ref="V188" authorId="0" shapeId="0" xr:uid="{00000000-0006-0000-0300-00001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9" authorId="0" shapeId="0" xr:uid="{00000000-0006-0000-0300-00001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0" authorId="0" shapeId="0" xr:uid="{00000000-0006-0000-0300-00001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2" authorId="0" shapeId="0" xr:uid="{00000000-0006-0000-0300-00001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3" authorId="0" shapeId="0" xr:uid="{00000000-0006-0000-0300-00001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4" authorId="1" shapeId="0" xr:uid="{00000000-0006-0000-0300-000020000000}">
      <text>
        <r>
          <rPr>
            <b/>
            <sz val="9"/>
            <color indexed="81"/>
            <rFont val="宋体"/>
            <family val="3"/>
            <charset val="134"/>
          </rPr>
          <t>xmzx:</t>
        </r>
        <r>
          <rPr>
            <sz val="9"/>
            <color indexed="81"/>
            <rFont val="宋体"/>
            <family val="3"/>
            <charset val="134"/>
          </rPr>
          <t xml:space="preserve">
含技术协议复印件1份</t>
        </r>
      </text>
    </comment>
    <comment ref="V206" authorId="0" shapeId="0" xr:uid="{00000000-0006-0000-0300-00002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7" authorId="0" shapeId="0" xr:uid="{00000000-0006-0000-0300-00002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LiYan</author>
    <author>User</author>
    <author>Microsoft</author>
    <author>xmzx</author>
    <author>Administrator</author>
  </authors>
  <commentList>
    <comment ref="B3" authorId="0" shapeId="0" xr:uid="{00000000-0006-0000-0400-000001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4" authorId="0" shapeId="0" xr:uid="{00000000-0006-0000-0400-000002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5" authorId="0" shapeId="0" xr:uid="{00000000-0006-0000-0400-000003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t>
        </r>
      </text>
    </comment>
    <comment ref="B6" authorId="1" shapeId="0" xr:uid="{00000000-0006-0000-0400-000004000000}">
      <text>
        <r>
          <rPr>
            <b/>
            <sz val="9"/>
            <color indexed="81"/>
            <rFont val="Tahoma"/>
            <family val="2"/>
          </rPr>
          <t>User:</t>
        </r>
        <r>
          <rPr>
            <sz val="9"/>
            <color indexed="81"/>
            <rFont val="Tahoma"/>
            <family val="2"/>
          </rPr>
          <t xml:space="preserve">
</t>
        </r>
        <r>
          <rPr>
            <sz val="9"/>
            <color indexed="81"/>
            <rFont val="宋体"/>
            <family val="3"/>
            <charset val="134"/>
          </rPr>
          <t>自动进入入下一个预测服务年</t>
        </r>
      </text>
    </comment>
    <comment ref="W8" authorId="1" shapeId="0" xr:uid="{00000000-0006-0000-0400-000005000000}">
      <text>
        <r>
          <rPr>
            <b/>
            <sz val="9"/>
            <color indexed="81"/>
            <rFont val="Tahoma"/>
            <family val="2"/>
          </rPr>
          <t>User:</t>
        </r>
        <r>
          <rPr>
            <sz val="9"/>
            <color indexed="81"/>
            <rFont val="Tahoma"/>
            <family val="2"/>
          </rPr>
          <t xml:space="preserve">
</t>
        </r>
        <r>
          <rPr>
            <sz val="9"/>
            <color indexed="81"/>
            <rFont val="宋体"/>
            <family val="3"/>
            <charset val="134"/>
          </rPr>
          <t>并网开始计算</t>
        </r>
      </text>
    </comment>
    <comment ref="AB8" authorId="1" shapeId="0" xr:uid="{00000000-0006-0000-0400-000006000000}">
      <text>
        <r>
          <rPr>
            <b/>
            <sz val="9"/>
            <color indexed="81"/>
            <rFont val="Tahoma"/>
            <family val="2"/>
          </rPr>
          <t>User:</t>
        </r>
        <r>
          <rPr>
            <sz val="9"/>
            <color indexed="81"/>
            <rFont val="Tahoma"/>
            <family val="2"/>
          </rPr>
          <t xml:space="preserve">
</t>
        </r>
        <r>
          <rPr>
            <sz val="9"/>
            <color indexed="81"/>
            <rFont val="宋体"/>
            <family val="3"/>
            <charset val="134"/>
          </rPr>
          <t>保函金额</t>
        </r>
        <r>
          <rPr>
            <sz val="9"/>
            <color indexed="81"/>
            <rFont val="Tahoma"/>
            <family val="2"/>
          </rPr>
          <t>6.7156</t>
        </r>
        <r>
          <rPr>
            <sz val="9"/>
            <color indexed="81"/>
            <rFont val="宋体"/>
            <family val="3"/>
            <charset val="134"/>
          </rPr>
          <t>万元，有效期</t>
        </r>
        <r>
          <rPr>
            <sz val="9"/>
            <color indexed="81"/>
            <rFont val="Tahoma"/>
            <family val="2"/>
          </rPr>
          <t>2</t>
        </r>
        <r>
          <rPr>
            <sz val="9"/>
            <color indexed="81"/>
            <rFont val="宋体"/>
            <family val="3"/>
            <charset val="134"/>
          </rPr>
          <t>年，到期时间</t>
        </r>
        <r>
          <rPr>
            <sz val="9"/>
            <color indexed="81"/>
            <rFont val="Tahoma"/>
            <family val="2"/>
          </rPr>
          <t>2020.2.26</t>
        </r>
      </text>
    </comment>
    <comment ref="V12" authorId="2" shapeId="0" xr:uid="{00000000-0006-0000-0400-000007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 authorId="2" shapeId="0" xr:uid="{00000000-0006-0000-0400-000008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 authorId="2" shapeId="0" xr:uid="{00000000-0006-0000-0400-000009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 authorId="2" shapeId="0" xr:uid="{00000000-0006-0000-0400-00000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 authorId="2" shapeId="0" xr:uid="{00000000-0006-0000-0400-00000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 authorId="2" shapeId="0" xr:uid="{00000000-0006-0000-0400-00000C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 authorId="2" shapeId="0" xr:uid="{00000000-0006-0000-0400-00000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 authorId="2" shapeId="0" xr:uid="{00000000-0006-0000-0400-00000E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W19" authorId="1" shapeId="0" xr:uid="{00000000-0006-0000-0400-00000F000000}">
      <text>
        <r>
          <rPr>
            <b/>
            <sz val="9"/>
            <color indexed="81"/>
            <rFont val="Tahoma"/>
            <family val="2"/>
          </rPr>
          <t>User:</t>
        </r>
        <r>
          <rPr>
            <sz val="9"/>
            <color indexed="81"/>
            <rFont val="Tahoma"/>
            <family val="2"/>
          </rPr>
          <t xml:space="preserve">
</t>
        </r>
        <r>
          <rPr>
            <sz val="9"/>
            <color indexed="81"/>
            <rFont val="宋体"/>
            <family val="3"/>
            <charset val="134"/>
          </rPr>
          <t>免费一年服务，从改造完成后开始计算</t>
        </r>
      </text>
    </comment>
    <comment ref="V20" authorId="1" shapeId="0" xr:uid="{00000000-0006-0000-0400-000010000000}">
      <text>
        <r>
          <rPr>
            <b/>
            <sz val="9"/>
            <color indexed="81"/>
            <rFont val="Tahoma"/>
            <family val="2"/>
          </rPr>
          <t>User:</t>
        </r>
        <r>
          <rPr>
            <sz val="9"/>
            <color indexed="81"/>
            <rFont val="Tahoma"/>
            <family val="2"/>
          </rPr>
          <t xml:space="preserve">
</t>
        </r>
        <r>
          <rPr>
            <sz val="9"/>
            <color indexed="81"/>
            <rFont val="宋体"/>
            <family val="3"/>
            <charset val="134"/>
          </rPr>
          <t>含廉洁协议复印件</t>
        </r>
        <r>
          <rPr>
            <sz val="9"/>
            <color indexed="81"/>
            <rFont val="Tahoma"/>
            <family val="2"/>
          </rPr>
          <t>1</t>
        </r>
        <r>
          <rPr>
            <sz val="9"/>
            <color indexed="81"/>
            <rFont val="宋体"/>
            <family val="3"/>
            <charset val="134"/>
          </rPr>
          <t>份</t>
        </r>
      </text>
    </comment>
    <comment ref="V22" authorId="2" shapeId="0" xr:uid="{00000000-0006-0000-0400-00001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9" authorId="2" shapeId="0" xr:uid="{00000000-0006-0000-0400-000012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2" shapeId="0" xr:uid="{00000000-0006-0000-0400-000013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1" authorId="2" shapeId="0" xr:uid="{00000000-0006-0000-0400-000014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2" authorId="1" shapeId="0" xr:uid="{00000000-0006-0000-0400-000015000000}">
      <text>
        <r>
          <rPr>
            <b/>
            <sz val="9"/>
            <color indexed="81"/>
            <rFont val="Tahoma"/>
            <family val="2"/>
          </rPr>
          <t>User:</t>
        </r>
        <r>
          <rPr>
            <sz val="9"/>
            <color indexed="81"/>
            <rFont val="Tahoma"/>
            <family val="2"/>
          </rPr>
          <t xml:space="preserve">
</t>
        </r>
        <r>
          <rPr>
            <sz val="9"/>
            <color indexed="81"/>
            <rFont val="宋体"/>
            <family val="3"/>
            <charset val="134"/>
          </rPr>
          <t>含技术协议复印件</t>
        </r>
        <r>
          <rPr>
            <sz val="9"/>
            <color indexed="81"/>
            <rFont val="Tahoma"/>
            <family val="2"/>
          </rPr>
          <t>1</t>
        </r>
        <r>
          <rPr>
            <sz val="9"/>
            <color indexed="81"/>
            <rFont val="宋体"/>
            <family val="3"/>
            <charset val="134"/>
          </rPr>
          <t>份</t>
        </r>
      </text>
    </comment>
    <comment ref="V33" authorId="1" shapeId="0" xr:uid="{00000000-0006-0000-0400-000016000000}">
      <text>
        <r>
          <rPr>
            <b/>
            <sz val="9"/>
            <color indexed="81"/>
            <rFont val="Tahoma"/>
            <family val="2"/>
          </rPr>
          <t>User:</t>
        </r>
        <r>
          <rPr>
            <sz val="9"/>
            <color indexed="81"/>
            <rFont val="Tahoma"/>
            <family val="2"/>
          </rPr>
          <t xml:space="preserve">
</t>
        </r>
        <r>
          <rPr>
            <sz val="9"/>
            <color indexed="81"/>
            <rFont val="宋体"/>
            <family val="3"/>
            <charset val="134"/>
          </rPr>
          <t>含技术协议复印件</t>
        </r>
        <r>
          <rPr>
            <sz val="9"/>
            <color indexed="81"/>
            <rFont val="Tahoma"/>
            <family val="2"/>
          </rPr>
          <t>1</t>
        </r>
        <r>
          <rPr>
            <sz val="9"/>
            <color indexed="81"/>
            <rFont val="宋体"/>
            <family val="3"/>
            <charset val="134"/>
          </rPr>
          <t>份</t>
        </r>
      </text>
    </comment>
    <comment ref="V34" authorId="1" shapeId="0" xr:uid="{00000000-0006-0000-0400-000017000000}">
      <text>
        <r>
          <rPr>
            <b/>
            <sz val="9"/>
            <color indexed="81"/>
            <rFont val="Tahoma"/>
            <family val="2"/>
          </rPr>
          <t>User:</t>
        </r>
        <r>
          <rPr>
            <sz val="9"/>
            <color indexed="81"/>
            <rFont val="Tahoma"/>
            <family val="2"/>
          </rPr>
          <t xml:space="preserve">
</t>
        </r>
        <r>
          <rPr>
            <sz val="9"/>
            <color indexed="81"/>
            <rFont val="宋体"/>
            <family val="3"/>
            <charset val="134"/>
          </rPr>
          <t>含技术协议复印件</t>
        </r>
        <r>
          <rPr>
            <sz val="9"/>
            <color indexed="81"/>
            <rFont val="Tahoma"/>
            <family val="2"/>
          </rPr>
          <t>1</t>
        </r>
        <r>
          <rPr>
            <sz val="9"/>
            <color indexed="81"/>
            <rFont val="宋体"/>
            <family val="3"/>
            <charset val="134"/>
          </rPr>
          <t>份</t>
        </r>
      </text>
    </comment>
    <comment ref="V35" authorId="0" shapeId="0" xr:uid="{00000000-0006-0000-0400-00001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6" authorId="0" shapeId="0" xr:uid="{00000000-0006-0000-0400-00001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8" authorId="0" shapeId="0" xr:uid="{00000000-0006-0000-0400-00001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9" authorId="0" shapeId="0" xr:uid="{00000000-0006-0000-0400-00001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0" authorId="0" shapeId="0" xr:uid="{00000000-0006-0000-0400-00001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1" authorId="0" shapeId="0" xr:uid="{00000000-0006-0000-0400-00001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S42" authorId="0" shapeId="0" xr:uid="{00000000-0006-0000-0400-00001E000000}">
      <text>
        <r>
          <rPr>
            <b/>
            <sz val="9"/>
            <color indexed="81"/>
            <rFont val="Tahoma"/>
            <family val="2"/>
          </rPr>
          <t>LiYan:</t>
        </r>
        <r>
          <rPr>
            <sz val="9"/>
            <color indexed="81"/>
            <rFont val="Tahoma"/>
            <family val="2"/>
          </rPr>
          <t xml:space="preserve">
2018.4.16</t>
        </r>
        <r>
          <rPr>
            <sz val="9"/>
            <color indexed="81"/>
            <rFont val="宋体"/>
            <family val="3"/>
            <charset val="134"/>
          </rPr>
          <t>申请开发票</t>
        </r>
      </text>
    </comment>
    <comment ref="AA42" authorId="0" shapeId="0" xr:uid="{00000000-0006-0000-0400-00001F000000}">
      <text>
        <r>
          <rPr>
            <b/>
            <sz val="9"/>
            <color indexed="81"/>
            <rFont val="Tahoma"/>
            <family val="2"/>
          </rPr>
          <t>LiYan:</t>
        </r>
        <r>
          <rPr>
            <sz val="9"/>
            <color indexed="81"/>
            <rFont val="Tahoma"/>
            <family val="2"/>
          </rPr>
          <t xml:space="preserve">
</t>
        </r>
        <r>
          <rPr>
            <sz val="9"/>
            <color indexed="81"/>
            <rFont val="宋体"/>
            <family val="3"/>
            <charset val="134"/>
          </rPr>
          <t>开全额发票
回款扣</t>
        </r>
        <r>
          <rPr>
            <sz val="9"/>
            <color indexed="81"/>
            <rFont val="Tahoma"/>
            <family val="2"/>
          </rPr>
          <t>4.62726</t>
        </r>
        <r>
          <rPr>
            <sz val="9"/>
            <color indexed="81"/>
            <rFont val="宋体"/>
            <family val="3"/>
            <charset val="134"/>
          </rPr>
          <t>万元</t>
        </r>
      </text>
    </comment>
    <comment ref="V43" authorId="0" shapeId="0" xr:uid="{00000000-0006-0000-0400-00002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5" authorId="0" shapeId="0" xr:uid="{00000000-0006-0000-0400-00002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2" authorId="0" shapeId="0" xr:uid="{00000000-0006-0000-0400-000022000000}">
      <text>
        <r>
          <rPr>
            <b/>
            <sz val="9"/>
            <color indexed="81"/>
            <rFont val="Tahoma"/>
            <family val="2"/>
          </rPr>
          <t>LiYan:</t>
        </r>
        <r>
          <rPr>
            <sz val="9"/>
            <color indexed="81"/>
            <rFont val="Tahoma"/>
            <family val="2"/>
          </rPr>
          <t xml:space="preserve">
</t>
        </r>
        <r>
          <rPr>
            <sz val="9"/>
            <color indexed="81"/>
            <rFont val="宋体"/>
            <family val="3"/>
            <charset val="134"/>
          </rPr>
          <t>含光伏功率预测和场站视频监控技术协议各</t>
        </r>
        <r>
          <rPr>
            <sz val="9"/>
            <color indexed="81"/>
            <rFont val="Tahoma"/>
            <family val="2"/>
          </rPr>
          <t>1</t>
        </r>
        <r>
          <rPr>
            <sz val="9"/>
            <color indexed="81"/>
            <rFont val="宋体"/>
            <family val="3"/>
            <charset val="134"/>
          </rPr>
          <t>份原件</t>
        </r>
      </text>
    </comment>
    <comment ref="V53" authorId="0" shapeId="0" xr:uid="{00000000-0006-0000-0400-000023000000}">
      <text>
        <r>
          <rPr>
            <b/>
            <sz val="9"/>
            <color indexed="81"/>
            <rFont val="Tahoma"/>
            <family val="2"/>
          </rPr>
          <t>LiYan:</t>
        </r>
        <r>
          <rPr>
            <sz val="9"/>
            <color indexed="81"/>
            <rFont val="Tahoma"/>
            <family val="2"/>
          </rPr>
          <t xml:space="preserve">
</t>
        </r>
        <r>
          <rPr>
            <sz val="9"/>
            <color indexed="81"/>
            <rFont val="宋体"/>
            <family val="3"/>
            <charset val="134"/>
          </rPr>
          <t>含光伏功率预测和场站视频监控技术协议各</t>
        </r>
        <r>
          <rPr>
            <sz val="9"/>
            <color indexed="81"/>
            <rFont val="Tahoma"/>
            <family val="2"/>
          </rPr>
          <t>1</t>
        </r>
        <r>
          <rPr>
            <sz val="9"/>
            <color indexed="81"/>
            <rFont val="宋体"/>
            <family val="3"/>
            <charset val="134"/>
          </rPr>
          <t>份原件</t>
        </r>
      </text>
    </comment>
    <comment ref="V54" authorId="0" shapeId="0" xr:uid="{00000000-0006-0000-0400-000024000000}">
      <text>
        <r>
          <rPr>
            <b/>
            <sz val="9"/>
            <color indexed="81"/>
            <rFont val="Tahoma"/>
            <family val="2"/>
          </rPr>
          <t>LiYan:</t>
        </r>
        <r>
          <rPr>
            <sz val="9"/>
            <color indexed="81"/>
            <rFont val="Tahoma"/>
            <family val="2"/>
          </rPr>
          <t xml:space="preserve">
</t>
        </r>
        <r>
          <rPr>
            <sz val="9"/>
            <color indexed="81"/>
            <rFont val="宋体"/>
            <family val="3"/>
            <charset val="134"/>
          </rPr>
          <t>技术协议复印件</t>
        </r>
        <r>
          <rPr>
            <sz val="9"/>
            <color indexed="81"/>
            <rFont val="Tahoma"/>
            <family val="2"/>
          </rPr>
          <t>1</t>
        </r>
        <r>
          <rPr>
            <sz val="9"/>
            <color indexed="81"/>
            <rFont val="宋体"/>
            <family val="3"/>
            <charset val="134"/>
          </rPr>
          <t>份</t>
        </r>
      </text>
    </comment>
    <comment ref="Y54" authorId="3" shapeId="0" xr:uid="{00000000-0006-0000-0400-000025000000}">
      <text>
        <r>
          <rPr>
            <b/>
            <sz val="9"/>
            <color indexed="81"/>
            <rFont val="宋体"/>
            <family val="3"/>
            <charset val="134"/>
          </rPr>
          <t>xmzx:</t>
        </r>
        <r>
          <rPr>
            <sz val="9"/>
            <color indexed="81"/>
            <rFont val="宋体"/>
            <family val="3"/>
            <charset val="134"/>
          </rPr>
          <t xml:space="preserve">
税率变为16%，合同金额变更</t>
        </r>
      </text>
    </comment>
    <comment ref="AA54" authorId="3" shapeId="0" xr:uid="{00000000-0006-0000-0400-000026000000}">
      <text>
        <r>
          <rPr>
            <b/>
            <sz val="9"/>
            <color indexed="81"/>
            <rFont val="宋体"/>
            <family val="3"/>
            <charset val="134"/>
          </rPr>
          <t>xmzx:</t>
        </r>
        <r>
          <rPr>
            <sz val="9"/>
            <color indexed="81"/>
            <rFont val="宋体"/>
            <family val="3"/>
            <charset val="134"/>
          </rPr>
          <t xml:space="preserve">
税率变为16%，合同金额变更</t>
        </r>
      </text>
    </comment>
    <comment ref="I55" authorId="0" shapeId="0" xr:uid="{00000000-0006-0000-0400-000027000000}">
      <text>
        <r>
          <rPr>
            <b/>
            <sz val="9"/>
            <color indexed="81"/>
            <rFont val="Tahoma"/>
            <family val="2"/>
          </rPr>
          <t>LiYan:</t>
        </r>
        <r>
          <rPr>
            <sz val="9"/>
            <color indexed="81"/>
            <rFont val="Tahoma"/>
            <family val="2"/>
          </rPr>
          <t xml:space="preserve">
</t>
        </r>
        <r>
          <rPr>
            <sz val="9"/>
            <color indexed="81"/>
            <rFont val="宋体"/>
            <family val="3"/>
            <charset val="134"/>
          </rPr>
          <t>青岛特瑞德</t>
        </r>
      </text>
    </comment>
    <comment ref="V55" authorId="0" shapeId="0" xr:uid="{00000000-0006-0000-0400-00002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I56" authorId="0" shapeId="0" xr:uid="{00000000-0006-0000-0400-000029000000}">
      <text>
        <r>
          <rPr>
            <b/>
            <sz val="9"/>
            <color indexed="81"/>
            <rFont val="Tahoma"/>
            <family val="2"/>
          </rPr>
          <t>LiYan:</t>
        </r>
        <r>
          <rPr>
            <sz val="9"/>
            <color indexed="81"/>
            <rFont val="Tahoma"/>
            <family val="2"/>
          </rPr>
          <t xml:space="preserve">
</t>
        </r>
        <r>
          <rPr>
            <sz val="9"/>
            <color indexed="81"/>
            <rFont val="宋体"/>
            <family val="3"/>
            <charset val="134"/>
          </rPr>
          <t>青岛特瑞德</t>
        </r>
      </text>
    </comment>
    <comment ref="V56" authorId="0" shapeId="0" xr:uid="{00000000-0006-0000-0400-00002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61" authorId="0" shapeId="0" xr:uid="{00000000-0006-0000-0400-00002B000000}">
      <text>
        <r>
          <rPr>
            <b/>
            <sz val="9"/>
            <color indexed="81"/>
            <rFont val="Tahoma"/>
            <family val="2"/>
          </rPr>
          <t>LiYan:</t>
        </r>
        <r>
          <rPr>
            <sz val="9"/>
            <color indexed="81"/>
            <rFont val="Tahoma"/>
            <family val="2"/>
          </rPr>
          <t xml:space="preserve">
</t>
        </r>
        <r>
          <rPr>
            <sz val="9"/>
            <color indexed="81"/>
            <rFont val="宋体"/>
            <family val="3"/>
            <charset val="134"/>
          </rPr>
          <t>技术协议复印件</t>
        </r>
        <r>
          <rPr>
            <sz val="9"/>
            <color indexed="81"/>
            <rFont val="Tahoma"/>
            <family val="2"/>
          </rPr>
          <t>1</t>
        </r>
        <r>
          <rPr>
            <sz val="9"/>
            <color indexed="81"/>
            <rFont val="宋体"/>
            <family val="3"/>
            <charset val="134"/>
          </rPr>
          <t>份</t>
        </r>
      </text>
    </comment>
    <comment ref="V72" authorId="0" shapeId="0" xr:uid="{00000000-0006-0000-0400-00002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73" authorId="1" shapeId="0" xr:uid="{00000000-0006-0000-0400-00002D000000}">
      <text>
        <r>
          <rPr>
            <b/>
            <sz val="9"/>
            <color indexed="81"/>
            <rFont val="Tahoma"/>
            <family val="2"/>
          </rPr>
          <t>User:</t>
        </r>
        <r>
          <rPr>
            <sz val="9"/>
            <color indexed="81"/>
            <rFont val="Tahoma"/>
            <family val="2"/>
          </rPr>
          <t xml:space="preserve">
</t>
        </r>
        <r>
          <rPr>
            <sz val="9"/>
            <color indexed="81"/>
            <rFont val="宋体"/>
            <family val="3"/>
            <charset val="134"/>
          </rPr>
          <t>含技术协议</t>
        </r>
        <r>
          <rPr>
            <sz val="9"/>
            <color indexed="81"/>
            <rFont val="Tahoma"/>
            <family val="2"/>
          </rPr>
          <t>1</t>
        </r>
        <r>
          <rPr>
            <sz val="9"/>
            <color indexed="81"/>
            <rFont val="宋体"/>
            <family val="3"/>
            <charset val="134"/>
          </rPr>
          <t>份</t>
        </r>
      </text>
    </comment>
    <comment ref="V74" authorId="1" shapeId="0" xr:uid="{00000000-0006-0000-0400-00002E000000}">
      <text>
        <r>
          <rPr>
            <b/>
            <sz val="9"/>
            <color indexed="81"/>
            <rFont val="Tahoma"/>
            <family val="2"/>
          </rPr>
          <t>User:</t>
        </r>
        <r>
          <rPr>
            <sz val="9"/>
            <color indexed="81"/>
            <rFont val="Tahoma"/>
            <family val="2"/>
          </rPr>
          <t xml:space="preserve">
</t>
        </r>
        <r>
          <rPr>
            <sz val="9"/>
            <color indexed="81"/>
            <rFont val="宋体"/>
            <family val="3"/>
            <charset val="134"/>
          </rPr>
          <t>含技术协议</t>
        </r>
        <r>
          <rPr>
            <sz val="9"/>
            <color indexed="81"/>
            <rFont val="Tahoma"/>
            <family val="2"/>
          </rPr>
          <t>1</t>
        </r>
        <r>
          <rPr>
            <sz val="9"/>
            <color indexed="81"/>
            <rFont val="宋体"/>
            <family val="3"/>
            <charset val="134"/>
          </rPr>
          <t>份</t>
        </r>
      </text>
    </comment>
    <comment ref="V75" authorId="1" shapeId="0" xr:uid="{00000000-0006-0000-0400-00002F000000}">
      <text>
        <r>
          <rPr>
            <b/>
            <sz val="9"/>
            <color indexed="81"/>
            <rFont val="Tahoma"/>
            <family val="2"/>
          </rPr>
          <t>User:</t>
        </r>
        <r>
          <rPr>
            <sz val="9"/>
            <color indexed="81"/>
            <rFont val="Tahoma"/>
            <family val="2"/>
          </rPr>
          <t xml:space="preserve">
</t>
        </r>
        <r>
          <rPr>
            <sz val="9"/>
            <color indexed="81"/>
            <rFont val="宋体"/>
            <family val="3"/>
            <charset val="134"/>
          </rPr>
          <t>含技术协议</t>
        </r>
        <r>
          <rPr>
            <sz val="9"/>
            <color indexed="81"/>
            <rFont val="Tahoma"/>
            <family val="2"/>
          </rPr>
          <t>1</t>
        </r>
        <r>
          <rPr>
            <sz val="9"/>
            <color indexed="81"/>
            <rFont val="宋体"/>
            <family val="3"/>
            <charset val="134"/>
          </rPr>
          <t>份</t>
        </r>
      </text>
    </comment>
    <comment ref="G76" authorId="3" shapeId="0" xr:uid="{00000000-0006-0000-0400-000030000000}">
      <text>
        <r>
          <rPr>
            <b/>
            <sz val="9"/>
            <color indexed="81"/>
            <rFont val="宋体"/>
            <family val="3"/>
            <charset val="134"/>
          </rPr>
          <t>xmzx:</t>
        </r>
        <r>
          <rPr>
            <sz val="9"/>
            <color indexed="81"/>
            <rFont val="宋体"/>
            <family val="3"/>
            <charset val="134"/>
          </rPr>
          <t xml:space="preserve">
14019号合同补充协议</t>
        </r>
      </text>
    </comment>
    <comment ref="V76" authorId="0" shapeId="0" xr:uid="{00000000-0006-0000-0400-00003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77" authorId="3" shapeId="0" xr:uid="{00000000-0006-0000-0400-000032000000}">
      <text>
        <r>
          <rPr>
            <b/>
            <sz val="9"/>
            <color indexed="81"/>
            <rFont val="宋体"/>
            <family val="3"/>
            <charset val="134"/>
          </rPr>
          <t>xmzx:</t>
        </r>
        <r>
          <rPr>
            <sz val="9"/>
            <color indexed="81"/>
            <rFont val="宋体"/>
            <family val="3"/>
            <charset val="134"/>
          </rPr>
          <t xml:space="preserve">
14018号合同补充协议</t>
        </r>
      </text>
    </comment>
    <comment ref="V77" authorId="0" shapeId="0" xr:uid="{00000000-0006-0000-0400-00003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78" authorId="3" shapeId="0" xr:uid="{00000000-0006-0000-0400-000034000000}">
      <text>
        <r>
          <rPr>
            <b/>
            <sz val="9"/>
            <color indexed="81"/>
            <rFont val="宋体"/>
            <family val="3"/>
            <charset val="134"/>
          </rPr>
          <t>xmzx:</t>
        </r>
        <r>
          <rPr>
            <sz val="9"/>
            <color indexed="81"/>
            <rFont val="宋体"/>
            <family val="3"/>
            <charset val="134"/>
          </rPr>
          <t xml:space="preserve">
14016号合同补充协议</t>
        </r>
      </text>
    </comment>
    <comment ref="V78" authorId="0" shapeId="0" xr:uid="{00000000-0006-0000-0400-00003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79" authorId="3" shapeId="0" xr:uid="{00000000-0006-0000-0400-000036000000}">
      <text>
        <r>
          <rPr>
            <b/>
            <sz val="9"/>
            <color indexed="81"/>
            <rFont val="宋体"/>
            <family val="3"/>
            <charset val="134"/>
          </rPr>
          <t>xmzx:</t>
        </r>
        <r>
          <rPr>
            <sz val="9"/>
            <color indexed="81"/>
            <rFont val="宋体"/>
            <family val="3"/>
            <charset val="134"/>
          </rPr>
          <t xml:space="preserve">
14011号合同补充协议</t>
        </r>
      </text>
    </comment>
    <comment ref="V79" authorId="0" shapeId="0" xr:uid="{00000000-0006-0000-0400-00003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0" authorId="3" shapeId="0" xr:uid="{00000000-0006-0000-0400-000038000000}">
      <text>
        <r>
          <rPr>
            <b/>
            <sz val="9"/>
            <color indexed="81"/>
            <rFont val="宋体"/>
            <family val="3"/>
            <charset val="134"/>
          </rPr>
          <t>xmzx:</t>
        </r>
        <r>
          <rPr>
            <sz val="9"/>
            <color indexed="81"/>
            <rFont val="宋体"/>
            <family val="3"/>
            <charset val="134"/>
          </rPr>
          <t xml:space="preserve">
14017号合同补充协议</t>
        </r>
      </text>
    </comment>
    <comment ref="V80" authorId="0" shapeId="0" xr:uid="{00000000-0006-0000-0400-00003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1" authorId="3" shapeId="0" xr:uid="{00000000-0006-0000-0400-00003A000000}">
      <text>
        <r>
          <rPr>
            <b/>
            <sz val="9"/>
            <color indexed="81"/>
            <rFont val="宋体"/>
            <family val="3"/>
            <charset val="134"/>
          </rPr>
          <t>xmzx:</t>
        </r>
        <r>
          <rPr>
            <sz val="9"/>
            <color indexed="81"/>
            <rFont val="宋体"/>
            <family val="3"/>
            <charset val="134"/>
          </rPr>
          <t xml:space="preserve">
14010号合同补充协议</t>
        </r>
      </text>
    </comment>
    <comment ref="V81" authorId="0" shapeId="0" xr:uid="{00000000-0006-0000-0400-00003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2" authorId="3" shapeId="0" xr:uid="{00000000-0006-0000-0400-00003C000000}">
      <text>
        <r>
          <rPr>
            <b/>
            <sz val="9"/>
            <color indexed="81"/>
            <rFont val="宋体"/>
            <family val="3"/>
            <charset val="134"/>
          </rPr>
          <t>xmzx:</t>
        </r>
        <r>
          <rPr>
            <sz val="9"/>
            <color indexed="81"/>
            <rFont val="宋体"/>
            <family val="3"/>
            <charset val="134"/>
          </rPr>
          <t xml:space="preserve">
14014号合同补充协议</t>
        </r>
      </text>
    </comment>
    <comment ref="V82" authorId="0" shapeId="0" xr:uid="{00000000-0006-0000-0400-00003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3" authorId="3" shapeId="0" xr:uid="{00000000-0006-0000-0400-00003E000000}">
      <text>
        <r>
          <rPr>
            <b/>
            <sz val="9"/>
            <color indexed="81"/>
            <rFont val="宋体"/>
            <family val="3"/>
            <charset val="134"/>
          </rPr>
          <t>xmzx:</t>
        </r>
        <r>
          <rPr>
            <sz val="9"/>
            <color indexed="81"/>
            <rFont val="宋体"/>
            <family val="3"/>
            <charset val="134"/>
          </rPr>
          <t xml:space="preserve">
14013号合同补充协议</t>
        </r>
      </text>
    </comment>
    <comment ref="V83" authorId="0" shapeId="0" xr:uid="{00000000-0006-0000-0400-00003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4" authorId="3" shapeId="0" xr:uid="{00000000-0006-0000-0400-000040000000}">
      <text>
        <r>
          <rPr>
            <b/>
            <sz val="9"/>
            <color indexed="81"/>
            <rFont val="宋体"/>
            <family val="3"/>
            <charset val="134"/>
          </rPr>
          <t>xmzx:</t>
        </r>
        <r>
          <rPr>
            <sz val="9"/>
            <color indexed="81"/>
            <rFont val="宋体"/>
            <family val="3"/>
            <charset val="134"/>
          </rPr>
          <t xml:space="preserve">
14020号合同补充协议</t>
        </r>
      </text>
    </comment>
    <comment ref="V84" authorId="0" shapeId="0" xr:uid="{00000000-0006-0000-0400-00004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5" authorId="3" shapeId="0" xr:uid="{00000000-0006-0000-0400-000042000000}">
      <text>
        <r>
          <rPr>
            <b/>
            <sz val="9"/>
            <color indexed="81"/>
            <rFont val="宋体"/>
            <family val="3"/>
            <charset val="134"/>
          </rPr>
          <t>xmzx:</t>
        </r>
        <r>
          <rPr>
            <sz val="9"/>
            <color indexed="81"/>
            <rFont val="宋体"/>
            <family val="3"/>
            <charset val="134"/>
          </rPr>
          <t xml:space="preserve">
14015号合同补充协议</t>
        </r>
      </text>
    </comment>
    <comment ref="V85" authorId="0" shapeId="0" xr:uid="{00000000-0006-0000-0400-00004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6" authorId="3" shapeId="0" xr:uid="{00000000-0006-0000-0400-000044000000}">
      <text>
        <r>
          <rPr>
            <b/>
            <sz val="9"/>
            <color indexed="81"/>
            <rFont val="宋体"/>
            <family val="3"/>
            <charset val="134"/>
          </rPr>
          <t>xmzx:</t>
        </r>
        <r>
          <rPr>
            <sz val="9"/>
            <color indexed="81"/>
            <rFont val="宋体"/>
            <family val="3"/>
            <charset val="134"/>
          </rPr>
          <t xml:space="preserve">
14012号合同补充协议</t>
        </r>
      </text>
    </comment>
    <comment ref="V86" authorId="0" shapeId="0" xr:uid="{00000000-0006-0000-0400-00004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7" authorId="3" shapeId="0" xr:uid="{00000000-0006-0000-0400-000046000000}">
      <text>
        <r>
          <rPr>
            <b/>
            <sz val="9"/>
            <color indexed="81"/>
            <rFont val="宋体"/>
            <family val="3"/>
            <charset val="134"/>
          </rPr>
          <t>xmzx:</t>
        </r>
        <r>
          <rPr>
            <sz val="9"/>
            <color indexed="81"/>
            <rFont val="宋体"/>
            <family val="3"/>
            <charset val="134"/>
          </rPr>
          <t xml:space="preserve">
14021号合同补充协议</t>
        </r>
      </text>
    </comment>
    <comment ref="V87" authorId="0" shapeId="0" xr:uid="{00000000-0006-0000-0400-00004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8" authorId="3" shapeId="0" xr:uid="{00000000-0006-0000-0400-000048000000}">
      <text>
        <r>
          <rPr>
            <b/>
            <sz val="9"/>
            <color indexed="81"/>
            <rFont val="宋体"/>
            <family val="3"/>
            <charset val="134"/>
          </rPr>
          <t>xmzx:</t>
        </r>
        <r>
          <rPr>
            <sz val="9"/>
            <color indexed="81"/>
            <rFont val="宋体"/>
            <family val="3"/>
            <charset val="134"/>
          </rPr>
          <t xml:space="preserve">
14021号合同补充协议</t>
        </r>
      </text>
    </comment>
    <comment ref="V88" authorId="0" shapeId="0" xr:uid="{00000000-0006-0000-0400-00004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9" authorId="3" shapeId="0" xr:uid="{00000000-0006-0000-0400-00004A000000}">
      <text>
        <r>
          <rPr>
            <b/>
            <sz val="9"/>
            <color indexed="81"/>
            <rFont val="宋体"/>
            <family val="3"/>
            <charset val="134"/>
          </rPr>
          <t>xmzx:</t>
        </r>
        <r>
          <rPr>
            <sz val="9"/>
            <color indexed="81"/>
            <rFont val="宋体"/>
            <family val="3"/>
            <charset val="134"/>
          </rPr>
          <t xml:space="preserve">
14021号合同补充协议</t>
        </r>
      </text>
    </comment>
    <comment ref="V89" authorId="0" shapeId="0" xr:uid="{00000000-0006-0000-0400-00004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6" authorId="0" shapeId="0" xr:uid="{00000000-0006-0000-0400-00004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7" authorId="0" shapeId="0" xr:uid="{00000000-0006-0000-0400-00004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25" authorId="0" shapeId="0" xr:uid="{00000000-0006-0000-0400-00004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26" authorId="3" shapeId="0" xr:uid="{00000000-0006-0000-0400-00004F000000}">
      <text>
        <r>
          <rPr>
            <b/>
            <sz val="9"/>
            <color indexed="81"/>
            <rFont val="宋体"/>
            <family val="3"/>
            <charset val="134"/>
          </rPr>
          <t>xmzx:</t>
        </r>
        <r>
          <rPr>
            <sz val="9"/>
            <color indexed="81"/>
            <rFont val="宋体"/>
            <family val="3"/>
            <charset val="134"/>
          </rPr>
          <t xml:space="preserve">
含技术协议2份</t>
        </r>
      </text>
    </comment>
    <comment ref="V138" authorId="0" shapeId="0" xr:uid="{00000000-0006-0000-0400-00005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1" authorId="0" shapeId="0" xr:uid="{00000000-0006-0000-0400-00005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9" authorId="0" shapeId="0" xr:uid="{00000000-0006-0000-0400-00005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0" authorId="0" shapeId="0" xr:uid="{00000000-0006-0000-0400-00005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1" authorId="0" shapeId="0" xr:uid="{00000000-0006-0000-0400-00005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2" authorId="0" shapeId="0" xr:uid="{00000000-0006-0000-0400-00005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8" authorId="3" shapeId="0" xr:uid="{00000000-0006-0000-0400-000056000000}">
      <text>
        <r>
          <rPr>
            <b/>
            <sz val="9"/>
            <color indexed="81"/>
            <rFont val="宋体"/>
            <family val="3"/>
            <charset val="134"/>
          </rPr>
          <t>xmzx:</t>
        </r>
        <r>
          <rPr>
            <sz val="9"/>
            <color indexed="81"/>
            <rFont val="宋体"/>
            <family val="3"/>
            <charset val="134"/>
          </rPr>
          <t xml:space="preserve">
含技术协议和质量保证协议各一份</t>
        </r>
      </text>
    </comment>
    <comment ref="V170" authorId="3" shapeId="0" xr:uid="{00000000-0006-0000-0400-000057000000}">
      <text>
        <r>
          <rPr>
            <b/>
            <sz val="9"/>
            <color indexed="81"/>
            <rFont val="宋体"/>
            <family val="3"/>
            <charset val="134"/>
          </rPr>
          <t>xmzx:</t>
        </r>
        <r>
          <rPr>
            <sz val="9"/>
            <color indexed="81"/>
            <rFont val="宋体"/>
            <family val="3"/>
            <charset val="134"/>
          </rPr>
          <t xml:space="preserve">
含技术协议复印件1份，技术协议原件已给财务</t>
        </r>
      </text>
    </comment>
    <comment ref="V174" authorId="0" shapeId="0" xr:uid="{00000000-0006-0000-0400-00005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6" authorId="0" shapeId="0" xr:uid="{00000000-0006-0000-0400-00005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7" authorId="0" shapeId="0" xr:uid="{00000000-0006-0000-0400-00005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8" authorId="0" shapeId="0" xr:uid="{00000000-0006-0000-0400-00005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1" authorId="0" shapeId="0" xr:uid="{00000000-0006-0000-0400-00005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2" authorId="0" shapeId="0" xr:uid="{00000000-0006-0000-0400-00005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0" authorId="3" shapeId="0" xr:uid="{00000000-0006-0000-0400-00005E000000}">
      <text>
        <r>
          <rPr>
            <b/>
            <sz val="9"/>
            <color indexed="81"/>
            <rFont val="宋体"/>
            <family val="3"/>
            <charset val="134"/>
          </rPr>
          <t>xmzx:</t>
        </r>
        <r>
          <rPr>
            <sz val="9"/>
            <color indexed="81"/>
            <rFont val="宋体"/>
            <family val="3"/>
            <charset val="134"/>
          </rPr>
          <t xml:space="preserve">
含廉洁协议1份</t>
        </r>
      </text>
    </comment>
    <comment ref="E193" authorId="4" shapeId="0" xr:uid="{1C053768-316B-4556-BB7D-705469BADAAC}">
      <text>
        <r>
          <rPr>
            <b/>
            <sz val="9"/>
            <color indexed="81"/>
            <rFont val="宋体"/>
            <family val="3"/>
            <charset val="134"/>
          </rPr>
          <t>Administrator:</t>
        </r>
        <r>
          <rPr>
            <sz val="9"/>
            <color indexed="81"/>
            <rFont val="宋体"/>
            <family val="3"/>
            <charset val="134"/>
          </rPr>
          <t xml:space="preserve">
2023年11月27日发现笔误。实际没有此变更。</t>
        </r>
      </text>
    </comment>
    <comment ref="V194" authorId="3" shapeId="0" xr:uid="{00000000-0006-0000-0400-00005F000000}">
      <text>
        <r>
          <rPr>
            <b/>
            <sz val="9"/>
            <color indexed="81"/>
            <rFont val="宋体"/>
            <family val="3"/>
            <charset val="134"/>
          </rPr>
          <t>xmzx:</t>
        </r>
        <r>
          <rPr>
            <sz val="9"/>
            <color indexed="81"/>
            <rFont val="宋体"/>
            <family val="3"/>
            <charset val="134"/>
          </rPr>
          <t xml:space="preserve">
含廉洁协议1份</t>
        </r>
      </text>
    </comment>
    <comment ref="V197" authorId="3" shapeId="0" xr:uid="{00000000-0006-0000-0400-000060000000}">
      <text>
        <r>
          <rPr>
            <b/>
            <sz val="9"/>
            <color indexed="81"/>
            <rFont val="宋体"/>
            <family val="3"/>
            <charset val="134"/>
          </rPr>
          <t>xmzx:</t>
        </r>
        <r>
          <rPr>
            <sz val="9"/>
            <color indexed="81"/>
            <rFont val="宋体"/>
            <family val="3"/>
            <charset val="134"/>
          </rPr>
          <t xml:space="preserve">
含安全管理协议1份，安全管理协议只有1份，给财务。</t>
        </r>
      </text>
    </comment>
    <comment ref="V202" authorId="0" shapeId="0" xr:uid="{00000000-0006-0000-0400-00006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4" authorId="0" shapeId="0" xr:uid="{00000000-0006-0000-0400-00006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205" authorId="4" shapeId="0" xr:uid="{8CC3507F-D90D-4607-9662-464ABCCFB992}">
      <text>
        <r>
          <rPr>
            <b/>
            <sz val="9"/>
            <color indexed="81"/>
            <rFont val="宋体"/>
            <family val="3"/>
            <charset val="134"/>
          </rPr>
          <t>Administrator:</t>
        </r>
        <r>
          <rPr>
            <sz val="9"/>
            <color indexed="81"/>
            <rFont val="宋体"/>
            <family val="3"/>
            <charset val="134"/>
          </rPr>
          <t xml:space="preserve">
2023年11月27日，发现没有此合同原件及复印件。</t>
        </r>
      </text>
    </comment>
    <comment ref="V207" authorId="0" shapeId="0" xr:uid="{00000000-0006-0000-0400-00006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7" authorId="0" shapeId="0" xr:uid="{00000000-0006-0000-0400-00006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9" authorId="4" shapeId="0" xr:uid="{96DAB8C5-73F5-4E9D-BB38-F08F995A7F21}">
      <text>
        <r>
          <rPr>
            <b/>
            <sz val="9"/>
            <color indexed="81"/>
            <rFont val="宋体"/>
            <family val="3"/>
            <charset val="134"/>
          </rPr>
          <t>Administrator:</t>
        </r>
        <r>
          <rPr>
            <sz val="9"/>
            <color indexed="81"/>
            <rFont val="宋体"/>
            <family val="3"/>
            <charset val="134"/>
          </rPr>
          <t xml:space="preserve">
2023年11月27日发现此合同没有原件，只有1份复印件</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LiYan</author>
    <author>Microsoft</author>
    <author>User</author>
  </authors>
  <commentList>
    <comment ref="B3" authorId="0" shapeId="0" xr:uid="{00000000-0006-0000-0500-000001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4" authorId="0" shapeId="0" xr:uid="{00000000-0006-0000-0500-000002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5" authorId="0" shapeId="0" xr:uid="{00000000-0006-0000-0500-000003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t>
        </r>
      </text>
    </comment>
    <comment ref="V6" authorId="1" shapeId="0" xr:uid="{00000000-0006-0000-0500-000004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 authorId="1" shapeId="0" xr:uid="{00000000-0006-0000-0500-000005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L15" authorId="1" shapeId="0" xr:uid="{00000000-0006-0000-0500-000006000000}">
      <text>
        <r>
          <rPr>
            <b/>
            <sz val="9"/>
            <color indexed="81"/>
            <rFont val="Tahoma"/>
            <family val="2"/>
          </rPr>
          <t>Microsoft:</t>
        </r>
        <r>
          <rPr>
            <sz val="9"/>
            <color indexed="81"/>
            <rFont val="Tahoma"/>
            <family val="2"/>
          </rPr>
          <t xml:space="preserve">
</t>
        </r>
        <r>
          <rPr>
            <sz val="9"/>
            <color indexed="81"/>
            <rFont val="宋体"/>
            <family val="3"/>
            <charset val="134"/>
          </rPr>
          <t>泽库大唐</t>
        </r>
      </text>
    </comment>
    <comment ref="V15" authorId="1" shapeId="0" xr:uid="{00000000-0006-0000-0500-000007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9" authorId="1" shapeId="0" xr:uid="{00000000-0006-0000-0500-000008000000}">
      <text>
        <r>
          <rPr>
            <b/>
            <sz val="9"/>
            <color indexed="81"/>
            <rFont val="Tahoma"/>
            <family val="2"/>
          </rPr>
          <t>Microsoft:</t>
        </r>
        <r>
          <rPr>
            <sz val="9"/>
            <color indexed="81"/>
            <rFont val="Tahoma"/>
            <family val="2"/>
          </rPr>
          <t xml:space="preserve">
</t>
        </r>
        <r>
          <rPr>
            <sz val="9"/>
            <color indexed="81"/>
            <rFont val="宋体"/>
            <family val="3"/>
            <charset val="134"/>
          </rPr>
          <t>只有电子版原件扫描件存档复印件</t>
        </r>
      </text>
    </comment>
    <comment ref="L24" authorId="1" shapeId="0" xr:uid="{00000000-0006-0000-0500-000009000000}">
      <text>
        <r>
          <rPr>
            <b/>
            <sz val="9"/>
            <color indexed="81"/>
            <rFont val="Tahoma"/>
            <family val="2"/>
          </rPr>
          <t>Microsoft:</t>
        </r>
        <r>
          <rPr>
            <sz val="9"/>
            <color indexed="81"/>
            <rFont val="Tahoma"/>
            <family val="2"/>
          </rPr>
          <t xml:space="preserve">
</t>
        </r>
        <r>
          <rPr>
            <sz val="9"/>
            <color indexed="81"/>
            <rFont val="宋体"/>
            <family val="3"/>
            <charset val="134"/>
          </rPr>
          <t>泽库大唐</t>
        </r>
      </text>
    </comment>
    <comment ref="V27" authorId="1" shapeId="0" xr:uid="{00000000-0006-0000-0500-00000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L28" authorId="1" shapeId="0" xr:uid="{00000000-0006-0000-0500-00000B000000}">
      <text>
        <r>
          <rPr>
            <b/>
            <sz val="9"/>
            <color indexed="81"/>
            <rFont val="Tahoma"/>
            <family val="2"/>
          </rPr>
          <t>Microsoft:</t>
        </r>
        <r>
          <rPr>
            <sz val="9"/>
            <color indexed="81"/>
            <rFont val="Tahoma"/>
            <family val="2"/>
          </rPr>
          <t xml:space="preserve">
</t>
        </r>
        <r>
          <rPr>
            <sz val="9"/>
            <color indexed="81"/>
            <rFont val="宋体"/>
            <family val="3"/>
            <charset val="134"/>
          </rPr>
          <t>大庆宏伟风电场为大庆银浪风电场二期</t>
        </r>
      </text>
    </comment>
    <comment ref="V28" authorId="1" shapeId="0" xr:uid="{00000000-0006-0000-0500-00000C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9" authorId="1" shapeId="0" xr:uid="{00000000-0006-0000-0500-00000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1" shapeId="0" xr:uid="{00000000-0006-0000-0500-00000E000000}">
      <text>
        <r>
          <rPr>
            <b/>
            <sz val="9"/>
            <color indexed="81"/>
            <rFont val="Tahoma"/>
            <family val="2"/>
          </rPr>
          <t>Microsoft:</t>
        </r>
        <r>
          <rPr>
            <sz val="9"/>
            <color indexed="81"/>
            <rFont val="Tahoma"/>
            <family val="2"/>
          </rPr>
          <t xml:space="preserve">
</t>
        </r>
        <r>
          <rPr>
            <sz val="9"/>
            <color indexed="81"/>
            <rFont val="宋体"/>
            <family val="3"/>
            <charset val="134"/>
          </rPr>
          <t>合同无原件只有扫描件</t>
        </r>
      </text>
    </comment>
    <comment ref="L31" authorId="1" shapeId="0" xr:uid="{00000000-0006-0000-0500-00000F000000}">
      <text>
        <r>
          <rPr>
            <b/>
            <sz val="9"/>
            <color indexed="81"/>
            <rFont val="Tahoma"/>
            <family val="2"/>
          </rPr>
          <t>Microsoft:</t>
        </r>
        <r>
          <rPr>
            <sz val="9"/>
            <color indexed="81"/>
            <rFont val="Tahoma"/>
            <family val="2"/>
          </rPr>
          <t xml:space="preserve">
</t>
        </r>
        <r>
          <rPr>
            <sz val="9"/>
            <color indexed="81"/>
            <rFont val="宋体"/>
            <family val="3"/>
            <charset val="134"/>
          </rPr>
          <t>东营大唐</t>
        </r>
      </text>
    </comment>
    <comment ref="V31" authorId="1" shapeId="0" xr:uid="{00000000-0006-0000-0500-000010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2" authorId="1" shapeId="0" xr:uid="{00000000-0006-0000-0500-000011000000}">
      <text>
        <r>
          <rPr>
            <b/>
            <sz val="9"/>
            <color indexed="81"/>
            <rFont val="Tahoma"/>
            <family val="2"/>
          </rPr>
          <t>Microsoft:</t>
        </r>
        <r>
          <rPr>
            <sz val="9"/>
            <color indexed="81"/>
            <rFont val="Tahoma"/>
            <family val="2"/>
          </rPr>
          <t xml:space="preserve">
</t>
        </r>
        <r>
          <rPr>
            <sz val="9"/>
            <color indexed="81"/>
            <rFont val="宋体"/>
            <family val="3"/>
            <charset val="134"/>
          </rPr>
          <t>含技术协议复印件一份</t>
        </r>
      </text>
    </comment>
    <comment ref="G33" authorId="1" shapeId="0" xr:uid="{00000000-0006-0000-0500-000012000000}">
      <text>
        <r>
          <rPr>
            <b/>
            <sz val="9"/>
            <color indexed="81"/>
            <rFont val="Tahoma"/>
            <family val="2"/>
          </rPr>
          <t xml:space="preserve">Microsoft:
</t>
        </r>
        <r>
          <rPr>
            <b/>
            <sz val="9"/>
            <color indexed="81"/>
            <rFont val="宋体"/>
            <family val="3"/>
            <charset val="134"/>
          </rPr>
          <t>项目名称：松原绿筑</t>
        </r>
        <r>
          <rPr>
            <b/>
            <sz val="9"/>
            <color indexed="81"/>
            <rFont val="Tahoma"/>
            <family val="2"/>
          </rPr>
          <t>15MW</t>
        </r>
        <r>
          <rPr>
            <b/>
            <sz val="9"/>
            <color indexed="81"/>
            <rFont val="宋体"/>
            <family val="3"/>
            <charset val="134"/>
          </rPr>
          <t>牧光互补光伏项目；
建设方：松原绿筑光伏发电有限公司（民营企业）；
总包方：松原市电力工程公司；
二次设备分包方：吉林省加禧电力工程技术有限公司；
项目情况：开工建设</t>
        </r>
        <r>
          <rPr>
            <sz val="9"/>
            <color indexed="81"/>
            <rFont val="Tahoma"/>
            <family val="2"/>
          </rPr>
          <t xml:space="preserve">
</t>
        </r>
      </text>
    </comment>
    <comment ref="V33" authorId="1" shapeId="0" xr:uid="{00000000-0006-0000-0500-000013000000}">
      <text>
        <r>
          <rPr>
            <b/>
            <sz val="9"/>
            <color indexed="81"/>
            <rFont val="Tahoma"/>
            <family val="2"/>
          </rPr>
          <t>Microsoft:</t>
        </r>
        <r>
          <rPr>
            <sz val="9"/>
            <color indexed="81"/>
            <rFont val="Tahoma"/>
            <family val="2"/>
          </rPr>
          <t xml:space="preserve">
</t>
        </r>
        <r>
          <rPr>
            <sz val="9"/>
            <color indexed="81"/>
            <rFont val="宋体"/>
            <family val="3"/>
            <charset val="134"/>
          </rPr>
          <t>含技术协三份自动有功、无功、光伏各一份</t>
        </r>
      </text>
    </comment>
    <comment ref="W33" authorId="1" shapeId="0" xr:uid="{00000000-0006-0000-0500-000014000000}">
      <text>
        <r>
          <rPr>
            <b/>
            <sz val="9"/>
            <color indexed="81"/>
            <rFont val="Tahoma"/>
            <family val="2"/>
          </rPr>
          <t>Microsoft:</t>
        </r>
        <r>
          <rPr>
            <sz val="9"/>
            <color indexed="81"/>
            <rFont val="Tahoma"/>
            <family val="2"/>
          </rPr>
          <t xml:space="preserve">
</t>
        </r>
        <r>
          <rPr>
            <sz val="9"/>
            <color indexed="81"/>
            <rFont val="宋体"/>
            <family val="3"/>
            <charset val="134"/>
          </rPr>
          <t>从第一台风机投运开始算</t>
        </r>
      </text>
    </comment>
    <comment ref="G34" authorId="1" shapeId="0" xr:uid="{00000000-0006-0000-0500-000015000000}">
      <text>
        <r>
          <rPr>
            <b/>
            <sz val="9"/>
            <color indexed="81"/>
            <rFont val="Tahoma"/>
            <family val="2"/>
          </rPr>
          <t>Microsoft:</t>
        </r>
        <r>
          <rPr>
            <sz val="9"/>
            <color indexed="81"/>
            <rFont val="Tahoma"/>
            <family val="2"/>
          </rPr>
          <t xml:space="preserve">
</t>
        </r>
        <r>
          <rPr>
            <sz val="9"/>
            <color indexed="81"/>
            <rFont val="宋体"/>
            <family val="3"/>
            <charset val="134"/>
          </rPr>
          <t>按年服务签订合同，实际为补之前开工申请</t>
        </r>
        <r>
          <rPr>
            <sz val="9"/>
            <color indexed="81"/>
            <rFont val="Tahoma"/>
            <family val="2"/>
          </rPr>
          <t>16031</t>
        </r>
        <r>
          <rPr>
            <sz val="9"/>
            <color indexed="81"/>
            <rFont val="宋体"/>
            <family val="3"/>
            <charset val="134"/>
          </rPr>
          <t>的风功率预测合同</t>
        </r>
      </text>
    </comment>
    <comment ref="L34" authorId="1" shapeId="0" xr:uid="{00000000-0006-0000-0500-000016000000}">
      <text>
        <r>
          <rPr>
            <b/>
            <sz val="9"/>
            <color indexed="81"/>
            <rFont val="Tahoma"/>
            <family val="2"/>
          </rPr>
          <t>Microsoft:</t>
        </r>
        <r>
          <rPr>
            <sz val="9"/>
            <color indexed="81"/>
            <rFont val="Tahoma"/>
            <family val="2"/>
          </rPr>
          <t xml:space="preserve">
</t>
        </r>
        <r>
          <rPr>
            <sz val="9"/>
            <color indexed="81"/>
            <rFont val="宋体"/>
            <family val="3"/>
            <charset val="134"/>
          </rPr>
          <t>大个岭为大泉子的二期</t>
        </r>
      </text>
    </comment>
    <comment ref="C35" authorId="1" shapeId="0" xr:uid="{00000000-0006-0000-0500-000017000000}">
      <text>
        <r>
          <rPr>
            <b/>
            <sz val="9"/>
            <color indexed="81"/>
            <rFont val="Tahoma"/>
            <family val="2"/>
          </rPr>
          <t>Microsoft:</t>
        </r>
        <r>
          <rPr>
            <sz val="9"/>
            <color indexed="81"/>
            <rFont val="Tahoma"/>
            <family val="2"/>
          </rPr>
          <t xml:space="preserve">
1.</t>
        </r>
        <r>
          <rPr>
            <sz val="9"/>
            <color indexed="81"/>
            <rFont val="宋体"/>
            <family val="3"/>
            <charset val="134"/>
          </rPr>
          <t>未编号，对应</t>
        </r>
        <r>
          <rPr>
            <sz val="9"/>
            <color indexed="81"/>
            <rFont val="Tahoma"/>
            <family val="2"/>
          </rPr>
          <t>2013</t>
        </r>
        <r>
          <rPr>
            <sz val="9"/>
            <color indexed="81"/>
            <rFont val="宋体"/>
            <family val="3"/>
            <charset val="134"/>
          </rPr>
          <t>年王龙波华电新疆东方民生三塘湖一期风电功率预测项目，执行情况为完工进服务，预计合同金额</t>
        </r>
        <r>
          <rPr>
            <sz val="9"/>
            <color indexed="81"/>
            <rFont val="Tahoma"/>
            <family val="2"/>
          </rPr>
          <t>68</t>
        </r>
        <r>
          <rPr>
            <sz val="9"/>
            <color indexed="81"/>
            <rFont val="宋体"/>
            <family val="3"/>
            <charset val="134"/>
          </rPr>
          <t xml:space="preserve">万的开工申请。
</t>
        </r>
        <r>
          <rPr>
            <sz val="9"/>
            <color indexed="81"/>
            <rFont val="宋体"/>
            <family val="3"/>
            <charset val="134"/>
          </rPr>
          <t xml:space="preserve">
</t>
        </r>
      </text>
    </comment>
    <comment ref="L35" authorId="1" shapeId="0" xr:uid="{00000000-0006-0000-0500-000018000000}">
      <text>
        <r>
          <rPr>
            <b/>
            <sz val="9"/>
            <color indexed="81"/>
            <rFont val="Tahoma"/>
            <family val="2"/>
          </rPr>
          <t>Microsoft:</t>
        </r>
        <r>
          <rPr>
            <sz val="9"/>
            <color indexed="81"/>
            <rFont val="Tahoma"/>
            <family val="2"/>
          </rPr>
          <t xml:space="preserve">
</t>
        </r>
        <r>
          <rPr>
            <sz val="9"/>
            <color indexed="81"/>
            <rFont val="宋体"/>
            <family val="3"/>
            <charset val="134"/>
          </rPr>
          <t>一期含三期</t>
        </r>
      </text>
    </comment>
    <comment ref="W35" authorId="1" shapeId="0" xr:uid="{00000000-0006-0000-0500-000019000000}">
      <text>
        <r>
          <rPr>
            <b/>
            <sz val="9"/>
            <color indexed="81"/>
            <rFont val="Tahoma"/>
            <family val="2"/>
          </rPr>
          <t>Microsoft:</t>
        </r>
        <r>
          <rPr>
            <sz val="9"/>
            <color indexed="81"/>
            <rFont val="Tahoma"/>
            <family val="2"/>
          </rPr>
          <t xml:space="preserve">
2017.4.24</t>
        </r>
        <r>
          <rPr>
            <sz val="9"/>
            <color indexed="81"/>
            <rFont val="宋体"/>
            <family val="3"/>
            <charset val="134"/>
          </rPr>
          <t>跟销售经理王龙波确认免费赠送三年服务，服务日期就是并网那天开始算，王龙波</t>
        </r>
        <r>
          <rPr>
            <sz val="9"/>
            <color indexed="81"/>
            <rFont val="Tahoma"/>
            <family val="2"/>
          </rPr>
          <t xml:space="preserve">  12:29:04
</t>
        </r>
        <r>
          <rPr>
            <sz val="9"/>
            <color indexed="81"/>
            <rFont val="宋体"/>
            <family val="3"/>
            <charset val="134"/>
          </rPr>
          <t xml:space="preserve">按并网时间算
就是第一台风机投运时间
</t>
        </r>
        <r>
          <rPr>
            <sz val="9"/>
            <color indexed="81"/>
            <rFont val="宋体"/>
            <family val="3"/>
            <charset val="134"/>
          </rPr>
          <t>东方民生三塘湖风电场</t>
        </r>
        <r>
          <rPr>
            <sz val="9"/>
            <color indexed="81"/>
            <rFont val="Tahoma"/>
            <family val="2"/>
          </rPr>
          <t xml:space="preserve"> </t>
        </r>
        <r>
          <rPr>
            <sz val="9"/>
            <color indexed="81"/>
            <rFont val="宋体"/>
            <family val="3"/>
            <charset val="134"/>
          </rPr>
          <t>第一台风机投运并网时间是</t>
        </r>
        <r>
          <rPr>
            <sz val="9"/>
            <color indexed="81"/>
            <rFont val="Tahoma"/>
            <family val="2"/>
          </rPr>
          <t>2013</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t>
        </r>
        <r>
          <rPr>
            <sz val="9"/>
            <color indexed="81"/>
            <rFont val="Tahoma"/>
            <family val="2"/>
          </rPr>
          <t xml:space="preserve">       2013.5.28 </t>
        </r>
        <r>
          <rPr>
            <sz val="9"/>
            <color indexed="81"/>
            <rFont val="宋体"/>
            <family val="3"/>
            <charset val="134"/>
          </rPr>
          <t>开始预测</t>
        </r>
        <r>
          <rPr>
            <sz val="9"/>
            <color indexed="81"/>
            <rFont val="Tahoma"/>
            <family val="2"/>
          </rPr>
          <t xml:space="preserve">     </t>
        </r>
        <r>
          <rPr>
            <sz val="9"/>
            <color indexed="81"/>
            <rFont val="宋体"/>
            <family val="3"/>
            <charset val="134"/>
          </rPr>
          <t>免费</t>
        </r>
        <r>
          <rPr>
            <sz val="9"/>
            <color indexed="81"/>
            <rFont val="Tahoma"/>
            <family val="2"/>
          </rPr>
          <t>3</t>
        </r>
        <r>
          <rPr>
            <sz val="9"/>
            <color indexed="81"/>
            <rFont val="宋体"/>
            <family val="3"/>
            <charset val="134"/>
          </rPr>
          <t>年</t>
        </r>
      </text>
    </comment>
    <comment ref="L36" authorId="1" shapeId="0" xr:uid="{00000000-0006-0000-0500-00001A000000}">
      <text>
        <r>
          <rPr>
            <b/>
            <sz val="9"/>
            <color indexed="81"/>
            <rFont val="Tahoma"/>
            <family val="2"/>
          </rPr>
          <t>Microsoft:</t>
        </r>
        <r>
          <rPr>
            <sz val="9"/>
            <color indexed="81"/>
            <rFont val="Tahoma"/>
            <family val="2"/>
          </rPr>
          <t xml:space="preserve">
</t>
        </r>
        <r>
          <rPr>
            <sz val="9"/>
            <color indexed="81"/>
            <rFont val="宋体"/>
            <family val="3"/>
            <charset val="134"/>
          </rPr>
          <t>合同里的宁东第五光伏电站是调度名称</t>
        </r>
      </text>
    </comment>
    <comment ref="V38" authorId="1" shapeId="0" xr:uid="{00000000-0006-0000-0500-00001B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40" authorId="1" shapeId="0" xr:uid="{00000000-0006-0000-0500-00001C000000}">
      <text>
        <r>
          <rPr>
            <b/>
            <sz val="9"/>
            <color indexed="81"/>
            <rFont val="Tahoma"/>
            <family val="2"/>
          </rPr>
          <t>Microsoft:</t>
        </r>
        <r>
          <rPr>
            <sz val="9"/>
            <color indexed="81"/>
            <rFont val="Tahoma"/>
            <family val="2"/>
          </rPr>
          <t xml:space="preserve">
</t>
        </r>
        <r>
          <rPr>
            <sz val="9"/>
            <color indexed="81"/>
            <rFont val="宋体"/>
            <family val="3"/>
            <charset val="134"/>
          </rPr>
          <t>含廉洁合同复印件一份</t>
        </r>
      </text>
    </comment>
    <comment ref="V42" authorId="1" shapeId="0" xr:uid="{00000000-0006-0000-0500-00001D000000}">
      <text>
        <r>
          <rPr>
            <b/>
            <sz val="9"/>
            <color indexed="81"/>
            <rFont val="Tahoma"/>
            <family val="2"/>
          </rPr>
          <t>Microsoft:</t>
        </r>
        <r>
          <rPr>
            <sz val="9"/>
            <color indexed="81"/>
            <rFont val="Tahoma"/>
            <family val="2"/>
          </rPr>
          <t xml:space="preserve">
</t>
        </r>
        <r>
          <rPr>
            <sz val="9"/>
            <color indexed="81"/>
            <rFont val="宋体"/>
            <family val="3"/>
            <charset val="134"/>
          </rPr>
          <t>含技术协议原件一份</t>
        </r>
      </text>
    </comment>
    <comment ref="V45" authorId="1" shapeId="0" xr:uid="{00000000-0006-0000-0500-00001E000000}">
      <text>
        <r>
          <rPr>
            <b/>
            <sz val="9"/>
            <color indexed="81"/>
            <rFont val="Tahoma"/>
            <family val="2"/>
          </rPr>
          <t>Microsoft:</t>
        </r>
        <r>
          <rPr>
            <sz val="9"/>
            <color indexed="81"/>
            <rFont val="Tahoma"/>
            <family val="2"/>
          </rPr>
          <t xml:space="preserve">
</t>
        </r>
        <r>
          <rPr>
            <sz val="9"/>
            <color indexed="81"/>
            <rFont val="宋体"/>
            <family val="3"/>
            <charset val="134"/>
          </rPr>
          <t>含技术协议复印件一份</t>
        </r>
      </text>
    </comment>
    <comment ref="W47" authorId="1" shapeId="0" xr:uid="{00000000-0006-0000-0500-00001F000000}">
      <text>
        <r>
          <rPr>
            <b/>
            <sz val="9"/>
            <color indexed="81"/>
            <rFont val="Tahoma"/>
            <family val="2"/>
          </rPr>
          <t>Microsoft:</t>
        </r>
        <r>
          <rPr>
            <sz val="9"/>
            <color indexed="81"/>
            <rFont val="Tahoma"/>
            <family val="2"/>
          </rPr>
          <t xml:space="preserve">
</t>
        </r>
        <r>
          <rPr>
            <sz val="9"/>
            <color indexed="81"/>
            <rFont val="宋体"/>
            <family val="3"/>
            <charset val="134"/>
          </rPr>
          <t>赠送从并网开始算</t>
        </r>
      </text>
    </comment>
    <comment ref="V48" authorId="1" shapeId="0" xr:uid="{00000000-0006-0000-0500-000020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9" authorId="1" shapeId="0" xr:uid="{00000000-0006-0000-0500-00002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0" authorId="1" shapeId="0" xr:uid="{00000000-0006-0000-0500-000022000000}">
      <text>
        <r>
          <rPr>
            <b/>
            <sz val="9"/>
            <color indexed="81"/>
            <rFont val="Tahoma"/>
            <family val="2"/>
          </rPr>
          <t>Microsoft:</t>
        </r>
        <r>
          <rPr>
            <sz val="9"/>
            <color indexed="81"/>
            <rFont val="Tahoma"/>
            <family val="2"/>
          </rPr>
          <t xml:space="preserve">
</t>
        </r>
        <r>
          <rPr>
            <sz val="9"/>
            <color indexed="81"/>
            <rFont val="宋体"/>
            <family val="3"/>
            <charset val="134"/>
          </rPr>
          <t>含技术协议一份</t>
        </r>
        <r>
          <rPr>
            <sz val="9"/>
            <color indexed="81"/>
            <rFont val="Tahoma"/>
            <family val="2"/>
          </rPr>
          <t xml:space="preserve"> </t>
        </r>
      </text>
    </comment>
    <comment ref="V51" authorId="1" shapeId="0" xr:uid="{00000000-0006-0000-0500-000023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52" authorId="1" shapeId="0" xr:uid="{00000000-0006-0000-0500-000024000000}">
      <text>
        <r>
          <rPr>
            <b/>
            <sz val="9"/>
            <color indexed="81"/>
            <rFont val="Tahoma"/>
            <family val="2"/>
          </rPr>
          <t>Microsoft:</t>
        </r>
        <r>
          <rPr>
            <sz val="9"/>
            <color indexed="81"/>
            <rFont val="Tahoma"/>
            <family val="2"/>
          </rPr>
          <t xml:space="preserve">
</t>
        </r>
        <r>
          <rPr>
            <sz val="9"/>
            <color indexed="81"/>
            <rFont val="宋体"/>
            <family val="3"/>
            <charset val="134"/>
          </rPr>
          <t>只有一份原件交给财务</t>
        </r>
      </text>
    </comment>
    <comment ref="V53" authorId="1" shapeId="0" xr:uid="{00000000-0006-0000-0500-000025000000}">
      <text>
        <r>
          <rPr>
            <b/>
            <sz val="9"/>
            <color indexed="81"/>
            <rFont val="Tahoma"/>
            <family val="2"/>
          </rPr>
          <t>Microsoft:</t>
        </r>
        <r>
          <rPr>
            <sz val="9"/>
            <color indexed="81"/>
            <rFont val="Tahoma"/>
            <family val="2"/>
          </rPr>
          <t xml:space="preserve">
</t>
        </r>
        <r>
          <rPr>
            <sz val="9"/>
            <color indexed="81"/>
            <rFont val="宋体"/>
            <family val="3"/>
            <charset val="134"/>
          </rPr>
          <t>光伏功率预测</t>
        </r>
      </text>
    </comment>
    <comment ref="W53" authorId="1" shapeId="0" xr:uid="{00000000-0006-0000-0500-000026000000}">
      <text>
        <r>
          <rPr>
            <b/>
            <sz val="9"/>
            <color indexed="81"/>
            <rFont val="Tahoma"/>
            <family val="2"/>
          </rPr>
          <t>Microsoft:</t>
        </r>
        <r>
          <rPr>
            <sz val="9"/>
            <color indexed="81"/>
            <rFont val="Tahoma"/>
            <family val="2"/>
          </rPr>
          <t xml:space="preserve">
</t>
        </r>
        <r>
          <rPr>
            <sz val="9"/>
            <color indexed="81"/>
            <rFont val="宋体"/>
            <family val="3"/>
            <charset val="134"/>
          </rPr>
          <t>赠送从并网之日开始</t>
        </r>
      </text>
    </comment>
    <comment ref="V54" authorId="1" shapeId="0" xr:uid="{00000000-0006-0000-0500-000027000000}">
      <text>
        <r>
          <rPr>
            <b/>
            <sz val="9"/>
            <color indexed="81"/>
            <rFont val="Tahoma"/>
            <family val="2"/>
          </rPr>
          <t>Microsoft:</t>
        </r>
        <r>
          <rPr>
            <sz val="9"/>
            <color indexed="81"/>
            <rFont val="Tahoma"/>
            <family val="2"/>
          </rPr>
          <t xml:space="preserve">
</t>
        </r>
        <r>
          <rPr>
            <sz val="9"/>
            <color indexed="81"/>
            <rFont val="宋体"/>
            <family val="3"/>
            <charset val="134"/>
          </rPr>
          <t>光伏</t>
        </r>
        <r>
          <rPr>
            <sz val="9"/>
            <color indexed="81"/>
            <rFont val="Tahoma"/>
            <family val="2"/>
          </rPr>
          <t>AGC/AVC</t>
        </r>
      </text>
    </comment>
    <comment ref="V55" authorId="1" shapeId="0" xr:uid="{00000000-0006-0000-0500-000028000000}">
      <text>
        <r>
          <rPr>
            <b/>
            <sz val="9"/>
            <color indexed="81"/>
            <rFont val="Tahoma"/>
            <family val="2"/>
          </rPr>
          <t>Microsoft:</t>
        </r>
        <r>
          <rPr>
            <sz val="9"/>
            <color indexed="81"/>
            <rFont val="Tahoma"/>
            <family val="2"/>
          </rPr>
          <t xml:space="preserve">
</t>
        </r>
        <r>
          <rPr>
            <sz val="9"/>
            <color indexed="81"/>
            <rFont val="宋体"/>
            <family val="3"/>
            <charset val="134"/>
          </rPr>
          <t>电力通讯</t>
        </r>
      </text>
    </comment>
    <comment ref="V69" authorId="1" shapeId="0" xr:uid="{00000000-0006-0000-0500-000029000000}">
      <text>
        <r>
          <rPr>
            <b/>
            <sz val="9"/>
            <color indexed="81"/>
            <rFont val="Tahoma"/>
            <family val="2"/>
          </rPr>
          <t>Microsoft:</t>
        </r>
        <r>
          <rPr>
            <sz val="9"/>
            <color indexed="81"/>
            <rFont val="Tahoma"/>
            <family val="2"/>
          </rPr>
          <t xml:space="preserve">
</t>
        </r>
        <r>
          <rPr>
            <sz val="9"/>
            <color indexed="81"/>
            <rFont val="宋体"/>
            <family val="3"/>
            <charset val="134"/>
          </rPr>
          <t>只有一份原件交给财务含技术协议和廉洁从业书复印件</t>
        </r>
      </text>
    </comment>
    <comment ref="V70" authorId="1" shapeId="0" xr:uid="{00000000-0006-0000-0500-00002A000000}">
      <text>
        <r>
          <rPr>
            <b/>
            <sz val="9"/>
            <color indexed="81"/>
            <rFont val="Tahoma"/>
            <family val="2"/>
          </rPr>
          <t>Microsoft:</t>
        </r>
        <r>
          <rPr>
            <sz val="9"/>
            <color indexed="81"/>
            <rFont val="Tahoma"/>
            <family val="2"/>
          </rPr>
          <t xml:space="preserve">
</t>
        </r>
        <r>
          <rPr>
            <sz val="9"/>
            <color indexed="81"/>
            <rFont val="宋体"/>
            <family val="3"/>
            <charset val="134"/>
          </rPr>
          <t>含技术协议复印件一份</t>
        </r>
      </text>
    </comment>
    <comment ref="F79" authorId="1" shapeId="0" xr:uid="{00000000-0006-0000-0500-00002B000000}">
      <text>
        <r>
          <rPr>
            <b/>
            <sz val="9"/>
            <color indexed="81"/>
            <rFont val="Tahoma"/>
            <family val="2"/>
          </rPr>
          <t>Microsoft:</t>
        </r>
        <r>
          <rPr>
            <sz val="9"/>
            <color indexed="81"/>
            <rFont val="Tahoma"/>
            <family val="2"/>
          </rPr>
          <t xml:space="preserve">
</t>
        </r>
        <r>
          <rPr>
            <sz val="9"/>
            <color indexed="81"/>
            <rFont val="宋体"/>
            <family val="3"/>
            <charset val="134"/>
          </rPr>
          <t>业主福建中核高嵛山风电有限公司</t>
        </r>
      </text>
    </comment>
    <comment ref="V79" authorId="1" shapeId="0" xr:uid="{00000000-0006-0000-0500-00002C000000}">
      <text>
        <r>
          <rPr>
            <b/>
            <sz val="9"/>
            <color indexed="81"/>
            <rFont val="Tahoma"/>
            <family val="2"/>
          </rPr>
          <t>Microsoft:</t>
        </r>
        <r>
          <rPr>
            <sz val="9"/>
            <color indexed="81"/>
            <rFont val="Tahoma"/>
            <family val="2"/>
          </rPr>
          <t xml:space="preserve">
</t>
        </r>
        <r>
          <rPr>
            <sz val="9"/>
            <color indexed="81"/>
            <rFont val="宋体"/>
            <family val="3"/>
            <charset val="134"/>
          </rPr>
          <t>含一份技术协议复印件</t>
        </r>
      </text>
    </comment>
    <comment ref="V80" authorId="1" shapeId="0" xr:uid="{00000000-0006-0000-0500-00002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1" authorId="1" shapeId="0" xr:uid="{00000000-0006-0000-0500-00002E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2" authorId="1" shapeId="0" xr:uid="{00000000-0006-0000-0500-00002F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3" authorId="1" shapeId="0" xr:uid="{00000000-0006-0000-0500-000030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4" authorId="1" shapeId="0" xr:uid="{00000000-0006-0000-0500-00003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5" authorId="1" shapeId="0" xr:uid="{00000000-0006-0000-0500-000032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I87" authorId="1" shapeId="0" xr:uid="{00000000-0006-0000-0500-000033000000}">
      <text>
        <r>
          <rPr>
            <b/>
            <sz val="9"/>
            <color indexed="81"/>
            <rFont val="Tahoma"/>
            <family val="2"/>
          </rPr>
          <t>Microsoft:</t>
        </r>
        <r>
          <rPr>
            <sz val="9"/>
            <color indexed="81"/>
            <rFont val="Tahoma"/>
            <family val="2"/>
          </rPr>
          <t xml:space="preserve">
</t>
        </r>
        <r>
          <rPr>
            <sz val="9"/>
            <color indexed="81"/>
            <rFont val="宋体"/>
            <family val="3"/>
            <charset val="134"/>
          </rPr>
          <t>国家电力投资集团</t>
        </r>
      </text>
    </comment>
    <comment ref="W87" authorId="1" shapeId="0" xr:uid="{00000000-0006-0000-0500-000034000000}">
      <text>
        <r>
          <rPr>
            <b/>
            <sz val="9"/>
            <color indexed="81"/>
            <rFont val="Tahoma"/>
            <family val="2"/>
          </rPr>
          <t>Microsoft:</t>
        </r>
        <r>
          <rPr>
            <sz val="9"/>
            <color indexed="81"/>
            <rFont val="Tahoma"/>
            <family val="2"/>
          </rPr>
          <t xml:space="preserve">
</t>
        </r>
        <r>
          <rPr>
            <sz val="9"/>
            <color indexed="81"/>
            <rFont val="宋体"/>
            <family val="3"/>
            <charset val="134"/>
          </rPr>
          <t>系统开始运行起一年</t>
        </r>
        <r>
          <rPr>
            <sz val="9"/>
            <color indexed="81"/>
            <rFont val="Tahoma"/>
            <family val="2"/>
          </rPr>
          <t xml:space="preserve"> 
</t>
        </r>
      </text>
    </comment>
    <comment ref="V90" authorId="1" shapeId="0" xr:uid="{00000000-0006-0000-0500-000035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1" authorId="1" shapeId="0" xr:uid="{00000000-0006-0000-0500-000036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2" authorId="1" shapeId="0" xr:uid="{00000000-0006-0000-0500-000037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3" authorId="1" shapeId="0" xr:uid="{00000000-0006-0000-0500-000038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4" authorId="1" shapeId="0" xr:uid="{00000000-0006-0000-0500-000039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5" authorId="1" shapeId="0" xr:uid="{00000000-0006-0000-0500-00003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6" authorId="1" shapeId="0" xr:uid="{00000000-0006-0000-0500-00003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7" authorId="1" shapeId="0" xr:uid="{00000000-0006-0000-0500-00003C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8" authorId="1" shapeId="0" xr:uid="{00000000-0006-0000-0500-00003D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01" authorId="1" shapeId="0" xr:uid="{00000000-0006-0000-0500-00003E000000}">
      <text>
        <r>
          <rPr>
            <b/>
            <sz val="9"/>
            <color indexed="81"/>
            <rFont val="Tahoma"/>
            <family val="2"/>
          </rPr>
          <t>Microsoft:</t>
        </r>
        <r>
          <rPr>
            <sz val="9"/>
            <color indexed="81"/>
            <rFont val="Tahoma"/>
            <family val="2"/>
          </rPr>
          <t xml:space="preserve">
</t>
        </r>
        <r>
          <rPr>
            <sz val="9"/>
            <color indexed="81"/>
            <rFont val="宋体"/>
            <family val="3"/>
            <charset val="134"/>
          </rPr>
          <t xml:space="preserve">含技术协议复印件一份
</t>
        </r>
      </text>
    </comment>
    <comment ref="W101" authorId="1" shapeId="0" xr:uid="{00000000-0006-0000-0500-00003F000000}">
      <text>
        <r>
          <rPr>
            <b/>
            <sz val="9"/>
            <color indexed="81"/>
            <rFont val="Tahoma"/>
            <family val="2"/>
          </rPr>
          <t>Microsoft:</t>
        </r>
        <r>
          <rPr>
            <sz val="9"/>
            <color indexed="81"/>
            <rFont val="Tahoma"/>
            <family val="2"/>
          </rPr>
          <t xml:space="preserve">
开始预报</t>
        </r>
        <r>
          <rPr>
            <sz val="9"/>
            <color indexed="81"/>
            <rFont val="宋体"/>
            <family val="3"/>
            <charset val="134"/>
          </rPr>
          <t xml:space="preserve">起两年
</t>
        </r>
      </text>
    </comment>
    <comment ref="V105" authorId="1" shapeId="0" xr:uid="{00000000-0006-0000-0500-000040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06" authorId="1" shapeId="0" xr:uid="{00000000-0006-0000-0500-00004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7" authorId="1" shapeId="0" xr:uid="{00000000-0006-0000-0500-000042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8" authorId="1" shapeId="0" xr:uid="{00000000-0006-0000-0500-000043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9" authorId="1" shapeId="0" xr:uid="{00000000-0006-0000-0500-000044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0" authorId="1" shapeId="0" xr:uid="{00000000-0006-0000-0500-000045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1" authorId="1" shapeId="0" xr:uid="{00000000-0006-0000-0500-000046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2" authorId="1" shapeId="0" xr:uid="{00000000-0006-0000-0500-000047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3" authorId="1" shapeId="0" xr:uid="{00000000-0006-0000-0500-000048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4" authorId="1" shapeId="0" xr:uid="{00000000-0006-0000-0500-000049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5" authorId="1" shapeId="0" xr:uid="{00000000-0006-0000-0500-00004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8" authorId="1" shapeId="0" xr:uid="{00000000-0006-0000-0500-00004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9" authorId="1" shapeId="0" xr:uid="{00000000-0006-0000-0500-00004C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28" authorId="1" shapeId="0" xr:uid="{00000000-0006-0000-0500-00004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29" authorId="1" shapeId="0" xr:uid="{00000000-0006-0000-0500-00004E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9" authorId="1" shapeId="0" xr:uid="{00000000-0006-0000-0500-00004F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0" authorId="1" shapeId="0" xr:uid="{00000000-0006-0000-0500-000050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W142" authorId="2" shapeId="0" xr:uid="{00000000-0006-0000-0500-000051000000}">
      <text>
        <r>
          <rPr>
            <b/>
            <sz val="9"/>
            <color indexed="81"/>
            <rFont val="Tahoma"/>
            <family val="2"/>
          </rPr>
          <t>User:</t>
        </r>
        <r>
          <rPr>
            <sz val="9"/>
            <color indexed="81"/>
            <rFont val="Tahoma"/>
            <family val="2"/>
          </rPr>
          <t xml:space="preserve">
</t>
        </r>
        <r>
          <rPr>
            <sz val="9"/>
            <color indexed="81"/>
            <rFont val="宋体"/>
            <family val="3"/>
            <charset val="134"/>
          </rPr>
          <t>改造完和电网联调完成开始算</t>
        </r>
      </text>
    </comment>
    <comment ref="S143" authorId="0" shapeId="0" xr:uid="{00000000-0006-0000-0500-000052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4" authorId="0" shapeId="0" xr:uid="{00000000-0006-0000-0500-000053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5" authorId="0" shapeId="0" xr:uid="{00000000-0006-0000-0500-000054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6" authorId="0" shapeId="0" xr:uid="{00000000-0006-0000-0500-000055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7" authorId="0" shapeId="0" xr:uid="{00000000-0006-0000-0500-000056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8" authorId="0" shapeId="0" xr:uid="{00000000-0006-0000-0500-000057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9" authorId="0" shapeId="0" xr:uid="{00000000-0006-0000-0500-000058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50" authorId="0" shapeId="0" xr:uid="{00000000-0006-0000-0500-000059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51" authorId="0" shapeId="0" xr:uid="{00000000-0006-0000-0500-00005A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V152" authorId="1" shapeId="0" xr:uid="{00000000-0006-0000-0500-00005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W153" authorId="2" shapeId="0" xr:uid="{00000000-0006-0000-0500-00005C000000}">
      <text>
        <r>
          <rPr>
            <b/>
            <sz val="9"/>
            <color indexed="81"/>
            <rFont val="Tahoma"/>
            <family val="2"/>
          </rPr>
          <t>User:</t>
        </r>
        <r>
          <rPr>
            <sz val="9"/>
            <color indexed="81"/>
            <rFont val="Tahoma"/>
            <family val="2"/>
          </rPr>
          <t xml:space="preserve">
</t>
        </r>
        <r>
          <rPr>
            <sz val="9"/>
            <color indexed="81"/>
            <rFont val="宋体"/>
            <family val="3"/>
            <charset val="134"/>
          </rPr>
          <t>并网开始算</t>
        </r>
      </text>
    </comment>
    <comment ref="W155" authorId="2" shapeId="0" xr:uid="{00000000-0006-0000-0500-00005D000000}">
      <text>
        <r>
          <rPr>
            <b/>
            <sz val="9"/>
            <color indexed="81"/>
            <rFont val="Tahoma"/>
            <family val="2"/>
          </rPr>
          <t>User:</t>
        </r>
        <r>
          <rPr>
            <sz val="9"/>
            <color indexed="81"/>
            <rFont val="Tahoma"/>
            <family val="2"/>
          </rPr>
          <t xml:space="preserve">
</t>
        </r>
        <r>
          <rPr>
            <sz val="9"/>
            <color indexed="81"/>
            <rFont val="宋体"/>
            <family val="3"/>
            <charset val="134"/>
          </rPr>
          <t>开始时间待确认</t>
        </r>
      </text>
    </comment>
    <comment ref="W156" authorId="2" shapeId="0" xr:uid="{00000000-0006-0000-0500-00005E000000}">
      <text>
        <r>
          <rPr>
            <b/>
            <sz val="9"/>
            <color indexed="81"/>
            <rFont val="Tahoma"/>
            <family val="2"/>
          </rPr>
          <t>User:</t>
        </r>
        <r>
          <rPr>
            <sz val="9"/>
            <color indexed="81"/>
            <rFont val="Tahoma"/>
            <family val="2"/>
          </rPr>
          <t xml:space="preserve">
</t>
        </r>
        <r>
          <rPr>
            <sz val="9"/>
            <color indexed="81"/>
            <rFont val="宋体"/>
            <family val="3"/>
            <charset val="134"/>
          </rPr>
          <t>开始时间待确认</t>
        </r>
      </text>
    </comment>
    <comment ref="W157" authorId="2" shapeId="0" xr:uid="{00000000-0006-0000-0500-00005F000000}">
      <text>
        <r>
          <rPr>
            <b/>
            <sz val="9"/>
            <color indexed="81"/>
            <rFont val="Tahoma"/>
            <family val="2"/>
          </rPr>
          <t>User:</t>
        </r>
        <r>
          <rPr>
            <sz val="9"/>
            <color indexed="81"/>
            <rFont val="Tahoma"/>
            <family val="2"/>
          </rPr>
          <t xml:space="preserve">
</t>
        </r>
        <r>
          <rPr>
            <sz val="9"/>
            <color indexed="81"/>
            <rFont val="宋体"/>
            <family val="3"/>
            <charset val="134"/>
          </rPr>
          <t>开始时间待确认</t>
        </r>
      </text>
    </comment>
    <comment ref="V159" authorId="2" shapeId="0" xr:uid="{00000000-0006-0000-0500-000060000000}">
      <text>
        <r>
          <rPr>
            <b/>
            <sz val="9"/>
            <color indexed="81"/>
            <rFont val="Tahoma"/>
            <family val="2"/>
          </rPr>
          <t>User:</t>
        </r>
        <r>
          <rPr>
            <sz val="9"/>
            <color indexed="81"/>
            <rFont val="Tahoma"/>
            <family val="2"/>
          </rPr>
          <t xml:space="preserve">
</t>
        </r>
        <r>
          <rPr>
            <sz val="9"/>
            <color indexed="81"/>
            <rFont val="宋体"/>
            <family val="3"/>
            <charset val="134"/>
          </rPr>
          <t>含廉洁协议</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xmzx</author>
    <author>LiYan</author>
    <author>Microsoft</author>
  </authors>
  <commentList>
    <comment ref="B59" authorId="0" shapeId="0" xr:uid="{00000000-0006-0000-0600-000001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B72" authorId="0" shapeId="0" xr:uid="{00000000-0006-0000-0600-000002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B101" authorId="0" shapeId="0" xr:uid="{00000000-0006-0000-0600-000003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B102" authorId="0" shapeId="0" xr:uid="{00000000-0006-0000-0600-000004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J129" authorId="1" shapeId="0" xr:uid="{00000000-0006-0000-0600-000005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L129" authorId="1" shapeId="0" xr:uid="{00000000-0006-0000-0600-000006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J130" authorId="1" shapeId="0" xr:uid="{00000000-0006-0000-0600-000007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L130" authorId="1" shapeId="0" xr:uid="{00000000-0006-0000-0600-000008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I131" authorId="2" shapeId="0" xr:uid="{00000000-0006-0000-0600-000009000000}">
      <text>
        <r>
          <rPr>
            <b/>
            <sz val="9"/>
            <color indexed="81"/>
            <rFont val="Tahoma"/>
            <family val="2"/>
          </rPr>
          <t>Microsoft:</t>
        </r>
        <r>
          <rPr>
            <sz val="9"/>
            <color indexed="81"/>
            <rFont val="Tahoma"/>
            <family val="2"/>
          </rPr>
          <t xml:space="preserve">
</t>
        </r>
        <r>
          <rPr>
            <sz val="9"/>
            <color indexed="81"/>
            <rFont val="宋体"/>
            <family val="3"/>
            <charset val="134"/>
          </rPr>
          <t>合同名称福煤</t>
        </r>
        <r>
          <rPr>
            <sz val="9"/>
            <color indexed="81"/>
            <rFont val="Tahoma"/>
            <family val="2"/>
          </rPr>
          <t xml:space="preserve"> </t>
        </r>
        <r>
          <rPr>
            <sz val="9"/>
            <color indexed="81"/>
            <rFont val="宋体"/>
            <family val="3"/>
            <charset val="134"/>
          </rPr>
          <t>福煤</t>
        </r>
        <r>
          <rPr>
            <sz val="9"/>
            <color indexed="81"/>
            <rFont val="宋体"/>
            <family val="3"/>
            <charset val="134"/>
          </rPr>
          <t>是福能旧名</t>
        </r>
      </text>
    </comment>
    <comment ref="B138" authorId="0" shapeId="0" xr:uid="{00000000-0006-0000-0600-00000A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User</author>
    <author>作者</author>
    <author>xmzx</author>
  </authors>
  <commentList>
    <comment ref="F4" authorId="0" shapeId="0" xr:uid="{00000000-0006-0000-0700-000001000000}">
      <text>
        <r>
          <rPr>
            <b/>
            <sz val="9"/>
            <color indexed="81"/>
            <rFont val="宋体"/>
            <family val="3"/>
            <charset val="134"/>
          </rPr>
          <t>一个合同</t>
        </r>
        <r>
          <rPr>
            <b/>
            <sz val="9"/>
            <color indexed="81"/>
            <rFont val="Tahoma"/>
            <family val="2"/>
          </rPr>
          <t>5</t>
        </r>
        <r>
          <rPr>
            <b/>
            <sz val="9"/>
            <color indexed="81"/>
            <rFont val="宋体"/>
            <family val="3"/>
            <charset val="134"/>
          </rPr>
          <t>个风电场</t>
        </r>
        <r>
          <rPr>
            <sz val="9"/>
            <color indexed="81"/>
            <rFont val="Tahoma"/>
            <family val="2"/>
          </rPr>
          <t xml:space="preserve">
</t>
        </r>
      </text>
    </comment>
    <comment ref="J4" authorId="1" shapeId="0" xr:uid="{00000000-0006-0000-0700-000002000000}">
      <text>
        <r>
          <rPr>
            <sz val="9"/>
            <color indexed="81"/>
            <rFont val="宋体"/>
            <family val="3"/>
            <charset val="134"/>
          </rPr>
          <t>湖南汝城东岗岭、青海茶卡盐湖、</t>
        </r>
        <r>
          <rPr>
            <sz val="9"/>
            <color indexed="81"/>
            <rFont val="Tahoma"/>
            <family val="2"/>
          </rPr>
          <t xml:space="preserve"> </t>
        </r>
        <r>
          <rPr>
            <sz val="9"/>
            <color indexed="81"/>
            <rFont val="宋体"/>
            <family val="3"/>
            <charset val="134"/>
          </rPr>
          <t xml:space="preserve">青海切吉敦曲、湖北百里荒、安徽南谯五个风电场
</t>
        </r>
        <r>
          <rPr>
            <sz val="9"/>
            <color indexed="81"/>
            <rFont val="Tahoma"/>
            <family val="2"/>
          </rPr>
          <t xml:space="preserve">
</t>
        </r>
      </text>
    </comment>
    <comment ref="B6" authorId="2" shapeId="0" xr:uid="{00000000-0006-0000-0700-000003000000}">
      <text>
        <r>
          <rPr>
            <b/>
            <sz val="9"/>
            <color indexed="81"/>
            <rFont val="宋体"/>
            <family val="3"/>
            <charset val="134"/>
          </rPr>
          <t>xmzx:</t>
        </r>
        <r>
          <rPr>
            <sz val="9"/>
            <color indexed="81"/>
            <rFont val="宋体"/>
            <family val="3"/>
            <charset val="134"/>
          </rPr>
          <t xml:space="preserve">
销售合同编号对照表有，合同费用明细表没有</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微软用户</author>
    <author>LiYan</author>
    <author>xmzx</author>
  </authors>
  <commentList>
    <comment ref="F26" authorId="0" shapeId="0" xr:uid="{00000000-0006-0000-0800-000001000000}">
      <text>
        <r>
          <rPr>
            <sz val="9"/>
            <color indexed="81"/>
            <rFont val="宋体"/>
            <family val="3"/>
            <charset val="134"/>
          </rPr>
          <t>新华和客户签的合同</t>
        </r>
        <r>
          <rPr>
            <sz val="9"/>
            <color indexed="81"/>
            <rFont val="Tahoma"/>
            <family val="2"/>
          </rPr>
          <t xml:space="preserve">
</t>
        </r>
      </text>
    </comment>
    <comment ref="F27" authorId="0" shapeId="0" xr:uid="{00000000-0006-0000-0800-000002000000}">
      <text>
        <r>
          <rPr>
            <sz val="9"/>
            <color indexed="81"/>
            <rFont val="宋体"/>
            <family val="3"/>
            <charset val="134"/>
          </rPr>
          <t>新华和客户签的合同</t>
        </r>
        <r>
          <rPr>
            <sz val="9"/>
            <color indexed="81"/>
            <rFont val="Tahoma"/>
            <family val="2"/>
          </rPr>
          <t xml:space="preserve">
</t>
        </r>
      </text>
    </comment>
    <comment ref="O57" authorId="1" shapeId="0" xr:uid="{00000000-0006-0000-0800-000003000000}">
      <text>
        <r>
          <rPr>
            <b/>
            <sz val="9"/>
            <color indexed="81"/>
            <rFont val="Tahoma"/>
            <family val="2"/>
          </rPr>
          <t>LiYan:</t>
        </r>
        <r>
          <rPr>
            <sz val="9"/>
            <color indexed="81"/>
            <rFont val="Tahoma"/>
            <family val="2"/>
          </rPr>
          <t xml:space="preserve">
</t>
        </r>
        <r>
          <rPr>
            <sz val="9"/>
            <color indexed="81"/>
            <rFont val="宋体"/>
            <family val="3"/>
            <charset val="134"/>
          </rPr>
          <t>与销售经理王龙波确认合同签</t>
        </r>
        <r>
          <rPr>
            <sz val="9"/>
            <color indexed="81"/>
            <rFont val="Tahoma"/>
            <family val="2"/>
          </rPr>
          <t>3</t>
        </r>
        <r>
          <rPr>
            <sz val="9"/>
            <color indexed="81"/>
            <rFont val="宋体"/>
            <family val="3"/>
            <charset val="134"/>
          </rPr>
          <t>年服务期限，实际按</t>
        </r>
        <r>
          <rPr>
            <sz val="9"/>
            <color indexed="81"/>
            <rFont val="Tahoma"/>
            <family val="2"/>
          </rPr>
          <t>1</t>
        </r>
        <r>
          <rPr>
            <sz val="9"/>
            <color indexed="81"/>
            <rFont val="宋体"/>
            <family val="3"/>
            <charset val="134"/>
          </rPr>
          <t>年执行。</t>
        </r>
      </text>
    </comment>
    <comment ref="B77" authorId="2" shapeId="0" xr:uid="{00000000-0006-0000-0800-000004000000}">
      <text>
        <r>
          <rPr>
            <b/>
            <sz val="9"/>
            <color indexed="81"/>
            <rFont val="宋体"/>
            <family val="3"/>
            <charset val="134"/>
          </rPr>
          <t>xmzx:合同成本费用明细表里有，销售合同编号对照表里没有</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xmzx</author>
  </authors>
  <commentList>
    <comment ref="B51" authorId="0" shapeId="0" xr:uid="{00000000-0006-0000-0900-000001000000}">
      <text>
        <r>
          <rPr>
            <b/>
            <sz val="9"/>
            <color indexed="81"/>
            <rFont val="宋体"/>
            <family val="3"/>
            <charset val="134"/>
          </rPr>
          <t>xmzx:成本费用明细表里有，销售合同编号对照表里没有</t>
        </r>
      </text>
    </comment>
    <comment ref="C51" authorId="0" shapeId="0" xr:uid="{00000000-0006-0000-0900-000002000000}">
      <text>
        <r>
          <rPr>
            <b/>
            <sz val="9"/>
            <color indexed="81"/>
            <rFont val="宋体"/>
            <family val="3"/>
            <charset val="134"/>
          </rPr>
          <t>xmzx:</t>
        </r>
        <r>
          <rPr>
            <sz val="9"/>
            <color indexed="81"/>
            <rFont val="宋体"/>
            <family val="3"/>
            <charset val="134"/>
          </rPr>
          <t xml:space="preserve">
成本费用明细表里有，销售合同编号对照表里没有</t>
        </r>
      </text>
    </comment>
    <comment ref="C52" authorId="0" shapeId="0" xr:uid="{00000000-0006-0000-0900-000003000000}">
      <text>
        <r>
          <rPr>
            <b/>
            <sz val="9"/>
            <color indexed="81"/>
            <rFont val="宋体"/>
            <family val="3"/>
            <charset val="134"/>
          </rPr>
          <t>xmzx:</t>
        </r>
        <r>
          <rPr>
            <sz val="9"/>
            <color indexed="81"/>
            <rFont val="宋体"/>
            <family val="3"/>
            <charset val="134"/>
          </rPr>
          <t xml:space="preserve">
成本费用明细表里有，销售合同编号对照表里没有</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LiYan</author>
  </authors>
  <commentList>
    <comment ref="B39" authorId="0" shapeId="0" xr:uid="{00000000-0006-0000-0B00-000001000000}">
      <text>
        <r>
          <rPr>
            <b/>
            <sz val="9"/>
            <color indexed="81"/>
            <rFont val="Tahoma"/>
            <family val="2"/>
          </rPr>
          <t>LiYan:</t>
        </r>
        <r>
          <rPr>
            <sz val="9"/>
            <color indexed="81"/>
            <rFont val="Tahoma"/>
            <family val="2"/>
          </rPr>
          <t xml:space="preserve">
11046</t>
        </r>
        <r>
          <rPr>
            <sz val="9"/>
            <color indexed="81"/>
            <rFont val="宋体"/>
            <family val="3"/>
            <charset val="134"/>
          </rPr>
          <t>合同作废</t>
        </r>
      </text>
    </comment>
  </commentList>
</comments>
</file>

<file path=xl/sharedStrings.xml><?xml version="1.0" encoding="utf-8"?>
<sst xmlns="http://schemas.openxmlformats.org/spreadsheetml/2006/main" count="69582" uniqueCount="11644">
  <si>
    <t>序号</t>
    <phoneticPr fontId="1" type="noConversion"/>
  </si>
  <si>
    <t>合同编号</t>
    <phoneticPr fontId="1" type="noConversion"/>
  </si>
  <si>
    <t>开工申请编号</t>
    <phoneticPr fontId="1" type="noConversion"/>
  </si>
  <si>
    <t>售后服务编号</t>
    <phoneticPr fontId="1" type="noConversion"/>
  </si>
  <si>
    <t>客户名称</t>
    <phoneticPr fontId="1" type="noConversion"/>
  </si>
  <si>
    <t>合同名称</t>
    <phoneticPr fontId="1" type="noConversion"/>
  </si>
  <si>
    <t>集团</t>
  </si>
  <si>
    <t>省（区）</t>
    <phoneticPr fontId="1" type="noConversion"/>
  </si>
  <si>
    <t>合同项目内容</t>
    <phoneticPr fontId="1" type="noConversion"/>
  </si>
  <si>
    <t>项目编号</t>
    <phoneticPr fontId="1" type="noConversion"/>
  </si>
  <si>
    <t>产品线</t>
    <phoneticPr fontId="1" type="noConversion"/>
  </si>
  <si>
    <t>服务收费
起始时间</t>
    <phoneticPr fontId="1" type="noConversion"/>
  </si>
  <si>
    <t>服务收费
终止时间</t>
    <phoneticPr fontId="1" type="noConversion"/>
  </si>
  <si>
    <t>合同存档
份数</t>
    <phoneticPr fontId="1" type="noConversion"/>
  </si>
  <si>
    <t>合同存档
原件/复印件</t>
    <phoneticPr fontId="1" type="noConversion"/>
  </si>
  <si>
    <t>合同存档日期</t>
    <phoneticPr fontId="1" type="noConversion"/>
  </si>
  <si>
    <t>合同签订日期</t>
    <phoneticPr fontId="1" type="noConversion"/>
  </si>
  <si>
    <t>ZFMD/SD-17001-SH</t>
    <phoneticPr fontId="5" type="noConversion"/>
  </si>
  <si>
    <t>ZFMD/KGSQ-16028</t>
    <phoneticPr fontId="5" type="noConversion"/>
  </si>
  <si>
    <t>/</t>
    <phoneticPr fontId="5" type="noConversion"/>
  </si>
  <si>
    <t>伊春太阳风新能源有限公司</t>
    <phoneticPr fontId="5" type="noConversion"/>
  </si>
  <si>
    <t>三峡新能源黑龙江省伊春老白山风电（51MW）工程测风塔改造工程施工合同</t>
    <phoneticPr fontId="5" type="noConversion"/>
  </si>
  <si>
    <t>三峡新能源</t>
  </si>
  <si>
    <t>黑龙江</t>
    <phoneticPr fontId="5" type="noConversion"/>
  </si>
  <si>
    <t>伊春美林老白山</t>
    <phoneticPr fontId="5" type="noConversion"/>
  </si>
  <si>
    <t>风电功率预测</t>
    <phoneticPr fontId="5" type="noConversion"/>
  </si>
  <si>
    <t>ZFMD/SD-17002-SH</t>
  </si>
  <si>
    <t>大唐华安（齐齐哈尔）风力发电有限公司</t>
    <phoneticPr fontId="5" type="noConversion"/>
  </si>
  <si>
    <t>大唐</t>
    <phoneticPr fontId="5" type="noConversion"/>
  </si>
  <si>
    <t>碾子山</t>
    <phoneticPr fontId="5" type="noConversion"/>
  </si>
  <si>
    <t>ZFMD/SD-17003-SH</t>
  </si>
  <si>
    <t>大唐集贤太平风力发电有限公司</t>
    <phoneticPr fontId="5" type="noConversion"/>
  </si>
  <si>
    <t>ZFMD/SD-17004-SH</t>
  </si>
  <si>
    <t>三峡新能源开原风电有限公司</t>
  </si>
  <si>
    <t>三峡新能源辽宁省开原威远风电场（49.5MW）工程风功率预测系统技术服务合同</t>
    <phoneticPr fontId="5" type="noConversion"/>
  </si>
  <si>
    <t>开原威远</t>
    <phoneticPr fontId="5" type="noConversion"/>
  </si>
  <si>
    <t>ZFMD/SD-17005-SH</t>
  </si>
  <si>
    <t>ZFMD/SD-17007-SH</t>
  </si>
  <si>
    <t>ZFMD/SD-17008-SH</t>
  </si>
  <si>
    <t>ZFMD/SD-17009-SH</t>
  </si>
  <si>
    <t>ZFMD/SHFW-2016019</t>
    <phoneticPr fontId="5" type="noConversion"/>
  </si>
  <si>
    <t>ZFMD/SD-17011-SH</t>
  </si>
  <si>
    <t>ZFMD/SD-17012-SH</t>
  </si>
  <si>
    <t>ZFMD/SD-17013-SH</t>
  </si>
  <si>
    <t>ZFMD/SD-17014-SH</t>
  </si>
  <si>
    <t>光伏功率预测</t>
  </si>
  <si>
    <t>ZFMD/SD-17016-SH</t>
  </si>
  <si>
    <t>ZFMD/SD-17017-SH</t>
  </si>
  <si>
    <t>ZFMD/SD-17018-SH</t>
  </si>
  <si>
    <t>ZFMD/SD-17019-SH</t>
  </si>
  <si>
    <t>ZFMD/SD-17021-SH</t>
  </si>
  <si>
    <t>ZFMD/SD-17023-SH</t>
  </si>
  <si>
    <t>ZFMD/KGSQ-16047</t>
  </si>
  <si>
    <t>ZFMD/SD-17024-SH</t>
  </si>
  <si>
    <t>ZFMD/SD-17025-SH</t>
  </si>
  <si>
    <t>ZFMD/SD-17026-SH</t>
  </si>
  <si>
    <t>ZFMD/SD-17027-SH</t>
  </si>
  <si>
    <t>ZFMD/SD-17028-SH</t>
  </si>
  <si>
    <t>ZFMD/SD-17030-SH</t>
  </si>
  <si>
    <t>ZFMD/SD-17031-SH</t>
  </si>
  <si>
    <t>ZFMD/SD-17032-SH</t>
  </si>
  <si>
    <t>ZFMD/SD-17033-SH</t>
  </si>
  <si>
    <t>ZFMD/SD-17035-SH</t>
  </si>
  <si>
    <t>ZFMD/SD-17036-SH</t>
  </si>
  <si>
    <t>ZFMD/SD-17037-SH</t>
  </si>
  <si>
    <t>ZFMD/SD-17038-SH</t>
  </si>
  <si>
    <t>ZFMD/SD-17040-SH</t>
  </si>
  <si>
    <t>风电AGC/AVC</t>
  </si>
  <si>
    <t>ZFMD/SD-17041-SH</t>
  </si>
  <si>
    <t>ZFMD/KGSQ-17042</t>
  </si>
  <si>
    <t>ZFMD/SD-17042-SH</t>
  </si>
  <si>
    <t>ZFMD/SD-17043-SH</t>
  </si>
  <si>
    <t>ZFMD/SD-17044-SH</t>
  </si>
  <si>
    <t>ZFMD/SD-17045-SH</t>
  </si>
  <si>
    <t>ZFMD/SD-17047-SH</t>
  </si>
  <si>
    <t>ZFMD/SD-17048-SH</t>
  </si>
  <si>
    <t>ZFMD/KGSQ-17010</t>
  </si>
  <si>
    <t>ZFMD/SD-17049-SH</t>
  </si>
  <si>
    <t>ZFMD/SD-17050-SH</t>
  </si>
  <si>
    <t>ZFMD/SD-17052-SH</t>
  </si>
  <si>
    <t>ZFMD/SD-17053-SH</t>
  </si>
  <si>
    <t>ZFMD/SD-17054-SH</t>
  </si>
  <si>
    <t>ZFMD/SD-17056-SH</t>
  </si>
  <si>
    <t>ZFMD/SD-17057-SH</t>
  </si>
  <si>
    <t>ZFMD/SD-17058-SH</t>
  </si>
  <si>
    <t>ZFMD/SD-17059-SH</t>
  </si>
  <si>
    <t>黑龙江东方风力发电有限公司</t>
  </si>
  <si>
    <t>ZFMD/SD-17060-SH</t>
  </si>
  <si>
    <t>ZFMD/SD-17061-SH</t>
  </si>
  <si>
    <t>ZFMD/SD-17062-SH</t>
  </si>
  <si>
    <t>ZFMD/SD-17063-SH</t>
  </si>
  <si>
    <t>ZFMD/SD-17064-SH</t>
  </si>
  <si>
    <t>ZFMD/SD-17065-SH</t>
  </si>
  <si>
    <t>ZFMD/SD-17066-SH</t>
  </si>
  <si>
    <t>黑龙江</t>
  </si>
  <si>
    <t>ZFMD/SD-17067-SH</t>
  </si>
  <si>
    <t>ZFMD/SD-17068-SH</t>
  </si>
  <si>
    <t>ZFMD/SD-17069-SH</t>
  </si>
  <si>
    <t>ZFMD/SD-17070-SH</t>
  </si>
  <si>
    <t>ZFMD/SD-17071-SH</t>
  </si>
  <si>
    <t>ZFMD/SD-17072-SH</t>
  </si>
  <si>
    <t>ZFMD/SD-17073-SH</t>
  </si>
  <si>
    <t>风电功率预测</t>
  </si>
  <si>
    <t>王国先</t>
  </si>
  <si>
    <t>2017.5.3</t>
  </si>
  <si>
    <t>2017.5.4</t>
  </si>
  <si>
    <t>2017.5.19</t>
  </si>
  <si>
    <t>2017.6.9</t>
  </si>
  <si>
    <t>复印件</t>
    <phoneticPr fontId="1" type="noConversion"/>
  </si>
  <si>
    <t>原件</t>
  </si>
  <si>
    <t>原件</t>
    <phoneticPr fontId="1" type="noConversion"/>
  </si>
  <si>
    <t>/</t>
  </si>
  <si>
    <t>大唐</t>
  </si>
  <si>
    <t>桦川苏家店</t>
  </si>
  <si>
    <t>集贤太阳山</t>
  </si>
  <si>
    <t>绥滨吉成</t>
  </si>
  <si>
    <t>预测服务1年</t>
    <phoneticPr fontId="1" type="noConversion"/>
  </si>
  <si>
    <t>北架山</t>
    <phoneticPr fontId="1" type="noConversion"/>
  </si>
  <si>
    <t>韩志宇</t>
    <phoneticPr fontId="10" type="noConversion"/>
  </si>
  <si>
    <t>2017.1.7</t>
    <phoneticPr fontId="1" type="noConversion"/>
  </si>
  <si>
    <t>李妍</t>
    <phoneticPr fontId="10" type="noConversion"/>
  </si>
  <si>
    <t>2017.1.1</t>
    <phoneticPr fontId="10" type="noConversion"/>
  </si>
  <si>
    <t>2017.12.31</t>
    <phoneticPr fontId="10" type="noConversion"/>
  </si>
  <si>
    <t>2017.1.10</t>
    <phoneticPr fontId="1" type="noConversion"/>
  </si>
  <si>
    <t>2016.12.26</t>
    <phoneticPr fontId="10" type="noConversion"/>
  </si>
  <si>
    <t>2017.12.25</t>
    <phoneticPr fontId="10" type="noConversion"/>
  </si>
  <si>
    <t>ZFMD/KGSQ-16046</t>
    <phoneticPr fontId="5" type="noConversion"/>
  </si>
  <si>
    <t>/</t>
    <phoneticPr fontId="5" type="noConversion"/>
  </si>
  <si>
    <t>大庆银浪风力发电有限公司</t>
    <phoneticPr fontId="5" type="noConversion"/>
  </si>
  <si>
    <t>大庆银浪风电场风功率预测系统采购合同</t>
    <phoneticPr fontId="5" type="noConversion"/>
  </si>
  <si>
    <t>中广核</t>
    <phoneticPr fontId="5" type="noConversion"/>
  </si>
  <si>
    <t>大庆银浪</t>
    <phoneticPr fontId="5" type="noConversion"/>
  </si>
  <si>
    <t xml:space="preserve">风电功率预测 </t>
    <phoneticPr fontId="5" type="noConversion"/>
  </si>
  <si>
    <t>韩志宇</t>
    <phoneticPr fontId="10" type="noConversion"/>
  </si>
  <si>
    <t>2017.1.12</t>
    <phoneticPr fontId="1" type="noConversion"/>
  </si>
  <si>
    <t>ZFMD/SD-17006-SH</t>
    <phoneticPr fontId="5" type="noConversion"/>
  </si>
  <si>
    <t>ZFMD/KGSQ-16039</t>
    <phoneticPr fontId="5" type="noConversion"/>
  </si>
  <si>
    <t>大庆银浪风电场与电网新能源处数据传输设备采购合同</t>
    <phoneticPr fontId="5" type="noConversion"/>
  </si>
  <si>
    <t>电力通讯</t>
    <phoneticPr fontId="5" type="noConversion"/>
  </si>
  <si>
    <t>ZFMD/KGSQ-16040</t>
    <phoneticPr fontId="5" type="noConversion"/>
  </si>
  <si>
    <t>大庆红骥风力发电有限公司</t>
    <phoneticPr fontId="5" type="noConversion"/>
  </si>
  <si>
    <t>大庆红骥风电场与电网新能源处数据传输设备采购合同</t>
    <phoneticPr fontId="5" type="noConversion"/>
  </si>
  <si>
    <t>大庆红骥</t>
    <phoneticPr fontId="5" type="noConversion"/>
  </si>
  <si>
    <t>亚洲风力发电（牡丹江）有限公司
香港风力发电（穆棱）有限公司</t>
    <phoneticPr fontId="5" type="noConversion"/>
  </si>
  <si>
    <t>代马沟风电场风电功率预测系统服务合同书</t>
    <phoneticPr fontId="5" type="noConversion"/>
  </si>
  <si>
    <t>代马沟</t>
    <phoneticPr fontId="5" type="noConversion"/>
  </si>
  <si>
    <t>2017.2.13</t>
    <phoneticPr fontId="1" type="noConversion"/>
  </si>
  <si>
    <t>2017.1.1</t>
    <phoneticPr fontId="10" type="noConversion"/>
  </si>
  <si>
    <t>2017.12.31</t>
    <phoneticPr fontId="10" type="noConversion"/>
  </si>
  <si>
    <t>大庆绿源风力发电有限公司</t>
    <phoneticPr fontId="5" type="noConversion"/>
  </si>
  <si>
    <t>风电场调度数据上传系统合同</t>
    <phoneticPr fontId="5" type="noConversion"/>
  </si>
  <si>
    <t>华能</t>
    <phoneticPr fontId="5" type="noConversion"/>
  </si>
  <si>
    <t>电力通讯</t>
    <phoneticPr fontId="5" type="noConversion"/>
  </si>
  <si>
    <t>郭文明</t>
    <phoneticPr fontId="10" type="noConversion"/>
  </si>
  <si>
    <t>2017.3.4</t>
    <phoneticPr fontId="1" type="noConversion"/>
  </si>
  <si>
    <t>ZFMD/SD-17010-SH</t>
    <phoneticPr fontId="5" type="noConversion"/>
  </si>
  <si>
    <t>大唐文登风力发电有限公司</t>
    <phoneticPr fontId="5" type="noConversion"/>
  </si>
  <si>
    <t>大唐</t>
    <phoneticPr fontId="5" type="noConversion"/>
  </si>
  <si>
    <t>文登</t>
    <phoneticPr fontId="5" type="noConversion"/>
  </si>
  <si>
    <t>软件升级</t>
    <phoneticPr fontId="10" type="noConversion"/>
  </si>
  <si>
    <t>于忠新</t>
    <phoneticPr fontId="10" type="noConversion"/>
  </si>
  <si>
    <t>2017.3.6</t>
    <phoneticPr fontId="1" type="noConversion"/>
  </si>
  <si>
    <t>华能同江风力发电有限公司</t>
    <phoneticPr fontId="5" type="noConversion"/>
  </si>
  <si>
    <t>同江街津山</t>
    <phoneticPr fontId="5" type="noConversion"/>
  </si>
  <si>
    <t>ZFMD/KGSQ-16030</t>
    <phoneticPr fontId="5" type="noConversion"/>
  </si>
  <si>
    <t>国华（齐齐哈尔）风电有限公司</t>
    <phoneticPr fontId="5" type="noConversion"/>
  </si>
  <si>
    <t>国华富裕风电场三期综合通信管理终端暨测风塔升级改造合同</t>
    <phoneticPr fontId="5" type="noConversion"/>
  </si>
  <si>
    <t>国华</t>
    <phoneticPr fontId="5" type="noConversion"/>
  </si>
  <si>
    <t>电力通讯；    风电功率预测</t>
    <phoneticPr fontId="5" type="noConversion"/>
  </si>
  <si>
    <t>2017.3.7</t>
    <phoneticPr fontId="1" type="noConversion"/>
  </si>
  <si>
    <t>大唐海林风力发电有限公司</t>
    <phoneticPr fontId="5" type="noConversion"/>
  </si>
  <si>
    <t>大唐海林风电场测风塔及超短期风电功率预测系统设备采购及安装合同</t>
    <phoneticPr fontId="5" type="noConversion"/>
  </si>
  <si>
    <t>海林威虎山</t>
    <phoneticPr fontId="5" type="noConversion"/>
  </si>
  <si>
    <t>2017.3.9</t>
    <phoneticPr fontId="1" type="noConversion"/>
  </si>
  <si>
    <t>/</t>
    <phoneticPr fontId="10" type="noConversion"/>
  </si>
  <si>
    <t>ZFMD/SD-17015-SH</t>
    <phoneticPr fontId="5" type="noConversion"/>
  </si>
  <si>
    <t>哈密市东方民生太阳能源开发有限公司</t>
    <phoneticPr fontId="5" type="noConversion"/>
  </si>
  <si>
    <t>华电</t>
    <phoneticPr fontId="5" type="noConversion"/>
  </si>
  <si>
    <t>东方民生石城子</t>
    <phoneticPr fontId="5" type="noConversion"/>
  </si>
  <si>
    <t>技术服务</t>
    <phoneticPr fontId="10" type="noConversion"/>
  </si>
  <si>
    <t>王龙波</t>
    <phoneticPr fontId="10" type="noConversion"/>
  </si>
  <si>
    <t>三峡新能源富裕风电有限公司</t>
    <phoneticPr fontId="5" type="noConversion"/>
  </si>
  <si>
    <t>三峡新能源黑龙江省富裕友谊光伏电站（20MWp）工程光伏功率预测系统服务合同</t>
    <phoneticPr fontId="5" type="noConversion"/>
  </si>
  <si>
    <t>2017.3.13</t>
    <phoneticPr fontId="1" type="noConversion"/>
  </si>
  <si>
    <t>2016.7.31</t>
    <phoneticPr fontId="10" type="noConversion"/>
  </si>
  <si>
    <t>2017.7.30</t>
    <phoneticPr fontId="10" type="noConversion"/>
  </si>
  <si>
    <t>三峡新能源彰武发电有限公司</t>
    <phoneticPr fontId="5" type="noConversion"/>
  </si>
  <si>
    <t>三峡新能源辽宁省彰武光伏电站一二期（24MWp）工程光伏功率预测系统服务合同</t>
    <phoneticPr fontId="5" type="noConversion"/>
  </si>
  <si>
    <t>三峡新能源</t>
    <phoneticPr fontId="5" type="noConversion"/>
  </si>
  <si>
    <t>彰武王家</t>
    <phoneticPr fontId="5" type="noConversion"/>
  </si>
  <si>
    <t>2017.3.14</t>
    <phoneticPr fontId="1" type="noConversion"/>
  </si>
  <si>
    <t>三峡新能源泰来发电有限公司</t>
    <phoneticPr fontId="5" type="noConversion"/>
  </si>
  <si>
    <t>三峡新能源黑龙江省泰来汤池光伏电站（9.9MWP）工程光伏功率预测系统服务合同</t>
    <phoneticPr fontId="5" type="noConversion"/>
  </si>
  <si>
    <t>2017.3.20</t>
    <phoneticPr fontId="1" type="noConversion"/>
  </si>
  <si>
    <t>ZFMD/KGSQ-16062</t>
    <phoneticPr fontId="5" type="noConversion"/>
  </si>
  <si>
    <t>三峡新能源调兵山风电有限公司</t>
    <phoneticPr fontId="5" type="noConversion"/>
  </si>
  <si>
    <t>三峡新能源辽宁省调兵山风电场（99MW）工程风功率预测系统技术服务合同</t>
    <phoneticPr fontId="5" type="noConversion"/>
  </si>
  <si>
    <t>2017.3.24</t>
    <phoneticPr fontId="1" type="noConversion"/>
  </si>
  <si>
    <t>伊春太阳风新能源有限公司</t>
    <phoneticPr fontId="5" type="noConversion"/>
  </si>
  <si>
    <t>三峡新能源黑龙江省伊春老白山风电场（51MW）工程风功率预测技术服务合同</t>
    <phoneticPr fontId="5" type="noConversion"/>
  </si>
  <si>
    <t>伊春美林老白山</t>
    <phoneticPr fontId="5" type="noConversion"/>
  </si>
  <si>
    <t>韩志宇</t>
    <phoneticPr fontId="10" type="noConversion"/>
  </si>
  <si>
    <t>2017.3.27</t>
    <phoneticPr fontId="1" type="noConversion"/>
  </si>
  <si>
    <t>国网黑龙江省电力有限公司双鸭山供电公司</t>
    <phoneticPr fontId="5" type="noConversion"/>
  </si>
  <si>
    <t>220KV故障录波器购置合同</t>
    <phoneticPr fontId="5" type="noConversion"/>
  </si>
  <si>
    <t>国网</t>
    <phoneticPr fontId="5" type="noConversion"/>
  </si>
  <si>
    <t>双鸭山供电公司</t>
    <phoneticPr fontId="5" type="noConversion"/>
  </si>
  <si>
    <t>故障录波器</t>
    <phoneticPr fontId="5" type="noConversion"/>
  </si>
  <si>
    <t>故障录波器</t>
    <phoneticPr fontId="10" type="noConversion"/>
  </si>
  <si>
    <t>大庆宏伟风电场(49.5MW)测风塔设备采购及安装调试合同</t>
    <phoneticPr fontId="5" type="noConversion"/>
  </si>
  <si>
    <t>中广核</t>
    <phoneticPr fontId="5" type="noConversion"/>
  </si>
  <si>
    <t>大庆宏伟</t>
    <phoneticPr fontId="5" type="noConversion"/>
  </si>
  <si>
    <t>2017.3.31</t>
    <phoneticPr fontId="1" type="noConversion"/>
  </si>
  <si>
    <t>龙源</t>
    <phoneticPr fontId="5" type="noConversion"/>
  </si>
  <si>
    <t>克东爱华</t>
    <phoneticPr fontId="5" type="noConversion"/>
  </si>
  <si>
    <t>系统硬件</t>
    <phoneticPr fontId="10" type="noConversion"/>
  </si>
  <si>
    <t>李妍</t>
    <phoneticPr fontId="10" type="noConversion"/>
  </si>
  <si>
    <t>2017.4.1</t>
    <phoneticPr fontId="10" type="noConversion"/>
  </si>
  <si>
    <t>ZFMD/KGSQ-16059</t>
    <phoneticPr fontId="5" type="noConversion"/>
  </si>
  <si>
    <t>山东大唐国际东营风电有限责任公司</t>
    <phoneticPr fontId="5" type="noConversion"/>
  </si>
  <si>
    <t>大唐东营风电场功率预测系统改IEC102规约接入D5000系统技术服务合同</t>
    <phoneticPr fontId="5" type="noConversion"/>
  </si>
  <si>
    <t>东营</t>
    <phoneticPr fontId="5" type="noConversion"/>
  </si>
  <si>
    <t>2017.4.10</t>
    <phoneticPr fontId="10" type="noConversion"/>
  </si>
  <si>
    <t>国电霞浦延亭风力发电有限公司</t>
    <phoneticPr fontId="5" type="noConversion"/>
  </si>
  <si>
    <t>中国国电集团公司国电霞浦延亭风力发电有限公司霞浦马耳山风电场（40MW）工程风功率预测系统销售合同</t>
    <phoneticPr fontId="5" type="noConversion"/>
  </si>
  <si>
    <t>国电</t>
    <phoneticPr fontId="5" type="noConversion"/>
  </si>
  <si>
    <t>秦英飞</t>
    <phoneticPr fontId="10" type="noConversion"/>
  </si>
  <si>
    <t>2017.4.13</t>
    <phoneticPr fontId="10" type="noConversion"/>
  </si>
  <si>
    <t>免费1年</t>
    <phoneticPr fontId="10" type="noConversion"/>
  </si>
  <si>
    <t>ZFMD/KGSQ-17008</t>
    <phoneticPr fontId="5" type="noConversion"/>
  </si>
  <si>
    <t>吉林省加禧电力工程技术有限公司</t>
    <phoneticPr fontId="5" type="noConversion"/>
  </si>
  <si>
    <t>松原绿筑15MW牧光互补光伏项目产品采购合同</t>
    <phoneticPr fontId="5" type="noConversion"/>
  </si>
  <si>
    <t>松原绿筑</t>
    <phoneticPr fontId="5" type="noConversion"/>
  </si>
  <si>
    <t>光伏功率预测；  光伏AGC/AVC</t>
    <phoneticPr fontId="5" type="noConversion"/>
  </si>
  <si>
    <t>陈慧群</t>
    <phoneticPr fontId="1" type="noConversion"/>
  </si>
  <si>
    <t>ZFMD/KGSQ-16031</t>
    <phoneticPr fontId="5" type="noConversion"/>
  </si>
  <si>
    <t>宾县大个岭风力发电有限公司</t>
    <phoneticPr fontId="5" type="noConversion"/>
  </si>
  <si>
    <t>三峡新能源黑龙江省宾县大个岭、大泉子风电场（99MW）工程风功率预测系统技术服务合同</t>
    <phoneticPr fontId="5" type="noConversion"/>
  </si>
  <si>
    <t>宾县大泉子、大个岭</t>
    <phoneticPr fontId="5" type="noConversion"/>
  </si>
  <si>
    <t xml:space="preserve">风电功率预测 </t>
    <phoneticPr fontId="5" type="noConversion"/>
  </si>
  <si>
    <t>2017.4.17</t>
    <phoneticPr fontId="10" type="noConversion"/>
  </si>
  <si>
    <t>未编号</t>
    <phoneticPr fontId="5" type="noConversion"/>
  </si>
  <si>
    <t>北京金风慧能技术有限公司</t>
    <phoneticPr fontId="5" type="noConversion"/>
  </si>
  <si>
    <t>工业品买卖合同</t>
    <phoneticPr fontId="5" type="noConversion"/>
  </si>
  <si>
    <t>东方民生三塘湖一期</t>
    <phoneticPr fontId="5" type="noConversion"/>
  </si>
  <si>
    <t>2017.4.24</t>
    <phoneticPr fontId="10" type="noConversion"/>
  </si>
  <si>
    <t>2013.1.1</t>
    <phoneticPr fontId="10" type="noConversion"/>
  </si>
  <si>
    <t>2015.12.31</t>
    <phoneticPr fontId="10" type="noConversion"/>
  </si>
  <si>
    <t>银川瑞明太阳能发电有限公司</t>
    <phoneticPr fontId="5" type="noConversion"/>
  </si>
  <si>
    <t>银川瑞明13MWP光伏光热发电项目光伏功率预测系统服务合同</t>
    <phoneticPr fontId="5" type="noConversion"/>
  </si>
  <si>
    <t>银川瑞明太阳能</t>
    <phoneticPr fontId="5" type="noConversion"/>
  </si>
  <si>
    <t>杨振坤</t>
    <phoneticPr fontId="10" type="noConversion"/>
  </si>
  <si>
    <t>2017.4.15</t>
    <phoneticPr fontId="10" type="noConversion"/>
  </si>
  <si>
    <t>2020.4.14</t>
    <phoneticPr fontId="10" type="noConversion"/>
  </si>
  <si>
    <t>伊春华宇电力新能源有限公司</t>
    <phoneticPr fontId="5" type="noConversion"/>
  </si>
  <si>
    <t>三峡新能源黑龙江省乌伊岭阿廷河风电场（49.5MW)工程风功率预测技术服务合同</t>
    <phoneticPr fontId="5" type="noConversion"/>
  </si>
  <si>
    <t>乌伊岭阿廷河</t>
    <phoneticPr fontId="5" type="noConversion"/>
  </si>
  <si>
    <t>2017.5.2</t>
    <phoneticPr fontId="10" type="noConversion"/>
  </si>
  <si>
    <t>三峡新能源尚义风电有限公司</t>
    <phoneticPr fontId="5" type="noConversion"/>
  </si>
  <si>
    <t>尚义石井</t>
    <phoneticPr fontId="5" type="noConversion"/>
  </si>
  <si>
    <t>ZFMD/SD-17034-SH</t>
    <phoneticPr fontId="5" type="noConversion"/>
  </si>
  <si>
    <t>三峡新能源白城风电发展有限公司</t>
    <phoneticPr fontId="5" type="noConversion"/>
  </si>
  <si>
    <t>三峡新能源吉林省白城查干浩特（45WM）工程风电场风功率预测系统技术服务合同</t>
    <phoneticPr fontId="5" type="noConversion"/>
  </si>
  <si>
    <t>查干浩特</t>
    <phoneticPr fontId="5" type="noConversion"/>
  </si>
  <si>
    <t>华能启东风力发电有限公司</t>
    <phoneticPr fontId="5" type="noConversion"/>
  </si>
  <si>
    <t>华能启东风力发电有限公司
风功率预测系统技术服务合同</t>
    <phoneticPr fontId="5" type="noConversion"/>
  </si>
  <si>
    <t>启东</t>
    <phoneticPr fontId="5" type="noConversion"/>
  </si>
  <si>
    <t>2017.5.8</t>
    <phoneticPr fontId="10" type="noConversion"/>
  </si>
  <si>
    <t>福能（仙游）风力发电有限责任公司</t>
    <phoneticPr fontId="5" type="noConversion"/>
  </si>
  <si>
    <t xml:space="preserve">福建仙游草山风电场风功率预测系统服务合同
</t>
    <phoneticPr fontId="5" type="noConversion"/>
  </si>
  <si>
    <t>福能</t>
    <phoneticPr fontId="5" type="noConversion"/>
  </si>
  <si>
    <t>秦英飞</t>
    <phoneticPr fontId="10" type="noConversion"/>
  </si>
  <si>
    <t>2017.5.16</t>
    <phoneticPr fontId="10" type="noConversion"/>
  </si>
  <si>
    <t>ZFMD/KGSQ-17009</t>
    <phoneticPr fontId="5" type="noConversion"/>
  </si>
  <si>
    <t>哈尔滨九洲电气股份有限公司</t>
    <phoneticPr fontId="5" type="noConversion"/>
  </si>
  <si>
    <t>安达亿晶</t>
    <phoneticPr fontId="5" type="noConversion"/>
  </si>
  <si>
    <t>马梦迪</t>
    <phoneticPr fontId="10" type="noConversion"/>
  </si>
  <si>
    <t>ZFMD/KGSQ-17015</t>
    <phoneticPr fontId="5" type="noConversion"/>
  </si>
  <si>
    <t>长园深瑞继保自动化有限公司</t>
    <phoneticPr fontId="5" type="noConversion"/>
  </si>
  <si>
    <t>黑龙江综合通讯管理系统合同</t>
    <phoneticPr fontId="5" type="noConversion"/>
  </si>
  <si>
    <t>特变电工</t>
    <phoneticPr fontId="5" type="noConversion"/>
  </si>
  <si>
    <t>肇源大兴乡华光</t>
    <phoneticPr fontId="5" type="noConversion"/>
  </si>
  <si>
    <t>2017.5.18</t>
    <phoneticPr fontId="10" type="noConversion"/>
  </si>
  <si>
    <t>ZFMD/SD-17039-SH</t>
    <phoneticPr fontId="5" type="noConversion"/>
  </si>
  <si>
    <t>ZFMD/KGSQ-17012</t>
    <phoneticPr fontId="5" type="noConversion"/>
  </si>
  <si>
    <t>风电场风电功率预测系统理论功率上传项目合同</t>
    <phoneticPr fontId="5" type="noConversion"/>
  </si>
  <si>
    <t>光伏功率预测</t>
    <phoneticPr fontId="5" type="noConversion"/>
  </si>
  <si>
    <t>杨振坤</t>
    <phoneticPr fontId="10" type="noConversion"/>
  </si>
  <si>
    <t>大唐华银（湖南）新能源有限公司</t>
    <phoneticPr fontId="5" type="noConversion"/>
  </si>
  <si>
    <t xml:space="preserve">大唐华银南山风电场AGC、AVC装置采购合同
</t>
    <phoneticPr fontId="5" type="noConversion"/>
  </si>
  <si>
    <t>华银南山</t>
    <phoneticPr fontId="5" type="noConversion"/>
  </si>
  <si>
    <t>风电AGC/AVC</t>
    <phoneticPr fontId="5" type="noConversion"/>
  </si>
  <si>
    <t>2017.5.31</t>
    <phoneticPr fontId="10" type="noConversion"/>
  </si>
  <si>
    <t>柳州市和润电子科技有限责任公司</t>
    <phoneticPr fontId="5" type="noConversion"/>
  </si>
  <si>
    <t xml:space="preserve">兴安风电场进口设备整套70米实时测风系统采购合同
</t>
    <phoneticPr fontId="5" type="noConversion"/>
  </si>
  <si>
    <t>ZFMD/KGSQ-17026</t>
    <phoneticPr fontId="5" type="noConversion"/>
  </si>
  <si>
    <t>华润新能源（明光）风能有限公司</t>
    <phoneticPr fontId="5" type="noConversion"/>
  </si>
  <si>
    <t>华润明光东山风电项目风功率预测系统设备采购合同</t>
    <phoneticPr fontId="5" type="noConversion"/>
  </si>
  <si>
    <t>华润</t>
    <phoneticPr fontId="5" type="noConversion"/>
  </si>
  <si>
    <t>明光东山</t>
    <phoneticPr fontId="5" type="noConversion"/>
  </si>
  <si>
    <t>赵亮</t>
    <phoneticPr fontId="10" type="noConversion"/>
  </si>
  <si>
    <t>2017.6.2</t>
    <phoneticPr fontId="10" type="noConversion"/>
  </si>
  <si>
    <t>免费3年</t>
    <phoneticPr fontId="10" type="noConversion"/>
  </si>
  <si>
    <t>ZFMD/KGSQ-17014</t>
    <phoneticPr fontId="5" type="noConversion"/>
  </si>
  <si>
    <t>保定四方继保工程技术有限公司</t>
    <phoneticPr fontId="5" type="noConversion"/>
  </si>
  <si>
    <t>保定四方继保工程技术有限公司采购合同</t>
    <phoneticPr fontId="5" type="noConversion"/>
  </si>
  <si>
    <t>安达1号、2号</t>
    <phoneticPr fontId="5" type="noConversion"/>
  </si>
  <si>
    <t>2017.6.5</t>
    <phoneticPr fontId="10" type="noConversion"/>
  </si>
  <si>
    <t>复印件</t>
    <phoneticPr fontId="10" type="noConversion"/>
  </si>
  <si>
    <t>2017.6.7</t>
    <phoneticPr fontId="10" type="noConversion"/>
  </si>
  <si>
    <t>ZFMD/KGSQ-17019</t>
    <phoneticPr fontId="5" type="noConversion"/>
  </si>
  <si>
    <t xml:space="preserve">黑龙江省新能源场站调度系统代马沟风电场理论功率子站合同
</t>
    <phoneticPr fontId="5" type="noConversion"/>
  </si>
  <si>
    <t>原件</t>
    <phoneticPr fontId="10" type="noConversion"/>
  </si>
  <si>
    <t>北京中科伏瑞电气技术有限公司</t>
    <phoneticPr fontId="5" type="noConversion"/>
  </si>
  <si>
    <t>尚义二工地</t>
    <phoneticPr fontId="5" type="noConversion"/>
  </si>
  <si>
    <t>光伏气象站设备</t>
    <phoneticPr fontId="10" type="noConversion"/>
  </si>
  <si>
    <t>王龙波</t>
    <phoneticPr fontId="10" type="noConversion"/>
  </si>
  <si>
    <t>2017.6.8</t>
    <phoneticPr fontId="10" type="noConversion"/>
  </si>
  <si>
    <t>ZFMD/KGSQ-17049</t>
    <phoneticPr fontId="5" type="noConversion"/>
  </si>
  <si>
    <t>焉耆县光润新能源发电有限公司</t>
    <phoneticPr fontId="5" type="noConversion"/>
  </si>
  <si>
    <t xml:space="preserve">焉耆县光润新能源发电有限公司
光功率预测系统后台改造项目合同
</t>
    <phoneticPr fontId="5" type="noConversion"/>
  </si>
  <si>
    <t>2017.6.1</t>
    <phoneticPr fontId="10" type="noConversion"/>
  </si>
  <si>
    <t>2018.5.31</t>
    <phoneticPr fontId="10" type="noConversion"/>
  </si>
  <si>
    <t>安达中广核太阳能科技有限公司</t>
    <phoneticPr fontId="5" type="noConversion"/>
  </si>
  <si>
    <t>中广核安达万宝山光伏项目光功率预测设备采购合同</t>
    <phoneticPr fontId="5" type="noConversion"/>
  </si>
  <si>
    <t>安达万宝山</t>
    <phoneticPr fontId="5" type="noConversion"/>
  </si>
  <si>
    <t>免费1年</t>
    <phoneticPr fontId="10" type="noConversion"/>
  </si>
  <si>
    <t>中广核安达万宝山光伏项目功率及电压控制设备（AGC+AVC）采购合同</t>
    <phoneticPr fontId="5" type="noConversion"/>
  </si>
  <si>
    <t>光伏AGC/AVC</t>
    <phoneticPr fontId="5" type="noConversion"/>
  </si>
  <si>
    <t>安达万宝山（20MW）光伏电场综合数据管理系统设备采购合同</t>
    <phoneticPr fontId="5" type="noConversion"/>
  </si>
  <si>
    <t>肇东中广核新能源科技开发有限公司</t>
    <phoneticPr fontId="5" type="noConversion"/>
  </si>
  <si>
    <t>肇东尚家镇（20MW）光伏电场综合数据管理系统设备采购合同</t>
    <phoneticPr fontId="5" type="noConversion"/>
  </si>
  <si>
    <t>风电功率预测</t>
    <phoneticPr fontId="5" type="noConversion"/>
  </si>
  <si>
    <t>ZFMD/SHFW-2017008</t>
    <phoneticPr fontId="5" type="noConversion"/>
  </si>
  <si>
    <t>山东龙源风力发电有限公司</t>
    <phoneticPr fontId="5" type="noConversion"/>
  </si>
  <si>
    <t>滨海风电场防火墙装置升级技术服务合同书</t>
    <phoneticPr fontId="5" type="noConversion"/>
  </si>
  <si>
    <t>于忠新</t>
    <phoneticPr fontId="10" type="noConversion"/>
  </si>
  <si>
    <t>2017.6.27</t>
    <phoneticPr fontId="10" type="noConversion"/>
  </si>
  <si>
    <t>2017.5.28</t>
    <phoneticPr fontId="10" type="noConversion"/>
  </si>
  <si>
    <t>吉林中广核风力发电有限公司</t>
    <phoneticPr fontId="5" type="noConversion"/>
  </si>
  <si>
    <t>中广核吉林大安大岗子风电场风电功率预测技术服务合同(2017年)</t>
    <phoneticPr fontId="5" type="noConversion"/>
  </si>
  <si>
    <t>大安大岗子</t>
    <phoneticPr fontId="5" type="noConversion"/>
  </si>
  <si>
    <t>2017.7.5</t>
    <phoneticPr fontId="10" type="noConversion"/>
  </si>
  <si>
    <t>ZFMD/SD-17055-SH</t>
    <phoneticPr fontId="5" type="noConversion"/>
  </si>
  <si>
    <t>ZFMD/KGSQ-17053</t>
    <phoneticPr fontId="5" type="noConversion"/>
  </si>
  <si>
    <t>国华富裕风电场理论功率子站服务合同</t>
    <phoneticPr fontId="5" type="noConversion"/>
  </si>
  <si>
    <t>铁岭电业奕翔（集团）有限公司</t>
    <phoneticPr fontId="5" type="noConversion"/>
  </si>
  <si>
    <t>辽宁铁岭高新产业园区5.95MWp屋顶分布式光伏电站项目技术服务合同</t>
    <phoneticPr fontId="5" type="noConversion"/>
  </si>
  <si>
    <t>辽宁铁岭高新产业园区北区</t>
    <phoneticPr fontId="5" type="noConversion"/>
  </si>
  <si>
    <t>光伏电站技术服务</t>
    <phoneticPr fontId="5" type="noConversion"/>
  </si>
  <si>
    <t>光伏电站技术服务</t>
    <phoneticPr fontId="10" type="noConversion"/>
  </si>
  <si>
    <t>2017.7.8</t>
    <phoneticPr fontId="10" type="noConversion"/>
  </si>
  <si>
    <t>辽宁铁岭高新产业园区5.97MWp屋顶分布式光伏电站项目技术服务合同</t>
    <phoneticPr fontId="5" type="noConversion"/>
  </si>
  <si>
    <t>辽宁铁岭高新产业园区南区</t>
    <phoneticPr fontId="5" type="noConversion"/>
  </si>
  <si>
    <t>黑龙江北方风力发电有限公司</t>
    <phoneticPr fontId="5" type="noConversion"/>
  </si>
  <si>
    <t>中广核兴凯湖风电场（蜂蜜山项目）2017-2018年度风功率预测系统服务合同</t>
    <phoneticPr fontId="5" type="noConversion"/>
  </si>
  <si>
    <t>2017.3.1</t>
    <phoneticPr fontId="10" type="noConversion"/>
  </si>
  <si>
    <t>2018.4.30</t>
    <phoneticPr fontId="10" type="noConversion"/>
  </si>
  <si>
    <t>中广核兴凯湖风电场（柳毛项目）2017-2018年度风功率预测系统服务合同</t>
    <phoneticPr fontId="5" type="noConversion"/>
  </si>
  <si>
    <t>密山临河风力发电有限公司</t>
    <phoneticPr fontId="5" type="noConversion"/>
  </si>
  <si>
    <t>中广核兴凯湖风电场（临河项目）2017-2018年度风功率预测系统服务合同</t>
    <phoneticPr fontId="5" type="noConversion"/>
  </si>
  <si>
    <t>密山潘家店风力发电有限公司</t>
    <phoneticPr fontId="5" type="noConversion"/>
  </si>
  <si>
    <t>中广核兴凯湖风电场（潘家店项目）2017-2018年度风功率预测系统服务合同</t>
    <phoneticPr fontId="5" type="noConversion"/>
  </si>
  <si>
    <t>双鸭山杨木岗风力发电有限公司</t>
    <phoneticPr fontId="5" type="noConversion"/>
  </si>
  <si>
    <t>中广核安邦河风电场（杨木岗项目）2017-2018年度风功率预测系统服务合同</t>
    <phoneticPr fontId="5" type="noConversion"/>
  </si>
  <si>
    <t>双鸭山老平岗风力发电有限公司</t>
    <phoneticPr fontId="5" type="noConversion"/>
  </si>
  <si>
    <t>中广核安邦河风电场（老平岗项目）2017-2018年度风功率预测系统服务合同</t>
    <phoneticPr fontId="5" type="noConversion"/>
  </si>
  <si>
    <t>内蒙古华电秦天风电有限公司</t>
    <phoneticPr fontId="5" type="noConversion"/>
  </si>
  <si>
    <t>内蒙古</t>
    <phoneticPr fontId="5" type="noConversion"/>
  </si>
  <si>
    <t>吉利</t>
    <phoneticPr fontId="5" type="noConversion"/>
  </si>
  <si>
    <t>2017.7.12</t>
    <phoneticPr fontId="10" type="noConversion"/>
  </si>
  <si>
    <t>中广核大悟阳平风力发电有限公司</t>
    <phoneticPr fontId="5" type="noConversion"/>
  </si>
  <si>
    <t>中广核湖北敖家山风电场风功率预测系统设备采购合同</t>
    <phoneticPr fontId="5" type="noConversion"/>
  </si>
  <si>
    <t>敖家山</t>
    <phoneticPr fontId="5" type="noConversion"/>
  </si>
  <si>
    <t>2017.7.17</t>
    <phoneticPr fontId="10" type="noConversion"/>
  </si>
  <si>
    <t>免费2年</t>
    <phoneticPr fontId="10" type="noConversion"/>
  </si>
  <si>
    <t>双鸭山锅盔山风力发电有限公司</t>
    <phoneticPr fontId="5" type="noConversion"/>
  </si>
  <si>
    <t>中广核安邦河风电场（锅盔山项目）2017-2018年度风功率预测系统服务合同</t>
    <phoneticPr fontId="5" type="noConversion"/>
  </si>
  <si>
    <t>韩志宇</t>
    <phoneticPr fontId="10" type="noConversion"/>
  </si>
  <si>
    <t>2017.7.24</t>
    <phoneticPr fontId="10" type="noConversion"/>
  </si>
  <si>
    <t>2017.3.1</t>
    <phoneticPr fontId="10" type="noConversion"/>
  </si>
  <si>
    <t>2018.4.30</t>
    <phoneticPr fontId="10" type="noConversion"/>
  </si>
  <si>
    <t>/</t>
    <phoneticPr fontId="5" type="noConversion"/>
  </si>
  <si>
    <t>中航龙腾风力发电有限公司</t>
    <phoneticPr fontId="5" type="noConversion"/>
  </si>
  <si>
    <t>中广核哈拉海风电场（中航龙腾项目）2017-2018年度风功率预测系统服务合同</t>
    <phoneticPr fontId="5" type="noConversion"/>
  </si>
  <si>
    <t>中广核</t>
    <phoneticPr fontId="5" type="noConversion"/>
  </si>
  <si>
    <t>龙江杏山风力发电有限公司</t>
    <phoneticPr fontId="5" type="noConversion"/>
  </si>
  <si>
    <t>中广核哈拉海风电场（龙江杏山项目）2017-2018年度风功率预测系统服务合同</t>
    <phoneticPr fontId="5" type="noConversion"/>
  </si>
  <si>
    <t>ZFMD/KGSQ-17054</t>
    <phoneticPr fontId="5" type="noConversion"/>
  </si>
  <si>
    <t>黑龙江富龙风力发电有限责任公司
黑龙江富龙风能科技开发有限责任公司</t>
    <phoneticPr fontId="5" type="noConversion"/>
  </si>
  <si>
    <t xml:space="preserve">黑龙江省新能源场站调度系统乌尔古力、五顶山风电场理论功率子站合同
</t>
    <phoneticPr fontId="5" type="noConversion"/>
  </si>
  <si>
    <t>风电功率预测</t>
    <phoneticPr fontId="5" type="noConversion"/>
  </si>
  <si>
    <t>马梦迪</t>
    <phoneticPr fontId="10" type="noConversion"/>
  </si>
  <si>
    <t>2017.7.19</t>
    <phoneticPr fontId="10" type="noConversion"/>
  </si>
  <si>
    <t>/</t>
    <phoneticPr fontId="10" type="noConversion"/>
  </si>
  <si>
    <t>大庆银浪风力发电有限公司</t>
    <phoneticPr fontId="5" type="noConversion"/>
  </si>
  <si>
    <t>中广核大庆银浪风电场2017-2018年度风功率预测系统服务合同</t>
    <phoneticPr fontId="5" type="noConversion"/>
  </si>
  <si>
    <t>2017.7.27</t>
    <phoneticPr fontId="10" type="noConversion"/>
  </si>
  <si>
    <t>七台河丰润风力发电有限公司汤原分公司</t>
    <phoneticPr fontId="5" type="noConversion"/>
  </si>
  <si>
    <t>汤原渠首风电场风电功率预测系统服务合同</t>
    <phoneticPr fontId="5" type="noConversion"/>
  </si>
  <si>
    <t>华电</t>
    <phoneticPr fontId="5" type="noConversion"/>
  </si>
  <si>
    <t>汤原渠首</t>
    <phoneticPr fontId="5" type="noConversion"/>
  </si>
  <si>
    <t>2017.1.1</t>
    <phoneticPr fontId="10" type="noConversion"/>
  </si>
  <si>
    <t>2017.12.31</t>
    <phoneticPr fontId="10" type="noConversion"/>
  </si>
  <si>
    <t>华电虎林风力发电有限公司</t>
    <phoneticPr fontId="5" type="noConversion"/>
  </si>
  <si>
    <t>华电虎林石青山风电场（一期、二期）风电功率预测系统服务合同</t>
    <phoneticPr fontId="5" type="noConversion"/>
  </si>
  <si>
    <t>七台河丰润风力发电有限公司</t>
    <phoneticPr fontId="5" type="noConversion"/>
  </si>
  <si>
    <t>七台河风电场（一期、二期）风电功率预测系统服务合同</t>
    <phoneticPr fontId="5" type="noConversion"/>
  </si>
  <si>
    <t>福建永福电力设计股份有限公司</t>
    <phoneticPr fontId="5" type="noConversion"/>
  </si>
  <si>
    <t>南安高嵛山风电场工程风功率预测系统采购合同</t>
    <phoneticPr fontId="5" type="noConversion"/>
  </si>
  <si>
    <t>中核</t>
    <phoneticPr fontId="5" type="noConversion"/>
  </si>
  <si>
    <t>秦英飞</t>
    <phoneticPr fontId="10" type="noConversion"/>
  </si>
  <si>
    <t>大唐依兰风力发电有限公司</t>
    <phoneticPr fontId="1" type="noConversion"/>
  </si>
  <si>
    <t>预测服务1年</t>
    <phoneticPr fontId="1" type="noConversion"/>
  </si>
  <si>
    <t>郭文明</t>
    <phoneticPr fontId="1" type="noConversion"/>
  </si>
  <si>
    <t>2017.8.3</t>
    <phoneticPr fontId="1" type="noConversion"/>
  </si>
  <si>
    <t>2017.1.6</t>
    <phoneticPr fontId="1" type="noConversion"/>
  </si>
  <si>
    <t>苏家店</t>
    <phoneticPr fontId="1" type="noConversion"/>
  </si>
  <si>
    <t>太阳山</t>
    <phoneticPr fontId="1" type="noConversion"/>
  </si>
  <si>
    <t>场站名称</t>
    <phoneticPr fontId="1" type="noConversion"/>
  </si>
  <si>
    <t>其他名称</t>
    <phoneticPr fontId="1" type="noConversion"/>
  </si>
  <si>
    <t>依兰晨光</t>
    <phoneticPr fontId="1" type="noConversion"/>
  </si>
  <si>
    <t>依兰富强</t>
    <phoneticPr fontId="1" type="noConversion"/>
  </si>
  <si>
    <t>桦南北架山</t>
    <phoneticPr fontId="1" type="noConversion"/>
  </si>
  <si>
    <t>吉成</t>
    <phoneticPr fontId="1" type="noConversion"/>
  </si>
  <si>
    <t>大唐齐齐哈尔碾子山风电场风电功率预测</t>
  </si>
  <si>
    <t>华能大庆和平风电场2017年度风电功率预测</t>
  </si>
  <si>
    <t>华能同江街津山风电场2017年度风电功率预测</t>
  </si>
  <si>
    <t>预测服务14个月</t>
    <phoneticPr fontId="10" type="noConversion"/>
  </si>
  <si>
    <t>初装费</t>
  </si>
  <si>
    <t>预测服务费</t>
  </si>
  <si>
    <t>合同总额</t>
  </si>
  <si>
    <t>依兰晨光风电场风电功率预测技术服务合同</t>
    <phoneticPr fontId="1" type="noConversion"/>
  </si>
  <si>
    <t>大唐依兰风力发电有限公司</t>
    <phoneticPr fontId="1" type="noConversion"/>
  </si>
  <si>
    <t>依兰富强风电场风电功率预测技术服务合同</t>
    <phoneticPr fontId="1" type="noConversion"/>
  </si>
  <si>
    <t>大唐桦南大架子山风电场风电功率预测技术服务合同</t>
    <phoneticPr fontId="1" type="noConversion"/>
  </si>
  <si>
    <t>大唐桦南风力发电有限公司</t>
    <phoneticPr fontId="1" type="noConversion"/>
  </si>
  <si>
    <t>大唐桦川苏家店风电场风电功率预测技术服务合同</t>
    <phoneticPr fontId="1" type="noConversion"/>
  </si>
  <si>
    <t>大唐桦川风力发电有限公司</t>
    <phoneticPr fontId="1" type="noConversion"/>
  </si>
  <si>
    <t>大唐集贤太阳山风电场风电功率预测技术服务合同</t>
    <phoneticPr fontId="1" type="noConversion"/>
  </si>
  <si>
    <t>大唐集贤风力发电有限公司</t>
    <phoneticPr fontId="1" type="noConversion"/>
  </si>
  <si>
    <t>大唐绥滨吉成风电场风电功率预测技术服务合同</t>
    <phoneticPr fontId="1" type="noConversion"/>
  </si>
  <si>
    <t xml:space="preserve">大唐绥滨新能源有限公司 </t>
    <phoneticPr fontId="1" type="noConversion"/>
  </si>
  <si>
    <t>ZFMD/SD-17081-SH</t>
  </si>
  <si>
    <t>ZFMD/SD-17082-SH</t>
  </si>
  <si>
    <t>电力通讯</t>
    <phoneticPr fontId="1" type="noConversion"/>
  </si>
  <si>
    <t>秦英飞</t>
    <phoneticPr fontId="1" type="noConversion"/>
  </si>
  <si>
    <t>2017.8.4</t>
    <phoneticPr fontId="1" type="noConversion"/>
  </si>
  <si>
    <t>/</t>
    <phoneticPr fontId="1" type="noConversion"/>
  </si>
  <si>
    <t>国电霞浦延亭风力发电有限公司</t>
    <phoneticPr fontId="1" type="noConversion"/>
  </si>
  <si>
    <t>风电场风电功率预测系统新增实时数据上报功能合同</t>
    <phoneticPr fontId="1" type="noConversion"/>
  </si>
  <si>
    <t>国电投</t>
    <phoneticPr fontId="10" type="noConversion"/>
  </si>
  <si>
    <t>霞浦廷亭</t>
    <phoneticPr fontId="1" type="noConversion"/>
  </si>
  <si>
    <t>布尔津</t>
    <phoneticPr fontId="10" type="noConversion"/>
  </si>
  <si>
    <t>风电功率预测</t>
    <phoneticPr fontId="10" type="noConversion"/>
  </si>
  <si>
    <t>张铁民</t>
    <phoneticPr fontId="10" type="noConversion"/>
  </si>
  <si>
    <t>短期软件；超短期 软件；系统硬件；预测服务1年</t>
    <phoneticPr fontId="10" type="noConversion"/>
  </si>
  <si>
    <t>免费一年</t>
    <phoneticPr fontId="10" type="noConversion"/>
  </si>
  <si>
    <t>2017.8.4</t>
    <phoneticPr fontId="10" type="noConversion"/>
  </si>
  <si>
    <t>风功率预测系统改造服务合同</t>
    <phoneticPr fontId="10" type="noConversion"/>
  </si>
  <si>
    <t>ZFMD/KGSQ-17064</t>
    <phoneticPr fontId="10" type="noConversion"/>
  </si>
  <si>
    <t>测风塔；测风塔设备</t>
  </si>
  <si>
    <t>测风塔；测风塔设备</t>
    <phoneticPr fontId="10" type="noConversion"/>
  </si>
  <si>
    <t>测风塔设备</t>
  </si>
  <si>
    <t>预测服务3年</t>
    <phoneticPr fontId="10" type="noConversion"/>
  </si>
  <si>
    <t>系统硬件；建模扩容</t>
    <phoneticPr fontId="10" type="noConversion"/>
  </si>
  <si>
    <t>2017.1.4</t>
    <phoneticPr fontId="10" type="noConversion"/>
  </si>
  <si>
    <t>2016.12.26</t>
    <phoneticPr fontId="10" type="noConversion"/>
  </si>
  <si>
    <t>2016.12.22</t>
    <phoneticPr fontId="10" type="noConversion"/>
  </si>
  <si>
    <t>2017.3.3</t>
    <phoneticPr fontId="10" type="noConversion"/>
  </si>
  <si>
    <t>2017.3.10</t>
    <phoneticPr fontId="10" type="noConversion"/>
  </si>
  <si>
    <t>2017.3.15</t>
    <phoneticPr fontId="10" type="noConversion"/>
  </si>
  <si>
    <t>2017.3.21</t>
    <phoneticPr fontId="10" type="noConversion"/>
  </si>
  <si>
    <t>2017.2.17</t>
    <phoneticPr fontId="10" type="noConversion"/>
  </si>
  <si>
    <t>2017.4.6</t>
    <phoneticPr fontId="10" type="noConversion"/>
  </si>
  <si>
    <t>2017.4.14</t>
    <phoneticPr fontId="10" type="noConversion"/>
  </si>
  <si>
    <t>2017.4.18</t>
    <phoneticPr fontId="10" type="noConversion"/>
  </si>
  <si>
    <t>2017.4.15</t>
    <phoneticPr fontId="10" type="noConversion"/>
  </si>
  <si>
    <t>2017.3.27</t>
    <phoneticPr fontId="10" type="noConversion"/>
  </si>
  <si>
    <t>2017.4.24</t>
    <phoneticPr fontId="10" type="noConversion"/>
  </si>
  <si>
    <t>2017.4.28</t>
    <phoneticPr fontId="10" type="noConversion"/>
  </si>
  <si>
    <t>2017.5.11</t>
    <phoneticPr fontId="10" type="noConversion"/>
  </si>
  <si>
    <t>2017.6.2</t>
    <phoneticPr fontId="10" type="noConversion"/>
  </si>
  <si>
    <t>2017.4.13</t>
    <phoneticPr fontId="10" type="noConversion"/>
  </si>
  <si>
    <t>ZFMD/SD-17083-SH</t>
  </si>
  <si>
    <t>寻乌项山</t>
    <phoneticPr fontId="10" type="noConversion"/>
  </si>
  <si>
    <t>ZFMD/KGSQ-17013</t>
    <phoneticPr fontId="10" type="noConversion"/>
  </si>
  <si>
    <t>贝壳梁</t>
    <phoneticPr fontId="10" type="noConversion"/>
  </si>
  <si>
    <t>王龙波</t>
    <phoneticPr fontId="10" type="noConversion"/>
  </si>
  <si>
    <t>2017.8.7</t>
    <phoneticPr fontId="10" type="noConversion"/>
  </si>
  <si>
    <t>国投</t>
    <phoneticPr fontId="10" type="noConversion"/>
  </si>
  <si>
    <t>无</t>
    <phoneticPr fontId="10" type="noConversion"/>
  </si>
  <si>
    <t>湘电风能有限公司</t>
    <phoneticPr fontId="10" type="noConversion"/>
  </si>
  <si>
    <t>买卖合同</t>
    <phoneticPr fontId="10" type="noConversion"/>
  </si>
  <si>
    <t>ZFMD/KGSQ-17006</t>
    <phoneticPr fontId="10" type="noConversion"/>
  </si>
  <si>
    <t>福建风电场理论功率上传软件；系统硬件</t>
    <phoneticPr fontId="1" type="noConversion"/>
  </si>
  <si>
    <t>ZFMD/SD-17084-SH</t>
  </si>
  <si>
    <t>ZFMD/SD-17085-SH</t>
  </si>
  <si>
    <t>ZFMD/SD-17086-SH</t>
  </si>
  <si>
    <t>ZFMD/SD-17087-SH</t>
  </si>
  <si>
    <t>ZFMD/SD-17088-SH</t>
  </si>
  <si>
    <t>ZFMD/SD-17089-SH</t>
  </si>
  <si>
    <t>ZFMD/SD-17090-SH</t>
  </si>
  <si>
    <t xml:space="preserve"> 五凌布尔津电力有限公司</t>
    <phoneticPr fontId="10" type="noConversion"/>
  </si>
  <si>
    <t>哈尔滨锐驰风力发电有限责任公司</t>
    <phoneticPr fontId="10" type="noConversion"/>
  </si>
  <si>
    <t>哈尔滨锐驰风电场理论功率等信息上传技术服务合同</t>
    <phoneticPr fontId="10" type="noConversion"/>
  </si>
  <si>
    <t>大唐</t>
    <phoneticPr fontId="10" type="noConversion"/>
  </si>
  <si>
    <t>黑龙江</t>
    <phoneticPr fontId="10" type="noConversion"/>
  </si>
  <si>
    <t>锐驰</t>
    <phoneticPr fontId="10" type="noConversion"/>
  </si>
  <si>
    <t>郭文明</t>
    <phoneticPr fontId="10" type="noConversion"/>
  </si>
  <si>
    <t>2017.8.14</t>
    <phoneticPr fontId="10" type="noConversion"/>
  </si>
  <si>
    <t>2017.7.21</t>
    <phoneticPr fontId="10" type="noConversion"/>
  </si>
  <si>
    <t>电力通讯</t>
    <phoneticPr fontId="10" type="noConversion"/>
  </si>
  <si>
    <t>大唐绥滨吉成风电场理论功率等信息上传技术服务合同</t>
    <phoneticPr fontId="10" type="noConversion"/>
  </si>
  <si>
    <t>吉成</t>
    <phoneticPr fontId="10" type="noConversion"/>
  </si>
  <si>
    <t>黑龙江风电场理论功率上传软件；系统硬件</t>
    <phoneticPr fontId="10" type="noConversion"/>
  </si>
  <si>
    <t xml:space="preserve">大唐大庆东辉新能源有限公司 </t>
    <phoneticPr fontId="1" type="noConversion"/>
  </si>
  <si>
    <t>大唐大庆东辉风电场理论功率等信息上传技术服务合同</t>
    <phoneticPr fontId="10" type="noConversion"/>
  </si>
  <si>
    <t>东辉</t>
    <phoneticPr fontId="10" type="noConversion"/>
  </si>
  <si>
    <t>祝三</t>
    <phoneticPr fontId="10" type="noConversion"/>
  </si>
  <si>
    <t>大唐依兰晨光、富强风电场理论功率等信息上传技术服务合同</t>
    <phoneticPr fontId="10" type="noConversion"/>
  </si>
  <si>
    <t>晨光、富强</t>
    <phoneticPr fontId="10" type="noConversion"/>
  </si>
  <si>
    <t>无</t>
    <phoneticPr fontId="10" type="noConversion"/>
  </si>
  <si>
    <t>大唐海林风力发电有限公司</t>
    <phoneticPr fontId="1" type="noConversion"/>
  </si>
  <si>
    <t>大唐海林威虎山风电场理论功率等信息上传技术服务合同</t>
    <phoneticPr fontId="10" type="noConversion"/>
  </si>
  <si>
    <t>海林威虎山</t>
    <phoneticPr fontId="10" type="noConversion"/>
  </si>
  <si>
    <t>大唐桦川苏家店风电场理论功率等信息上传技术服务合同</t>
    <phoneticPr fontId="10" type="noConversion"/>
  </si>
  <si>
    <t>苏家店</t>
  </si>
  <si>
    <t>桦川</t>
    <phoneticPr fontId="10" type="noConversion"/>
  </si>
  <si>
    <t>大唐桦南大架子山风电场理论功率等信息上传技术服务合同</t>
    <phoneticPr fontId="10" type="noConversion"/>
  </si>
  <si>
    <t>桦南</t>
    <phoneticPr fontId="10" type="noConversion"/>
  </si>
  <si>
    <t>北架山</t>
  </si>
  <si>
    <t>大唐集贤太阳山风电场理论功率等信息上传技术服务合同</t>
    <phoneticPr fontId="10" type="noConversion"/>
  </si>
  <si>
    <t>太阳山</t>
    <phoneticPr fontId="10" type="noConversion"/>
  </si>
  <si>
    <t>ZFMD/KGSQ-17059</t>
    <phoneticPr fontId="5" type="noConversion"/>
  </si>
  <si>
    <t>ZFMD/KGSQ-17063</t>
    <phoneticPr fontId="5" type="noConversion"/>
  </si>
  <si>
    <t>ZFMD/KGSQ-17050 ZFMD/KGSQ-17061</t>
    <phoneticPr fontId="5" type="noConversion"/>
  </si>
  <si>
    <t>ZFMD/KGSQ-17052</t>
    <phoneticPr fontId="10" type="noConversion"/>
  </si>
  <si>
    <t>ZFMD/KGSQ-17056</t>
    <phoneticPr fontId="10" type="noConversion"/>
  </si>
  <si>
    <t>ZFMD/KGSQ-17051</t>
    <phoneticPr fontId="10" type="noConversion"/>
  </si>
  <si>
    <t>ZFMD/KGSQ-17062</t>
    <phoneticPr fontId="10" type="noConversion"/>
  </si>
  <si>
    <t>ZFMD/SD-17092-SH</t>
  </si>
  <si>
    <t>三峡新能源开原风电有限公司</t>
    <phoneticPr fontId="10" type="noConversion"/>
  </si>
  <si>
    <t>开发票占号无合同</t>
    <phoneticPr fontId="10" type="noConversion"/>
  </si>
  <si>
    <t>开原威远</t>
    <phoneticPr fontId="10" type="noConversion"/>
  </si>
  <si>
    <t>王国先</t>
    <phoneticPr fontId="10" type="noConversion"/>
  </si>
  <si>
    <t>ZFMD/SD-17076-SH</t>
    <phoneticPr fontId="10" type="noConversion"/>
  </si>
  <si>
    <t>ZFMD/SD-17077-SH</t>
    <phoneticPr fontId="10" type="noConversion"/>
  </si>
  <si>
    <t>ZFMD/SD-17078-SH</t>
    <phoneticPr fontId="10" type="noConversion"/>
  </si>
  <si>
    <t>ZFMD/SD-17079-SH</t>
    <phoneticPr fontId="10" type="noConversion"/>
  </si>
  <si>
    <t>ZFMD/SD-17080-SH</t>
    <phoneticPr fontId="10" type="noConversion"/>
  </si>
  <si>
    <t>ZFMD/SD-17075-SH</t>
    <phoneticPr fontId="10" type="noConversion"/>
  </si>
  <si>
    <t>晨光</t>
    <phoneticPr fontId="10" type="noConversion"/>
  </si>
  <si>
    <t>富强</t>
    <phoneticPr fontId="10" type="noConversion"/>
  </si>
  <si>
    <t>高嵛山</t>
    <phoneticPr fontId="10" type="noConversion"/>
  </si>
  <si>
    <t>短期软件；超短期软件；系统硬件；测风塔；测风塔设备；预测服务1年</t>
    <phoneticPr fontId="10" type="noConversion"/>
  </si>
  <si>
    <t>国电投</t>
    <phoneticPr fontId="5" type="noConversion"/>
  </si>
  <si>
    <t>无</t>
    <phoneticPr fontId="5" type="noConversion"/>
  </si>
  <si>
    <t xml:space="preserve">黑龙江风电场综合通讯管理系统软件；黑龙江风电场综合通讯管理系统硬件；黑龙江风电场理论功率上传软件；黑龙江风电场理论功率上传系统硬件 </t>
    <phoneticPr fontId="10" type="noConversion"/>
  </si>
  <si>
    <t>/</t>
    <phoneticPr fontId="10" type="noConversion"/>
  </si>
  <si>
    <t>ZFMD/SD-17093-SH</t>
  </si>
  <si>
    <t>ZFMD/KGSQ-17058</t>
    <phoneticPr fontId="10" type="noConversion"/>
  </si>
  <si>
    <t>海浪</t>
    <phoneticPr fontId="10" type="noConversion"/>
  </si>
  <si>
    <t>海林海浪</t>
    <phoneticPr fontId="10" type="noConversion"/>
  </si>
  <si>
    <t>海林中电海浪风力发电有限公司</t>
    <phoneticPr fontId="10" type="noConversion"/>
  </si>
  <si>
    <t>黑龙江省新能源场站调度系统海林中电海浪风力发电有限公司理论功率子站合同</t>
    <phoneticPr fontId="10" type="noConversion"/>
  </si>
  <si>
    <t>2017.8.24</t>
    <phoneticPr fontId="10" type="noConversion"/>
  </si>
  <si>
    <t>马梦迪</t>
    <phoneticPr fontId="10" type="noConversion"/>
  </si>
  <si>
    <t>2017.8.24</t>
    <phoneticPr fontId="10" type="noConversion"/>
  </si>
  <si>
    <t>2017.7.25</t>
    <phoneticPr fontId="10" type="noConversion"/>
  </si>
  <si>
    <t>昌吉州木垒一期</t>
    <phoneticPr fontId="10" type="noConversion"/>
  </si>
  <si>
    <t>华电</t>
    <phoneticPr fontId="10" type="noConversion"/>
  </si>
  <si>
    <t>ZFMD/SD-17094-SH</t>
  </si>
  <si>
    <t>华电福新新疆木垒能源有限公司</t>
    <phoneticPr fontId="10" type="noConversion"/>
  </si>
  <si>
    <t>华电福新木垒一期光伏电站光功率预测系统服务合同</t>
    <phoneticPr fontId="10" type="noConversion"/>
  </si>
  <si>
    <t>光伏功率预测</t>
    <phoneticPr fontId="10" type="noConversion"/>
  </si>
  <si>
    <t>预测服务1年</t>
    <phoneticPr fontId="10" type="noConversion"/>
  </si>
  <si>
    <t>王龙波</t>
    <phoneticPr fontId="10" type="noConversion"/>
  </si>
  <si>
    <t>福新木垒光伏一电站</t>
    <phoneticPr fontId="10" type="noConversion"/>
  </si>
  <si>
    <t>2017.2.11</t>
    <phoneticPr fontId="1" type="noConversion"/>
  </si>
  <si>
    <t>2018.2.10</t>
    <phoneticPr fontId="1" type="noConversion"/>
  </si>
  <si>
    <t>美林</t>
    <phoneticPr fontId="10" type="noConversion"/>
  </si>
  <si>
    <t>集贤太平</t>
    <phoneticPr fontId="10" type="noConversion"/>
  </si>
  <si>
    <t>三峡威远</t>
    <phoneticPr fontId="10" type="noConversion"/>
  </si>
  <si>
    <t>兴隆新海</t>
    <phoneticPr fontId="5" type="noConversion"/>
  </si>
  <si>
    <t>泽库大唐</t>
    <phoneticPr fontId="10" type="noConversion"/>
  </si>
  <si>
    <t>和平</t>
    <phoneticPr fontId="10" type="noConversion"/>
  </si>
  <si>
    <t>大庆和平/大庆绿源</t>
    <phoneticPr fontId="5" type="noConversion"/>
  </si>
  <si>
    <t>街津山</t>
    <phoneticPr fontId="10" type="noConversion"/>
  </si>
  <si>
    <t>富裕风电</t>
    <phoneticPr fontId="5" type="noConversion"/>
  </si>
  <si>
    <t>富裕</t>
    <phoneticPr fontId="10" type="noConversion"/>
  </si>
  <si>
    <t>东方民生石城子光伏一电站</t>
    <phoneticPr fontId="10" type="noConversion"/>
  </si>
  <si>
    <t>富裕光伏</t>
    <phoneticPr fontId="5" type="noConversion"/>
  </si>
  <si>
    <t>富裕友谊</t>
    <phoneticPr fontId="10" type="noConversion"/>
  </si>
  <si>
    <t>三峡王家</t>
    <phoneticPr fontId="10" type="noConversion"/>
  </si>
  <si>
    <t>泰来</t>
    <phoneticPr fontId="10" type="noConversion"/>
  </si>
  <si>
    <t>泰来汤池/泰来光伏</t>
  </si>
  <si>
    <t>铁岭调兵山华仪+
三峡能源泉眼沟</t>
    <phoneticPr fontId="10" type="noConversion"/>
  </si>
  <si>
    <t>调兵山（华仪+泉眼沟）</t>
    <phoneticPr fontId="5" type="noConversion"/>
  </si>
  <si>
    <t>爱华</t>
    <phoneticPr fontId="10" type="noConversion"/>
  </si>
  <si>
    <t>东营大唐</t>
    <phoneticPr fontId="10" type="noConversion"/>
  </si>
  <si>
    <t>霞浦廷亭</t>
    <phoneticPr fontId="10" type="noConversion"/>
  </si>
  <si>
    <t>霞浦马耳山（二期）</t>
  </si>
  <si>
    <t>大个岭</t>
    <phoneticPr fontId="10" type="noConversion"/>
  </si>
  <si>
    <t>东方民生麻黄沟东风电一场/一期+二三四期（东方民生麻黄沟东风电一场（直流/直流配套））</t>
    <phoneticPr fontId="10" type="noConversion"/>
  </si>
  <si>
    <t>银川瑞明太阳能</t>
    <phoneticPr fontId="5" type="noConversion"/>
  </si>
  <si>
    <t>银川瑞明太阳能</t>
    <phoneticPr fontId="10" type="noConversion"/>
  </si>
  <si>
    <t>阿廷河</t>
    <phoneticPr fontId="10" type="noConversion"/>
  </si>
  <si>
    <t>尚义</t>
    <phoneticPr fontId="5" type="noConversion"/>
  </si>
  <si>
    <t>仙游草山</t>
    <phoneticPr fontId="5" type="noConversion"/>
  </si>
  <si>
    <t>草山</t>
    <phoneticPr fontId="10" type="noConversion"/>
  </si>
  <si>
    <t>广西兴安10个风场/110KV头岭升压站/220KV坵坪升压站</t>
    <phoneticPr fontId="5" type="noConversion"/>
  </si>
  <si>
    <t>坵坪</t>
    <phoneticPr fontId="10" type="noConversion"/>
  </si>
  <si>
    <t>二工地</t>
    <phoneticPr fontId="5" type="noConversion"/>
  </si>
  <si>
    <t>光润焉耆光伏一电站</t>
    <phoneticPr fontId="10" type="noConversion"/>
  </si>
  <si>
    <t>滨海龙源</t>
    <phoneticPr fontId="10" type="noConversion"/>
  </si>
  <si>
    <t>沾化</t>
    <phoneticPr fontId="5" type="noConversion"/>
  </si>
  <si>
    <t>大岗子</t>
    <phoneticPr fontId="10" type="noConversion"/>
  </si>
  <si>
    <t>兴凯湖</t>
    <phoneticPr fontId="10" type="noConversion"/>
  </si>
  <si>
    <t>华光</t>
    <phoneticPr fontId="5" type="noConversion"/>
  </si>
  <si>
    <t>柳毛+蜂蜜山（一、二期）
临河+潘家店（三、四期）
密山兴凯湖</t>
  </si>
  <si>
    <t>柳毛+蜂蜜山（一、二期）
临河+潘家店（三、四期）
密山兴凯湖</t>
    <phoneticPr fontId="5" type="noConversion"/>
  </si>
  <si>
    <t>柳毛+蜂蜜山（一、二期）
临河+潘家店（三、四期）
密山兴凯湖</t>
    <phoneticPr fontId="10" type="noConversion"/>
  </si>
  <si>
    <t>双鸭山/老平岗+杨木岗+锅盔山</t>
  </si>
  <si>
    <t>双鸭山/老平岗+杨木岗+锅盔山</t>
    <phoneticPr fontId="5" type="noConversion"/>
  </si>
  <si>
    <t>安邦河</t>
    <phoneticPr fontId="10" type="noConversion"/>
  </si>
  <si>
    <t>龙腾/中航龙腾/龙江/红旗+杏山</t>
  </si>
  <si>
    <t>哈拉海</t>
    <phoneticPr fontId="10" type="noConversion"/>
  </si>
  <si>
    <t>乌尔古力</t>
  </si>
  <si>
    <t>五顶山</t>
    <phoneticPr fontId="10" type="noConversion"/>
  </si>
  <si>
    <t>渠首</t>
    <phoneticPr fontId="10" type="noConversion"/>
  </si>
  <si>
    <t>虎林石青山</t>
    <phoneticPr fontId="5" type="noConversion"/>
  </si>
  <si>
    <t>石青山</t>
    <phoneticPr fontId="10" type="noConversion"/>
  </si>
  <si>
    <t>七里嘎山</t>
    <phoneticPr fontId="10" type="noConversion"/>
  </si>
  <si>
    <t>测风塔；测风塔设备</t>
    <phoneticPr fontId="10" type="noConversion"/>
  </si>
  <si>
    <t>黑龙江光伏电站综合通讯管理系统软件</t>
    <phoneticPr fontId="10" type="noConversion"/>
  </si>
  <si>
    <t>光伏AGC软件；光伏AVC软件；系统硬件</t>
    <phoneticPr fontId="10" type="noConversion"/>
  </si>
  <si>
    <t>黑龙江光伏电站综合通讯管理系统软件；系统硬件</t>
    <phoneticPr fontId="10" type="noConversion"/>
  </si>
  <si>
    <t>宁夏光伏电站理论功率上传软件；系统硬件</t>
    <phoneticPr fontId="10" type="noConversion"/>
  </si>
  <si>
    <t>风电AGC软件；风电AVC软件；系统硬件</t>
    <phoneticPr fontId="10" type="noConversion"/>
  </si>
  <si>
    <t>黑龙江风电场综合通讯管理系统软件；系统硬件</t>
    <phoneticPr fontId="10" type="noConversion"/>
  </si>
  <si>
    <t>黑龙江风电场综合通讯管理系统软件；系统硬件；测风塔设备</t>
    <phoneticPr fontId="10" type="noConversion"/>
  </si>
  <si>
    <t>系统硬件</t>
    <phoneticPr fontId="10" type="noConversion"/>
  </si>
  <si>
    <t>陈慧群</t>
    <phoneticPr fontId="10" type="noConversion"/>
  </si>
  <si>
    <t>ZFMD/SD-17095-SH</t>
  </si>
  <si>
    <t>义县中广核义北风力发电有限公司</t>
    <phoneticPr fontId="10" type="noConversion"/>
  </si>
  <si>
    <t>中广核</t>
    <phoneticPr fontId="10" type="noConversion"/>
  </si>
  <si>
    <t>刘龙台</t>
    <phoneticPr fontId="10" type="noConversion"/>
  </si>
  <si>
    <t>2017.8.18</t>
    <phoneticPr fontId="10" type="noConversion"/>
  </si>
  <si>
    <t>2017..8.29</t>
    <phoneticPr fontId="10" type="noConversion"/>
  </si>
  <si>
    <t>免费两年</t>
    <phoneticPr fontId="10" type="noConversion"/>
  </si>
  <si>
    <t>韩志宇</t>
    <phoneticPr fontId="10" type="noConversion"/>
  </si>
  <si>
    <t>中广核辽宁区域义县刘龙台100MW风电项目风功率预测设备采购合同</t>
    <phoneticPr fontId="10" type="noConversion"/>
  </si>
  <si>
    <t>短期软件；超短期软件；系统硬件；测风塔；测风塔设备</t>
    <phoneticPr fontId="10" type="noConversion"/>
  </si>
  <si>
    <t>短期软件；超短期软件；系统硬件；预测服务1年</t>
    <phoneticPr fontId="10" type="noConversion"/>
  </si>
  <si>
    <t>短期软件；超短期软件；系统硬件；预测服务3年</t>
    <phoneticPr fontId="10" type="noConversion"/>
  </si>
  <si>
    <t>短期软件；超短期软件；系统硬件；测风塔；测风塔设备；预测服务3年</t>
    <phoneticPr fontId="10" type="noConversion"/>
  </si>
  <si>
    <t>短期软件；超短期软件；系统硬件；光伏气象站；光伏气象站设备</t>
    <phoneticPr fontId="10" type="noConversion"/>
  </si>
  <si>
    <t>短期软件；超短期软件；系统硬件；光伏气象站；光伏气象站设备；预测服务1年</t>
    <phoneticPr fontId="10" type="noConversion"/>
  </si>
  <si>
    <t>短期软件；超短期软件；系统硬件；测风塔；测风塔设备；预测服务2年</t>
    <phoneticPr fontId="10" type="noConversion"/>
  </si>
  <si>
    <t>短期软件；超短期 软件；系统硬件；测风塔；测风塔设备；预测服务2年</t>
    <phoneticPr fontId="10" type="noConversion"/>
  </si>
  <si>
    <t>ZFMD/SD-17097-SH</t>
  </si>
  <si>
    <t>ZFMD/SD-17096-SH</t>
    <phoneticPr fontId="10" type="noConversion"/>
  </si>
  <si>
    <t>华能</t>
    <phoneticPr fontId="10" type="noConversion"/>
  </si>
  <si>
    <t>灵华山</t>
    <phoneticPr fontId="10" type="noConversion"/>
  </si>
  <si>
    <t>秦英飞</t>
    <phoneticPr fontId="10" type="noConversion"/>
  </si>
  <si>
    <t>2017.9.4</t>
    <phoneticPr fontId="10" type="noConversion"/>
  </si>
  <si>
    <t>蒋公岭二期又名湖沙咀</t>
    <phoneticPr fontId="10" type="noConversion"/>
  </si>
  <si>
    <t xml:space="preserve">华能江西清洁能源有限责任公司湖沙咀风电场
</t>
    <phoneticPr fontId="10" type="noConversion"/>
  </si>
  <si>
    <t>华能湖沙咀风电场风电功率预测系统理论功率上传系统合同</t>
    <phoneticPr fontId="10" type="noConversion"/>
  </si>
  <si>
    <t>华能灵华山风电场风电功率预测系统理论功率上传系统合同</t>
    <phoneticPr fontId="10" type="noConversion"/>
  </si>
  <si>
    <t>蒋公岭（一期、二期）</t>
    <phoneticPr fontId="17" type="noConversion"/>
  </si>
  <si>
    <t xml:space="preserve">华能江西清洁能源有限责任公司灵华山风电场
</t>
    <phoneticPr fontId="10" type="noConversion"/>
  </si>
  <si>
    <t>乾安网新风电有限公司</t>
    <phoneticPr fontId="10" type="noConversion"/>
  </si>
  <si>
    <t>乾安网新风电有限公司2017年风功率预测系统服务合同</t>
    <phoneticPr fontId="10" type="noConversion"/>
  </si>
  <si>
    <t>王国先</t>
    <phoneticPr fontId="10" type="noConversion"/>
  </si>
  <si>
    <t>2017.9.12</t>
    <phoneticPr fontId="10" type="noConversion"/>
  </si>
  <si>
    <t>2017.9.8</t>
    <phoneticPr fontId="10" type="noConversion"/>
  </si>
  <si>
    <t>中电</t>
    <phoneticPr fontId="17" type="noConversion"/>
  </si>
  <si>
    <t>乾安</t>
  </si>
  <si>
    <t>乾安网新</t>
    <phoneticPr fontId="10" type="noConversion"/>
  </si>
  <si>
    <t>ZFMD/SD-17098-SH</t>
    <phoneticPr fontId="10" type="noConversion"/>
  </si>
  <si>
    <t>黑龙江风电场理论功率上传软件；系统硬件</t>
    <phoneticPr fontId="10" type="noConversion"/>
  </si>
  <si>
    <t>江西风电场理论功率上传软件</t>
    <phoneticPr fontId="10" type="noConversion"/>
  </si>
  <si>
    <t>陈慧群</t>
    <phoneticPr fontId="10" type="noConversion"/>
  </si>
  <si>
    <t>三峡威远</t>
    <phoneticPr fontId="10" type="noConversion"/>
  </si>
  <si>
    <t>电力通讯</t>
  </si>
  <si>
    <t>辽宁风电场D5000一区软件升级</t>
  </si>
  <si>
    <t>ZFMD/SD-17099-SH</t>
  </si>
  <si>
    <t>三峡新能源调兵山风电有限公司</t>
    <phoneticPr fontId="10" type="noConversion"/>
  </si>
  <si>
    <t>铁岭调兵山华仪+
三峡能源泉眼沟</t>
    <phoneticPr fontId="10" type="noConversion"/>
  </si>
  <si>
    <t>调兵山（华仪+泉眼沟）</t>
    <phoneticPr fontId="10" type="noConversion"/>
  </si>
  <si>
    <t>ZFMD/KGSQ-17021</t>
    <phoneticPr fontId="10" type="noConversion"/>
  </si>
  <si>
    <t>无</t>
    <phoneticPr fontId="10" type="noConversion"/>
  </si>
  <si>
    <t>汤原渠首</t>
    <phoneticPr fontId="10" type="noConversion"/>
  </si>
  <si>
    <t>ZFMD/SD-17101-SH</t>
  </si>
  <si>
    <t>ZFMD/SD-17102-SH</t>
  </si>
  <si>
    <t>ZFMD/SD-17103-SH</t>
  </si>
  <si>
    <t>ZFMD/SD-17104-SH</t>
  </si>
  <si>
    <t>ZFMD/SD-17105-SH</t>
  </si>
  <si>
    <t>ZFMD/SD-17100-SH</t>
    <phoneticPr fontId="10" type="noConversion"/>
  </si>
  <si>
    <t>黑龙江省新能源场站调度系统汤原渠首风电场理论功率子站合同</t>
    <phoneticPr fontId="10" type="noConversion"/>
  </si>
  <si>
    <t>华电</t>
    <phoneticPr fontId="10" type="noConversion"/>
  </si>
  <si>
    <t>黑龙江风电场理论功率上传软件；系统硬件</t>
    <phoneticPr fontId="10" type="noConversion"/>
  </si>
  <si>
    <t>韩志宇</t>
    <phoneticPr fontId="10" type="noConversion"/>
  </si>
  <si>
    <t>马梦迪</t>
    <phoneticPr fontId="10" type="noConversion"/>
  </si>
  <si>
    <t>2017.9.20</t>
    <phoneticPr fontId="10" type="noConversion"/>
  </si>
  <si>
    <t>虎林石青山</t>
    <phoneticPr fontId="10" type="noConversion"/>
  </si>
  <si>
    <t>ZFMD/KGSQ-17036</t>
    <phoneticPr fontId="10" type="noConversion"/>
  </si>
  <si>
    <t>ZFMD/KGSQ-17037</t>
  </si>
  <si>
    <t>ZFMD/KGSQ-17038</t>
  </si>
  <si>
    <t>ZFMD/KGSQ-17039</t>
  </si>
  <si>
    <t>ZFMD/KGSQ-17040</t>
  </si>
  <si>
    <t>ZFMD/KGSQ-17041</t>
  </si>
  <si>
    <t>七里嘎山</t>
    <phoneticPr fontId="10" type="noConversion"/>
  </si>
  <si>
    <t>前锋</t>
    <phoneticPr fontId="5" type="noConversion"/>
  </si>
  <si>
    <t>鸡冠山</t>
    <phoneticPr fontId="10" type="noConversion"/>
  </si>
  <si>
    <t>东宁瑞信</t>
    <phoneticPr fontId="5" type="noConversion"/>
  </si>
  <si>
    <t>瑞信</t>
  </si>
  <si>
    <t>绥阳</t>
  </si>
  <si>
    <t>穆棱十文字</t>
    <phoneticPr fontId="5" type="noConversion"/>
  </si>
  <si>
    <t>十文字</t>
    <phoneticPr fontId="10" type="noConversion"/>
  </si>
  <si>
    <t>黑龙江省新能源场站调度系统华电虎林石青山风电场理论功率子站合同</t>
    <phoneticPr fontId="10" type="noConversion"/>
  </si>
  <si>
    <t>黑龙江省新能源场站调度系统华电七里嘎山风电场理论功率子站合同</t>
    <phoneticPr fontId="10" type="noConversion"/>
  </si>
  <si>
    <t>七台河丰润风力发电有限公司</t>
    <phoneticPr fontId="10" type="noConversion"/>
  </si>
  <si>
    <t>黑龙江省新能源场站调度系统依兰鸡冠山风电场理论功率子站合同</t>
    <phoneticPr fontId="10" type="noConversion"/>
  </si>
  <si>
    <t>黑龙江省华富电力投资有限公司依兰分公司</t>
    <phoneticPr fontId="10" type="noConversion"/>
  </si>
  <si>
    <t>黑龙江省新能源场站调度系统东宁瑞信风电场理论功率子站合同</t>
    <phoneticPr fontId="10" type="noConversion"/>
  </si>
  <si>
    <t>黑龙江省华富电力投资有限公司东宁分公司</t>
    <phoneticPr fontId="10" type="noConversion"/>
  </si>
  <si>
    <t>东宁绥阳</t>
    <phoneticPr fontId="5" type="noConversion"/>
  </si>
  <si>
    <t>黑龙江省新能源场站调度系统东宁绥阳风电场理论功率子站合同</t>
    <phoneticPr fontId="10" type="noConversion"/>
  </si>
  <si>
    <t>黑龙江东宁华富风力发电有限责任公司</t>
    <phoneticPr fontId="10" type="noConversion"/>
  </si>
  <si>
    <t>黑龙江省新能源场站调度系统穆棱十文字风电场理论功率子站合同</t>
    <phoneticPr fontId="10" type="noConversion"/>
  </si>
  <si>
    <t>黑龙江华富风力发电穆棱有限责任公司</t>
    <phoneticPr fontId="10" type="noConversion"/>
  </si>
  <si>
    <t>电力通讯</t>
    <phoneticPr fontId="10" type="noConversion"/>
  </si>
  <si>
    <t>大唐绥滨吉成风电场综合通讯管理系统采购与更换合同</t>
    <phoneticPr fontId="10" type="noConversion"/>
  </si>
  <si>
    <t>大唐</t>
    <phoneticPr fontId="10" type="noConversion"/>
  </si>
  <si>
    <t>2017.9.27</t>
    <phoneticPr fontId="10" type="noConversion"/>
  </si>
  <si>
    <t>2017.9.14</t>
    <phoneticPr fontId="10" type="noConversion"/>
  </si>
  <si>
    <t>ZFMD/KGSQ-17082</t>
    <phoneticPr fontId="10" type="noConversion"/>
  </si>
  <si>
    <t xml:space="preserve">大唐绥滨新能源有限公司 </t>
    <phoneticPr fontId="1" type="noConversion"/>
  </si>
  <si>
    <t>ZFMD/SD-17106-SH</t>
    <phoneticPr fontId="10" type="noConversion"/>
  </si>
  <si>
    <t>ZFMD/SD-17107-SH</t>
    <phoneticPr fontId="10" type="noConversion"/>
  </si>
  <si>
    <t>ZFMD/SD-17108-SH</t>
    <phoneticPr fontId="10" type="noConversion"/>
  </si>
  <si>
    <t>ZFMD/SD-17109-SH</t>
    <phoneticPr fontId="10" type="noConversion"/>
  </si>
  <si>
    <t>ZFMD/KGSQ-17022</t>
    <phoneticPr fontId="10" type="noConversion"/>
  </si>
  <si>
    <t xml:space="preserve">大唐集贤太平风力发电有限公司 </t>
    <phoneticPr fontId="1" type="noConversion"/>
  </si>
  <si>
    <t xml:space="preserve">大唐华安（齐齐哈尔）风力发电有限公司 </t>
    <phoneticPr fontId="1" type="noConversion"/>
  </si>
  <si>
    <t>李妍</t>
    <phoneticPr fontId="10" type="noConversion"/>
  </si>
  <si>
    <t>太平</t>
    <phoneticPr fontId="10" type="noConversion"/>
  </si>
  <si>
    <t>集贤太平</t>
  </si>
  <si>
    <t>碾子山</t>
    <phoneticPr fontId="10" type="noConversion"/>
  </si>
  <si>
    <t>2017.10.9</t>
    <phoneticPr fontId="10" type="noConversion"/>
  </si>
  <si>
    <t>大唐集贤太平风电场理论功率等信息上传技术服务合同</t>
    <phoneticPr fontId="10" type="noConversion"/>
  </si>
  <si>
    <t>大唐齐齐哈尔碾子山风电场理论功率等信息上传技术服务合同</t>
    <phoneticPr fontId="10" type="noConversion"/>
  </si>
  <si>
    <t>ZFMD/KGSQ-17078</t>
    <phoneticPr fontId="10" type="noConversion"/>
  </si>
  <si>
    <t>2017.10.11</t>
    <phoneticPr fontId="10" type="noConversion"/>
  </si>
  <si>
    <t>2017.9.15</t>
    <phoneticPr fontId="10" type="noConversion"/>
  </si>
  <si>
    <t>五凌汝城电力有限公司</t>
    <phoneticPr fontId="10" type="noConversion"/>
  </si>
  <si>
    <t>汝城东岗岭风电场风功率预测通道及数据信息整改合同</t>
    <phoneticPr fontId="10" type="noConversion"/>
  </si>
  <si>
    <t>国电投</t>
    <phoneticPr fontId="10" type="noConversion"/>
  </si>
  <si>
    <t>汝城东岗岭</t>
    <phoneticPr fontId="10" type="noConversion"/>
  </si>
  <si>
    <t>东岗岭</t>
    <phoneticPr fontId="10" type="noConversion"/>
  </si>
  <si>
    <t>ZFMD/SD-17110-SH</t>
    <phoneticPr fontId="10" type="noConversion"/>
  </si>
  <si>
    <t>湖南风电场理论功率上传软件；系统硬件</t>
    <phoneticPr fontId="10" type="noConversion"/>
  </si>
  <si>
    <t>ZFMD/KGSQ-17025</t>
    <phoneticPr fontId="10" type="noConversion"/>
  </si>
  <si>
    <t>ZFMD/SD-17111-SH</t>
  </si>
  <si>
    <t>福煤大蚶山（莆田）风电有限公司</t>
    <phoneticPr fontId="10" type="noConversion"/>
  </si>
  <si>
    <t>莆田大蚶山风电场测风设备采购合同</t>
    <phoneticPr fontId="10" type="noConversion"/>
  </si>
  <si>
    <t>福能</t>
    <phoneticPr fontId="10" type="noConversion"/>
  </si>
  <si>
    <t>大蚶山</t>
    <phoneticPr fontId="10" type="noConversion"/>
  </si>
  <si>
    <t>无</t>
    <phoneticPr fontId="10" type="noConversion"/>
  </si>
  <si>
    <t>测风塔设备</t>
    <phoneticPr fontId="10" type="noConversion"/>
  </si>
  <si>
    <t>秦英飞</t>
    <phoneticPr fontId="10" type="noConversion"/>
  </si>
  <si>
    <t>2017.10.23</t>
    <phoneticPr fontId="10" type="noConversion"/>
  </si>
  <si>
    <t>2017.10.19</t>
    <phoneticPr fontId="10" type="noConversion"/>
  </si>
  <si>
    <t>风电功率预测</t>
    <phoneticPr fontId="10" type="noConversion"/>
  </si>
  <si>
    <t>ZFMD/SD-17112-SH</t>
  </si>
  <si>
    <t>国家电投集团宁夏能源铝业中卫新能源有限公司</t>
    <phoneticPr fontId="10" type="noConversion"/>
  </si>
  <si>
    <t>中卫香山第四风电场、中卫香山第六风电场</t>
    <phoneticPr fontId="10" type="noConversion"/>
  </si>
  <si>
    <t>杨振坤</t>
    <phoneticPr fontId="10" type="noConversion"/>
  </si>
  <si>
    <t>2017.11.3</t>
    <phoneticPr fontId="10" type="noConversion"/>
  </si>
  <si>
    <t>国家电投集团宁夏中卫香山第四、六风电场理论功率超短期预报上报省调项目技术服务合同</t>
    <phoneticPr fontId="10" type="noConversion"/>
  </si>
  <si>
    <t>ZFMD/SD-17113-SH</t>
  </si>
  <si>
    <t>ZFMD/SHFW-2017071</t>
    <phoneticPr fontId="10" type="noConversion"/>
  </si>
  <si>
    <t>中广核安丘风力发电有限公司</t>
    <phoneticPr fontId="10" type="noConversion"/>
  </si>
  <si>
    <t>中广核</t>
    <phoneticPr fontId="10" type="noConversion"/>
  </si>
  <si>
    <t>摘月中广</t>
  </si>
  <si>
    <t>安丘摘月山</t>
    <phoneticPr fontId="10" type="noConversion"/>
  </si>
  <si>
    <t>系统硬件</t>
    <phoneticPr fontId="10" type="noConversion"/>
  </si>
  <si>
    <t>于忠新</t>
    <phoneticPr fontId="10" type="noConversion"/>
  </si>
  <si>
    <t>ZFMD/KGSQ-17084</t>
    <phoneticPr fontId="18" type="noConversion"/>
  </si>
  <si>
    <t>华电</t>
    <phoneticPr fontId="18" type="noConversion"/>
  </si>
  <si>
    <t>内蒙古</t>
    <phoneticPr fontId="18" type="noConversion"/>
  </si>
  <si>
    <t>久和</t>
    <phoneticPr fontId="18" type="noConversion"/>
  </si>
  <si>
    <t>风机自动消防</t>
    <phoneticPr fontId="18" type="noConversion"/>
  </si>
  <si>
    <t>风机自动消防灭火装置</t>
    <phoneticPr fontId="18" type="noConversion"/>
  </si>
  <si>
    <t>2017.11.6</t>
    <phoneticPr fontId="10" type="noConversion"/>
  </si>
  <si>
    <t>内蒙古华电乌套海风电有限公司</t>
    <phoneticPr fontId="10" type="noConversion"/>
  </si>
  <si>
    <t>内蒙古华电乌套海风电有限公司风电机组电器柜气溶胶灭火装置采购合同</t>
    <phoneticPr fontId="10" type="noConversion"/>
  </si>
  <si>
    <t>天山电力达坂城风电场风电功率预测系统售后服务合同</t>
    <phoneticPr fontId="10" type="noConversion"/>
  </si>
  <si>
    <t>新疆天电达坂城风力发电有限责任公司</t>
    <phoneticPr fontId="10" type="noConversion"/>
  </si>
  <si>
    <t>天电西沟</t>
    <phoneticPr fontId="10" type="noConversion"/>
  </si>
  <si>
    <t>天山达坂城/达坂城</t>
    <phoneticPr fontId="10" type="noConversion"/>
  </si>
  <si>
    <t>天山电力</t>
    <phoneticPr fontId="5" type="noConversion"/>
  </si>
  <si>
    <t>ZFMD/SD-17115-SH</t>
    <phoneticPr fontId="10" type="noConversion"/>
  </si>
  <si>
    <t>ZFMD/SD-17116-SH</t>
    <phoneticPr fontId="10" type="noConversion"/>
  </si>
  <si>
    <t>王龙波</t>
    <phoneticPr fontId="10" type="noConversion"/>
  </si>
  <si>
    <t>2017.11.6</t>
    <phoneticPr fontId="10" type="noConversion"/>
  </si>
  <si>
    <t>2017.10.24</t>
    <phoneticPr fontId="10" type="noConversion"/>
  </si>
  <si>
    <t>风电AGC/AVC</t>
    <phoneticPr fontId="10" type="noConversion"/>
  </si>
  <si>
    <t>风电AVC软件</t>
    <phoneticPr fontId="10" type="noConversion"/>
  </si>
  <si>
    <t>宁夏风电场理论功率上传软件</t>
    <phoneticPr fontId="10" type="noConversion"/>
  </si>
  <si>
    <t>新疆达坂城风力发电有限责任公司达坂城风电项目AVC系统与CSC2000综自系统联调服务合同</t>
    <phoneticPr fontId="10" type="noConversion"/>
  </si>
  <si>
    <t>中卫香山第四风电场（中卫香山7-9期）中卫香山第六风电场（中卫香山10-13期）</t>
    <phoneticPr fontId="10" type="noConversion"/>
  </si>
  <si>
    <t>ZFMD/KGSQ-17083</t>
    <phoneticPr fontId="10" type="noConversion"/>
  </si>
  <si>
    <t>电力通讯</t>
    <phoneticPr fontId="18" type="noConversion"/>
  </si>
  <si>
    <t>黑龙江风电场综合通讯管理系统软件；系统硬件</t>
    <phoneticPr fontId="18" type="noConversion"/>
  </si>
  <si>
    <t>黑龙江</t>
    <phoneticPr fontId="18" type="noConversion"/>
  </si>
  <si>
    <t>福能</t>
  </si>
  <si>
    <t>黑龙江富龙风能科技开发有限责任公司
黑龙江富龙风力发电有限责任公司</t>
    <phoneticPr fontId="10" type="noConversion"/>
  </si>
  <si>
    <t>马梦迪</t>
    <phoneticPr fontId="10" type="noConversion"/>
  </si>
  <si>
    <t>乌尔古力</t>
    <phoneticPr fontId="18" type="noConversion"/>
  </si>
  <si>
    <t>五顶山</t>
  </si>
  <si>
    <t>采购订货单</t>
    <phoneticPr fontId="10" type="noConversion"/>
  </si>
  <si>
    <t xml:space="preserve">风电功率预测 </t>
    <phoneticPr fontId="5" type="noConversion"/>
  </si>
  <si>
    <t>黑龙江龙源新能源发展有限公司克东分公司</t>
    <phoneticPr fontId="5" type="noConversion"/>
  </si>
  <si>
    <t>ZFMD/SD-17118-SH</t>
  </si>
  <si>
    <t>中广核</t>
    <phoneticPr fontId="10" type="noConversion"/>
  </si>
  <si>
    <t>于忠新</t>
    <phoneticPr fontId="10" type="noConversion"/>
  </si>
  <si>
    <t>2017.11.8</t>
    <phoneticPr fontId="10" type="noConversion"/>
  </si>
  <si>
    <t>2017.10.30</t>
    <phoneticPr fontId="10" type="noConversion"/>
  </si>
  <si>
    <t>摘月中广</t>
    <phoneticPr fontId="10" type="noConversion"/>
  </si>
  <si>
    <t>ZFMD/SD-17119-SH</t>
  </si>
  <si>
    <t>华能哈密石城子光伏产业园20MWp并网发电工程电压控制(AVC)采购合同</t>
    <phoneticPr fontId="10" type="noConversion"/>
  </si>
  <si>
    <t>华能哈密风力发电有限公司</t>
    <phoneticPr fontId="10" type="noConversion"/>
  </si>
  <si>
    <t>华能</t>
    <phoneticPr fontId="10" type="noConversion"/>
  </si>
  <si>
    <t>光伏AGC/AVC</t>
    <phoneticPr fontId="10" type="noConversion"/>
  </si>
  <si>
    <t>光伏AVC软件；系统硬件</t>
    <phoneticPr fontId="10" type="noConversion"/>
  </si>
  <si>
    <t>王龙波</t>
    <phoneticPr fontId="10" type="noConversion"/>
  </si>
  <si>
    <t>2017.11.14</t>
    <phoneticPr fontId="10" type="noConversion"/>
  </si>
  <si>
    <t>哈密石城子</t>
    <phoneticPr fontId="10" type="noConversion"/>
  </si>
  <si>
    <t>无</t>
    <phoneticPr fontId="10" type="noConversion"/>
  </si>
  <si>
    <t>中广核安丘风力发电有限公司</t>
    <phoneticPr fontId="10" type="noConversion"/>
  </si>
  <si>
    <t>15003-2017</t>
    <phoneticPr fontId="18" type="noConversion"/>
  </si>
  <si>
    <t>华能哈密风力发电有限公司</t>
    <phoneticPr fontId="18" type="noConversion"/>
  </si>
  <si>
    <t>福煤大蚶山（莆田）风电有限公司</t>
  </si>
  <si>
    <t>15022-2017</t>
    <phoneticPr fontId="18" type="noConversion"/>
  </si>
  <si>
    <t>福能（漳州）风力发电有限责任公司</t>
  </si>
  <si>
    <t>华能</t>
    <phoneticPr fontId="18" type="noConversion"/>
  </si>
  <si>
    <t>大蚶山</t>
  </si>
  <si>
    <t>预测服务1年</t>
  </si>
  <si>
    <t>华能烟墩北风电一场</t>
  </si>
  <si>
    <t>隆教</t>
  </si>
  <si>
    <t>王龙波</t>
    <phoneticPr fontId="1" type="noConversion"/>
  </si>
  <si>
    <t>烟墩</t>
    <phoneticPr fontId="10" type="noConversion"/>
  </si>
  <si>
    <t>龙海隆教</t>
    <phoneticPr fontId="10" type="noConversion"/>
  </si>
  <si>
    <t>2017.01.01</t>
  </si>
  <si>
    <t>2017.12.31</t>
  </si>
  <si>
    <t>ZFMD/SD-17120-SH</t>
  </si>
  <si>
    <t>大唐华银银子山风电场风电功率预测系统理论功率子站系统采购合同</t>
    <phoneticPr fontId="10" type="noConversion"/>
  </si>
  <si>
    <t>大唐华银绥宁新能源有限公司</t>
    <phoneticPr fontId="10" type="noConversion"/>
  </si>
  <si>
    <t>大唐</t>
    <phoneticPr fontId="10" type="noConversion"/>
  </si>
  <si>
    <t>银子山</t>
    <phoneticPr fontId="10" type="noConversion"/>
  </si>
  <si>
    <t>湖南风电场理论功率上传软件</t>
    <phoneticPr fontId="18" type="noConversion"/>
  </si>
  <si>
    <t>秦英飞</t>
    <phoneticPr fontId="10" type="noConversion"/>
  </si>
  <si>
    <t>2017.11.20</t>
    <phoneticPr fontId="10" type="noConversion"/>
  </si>
  <si>
    <t>宝鼎山</t>
    <phoneticPr fontId="10" type="noConversion"/>
  </si>
  <si>
    <t>ZFMD/SD-17121-SH</t>
  </si>
  <si>
    <t>于忠新</t>
    <phoneticPr fontId="10" type="noConversion"/>
  </si>
  <si>
    <t>东营大唐</t>
    <phoneticPr fontId="10" type="noConversion"/>
  </si>
  <si>
    <t>东营</t>
    <phoneticPr fontId="10" type="noConversion"/>
  </si>
  <si>
    <t>ZFMD/KGSQ-17017
ZFMD/KGSQ-17018</t>
    <phoneticPr fontId="10" type="noConversion"/>
  </si>
  <si>
    <t>和平、兴隆新海</t>
    <phoneticPr fontId="10" type="noConversion"/>
  </si>
  <si>
    <t>街津山</t>
    <phoneticPr fontId="10" type="noConversion"/>
  </si>
  <si>
    <t>同江（街津山+临江江胜）</t>
    <phoneticPr fontId="10" type="noConversion"/>
  </si>
  <si>
    <t>华能</t>
    <phoneticPr fontId="10" type="noConversion"/>
  </si>
  <si>
    <t>大庆和平/大庆绿源、无</t>
    <phoneticPr fontId="10" type="noConversion"/>
  </si>
  <si>
    <t>郭文明</t>
    <phoneticPr fontId="10" type="noConversion"/>
  </si>
  <si>
    <t>2017.11.24</t>
    <phoneticPr fontId="10" type="noConversion"/>
  </si>
  <si>
    <t>华能同江风力发电有限公司</t>
    <phoneticPr fontId="10" type="noConversion"/>
  </si>
  <si>
    <t>大庆风电场上报理论发电功率和受阻电量信息上传工作服务合同</t>
    <phoneticPr fontId="10" type="noConversion"/>
  </si>
  <si>
    <t>同江风电场上报理论发电功率和受阻电量信息上传工作服务合同</t>
    <phoneticPr fontId="10" type="noConversion"/>
  </si>
  <si>
    <t>2017.11.6</t>
    <phoneticPr fontId="10" type="noConversion"/>
  </si>
  <si>
    <t>2017.9.18</t>
    <phoneticPr fontId="10" type="noConversion"/>
  </si>
  <si>
    <t>乌尔古力、五顶山风电场综合通讯管理系统合同</t>
    <phoneticPr fontId="10" type="noConversion"/>
  </si>
  <si>
    <t>华电吉林双辽风力发电有限公司</t>
    <phoneticPr fontId="10" type="noConversion"/>
  </si>
  <si>
    <t>华电双辽那木斯风电场风电功率预测系统技术服务合同</t>
    <phoneticPr fontId="10" type="noConversion"/>
  </si>
  <si>
    <t>华电吉林大安风力发电有限公司</t>
    <phoneticPr fontId="10" type="noConversion"/>
  </si>
  <si>
    <t>华电大安风水山风电场风电功率预测系统技术服务合同</t>
    <phoneticPr fontId="10" type="noConversion"/>
  </si>
  <si>
    <t>华电</t>
    <phoneticPr fontId="10" type="noConversion"/>
  </si>
  <si>
    <t>双辽那木斯</t>
    <phoneticPr fontId="10" type="noConversion"/>
  </si>
  <si>
    <t>风水山</t>
  </si>
  <si>
    <t>2017.11.27</t>
    <phoneticPr fontId="10" type="noConversion"/>
  </si>
  <si>
    <t>内蒙古华电秦天风电有限公司风电机组电气柜气溶胶灭火装置销售合同</t>
    <phoneticPr fontId="5" type="noConversion"/>
  </si>
  <si>
    <t>风机自动消防</t>
    <phoneticPr fontId="5" type="noConversion"/>
  </si>
  <si>
    <t>风机自动消防灭火装置</t>
    <phoneticPr fontId="10" type="noConversion"/>
  </si>
  <si>
    <t>冯涛</t>
    <phoneticPr fontId="10" type="noConversion"/>
  </si>
  <si>
    <t>ZFMD/SD-17124-SH</t>
    <phoneticPr fontId="10" type="noConversion"/>
  </si>
  <si>
    <t>ZFMD/SD-17125-SH</t>
    <phoneticPr fontId="10" type="noConversion"/>
  </si>
  <si>
    <t>那木斯</t>
    <phoneticPr fontId="10" type="noConversion"/>
  </si>
  <si>
    <t>大安/大安风水山</t>
    <phoneticPr fontId="10" type="noConversion"/>
  </si>
  <si>
    <t>大唐泽库风电场功率预测系统改IEC102规约接入D5000系统技术服务合同</t>
    <phoneticPr fontId="5" type="noConversion"/>
  </si>
  <si>
    <t>中广核摘月山风电场风功率预测系统技术服务合同</t>
    <phoneticPr fontId="10" type="noConversion"/>
  </si>
  <si>
    <t>王龙波</t>
    <phoneticPr fontId="10" type="noConversion"/>
  </si>
  <si>
    <t>2017.11.29</t>
    <phoneticPr fontId="10" type="noConversion"/>
  </si>
  <si>
    <t>2017.11.13</t>
    <phoneticPr fontId="10" type="noConversion"/>
  </si>
  <si>
    <t>烟墩</t>
    <phoneticPr fontId="10" type="noConversion"/>
  </si>
  <si>
    <t>中节能</t>
    <phoneticPr fontId="10" type="noConversion"/>
  </si>
  <si>
    <t>验收后一年</t>
    <phoneticPr fontId="10" type="noConversion"/>
  </si>
  <si>
    <t>中节能哈密烟墩风电场风功率预测系统改造服务合同</t>
    <phoneticPr fontId="10" type="noConversion"/>
  </si>
  <si>
    <t>中节能风力发电（哈密）有限公司</t>
    <phoneticPr fontId="10" type="noConversion"/>
  </si>
  <si>
    <t>ZFMD/KGSQ-17073</t>
    <phoneticPr fontId="10" type="noConversion"/>
  </si>
  <si>
    <t>山东大唐国际东营风电有限责任公司2台功率预测服务器采购合同</t>
    <phoneticPr fontId="10" type="noConversion"/>
  </si>
  <si>
    <t>山东大唐国际东营风电有限责任公司</t>
    <phoneticPr fontId="10" type="noConversion"/>
  </si>
  <si>
    <t>2017.11.30</t>
    <phoneticPr fontId="10" type="noConversion"/>
  </si>
  <si>
    <t>2017.11.22</t>
    <phoneticPr fontId="10" type="noConversion"/>
  </si>
  <si>
    <t>ZFMD/SD-17127-SH</t>
    <phoneticPr fontId="10" type="noConversion"/>
  </si>
  <si>
    <t>ZFMD/KGSQ-16063</t>
    <phoneticPr fontId="10" type="noConversion"/>
  </si>
  <si>
    <t>山东龙源风力发电有限公司</t>
    <phoneticPr fontId="10" type="noConversion"/>
  </si>
  <si>
    <t>龙源</t>
    <phoneticPr fontId="10" type="noConversion"/>
  </si>
  <si>
    <t>滨海龙源</t>
    <phoneticPr fontId="10" type="noConversion"/>
  </si>
  <si>
    <t>沾化</t>
    <phoneticPr fontId="10" type="noConversion"/>
  </si>
  <si>
    <t>华能定边狼尔沟集中式风功率预测系统测风塔设备采购合同书</t>
    <phoneticPr fontId="10" type="noConversion"/>
  </si>
  <si>
    <t>华能定边新能源发电有限公司</t>
    <phoneticPr fontId="10" type="noConversion"/>
  </si>
  <si>
    <t>华能</t>
    <phoneticPr fontId="10" type="noConversion"/>
  </si>
  <si>
    <t>贺圈</t>
    <phoneticPr fontId="10" type="noConversion"/>
  </si>
  <si>
    <t>狼尔沟</t>
    <phoneticPr fontId="10" type="noConversion"/>
  </si>
  <si>
    <t>测风塔；测风塔设备</t>
    <phoneticPr fontId="10" type="noConversion"/>
  </si>
  <si>
    <t>杨振坤</t>
    <phoneticPr fontId="10" type="noConversion"/>
  </si>
  <si>
    <t>ZFMD/KGSQ-16053</t>
    <phoneticPr fontId="10" type="noConversion"/>
  </si>
  <si>
    <t>2017.12.4</t>
    <phoneticPr fontId="10" type="noConversion"/>
  </si>
  <si>
    <t>2016.12.8</t>
    <phoneticPr fontId="10" type="noConversion"/>
  </si>
  <si>
    <t>ZFMD/SD-17130-SH</t>
  </si>
  <si>
    <t>河北华电尚义风力发电有限公司华锦光伏电站光功率预测系统技术服务合同</t>
    <phoneticPr fontId="10" type="noConversion"/>
  </si>
  <si>
    <t>河北华电尚义风力发电有限公司</t>
    <phoneticPr fontId="10" type="noConversion"/>
  </si>
  <si>
    <t>华电</t>
    <phoneticPr fontId="10" type="noConversion"/>
  </si>
  <si>
    <t>光伏功率预测</t>
    <phoneticPr fontId="10" type="noConversion"/>
  </si>
  <si>
    <t>王龙波</t>
    <phoneticPr fontId="10" type="noConversion"/>
  </si>
  <si>
    <t>2017.7.15</t>
    <phoneticPr fontId="10" type="noConversion"/>
  </si>
  <si>
    <t>2018.8.14</t>
    <phoneticPr fontId="10" type="noConversion"/>
  </si>
  <si>
    <t>2017.12.4</t>
    <phoneticPr fontId="10" type="noConversion"/>
  </si>
  <si>
    <t>尚义二工地</t>
    <phoneticPr fontId="10" type="noConversion"/>
  </si>
  <si>
    <t>预测服务1年</t>
    <phoneticPr fontId="10" type="noConversion"/>
  </si>
  <si>
    <t>二工地/华锦</t>
    <phoneticPr fontId="10" type="noConversion"/>
  </si>
  <si>
    <t>ZFMD/SD-17131-SH</t>
  </si>
  <si>
    <t>华能大庆新海风电场2017年度风电功率预测服务技术服务合同</t>
    <phoneticPr fontId="10" type="noConversion"/>
  </si>
  <si>
    <t>兴隆新海</t>
    <phoneticPr fontId="10" type="noConversion"/>
  </si>
  <si>
    <t>无</t>
    <phoneticPr fontId="10" type="noConversion"/>
  </si>
  <si>
    <t>预测服务3个月</t>
    <phoneticPr fontId="10" type="noConversion"/>
  </si>
  <si>
    <t>郭文明</t>
    <phoneticPr fontId="10" type="noConversion"/>
  </si>
  <si>
    <t>2017.12.6</t>
    <phoneticPr fontId="10" type="noConversion"/>
  </si>
  <si>
    <t>2017.10.17</t>
    <phoneticPr fontId="10" type="noConversion"/>
  </si>
  <si>
    <t>ZFMD/SD-17132-SH</t>
  </si>
  <si>
    <t>2017.12.6</t>
    <phoneticPr fontId="10" type="noConversion"/>
  </si>
  <si>
    <t>2018.1.1</t>
    <phoneticPr fontId="10" type="noConversion"/>
  </si>
  <si>
    <t>2018.12.31</t>
    <phoneticPr fontId="10" type="noConversion"/>
  </si>
  <si>
    <t>风电功率预测系统服务合同书</t>
    <phoneticPr fontId="5" type="noConversion"/>
  </si>
  <si>
    <t>合同变更号</t>
    <phoneticPr fontId="10" type="noConversion"/>
  </si>
  <si>
    <t>ZFMD/SHFW-2017074</t>
    <phoneticPr fontId="10" type="noConversion"/>
  </si>
  <si>
    <t>桦南/桦南大架子山</t>
    <phoneticPr fontId="10" type="noConversion"/>
  </si>
  <si>
    <t>大唐桦南大架子山风电场综合通讯管理系统更换采购合同</t>
    <phoneticPr fontId="10" type="noConversion"/>
  </si>
  <si>
    <t>2017.12.8</t>
    <phoneticPr fontId="10" type="noConversion"/>
  </si>
  <si>
    <t>2017.12.4</t>
    <phoneticPr fontId="10" type="noConversion"/>
  </si>
  <si>
    <t>复印件</t>
    <phoneticPr fontId="10" type="noConversion"/>
  </si>
  <si>
    <t>原件</t>
    <phoneticPr fontId="10" type="noConversion"/>
  </si>
  <si>
    <t>ZFMD/KGSQ-17097</t>
    <phoneticPr fontId="10" type="noConversion"/>
  </si>
  <si>
    <t>ZFMD/SD-17134-SH</t>
  </si>
  <si>
    <t>ZFMD/SHFW-2017011</t>
    <phoneticPr fontId="10" type="noConversion"/>
  </si>
  <si>
    <t>阳城子</t>
    <phoneticPr fontId="10" type="noConversion"/>
  </si>
  <si>
    <t>宣化/宣化风光互补</t>
    <phoneticPr fontId="10" type="noConversion"/>
  </si>
  <si>
    <t>系统硬件</t>
    <phoneticPr fontId="10" type="noConversion"/>
  </si>
  <si>
    <t>2017.12.12</t>
    <phoneticPr fontId="10" type="noConversion"/>
  </si>
  <si>
    <t>2017.11.29</t>
    <phoneticPr fontId="10" type="noConversion"/>
  </si>
  <si>
    <t>山东龙源滨海风电场功率预测系统防火墙维护服务合同</t>
    <phoneticPr fontId="10" type="noConversion"/>
  </si>
  <si>
    <t>滨海龙源</t>
    <phoneticPr fontId="10" type="noConversion"/>
  </si>
  <si>
    <t xml:space="preserve">风电功率预测 </t>
    <phoneticPr fontId="5" type="noConversion"/>
  </si>
  <si>
    <t>沾化</t>
    <phoneticPr fontId="10" type="noConversion"/>
  </si>
  <si>
    <t>山东龙源滨海风电场功率预测系统改IEC102规约接入D5000系统技术服务合同</t>
    <phoneticPr fontId="10" type="noConversion"/>
  </si>
  <si>
    <t>哈尔滨世纪祥云清洁能源股份有限公司</t>
    <phoneticPr fontId="10" type="noConversion"/>
  </si>
  <si>
    <t>中广核</t>
    <phoneticPr fontId="10" type="noConversion"/>
  </si>
  <si>
    <t>大庆红骥</t>
    <phoneticPr fontId="10" type="noConversion"/>
  </si>
  <si>
    <t>ZFMD/KGSQ-17007</t>
    <phoneticPr fontId="5" type="noConversion"/>
  </si>
  <si>
    <t>ZFMD/SD-17136-SH</t>
  </si>
  <si>
    <t>大唐</t>
    <phoneticPr fontId="10" type="noConversion"/>
  </si>
  <si>
    <t>免费一年</t>
    <phoneticPr fontId="10" type="noConversion"/>
  </si>
  <si>
    <t>哈密市东方民生太阳能源开发有限公司</t>
  </si>
  <si>
    <t>哈密力诺太阳能电力有限公司</t>
  </si>
  <si>
    <t>新疆华电淖毛湖风电有限责任公司</t>
  </si>
  <si>
    <t>伊吾东方民生新能源有限公司</t>
  </si>
  <si>
    <t>新疆华电十三间房风电有限责任公司</t>
  </si>
  <si>
    <t>新疆华电苦水风电有限责任公司</t>
  </si>
  <si>
    <t>巴里坤东方民生新能源有限公司</t>
  </si>
  <si>
    <t>华电</t>
  </si>
  <si>
    <t>新疆</t>
  </si>
  <si>
    <t>光伏功率预测</t>
    <phoneticPr fontId="10" type="noConversion"/>
  </si>
  <si>
    <t>风电功率预测</t>
    <phoneticPr fontId="10" type="noConversion"/>
  </si>
  <si>
    <t>ZFMD/SD-17137-SH</t>
  </si>
  <si>
    <t>ZFMD/SD-17138-SH</t>
  </si>
  <si>
    <t>ZFMD/SD-17139-SH</t>
  </si>
  <si>
    <t>ZFMD/SD-17140-SH</t>
  </si>
  <si>
    <t>ZFMD/SD-17141-SH</t>
  </si>
  <si>
    <t>ZFMD/SD-17142-SH</t>
  </si>
  <si>
    <t>ZFMD/SD-17143-SH</t>
  </si>
  <si>
    <t>ZFMD/SD-17144-SH</t>
  </si>
  <si>
    <t>ZFMD/SD-17145-SH</t>
  </si>
  <si>
    <t>2017.1.1</t>
    <phoneticPr fontId="10" type="noConversion"/>
  </si>
  <si>
    <t>2017.12.31</t>
    <phoneticPr fontId="10" type="noConversion"/>
  </si>
  <si>
    <t>东方民生石城子</t>
    <phoneticPr fontId="10" type="noConversion"/>
  </si>
  <si>
    <t>力诺石城子光伏一电站</t>
    <phoneticPr fontId="10" type="noConversion"/>
  </si>
  <si>
    <t>东方民生淖毛湖</t>
    <phoneticPr fontId="10" type="noConversion"/>
  </si>
  <si>
    <t>伊吾淖毛湖</t>
    <phoneticPr fontId="10" type="noConversion"/>
  </si>
  <si>
    <t>华电嘉利二场</t>
    <phoneticPr fontId="10" type="noConversion"/>
  </si>
  <si>
    <t>华电苦水东风电一场</t>
    <phoneticPr fontId="10" type="noConversion"/>
  </si>
  <si>
    <t>哈密苦水</t>
    <phoneticPr fontId="10" type="noConversion"/>
  </si>
  <si>
    <t>石城子三期</t>
    <phoneticPr fontId="10" type="noConversion"/>
  </si>
  <si>
    <t>华电石城子光伏二电站</t>
    <phoneticPr fontId="10" type="noConversion"/>
  </si>
  <si>
    <t>华电石城子光伏电站</t>
    <phoneticPr fontId="10" type="noConversion"/>
  </si>
  <si>
    <t>石城子一二期</t>
    <phoneticPr fontId="10" type="noConversion"/>
  </si>
  <si>
    <t>力诺石城子</t>
    <phoneticPr fontId="10" type="noConversion"/>
  </si>
  <si>
    <t>国家电投集团广西兴安风电有限公司</t>
    <phoneticPr fontId="10" type="noConversion"/>
  </si>
  <si>
    <t>国电投</t>
    <phoneticPr fontId="10" type="noConversion"/>
  </si>
  <si>
    <t>坵坪</t>
    <phoneticPr fontId="10" type="noConversion"/>
  </si>
  <si>
    <t>广西兴安10个风场/110KV头岭升压站/220KV坵坪升压站</t>
    <phoneticPr fontId="10" type="noConversion"/>
  </si>
  <si>
    <t>建模扩容</t>
    <phoneticPr fontId="10" type="noConversion"/>
  </si>
  <si>
    <t>秦英飞</t>
    <phoneticPr fontId="10" type="noConversion"/>
  </si>
  <si>
    <t>ZFMD/SD-17146-SH</t>
    <phoneticPr fontId="10" type="noConversion"/>
  </si>
  <si>
    <t>ZFMD/SD-17147-SH</t>
  </si>
  <si>
    <t>/</t>
    <phoneticPr fontId="10" type="noConversion"/>
  </si>
  <si>
    <t>宁德虎贝</t>
    <phoneticPr fontId="10" type="noConversion"/>
  </si>
  <si>
    <t>无</t>
    <phoneticPr fontId="10" type="noConversion"/>
  </si>
  <si>
    <t>福建省电力勘测设计院</t>
    <phoneticPr fontId="10" type="noConversion"/>
  </si>
  <si>
    <t>2017.12.13</t>
    <phoneticPr fontId="10" type="noConversion"/>
  </si>
  <si>
    <t>2017.10.22</t>
    <phoneticPr fontId="10" type="noConversion"/>
  </si>
  <si>
    <t>短期软件；超短期软件；系统硬件；测风塔；测风塔设备；预测服务1年</t>
    <phoneticPr fontId="10" type="noConversion"/>
  </si>
  <si>
    <t>宁德虎贝风电场总承包工程测风塔气象信息采集系统及风功率预测系统采购合同</t>
    <phoneticPr fontId="10" type="noConversion"/>
  </si>
  <si>
    <t>测风塔设备</t>
    <phoneticPr fontId="10" type="noConversion"/>
  </si>
  <si>
    <t>王国先</t>
    <phoneticPr fontId="10" type="noConversion"/>
  </si>
  <si>
    <t>ZFMD/SD-17151-SH</t>
  </si>
  <si>
    <t>华能</t>
    <phoneticPr fontId="21" type="noConversion"/>
  </si>
  <si>
    <t>黑龙江</t>
    <phoneticPr fontId="21" type="noConversion"/>
  </si>
  <si>
    <t>光伏功率预测</t>
    <phoneticPr fontId="21" type="noConversion"/>
  </si>
  <si>
    <t>短期软件；超短期软件；系统硬件；光伏气象站；光伏气象站设备；预测服务1年</t>
    <phoneticPr fontId="21" type="noConversion"/>
  </si>
  <si>
    <t>大庆双榆</t>
    <phoneticPr fontId="10" type="noConversion"/>
  </si>
  <si>
    <t>郭文明</t>
    <phoneticPr fontId="10" type="noConversion"/>
  </si>
  <si>
    <t>马梦迪</t>
    <phoneticPr fontId="10" type="noConversion"/>
  </si>
  <si>
    <t>2017.12.15</t>
    <phoneticPr fontId="10" type="noConversion"/>
  </si>
  <si>
    <t>2017.12.4</t>
    <phoneticPr fontId="10" type="noConversion"/>
  </si>
  <si>
    <t>南京南瑞继保工程技术有限公司</t>
    <phoneticPr fontId="10" type="noConversion"/>
  </si>
  <si>
    <t>ZFMD/KGSQ-17080</t>
  </si>
  <si>
    <t>大庆双榆光伏电站采购协议</t>
    <phoneticPr fontId="10" type="noConversion"/>
  </si>
  <si>
    <t>王龙波</t>
    <phoneticPr fontId="10" type="noConversion"/>
  </si>
  <si>
    <t>ZFMD/SHFW-2017051</t>
    <phoneticPr fontId="5" type="noConversion"/>
  </si>
  <si>
    <t>建模扩容；预测服务1年</t>
    <phoneticPr fontId="21" type="noConversion"/>
  </si>
  <si>
    <t>2017.12.8</t>
    <phoneticPr fontId="10" type="noConversion"/>
  </si>
  <si>
    <t>华能</t>
    <phoneticPr fontId="21" type="noConversion"/>
  </si>
  <si>
    <t>光伏功率预测</t>
    <phoneticPr fontId="21" type="noConversion"/>
  </si>
  <si>
    <t>短期软件；超短期软件；系统硬件；光伏气象站；光伏气象站设备；预测服务1年</t>
    <phoneticPr fontId="21" type="noConversion"/>
  </si>
  <si>
    <t>肇东德昌光伏电站采购协议</t>
    <phoneticPr fontId="10" type="noConversion"/>
  </si>
  <si>
    <t>ZFMD/KGSQ-17079</t>
    <phoneticPr fontId="10" type="noConversion"/>
  </si>
  <si>
    <t>肇东德昌</t>
    <phoneticPr fontId="21" type="noConversion"/>
  </si>
  <si>
    <t>阳城子</t>
    <phoneticPr fontId="10" type="noConversion"/>
  </si>
  <si>
    <t>ZFMD/KGSQ-17048</t>
    <phoneticPr fontId="10" type="noConversion"/>
  </si>
  <si>
    <t>三峡新能源黑龙江省泰来汤池光伏电站（9.9MWp）工程2017年理论功率子站接入系统技术服务合同</t>
    <phoneticPr fontId="10" type="noConversion"/>
  </si>
  <si>
    <t>三峡新能源</t>
    <phoneticPr fontId="10" type="noConversion"/>
  </si>
  <si>
    <t>泰来</t>
    <phoneticPr fontId="10" type="noConversion"/>
  </si>
  <si>
    <t>泰来汤池/泰来光伏</t>
    <phoneticPr fontId="10" type="noConversion"/>
  </si>
  <si>
    <t>黑龙江光伏电站理论功率上传软件；系统硬件</t>
    <phoneticPr fontId="10" type="noConversion"/>
  </si>
  <si>
    <t>韩志宇</t>
    <phoneticPr fontId="10" type="noConversion"/>
  </si>
  <si>
    <t>马梦迪</t>
    <phoneticPr fontId="10" type="noConversion"/>
  </si>
  <si>
    <t>2017.12.19</t>
    <phoneticPr fontId="10" type="noConversion"/>
  </si>
  <si>
    <t>韩志宇</t>
    <phoneticPr fontId="10" type="noConversion"/>
  </si>
  <si>
    <t>马梦迪</t>
    <phoneticPr fontId="10" type="noConversion"/>
  </si>
  <si>
    <t>2017.12.20</t>
    <phoneticPr fontId="10" type="noConversion"/>
  </si>
  <si>
    <t>2017.11.11</t>
    <phoneticPr fontId="10" type="noConversion"/>
  </si>
  <si>
    <t>短期软件；超短期软件；系统硬件；测风塔；测风塔设备；预测服务1年</t>
    <phoneticPr fontId="10" type="noConversion"/>
  </si>
  <si>
    <t>大唐托克逊风电开发有限公司</t>
    <phoneticPr fontId="10" type="noConversion"/>
  </si>
  <si>
    <t>大唐托克逊风电开发有限公司托克逊风电场风功率预测系统改造服务合同</t>
    <phoneticPr fontId="10" type="noConversion"/>
  </si>
  <si>
    <t>托克逊</t>
    <phoneticPr fontId="10" type="noConversion"/>
  </si>
  <si>
    <t>ZFMD/SD-17153-SH</t>
  </si>
  <si>
    <t>华能江西清洁能源有限责任公司</t>
    <phoneticPr fontId="10" type="noConversion"/>
  </si>
  <si>
    <t>秦英飞</t>
    <phoneticPr fontId="10" type="noConversion"/>
  </si>
  <si>
    <t>汝城东岗岭风电场风电场测风设备采购合同</t>
    <phoneticPr fontId="5" type="noConversion"/>
  </si>
  <si>
    <t>2017.12.26</t>
    <phoneticPr fontId="10" type="noConversion"/>
  </si>
  <si>
    <t>ZFMD/SHFW-2017085</t>
    <phoneticPr fontId="5" type="noConversion"/>
  </si>
  <si>
    <t>ZFMD/SD-17020-SH</t>
    <phoneticPr fontId="10" type="noConversion"/>
  </si>
  <si>
    <t>ZFMD/SD-17155-SH</t>
  </si>
  <si>
    <t>大唐集贤太平风电场风电功率预测</t>
    <phoneticPr fontId="10" type="noConversion"/>
  </si>
  <si>
    <t>大唐集贤太平风电场风电功率预测服务技术服务合同</t>
    <phoneticPr fontId="10" type="noConversion"/>
  </si>
  <si>
    <t>集贤太平</t>
    <phoneticPr fontId="10" type="noConversion"/>
  </si>
  <si>
    <t>ZFMD/KGSQ-17047</t>
    <phoneticPr fontId="10" type="noConversion"/>
  </si>
  <si>
    <t>富裕光伏</t>
    <phoneticPr fontId="10" type="noConversion"/>
  </si>
  <si>
    <t>三峡新能源</t>
    <phoneticPr fontId="10" type="noConversion"/>
  </si>
  <si>
    <t>大唐齐齐哈尔碾子山风电场风电功率预测服务技术服务合同</t>
    <phoneticPr fontId="10" type="noConversion"/>
  </si>
  <si>
    <t>三峡新能源黑龙江省富裕友谊光伏电站（20MWp）工程2017年理论功率子站接入系统技术服务合同</t>
    <phoneticPr fontId="10" type="noConversion"/>
  </si>
  <si>
    <t>2017.12.28</t>
    <phoneticPr fontId="10" type="noConversion"/>
  </si>
  <si>
    <t>2017.12.26</t>
    <phoneticPr fontId="10" type="noConversion"/>
  </si>
  <si>
    <t>黑龙江风电场理论功率上传软件；系统硬件</t>
  </si>
  <si>
    <t>ZFMD/SD-17154-SH</t>
    <phoneticPr fontId="10" type="noConversion"/>
  </si>
  <si>
    <t>三峡新能源黑龙江省伊春老白山风电场（51MW）工程2017年理论功率子站接入系统技术服务合同</t>
    <phoneticPr fontId="10" type="noConversion"/>
  </si>
  <si>
    <t>ZFMD/KGSQ-17045</t>
    <phoneticPr fontId="10" type="noConversion"/>
  </si>
  <si>
    <t>伊春美林老白山</t>
    <phoneticPr fontId="10" type="noConversion"/>
  </si>
  <si>
    <t>美林</t>
    <phoneticPr fontId="10" type="noConversion"/>
  </si>
  <si>
    <t>已开</t>
    <phoneticPr fontId="22" type="noConversion"/>
  </si>
  <si>
    <t>未开</t>
    <phoneticPr fontId="22" type="noConversion"/>
  </si>
  <si>
    <t>富裕友谊</t>
    <phoneticPr fontId="10" type="noConversion"/>
  </si>
  <si>
    <t>ZFMD/SD-17022-SH</t>
    <phoneticPr fontId="10" type="noConversion"/>
  </si>
  <si>
    <t>ZFMD/SD-17091-SH</t>
    <phoneticPr fontId="10" type="noConversion"/>
  </si>
  <si>
    <t>ZFMD/KGSQ-17060</t>
    <phoneticPr fontId="10" type="noConversion"/>
  </si>
  <si>
    <t>华能蒋公岭风电场风电功率预测系统服务合同书</t>
    <phoneticPr fontId="5" type="noConversion"/>
  </si>
  <si>
    <t>蒋公岭一期</t>
    <phoneticPr fontId="10" type="noConversion"/>
  </si>
  <si>
    <t>蒋公岭（一期、二期）</t>
    <phoneticPr fontId="10" type="noConversion"/>
  </si>
  <si>
    <t>2018.1.2</t>
    <phoneticPr fontId="10" type="noConversion"/>
  </si>
  <si>
    <t>国电投</t>
  </si>
  <si>
    <t>国电投广西兴安风电有限公司</t>
  </si>
  <si>
    <t>国电投广西兴安风电有限公司风功率预测系统采购补充合同文件</t>
  </si>
  <si>
    <t>国电投宣化新能源发电有限公司</t>
  </si>
  <si>
    <t>国电投广西兴安10个风电场工程风功率预测系统采购补充合同</t>
  </si>
  <si>
    <t>国电投宣化风光互补采购协议</t>
  </si>
  <si>
    <t>亚洲电力</t>
    <phoneticPr fontId="5" type="noConversion"/>
  </si>
  <si>
    <t>ZFMD/SD-18001-SH</t>
    <phoneticPr fontId="5" type="noConversion"/>
  </si>
  <si>
    <t>国家电投集团广西兴安风电有限公司</t>
    <phoneticPr fontId="1" type="noConversion"/>
  </si>
  <si>
    <t>预测服务2年</t>
    <phoneticPr fontId="1" type="noConversion"/>
  </si>
  <si>
    <t>国家电投集团广西兴安坵坪风电场风功率预测系统服务合同书</t>
    <phoneticPr fontId="1" type="noConversion"/>
  </si>
  <si>
    <t>国电投</t>
    <phoneticPr fontId="1" type="noConversion"/>
  </si>
  <si>
    <t>坵坪</t>
    <phoneticPr fontId="1" type="noConversion"/>
  </si>
  <si>
    <t>广西兴安10个风场/110KV头岭升压站/220KV坵坪升压站</t>
    <phoneticPr fontId="1" type="noConversion"/>
  </si>
  <si>
    <t>霞浦廷亭</t>
    <phoneticPr fontId="1" type="noConversion"/>
  </si>
  <si>
    <t>17036-2018</t>
    <phoneticPr fontId="1" type="noConversion"/>
  </si>
  <si>
    <t>隆教</t>
    <phoneticPr fontId="1" type="noConversion"/>
  </si>
  <si>
    <t>大蚶山</t>
    <phoneticPr fontId="1" type="noConversion"/>
  </si>
  <si>
    <t>风电功率预测</t>
    <phoneticPr fontId="1" type="noConversion"/>
  </si>
  <si>
    <t>/</t>
    <phoneticPr fontId="5" type="noConversion"/>
  </si>
  <si>
    <t>王龙波</t>
    <phoneticPr fontId="1" type="noConversion"/>
  </si>
  <si>
    <t>2018.1.8</t>
    <phoneticPr fontId="22" type="noConversion"/>
  </si>
  <si>
    <t>中节能风力发电（哈密）有限公司</t>
    <phoneticPr fontId="22" type="noConversion"/>
  </si>
  <si>
    <t>中节能</t>
    <phoneticPr fontId="22" type="noConversion"/>
  </si>
  <si>
    <t>哈密景峡</t>
    <phoneticPr fontId="22" type="noConversion"/>
  </si>
  <si>
    <t>无</t>
    <phoneticPr fontId="22" type="noConversion"/>
  </si>
  <si>
    <t>ZFMD/KGSQ-18001</t>
    <phoneticPr fontId="5" type="noConversion"/>
  </si>
  <si>
    <t>大庆银浪风电场(49.6MW)测风塔设备采购及安装调试合同</t>
    <phoneticPr fontId="10" type="noConversion"/>
  </si>
  <si>
    <t>2017.8.25开具金额为45000元的履约保函，保函到期时间2018.2.28，有效期为6个月</t>
    <phoneticPr fontId="10" type="noConversion"/>
  </si>
  <si>
    <t>ZFMD/SD-18003-SH</t>
    <phoneticPr fontId="5" type="noConversion"/>
  </si>
  <si>
    <t>ZFMD/KGSQ-17046</t>
    <phoneticPr fontId="5" type="noConversion"/>
  </si>
  <si>
    <t>三峡新能源黑龙江省伊春乌伊岭阿廷河风电场（49.5MW）工程2017年理论功率子站接入系统技术服务合同</t>
    <phoneticPr fontId="22" type="noConversion"/>
  </si>
  <si>
    <t>伊春华宇电力新能源有限公司</t>
    <phoneticPr fontId="22" type="noConversion"/>
  </si>
  <si>
    <t>三峡新能源</t>
    <phoneticPr fontId="22" type="noConversion"/>
  </si>
  <si>
    <t>黑龙江</t>
    <phoneticPr fontId="22" type="noConversion"/>
  </si>
  <si>
    <t>阿廷河</t>
    <phoneticPr fontId="22" type="noConversion"/>
  </si>
  <si>
    <t>乌伊岭阿廷河</t>
    <phoneticPr fontId="22" type="noConversion"/>
  </si>
  <si>
    <t>电力通讯</t>
    <phoneticPr fontId="22" type="noConversion"/>
  </si>
  <si>
    <t>韩志宇</t>
    <phoneticPr fontId="22" type="noConversion"/>
  </si>
  <si>
    <t>马梦迪</t>
    <phoneticPr fontId="22" type="noConversion"/>
  </si>
  <si>
    <t>2018.1.11</t>
    <phoneticPr fontId="22" type="noConversion"/>
  </si>
  <si>
    <t>2018.1.6</t>
    <phoneticPr fontId="22" type="noConversion"/>
  </si>
  <si>
    <t>中航龙腾风力发电有限公司</t>
  </si>
  <si>
    <t>ZFMD/SD-16002-SH</t>
  </si>
  <si>
    <t>华电福新新疆木垒能源有限公司</t>
  </si>
  <si>
    <t>ZFMD/SD-16003-SH</t>
  </si>
  <si>
    <t>义县天润风电有限公司</t>
  </si>
  <si>
    <t>ZFMD/SD-16004-SH</t>
  </si>
  <si>
    <t>大唐依兰风力发电有限公司</t>
  </si>
  <si>
    <t>ZFMD/SD-16005-SH</t>
  </si>
  <si>
    <t>ZFMD/SD-16006-SH</t>
  </si>
  <si>
    <t>大唐桦南风力发电有限公司</t>
  </si>
  <si>
    <t>ZFMD/SD-16007-SH</t>
  </si>
  <si>
    <t>大唐桦川风力发电有限公司</t>
  </si>
  <si>
    <t>ZFMD/SD-16008-SH</t>
  </si>
  <si>
    <t>大唐集贤风力发电有限公司</t>
  </si>
  <si>
    <t>ZFMD/SD-16009-SH</t>
  </si>
  <si>
    <t xml:space="preserve">大唐绥滨新能源有限公司 </t>
  </si>
  <si>
    <t>ZFMD/SD-16010-SH</t>
  </si>
  <si>
    <t>大唐集贤太平风力发电有限公司</t>
  </si>
  <si>
    <t>ZFMD/SD-16011-SH</t>
  </si>
  <si>
    <t>大唐华安（齐齐哈尔）风力发电有限公司</t>
  </si>
  <si>
    <t>ZFMD/SD-16012-SH</t>
  </si>
  <si>
    <t>ZFMD/SD-16013-SH</t>
  </si>
  <si>
    <t>ZFMD/SD-16014-SH</t>
  </si>
  <si>
    <t>ZFMD/SD-16015-SH</t>
  </si>
  <si>
    <t>中电投广西金紫山风电有限公司</t>
  </si>
  <si>
    <t>ZFMD/SD-16016-SH</t>
  </si>
  <si>
    <t>ZFMD/SD-16017-SH</t>
  </si>
  <si>
    <t>ZFMD/SD-16018-SH</t>
  </si>
  <si>
    <t>ZFMD/SD-16019-SH</t>
  </si>
  <si>
    <t>ZFMD/SD-16021-SH</t>
  </si>
  <si>
    <t>ZFMD/SD-16022-SH</t>
  </si>
  <si>
    <t>ZFMD/SD-16023-SH</t>
  </si>
  <si>
    <t>ZFMD/SD-16024-SH</t>
  </si>
  <si>
    <t>ZFMD/SD-16025-SH</t>
  </si>
  <si>
    <t>ZFMD/SD-16026-SH</t>
  </si>
  <si>
    <t>福能（龙海）风力发电有限责任有限公司</t>
  </si>
  <si>
    <t>ZFMD/SD-16027-SH</t>
  </si>
  <si>
    <t>ZFMD/SD-16028-SH</t>
  </si>
  <si>
    <t>福煤（仙游）风力发电有限责任公司</t>
  </si>
  <si>
    <t>ZFMD/SD-16029-SH</t>
  </si>
  <si>
    <t>ZFMD/SD-16030-SH</t>
  </si>
  <si>
    <t>ZFMD/KGSQ-16010</t>
  </si>
  <si>
    <t>ZFMD/SD-16031-SH</t>
  </si>
  <si>
    <t>ZFMD/SD-16032-SH</t>
  </si>
  <si>
    <t>ZFMD/SD-16033-SH</t>
  </si>
  <si>
    <t>ZFMD/SD-16034-SH</t>
  </si>
  <si>
    <t>ZFMD/SD-16035-SH</t>
  </si>
  <si>
    <t>ZFMD/SD-16036-SH</t>
  </si>
  <si>
    <t>华电虎林风力发电有限公司</t>
  </si>
  <si>
    <t>ZFMD/SD-16037-SH</t>
  </si>
  <si>
    <t>七台河宏浩风力发电有限公司</t>
  </si>
  <si>
    <t>ZFMD/SD-16038-SH</t>
  </si>
  <si>
    <t>华电汤原风力发电有限公司</t>
  </si>
  <si>
    <t>ZFMD/SD-16040-SH</t>
  </si>
  <si>
    <t>ZFMD/SD-16041-SH</t>
  </si>
  <si>
    <t>ZFMD/SD-16042-SH</t>
  </si>
  <si>
    <t>ZFMD/SD-16043-SH</t>
  </si>
  <si>
    <t>ZFMD/SD-16044-SH</t>
  </si>
  <si>
    <t>ZFMD/SD-16045-SH</t>
  </si>
  <si>
    <t>ZFMD/SD-16046-SH</t>
  </si>
  <si>
    <t>ZFMD/SD-16047-SH</t>
  </si>
  <si>
    <t>ZFMD/SD-16048-SH</t>
  </si>
  <si>
    <t>ZFMD/SD-16049-SH</t>
  </si>
  <si>
    <t>ZFMD/SD-16050-SH</t>
  </si>
  <si>
    <t>ZFMD/SD-16051-SH</t>
  </si>
  <si>
    <t>ZFMD/SD-16052-SH</t>
  </si>
  <si>
    <t>ZFMD/SD-16053-SH</t>
  </si>
  <si>
    <t>ZFMD/SD-16054-SH</t>
  </si>
  <si>
    <t>ZFMD/SD-16056-SH</t>
  </si>
  <si>
    <t>ZFMD/SD-16057-SH</t>
  </si>
  <si>
    <t>ZFMD/SD-16058-SH</t>
  </si>
  <si>
    <t>ZFMD/SD-16059-SH</t>
  </si>
  <si>
    <t>ZFMD/SD-16060-SH</t>
  </si>
  <si>
    <t>ZFMD/SD-16061-SH</t>
  </si>
  <si>
    <t>ZFMD/SD-16062-SH</t>
  </si>
  <si>
    <t>ZFMD/SD-16063-SH</t>
  </si>
  <si>
    <t>ZFMD/SD-16064-SH</t>
  </si>
  <si>
    <t>ZFMD/SD-16065-SH</t>
  </si>
  <si>
    <t>ZFMD/SD-16066-SH</t>
  </si>
  <si>
    <t>ZFMD/SD-16067-SH</t>
  </si>
  <si>
    <t>ZFMD/SD-16068-SH</t>
  </si>
  <si>
    <t>ZFMD/SD-16069-SH</t>
  </si>
  <si>
    <t>湘电风能有限公司</t>
  </si>
  <si>
    <t>ZFMD/SD-16070-SH</t>
  </si>
  <si>
    <t>ZFMD/SD-16071-SH</t>
  </si>
  <si>
    <t>ZFMD/KGSQ-16034</t>
  </si>
  <si>
    <t>ZFMD/SD-16074-SH</t>
  </si>
  <si>
    <t>三峡新能源朝阳发电有限公司</t>
  </si>
  <si>
    <t>ZFMD/SD-16075-SH</t>
  </si>
  <si>
    <t>大庆绿源风力发电有限公司</t>
  </si>
  <si>
    <t>ZFMD/SD-16076-SH</t>
  </si>
  <si>
    <t>华能同江风力发电有限公司</t>
  </si>
  <si>
    <t>ZFMD/SD-16077-SH</t>
  </si>
  <si>
    <t>ZFMD/SD-16078-SH</t>
  </si>
  <si>
    <t>ZFMD/SD-16079-SH</t>
  </si>
  <si>
    <t>ZFMD/SD-16080-SH</t>
  </si>
  <si>
    <t>七台河丰润风力发电有限公司</t>
  </si>
  <si>
    <t>ZFMD/SD-16081-SH</t>
  </si>
  <si>
    <t>新疆华电苇湖梁新能源有限公司</t>
  </si>
  <si>
    <t>ZFMD/SD-16082-SH</t>
  </si>
  <si>
    <t>ZFMD/SD-16083-SH</t>
  </si>
  <si>
    <t>ZFMD/SD-16084-SH</t>
  </si>
  <si>
    <t>ZFMD/SD-16085-SH</t>
  </si>
  <si>
    <t>ZFMD/SD-16086-SH</t>
  </si>
  <si>
    <t>山东大唐国际东营风电有限责任公司</t>
  </si>
  <si>
    <t>华能定边新能源发电有限公司</t>
  </si>
  <si>
    <t>ZFMD/SD-16088-SH</t>
  </si>
  <si>
    <t>ZFMD/SD-16089-SH</t>
  </si>
  <si>
    <t>ZFMD/SD-16090-SH</t>
  </si>
  <si>
    <t>国电和风风电开发有限公司桦川分公司</t>
  </si>
  <si>
    <t>ZFMD/SD-16092-SH</t>
  </si>
  <si>
    <t>ZFMD/SD-16093-SH</t>
  </si>
  <si>
    <t>山东龙源风力发电有限公司</t>
  </si>
  <si>
    <t>ZFMD/SD-16094-SH</t>
  </si>
  <si>
    <t>黑河龙源风力发电有限公司</t>
  </si>
  <si>
    <t>ZFMD/SD-16095-SH</t>
  </si>
  <si>
    <t>伊春龙源雄亚风力发电有限公司</t>
  </si>
  <si>
    <t>ZFMD/SD-16096-SH</t>
  </si>
  <si>
    <t>鹤岗龙源风力发电有限公司</t>
  </si>
  <si>
    <t>ZFMD/SD-16097-SH</t>
  </si>
  <si>
    <t>依兰龙源风力发电有限公司</t>
  </si>
  <si>
    <t>ZFMD/SD-16098-SH</t>
  </si>
  <si>
    <t>桦南龙源雄亚风力发电有限公司</t>
  </si>
  <si>
    <t>ZFMD/SD-16099-SH</t>
  </si>
  <si>
    <t>克东龙源风力发电有限公司</t>
  </si>
  <si>
    <t>ZFMD/SD-16100-SH</t>
  </si>
  <si>
    <t>克山龙源风力发电有限公司</t>
  </si>
  <si>
    <t>ZFMD/SD-16101-SH</t>
  </si>
  <si>
    <t>大庆龙源风力发电有限公司</t>
  </si>
  <si>
    <t>ZFMD/SD-16102-SH</t>
  </si>
  <si>
    <t>通河龙源风力发电有限公司</t>
  </si>
  <si>
    <t>ZFMD/SD-16103-SH</t>
  </si>
  <si>
    <t>伊春龙源风力发电有限公司</t>
  </si>
  <si>
    <t>ZFMD/SD-16104-SH</t>
  </si>
  <si>
    <t>双鸭山龙源风力发电有限公司</t>
  </si>
  <si>
    <t>ZFMD/SD-16105-SH</t>
  </si>
  <si>
    <t>ZFMD/SD-16106-SH</t>
  </si>
  <si>
    <t>ZFMD/SD-16107-SH</t>
  </si>
  <si>
    <t>ZFMD/SD-16110-SH</t>
  </si>
  <si>
    <t>ZFMD/SD-16112-SH</t>
  </si>
  <si>
    <t>ZFMD/SD-16113-SH</t>
  </si>
  <si>
    <t>ZFMD/SD-16114-SH</t>
  </si>
  <si>
    <t>ZFMD/SD-16115-SH</t>
  </si>
  <si>
    <t>ZFMD/SD-16001-SH</t>
  </si>
  <si>
    <t>无</t>
  </si>
  <si>
    <t>伊春太阳风新能源有限公司</t>
  </si>
  <si>
    <t>亚洲风力发电（牡丹江）有限公司
香港风力发电（穆棱）有限公司</t>
  </si>
  <si>
    <t>华能江西清洁能源有限责任公司</t>
  </si>
  <si>
    <t>黑龙江北方风力发电有限公司</t>
  </si>
  <si>
    <t>密山临河风力发电有限公司</t>
  </si>
  <si>
    <t>密山潘家店风力发电有限公司</t>
  </si>
  <si>
    <t>ZFMD/SD-16020-SH</t>
  </si>
  <si>
    <t>双鸭山锅盔山风力发电有限公司</t>
  </si>
  <si>
    <t>双鸭山杨木岗风力发电有限公司</t>
  </si>
  <si>
    <t>双鸭山老平岗风力发电有限公司</t>
  </si>
  <si>
    <t>龙江杏山风力发电有限公司</t>
  </si>
  <si>
    <t>新疆天电达坂城风力发电有限责任公司</t>
  </si>
  <si>
    <t>龙源横山新能源有限公司</t>
  </si>
  <si>
    <t>中船重工（重庆）海装风电设备有限公司</t>
  </si>
  <si>
    <t>吉林中广核风力发电有限公司</t>
  </si>
  <si>
    <t>ZFMD/KGSQ-16013</t>
  </si>
  <si>
    <t>北车风电有限公司</t>
  </si>
  <si>
    <t>黑龙江富龙风力发电有限责任公司
黑龙江富龙风能科技开发有限责任公司</t>
  </si>
  <si>
    <t>华电铁岭风力发电有限公司</t>
  </si>
  <si>
    <t>ZFMD/KGSQ-16017</t>
  </si>
  <si>
    <t>龙源陕西风力发电有限公司</t>
  </si>
  <si>
    <t>ZFMD/KGSQ-16024</t>
  </si>
  <si>
    <t>黑龙江省英大电力工程有限责任公司</t>
  </si>
  <si>
    <t>ZFMD/KGSQ-16011</t>
  </si>
  <si>
    <t>国华(神木)新能源有限公司</t>
  </si>
  <si>
    <t>中电投新疆能源化工集团哈密有限公司</t>
  </si>
  <si>
    <t>北京金风慧能技术有限公司</t>
  </si>
  <si>
    <t>ZFMD/KGSQ-16012</t>
  </si>
  <si>
    <t>ZFMD/KGSQ-16023</t>
  </si>
  <si>
    <t>中广核大北山（瓦房店）风力发电有限公司</t>
  </si>
  <si>
    <t>ZFMD/KGSQ-16027</t>
  </si>
  <si>
    <t>中广核盖州风力发电有限公司</t>
  </si>
  <si>
    <t>辽宁安宇新能源有限公司</t>
  </si>
  <si>
    <t>ZFMD/KGSQ-16026</t>
  </si>
  <si>
    <t>南京南瑞继保工程技术有限公司</t>
  </si>
  <si>
    <t>ZFMD/KGSQ-16015</t>
  </si>
  <si>
    <t>哈尔滨依兰华富风力发电有限公司</t>
  </si>
  <si>
    <t>ZFMD/KGSQ-16014</t>
  </si>
  <si>
    <t>东宁瑞信风力发电开发有限公司</t>
  </si>
  <si>
    <t>黑龙江东宁华富风力发电有限责任公司</t>
  </si>
  <si>
    <t>ZFMD/KGSQ-16019</t>
  </si>
  <si>
    <t>三峡新能源调兵山风电有限公司</t>
  </si>
  <si>
    <t>ZFMD/KGSQ-16020</t>
  </si>
  <si>
    <t>ZFMD/KGSQ-16022</t>
  </si>
  <si>
    <t>三峡新能源彰武发电有限公司</t>
  </si>
  <si>
    <t>ZFMD/KGSQ-16004</t>
  </si>
  <si>
    <t>中国水电建设集团新能源开发有限责任公司长岭风电分公司、中水电中电风力发电有限公司、长岭中电建新能源风力发电有限责任公司</t>
  </si>
  <si>
    <t>ZFMD/SD-16055-SH</t>
  </si>
  <si>
    <t>华能启东风力发电有限公司</t>
  </si>
  <si>
    <t>ZFMD/KGSQ-16001</t>
  </si>
  <si>
    <t>ZFMD/KGSQ-16005</t>
  </si>
  <si>
    <t>黑龙江华富风力发电穆棱有限责任公司</t>
  </si>
  <si>
    <t>ZFMDKGSQ-16029</t>
  </si>
  <si>
    <t>大唐哈密风电有限公司</t>
  </si>
  <si>
    <t>ZFMD/KGSQ-16032</t>
  </si>
  <si>
    <t>国电招远新能源有限公司</t>
  </si>
  <si>
    <t>ZFMD/SD-16072-SH</t>
  </si>
  <si>
    <t>ZFMD/KGSQ-16033</t>
  </si>
  <si>
    <t>ZFMD/SD-16073-SH</t>
  </si>
  <si>
    <t>ZFMD/KGSQ-16021</t>
  </si>
  <si>
    <t>ZFMD/KGSQ-16036</t>
  </si>
  <si>
    <t>伊春兴安岭风力发电有限公司</t>
  </si>
  <si>
    <t>ZFMD/SHFW-2016009</t>
  </si>
  <si>
    <t>ZFMD/KGSQ-16025</t>
  </si>
  <si>
    <t>ZFMD/KGSQ-16035</t>
  </si>
  <si>
    <t>中国能源建设集团黑龙江省电力设计院有限公司</t>
  </si>
  <si>
    <t>ZFMD/KGSQ-16041</t>
  </si>
  <si>
    <t>陕西金电电子科技有限责任公司</t>
  </si>
  <si>
    <t>ZFMD/KGSQ-16038</t>
  </si>
  <si>
    <t>香港风力发电（穆棱）有限公司</t>
  </si>
  <si>
    <t>ZFMD/KGSQ-16037</t>
  </si>
  <si>
    <t>亚洲风力发电（牡丹江）有限公司</t>
  </si>
  <si>
    <t>ZFMD/SHFW-2016013</t>
  </si>
  <si>
    <t>ZFMD/SD-16087-SH</t>
  </si>
  <si>
    <t>ZFMD/KGSQ-16042</t>
  </si>
  <si>
    <t>ZFMD/KGSQ-16003</t>
  </si>
  <si>
    <t>ZFMD/KGSQ-16002</t>
  </si>
  <si>
    <t>ZFMD/KGSQ-16018</t>
  </si>
  <si>
    <t>ZFMD/KGSQ-16045</t>
  </si>
  <si>
    <t>ZFMD/KGSQ-16043</t>
  </si>
  <si>
    <t>华润新能源（南通）风能有限公司</t>
  </si>
  <si>
    <t>黑龙江龙源风力发电有限公司</t>
  </si>
  <si>
    <t>海林中电海浪风力发电有限公司</t>
  </si>
  <si>
    <t>ZFMD/SD-16108-SH</t>
  </si>
  <si>
    <t>ZFMD/KGSQ-16058</t>
  </si>
  <si>
    <t>中广核安丘风力发电有限公司</t>
  </si>
  <si>
    <t>ZFMD/SD-16109-SH</t>
  </si>
  <si>
    <t>ZFMD/KGSQ-16065</t>
  </si>
  <si>
    <t>大唐巴里坤风电开发有限公司</t>
  </si>
  <si>
    <t>大唐海林风力发电有限公司</t>
  </si>
  <si>
    <t>ZFMD/SD-16111-SH</t>
  </si>
  <si>
    <t>大唐绥滨新能源有限公司</t>
  </si>
  <si>
    <t>华电吉林大安风力发电有限公司</t>
  </si>
  <si>
    <t>中电投宁夏能源铝业中卫新能源有限公司</t>
  </si>
  <si>
    <t>华电吉林双辽风力发电有限公司</t>
  </si>
  <si>
    <t>ZFMD/SD-16116-SH</t>
  </si>
  <si>
    <t>华能钟祥风电有限责任公司</t>
  </si>
  <si>
    <t>ZFMD/SD-16117-SH</t>
  </si>
  <si>
    <t>福能平海（莆田）风力发电有限公司</t>
  </si>
  <si>
    <t>ZFMD/SD-16118-SH</t>
  </si>
  <si>
    <t>ZFMD/SD-16119-SH</t>
  </si>
  <si>
    <t>ZFMD/SD-16120-SH</t>
  </si>
  <si>
    <t>ZFMD/KGSQ-16067</t>
  </si>
  <si>
    <t>ZFMD/SD-16121-SH</t>
  </si>
  <si>
    <t>巴彦双鸭山风力发电有限公司</t>
  </si>
  <si>
    <t>ZFMD/SD-16122-SH</t>
  </si>
  <si>
    <t>ZFMD/SD-16123-SH</t>
  </si>
  <si>
    <t>ZFMD/SD-16124-SH</t>
  </si>
  <si>
    <t>ZFMD/SD-16125-SH</t>
  </si>
  <si>
    <t>ZFMD/SD-16091-SH</t>
    <phoneticPr fontId="1" type="noConversion"/>
  </si>
  <si>
    <t>ZFMD/SD-16091-SH-BG01</t>
    <phoneticPr fontId="10" type="noConversion"/>
  </si>
  <si>
    <t>ZFMD/SD-17148-SH</t>
    <phoneticPr fontId="10" type="noConversion"/>
  </si>
  <si>
    <t>ZFMD/SD-17148-SH-BG01</t>
    <phoneticPr fontId="5" type="noConversion"/>
  </si>
  <si>
    <t>ZFMD/SD-16109-SH-BG01</t>
    <phoneticPr fontId="10" type="noConversion"/>
  </si>
  <si>
    <t>三峡新能源辽宁省开原威远风电场（49.5MW）工程风功率预测系统维护合同</t>
  </si>
  <si>
    <t>辽宁</t>
    <phoneticPr fontId="5" type="noConversion"/>
  </si>
  <si>
    <t>中广核</t>
  </si>
  <si>
    <t>华电福新木垒一期光伏电站光功率预测系统服务合同</t>
  </si>
  <si>
    <t>测风塔温湿度传感器设备采购合同</t>
    <phoneticPr fontId="5" type="noConversion"/>
  </si>
  <si>
    <t>辽宁</t>
  </si>
  <si>
    <t>依兰晨光风电场风电功率预测服务技术服务合同</t>
  </si>
  <si>
    <t>依兰富强风电场风电功率预测服务技术服务合同</t>
  </si>
  <si>
    <t>桦南北架山风电场风电功率预测服务技术服务合同</t>
  </si>
  <si>
    <t>桦川苏家店风电场风电功率预测服务技术服务合同</t>
  </si>
  <si>
    <t>集贤太阳山风电场风电功率预测服务技术服务合同</t>
  </si>
  <si>
    <t>绥滨吉成风电场风电功率预测服务技术服务合同</t>
  </si>
  <si>
    <t>大唐太平风电场风电功率预测服务技术服务合同</t>
  </si>
  <si>
    <t>大唐碾子山风电场风电功率预测服务技术服务合同</t>
  </si>
  <si>
    <t>三峡新能源黑龙江省伊春老白山风电场（51MW）工程风功率预测技术服务合同</t>
  </si>
  <si>
    <t>三峡新能源</t>
    <phoneticPr fontId="5" type="noConversion"/>
  </si>
  <si>
    <t>代马沟风电场风电功率预测系统服务合同书</t>
    <phoneticPr fontId="5" type="noConversion"/>
  </si>
  <si>
    <t>华能蒋公岭风电场风电功率预测系统服务合同书</t>
    <phoneticPr fontId="5" type="noConversion"/>
  </si>
  <si>
    <t>华能</t>
    <phoneticPr fontId="5" type="noConversion"/>
  </si>
  <si>
    <t>江西</t>
    <phoneticPr fontId="5" type="noConversion"/>
  </si>
  <si>
    <t>中电投广西金紫山风电场风电功率预测系统服务合同</t>
    <phoneticPr fontId="5" type="noConversion"/>
  </si>
  <si>
    <t>中电投</t>
    <phoneticPr fontId="5" type="noConversion"/>
  </si>
  <si>
    <t>广西</t>
    <phoneticPr fontId="5" type="noConversion"/>
  </si>
  <si>
    <t>兴凯湖（蜂蜜山）风电场风功率预测系统服务合同</t>
    <phoneticPr fontId="5" type="noConversion"/>
  </si>
  <si>
    <t>中广核</t>
    <phoneticPr fontId="5" type="noConversion"/>
  </si>
  <si>
    <t>密山林场（柳毛）风电场2016-2017年度风功率预测系统服务合同</t>
    <phoneticPr fontId="5" type="noConversion"/>
  </si>
  <si>
    <t>密山临河风电场2016-2017年度风功率预测系统服务合同</t>
    <phoneticPr fontId="5" type="noConversion"/>
  </si>
  <si>
    <t>密山潘家店风电场2016-2017年度风功率预测系统服务合同</t>
    <phoneticPr fontId="5" type="noConversion"/>
  </si>
  <si>
    <t>双鸭山锅盔山风电场2016-2017年度风功率预测系统服务合同</t>
    <phoneticPr fontId="5" type="noConversion"/>
  </si>
  <si>
    <t>双鸭山杨木岗风电场2016-2017年度风功率预测系统服务合同</t>
    <phoneticPr fontId="5" type="noConversion"/>
  </si>
  <si>
    <t>双鸭山老平岗风电场2016-2017年度风功率预测系统服务合同</t>
    <phoneticPr fontId="5" type="noConversion"/>
  </si>
  <si>
    <t>龙江哈拉海乡风电场2016-2017年度风功率预测系统服务合同</t>
    <phoneticPr fontId="5" type="noConversion"/>
  </si>
  <si>
    <t>龙江杏山风电场2016-2017年度风功率预测系统服务合同</t>
    <phoneticPr fontId="5" type="noConversion"/>
  </si>
  <si>
    <t>新疆天山电力股份有限公司达坂城风电场一期、二期风功率预测技术服务及二期风功率预测系统改造合同</t>
    <phoneticPr fontId="5" type="noConversion"/>
  </si>
  <si>
    <t>其他</t>
    <phoneticPr fontId="5" type="noConversion"/>
  </si>
  <si>
    <t>新疆</t>
    <phoneticPr fontId="5" type="noConversion"/>
  </si>
  <si>
    <t>福建龙海隆教风电场测风设备采购合同</t>
    <phoneticPr fontId="5" type="noConversion"/>
  </si>
  <si>
    <t>福能</t>
    <phoneticPr fontId="5" type="noConversion"/>
  </si>
  <si>
    <t>福建</t>
    <phoneticPr fontId="5" type="noConversion"/>
  </si>
  <si>
    <t>福建莆田大蚶山风电场测风设备采购合同</t>
    <phoneticPr fontId="5" type="noConversion"/>
  </si>
  <si>
    <t>福建仙游草山风电场测风设备采购合同</t>
    <phoneticPr fontId="5" type="noConversion"/>
  </si>
  <si>
    <t>龙源横山双城（46MW）风电项目风功率预测扩容采购合同</t>
    <phoneticPr fontId="5" type="noConversion"/>
  </si>
  <si>
    <t>龙源</t>
    <phoneticPr fontId="5" type="noConversion"/>
  </si>
  <si>
    <t>陕西</t>
    <phoneticPr fontId="5" type="noConversion"/>
  </si>
  <si>
    <t>中船重工（重庆）海装风电设备有限公司采购合同</t>
    <phoneticPr fontId="5" type="noConversion"/>
  </si>
  <si>
    <t>中广核吉林大安大岗子风电场2016年风电功率预测技术服务合同</t>
    <phoneticPr fontId="5" type="noConversion"/>
  </si>
  <si>
    <t>吉林</t>
    <phoneticPr fontId="5" type="noConversion"/>
  </si>
  <si>
    <t>风功率预测系统购销合同</t>
    <phoneticPr fontId="5" type="noConversion"/>
  </si>
  <si>
    <t>乌尔古力山、五顶山风电场风电功率预测系统技术服务合同</t>
    <phoneticPr fontId="5" type="noConversion"/>
  </si>
  <si>
    <t>其他</t>
  </si>
  <si>
    <t>华电铁岭镇西堡、李家屯及心田堡风电场2016年风电功率预测系统服务合同</t>
    <phoneticPr fontId="5" type="noConversion"/>
  </si>
  <si>
    <t>华电</t>
    <phoneticPr fontId="5" type="noConversion"/>
  </si>
  <si>
    <t>龙源陕西风力发电有限公司观日台风电场东河桥项目反向隔离设备采购合同</t>
    <phoneticPr fontId="5" type="noConversion"/>
  </si>
  <si>
    <t>华电虎林石青山风电场（一期、二期）风电功率预测系统服务合同</t>
    <phoneticPr fontId="5" type="noConversion"/>
  </si>
  <si>
    <t>华电七里嘎山风电场（一期、二期）风电功率预测系统服务合同</t>
    <phoneticPr fontId="5" type="noConversion"/>
  </si>
  <si>
    <t>华电汤原渠首风电场风电功率预测系统服务合同</t>
    <phoneticPr fontId="5" type="noConversion"/>
  </si>
  <si>
    <t>调度数据交互系统购销合同</t>
    <phoneticPr fontId="5" type="noConversion"/>
  </si>
  <si>
    <t>国华神木大柳塔一期50MWp光伏并网发电项目光功率预测设备采购合同</t>
    <phoneticPr fontId="5" type="noConversion"/>
  </si>
  <si>
    <t>国华</t>
    <phoneticPr fontId="5" type="noConversion"/>
  </si>
  <si>
    <t>中电投哈密烟墩第一风电场风功率预测系统改造服务合同</t>
    <phoneticPr fontId="5" type="noConversion"/>
  </si>
  <si>
    <t>工业品买卖合同（吐鲁番白杨河/珍珠泉小草湖北风电功率预测系统）</t>
    <phoneticPr fontId="5" type="noConversion"/>
  </si>
  <si>
    <t>国华神木大柳塔一期50MWp光伏并网发电项目AGC、AVC设备采购合同</t>
    <phoneticPr fontId="5" type="noConversion"/>
  </si>
  <si>
    <t>中广核大北山风电场D5000平台二区业务接入改造服务合同</t>
    <phoneticPr fontId="5" type="noConversion"/>
  </si>
  <si>
    <t>中广核太阳升风电场D5000平台二区业务接入改造服务合同</t>
    <phoneticPr fontId="5" type="noConversion"/>
  </si>
  <si>
    <t>三峡新能源富裕友谊二期扩容项目采购合同</t>
    <phoneticPr fontId="5" type="noConversion"/>
  </si>
  <si>
    <t>大庆长元光伏电站光功率预测系统采购协议</t>
    <phoneticPr fontId="5" type="noConversion"/>
  </si>
  <si>
    <t>/</t>
    <phoneticPr fontId="5" type="noConversion"/>
  </si>
  <si>
    <t>调度数据上传系统维修/维护服务合同</t>
    <phoneticPr fontId="5" type="noConversion"/>
  </si>
  <si>
    <t>三峡新能源辽宁省调兵山风电场（99MW）工程D5000平台新能源电站业务接入技术服务合同</t>
    <phoneticPr fontId="5" type="noConversion"/>
  </si>
  <si>
    <t>辽宁电网D5000平台新能源电站二区业务接入技术服务合同</t>
    <phoneticPr fontId="5" type="noConversion"/>
  </si>
  <si>
    <t>三峡新能源辽宁省彰武王家光伏电站（10MWp）工程D5000平台新能源电站业务接入技术服务合同</t>
    <phoneticPr fontId="5" type="noConversion"/>
  </si>
  <si>
    <t>长岭王子风电场一期、二期、三期风功率预测系统升级改造采购合同</t>
    <phoneticPr fontId="5" type="noConversion"/>
  </si>
  <si>
    <t>中水建设</t>
  </si>
  <si>
    <t>吉林</t>
  </si>
  <si>
    <t>华能启东风力发电有限公司风功率预测系统技术服务合同</t>
    <phoneticPr fontId="5" type="noConversion"/>
  </si>
  <si>
    <t>江苏</t>
    <phoneticPr fontId="5" type="noConversion"/>
  </si>
  <si>
    <t>东方民生石城子光伏电站光功率预测系统服务合同</t>
    <phoneticPr fontId="5" type="noConversion"/>
  </si>
  <si>
    <t>哈密力诺石城子光伏电站光伏功率预测系统服务合同</t>
    <phoneticPr fontId="5" type="noConversion"/>
  </si>
  <si>
    <t>华电淖毛湖风电一场风电功率预测系统服务合同</t>
    <phoneticPr fontId="5" type="noConversion"/>
  </si>
  <si>
    <t>华电淖毛湖风电一场风功率预测改造服务合同</t>
    <phoneticPr fontId="5" type="noConversion"/>
  </si>
  <si>
    <t>东方民生淖毛湖风电一场风电功率预测系统服务合同</t>
    <phoneticPr fontId="5" type="noConversion"/>
  </si>
  <si>
    <t>华电十三间房三期风电场风电功率预测系统服务合同</t>
    <phoneticPr fontId="5" type="noConversion"/>
  </si>
  <si>
    <t>华电新疆苦水风电场风电功率预测系统服务合同</t>
    <phoneticPr fontId="5" type="noConversion"/>
  </si>
  <si>
    <t>东方民生麻黄沟东风电一场风电功率预测系统服务合同</t>
    <phoneticPr fontId="5" type="noConversion"/>
  </si>
  <si>
    <t>大唐哈密东南部风电场风功率预测系统改造设备采购合同</t>
    <phoneticPr fontId="5" type="noConversion"/>
  </si>
  <si>
    <t>大唐</t>
    <phoneticPr fontId="5" type="noConversion"/>
  </si>
  <si>
    <t>华能湖沙咀风电场（26兆瓦）工程风功率预测系统设备采购合同</t>
    <phoneticPr fontId="5" type="noConversion"/>
  </si>
  <si>
    <t>华能灵华山风电场（100兆瓦）工程风功率预测系统设备采购合同</t>
    <phoneticPr fontId="5" type="noConversion"/>
  </si>
  <si>
    <t>风功率预测系统买卖合同</t>
    <phoneticPr fontId="5" type="noConversion"/>
  </si>
  <si>
    <t>国电</t>
    <phoneticPr fontId="5" type="noConversion"/>
  </si>
  <si>
    <t>山东</t>
    <phoneticPr fontId="5" type="noConversion"/>
  </si>
  <si>
    <t>风功率预测系统采购合同</t>
    <phoneticPr fontId="5" type="noConversion"/>
  </si>
  <si>
    <t>烟台龙口二期</t>
    <phoneticPr fontId="5" type="noConversion"/>
  </si>
  <si>
    <t>隆教风电场测风塔设备采购合同</t>
    <phoneticPr fontId="5" type="noConversion"/>
  </si>
  <si>
    <t>福建</t>
  </si>
  <si>
    <t>龙海隆教</t>
  </si>
  <si>
    <t>大蚶山风电场测风塔设备采购合同</t>
    <phoneticPr fontId="5" type="noConversion"/>
  </si>
  <si>
    <t>三峡新能源辽宁省朝阳水泉光伏电站（10MW）工程辽宁电网D5000平台新能源电站二区业务接入技术服务合同</t>
    <phoneticPr fontId="5" type="noConversion"/>
  </si>
  <si>
    <t>三峡新能源</t>
    <phoneticPr fontId="5" type="noConversion"/>
  </si>
  <si>
    <t>朝阳水泉</t>
    <phoneticPr fontId="5" type="noConversion"/>
  </si>
  <si>
    <t>风电场风电功率预测服务技术服务合同</t>
    <phoneticPr fontId="5" type="noConversion"/>
  </si>
  <si>
    <t>华能</t>
    <phoneticPr fontId="5" type="noConversion"/>
  </si>
  <si>
    <t>大庆和平</t>
    <phoneticPr fontId="5" type="noConversion"/>
  </si>
  <si>
    <t>同江街津山</t>
    <phoneticPr fontId="5" type="noConversion"/>
  </si>
  <si>
    <t>三峡新能源调兵山风电场（99MW）工程测风塔测风设备更换采购合同</t>
    <phoneticPr fontId="5" type="noConversion"/>
  </si>
  <si>
    <t>调兵山</t>
    <phoneticPr fontId="5" type="noConversion"/>
  </si>
  <si>
    <t>产品购销合同</t>
    <phoneticPr fontId="5" type="noConversion"/>
  </si>
  <si>
    <t>带领东山</t>
    <phoneticPr fontId="5" type="noConversion"/>
  </si>
  <si>
    <t>开原威远</t>
  </si>
  <si>
    <t>调度数据上传设备维修服务合同</t>
    <phoneticPr fontId="5" type="noConversion"/>
  </si>
  <si>
    <t>华电</t>
    <phoneticPr fontId="5" type="noConversion"/>
  </si>
  <si>
    <t>前锋</t>
  </si>
  <si>
    <t>华电新疆达坂城大连湖风电一场、西沟风电一场、白杨沟一场风电功率预测系统服务合同</t>
    <phoneticPr fontId="5" type="noConversion"/>
  </si>
  <si>
    <t>鸡西平岗49.5MW风电场项目风功率预测系统采购合同</t>
    <phoneticPr fontId="5" type="noConversion"/>
  </si>
  <si>
    <t>华仪</t>
    <phoneticPr fontId="5" type="noConversion"/>
  </si>
  <si>
    <t>鸡西平岗</t>
    <phoneticPr fontId="5" type="noConversion"/>
  </si>
  <si>
    <t>采购合同（岐山光伏电站光伏功率预测系统）</t>
    <phoneticPr fontId="5" type="noConversion"/>
  </si>
  <si>
    <t>其它</t>
    <phoneticPr fontId="5" type="noConversion"/>
  </si>
  <si>
    <t>岐山</t>
    <phoneticPr fontId="5" type="noConversion"/>
  </si>
  <si>
    <t>设备买卖合同（代马沟风电场超短期风电功率预测系统、综合通讯管理系统）</t>
    <phoneticPr fontId="5" type="noConversion"/>
  </si>
  <si>
    <t>代马沟</t>
    <phoneticPr fontId="5" type="noConversion"/>
  </si>
  <si>
    <t>设备买卖合同（代马沟风电场超短期风电功率预测系统70M测风塔）</t>
    <phoneticPr fontId="5" type="noConversion"/>
  </si>
  <si>
    <t>大唐东营风电场测风塔设备维修合同</t>
    <phoneticPr fontId="5" type="noConversion"/>
  </si>
  <si>
    <t>山东</t>
  </si>
  <si>
    <t>东营</t>
  </si>
  <si>
    <t>狼尔沟集中式风电场风功率预测系统采购合同书</t>
    <phoneticPr fontId="5" type="noConversion"/>
  </si>
  <si>
    <t>华能</t>
  </si>
  <si>
    <t>陕西</t>
  </si>
  <si>
    <t>狼尔沟</t>
  </si>
  <si>
    <t>华电石城子三期光功率预测系统服务合同</t>
    <phoneticPr fontId="5" type="noConversion"/>
  </si>
  <si>
    <t>石城子三期</t>
  </si>
  <si>
    <t>华电石城子一二期光功率预测系统服务合同</t>
    <phoneticPr fontId="5" type="noConversion"/>
  </si>
  <si>
    <t>石城子一二期</t>
  </si>
  <si>
    <t>辽宁电网D5000平台新能源电站二区业务接入和风电场AGC功能联调项目合同</t>
    <phoneticPr fontId="5" type="noConversion"/>
  </si>
  <si>
    <t>铁岭</t>
    <phoneticPr fontId="5" type="noConversion"/>
  </si>
  <si>
    <t>国电桦川大青背二期风电项目风功率预测系统年服务合同</t>
    <phoneticPr fontId="5" type="noConversion"/>
  </si>
  <si>
    <t>大青背</t>
  </si>
  <si>
    <t>广西金紫山风电场测风塔维护服务合同</t>
    <phoneticPr fontId="5" type="noConversion"/>
  </si>
  <si>
    <t>金紫山</t>
    <phoneticPr fontId="5" type="noConversion"/>
  </si>
  <si>
    <t>山东龙源滨海风电场风电功率预测系统服务合同</t>
    <phoneticPr fontId="5" type="noConversion"/>
  </si>
  <si>
    <t>滨海沾化</t>
    <phoneticPr fontId="5" type="noConversion"/>
  </si>
  <si>
    <t>风电场风电功率预测系统升级服务</t>
    <phoneticPr fontId="5" type="noConversion"/>
  </si>
  <si>
    <t>大黑山</t>
    <phoneticPr fontId="5" type="noConversion"/>
  </si>
  <si>
    <t>白山</t>
    <phoneticPr fontId="5" type="noConversion"/>
  </si>
  <si>
    <t>望云峰</t>
    <phoneticPr fontId="5" type="noConversion"/>
  </si>
  <si>
    <t>马鞍山</t>
    <phoneticPr fontId="5" type="noConversion"/>
  </si>
  <si>
    <t>驿马山</t>
    <phoneticPr fontId="5" type="noConversion"/>
  </si>
  <si>
    <t>克东爱华</t>
    <phoneticPr fontId="5" type="noConversion"/>
  </si>
  <si>
    <t>曙光</t>
    <phoneticPr fontId="5" type="noConversion"/>
  </si>
  <si>
    <t>大庆草原</t>
    <phoneticPr fontId="5" type="noConversion"/>
  </si>
  <si>
    <t>岔林河</t>
    <phoneticPr fontId="5" type="noConversion"/>
  </si>
  <si>
    <t>小城山</t>
    <phoneticPr fontId="5" type="noConversion"/>
  </si>
  <si>
    <t>蝙蝠山</t>
    <phoneticPr fontId="5" type="noConversion"/>
  </si>
  <si>
    <t>华润电力江苏大区物资订购</t>
    <phoneticPr fontId="5" type="noConversion"/>
  </si>
  <si>
    <t>华润</t>
    <phoneticPr fontId="5" type="noConversion"/>
  </si>
  <si>
    <t>如东东凌</t>
    <phoneticPr fontId="5" type="noConversion"/>
  </si>
  <si>
    <t>夹信山</t>
    <phoneticPr fontId="5" type="noConversion"/>
  </si>
  <si>
    <t>海林中电海浪风电场风电功率预测系统服务合同书</t>
    <phoneticPr fontId="5" type="noConversion"/>
  </si>
  <si>
    <t>中电</t>
    <phoneticPr fontId="5" type="noConversion"/>
  </si>
  <si>
    <t>海林海浪</t>
    <phoneticPr fontId="5" type="noConversion"/>
  </si>
  <si>
    <t>中广核</t>
    <phoneticPr fontId="5" type="noConversion"/>
  </si>
  <si>
    <t>安丘摘月山</t>
    <phoneticPr fontId="5" type="noConversion"/>
  </si>
  <si>
    <t>大唐巴里坤风电开发有限公司三塘湖风电场AVC装置采购合同</t>
    <phoneticPr fontId="5" type="noConversion"/>
  </si>
  <si>
    <t>三塘湖</t>
    <phoneticPr fontId="5" type="noConversion"/>
  </si>
  <si>
    <t>大唐海林威虎山风电场通讯设备采购合同</t>
    <phoneticPr fontId="5" type="noConversion"/>
  </si>
  <si>
    <t>海林威虎山</t>
    <phoneticPr fontId="5" type="noConversion"/>
  </si>
  <si>
    <t>大唐绥滨吉成风电场测风数据采集器、风速风向仪采购合同</t>
    <phoneticPr fontId="5" type="noConversion"/>
  </si>
  <si>
    <t>绥滨吉成</t>
    <phoneticPr fontId="5" type="noConversion"/>
  </si>
  <si>
    <t>华电大安风水山风电场风电功率预测技术服务合同</t>
    <phoneticPr fontId="5" type="noConversion"/>
  </si>
  <si>
    <t>大安风水山</t>
    <phoneticPr fontId="5" type="noConversion"/>
  </si>
  <si>
    <t>中电投宁夏中卫香山风电场七、八期工程风功率预报系统数值天气预报服务合同</t>
    <phoneticPr fontId="5" type="noConversion"/>
  </si>
  <si>
    <t>宁夏</t>
    <phoneticPr fontId="5" type="noConversion"/>
  </si>
  <si>
    <t>中卫香山七、八期</t>
    <phoneticPr fontId="5" type="noConversion"/>
  </si>
  <si>
    <t>中电投宁夏中卫香山风电场九期工程风功率预报系统数值天气预报服务合同</t>
    <phoneticPr fontId="5" type="noConversion"/>
  </si>
  <si>
    <t>中卫香山九期</t>
    <phoneticPr fontId="5" type="noConversion"/>
  </si>
  <si>
    <t>华电双辽那木斯风电场风电功率预测技术服务合同</t>
    <phoneticPr fontId="5" type="noConversion"/>
  </si>
  <si>
    <t>双辽那木斯</t>
    <phoneticPr fontId="5" type="noConversion"/>
  </si>
  <si>
    <t>华能钟祥胡家湾风电场(150MW)工程风电功率预测系统设备</t>
    <phoneticPr fontId="5" type="noConversion"/>
  </si>
  <si>
    <t>湖北</t>
    <phoneticPr fontId="5" type="noConversion"/>
  </si>
  <si>
    <t>钟祥胡家湾</t>
    <phoneticPr fontId="5" type="noConversion"/>
  </si>
  <si>
    <t>莆田石塘</t>
    <phoneticPr fontId="5" type="noConversion"/>
  </si>
  <si>
    <r>
      <t>新能源D5000上传系统采购合同</t>
    </r>
    <r>
      <rPr>
        <sz val="11"/>
        <color indexed="8"/>
        <rFont val="宋体"/>
        <family val="3"/>
        <charset val="134"/>
      </rPr>
      <t/>
    </r>
    <phoneticPr fontId="5" type="noConversion"/>
  </si>
  <si>
    <t>昌吉州木垒一期</t>
  </si>
  <si>
    <t>依兰晨光</t>
  </si>
  <si>
    <t>依兰富强</t>
  </si>
  <si>
    <t>桦南北架山</t>
  </si>
  <si>
    <t>太平</t>
  </si>
  <si>
    <t>碾子山</t>
  </si>
  <si>
    <t>乌尔古力、五顶山</t>
  </si>
  <si>
    <t>蒋公岭二期（湖沙咀）</t>
  </si>
  <si>
    <t>灵华山</t>
  </si>
  <si>
    <t>龙江哈拉海乡（中航龙腾）</t>
  </si>
  <si>
    <t>伊春美林</t>
  </si>
  <si>
    <t>代马沟</t>
  </si>
  <si>
    <t>蒋公岭</t>
  </si>
  <si>
    <t>金紫山</t>
  </si>
  <si>
    <t>兴凯湖（蜂蜜山）</t>
  </si>
  <si>
    <t>兴凯湖（柳毛）</t>
  </si>
  <si>
    <t>兴凯湖（临河）</t>
  </si>
  <si>
    <t>兴凯湖（潘家店）</t>
  </si>
  <si>
    <t>锅盔山</t>
  </si>
  <si>
    <t>锅盔山（杨木岗）</t>
  </si>
  <si>
    <t>锅盔山（老平岗）</t>
  </si>
  <si>
    <t>龙江哈拉海乡（中航龙腾）（杏山）</t>
  </si>
  <si>
    <t>达坂城（天电西沟）</t>
  </si>
  <si>
    <t>草山</t>
  </si>
  <si>
    <t>靖边高家沟</t>
  </si>
  <si>
    <t>武峁子</t>
  </si>
  <si>
    <t>大安大岗子</t>
  </si>
  <si>
    <t>沈口子</t>
  </si>
  <si>
    <t>镇西堡、李家屯及心田堡</t>
  </si>
  <si>
    <t>观日台</t>
  </si>
  <si>
    <t>石青山</t>
  </si>
  <si>
    <t>七里嘎山</t>
  </si>
  <si>
    <t>汤原渠首</t>
  </si>
  <si>
    <t>安达农义</t>
  </si>
  <si>
    <t>大柳塔</t>
  </si>
  <si>
    <t>哈密烟墩</t>
  </si>
  <si>
    <t>大北山</t>
  </si>
  <si>
    <t>太阳升（原盖州沙岗子）</t>
  </si>
  <si>
    <t>富裕友谊二期</t>
  </si>
  <si>
    <t>大庆长元</t>
  </si>
  <si>
    <t>鸡冠山</t>
  </si>
  <si>
    <t>东宁瑞信</t>
  </si>
  <si>
    <t>东宁绥阳</t>
  </si>
  <si>
    <t>调兵山</t>
  </si>
  <si>
    <t>彰武王家</t>
  </si>
  <si>
    <t>长岭王子</t>
  </si>
  <si>
    <t>启东</t>
  </si>
  <si>
    <t>东方民生石城子</t>
  </si>
  <si>
    <t>力诺石城子</t>
  </si>
  <si>
    <t>淖毛湖一期
淖毛湖二期</t>
  </si>
  <si>
    <t>东方民生淖毛湖</t>
  </si>
  <si>
    <t>十三间房三期</t>
  </si>
  <si>
    <t>苦水</t>
  </si>
  <si>
    <t>东方民生三塘湖一期
东方民生三塘湖二三四期</t>
  </si>
  <si>
    <t>十文字</t>
  </si>
  <si>
    <t>哈密苦水</t>
  </si>
  <si>
    <t>华银宝鼎山</t>
  </si>
  <si>
    <t>招远（夏甸国电）</t>
  </si>
  <si>
    <t>三峡威远</t>
  </si>
  <si>
    <t>福新木垒光伏一电站</t>
  </si>
  <si>
    <t>天润留龙沟</t>
    <phoneticPr fontId="1" type="noConversion"/>
  </si>
  <si>
    <t>义县留龙沟</t>
    <phoneticPr fontId="1" type="noConversion"/>
  </si>
  <si>
    <t>哈拉海</t>
  </si>
  <si>
    <t>王龙波</t>
  </si>
  <si>
    <t>贾本玉</t>
  </si>
  <si>
    <t>晨光</t>
  </si>
  <si>
    <t>富强</t>
  </si>
  <si>
    <t>太阳山</t>
  </si>
  <si>
    <t>吉成</t>
  </si>
  <si>
    <t>美林</t>
  </si>
  <si>
    <t>蒋公岭（一期、二期）</t>
  </si>
  <si>
    <t>兴凯湖</t>
  </si>
  <si>
    <t>安邦河</t>
  </si>
  <si>
    <t>天电西沟</t>
  </si>
  <si>
    <t>高家沟</t>
  </si>
  <si>
    <t>大岗子</t>
  </si>
  <si>
    <t>铁岭镇西堡</t>
  </si>
  <si>
    <t>渠首</t>
  </si>
  <si>
    <t>贾家梁</t>
  </si>
  <si>
    <t>中电投烟墩西风电一场</t>
  </si>
  <si>
    <t>太阳升</t>
  </si>
  <si>
    <t>富裕友谊</t>
  </si>
  <si>
    <t>铁岭调兵山华仪+
三峡能源泉眼沟</t>
  </si>
  <si>
    <t>三峡王家</t>
  </si>
  <si>
    <t>王子</t>
  </si>
  <si>
    <t>东方民生石城子光伏一电站</t>
  </si>
  <si>
    <t>力诺石城子光伏一电站</t>
  </si>
  <si>
    <t>华电淖毛湖风电一场+华电淖毛湖风电一场（二期/直流）</t>
  </si>
  <si>
    <t>华电嘉利二场</t>
  </si>
  <si>
    <t>华电苦水东风电一场</t>
  </si>
  <si>
    <t>东方民生麻黄沟东风电一场/一期+二三四期（东方民生麻黄沟东风电一场（直流/直流配套））</t>
  </si>
  <si>
    <t>大唐苦水东风电场</t>
  </si>
  <si>
    <t>宝鼎山</t>
  </si>
  <si>
    <t>夏甸国电</t>
  </si>
  <si>
    <t>烟台龙口二期</t>
  </si>
  <si>
    <t>第十三师三塘湖</t>
  </si>
  <si>
    <t>朝阳水泉</t>
  </si>
  <si>
    <t>和平</t>
  </si>
  <si>
    <t>街津山</t>
  </si>
  <si>
    <t>岭东</t>
  </si>
  <si>
    <t>华电达坂城西沟风电一场</t>
  </si>
  <si>
    <t>华电达坂城大连湖风电一场</t>
  </si>
  <si>
    <t>华电达坂城白杨沟风电一场</t>
  </si>
  <si>
    <t>平岗</t>
  </si>
  <si>
    <t>落星堡</t>
  </si>
  <si>
    <t>东营大唐</t>
  </si>
  <si>
    <t>贺圈</t>
  </si>
  <si>
    <t>华电石城子光伏二电站</t>
  </si>
  <si>
    <t>华电石城子光伏电站</t>
  </si>
  <si>
    <t>青龙</t>
  </si>
  <si>
    <t>滨海龙源</t>
  </si>
  <si>
    <t>大黑山</t>
  </si>
  <si>
    <t>白山</t>
  </si>
  <si>
    <t>望云峰</t>
  </si>
  <si>
    <t>马鞍山</t>
  </si>
  <si>
    <t>驿马山</t>
  </si>
  <si>
    <t>爱华</t>
  </si>
  <si>
    <t>曙光</t>
  </si>
  <si>
    <t>草原</t>
  </si>
  <si>
    <t>岔林河</t>
  </si>
  <si>
    <t>小城山</t>
  </si>
  <si>
    <t>蝙蝠山</t>
  </si>
  <si>
    <t>如东</t>
  </si>
  <si>
    <t>夹信山</t>
  </si>
  <si>
    <t>海浪</t>
  </si>
  <si>
    <t>三塘湖</t>
  </si>
  <si>
    <t>海林威虎山</t>
  </si>
  <si>
    <t>中卫香山第四风电场</t>
  </si>
  <si>
    <t>那木斯</t>
  </si>
  <si>
    <t>钟祥胡家湾</t>
  </si>
  <si>
    <t>石塘</t>
  </si>
  <si>
    <t>省山</t>
  </si>
  <si>
    <t>华电小草湖南风电一场</t>
    <phoneticPr fontId="1" type="noConversion"/>
  </si>
  <si>
    <t>吐鲁番白杨河</t>
    <phoneticPr fontId="1" type="noConversion"/>
  </si>
  <si>
    <t>珍珠泉小草湖北</t>
    <phoneticPr fontId="1" type="noConversion"/>
  </si>
  <si>
    <t>第十三师三塘湖</t>
    <phoneticPr fontId="5" type="noConversion"/>
  </si>
  <si>
    <t>苇湖梁东区</t>
    <phoneticPr fontId="1" type="noConversion"/>
  </si>
  <si>
    <t>苇湖梁中区</t>
    <phoneticPr fontId="1" type="noConversion"/>
  </si>
  <si>
    <t>苇湖梁西区</t>
    <phoneticPr fontId="1" type="noConversion"/>
  </si>
  <si>
    <t>龙海隆教</t>
    <phoneticPr fontId="5" type="noConversion"/>
  </si>
  <si>
    <t>无-2016</t>
    <phoneticPr fontId="1" type="noConversion"/>
  </si>
  <si>
    <t>宁夏</t>
  </si>
  <si>
    <t>银川瑞明太阳能</t>
  </si>
  <si>
    <t>技术服务</t>
  </si>
  <si>
    <t>杨振坤</t>
  </si>
  <si>
    <t>预测服务2年</t>
  </si>
  <si>
    <t>预测服务4年</t>
  </si>
  <si>
    <t>建模扩容</t>
  </si>
  <si>
    <t>系统硬件</t>
  </si>
  <si>
    <t>光伏AGC/AVC</t>
  </si>
  <si>
    <t>风电功率预测；电力通讯</t>
  </si>
  <si>
    <t>预测服务1.5年</t>
  </si>
  <si>
    <t>软件升级</t>
  </si>
  <si>
    <t>李妍</t>
  </si>
  <si>
    <t>测风设备</t>
  </si>
  <si>
    <t>郭文明</t>
  </si>
  <si>
    <t>韩志宇</t>
  </si>
  <si>
    <t>秦英飞</t>
  </si>
  <si>
    <t>预测服务1年；建模扩容</t>
  </si>
  <si>
    <t>短期软件；超短期软件；系统硬件；测风塔；测风塔设备；预测服务5年</t>
  </si>
  <si>
    <t>马梦迪</t>
  </si>
  <si>
    <t>黑龙江光伏电站综合通讯管理系统软；系统硬件</t>
  </si>
  <si>
    <t>短期软件；超短期软件；预测服务1年</t>
  </si>
  <si>
    <t>短期软件；超短期软件；系统硬件；预测服务1年</t>
  </si>
  <si>
    <t>短期软件；超短期软件；系统硬件；测风塔；测风塔设备；预测服务1年</t>
  </si>
  <si>
    <t>光伏AGC软件；光伏AVC软件；系统硬件</t>
  </si>
  <si>
    <t>辽宁风电场D5000二区软件；系统硬件</t>
  </si>
  <si>
    <t>黑龙江风电场综合通讯管理系统软件；系统硬件</t>
  </si>
  <si>
    <t>辽宁光伏电站D5000二区软件；系统硬件</t>
  </si>
  <si>
    <t>系统硬件；预测服务1年</t>
  </si>
  <si>
    <t>于忠新</t>
  </si>
  <si>
    <t>短期软件；超短期软件；系统硬件；预测服务2年</t>
  </si>
  <si>
    <t>短期软件；超短期软件；技术服务</t>
  </si>
  <si>
    <t>建模扩容；测风塔；测风塔设备；预测服务1年</t>
  </si>
  <si>
    <t>短期软件；超短期软件；系统硬件；测风塔1；测风塔1设备；测风塔2；测风塔2设备；预测服务1年</t>
  </si>
  <si>
    <t>超短期软件；预测系统硬件；黑龙江风电场综合通讯管理系统软件；黑龙江风电场综合通讯管理系统硬件</t>
  </si>
  <si>
    <t>风电AVC软件；系统硬件</t>
  </si>
  <si>
    <t>黑龙江综合通讯系统年服务</t>
  </si>
  <si>
    <t>杨振坤</t>
    <phoneticPr fontId="1" type="noConversion"/>
  </si>
  <si>
    <t>张北华实建投风能有限公司</t>
    <phoneticPr fontId="22" type="noConversion"/>
  </si>
  <si>
    <t>张北曹碾沟风电场风电功率预测系统数值天气预报技术服务合同</t>
    <phoneticPr fontId="22" type="noConversion"/>
  </si>
  <si>
    <t>张北曹碾沟</t>
    <phoneticPr fontId="22" type="noConversion"/>
  </si>
  <si>
    <t>曹碾沟</t>
    <phoneticPr fontId="22" type="noConversion"/>
  </si>
  <si>
    <t>河北建投</t>
    <phoneticPr fontId="22" type="noConversion"/>
  </si>
  <si>
    <t>2018.1.12</t>
    <phoneticPr fontId="22" type="noConversion"/>
  </si>
  <si>
    <t>2016.1.1</t>
    <phoneticPr fontId="22" type="noConversion"/>
  </si>
  <si>
    <t>2017.12.31</t>
    <phoneticPr fontId="22" type="noConversion"/>
  </si>
  <si>
    <t>ZFMD/KGSQ-17085</t>
    <phoneticPr fontId="22" type="noConversion"/>
  </si>
  <si>
    <t>短期软件；超短期软件；系统硬件；测风塔；测风塔设备；预测服务3年</t>
    <phoneticPr fontId="22" type="noConversion"/>
  </si>
  <si>
    <t>秦英飞</t>
    <phoneticPr fontId="22" type="noConversion"/>
  </si>
  <si>
    <t>华能江西清洁能源有限责任公司高龙山风电场</t>
    <phoneticPr fontId="22" type="noConversion"/>
  </si>
  <si>
    <t>华能高龙山风电场（80兆瓦）工程风功率预测系统设备采购合同</t>
    <phoneticPr fontId="22" type="noConversion"/>
  </si>
  <si>
    <t>高龙山</t>
    <phoneticPr fontId="5" type="noConversion"/>
  </si>
  <si>
    <t>华能</t>
    <phoneticPr fontId="22" type="noConversion"/>
  </si>
  <si>
    <t>无</t>
    <phoneticPr fontId="22" type="noConversion"/>
  </si>
  <si>
    <t>ZFMD/SD-18004-SH</t>
    <phoneticPr fontId="22" type="noConversion"/>
  </si>
  <si>
    <t>三峡新能源开原风电有限公司</t>
    <phoneticPr fontId="22" type="noConversion"/>
  </si>
  <si>
    <t>三峡新能源辽宁省开原威远风电场（49.5MW）工程采购测风塔风速传感器协议</t>
    <phoneticPr fontId="22" type="noConversion"/>
  </si>
  <si>
    <t>三峡威远</t>
    <phoneticPr fontId="22" type="noConversion"/>
  </si>
  <si>
    <t>开原威远</t>
    <phoneticPr fontId="22" type="noConversion"/>
  </si>
  <si>
    <t>测风塔设备</t>
    <phoneticPr fontId="22" type="noConversion"/>
  </si>
  <si>
    <t>冯涛</t>
    <phoneticPr fontId="22" type="noConversion"/>
  </si>
  <si>
    <t>2018.1.16</t>
    <phoneticPr fontId="22" type="noConversion"/>
  </si>
  <si>
    <t>2018.1.14</t>
    <phoneticPr fontId="22" type="noConversion"/>
  </si>
  <si>
    <t>复印件</t>
    <phoneticPr fontId="22" type="noConversion"/>
  </si>
  <si>
    <t>ZFMD/SD-18006-SH</t>
    <phoneticPr fontId="22" type="noConversion"/>
  </si>
  <si>
    <t>ZFMD/SD-18007-SH</t>
  </si>
  <si>
    <t>ZFMD/SD-18008-SH</t>
  </si>
  <si>
    <t>ZFMD/SD-18009-SH</t>
  </si>
  <si>
    <t>ZFMD/SD-18010-SH</t>
  </si>
  <si>
    <t>ZFMD/SD-18011-SH</t>
  </si>
  <si>
    <t>ZFMD/SD-18012-SH</t>
  </si>
  <si>
    <t>富强</t>
    <phoneticPr fontId="22" type="noConversion"/>
  </si>
  <si>
    <t>大唐依兰晨光风电场风电功率预测技术服务合同</t>
    <phoneticPr fontId="22" type="noConversion"/>
  </si>
  <si>
    <t>大唐依兰富强风电场风电功率预测技术服务合同</t>
    <phoneticPr fontId="22" type="noConversion"/>
  </si>
  <si>
    <t>郭文明</t>
    <phoneticPr fontId="22" type="noConversion"/>
  </si>
  <si>
    <t>2018.1.17</t>
    <phoneticPr fontId="22" type="noConversion"/>
  </si>
  <si>
    <t>2017.12.30</t>
    <phoneticPr fontId="22" type="noConversion"/>
  </si>
  <si>
    <t>大唐绥滨吉成风风电场风电功率预测技术服务合同</t>
    <phoneticPr fontId="10" type="noConversion"/>
  </si>
  <si>
    <t>大唐桦川苏家店风电场风电功率预测技系统术服务合同</t>
    <phoneticPr fontId="10" type="noConversion"/>
  </si>
  <si>
    <t>大唐桦南大架子山风电场风电功率预测技系统术服务合同</t>
    <phoneticPr fontId="10" type="noConversion"/>
  </si>
  <si>
    <t>大唐集贤太阳山风电场风电功率预测技术服务合同</t>
    <phoneticPr fontId="10" type="noConversion"/>
  </si>
  <si>
    <t>风电功率预测</t>
    <phoneticPr fontId="22" type="noConversion"/>
  </si>
  <si>
    <t>预测服务1年</t>
    <phoneticPr fontId="22" type="noConversion"/>
  </si>
  <si>
    <t>绥滨吉成</t>
    <phoneticPr fontId="22" type="noConversion"/>
  </si>
  <si>
    <t>苏家店</t>
    <phoneticPr fontId="22" type="noConversion"/>
  </si>
  <si>
    <t>ZFMD/SHFW-2018003</t>
    <phoneticPr fontId="22" type="noConversion"/>
  </si>
  <si>
    <t>ZFMD/SHFW-2017023</t>
    <phoneticPr fontId="5" type="noConversion"/>
  </si>
  <si>
    <t>ZFMD/SD-17046-SH</t>
    <phoneticPr fontId="10" type="noConversion"/>
  </si>
  <si>
    <t>场站类别</t>
    <phoneticPr fontId="22" type="noConversion"/>
  </si>
  <si>
    <t>风电场</t>
    <phoneticPr fontId="22" type="noConversion"/>
  </si>
  <si>
    <t>ZFMD/KGSQ-17100</t>
    <phoneticPr fontId="22" type="noConversion"/>
  </si>
  <si>
    <t>三峡新能源</t>
    <phoneticPr fontId="25" type="noConversion"/>
  </si>
  <si>
    <t>新疆</t>
    <phoneticPr fontId="25" type="noConversion"/>
  </si>
  <si>
    <t>苦水</t>
    <phoneticPr fontId="25" type="noConversion"/>
  </si>
  <si>
    <t>王龙波</t>
    <phoneticPr fontId="22" type="noConversion"/>
  </si>
  <si>
    <t>2018.1.29</t>
    <phoneticPr fontId="22" type="noConversion"/>
  </si>
  <si>
    <t>2017.12.29</t>
    <phoneticPr fontId="22" type="noConversion"/>
  </si>
  <si>
    <t>200MW</t>
    <phoneticPr fontId="22" type="noConversion"/>
  </si>
  <si>
    <t>三峡新能源哈密风电有限公司</t>
    <phoneticPr fontId="22" type="noConversion"/>
  </si>
  <si>
    <t>华能启东风力发电有限公司</t>
    <phoneticPr fontId="22" type="noConversion"/>
  </si>
  <si>
    <t>华能</t>
    <phoneticPr fontId="22" type="noConversion"/>
  </si>
  <si>
    <t>江苏</t>
    <phoneticPr fontId="22" type="noConversion"/>
  </si>
  <si>
    <t>启东</t>
    <phoneticPr fontId="22" type="noConversion"/>
  </si>
  <si>
    <t>无</t>
    <phoneticPr fontId="22" type="noConversion"/>
  </si>
  <si>
    <t>于忠新</t>
    <phoneticPr fontId="22" type="noConversion"/>
  </si>
  <si>
    <t>2018.1.1</t>
    <phoneticPr fontId="22" type="noConversion"/>
  </si>
  <si>
    <t>2018.12.31</t>
    <phoneticPr fontId="22" type="noConversion"/>
  </si>
  <si>
    <t>2018.1.30</t>
    <phoneticPr fontId="22" type="noConversion"/>
  </si>
  <si>
    <t>2018.1.24</t>
    <phoneticPr fontId="22" type="noConversion"/>
  </si>
  <si>
    <t>ZFMD/SD-18014-SH</t>
    <phoneticPr fontId="22" type="noConversion"/>
  </si>
  <si>
    <t>三峡新能源黑龙江省宾县大个岭风电场(49.5MW)工程2017年理论功率子站接入系统技术服务合同</t>
    <phoneticPr fontId="22" type="noConversion"/>
  </si>
  <si>
    <t>宾县大个岭风力发电有限公司</t>
    <phoneticPr fontId="22" type="noConversion"/>
  </si>
  <si>
    <t>三峡新能源</t>
    <phoneticPr fontId="22" type="noConversion"/>
  </si>
  <si>
    <t>大个岭</t>
    <phoneticPr fontId="22" type="noConversion"/>
  </si>
  <si>
    <t>宾县大个岭、宾县大泉子</t>
    <phoneticPr fontId="22" type="noConversion"/>
  </si>
  <si>
    <t>黑龙江风电场理论功率上传软件；系统硬件</t>
    <phoneticPr fontId="22" type="noConversion"/>
  </si>
  <si>
    <t>黑龙江风电场理论功率上传软件；系统硬件</t>
    <phoneticPr fontId="22" type="noConversion"/>
  </si>
  <si>
    <t>韩志宇</t>
    <phoneticPr fontId="22" type="noConversion"/>
  </si>
  <si>
    <t>马梦迪</t>
    <phoneticPr fontId="22" type="noConversion"/>
  </si>
  <si>
    <t>2018.1.15</t>
    <phoneticPr fontId="22" type="noConversion"/>
  </si>
  <si>
    <t>场站容量</t>
    <phoneticPr fontId="22" type="noConversion"/>
  </si>
  <si>
    <t>中节能新疆哈密景峡第三风电场B区200MW工程风功率预测系统设备采购及安装工程合同</t>
    <phoneticPr fontId="22" type="noConversion"/>
  </si>
  <si>
    <t>200MW</t>
    <phoneticPr fontId="22" type="noConversion"/>
  </si>
  <si>
    <t>49.5MW</t>
    <phoneticPr fontId="22" type="noConversion"/>
  </si>
  <si>
    <t>80MW</t>
    <phoneticPr fontId="22" type="noConversion"/>
  </si>
  <si>
    <t>49.5MW</t>
    <phoneticPr fontId="22" type="noConversion"/>
  </si>
  <si>
    <t>ZFMD/SD-18016-SH</t>
  </si>
  <si>
    <t>云南</t>
    <phoneticPr fontId="22" type="noConversion"/>
  </si>
  <si>
    <t>苏撒坡</t>
    <phoneticPr fontId="22" type="noConversion"/>
  </si>
  <si>
    <t>中电</t>
    <phoneticPr fontId="22" type="noConversion"/>
  </si>
  <si>
    <t>无</t>
    <phoneticPr fontId="22" type="noConversion"/>
  </si>
  <si>
    <t>秦英飞</t>
    <phoneticPr fontId="22" type="noConversion"/>
  </si>
  <si>
    <t>2018.1.31</t>
    <phoneticPr fontId="22" type="noConversion"/>
  </si>
  <si>
    <t>2018.1.20</t>
    <phoneticPr fontId="22" type="noConversion"/>
  </si>
  <si>
    <t>2019.1.19</t>
    <phoneticPr fontId="22" type="noConversion"/>
  </si>
  <si>
    <t>2018.1.19</t>
    <phoneticPr fontId="22" type="noConversion"/>
  </si>
  <si>
    <t>寻甸苏撒坡风电场风功率功率预测技术服务合同</t>
    <phoneticPr fontId="22" type="noConversion"/>
  </si>
  <si>
    <t>中电（昆明）新能源发电有限公司</t>
    <phoneticPr fontId="22" type="noConversion"/>
  </si>
  <si>
    <t>2018.1.13</t>
  </si>
  <si>
    <t>2019.1.12</t>
  </si>
  <si>
    <t>短期软件；超短期软件；系统硬件；预测服务1年</t>
    <phoneticPr fontId="25" type="noConversion"/>
  </si>
  <si>
    <t>锦州和兴风力发电有限公司</t>
    <phoneticPr fontId="22" type="noConversion"/>
  </si>
  <si>
    <t>黑山龙湾</t>
    <phoneticPr fontId="22" type="noConversion"/>
  </si>
  <si>
    <t>/</t>
    <phoneticPr fontId="22" type="noConversion"/>
  </si>
  <si>
    <t>辽宁</t>
    <phoneticPr fontId="22" type="noConversion"/>
  </si>
  <si>
    <t>王国先</t>
    <phoneticPr fontId="22" type="noConversion"/>
  </si>
  <si>
    <t>2016.10.1</t>
    <phoneticPr fontId="22" type="noConversion"/>
  </si>
  <si>
    <t>2017.12.31</t>
    <phoneticPr fontId="22" type="noConversion"/>
  </si>
  <si>
    <t>预测服务2年</t>
    <phoneticPr fontId="1" type="noConversion"/>
  </si>
  <si>
    <t>短期软件；超短期软件；系统硬件；光伏气象站；光伏气象站设备；预测服务1年</t>
    <phoneticPr fontId="1" type="noConversion"/>
  </si>
  <si>
    <t>短期软件；超短期软件；预测服务0.5年</t>
    <phoneticPr fontId="1" type="noConversion"/>
  </si>
  <si>
    <t>预测服务1年</t>
    <phoneticPr fontId="1" type="noConversion"/>
  </si>
  <si>
    <t>短期软件；超短期软件；系统硬件；光伏气象站；光伏气象站设备</t>
    <phoneticPr fontId="1" type="noConversion"/>
  </si>
  <si>
    <t>风电功率预测</t>
    <phoneticPr fontId="1" type="noConversion"/>
  </si>
  <si>
    <t>短期软件；系统硬件</t>
    <phoneticPr fontId="1" type="noConversion"/>
  </si>
  <si>
    <t>郭文明</t>
    <phoneticPr fontId="1" type="noConversion"/>
  </si>
  <si>
    <t>短期软件；系统硬件；预测服务3年</t>
    <phoneticPr fontId="1" type="noConversion"/>
  </si>
  <si>
    <t>韩志宇</t>
    <phoneticPr fontId="1" type="noConversion"/>
  </si>
  <si>
    <t>龙源</t>
  </si>
  <si>
    <t>/</t>
    <phoneticPr fontId="25" type="noConversion"/>
  </si>
  <si>
    <t>兆方美迪风电功率预测系统</t>
  </si>
  <si>
    <t>风电场风电功率预测服务</t>
  </si>
  <si>
    <t>伊春龙源金山风力发电有限公司（雄亚）</t>
  </si>
  <si>
    <t>桦南龙源风力发电有限公司（雄亚）</t>
  </si>
  <si>
    <t>ZFMD/KGSQ-17044</t>
    <phoneticPr fontId="5" type="noConversion"/>
  </si>
  <si>
    <t>ZFMD/KGSQ-17088</t>
    <phoneticPr fontId="5" type="noConversion"/>
  </si>
  <si>
    <t>ZFMD/SD-18013-SH-BG01</t>
    <phoneticPr fontId="5" type="noConversion"/>
  </si>
  <si>
    <t>超短期软件；系统硬件；测风塔；测风塔设备</t>
    <phoneticPr fontId="10" type="noConversion"/>
  </si>
  <si>
    <t>短期软件；超短期软件；系统硬件；光伏气象站；光伏气象站设备；预测服务1年；光伏AGC软件；光伏AVC软件；系统硬件</t>
    <phoneticPr fontId="10" type="noConversion"/>
  </si>
  <si>
    <t>短期软件；超短期软件；系统硬件；光伏气象站设备；预测服务1年</t>
    <phoneticPr fontId="10" type="noConversion"/>
  </si>
  <si>
    <t>2018.1.29</t>
    <phoneticPr fontId="22" type="noConversion"/>
  </si>
  <si>
    <t>2018.2.6</t>
    <phoneticPr fontId="22" type="noConversion"/>
  </si>
  <si>
    <t>黑山龙湾风电场风功率预测系统技术服务合同</t>
    <phoneticPr fontId="22" type="noConversion"/>
  </si>
  <si>
    <t>横岱山</t>
  </si>
  <si>
    <t>预测服务3年</t>
  </si>
  <si>
    <t>江苏</t>
  </si>
  <si>
    <t>王维</t>
    <phoneticPr fontId="1" type="noConversion"/>
  </si>
  <si>
    <t>查干浩特</t>
  </si>
  <si>
    <t>平顶堡</t>
  </si>
  <si>
    <t>大箐山、石帽顶子、耳朵眼</t>
  </si>
  <si>
    <t>大蜂山</t>
  </si>
  <si>
    <t>小锅盔</t>
  </si>
  <si>
    <t>内蒙古</t>
  </si>
  <si>
    <t>后湾兔</t>
  </si>
  <si>
    <t xml:space="preserve">风机状态监测 </t>
  </si>
  <si>
    <t>河北建投</t>
  </si>
  <si>
    <t>河北</t>
  </si>
  <si>
    <t>曹碾沟</t>
  </si>
  <si>
    <t>国电和风</t>
  </si>
  <si>
    <t>亚洲电力</t>
  </si>
  <si>
    <t>安城大唐</t>
  </si>
  <si>
    <t>短期软件；超短期软件；系统硬件；测风塔；测风塔设备；预测服务3年</t>
    <phoneticPr fontId="1" type="noConversion"/>
  </si>
  <si>
    <t>大唐桦川风电场风电功率预测系统采购合同</t>
  </si>
  <si>
    <t>大唐集贤太阳山风电场风电功率预测系统采购合同</t>
  </si>
  <si>
    <t>桦南龙源风力发电有限公司</t>
  </si>
  <si>
    <t>风电场风电功率预测系统采购和服务合同</t>
  </si>
  <si>
    <t>三峡新能源白城风电发展有限公司</t>
  </si>
  <si>
    <t>抚远龙源风力发电有限公司</t>
  </si>
  <si>
    <t>海林龙源风力发电有限公司</t>
  </si>
  <si>
    <t>广东明阳风电产业集团有限公司</t>
  </si>
  <si>
    <t>张北华实建投风能有限公司</t>
  </si>
  <si>
    <t>代马沟风电场风电功率预测系统服务合同书</t>
  </si>
  <si>
    <t>黑龙江富龙风力发电有限责任公司</t>
  </si>
  <si>
    <t>华能铁岭风力发电有限公司</t>
  </si>
  <si>
    <t>镇西堡</t>
  </si>
  <si>
    <t>华能后湾兔</t>
  </si>
  <si>
    <t>李家屯</t>
  </si>
  <si>
    <t>海林</t>
  </si>
  <si>
    <t>国电</t>
  </si>
  <si>
    <t>滨海国电</t>
  </si>
  <si>
    <t>天山电力</t>
  </si>
  <si>
    <t>泽库大唐</t>
  </si>
  <si>
    <t>尚义石井</t>
  </si>
  <si>
    <t>马站华能</t>
  </si>
  <si>
    <t>黑山龙湾</t>
  </si>
  <si>
    <t>国华</t>
  </si>
  <si>
    <t>腾字</t>
  </si>
  <si>
    <t>国电物资山东配送有限公司</t>
  </si>
  <si>
    <t>风电场并网调度技术支持系统采购合同</t>
  </si>
  <si>
    <t>大唐集贤太平风电场风电功率预测系统采购合同</t>
  </si>
  <si>
    <t>华电铁岭镇西堡风电场及李家屯风电场风电功率预测系统服务合同</t>
  </si>
  <si>
    <t>合同协议书</t>
  </si>
  <si>
    <t>大唐文登风力发电有限公司</t>
  </si>
  <si>
    <t>龙源克东爱华风电场风功率预测系统采购及服务合同</t>
  </si>
  <si>
    <t>龙源大庆草原风电场风功率预测系统采购及服务合同</t>
  </si>
  <si>
    <t>中广核密山林场（柳毛）风电场风电功率预测系统服务合同</t>
  </si>
  <si>
    <t>中广核兴凯湖（蜂蜜山）风电场风电功率预测系统服务合同</t>
  </si>
  <si>
    <t>三峡新能源调兵山风电场超短期风电功率预测采购合同</t>
  </si>
  <si>
    <t>三峡新能源尚义风电有限公司</t>
  </si>
  <si>
    <t>三峡新能源尚义风电场风电功率预测系统建设合同</t>
  </si>
  <si>
    <t>龙源沾化风电场并网调度自动化技术支持系统（风电功率预测及AGC\AVC)</t>
  </si>
  <si>
    <t>华电汤原渠首风电场风电功率预测系统装置采购合同</t>
  </si>
  <si>
    <t>华电七里嘎山风电场风电功率预测系统设备采购及建模服务合同</t>
  </si>
  <si>
    <t>华电虎林石青山风电场超短期风电功率预测采购合同</t>
  </si>
  <si>
    <t>华能铁岭平顶堡风电场工程---风功率预测自动上传设备采购</t>
  </si>
  <si>
    <t>黑龙江兴凯湖（蜂蜜山）风电场（49.8MW）超短期风电功率预测系统及测风塔设备采购合同</t>
  </si>
  <si>
    <t>绥滨吉成风电场项目风功率预测装置采购合同</t>
  </si>
  <si>
    <t>大唐碾子山风电场风电功率预测系统采购合同</t>
  </si>
  <si>
    <t>福建龙海隆教风电场风功率预测系统采购合同</t>
  </si>
  <si>
    <t>三峡新能源白城查干浩特风电场实时传输测风塔改造合同</t>
  </si>
  <si>
    <t>华电前锋风电场风电功率预测系统设备采购及建模服务合同</t>
  </si>
  <si>
    <t>大唐集贤太平风电场超短期风电功率预测系统及测风塔设备采购及安装项目合同</t>
  </si>
  <si>
    <t>大唐齐齐哈尔碾子山风电场超短期风电功率预测系统及测风塔设备采购及安装项目合同</t>
  </si>
  <si>
    <t>华能沂水风力发电有限公司</t>
  </si>
  <si>
    <t>华能沂水马站风电一期49.5MW工程并网调度自动化系统设备采购合同</t>
  </si>
  <si>
    <t>中广核泡崖大北山风电场风电功率预测系统采购合同</t>
  </si>
  <si>
    <t>依兰龙源汇能风力发电有限公司</t>
  </si>
  <si>
    <t>技术服务合同</t>
  </si>
  <si>
    <t>伊春龙源金山风力发电有限公司</t>
  </si>
  <si>
    <t>物资订货合同</t>
  </si>
  <si>
    <t>双鸭山锅盔山风电场（49.5MW）风功率预测采购合同</t>
  </si>
  <si>
    <t>中国华电集团物资有限公司</t>
  </si>
  <si>
    <t>工业品买卖合同</t>
  </si>
  <si>
    <t>三峡新能源调兵山风电有限公司风电集中监控系统采购合同</t>
  </si>
  <si>
    <t>锦州和兴风力发电有限公司</t>
  </si>
  <si>
    <t>黑山龙湾48MW风电场工程功率预测系统设备合同文件</t>
  </si>
  <si>
    <t>吉林省隆盛源电力工程技术有限公司</t>
  </si>
  <si>
    <t>国华乾安腾字风电场一期（49.5MW）工程风功率预测采购合同</t>
  </si>
  <si>
    <t>中广核摘月山风电场风电调度技术支持系统及服务采购合同</t>
  </si>
  <si>
    <t>华电铁岭心田堡风电场（48MW）工程集中监控系统采购合同</t>
  </si>
  <si>
    <t>中航龙腾风电场（49.5MW）风功率预测系统采购合同</t>
  </si>
  <si>
    <t>华电双辽那木斯风电场风电功率预测技术服务合同</t>
  </si>
  <si>
    <t>华电大安风水山风电场风电功率预测技术服务合同</t>
  </si>
  <si>
    <t>国华（东台）风电有限公司</t>
  </si>
  <si>
    <t>GE风机偏航刹车片采购合同</t>
  </si>
  <si>
    <t>大唐东营风电场并网调度自动化技术支持系统（风功率预测及AGC、AVC）</t>
  </si>
  <si>
    <t>大唐文登风电场并网调度自动化技术支持系统（风功率预测及AGC、AVC）</t>
  </si>
  <si>
    <t>华电虎林石青山风电场测风设备采购及安装合同</t>
  </si>
  <si>
    <t>风机备件</t>
  </si>
  <si>
    <t>刹车片</t>
  </si>
  <si>
    <t>亚洲电力</t>
    <phoneticPr fontId="1" type="noConversion"/>
  </si>
  <si>
    <t>ZFMD/SD-18002-SH</t>
    <phoneticPr fontId="5" type="noConversion"/>
  </si>
  <si>
    <t xml:space="preserve">长岭王子风电场一期风功率预测系统技术服务合同
</t>
    <phoneticPr fontId="22" type="noConversion"/>
  </si>
  <si>
    <t>中国水电建设集团新能源开发有限责任公司长岭风电分公司</t>
    <phoneticPr fontId="22" type="noConversion"/>
  </si>
  <si>
    <t>中水建设</t>
    <phoneticPr fontId="22" type="noConversion"/>
  </si>
  <si>
    <t>吉林</t>
    <phoneticPr fontId="22" type="noConversion"/>
  </si>
  <si>
    <t>长岭王子</t>
    <phoneticPr fontId="22" type="noConversion"/>
  </si>
  <si>
    <t>2018.2.9</t>
    <phoneticPr fontId="22" type="noConversion"/>
  </si>
  <si>
    <t>2017.5.7</t>
    <phoneticPr fontId="22" type="noConversion"/>
  </si>
  <si>
    <t>2018.5.6</t>
    <phoneticPr fontId="22" type="noConversion"/>
  </si>
  <si>
    <t xml:space="preserve">长岭王子风电场二期
风功率预测系统技术服务合同
</t>
    <phoneticPr fontId="22" type="noConversion"/>
  </si>
  <si>
    <t>中水电中电风力发电有限公司</t>
    <phoneticPr fontId="22" type="noConversion"/>
  </si>
  <si>
    <t xml:space="preserve">长岭王子风电场三期
风功率预测系统技术服务合同
</t>
    <phoneticPr fontId="22" type="noConversion"/>
  </si>
  <si>
    <t>长岭中电建新能源风力发电有限责任公司</t>
    <phoneticPr fontId="22" type="noConversion"/>
  </si>
  <si>
    <t>ZFMD/SD-18018-2-SH</t>
    <phoneticPr fontId="22" type="noConversion"/>
  </si>
  <si>
    <t>长岭王子一期</t>
    <phoneticPr fontId="22" type="noConversion"/>
  </si>
  <si>
    <t>长岭王子二期</t>
    <phoneticPr fontId="22" type="noConversion"/>
  </si>
  <si>
    <t>长岭王子三期</t>
    <phoneticPr fontId="22" type="noConversion"/>
  </si>
  <si>
    <t>ZFMD/KGSQ-17093</t>
    <phoneticPr fontId="5" type="noConversion"/>
  </si>
  <si>
    <t>ZFMD/SD-18019-SH</t>
    <phoneticPr fontId="22" type="noConversion"/>
  </si>
  <si>
    <t>ZFMD/SD-18020-SH</t>
  </si>
  <si>
    <t>福能（漳州）风力发电有限责任公司</t>
    <phoneticPr fontId="22" type="noConversion"/>
  </si>
  <si>
    <t>福建省山风电场风功率预测系统服务合同</t>
    <phoneticPr fontId="22" type="noConversion"/>
  </si>
  <si>
    <t>福建石塘风电场风功率预测系统服务合同</t>
    <phoneticPr fontId="22" type="noConversion"/>
  </si>
  <si>
    <t>福能</t>
    <phoneticPr fontId="22" type="noConversion"/>
  </si>
  <si>
    <t>福建</t>
    <phoneticPr fontId="22" type="noConversion"/>
  </si>
  <si>
    <t>秦英飞</t>
    <phoneticPr fontId="22" type="noConversion"/>
  </si>
  <si>
    <t>2018.2.11</t>
    <phoneticPr fontId="22" type="noConversion"/>
  </si>
  <si>
    <t>2018.1.1</t>
    <phoneticPr fontId="22" type="noConversion"/>
  </si>
  <si>
    <t>2018.12.31</t>
    <phoneticPr fontId="22" type="noConversion"/>
  </si>
  <si>
    <t>福能平海（莆田）风力发电有限公司</t>
    <phoneticPr fontId="22" type="noConversion"/>
  </si>
  <si>
    <t>龙海新村、新厝、港尾</t>
    <phoneticPr fontId="22" type="noConversion"/>
  </si>
  <si>
    <t>省山</t>
    <phoneticPr fontId="22" type="noConversion"/>
  </si>
  <si>
    <t>莆田石塘</t>
    <phoneticPr fontId="22" type="noConversion"/>
  </si>
  <si>
    <t>石塘</t>
    <phoneticPr fontId="22" type="noConversion"/>
  </si>
  <si>
    <t>2018.2.6</t>
    <phoneticPr fontId="22" type="noConversion"/>
  </si>
  <si>
    <t>未开</t>
    <phoneticPr fontId="22" type="noConversion"/>
  </si>
  <si>
    <t>ZFMD/SD-18021-SH</t>
  </si>
  <si>
    <t>ZFMD/KGSQ-17027</t>
    <phoneticPr fontId="25" type="noConversion"/>
  </si>
  <si>
    <t>ZFMD/KGSQ-17029</t>
  </si>
  <si>
    <t>密山临河风力发电有限公司</t>
    <phoneticPr fontId="22" type="noConversion"/>
  </si>
  <si>
    <t>双鸭山老平岗风力发电有限公司</t>
    <phoneticPr fontId="22" type="noConversion"/>
  </si>
  <si>
    <t>哈拉海风电场受阻功率等数据上传省调服务合同</t>
    <phoneticPr fontId="22" type="noConversion"/>
  </si>
  <si>
    <t>龙江杏山风力发电有限公司</t>
    <phoneticPr fontId="22" type="noConversion"/>
  </si>
  <si>
    <t>兴凯湖</t>
    <phoneticPr fontId="22" type="noConversion"/>
  </si>
  <si>
    <t>兴凯湖风电场受阻功率等数据上传省调服务合同</t>
    <phoneticPr fontId="22" type="noConversion"/>
  </si>
  <si>
    <t>安邦河风电场受阻功率等数据上传省调服务合同</t>
    <phoneticPr fontId="22" type="noConversion"/>
  </si>
  <si>
    <t>中广核</t>
    <phoneticPr fontId="22" type="noConversion"/>
  </si>
  <si>
    <t>韩志宇</t>
    <phoneticPr fontId="22" type="noConversion"/>
  </si>
  <si>
    <t>马梦迪</t>
    <phoneticPr fontId="22" type="noConversion"/>
  </si>
  <si>
    <t>2018.3.2</t>
    <phoneticPr fontId="22" type="noConversion"/>
  </si>
  <si>
    <t>柳毛+蜂蜜山（一、二期）
临河+潘家店（三、四期）
密山兴凯湖</t>
    <phoneticPr fontId="22" type="noConversion"/>
  </si>
  <si>
    <t>安邦河</t>
    <phoneticPr fontId="22" type="noConversion"/>
  </si>
  <si>
    <t>双鸭山/老平岗+杨木岗+锅盔山</t>
    <phoneticPr fontId="22" type="noConversion"/>
  </si>
  <si>
    <t>哈拉海</t>
    <phoneticPr fontId="22" type="noConversion"/>
  </si>
  <si>
    <t>龙腾/中航龙腾/龙江/红旗+杏山</t>
    <phoneticPr fontId="22" type="noConversion"/>
  </si>
  <si>
    <t>ZFMD/SD-18022-SH</t>
    <phoneticPr fontId="22" type="noConversion"/>
  </si>
  <si>
    <t>ZFMD/KGSQ-17028</t>
    <phoneticPr fontId="22" type="noConversion"/>
  </si>
  <si>
    <t>ZFMD/SD-18024-3-SH</t>
  </si>
  <si>
    <t>上海电气风电设备黑龙江有限公司</t>
    <phoneticPr fontId="22" type="noConversion"/>
  </si>
  <si>
    <t>大唐</t>
    <phoneticPr fontId="22" type="noConversion"/>
  </si>
  <si>
    <t>祝三</t>
    <phoneticPr fontId="22" type="noConversion"/>
  </si>
  <si>
    <t>ZFMD/KGSQ-17003</t>
    <phoneticPr fontId="22" type="noConversion"/>
  </si>
  <si>
    <t>采购订单</t>
    <phoneticPr fontId="22" type="noConversion"/>
  </si>
  <si>
    <t>郭文明</t>
    <phoneticPr fontId="22" type="noConversion"/>
  </si>
  <si>
    <t>李妍</t>
    <phoneticPr fontId="22" type="noConversion"/>
  </si>
  <si>
    <t>2016.4.7</t>
    <phoneticPr fontId="22" type="noConversion"/>
  </si>
  <si>
    <t>2018.3.2</t>
    <phoneticPr fontId="22" type="noConversion"/>
  </si>
  <si>
    <t>2018.2.12</t>
    <phoneticPr fontId="22" type="noConversion"/>
  </si>
  <si>
    <t>ZFMD/KGSQ-17001</t>
    <phoneticPr fontId="22" type="noConversion"/>
  </si>
  <si>
    <t>青山</t>
    <phoneticPr fontId="22" type="noConversion"/>
  </si>
  <si>
    <t>东辉(祝三)</t>
    <phoneticPr fontId="22" type="noConversion"/>
  </si>
  <si>
    <t>东辉(青山)</t>
    <phoneticPr fontId="22" type="noConversion"/>
  </si>
  <si>
    <t>风电功率预测</t>
    <phoneticPr fontId="22" type="noConversion"/>
  </si>
  <si>
    <t>ZFMD/SD-18023-SH</t>
    <phoneticPr fontId="22" type="noConversion"/>
  </si>
  <si>
    <t>ZFMD/SD-18024-2-SH</t>
    <phoneticPr fontId="22" type="noConversion"/>
  </si>
  <si>
    <t>ZFMD/SD-18024-1-SH</t>
    <phoneticPr fontId="22" type="noConversion"/>
  </si>
  <si>
    <t>ZFMD/SD-18018-1-SH</t>
    <phoneticPr fontId="22" type="noConversion"/>
  </si>
  <si>
    <t>ZFMD/SD-18018-3-SH</t>
    <phoneticPr fontId="22" type="noConversion"/>
  </si>
  <si>
    <t>ZFMD/SD-18017-SH</t>
    <phoneticPr fontId="22" type="noConversion"/>
  </si>
  <si>
    <t>ZFMD/SD-18015-SH</t>
    <phoneticPr fontId="22" type="noConversion"/>
  </si>
  <si>
    <t>ZFMD/SD-18013-SH</t>
    <phoneticPr fontId="22" type="noConversion"/>
  </si>
  <si>
    <t>ZFMD/SD-18005-SH</t>
    <phoneticPr fontId="22" type="noConversion"/>
  </si>
  <si>
    <t>ZFMD/SD-17157-SH</t>
    <phoneticPr fontId="10" type="noConversion"/>
  </si>
  <si>
    <t>ZFMD/SD-17156-SH</t>
    <phoneticPr fontId="10" type="noConversion"/>
  </si>
  <si>
    <t>ZFMD/SD-17152-SH</t>
    <phoneticPr fontId="10" type="noConversion"/>
  </si>
  <si>
    <t>ZFMD/SD-17150-SH</t>
    <phoneticPr fontId="10" type="noConversion"/>
  </si>
  <si>
    <t>ZFMD/SD-17149-SH</t>
    <phoneticPr fontId="10" type="noConversion"/>
  </si>
  <si>
    <t>ZFMD/SD-17135-SH</t>
    <phoneticPr fontId="10" type="noConversion"/>
  </si>
  <si>
    <t>ZFMD/SD-17133-SH</t>
    <phoneticPr fontId="10" type="noConversion"/>
  </si>
  <si>
    <t>ZFMD/SD-17129-SH</t>
    <phoneticPr fontId="10" type="noConversion"/>
  </si>
  <si>
    <t>ZFMD/SD-17128-SH</t>
    <phoneticPr fontId="10" type="noConversion"/>
  </si>
  <si>
    <t>ZFMD/SD-17126-SH</t>
    <phoneticPr fontId="10" type="noConversion"/>
  </si>
  <si>
    <t>ZFMD/KGSQ-17020</t>
    <phoneticPr fontId="10" type="noConversion"/>
  </si>
  <si>
    <t>ZFMD/SD-17123-SH</t>
    <phoneticPr fontId="10" type="noConversion"/>
  </si>
  <si>
    <t>ZFMD/SD-17122-SH</t>
    <phoneticPr fontId="10" type="noConversion"/>
  </si>
  <si>
    <t>ZFMD/SD-17117-SH</t>
    <phoneticPr fontId="10" type="noConversion"/>
  </si>
  <si>
    <t>ZFMD/SD-17114-SH</t>
    <phoneticPr fontId="10" type="noConversion"/>
  </si>
  <si>
    <t>ZFMD/SD-17029-SH</t>
    <phoneticPr fontId="10" type="noConversion"/>
  </si>
  <si>
    <t>ZFMD/KGSQ-16008
ZFMD/KGSQ-16009</t>
    <phoneticPr fontId="1" type="noConversion"/>
  </si>
  <si>
    <t>ZFMD/KGSQ-16006
ZFMD/KGSQ-16007</t>
    <phoneticPr fontId="1" type="noConversion"/>
  </si>
  <si>
    <t>ZFMD/SD-18023-SH-BG01
ZFMD/SD-18023-SH-BG02</t>
    <phoneticPr fontId="5" type="noConversion"/>
  </si>
  <si>
    <t>ZFMD/SD-17149-SH-BG01
ZFMD/SD-17149-SH-BG02</t>
    <phoneticPr fontId="10" type="noConversion"/>
  </si>
  <si>
    <t xml:space="preserve">  王国先</t>
    <phoneticPr fontId="10" type="noConversion"/>
  </si>
  <si>
    <t>冯涛</t>
    <phoneticPr fontId="10" type="noConversion"/>
  </si>
  <si>
    <t>广西</t>
    <phoneticPr fontId="1" type="noConversion"/>
  </si>
  <si>
    <t>河北</t>
    <phoneticPr fontId="22" type="noConversion"/>
  </si>
  <si>
    <t>安徽</t>
    <phoneticPr fontId="5" type="noConversion"/>
  </si>
  <si>
    <t xml:space="preserve">宁夏 </t>
    <phoneticPr fontId="5" type="noConversion"/>
  </si>
  <si>
    <t>青海</t>
    <phoneticPr fontId="10" type="noConversion"/>
  </si>
  <si>
    <t>陕西</t>
    <phoneticPr fontId="10" type="noConversion"/>
  </si>
  <si>
    <t>中广核</t>
    <phoneticPr fontId="22" type="noConversion"/>
  </si>
  <si>
    <t>哈拉海</t>
    <phoneticPr fontId="22" type="noConversion"/>
  </si>
  <si>
    <t>故障录波器</t>
    <phoneticPr fontId="22" type="noConversion"/>
  </si>
  <si>
    <t>2018.3.31</t>
    <phoneticPr fontId="22" type="noConversion"/>
  </si>
  <si>
    <t>208.1.16</t>
    <phoneticPr fontId="22" type="noConversion"/>
  </si>
  <si>
    <t>合同交底会
时间</t>
    <phoneticPr fontId="22" type="noConversion"/>
  </si>
  <si>
    <t>保函开具
情况</t>
    <phoneticPr fontId="22" type="noConversion"/>
  </si>
  <si>
    <t>第三方
接口费</t>
    <phoneticPr fontId="10" type="noConversion"/>
  </si>
  <si>
    <t>合同存档
日期</t>
    <phoneticPr fontId="1" type="noConversion"/>
  </si>
  <si>
    <t>合同签订
日期</t>
    <phoneticPr fontId="1" type="noConversion"/>
  </si>
  <si>
    <t>合同存档
原件/复印件</t>
    <phoneticPr fontId="1" type="noConversion"/>
  </si>
  <si>
    <t>合同存档
份数</t>
    <phoneticPr fontId="1" type="noConversion"/>
  </si>
  <si>
    <t>服务收费
起始时间</t>
    <phoneticPr fontId="1" type="noConversion"/>
  </si>
  <si>
    <t>服务收费
终止时间</t>
    <phoneticPr fontId="1" type="noConversion"/>
  </si>
  <si>
    <t>ZFMD/SD-18026-SH</t>
    <phoneticPr fontId="22" type="noConversion"/>
  </si>
  <si>
    <t>哈密中核风电有限公司</t>
    <phoneticPr fontId="22" type="noConversion"/>
  </si>
  <si>
    <t>中核</t>
    <phoneticPr fontId="22" type="noConversion"/>
  </si>
  <si>
    <t>新疆</t>
    <phoneticPr fontId="22" type="noConversion"/>
  </si>
  <si>
    <t>2018.3</t>
    <phoneticPr fontId="22" type="noConversion"/>
  </si>
  <si>
    <t>双榆光伏电站综合通讯管理系统设备2套采购合同</t>
    <phoneticPr fontId="22" type="noConversion"/>
  </si>
  <si>
    <t>华能</t>
    <phoneticPr fontId="22" type="noConversion"/>
  </si>
  <si>
    <t>ZFMD/SD-18027-1-SH</t>
    <phoneticPr fontId="22" type="noConversion"/>
  </si>
  <si>
    <t>ZFMD/SD-18027-2-SH</t>
    <phoneticPr fontId="22" type="noConversion"/>
  </si>
  <si>
    <t>大庆双榆</t>
    <phoneticPr fontId="22" type="noConversion"/>
  </si>
  <si>
    <t>光伏电站</t>
    <phoneticPr fontId="22" type="noConversion"/>
  </si>
  <si>
    <t>电力通讯</t>
    <phoneticPr fontId="22" type="noConversion"/>
  </si>
  <si>
    <t>黑龙江光伏电站综合通讯管理系统软件；系统硬件</t>
    <phoneticPr fontId="22" type="noConversion"/>
  </si>
  <si>
    <t>2018.3.19</t>
    <phoneticPr fontId="22" type="noConversion"/>
  </si>
  <si>
    <t>ZFMD/SD-18028-SH</t>
    <phoneticPr fontId="22" type="noConversion"/>
  </si>
  <si>
    <t>ZFMD/SD-18029-SH</t>
  </si>
  <si>
    <t>国华（乾安）风电有限公司</t>
    <phoneticPr fontId="22" type="noConversion"/>
  </si>
  <si>
    <t>风电功率预测系统服务合同书</t>
    <phoneticPr fontId="22" type="noConversion"/>
  </si>
  <si>
    <t>国华（齐齐哈尔）风电有限公司</t>
    <phoneticPr fontId="22" type="noConversion"/>
  </si>
  <si>
    <t>国华</t>
    <phoneticPr fontId="22" type="noConversion"/>
  </si>
  <si>
    <t>富裕</t>
    <phoneticPr fontId="22" type="noConversion"/>
  </si>
  <si>
    <t>2018.3.30</t>
    <phoneticPr fontId="22" type="noConversion"/>
  </si>
  <si>
    <t>2018.3.12</t>
    <phoneticPr fontId="22" type="noConversion"/>
  </si>
  <si>
    <t>2018.12.31</t>
    <phoneticPr fontId="22" type="noConversion"/>
  </si>
  <si>
    <t>哈密烟墩8C/哈密烟墩</t>
    <phoneticPr fontId="22" type="noConversion"/>
  </si>
  <si>
    <t>腾字</t>
    <phoneticPr fontId="22" type="noConversion"/>
  </si>
  <si>
    <t>富裕风电</t>
    <phoneticPr fontId="22" type="noConversion"/>
  </si>
  <si>
    <t>ZFMD/KGSQ-17096</t>
    <phoneticPr fontId="5" type="noConversion"/>
  </si>
  <si>
    <t>ZFMD/KGSQ-17098</t>
    <phoneticPr fontId="5" type="noConversion"/>
  </si>
  <si>
    <t>ZFMD/SD-18025-1-SH</t>
    <phoneticPr fontId="22" type="noConversion"/>
  </si>
  <si>
    <t>ZFMD/SD-18025-2-SH</t>
    <phoneticPr fontId="22" type="noConversion"/>
  </si>
  <si>
    <t>ZFMD/KGSQ-18012</t>
    <phoneticPr fontId="5" type="noConversion"/>
  </si>
  <si>
    <t>深圳市双合电气股份有限公司/
中航龙腾风力发电有限公司</t>
    <phoneticPr fontId="22" type="noConversion"/>
  </si>
  <si>
    <t>中广核兴凯湖风电场、哈拉海风电场故障录波器装置安装调试服务合同（兆方美迪与深圳双合）/
哈拉海风电场故障录波器升级改造服务合同（深圳双合与中航龙腾）</t>
    <phoneticPr fontId="22" type="noConversion"/>
  </si>
  <si>
    <t>深圳市双合电气股份有限公司/黑龙江北方风力发电有限公司</t>
    <phoneticPr fontId="22" type="noConversion"/>
  </si>
  <si>
    <t>中广核兴凯湖风电场、哈拉海风电场故障录波器装置安装调试服务合同（兆方美迪与深圳双合）/
兴凯湖风电场故障录波器升级改造服务合同（深圳双合与中航龙腾）</t>
    <phoneticPr fontId="22" type="noConversion"/>
  </si>
  <si>
    <t>故障录波器</t>
    <phoneticPr fontId="22" type="noConversion"/>
  </si>
  <si>
    <t>柳毛+蜂蜜山（一、二期）
临河+潘家店（三、四期）
密山兴凯湖</t>
    <phoneticPr fontId="22" type="noConversion"/>
  </si>
  <si>
    <t>龙腾/中航龙腾/龙江/红旗+杏山</t>
    <phoneticPr fontId="22" type="noConversion"/>
  </si>
  <si>
    <t>中核庙尔沟风电一场</t>
    <phoneticPr fontId="22" type="noConversion"/>
  </si>
  <si>
    <t>风电功率预测</t>
    <phoneticPr fontId="22" type="noConversion"/>
  </si>
  <si>
    <t>预测服务1年</t>
    <phoneticPr fontId="22" type="noConversion"/>
  </si>
  <si>
    <t>哈密风电基地二期烟墩八C中核200MW风电项目哈密中核风电有限公司与兆方美迪风能工程（上海）有限公司关于风电功率预测系统服务合同</t>
    <phoneticPr fontId="22" type="noConversion"/>
  </si>
  <si>
    <t>电力通讯</t>
    <phoneticPr fontId="22" type="noConversion"/>
  </si>
  <si>
    <t>黑龙江光伏电站综合通讯管理系统软件；系统硬件</t>
    <phoneticPr fontId="22" type="noConversion"/>
  </si>
  <si>
    <t>大庆华能双榆太阳能发电有限公司</t>
    <phoneticPr fontId="22" type="noConversion"/>
  </si>
  <si>
    <t>双榆光伏电站综合通讯管理系统设备2套采购合同</t>
    <phoneticPr fontId="22" type="noConversion"/>
  </si>
  <si>
    <t>ZFMD/KGSQ-18012</t>
    <phoneticPr fontId="5" type="noConversion"/>
  </si>
  <si>
    <t>肇东德昌</t>
    <phoneticPr fontId="22" type="noConversion"/>
  </si>
  <si>
    <t>乾安腾字</t>
    <phoneticPr fontId="22" type="noConversion"/>
  </si>
  <si>
    <t>郭文明</t>
    <phoneticPr fontId="22" type="noConversion"/>
  </si>
  <si>
    <t>预测服务费</t>
    <phoneticPr fontId="22" type="noConversion"/>
  </si>
  <si>
    <t>保函开具
情况</t>
    <phoneticPr fontId="10" type="noConversion"/>
  </si>
  <si>
    <t>合同交底会
时间</t>
    <phoneticPr fontId="10" type="noConversion"/>
  </si>
  <si>
    <t>短期软件；系统硬件</t>
    <phoneticPr fontId="1" type="noConversion"/>
  </si>
  <si>
    <t>郭文明</t>
    <phoneticPr fontId="1" type="noConversion"/>
  </si>
  <si>
    <t>原件</t>
    <phoneticPr fontId="1" type="noConversion"/>
  </si>
  <si>
    <t>/</t>
    <phoneticPr fontId="1" type="noConversion"/>
  </si>
  <si>
    <t>王维</t>
    <phoneticPr fontId="1" type="noConversion"/>
  </si>
  <si>
    <t>韩志宇</t>
    <phoneticPr fontId="1" type="noConversion"/>
  </si>
  <si>
    <t>短期软件；超短期软件；系统硬件；测风塔；测风塔设备；预测服务1年</t>
    <phoneticPr fontId="1" type="noConversion"/>
  </si>
  <si>
    <t>王龙波</t>
    <phoneticPr fontId="1" type="noConversion"/>
  </si>
  <si>
    <t>短期软件；超短期软件；系统硬件；测风塔；测风塔设备；预测服务3年</t>
    <phoneticPr fontId="1" type="noConversion"/>
  </si>
  <si>
    <t>复印件</t>
    <phoneticPr fontId="1" type="noConversion"/>
  </si>
  <si>
    <t>短期软件；超短期软件；系统硬件；预测服务3年</t>
    <phoneticPr fontId="1" type="noConversion"/>
  </si>
  <si>
    <t>短期软件；超短期软件；系统硬件</t>
    <phoneticPr fontId="1" type="noConversion"/>
  </si>
  <si>
    <t>韩志宇</t>
    <phoneticPr fontId="1" type="noConversion"/>
  </si>
  <si>
    <t>原件</t>
    <phoneticPr fontId="1" type="noConversion"/>
  </si>
  <si>
    <t>/</t>
    <phoneticPr fontId="1" type="noConversion"/>
  </si>
  <si>
    <t>超短期软件；系统硬件</t>
    <phoneticPr fontId="1" type="noConversion"/>
  </si>
  <si>
    <t>短期软件；超短期软件；系统硬件；测风塔；测风塔设备；预测服务1年</t>
    <phoneticPr fontId="1" type="noConversion"/>
  </si>
  <si>
    <t>陈慧群</t>
    <phoneticPr fontId="1" type="noConversion"/>
  </si>
  <si>
    <t>王维</t>
    <phoneticPr fontId="1" type="noConversion"/>
  </si>
  <si>
    <t>短期软件；超短期软件；系统硬件；测风塔；测风塔设备</t>
    <phoneticPr fontId="1" type="noConversion"/>
  </si>
  <si>
    <t>短期软件；超短期软件；测风塔；测风塔设备</t>
    <phoneticPr fontId="1" type="noConversion"/>
  </si>
  <si>
    <t>韩志宇</t>
    <phoneticPr fontId="1" type="noConversion"/>
  </si>
  <si>
    <t>原件</t>
    <phoneticPr fontId="1" type="noConversion"/>
  </si>
  <si>
    <t>/</t>
    <phoneticPr fontId="1" type="noConversion"/>
  </si>
  <si>
    <t>测风塔；测风塔设备</t>
    <phoneticPr fontId="1" type="noConversion"/>
  </si>
  <si>
    <t>超短期软件；系统硬件</t>
    <phoneticPr fontId="1" type="noConversion"/>
  </si>
  <si>
    <t>韩志宇</t>
    <phoneticPr fontId="1" type="noConversion"/>
  </si>
  <si>
    <t>原件</t>
    <phoneticPr fontId="1" type="noConversion"/>
  </si>
  <si>
    <t>/</t>
    <phoneticPr fontId="1" type="noConversion"/>
  </si>
  <si>
    <t>超短期软件；系统硬件；测风塔；测风塔设备</t>
    <phoneticPr fontId="1" type="noConversion"/>
  </si>
  <si>
    <t>短期软件；系统硬件</t>
    <phoneticPr fontId="1" type="noConversion"/>
  </si>
  <si>
    <t>郭文明</t>
    <phoneticPr fontId="1" type="noConversion"/>
  </si>
  <si>
    <t>短期软件；超短期软件；系统硬件；测风塔设备；预测服务1年</t>
    <phoneticPr fontId="1" type="noConversion"/>
  </si>
  <si>
    <t>张霞</t>
    <phoneticPr fontId="1" type="noConversion"/>
  </si>
  <si>
    <t>超短期软件；系统硬件；测风塔；测风塔设备</t>
    <phoneticPr fontId="1" type="noConversion"/>
  </si>
  <si>
    <t>超短期软件；系统硬件；测风塔；测风塔设备</t>
    <phoneticPr fontId="1" type="noConversion"/>
  </si>
  <si>
    <t>短期软件；超短期软件；系统硬件；测风塔；测风塔设备；预测服务3年</t>
    <phoneticPr fontId="1" type="noConversion"/>
  </si>
  <si>
    <t>王维</t>
    <phoneticPr fontId="1" type="noConversion"/>
  </si>
  <si>
    <t>短期软件；超短期软件；系统硬件；预测服务1年</t>
    <phoneticPr fontId="1" type="noConversion"/>
  </si>
  <si>
    <t>超短期软件；系统硬件</t>
    <phoneticPr fontId="1" type="noConversion"/>
  </si>
  <si>
    <t>超短期软件；系统硬件</t>
    <phoneticPr fontId="1" type="noConversion"/>
  </si>
  <si>
    <t>超短期软件；系统硬件</t>
    <phoneticPr fontId="1" type="noConversion"/>
  </si>
  <si>
    <t>韩志宇</t>
    <phoneticPr fontId="1" type="noConversion"/>
  </si>
  <si>
    <t>原件</t>
    <phoneticPr fontId="1" type="noConversion"/>
  </si>
  <si>
    <t>/</t>
    <phoneticPr fontId="1" type="noConversion"/>
  </si>
  <si>
    <t>超短期软件；系统硬件</t>
    <phoneticPr fontId="1" type="noConversion"/>
  </si>
  <si>
    <t>韩志宇</t>
    <phoneticPr fontId="1" type="noConversion"/>
  </si>
  <si>
    <t>原件</t>
    <phoneticPr fontId="1" type="noConversion"/>
  </si>
  <si>
    <t>/</t>
    <phoneticPr fontId="1" type="noConversion"/>
  </si>
  <si>
    <t>短期软件；超短期软件；系统硬件</t>
    <phoneticPr fontId="1" type="noConversion"/>
  </si>
  <si>
    <t>韩志宇</t>
    <phoneticPr fontId="1" type="noConversion"/>
  </si>
  <si>
    <t>/</t>
    <phoneticPr fontId="1" type="noConversion"/>
  </si>
  <si>
    <t>短期软件；超短期软件；系统硬件；预测服务2年</t>
    <phoneticPr fontId="1" type="noConversion"/>
  </si>
  <si>
    <t>王龙波</t>
    <phoneticPr fontId="1" type="noConversion"/>
  </si>
  <si>
    <t>铁岭调兵山华仪+
三峡能源泉眼沟</t>
    <phoneticPr fontId="1" type="noConversion"/>
  </si>
  <si>
    <t>辽宁风电场集控上传软件；系统硬件</t>
    <phoneticPr fontId="1" type="noConversion"/>
  </si>
  <si>
    <t>短期软件；超短期软件；系统硬件；测风塔；测风塔设备；预测服务3年</t>
    <phoneticPr fontId="1" type="noConversion"/>
  </si>
  <si>
    <t>短期软件；超短期软件；系统硬件；预测服务1年</t>
    <phoneticPr fontId="1" type="noConversion"/>
  </si>
  <si>
    <t>陈慧群</t>
    <phoneticPr fontId="1" type="noConversion"/>
  </si>
  <si>
    <t>短期软件；超短期软件；系统硬件；预测服务3年</t>
    <phoneticPr fontId="1" type="noConversion"/>
  </si>
  <si>
    <t>王维</t>
    <phoneticPr fontId="1" type="noConversion"/>
  </si>
  <si>
    <t>/</t>
    <phoneticPr fontId="1" type="noConversion"/>
  </si>
  <si>
    <t>辽宁风电场集控上传软件；系统硬件</t>
    <phoneticPr fontId="1" type="noConversion"/>
  </si>
  <si>
    <t>韩志宇</t>
    <phoneticPr fontId="1" type="noConversion"/>
  </si>
  <si>
    <t>短期软件；超短期软件；系统硬件</t>
    <phoneticPr fontId="1" type="noConversion"/>
  </si>
  <si>
    <t>韩志宇</t>
    <phoneticPr fontId="1" type="noConversion"/>
  </si>
  <si>
    <t>/</t>
    <phoneticPr fontId="1" type="noConversion"/>
  </si>
  <si>
    <t>陈慧群</t>
    <phoneticPr fontId="1" type="noConversion"/>
  </si>
  <si>
    <t>原件</t>
    <phoneticPr fontId="1" type="noConversion"/>
  </si>
  <si>
    <t>/</t>
    <phoneticPr fontId="1" type="noConversion"/>
  </si>
  <si>
    <t>陈慧群</t>
    <phoneticPr fontId="1" type="noConversion"/>
  </si>
  <si>
    <t>短期软件；超短期软件；系统硬件；预测服务3年</t>
    <phoneticPr fontId="1" type="noConversion"/>
  </si>
  <si>
    <t>/</t>
    <phoneticPr fontId="5" type="noConversion"/>
  </si>
  <si>
    <t>郭文明</t>
    <phoneticPr fontId="1" type="noConversion"/>
  </si>
  <si>
    <t>/</t>
    <phoneticPr fontId="1" type="noConversion"/>
  </si>
  <si>
    <t>短期软件；系统硬件</t>
    <phoneticPr fontId="1" type="noConversion"/>
  </si>
  <si>
    <t>郭文明</t>
    <phoneticPr fontId="1" type="noConversion"/>
  </si>
  <si>
    <t>原件</t>
    <phoneticPr fontId="1" type="noConversion"/>
  </si>
  <si>
    <t>/</t>
    <phoneticPr fontId="5" type="noConversion"/>
  </si>
  <si>
    <t>/</t>
    <phoneticPr fontId="5" type="noConversion"/>
  </si>
  <si>
    <t>短期软件；系统硬件；预测服务3年</t>
    <phoneticPr fontId="1" type="noConversion"/>
  </si>
  <si>
    <t>短期软件；系统硬件；预测服务3年</t>
    <phoneticPr fontId="1" type="noConversion"/>
  </si>
  <si>
    <t>短期软件；系统硬件；预测服务3年</t>
    <phoneticPr fontId="1" type="noConversion"/>
  </si>
  <si>
    <t>/</t>
    <phoneticPr fontId="5" type="noConversion"/>
  </si>
  <si>
    <t>预测服务1年</t>
    <phoneticPr fontId="1" type="noConversion"/>
  </si>
  <si>
    <t>短期软件；系统硬件</t>
    <phoneticPr fontId="1" type="noConversion"/>
  </si>
  <si>
    <t>/</t>
    <phoneticPr fontId="5" type="noConversion"/>
  </si>
  <si>
    <t>短期软件；超短期软件；系统硬件</t>
    <phoneticPr fontId="1" type="noConversion"/>
  </si>
  <si>
    <t>复印件</t>
    <phoneticPr fontId="1" type="noConversion"/>
  </si>
  <si>
    <t>短期软件；超短期软件；系统硬件；预测服务1年</t>
    <phoneticPr fontId="1" type="noConversion"/>
  </si>
  <si>
    <t>短期软件；系统硬件</t>
    <phoneticPr fontId="1" type="noConversion"/>
  </si>
  <si>
    <t>/</t>
    <phoneticPr fontId="5" type="noConversion"/>
  </si>
  <si>
    <t>短期软件；超短期软件；系统硬件；预测服务3年</t>
    <phoneticPr fontId="1" type="noConversion"/>
  </si>
  <si>
    <t>短期软件；系统硬件；预测服务1年</t>
    <phoneticPr fontId="1" type="noConversion"/>
  </si>
  <si>
    <t>短期软件；超短期软件；系统硬件</t>
    <phoneticPr fontId="1" type="noConversion"/>
  </si>
  <si>
    <t>/</t>
    <phoneticPr fontId="5" type="noConversion"/>
  </si>
  <si>
    <t>短期软件；系统硬件；预测服务3年</t>
    <phoneticPr fontId="1" type="noConversion"/>
  </si>
  <si>
    <t>/</t>
    <phoneticPr fontId="5" type="noConversion"/>
  </si>
  <si>
    <t>预测服务2.5年</t>
    <phoneticPr fontId="1" type="noConversion"/>
  </si>
  <si>
    <t>预测服务2.5年</t>
    <phoneticPr fontId="1" type="noConversion"/>
  </si>
  <si>
    <t>郭文明</t>
    <phoneticPr fontId="1" type="noConversion"/>
  </si>
  <si>
    <t>原件</t>
    <phoneticPr fontId="1" type="noConversion"/>
  </si>
  <si>
    <t>/</t>
    <phoneticPr fontId="5" type="noConversion"/>
  </si>
  <si>
    <t>韩志宇</t>
    <phoneticPr fontId="1" type="noConversion"/>
  </si>
  <si>
    <t>原件</t>
    <phoneticPr fontId="1" type="noConversion"/>
  </si>
  <si>
    <t>/</t>
    <phoneticPr fontId="5" type="noConversion"/>
  </si>
  <si>
    <t>/</t>
    <phoneticPr fontId="1" type="noConversion"/>
  </si>
  <si>
    <t>短期软件；超短期软件；系统硬件；预测服务1年</t>
    <phoneticPr fontId="1" type="noConversion"/>
  </si>
  <si>
    <t>张霞</t>
    <phoneticPr fontId="1" type="noConversion"/>
  </si>
  <si>
    <t>原件</t>
    <phoneticPr fontId="1" type="noConversion"/>
  </si>
  <si>
    <t>/</t>
    <phoneticPr fontId="5" type="noConversion"/>
  </si>
  <si>
    <t>超短期软件；系统硬件；测风塔；测风塔设备</t>
    <phoneticPr fontId="1" type="noConversion"/>
  </si>
  <si>
    <t>复印件</t>
    <phoneticPr fontId="1" type="noConversion"/>
  </si>
  <si>
    <t>短期软件；超短期软件；系统硬件；测风塔；测风塔设备；预测服务1年</t>
    <phoneticPr fontId="1" type="noConversion"/>
  </si>
  <si>
    <t>韩志宇</t>
    <phoneticPr fontId="1" type="noConversion"/>
  </si>
  <si>
    <t>原件</t>
    <phoneticPr fontId="1" type="noConversion"/>
  </si>
  <si>
    <t>/</t>
    <phoneticPr fontId="5" type="noConversion"/>
  </si>
  <si>
    <t>短期软件；系统硬件；预测服务1年</t>
    <phoneticPr fontId="1" type="noConversion"/>
  </si>
  <si>
    <t>韩志宇</t>
    <phoneticPr fontId="1" type="noConversion"/>
  </si>
  <si>
    <t>长清（平阴一期）</t>
    <phoneticPr fontId="1" type="noConversion"/>
  </si>
  <si>
    <t>短期软件；超短期软件；系统硬件；测风塔；测风塔设备；预测服务3年</t>
    <phoneticPr fontId="1" type="noConversion"/>
  </si>
  <si>
    <t>王维</t>
    <phoneticPr fontId="1" type="noConversion"/>
  </si>
  <si>
    <t>合同项目内容</t>
    <phoneticPr fontId="1" type="noConversion"/>
  </si>
  <si>
    <t>/</t>
    <phoneticPr fontId="22" type="noConversion"/>
  </si>
  <si>
    <t>/</t>
    <phoneticPr fontId="22" type="noConversion"/>
  </si>
  <si>
    <r>
      <t xml:space="preserve">销售合同登记台账-2018年
</t>
    </r>
    <r>
      <rPr>
        <sz val="10"/>
        <color theme="1"/>
        <rFont val="宋体"/>
        <family val="3"/>
        <charset val="134"/>
        <scheme val="minor"/>
      </rPr>
      <t>（文件编号：ZFMDZHGLB-HTDJTZ-V1.0）</t>
    </r>
    <phoneticPr fontId="1" type="noConversion"/>
  </si>
  <si>
    <r>
      <t xml:space="preserve">销售合同登记台账-2017年
</t>
    </r>
    <r>
      <rPr>
        <sz val="10"/>
        <color theme="1"/>
        <rFont val="宋体"/>
        <family val="3"/>
        <charset val="134"/>
        <scheme val="minor"/>
      </rPr>
      <t>（文件编号：ZFMDZHGLB-HTDJTZ-V1.0）</t>
    </r>
    <phoneticPr fontId="1" type="noConversion"/>
  </si>
  <si>
    <r>
      <t xml:space="preserve">销售合同登记台账-2016年
</t>
    </r>
    <r>
      <rPr>
        <sz val="10"/>
        <color theme="1"/>
        <rFont val="宋体"/>
        <family val="3"/>
        <charset val="134"/>
        <scheme val="minor"/>
      </rPr>
      <t>（文件编号：ZFMDZHGLB-HTDJTZ-V1.0）</t>
    </r>
    <phoneticPr fontId="1" type="noConversion"/>
  </si>
  <si>
    <r>
      <t xml:space="preserve">销售合同登记台账-2015年
</t>
    </r>
    <r>
      <rPr>
        <sz val="10"/>
        <color theme="1"/>
        <rFont val="宋体"/>
        <family val="3"/>
        <charset val="134"/>
        <scheme val="minor"/>
      </rPr>
      <t>（文件编号：ZFMDZHGLB-HTDJTZ-V1.0）</t>
    </r>
    <phoneticPr fontId="1" type="noConversion"/>
  </si>
  <si>
    <r>
      <t xml:space="preserve">销售合同登记台账-2014年
</t>
    </r>
    <r>
      <rPr>
        <sz val="10"/>
        <color theme="1"/>
        <rFont val="宋体"/>
        <family val="3"/>
        <charset val="134"/>
        <scheme val="minor"/>
      </rPr>
      <t>（文件编号：ZFMDZHGLB-HTDJTZ-V1.0）</t>
    </r>
    <phoneticPr fontId="1" type="noConversion"/>
  </si>
  <si>
    <r>
      <t xml:space="preserve">销售合同登记台账-2013年
</t>
    </r>
    <r>
      <rPr>
        <sz val="10"/>
        <color theme="1"/>
        <rFont val="宋体"/>
        <family val="3"/>
        <charset val="134"/>
        <scheme val="minor"/>
      </rPr>
      <t>（文件编号：ZFMDZHGLB-HTDJTZ-V1.0）</t>
    </r>
    <phoneticPr fontId="1" type="noConversion"/>
  </si>
  <si>
    <r>
      <t xml:space="preserve">销售合同登记台账-2012年
</t>
    </r>
    <r>
      <rPr>
        <sz val="10"/>
        <color theme="1"/>
        <rFont val="宋体"/>
        <family val="3"/>
        <charset val="134"/>
        <scheme val="minor"/>
      </rPr>
      <t>（文件编号：ZFMDZHGLB-HTDJTZ-V1.0）</t>
    </r>
    <phoneticPr fontId="1" type="noConversion"/>
  </si>
  <si>
    <r>
      <t xml:space="preserve">销售合同登记台账-2011年
</t>
    </r>
    <r>
      <rPr>
        <sz val="10"/>
        <color theme="1"/>
        <rFont val="宋体"/>
        <family val="3"/>
        <charset val="134"/>
        <scheme val="minor"/>
      </rPr>
      <t>（文件编号：ZFMDZHGLB-HTDJTZ-V1.0）</t>
    </r>
    <phoneticPr fontId="1" type="noConversion"/>
  </si>
  <si>
    <r>
      <t xml:space="preserve">销售合同登记台账-2010年
</t>
    </r>
    <r>
      <rPr>
        <sz val="10"/>
        <color theme="1"/>
        <rFont val="宋体"/>
        <family val="3"/>
        <charset val="134"/>
        <scheme val="minor"/>
      </rPr>
      <t>（文件编号：ZFMDZHGLB-HTDJTZ-V1.0）</t>
    </r>
    <phoneticPr fontId="1" type="noConversion"/>
  </si>
  <si>
    <t>光伏电站</t>
    <phoneticPr fontId="5" type="noConversion"/>
  </si>
  <si>
    <t>风电场</t>
    <phoneticPr fontId="5" type="noConversion"/>
  </si>
  <si>
    <t>2015.1.1</t>
    <phoneticPr fontId="22" type="noConversion"/>
  </si>
  <si>
    <t>王龙波</t>
    <phoneticPr fontId="22" type="noConversion"/>
  </si>
  <si>
    <t>尚义石井</t>
    <phoneticPr fontId="22" type="noConversion"/>
  </si>
  <si>
    <t>2018.6.30</t>
    <phoneticPr fontId="22" type="noConversion"/>
  </si>
  <si>
    <t>预测服务3.5年</t>
    <phoneticPr fontId="22" type="noConversion"/>
  </si>
  <si>
    <t>国电投</t>
    <phoneticPr fontId="22" type="noConversion"/>
  </si>
  <si>
    <t>广西</t>
    <phoneticPr fontId="22" type="noConversion"/>
  </si>
  <si>
    <t>坵坪</t>
    <phoneticPr fontId="22" type="noConversion"/>
  </si>
  <si>
    <t>秦英飞</t>
    <phoneticPr fontId="22" type="noConversion"/>
  </si>
  <si>
    <t>2018.3.22</t>
    <phoneticPr fontId="22" type="noConversion"/>
  </si>
  <si>
    <t>短期软件；超短期软件；系统硬件；测风塔；测风塔设备；预测服务1年</t>
    <phoneticPr fontId="1" type="noConversion"/>
  </si>
  <si>
    <t>短期软件；超短期软件；系统硬件；测风塔1；测风塔1设备；测风塔2；测风塔2设备；预测服务1年</t>
    <phoneticPr fontId="1" type="noConversion"/>
  </si>
  <si>
    <t>山东泰开箱变有限公司</t>
    <phoneticPr fontId="22" type="noConversion"/>
  </si>
  <si>
    <t>工矿产品购销合同（供应商）</t>
    <phoneticPr fontId="22" type="noConversion"/>
  </si>
  <si>
    <t>箱变测控</t>
    <phoneticPr fontId="22" type="noConversion"/>
  </si>
  <si>
    <t>马梦迪</t>
    <phoneticPr fontId="22" type="noConversion"/>
  </si>
  <si>
    <t>2018.4.14</t>
    <phoneticPr fontId="22" type="noConversion"/>
  </si>
  <si>
    <t>大唐集贤风力发电公司</t>
    <phoneticPr fontId="1" type="noConversion"/>
  </si>
  <si>
    <t>太阳山</t>
    <phoneticPr fontId="22" type="noConversion"/>
  </si>
  <si>
    <t>无</t>
    <phoneticPr fontId="22" type="noConversion"/>
  </si>
  <si>
    <t>黑龙江风电场综合通讯管理系统软件；系统硬件</t>
    <phoneticPr fontId="10" type="noConversion"/>
  </si>
  <si>
    <t>郭文明</t>
    <phoneticPr fontId="22" type="noConversion"/>
  </si>
  <si>
    <t>2018.4.12</t>
    <phoneticPr fontId="22" type="noConversion"/>
  </si>
  <si>
    <t>ZFMD/KGSQ-17002</t>
    <phoneticPr fontId="5" type="noConversion"/>
  </si>
  <si>
    <t>ZFMD/SD-18033-SH</t>
    <phoneticPr fontId="22" type="noConversion"/>
  </si>
  <si>
    <t>宁夏</t>
    <phoneticPr fontId="22" type="noConversion"/>
  </si>
  <si>
    <t>杨振坤</t>
    <phoneticPr fontId="22" type="noConversion"/>
  </si>
  <si>
    <t>2018.1</t>
    <phoneticPr fontId="22" type="noConversion"/>
  </si>
  <si>
    <t>ZFMD/SD-18031-SH</t>
    <phoneticPr fontId="22" type="noConversion"/>
  </si>
  <si>
    <t>ZFMD/SD-18032-SH</t>
    <phoneticPr fontId="22" type="noConversion"/>
  </si>
  <si>
    <t>华润</t>
    <phoneticPr fontId="22" type="noConversion"/>
  </si>
  <si>
    <t>ZFMD/SD-17136-SH-BG01
ZFMD/SD-17136-SH-BG02</t>
    <phoneticPr fontId="10" type="noConversion"/>
  </si>
  <si>
    <t>ZFMD/SD-17083-SH-BG01</t>
    <phoneticPr fontId="5" type="noConversion"/>
  </si>
  <si>
    <t>合计</t>
    <phoneticPr fontId="10" type="noConversion"/>
  </si>
  <si>
    <t>三峡新能源尚义风电有限公司</t>
    <phoneticPr fontId="22" type="noConversion"/>
  </si>
  <si>
    <t>49.5MW</t>
    <phoneticPr fontId="22" type="noConversion"/>
  </si>
  <si>
    <t>2018.2.26</t>
    <phoneticPr fontId="22" type="noConversion"/>
  </si>
  <si>
    <t>原件</t>
    <phoneticPr fontId="22" type="noConversion"/>
  </si>
  <si>
    <t>2019.4.6</t>
    <phoneticPr fontId="22" type="noConversion"/>
  </si>
  <si>
    <t>2018.3.6</t>
    <phoneticPr fontId="10" type="noConversion"/>
  </si>
  <si>
    <t>开发票占号无合同</t>
    <phoneticPr fontId="5" type="noConversion"/>
  </si>
  <si>
    <t>2018.4.28</t>
    <phoneticPr fontId="10" type="noConversion"/>
  </si>
  <si>
    <t>华电</t>
    <phoneticPr fontId="10" type="noConversion"/>
  </si>
  <si>
    <t>哈密市东方民生太阳能源开发有限公司</t>
    <phoneticPr fontId="10" type="noConversion"/>
  </si>
  <si>
    <t>哈密力诺太阳能电力有限公司</t>
    <phoneticPr fontId="10" type="noConversion"/>
  </si>
  <si>
    <t>华电淖毛湖风电一场+华电淖毛湖风电一场（二期/直流）</t>
    <phoneticPr fontId="10" type="noConversion"/>
  </si>
  <si>
    <t>风电功率预测</t>
    <phoneticPr fontId="10" type="noConversion"/>
  </si>
  <si>
    <t>新疆华电淖毛湖风电有限责任公司</t>
    <phoneticPr fontId="10" type="noConversion"/>
  </si>
  <si>
    <t>淖毛湖一期
淖毛湖二期</t>
    <phoneticPr fontId="10" type="noConversion"/>
  </si>
  <si>
    <t>伊吾东方民生新能源有限公司</t>
    <phoneticPr fontId="10" type="noConversion"/>
  </si>
  <si>
    <t>风电功率预测</t>
    <phoneticPr fontId="10" type="noConversion"/>
  </si>
  <si>
    <t>新疆华电十三间房风电有限责任公司</t>
    <phoneticPr fontId="10" type="noConversion"/>
  </si>
  <si>
    <t>十三间房三期、四期</t>
    <phoneticPr fontId="10" type="noConversion"/>
  </si>
  <si>
    <t>新疆华电苦水风电有限责任公司</t>
    <phoneticPr fontId="10" type="noConversion"/>
  </si>
  <si>
    <t>巴里坤东方民生新能源有限公司</t>
    <phoneticPr fontId="10" type="noConversion"/>
  </si>
  <si>
    <t>巴里坤东方民生风电场2017年风电功率预测系统服务合同</t>
    <phoneticPr fontId="5" type="noConversion"/>
  </si>
  <si>
    <t>华电石城子光伏三期2017年光功率预测系统服务合同</t>
    <phoneticPr fontId="5" type="noConversion"/>
  </si>
  <si>
    <t>华电石城子光伏一二期2017年光功率预测系统服务合同</t>
    <phoneticPr fontId="5" type="noConversion"/>
  </si>
  <si>
    <t>东方民生三塘湖一期、二期、三期、四期</t>
    <phoneticPr fontId="10" type="noConversion"/>
  </si>
  <si>
    <t>ZFMD/SD-18030-SH</t>
    <phoneticPr fontId="22" type="noConversion"/>
  </si>
  <si>
    <t>ZFMD/SD-18034-SH</t>
    <phoneticPr fontId="22" type="noConversion"/>
  </si>
  <si>
    <t>2018.4.28</t>
    <phoneticPr fontId="22" type="noConversion"/>
  </si>
  <si>
    <t>三峡新能源河北省尚义石井风电场（49.5MW）风功率预测服务项目</t>
    <phoneticPr fontId="5" type="noConversion"/>
  </si>
  <si>
    <t>尚义</t>
    <phoneticPr fontId="22" type="noConversion"/>
  </si>
  <si>
    <t>风电功率预测</t>
    <phoneticPr fontId="22" type="noConversion"/>
  </si>
  <si>
    <t>国家电投集团广西兴安风电有限公司</t>
    <phoneticPr fontId="1" type="noConversion"/>
  </si>
  <si>
    <t>广西兴安10个风场/110KV头岭升压站/220KV坵坪升压站</t>
    <phoneticPr fontId="22" type="noConversion"/>
  </si>
  <si>
    <t>黑龙江风电场综合通讯管理系统软件；系统硬件</t>
    <phoneticPr fontId="22" type="noConversion"/>
  </si>
  <si>
    <t>测风塔1；测风塔1设备；测风塔2；测风塔2设备</t>
    <phoneticPr fontId="22" type="noConversion"/>
  </si>
  <si>
    <t>大唐集贤太阳山风电场综合通讯管理系统采购合同</t>
    <phoneticPr fontId="22" type="noConversion"/>
  </si>
  <si>
    <t>中卫香山第四风电场</t>
    <phoneticPr fontId="22" type="noConversion"/>
  </si>
  <si>
    <t>中卫香山第四风电场（中卫香山7-9期）</t>
    <phoneticPr fontId="22" type="noConversion"/>
  </si>
  <si>
    <t>国家电投集团宁夏中卫香山第四风电场风功率预报系统数值天气预报服务合同</t>
    <phoneticPr fontId="22" type="noConversion"/>
  </si>
  <si>
    <t>国家电投集团宁夏能源铝业中卫新能源有限公司</t>
    <phoneticPr fontId="22" type="noConversion"/>
  </si>
  <si>
    <t>ZFMD/SD-18037-SH</t>
  </si>
  <si>
    <t>义县天润风电有限公司</t>
    <phoneticPr fontId="22" type="noConversion"/>
  </si>
  <si>
    <t>锦州天润留龙沟风电场风功率预测系统技术服务合同</t>
    <phoneticPr fontId="22" type="noConversion"/>
  </si>
  <si>
    <t>天润</t>
    <phoneticPr fontId="22" type="noConversion"/>
  </si>
  <si>
    <t>天润留龙沟</t>
    <phoneticPr fontId="22" type="noConversion"/>
  </si>
  <si>
    <t>留龙沟/义县留龙沟</t>
    <phoneticPr fontId="22" type="noConversion"/>
  </si>
  <si>
    <t>2018.5.13</t>
    <phoneticPr fontId="22" type="noConversion"/>
  </si>
  <si>
    <t>2018.5</t>
    <phoneticPr fontId="22" type="noConversion"/>
  </si>
  <si>
    <t>2018.1.1</t>
    <phoneticPr fontId="22" type="noConversion"/>
  </si>
  <si>
    <t>2018.12.31</t>
    <phoneticPr fontId="22" type="noConversion"/>
  </si>
  <si>
    <t>曹碾沟风电场风功率系统超短期预测改造设备买卖合同</t>
    <phoneticPr fontId="22" type="noConversion"/>
  </si>
  <si>
    <t>河北建投</t>
    <phoneticPr fontId="22" type="noConversion"/>
  </si>
  <si>
    <t>曹碾沟</t>
    <phoneticPr fontId="22" type="noConversion"/>
  </si>
  <si>
    <t>张北曹碾沟</t>
    <phoneticPr fontId="22" type="noConversion"/>
  </si>
  <si>
    <t>电力通讯</t>
    <phoneticPr fontId="22" type="noConversion"/>
  </si>
  <si>
    <t>ZFMD/KGSQ-17089</t>
    <phoneticPr fontId="5" type="noConversion"/>
  </si>
  <si>
    <t>ZFMD/KGSQ-18013</t>
    <phoneticPr fontId="5" type="noConversion"/>
  </si>
  <si>
    <t>电力安全三区综合通讯系统软件河北版；系统硬件</t>
    <phoneticPr fontId="22" type="noConversion"/>
  </si>
  <si>
    <t>ZFMD/SD-18036-SH</t>
    <phoneticPr fontId="22" type="noConversion"/>
  </si>
  <si>
    <t>王龙波</t>
    <phoneticPr fontId="22" type="noConversion"/>
  </si>
  <si>
    <t>ZFMD/SD-18035-SH</t>
    <phoneticPr fontId="22" type="noConversion"/>
  </si>
  <si>
    <t>国电陕西新能源有限公司</t>
    <phoneticPr fontId="22" type="noConversion"/>
  </si>
  <si>
    <t>国电陕西新能源有限公司芦河光伏电站光功率预测系统服务合同</t>
    <phoneticPr fontId="22" type="noConversion"/>
  </si>
  <si>
    <t>国电</t>
    <phoneticPr fontId="1" type="noConversion"/>
  </si>
  <si>
    <t>陕西</t>
    <phoneticPr fontId="22" type="noConversion"/>
  </si>
  <si>
    <t>芦河</t>
    <phoneticPr fontId="22" type="noConversion"/>
  </si>
  <si>
    <t>光伏功率预测</t>
    <phoneticPr fontId="22" type="noConversion"/>
  </si>
  <si>
    <t>预测服务3年</t>
    <phoneticPr fontId="22" type="noConversion"/>
  </si>
  <si>
    <t>杨振坤</t>
    <phoneticPr fontId="22" type="noConversion"/>
  </si>
  <si>
    <t>2018.3.1</t>
    <phoneticPr fontId="22" type="noConversion"/>
  </si>
  <si>
    <t>2021.2.28</t>
    <phoneticPr fontId="22" type="noConversion"/>
  </si>
  <si>
    <t>2018.2.14</t>
    <phoneticPr fontId="22" type="noConversion"/>
  </si>
  <si>
    <t>国电陕西新能源有限公司芦河光伏电站加装AGC、AVC控制系统合同</t>
    <phoneticPr fontId="22" type="noConversion"/>
  </si>
  <si>
    <t>光伏AGC/AVC</t>
    <phoneticPr fontId="22" type="noConversion"/>
  </si>
  <si>
    <t>光伏AGC软件；光伏AVC软件；系统硬件</t>
    <phoneticPr fontId="22" type="noConversion"/>
  </si>
  <si>
    <t>风电AGC软件；风电AVC软件；系统硬件</t>
    <phoneticPr fontId="10" type="noConversion"/>
  </si>
  <si>
    <t>2018.2.27</t>
    <phoneticPr fontId="22" type="noConversion"/>
  </si>
  <si>
    <t>ZFMD/KGSQ-18015</t>
    <phoneticPr fontId="5" type="noConversion"/>
  </si>
  <si>
    <t>ZFMD/SD-18038-SH</t>
    <phoneticPr fontId="22" type="noConversion"/>
  </si>
  <si>
    <t>吉林省加禧电力工程技术有限公司</t>
    <phoneticPr fontId="22" type="noConversion"/>
  </si>
  <si>
    <t>龙井市新开能源有限公司光伏扶贫项目光功率预测系统、图像监控及安全警卫系统采购合同</t>
    <phoneticPr fontId="22" type="noConversion"/>
  </si>
  <si>
    <t>其他</t>
    <phoneticPr fontId="22" type="noConversion"/>
  </si>
  <si>
    <t>ZFMD/SD-18039-1-SH</t>
    <phoneticPr fontId="22" type="noConversion"/>
  </si>
  <si>
    <t>ZFMD/SD-18039-2-SH</t>
    <phoneticPr fontId="22" type="noConversion"/>
  </si>
  <si>
    <t>短期软件；超短期软件；系统硬件；光伏气象站；光伏气象站设备；预测服务1年</t>
  </si>
  <si>
    <t>场站视频监控</t>
  </si>
  <si>
    <t>光伏电站视频监控</t>
  </si>
  <si>
    <t>ZFMD/KGSQ-18024</t>
  </si>
  <si>
    <t>ZFMD/KGSQ-18025</t>
  </si>
  <si>
    <t>ZFMD/SD-18042-SH</t>
  </si>
  <si>
    <t>ZFMD/SD-18043-SH</t>
  </si>
  <si>
    <t>ZFMD/SD-18044-SH</t>
  </si>
  <si>
    <t>ZFMD/SD-18045-SH</t>
  </si>
  <si>
    <t>大庆市萨尔图区春雷农场40MW光伏发电项目综合通讯管理系统柜设备合同</t>
    <phoneticPr fontId="22" type="noConversion"/>
  </si>
  <si>
    <t>40MW</t>
    <phoneticPr fontId="22" type="noConversion"/>
  </si>
  <si>
    <t>黑龙江光伏电站综合通讯管理系统软件；系统硬件</t>
    <phoneticPr fontId="22" type="noConversion"/>
  </si>
  <si>
    <t>马梦迪</t>
    <phoneticPr fontId="22" type="noConversion"/>
  </si>
  <si>
    <t>2018.4</t>
    <phoneticPr fontId="22" type="noConversion"/>
  </si>
  <si>
    <t>2018.4.3</t>
    <phoneticPr fontId="22" type="noConversion"/>
  </si>
  <si>
    <t>ZFMD/KGSQ-18019</t>
    <phoneticPr fontId="22" type="noConversion"/>
  </si>
  <si>
    <t>ZFMD/SD-18040-SH</t>
    <phoneticPr fontId="22" type="noConversion"/>
  </si>
  <si>
    <t>大庆春雷农场苏美达</t>
    <phoneticPr fontId="22" type="noConversion"/>
  </si>
  <si>
    <t>ZFMD/SD-18041-1-SH</t>
    <phoneticPr fontId="22" type="noConversion"/>
  </si>
  <si>
    <t>光伏功率预测</t>
    <phoneticPr fontId="22" type="noConversion"/>
  </si>
  <si>
    <t>短期软件；超短期软件；系统硬件；光伏气象站；光伏气象站设备；预测服务1年</t>
    <phoneticPr fontId="22" type="noConversion"/>
  </si>
  <si>
    <t>电力通讯</t>
    <phoneticPr fontId="22" type="noConversion"/>
  </si>
  <si>
    <t>ZFMD/KGSQ-18022</t>
    <phoneticPr fontId="22" type="noConversion"/>
  </si>
  <si>
    <t>保定四方继保工程技术有限公司</t>
    <phoneticPr fontId="22" type="noConversion"/>
  </si>
  <si>
    <t>保定四方继保工程技术有限公司采购合同</t>
    <phoneticPr fontId="22" type="noConversion"/>
  </si>
  <si>
    <t>其他</t>
    <phoneticPr fontId="22" type="noConversion"/>
  </si>
  <si>
    <t>安达利源</t>
    <phoneticPr fontId="22" type="noConversion"/>
  </si>
  <si>
    <t>ZFMD/SD-18041-2-SH</t>
    <phoneticPr fontId="22" type="noConversion"/>
  </si>
  <si>
    <t>ZFMD/KGSQ-18023</t>
    <phoneticPr fontId="22" type="noConversion"/>
  </si>
  <si>
    <t>2018.5.2</t>
    <phoneticPr fontId="22" type="noConversion"/>
  </si>
  <si>
    <t>五凌汝城电力有限公司</t>
    <phoneticPr fontId="22" type="noConversion"/>
  </si>
  <si>
    <t>五凌汝城电力有限公司东岗岭风电场测风塔维护服务合同</t>
    <phoneticPr fontId="22" type="noConversion"/>
  </si>
  <si>
    <t>汝城东岗岭</t>
    <phoneticPr fontId="22" type="noConversion"/>
  </si>
  <si>
    <t>东岗岭</t>
    <phoneticPr fontId="22" type="noConversion"/>
  </si>
  <si>
    <t>国电投</t>
    <phoneticPr fontId="22" type="noConversion"/>
  </si>
  <si>
    <t>湖南</t>
    <phoneticPr fontId="22" type="noConversion"/>
  </si>
  <si>
    <t>风电功率预测</t>
    <phoneticPr fontId="22" type="noConversion"/>
  </si>
  <si>
    <t>测风塔</t>
    <phoneticPr fontId="22" type="noConversion"/>
  </si>
  <si>
    <t>王国先</t>
    <phoneticPr fontId="22" type="noConversion"/>
  </si>
  <si>
    <t>2018.5</t>
    <phoneticPr fontId="22" type="noConversion"/>
  </si>
  <si>
    <t>ZFMD/SHFW-2017086</t>
    <phoneticPr fontId="22" type="noConversion"/>
  </si>
  <si>
    <t>华能同江风力发电有限公司</t>
    <phoneticPr fontId="22" type="noConversion"/>
  </si>
  <si>
    <t>华能同江街津山风电场2018年度风电功率预测服务技术服务合同</t>
    <phoneticPr fontId="22" type="noConversion"/>
  </si>
  <si>
    <t>华能</t>
    <phoneticPr fontId="22" type="noConversion"/>
  </si>
  <si>
    <t>街津山</t>
    <phoneticPr fontId="22" type="noConversion"/>
  </si>
  <si>
    <t>同江=街津山+临江江胜</t>
    <phoneticPr fontId="22" type="noConversion"/>
  </si>
  <si>
    <t>预测服务1年</t>
    <phoneticPr fontId="22" type="noConversion"/>
  </si>
  <si>
    <t>郭文明</t>
    <phoneticPr fontId="22" type="noConversion"/>
  </si>
  <si>
    <t>李妍</t>
    <phoneticPr fontId="22" type="noConversion"/>
  </si>
  <si>
    <t>2018.1</t>
    <phoneticPr fontId="22" type="noConversion"/>
  </si>
  <si>
    <t>2018.1.1</t>
    <phoneticPr fontId="22" type="noConversion"/>
  </si>
  <si>
    <t>2018.12.31</t>
    <phoneticPr fontId="22" type="noConversion"/>
  </si>
  <si>
    <t>大庆绿源风力发电有限公司</t>
    <phoneticPr fontId="22" type="noConversion"/>
  </si>
  <si>
    <t>华能大庆和平风电场2018年度风电功率预测服务技术服务合同</t>
    <phoneticPr fontId="22" type="noConversion"/>
  </si>
  <si>
    <t>和平</t>
    <phoneticPr fontId="22" type="noConversion"/>
  </si>
  <si>
    <t>大庆和平/大庆绿源</t>
    <phoneticPr fontId="22" type="noConversion"/>
  </si>
  <si>
    <t>2018.1.10</t>
    <phoneticPr fontId="22" type="noConversion"/>
  </si>
  <si>
    <t>华能大庆新海风电场2018年度风电功率预测服务技术服务合同</t>
    <phoneticPr fontId="22" type="noConversion"/>
  </si>
  <si>
    <t>兴隆新海</t>
    <phoneticPr fontId="22" type="noConversion"/>
  </si>
  <si>
    <t>郭文明</t>
    <phoneticPr fontId="22" type="noConversion"/>
  </si>
  <si>
    <t>ZFMD/SD-18046-SH</t>
    <phoneticPr fontId="22" type="noConversion"/>
  </si>
  <si>
    <t>绥化远大电力建设集团有限责任公司</t>
    <phoneticPr fontId="22" type="noConversion"/>
  </si>
  <si>
    <t>绥化远大电力建设集团有限责任公司订货合同</t>
    <phoneticPr fontId="22" type="noConversion"/>
  </si>
  <si>
    <t>齐齐哈尔祥鹤</t>
    <phoneticPr fontId="22" type="noConversion"/>
  </si>
  <si>
    <t>无</t>
    <phoneticPr fontId="22" type="noConversion"/>
  </si>
  <si>
    <t>2018.5.16</t>
    <phoneticPr fontId="22" type="noConversion"/>
  </si>
  <si>
    <t>2018.4.25</t>
    <phoneticPr fontId="22" type="noConversion"/>
  </si>
  <si>
    <t>ZFMD/KGSQ-18021</t>
    <phoneticPr fontId="5" type="noConversion"/>
  </si>
  <si>
    <t>中广核</t>
    <phoneticPr fontId="22" type="noConversion"/>
  </si>
  <si>
    <t>王国先</t>
    <phoneticPr fontId="22" type="noConversion"/>
  </si>
  <si>
    <t>冯涛</t>
    <phoneticPr fontId="22" type="noConversion"/>
  </si>
  <si>
    <t>其他</t>
    <phoneticPr fontId="22" type="noConversion"/>
  </si>
  <si>
    <t>免费一年</t>
    <phoneticPr fontId="22" type="noConversion"/>
  </si>
  <si>
    <t>ZFMD/SD-18047-SH</t>
  </si>
  <si>
    <t>华润</t>
    <phoneticPr fontId="22" type="noConversion"/>
  </si>
  <si>
    <t>/</t>
    <phoneticPr fontId="5" type="noConversion"/>
  </si>
  <si>
    <t>万福光伏电站综合自动化系统数据转移技术服务合同</t>
    <phoneticPr fontId="5" type="noConversion"/>
  </si>
  <si>
    <t>光伏电站</t>
    <phoneticPr fontId="5" type="noConversion"/>
  </si>
  <si>
    <t>光伏功率预测</t>
    <phoneticPr fontId="22" type="noConversion"/>
  </si>
  <si>
    <t>技术服务（数据转发）</t>
    <phoneticPr fontId="22" type="noConversion"/>
  </si>
  <si>
    <t>2018.5.21</t>
    <phoneticPr fontId="5" type="noConversion"/>
  </si>
  <si>
    <t>2018.5</t>
    <phoneticPr fontId="22" type="noConversion"/>
  </si>
  <si>
    <t>原件</t>
    <phoneticPr fontId="5" type="noConversion"/>
  </si>
  <si>
    <t>龙井市智新镇光伏扶贫项目</t>
    <phoneticPr fontId="22" type="noConversion"/>
  </si>
  <si>
    <t>华润新能源（安达）有限公司</t>
    <phoneticPr fontId="5" type="noConversion"/>
  </si>
  <si>
    <t>马梦迪</t>
    <phoneticPr fontId="5" type="noConversion"/>
  </si>
  <si>
    <t>韩志宇</t>
    <phoneticPr fontId="22" type="noConversion"/>
  </si>
  <si>
    <t>李妍</t>
    <phoneticPr fontId="22" type="noConversion"/>
  </si>
  <si>
    <t>万福</t>
    <phoneticPr fontId="5" type="noConversion"/>
  </si>
  <si>
    <t>安达3号、安达4号</t>
    <phoneticPr fontId="22" type="noConversion"/>
  </si>
  <si>
    <t>安达3号、安达4号</t>
    <phoneticPr fontId="22" type="noConversion"/>
  </si>
  <si>
    <t>开发票占号合同未回</t>
    <phoneticPr fontId="22" type="noConversion"/>
  </si>
  <si>
    <t>新疆浦类海能源发展有限公司</t>
    <phoneticPr fontId="22" type="noConversion"/>
  </si>
  <si>
    <t>华电</t>
    <phoneticPr fontId="22" type="noConversion"/>
  </si>
  <si>
    <t>蒲类海麻黄沟西风电场</t>
    <phoneticPr fontId="22" type="noConversion"/>
  </si>
  <si>
    <t>三塘湖浦类海一期</t>
    <phoneticPr fontId="22" type="noConversion"/>
  </si>
  <si>
    <t>2017.1.1</t>
    <phoneticPr fontId="22" type="noConversion"/>
  </si>
  <si>
    <t>2017.12.31</t>
    <phoneticPr fontId="22" type="noConversion"/>
  </si>
  <si>
    <t>/</t>
    <phoneticPr fontId="5" type="noConversion"/>
  </si>
  <si>
    <t>2018.1.5</t>
    <phoneticPr fontId="5" type="noConversion"/>
  </si>
  <si>
    <t>/</t>
    <phoneticPr fontId="1" type="noConversion"/>
  </si>
  <si>
    <t>中核国电漳州能源有限公司</t>
  </si>
  <si>
    <t>云霄青径风电场风电功率预测系统设备采购及建模服务合同</t>
  </si>
  <si>
    <t>海林中电海浪风力发电有限公司风能预测系统采购合同</t>
  </si>
  <si>
    <t>国华（乾安）风电有限公司</t>
  </si>
  <si>
    <t>国华乾安腾字风电场一期49.5MW项目90米测风塔采购合同</t>
    <phoneticPr fontId="25" type="noConversion"/>
  </si>
  <si>
    <t>新誉集团有限公司</t>
  </si>
  <si>
    <t>采购合同</t>
  </si>
  <si>
    <t>华电铁岭心田堡风电场（48MW）工程风电功率预测系统采购合同</t>
  </si>
  <si>
    <t>华电铁岭镇西堡风电场、李家屯风电场及心田堡风电场风电功率预测系统服务合同</t>
  </si>
  <si>
    <t>福建莆田石城风电场二期（大蚶山场区）风电功率预测系统采购合同</t>
  </si>
  <si>
    <t>三峡新能源开原威远风电场工程-风电场集中监控和信息采集系统采购合同</t>
  </si>
  <si>
    <t>国电联合动力技术（长春）有限公司</t>
  </si>
  <si>
    <t>采购订货单</t>
  </si>
  <si>
    <t>华能平顶堡风电场风电功率预测系统服务合同</t>
  </si>
  <si>
    <t>中国电力投资集团公司物资装备分公司</t>
  </si>
  <si>
    <t>中电投广西资源金紫山风电场工程风功率预测系统采购合同</t>
    <phoneticPr fontId="25" type="noConversion"/>
  </si>
  <si>
    <t>中广核盖州沙岗子项目风功率预测系统设备采购合同</t>
  </si>
  <si>
    <t>大庆龙江风电有限责任公司</t>
  </si>
  <si>
    <t>产品技术服务合同</t>
  </si>
  <si>
    <t>大庆瑞好风电场实时传输测风塔系统采购合同</t>
  </si>
  <si>
    <t>伊春太阳风新能源有限公司风电功率预测系统采购合同</t>
  </si>
  <si>
    <t>宁夏华创风能有限公司</t>
    <phoneticPr fontId="25" type="noConversion"/>
  </si>
  <si>
    <t>小草湖项目风功率预测系统供货合同</t>
  </si>
  <si>
    <t>技术咨询合同</t>
  </si>
  <si>
    <t>买卖合同</t>
  </si>
  <si>
    <t>龙江哈拉海乡风电场生产期间测风塔设备采购及安装合同</t>
  </si>
  <si>
    <t>国电南京自动化股份有限公司</t>
  </si>
  <si>
    <t>力诺哈密20MWp光伏并网发电项目光功率预测系统采购合同</t>
  </si>
  <si>
    <t>中国软件与技术服务股份有限公司</t>
    <phoneticPr fontId="25" type="noConversion"/>
  </si>
  <si>
    <t>SIS系统设备采购项目合同</t>
  </si>
  <si>
    <t>亚洲风力发电（牡丹江）有限公司香港风力发电（穆棱）有限公司</t>
  </si>
  <si>
    <t>衡水双利风电设备制造有限公司</t>
  </si>
  <si>
    <t>华能哈密东南部烟墩第四风电场风电工程风功率预测系统采购合同</t>
    <phoneticPr fontId="25" type="noConversion"/>
  </si>
  <si>
    <t>南京国电南自新能源工程技术有限公司</t>
  </si>
  <si>
    <t>北京龙子科技有限公司</t>
  </si>
  <si>
    <t>银川瑞明太阳能光伏热气流发电厂产品销售合同</t>
  </si>
  <si>
    <t>锦州文特客硅材料有限公司</t>
  </si>
  <si>
    <t>兆方美迪光伏电站功率预测系统产品销售合同</t>
  </si>
  <si>
    <t>兆方美迪光伏电站功率预测服务技术服务合同</t>
  </si>
  <si>
    <t>华锐风电科技（集团）股份有限公司</t>
  </si>
  <si>
    <t>机电产品外部采购合同</t>
  </si>
  <si>
    <t>同江临江、江胜风电场工程测风塔及超短期风电功率预测系统设备采购及安装采购及安装服务合同</t>
  </si>
  <si>
    <t>大庆兴隆、新海风电场工程测风塔及超短期风电功率预测系统设备采购及安装服务合同</t>
  </si>
  <si>
    <t>义县留龙沟风电场风功率预测系统及测风塔采购合同</t>
  </si>
  <si>
    <t>调兵山公司（一期调兵山风场）AGV/AVC控制系统</t>
  </si>
  <si>
    <t>调兵山公司（二期泉眼沟风场）AGV/AVC控制系统</t>
  </si>
  <si>
    <t>风电功率预测系统服务合同</t>
  </si>
  <si>
    <t>风电功率预测系统服务合同</t>
    <phoneticPr fontId="25" type="noConversion"/>
  </si>
  <si>
    <t>南京国电南自风电自动化技术有限公司</t>
  </si>
  <si>
    <t>新疆哈密石城子光伏产业园区50MWp并网光伏项目综合自动化系统采购合同</t>
  </si>
  <si>
    <t>龙源靖边风力发电有限公司</t>
  </si>
  <si>
    <t>靖边高家沟风电场风功率预测系统设备采购合同书</t>
  </si>
  <si>
    <t>中广核摘月山风电场风电调度技术支持系统配套测风塔采购合同</t>
  </si>
  <si>
    <t>宁夏中卫香山风电场中电投七期（栽杆梁）工程风功率预测系统供货合同</t>
  </si>
  <si>
    <t>伊春华宇电力新能源有限公司</t>
  </si>
  <si>
    <t>伊春乌伊岭阿廷河风电场（49.5W）新建工程风功率预测系统设备采购合同</t>
    <phoneticPr fontId="25" type="noConversion"/>
  </si>
  <si>
    <t>新疆华电苇湖梁新能源有限公司</t>
    <phoneticPr fontId="25" type="noConversion"/>
  </si>
  <si>
    <t>苇湖梁电厂达坂城风电场300MW项目测风塔及测风设备采购、安装合同</t>
    <phoneticPr fontId="25" type="noConversion"/>
  </si>
  <si>
    <t>中电投广西兴安风电有限公司</t>
    <phoneticPr fontId="25" type="noConversion"/>
  </si>
  <si>
    <t xml:space="preserve">中电投广西兴安10个风电场风功率预测系统采购合同                                                          </t>
    <phoneticPr fontId="25" type="noConversion"/>
  </si>
  <si>
    <t xml:space="preserve">福能（仙游）风力发电有限责任公司 </t>
    <phoneticPr fontId="25" type="noConversion"/>
  </si>
  <si>
    <t>福建仙游草山风电场风电功率预测系统采购合同</t>
    <phoneticPr fontId="25" type="noConversion"/>
  </si>
  <si>
    <t>中国华电集团物资有限公司</t>
    <phoneticPr fontId="25" type="noConversion"/>
  </si>
  <si>
    <t>技术服务合同</t>
    <phoneticPr fontId="25" type="noConversion"/>
  </si>
  <si>
    <t>华能江西清洁能源有限责任公司</t>
    <phoneticPr fontId="25" type="noConversion"/>
  </si>
  <si>
    <t>华能蒋公岭风电场一期（48MW）工程风功率预测系统设备采购合同</t>
    <phoneticPr fontId="25" type="noConversion"/>
  </si>
  <si>
    <t xml:space="preserve">中国二十二冶集团有限公司 </t>
    <phoneticPr fontId="25" type="noConversion"/>
  </si>
  <si>
    <t>昌黎大滩风电场48MW工程风功率预测系统设备设备供货合同</t>
    <phoneticPr fontId="25" type="noConversion"/>
  </si>
  <si>
    <t>黑龙江龙源风力发电有限公司</t>
    <phoneticPr fontId="25" type="noConversion"/>
  </si>
  <si>
    <t>预测年度服务技术服务合同</t>
    <phoneticPr fontId="25" type="noConversion"/>
  </si>
  <si>
    <t>依兰龙源风力发电有限公司</t>
    <phoneticPr fontId="25" type="noConversion"/>
  </si>
  <si>
    <t>风电功率预测系统数值天气预报、技术服务合同</t>
    <phoneticPr fontId="25" type="noConversion"/>
  </si>
  <si>
    <t>华电铁岭镇西堡风电场、李家屯风电场及心田堡风电场风电功率预测系统服务合同</t>
    <phoneticPr fontId="25" type="noConversion"/>
  </si>
  <si>
    <t>哈尔滨新华控制工程有限公司</t>
    <phoneticPr fontId="25" type="noConversion"/>
  </si>
  <si>
    <t>大唐桦南风机状态监测系统采购合同</t>
    <phoneticPr fontId="25" type="noConversion"/>
  </si>
  <si>
    <t>大唐依兰晨光风场风机状态监测系统采购合同</t>
    <phoneticPr fontId="25" type="noConversion"/>
  </si>
  <si>
    <t>密山潘家店风力发电有限公司</t>
    <phoneticPr fontId="25" type="noConversion"/>
  </si>
  <si>
    <t>密山潘家店风电场风电功率预测系统采购合同</t>
    <phoneticPr fontId="25" type="noConversion"/>
  </si>
  <si>
    <t>国华（乾安）风电有限公司</t>
    <phoneticPr fontId="25" type="noConversion"/>
  </si>
  <si>
    <t>国华乾安腾字风电场二期扩容服务合同</t>
    <phoneticPr fontId="25" type="noConversion"/>
  </si>
  <si>
    <t>大唐集贤风力发电有限公司</t>
    <phoneticPr fontId="25" type="noConversion"/>
  </si>
  <si>
    <t>大唐依兰晨光风电场风力发电机组咨询服务合同</t>
    <phoneticPr fontId="25" type="noConversion"/>
  </si>
  <si>
    <t>大唐依兰富强风电场风力发电机组咨询服务合同</t>
    <phoneticPr fontId="25" type="noConversion"/>
  </si>
  <si>
    <t>大唐桦南风力发电有限公司</t>
    <phoneticPr fontId="25" type="noConversion"/>
  </si>
  <si>
    <t>大唐桦南风电场风力发电机组咨询服务合同</t>
    <phoneticPr fontId="25" type="noConversion"/>
  </si>
  <si>
    <t>调兵山公司D5000系统采购合同</t>
    <phoneticPr fontId="25" type="noConversion"/>
  </si>
  <si>
    <t>三峡新能源开原风电有限公司</t>
    <phoneticPr fontId="25" type="noConversion"/>
  </si>
  <si>
    <t>三峡新能源开原威远风电场D5000系统采购合同</t>
    <phoneticPr fontId="25" type="noConversion"/>
  </si>
  <si>
    <t>林甸东明园风力发电有限公司</t>
    <phoneticPr fontId="25" type="noConversion"/>
  </si>
  <si>
    <t>设备买卖合同</t>
    <phoneticPr fontId="25" type="noConversion"/>
  </si>
  <si>
    <t>国电物资集团有限公司上海分公司</t>
    <phoneticPr fontId="25" type="noConversion"/>
  </si>
  <si>
    <t>霞浦廷亭风电工程风功率预测系统</t>
    <phoneticPr fontId="25" type="noConversion"/>
  </si>
  <si>
    <t>国电物资集团有限公司西北物资配送中心</t>
    <phoneticPr fontId="25" type="noConversion"/>
  </si>
  <si>
    <t>国电陕西新能源有限公司靖边芦河光伏电站光功率预测系统采购合同</t>
    <phoneticPr fontId="25" type="noConversion"/>
  </si>
  <si>
    <t>华电铁岭风力发电有限公司</t>
    <phoneticPr fontId="25" type="noConversion"/>
  </si>
  <si>
    <t>华电铁岭心田堡风电场（48MW）工程D5000平台安全防护系统设备采购合同</t>
    <phoneticPr fontId="25" type="noConversion"/>
  </si>
  <si>
    <t>新疆华电吐鲁番发电有限责任公司</t>
    <phoneticPr fontId="25" type="noConversion"/>
  </si>
  <si>
    <t>工业品买卖合同</t>
    <phoneticPr fontId="25" type="noConversion"/>
  </si>
  <si>
    <t>新疆天电达坂城风力发电有限责任公司</t>
    <phoneticPr fontId="25" type="noConversion"/>
  </si>
  <si>
    <t>天山电力达坂城风电场风电功率预测系统售后服务合同</t>
    <phoneticPr fontId="25" type="noConversion"/>
  </si>
  <si>
    <t>中航龙腾风力发电有限公司</t>
    <phoneticPr fontId="25" type="noConversion"/>
  </si>
  <si>
    <t>龙江哈拉海乡风电场风功率预测系统服务合同</t>
    <phoneticPr fontId="25" type="noConversion"/>
  </si>
  <si>
    <t>密山潘家店风电场风电功率预测系统服务合同</t>
    <phoneticPr fontId="25" type="noConversion"/>
  </si>
  <si>
    <t>南京南瑞继保工程技术有限公司</t>
    <phoneticPr fontId="25" type="noConversion"/>
  </si>
  <si>
    <t>中电投河北宣化风光互补发电一期工程风功率预测系统采购合同</t>
    <phoneticPr fontId="25" type="noConversion"/>
  </si>
  <si>
    <t>密山临河风力发电有限公司</t>
    <phoneticPr fontId="25" type="noConversion"/>
  </si>
  <si>
    <t>密山临河风电场风电功率预测系统服务合同</t>
    <phoneticPr fontId="25" type="noConversion"/>
  </si>
  <si>
    <t>北京博风慧能软件有限责任公司</t>
    <phoneticPr fontId="25" type="noConversion"/>
  </si>
  <si>
    <t>沈阳工业安装工程股份有限公司</t>
    <phoneticPr fontId="25" type="noConversion"/>
  </si>
  <si>
    <t xml:space="preserve">中国华电电站装备工程集团南京输变电成套设备有限公司 </t>
    <phoneticPr fontId="25" type="noConversion"/>
  </si>
  <si>
    <t>华电尚义二工地20兆瓦光伏发电项目采购合同</t>
    <phoneticPr fontId="25" type="noConversion"/>
  </si>
  <si>
    <t>山东龙源风力发电有限公司</t>
    <phoneticPr fontId="25" type="noConversion"/>
  </si>
  <si>
    <t>山东龙源滨海风电场风电功率预测系统服务合同</t>
    <phoneticPr fontId="25" type="noConversion"/>
  </si>
  <si>
    <t>华电双辽那木斯风电场风电功率预测技术服务合同</t>
    <phoneticPr fontId="25" type="noConversion"/>
  </si>
  <si>
    <t>新疆高岸电子科技有限公司</t>
    <phoneticPr fontId="25" type="noConversion"/>
  </si>
  <si>
    <t>华电福新昌吉州木垒一期20兆瓦光伏并网发电项目 工业品买卖合同</t>
    <phoneticPr fontId="25" type="noConversion"/>
  </si>
  <si>
    <t>国电桦川大青背二期风电项目风功率预测系统年服务合同</t>
    <phoneticPr fontId="25" type="noConversion"/>
  </si>
  <si>
    <t>国华乾安腾字风电场一期风电功率预测技术服务合同</t>
    <phoneticPr fontId="25" type="noConversion"/>
  </si>
  <si>
    <t>大唐华安（齐齐哈尔）风力发电有限公司</t>
    <phoneticPr fontId="25" type="noConversion"/>
  </si>
  <si>
    <t>大唐齐齐哈尔碾子山风电场风机齿轮箱精滤器设备采购及安装合同</t>
    <phoneticPr fontId="25" type="noConversion"/>
  </si>
  <si>
    <t>吉林中广核风力发电有限公司</t>
    <phoneticPr fontId="25" type="noConversion"/>
  </si>
  <si>
    <t>中广核吉林大安大岗子风电场风电功率预测技术服务合同</t>
    <phoneticPr fontId="25" type="noConversion"/>
  </si>
  <si>
    <t>龙江杏山风力发电有限公司</t>
    <phoneticPr fontId="25" type="noConversion"/>
  </si>
  <si>
    <t>龙江杏山风电场风电功率预测系统采购合同</t>
    <phoneticPr fontId="25" type="noConversion"/>
  </si>
  <si>
    <t>榆林国远风电有限公司</t>
    <phoneticPr fontId="25" type="noConversion"/>
  </si>
  <si>
    <t>远见榆林横山一期（狄青塬）风电场工程项目风功率预测系统采购合同</t>
    <phoneticPr fontId="25" type="noConversion"/>
  </si>
  <si>
    <t>华电虎林风力发电有限公司</t>
    <phoneticPr fontId="25" type="noConversion"/>
  </si>
  <si>
    <t>华电虎林石青山风电场（一期）风电功率预测系统服务合同</t>
    <phoneticPr fontId="25" type="noConversion"/>
  </si>
  <si>
    <t>华电汤原风力发电有限公司</t>
    <phoneticPr fontId="25" type="noConversion"/>
  </si>
  <si>
    <t>华电汤原渠首风电场风电功率预测系统服务合同</t>
    <phoneticPr fontId="25" type="noConversion"/>
  </si>
  <si>
    <t>七台河丰润风力发电有限公司</t>
    <phoneticPr fontId="25" type="noConversion"/>
  </si>
  <si>
    <t>华电前锋风电场风电功率预测系统服务合同</t>
    <phoneticPr fontId="25" type="noConversion"/>
  </si>
  <si>
    <t>七台河宏浩风力发电有限公司</t>
    <phoneticPr fontId="25" type="noConversion"/>
  </si>
  <si>
    <t>华电七里嘎山风电场风电功率预测系统模服务合同</t>
    <phoneticPr fontId="25" type="noConversion"/>
  </si>
  <si>
    <t>华电吉林大安风力发电有限公司</t>
    <phoneticPr fontId="25" type="noConversion"/>
  </si>
  <si>
    <t>华电大安风水山风电场三期（48MW)工程风功率预测扩容合同</t>
    <phoneticPr fontId="25" type="noConversion"/>
  </si>
  <si>
    <t>中国电建集团西北勘测设计研究院有限公司</t>
    <phoneticPr fontId="25" type="noConversion"/>
  </si>
  <si>
    <t>华能定边杨井二期50MW风电项目风功率预测系统设备采购合同</t>
    <phoneticPr fontId="25" type="noConversion"/>
  </si>
  <si>
    <t>三峡新能源调兵山风电有限公司</t>
    <phoneticPr fontId="25" type="noConversion"/>
  </si>
  <si>
    <t>三峡新能源调兵山风电有限公司风功率预测技术服务合同</t>
    <phoneticPr fontId="25" type="noConversion"/>
  </si>
  <si>
    <t>12001-1</t>
    <phoneticPr fontId="25" type="noConversion"/>
  </si>
  <si>
    <t>中节能张北绿脑包风电场测风塔改造工程采购合同</t>
    <phoneticPr fontId="25" type="noConversion"/>
  </si>
  <si>
    <t>湘电风能有限公司</t>
    <phoneticPr fontId="25" type="noConversion"/>
  </si>
  <si>
    <t>买卖合同</t>
    <phoneticPr fontId="25" type="noConversion"/>
  </si>
  <si>
    <t>华能哈密风力发电有限公司</t>
    <phoneticPr fontId="25" type="noConversion"/>
  </si>
  <si>
    <t>华能哈密东南部烟墩第四风电场风电风功率预测系统服务合同</t>
    <phoneticPr fontId="25" type="noConversion"/>
  </si>
  <si>
    <t>黑龙江富龙风力发电有限责任公司/黑龙江富龙风能科技开发有限责任公司</t>
    <phoneticPr fontId="25" type="noConversion"/>
  </si>
  <si>
    <t>乌尔古力山风电场、五顶山风电场风电功率预测系统技术服务合同</t>
    <phoneticPr fontId="25" type="noConversion"/>
  </si>
  <si>
    <t>黑龙江东方风力发电有限公司</t>
    <phoneticPr fontId="25" type="noConversion"/>
  </si>
  <si>
    <t>密山林场（柳毛）风电场2015-2016年度风功率预测系统服务合同</t>
    <phoneticPr fontId="25" type="noConversion"/>
  </si>
  <si>
    <t>黑龙江北方风力发电有限公司</t>
    <phoneticPr fontId="25" type="noConversion"/>
  </si>
  <si>
    <t>兴凯湖（蜂蜜山）风电场2015-2016年度风功率预测系统服务合同</t>
    <phoneticPr fontId="25" type="noConversion"/>
  </si>
  <si>
    <t>密山临河风电场2015-2016年度风电功率预测系统服务合同</t>
    <phoneticPr fontId="25" type="noConversion"/>
  </si>
  <si>
    <t>密山潘家店风电场2015-2016年度风电功率预测系统服务合同</t>
    <phoneticPr fontId="25" type="noConversion"/>
  </si>
  <si>
    <t>双鸭山锅盔山风力发电有限公司</t>
    <phoneticPr fontId="25" type="noConversion"/>
  </si>
  <si>
    <t>双鸭山锅盔山风电场2015-2016年度风功率预测系统服务合同</t>
    <phoneticPr fontId="25" type="noConversion"/>
  </si>
  <si>
    <t>双鸭山老平岗风力发电有限公司</t>
    <phoneticPr fontId="25" type="noConversion"/>
  </si>
  <si>
    <t>双鸭山老平岗风电场2015-2016年度风功率预测系统服务合同</t>
    <phoneticPr fontId="25" type="noConversion"/>
  </si>
  <si>
    <t>双鸭山杨木岗风力发电有限公司</t>
    <phoneticPr fontId="25" type="noConversion"/>
  </si>
  <si>
    <t>双鸭山杨木岗风电场2015-2016年度风功率预测系统服务合同</t>
    <phoneticPr fontId="25" type="noConversion"/>
  </si>
  <si>
    <t>龙江哈拉海乡风电场2015-2016年度风功率预测系统服务合同</t>
    <phoneticPr fontId="25" type="noConversion"/>
  </si>
  <si>
    <t>龙江杏山风电场2015-2016年度风功率预测系统采购合同</t>
    <phoneticPr fontId="25" type="noConversion"/>
  </si>
  <si>
    <t>华电虎林石青山风电场二期49.5MW工程风功率预测系统购销合同</t>
    <phoneticPr fontId="25" type="noConversion"/>
  </si>
  <si>
    <t>新疆吐鲁番广恒新能源有限公司</t>
  </si>
  <si>
    <t>鲁能新疆小草湖风电场测风数据项目</t>
    <phoneticPr fontId="25" type="noConversion"/>
  </si>
  <si>
    <t>林口胜利风力发电有限公司</t>
    <phoneticPr fontId="25" type="noConversion"/>
  </si>
  <si>
    <t>远见榆林横山一期（狄青塬）风电场工程项目测风塔设备采购合同</t>
    <phoneticPr fontId="25" type="noConversion"/>
  </si>
  <si>
    <t>云南省昆明市苏撒坡风电场风功率预测系统采购合同</t>
    <phoneticPr fontId="25" type="noConversion"/>
  </si>
  <si>
    <t>宾县大泉子风力发电有限公司</t>
    <phoneticPr fontId="25" type="noConversion"/>
  </si>
  <si>
    <t>宾县大泉子风电场工程（49.5MW）测风塔、测风设备及测风数据实时传输系统采购合同</t>
    <phoneticPr fontId="25" type="noConversion"/>
  </si>
  <si>
    <t>海林中电海浪风力发电有限公司</t>
    <phoneticPr fontId="25" type="noConversion"/>
  </si>
  <si>
    <t>海林中电海浪风电场工程测风塔、测风设备及测风数据实时传输系统采购合同</t>
    <phoneticPr fontId="25" type="noConversion"/>
  </si>
  <si>
    <t>福建莆田大蚶山风电场风功率预测系统服务合同</t>
    <phoneticPr fontId="25" type="noConversion"/>
  </si>
  <si>
    <t>福能（龙海）风力发电有限责任公司</t>
    <phoneticPr fontId="25" type="noConversion"/>
  </si>
  <si>
    <t>福建龙海新村、新厝、港尾风电场风电功率预测系统采购合同</t>
    <phoneticPr fontId="25" type="noConversion"/>
  </si>
  <si>
    <t>华能同江风力发电有限公司</t>
    <phoneticPr fontId="25" type="noConversion"/>
  </si>
  <si>
    <t>风电场风电功率预测服务技术服务合同</t>
    <phoneticPr fontId="25" type="noConversion"/>
  </si>
  <si>
    <t>大庆绿源风力发电有限公司</t>
    <phoneticPr fontId="25" type="noConversion"/>
  </si>
  <si>
    <t>乾安网新风电有限公司</t>
    <phoneticPr fontId="25" type="noConversion"/>
  </si>
  <si>
    <t>风功率预测系统采购合同</t>
    <phoneticPr fontId="25" type="noConversion"/>
  </si>
  <si>
    <t>吉林风力发电股份有限公司</t>
    <phoneticPr fontId="25" type="noConversion"/>
  </si>
  <si>
    <t>长岭174风电场涉网安全改造项目70米测风塔采购合同</t>
    <phoneticPr fontId="25" type="noConversion"/>
  </si>
  <si>
    <t>福能平海（莆田）风力发电限公司</t>
    <phoneticPr fontId="25" type="noConversion"/>
  </si>
  <si>
    <t>福建莆田石塘风电场风电功率预测系统采购合同</t>
    <phoneticPr fontId="25" type="noConversion"/>
  </si>
  <si>
    <t>依兰晨光风电场风电功率预测服务技术服务合同</t>
    <phoneticPr fontId="25" type="noConversion"/>
  </si>
  <si>
    <t>依兰富强风电场风电功率预测服务技术服务合同</t>
    <phoneticPr fontId="25" type="noConversion"/>
  </si>
  <si>
    <t>桦南北架山风电场风电功率预测服务技术服务合同</t>
    <phoneticPr fontId="25" type="noConversion"/>
  </si>
  <si>
    <t>集贤太阳山风电场风电功率预测服务技术服务合同</t>
    <phoneticPr fontId="25" type="noConversion"/>
  </si>
  <si>
    <t>桦川苏家店风电场风电功率预测服务技术服务合同</t>
    <phoneticPr fontId="25" type="noConversion"/>
  </si>
  <si>
    <t>绥滨吉成风电场风电功率预测服务技术服务合同</t>
    <phoneticPr fontId="25" type="noConversion"/>
  </si>
  <si>
    <t>国华（铜川）新能源有限公司</t>
    <phoneticPr fontId="25" type="noConversion"/>
  </si>
  <si>
    <t>国华铜川一期（阿庄）风电场工程项目风功率预测系统采购合同</t>
    <phoneticPr fontId="25" type="noConversion"/>
  </si>
  <si>
    <t>德京（福建）电通技术开发有限公司</t>
    <phoneticPr fontId="25" type="noConversion"/>
  </si>
  <si>
    <t>云霄曾江风电场项目风电场及升压站建安工程风电功率预测系统采购合同</t>
    <phoneticPr fontId="25" type="noConversion"/>
  </si>
  <si>
    <t>国电招远新能源有限公司</t>
    <phoneticPr fontId="25" type="noConversion"/>
  </si>
  <si>
    <t>夏甸国电风电场并网技术支持系统一区综合终端维修合同</t>
    <phoneticPr fontId="25" type="noConversion"/>
  </si>
  <si>
    <t>国华（齐齐哈尔）风电有限公司</t>
    <phoneticPr fontId="25" type="noConversion"/>
  </si>
  <si>
    <t>国华富裕风电场三期项目风功率预测系统升级改造合同</t>
    <phoneticPr fontId="25" type="noConversion"/>
  </si>
  <si>
    <t>三峡新能源开原风力发电有限公司</t>
    <phoneticPr fontId="25" type="noConversion"/>
  </si>
  <si>
    <t>三峡新能源开原风电有限公司风功率预测系统技术服务合同</t>
    <phoneticPr fontId="25" type="noConversion"/>
  </si>
  <si>
    <t>三峡新能源开原风电有限公司测风塔数据采集器采购合同</t>
    <phoneticPr fontId="25" type="noConversion"/>
  </si>
  <si>
    <t>新疆天山达坂城风力发电场测风材料采购合同</t>
    <phoneticPr fontId="25" type="noConversion"/>
  </si>
  <si>
    <t>木垒县乾新能源开发有限公司</t>
    <phoneticPr fontId="25" type="noConversion"/>
  </si>
  <si>
    <t>乾新昌吉木垒老君庙风电场二期（49.5MW）工程测风仪、塔和风功率预测系统采购合同</t>
    <phoneticPr fontId="25" type="noConversion"/>
  </si>
  <si>
    <t>三峡新能源彰武光伏电站14MWP扩容项目采购合同</t>
    <phoneticPr fontId="25" type="noConversion"/>
  </si>
  <si>
    <t>三峡新能源调兵山风电有限公司测风设备采购合同</t>
    <phoneticPr fontId="25" type="noConversion"/>
  </si>
  <si>
    <t>华电吉林双辽风力发电有限公司</t>
    <phoneticPr fontId="25" type="noConversion"/>
  </si>
  <si>
    <t>三峡新能源白城风电发展有限公司</t>
    <phoneticPr fontId="25" type="noConversion"/>
  </si>
  <si>
    <t>三峡新能源白城风电发展有限公司风电场风功率预测系统技术服务合同</t>
    <phoneticPr fontId="25" type="noConversion"/>
  </si>
  <si>
    <t>采购协议</t>
    <phoneticPr fontId="25" type="noConversion"/>
  </si>
  <si>
    <t>锦州和兴风力发电有限公司</t>
    <phoneticPr fontId="25" type="noConversion"/>
  </si>
  <si>
    <t>哈密中核风电有限公司</t>
    <phoneticPr fontId="25" type="noConversion"/>
  </si>
  <si>
    <t>哈密风电基地二期烟墩八C中核200MW风电项目风功率预测系统购货合同</t>
    <phoneticPr fontId="25" type="noConversion"/>
  </si>
  <si>
    <t>中电投宁夏能源铝业中卫新能源有限公司</t>
    <phoneticPr fontId="25" type="noConversion"/>
  </si>
  <si>
    <t>中卫香山模型优化项目</t>
    <phoneticPr fontId="25" type="noConversion"/>
  </si>
  <si>
    <t>碾子山风电场风机齿轮箱精滤器设备采购合同</t>
    <phoneticPr fontId="25" type="noConversion"/>
  </si>
  <si>
    <t>华能启东风力发电有限公司</t>
    <phoneticPr fontId="25" type="noConversion"/>
  </si>
  <si>
    <t>华能启东风力发电有限公司风功率预测系统技术服务合同</t>
    <phoneticPr fontId="25" type="noConversion"/>
  </si>
  <si>
    <t>克东龙源风力发电有限公司</t>
    <phoneticPr fontId="25" type="noConversion"/>
  </si>
  <si>
    <t>大庆龙源风力发电有限公司</t>
    <phoneticPr fontId="25" type="noConversion"/>
  </si>
  <si>
    <t>预测年度服技术服务合同</t>
    <phoneticPr fontId="25" type="noConversion"/>
  </si>
  <si>
    <t>测风塔、测风设备及测风数据实时传输系统采购合同</t>
    <phoneticPr fontId="25" type="noConversion"/>
  </si>
  <si>
    <t>上海电气风电设备东台有限公司</t>
    <phoneticPr fontId="25" type="noConversion"/>
  </si>
  <si>
    <t>中卫项目风功率预测系统采购合同</t>
    <phoneticPr fontId="25" type="noConversion"/>
  </si>
  <si>
    <t>中广核大北山（瓦房店）风力发电有限公司</t>
    <phoneticPr fontId="25" type="noConversion"/>
  </si>
  <si>
    <t>中广核大北山风电场风功率预测配套测风塔采购合同</t>
    <phoneticPr fontId="25" type="noConversion"/>
  </si>
  <si>
    <t>陕西锐正电气科技有限公司</t>
    <phoneticPr fontId="25" type="noConversion"/>
  </si>
  <si>
    <t>靖边太阳能光伏产业示范园北区110KV升压站二期升级改造项目上欠井电站光功率预测系统采购合同书</t>
    <phoneticPr fontId="25" type="noConversion"/>
  </si>
  <si>
    <t>2011.1.14</t>
    <phoneticPr fontId="1" type="noConversion"/>
  </si>
  <si>
    <t>2011.2.22</t>
    <phoneticPr fontId="1" type="noConversion"/>
  </si>
  <si>
    <t>2011.2.22</t>
  </si>
  <si>
    <t>2011.1.20</t>
    <phoneticPr fontId="1" type="noConversion"/>
  </si>
  <si>
    <t>2011.2.20</t>
    <phoneticPr fontId="1" type="noConversion"/>
  </si>
  <si>
    <t>2011.2.23</t>
    <phoneticPr fontId="1" type="noConversion"/>
  </si>
  <si>
    <t>2011.3.31</t>
    <phoneticPr fontId="1" type="noConversion"/>
  </si>
  <si>
    <t xml:space="preserve">2011.1.8
</t>
    <phoneticPr fontId="1" type="noConversion"/>
  </si>
  <si>
    <t xml:space="preserve">2011.1.23
</t>
    <phoneticPr fontId="1" type="noConversion"/>
  </si>
  <si>
    <t>2011.5.13</t>
    <phoneticPr fontId="1" type="noConversion"/>
  </si>
  <si>
    <t>2011.5.30</t>
    <phoneticPr fontId="1" type="noConversion"/>
  </si>
  <si>
    <t>2011.6.17</t>
    <phoneticPr fontId="1" type="noConversion"/>
  </si>
  <si>
    <t>2011.8.7</t>
    <phoneticPr fontId="1" type="noConversion"/>
  </si>
  <si>
    <t>2011.8.9</t>
    <phoneticPr fontId="1" type="noConversion"/>
  </si>
  <si>
    <t>2011.8.17</t>
    <phoneticPr fontId="1" type="noConversion"/>
  </si>
  <si>
    <t>2011.8.24</t>
    <phoneticPr fontId="1" type="noConversion"/>
  </si>
  <si>
    <t>2011.9.9</t>
    <phoneticPr fontId="1" type="noConversion"/>
  </si>
  <si>
    <t>2011.9.13</t>
    <phoneticPr fontId="1" type="noConversion"/>
  </si>
  <si>
    <t>2011.6.25</t>
    <phoneticPr fontId="1" type="noConversion"/>
  </si>
  <si>
    <t>2011.6.30</t>
    <phoneticPr fontId="1" type="noConversion"/>
  </si>
  <si>
    <t>2011.10.20</t>
    <phoneticPr fontId="1" type="noConversion"/>
  </si>
  <si>
    <t>2011.11.4</t>
    <phoneticPr fontId="1" type="noConversion"/>
  </si>
  <si>
    <t>2011.11.8</t>
    <phoneticPr fontId="1" type="noConversion"/>
  </si>
  <si>
    <t>2011.11.29</t>
    <phoneticPr fontId="1" type="noConversion"/>
  </si>
  <si>
    <t>2011.11.29</t>
  </si>
  <si>
    <t>2013.2.16</t>
    <phoneticPr fontId="1" type="noConversion"/>
  </si>
  <si>
    <t>2013.2.28</t>
    <phoneticPr fontId="1" type="noConversion"/>
  </si>
  <si>
    <t>2013.4.10</t>
    <phoneticPr fontId="1" type="noConversion"/>
  </si>
  <si>
    <t>2013.3.15</t>
    <phoneticPr fontId="1" type="noConversion"/>
  </si>
  <si>
    <t>2013.4.7</t>
    <phoneticPr fontId="1" type="noConversion"/>
  </si>
  <si>
    <t>2013.4.28</t>
    <phoneticPr fontId="1" type="noConversion"/>
  </si>
  <si>
    <t>2013.5.22</t>
    <phoneticPr fontId="1" type="noConversion"/>
  </si>
  <si>
    <t>2013.2.27</t>
    <phoneticPr fontId="1" type="noConversion"/>
  </si>
  <si>
    <t>2013.6.21</t>
    <phoneticPr fontId="1" type="noConversion"/>
  </si>
  <si>
    <t>2013.7.2</t>
    <phoneticPr fontId="1" type="noConversion"/>
  </si>
  <si>
    <t>2013.7.26</t>
    <phoneticPr fontId="1" type="noConversion"/>
  </si>
  <si>
    <t>2013.6.6</t>
    <phoneticPr fontId="1" type="noConversion"/>
  </si>
  <si>
    <t>2013.7.22</t>
    <phoneticPr fontId="1" type="noConversion"/>
  </si>
  <si>
    <t>2013.8.12</t>
    <phoneticPr fontId="1" type="noConversion"/>
  </si>
  <si>
    <t>2013.1.25</t>
    <phoneticPr fontId="1" type="noConversion"/>
  </si>
  <si>
    <t>2013.7.21</t>
    <phoneticPr fontId="1" type="noConversion"/>
  </si>
  <si>
    <t>2013.9.1</t>
    <phoneticPr fontId="1" type="noConversion"/>
  </si>
  <si>
    <t>2013.10.28</t>
    <phoneticPr fontId="1" type="noConversion"/>
  </si>
  <si>
    <t>2013.11.4</t>
    <phoneticPr fontId="1" type="noConversion"/>
  </si>
  <si>
    <t>2013.10.22</t>
    <phoneticPr fontId="1" type="noConversion"/>
  </si>
  <si>
    <t>2013.10.24</t>
    <phoneticPr fontId="1" type="noConversion"/>
  </si>
  <si>
    <t>2013.11.7</t>
    <phoneticPr fontId="1" type="noConversion"/>
  </si>
  <si>
    <t>2013.11.1</t>
    <phoneticPr fontId="1" type="noConversion"/>
  </si>
  <si>
    <t>2013.10.30</t>
    <phoneticPr fontId="1" type="noConversion"/>
  </si>
  <si>
    <t>2013.11.8</t>
    <phoneticPr fontId="1" type="noConversion"/>
  </si>
  <si>
    <t>2013.6.30</t>
    <phoneticPr fontId="1" type="noConversion"/>
  </si>
  <si>
    <t>2013.1.7</t>
    <phoneticPr fontId="1" type="noConversion"/>
  </si>
  <si>
    <t>2013.12.3</t>
    <phoneticPr fontId="1" type="noConversion"/>
  </si>
  <si>
    <t>2013.11.20</t>
    <phoneticPr fontId="1" type="noConversion"/>
  </si>
  <si>
    <t>2012年</t>
    <phoneticPr fontId="1" type="noConversion"/>
  </si>
  <si>
    <t>2014年</t>
    <phoneticPr fontId="1" type="noConversion"/>
  </si>
  <si>
    <t>2014.9.19</t>
    <phoneticPr fontId="1" type="noConversion"/>
  </si>
  <si>
    <t>中核国电</t>
  </si>
  <si>
    <t>云霄青径</t>
  </si>
  <si>
    <t>到保</t>
  </si>
  <si>
    <t>广西</t>
  </si>
  <si>
    <t>瑞好</t>
  </si>
  <si>
    <t>大庆瑞好</t>
  </si>
  <si>
    <t>鲁能</t>
  </si>
  <si>
    <t>鲁能小草湖北风电一场</t>
  </si>
  <si>
    <t>坝头二期+骆驼沟二期</t>
  </si>
  <si>
    <t>太平、碾子山、海林威虎山</t>
  </si>
  <si>
    <t>泰来</t>
  </si>
  <si>
    <t>文特客</t>
  </si>
  <si>
    <t>兴隆新海</t>
  </si>
  <si>
    <t>天润留龙沟</t>
  </si>
  <si>
    <t>阿廷河</t>
  </si>
  <si>
    <t>苇湖梁（苇湖梁东区/中区/西区）</t>
  </si>
  <si>
    <t>坵坪</t>
  </si>
  <si>
    <t>短期软件；超短期软件；系统硬件；测风塔；测风塔设备</t>
  </si>
  <si>
    <t>短期软件；超短期软件；系统硬件；测风塔设备；预测服务1年</t>
  </si>
  <si>
    <t>辽宁风电场集控上传软件；系统硬件</t>
  </si>
  <si>
    <t>预测服务16月</t>
  </si>
  <si>
    <t>短期软件；超短期软件；系统硬件</t>
  </si>
  <si>
    <t>风电场技术服务</t>
  </si>
  <si>
    <t>场站信息管理系统</t>
  </si>
  <si>
    <t>SIS</t>
  </si>
  <si>
    <t>光伏功率预测；光伏AGC/AVC</t>
  </si>
  <si>
    <t>短期软件；超短期软件；预测系统硬件；光伏气象站；光伏气象站设备；预测服务1年；光伏AGC软件；光伏AVC软件；AGC/AVC系统硬件</t>
  </si>
  <si>
    <t>超短期软件；系统硬件；测风塔；测风塔设备；预测服务1年</t>
  </si>
  <si>
    <t>短期软件；超短期软件；系统硬件；测风塔1；测风塔1设备；测风塔2；测风塔2设备</t>
  </si>
  <si>
    <t>风电AGC软件；风电AVC软件；系统硬件</t>
  </si>
  <si>
    <t>短期软件；超短期软件；系统硬件；测风塔；测风塔设备；预测服务2年</t>
  </si>
  <si>
    <t>测风塔1；测风塔1设备；测风塔2；测风塔2设备；测风塔3；测风塔3设备</t>
  </si>
  <si>
    <t>短期软件；超短期软件；系统硬件；测风塔1；测风塔1设备；测风塔2；测风塔2设备；测风塔3；测风塔3设备；测风塔4；测风塔4设备；预测服务2年</t>
  </si>
  <si>
    <t>其他</t>
    <phoneticPr fontId="27" type="noConversion"/>
  </si>
  <si>
    <t>张霞</t>
  </si>
  <si>
    <t>陈慧群</t>
  </si>
  <si>
    <t>邵楠</t>
  </si>
  <si>
    <t>韩志宇</t>
    <phoneticPr fontId="27" type="noConversion"/>
  </si>
  <si>
    <t>王维</t>
  </si>
  <si>
    <t>江西</t>
  </si>
  <si>
    <t>建投七里</t>
  </si>
  <si>
    <t>桦南</t>
  </si>
  <si>
    <t>大庆大丰</t>
  </si>
  <si>
    <t>林甸东明园</t>
  </si>
  <si>
    <t>霞浦廷亭</t>
  </si>
  <si>
    <t>芦河</t>
  </si>
  <si>
    <t>阳城子</t>
  </si>
  <si>
    <t>华电达坂城白杨沟风电一场
华电达坂城大连湖风电一场
华电达坂城白杨沟风电一场</t>
    <phoneticPr fontId="27" type="noConversion"/>
  </si>
  <si>
    <t>尚义二工地</t>
  </si>
  <si>
    <t>狄青塬</t>
  </si>
  <si>
    <t>铁岭调兵山华仪+三峡能源泉眼沟</t>
    <phoneticPr fontId="27" type="noConversion"/>
  </si>
  <si>
    <t>北京科东电力控制系统有限责任公司</t>
    <phoneticPr fontId="27" type="noConversion"/>
  </si>
  <si>
    <t>短期软件；超短期软件；系统硬件；预测服务3年</t>
  </si>
  <si>
    <t>风机状态检测</t>
  </si>
  <si>
    <t>风机状态监测</t>
  </si>
  <si>
    <t>建模扩容；预测服务1年</t>
  </si>
  <si>
    <t>辽宁风电场D5000一区软件；系统硬件</t>
  </si>
  <si>
    <t>短期软件；超短期软件；系统硬件；测风塔；测风塔设备；预测服务3年</t>
  </si>
  <si>
    <t>测风塔</t>
    <phoneticPr fontId="27" type="noConversion"/>
  </si>
  <si>
    <t>测风塔</t>
  </si>
  <si>
    <t>风机齿轮箱精滤器</t>
  </si>
  <si>
    <t>王龙波</t>
    <phoneticPr fontId="27" type="noConversion"/>
  </si>
  <si>
    <t>郭文明</t>
    <phoneticPr fontId="27" type="noConversion"/>
  </si>
  <si>
    <t>秦英飞</t>
    <phoneticPr fontId="27" type="noConversion"/>
  </si>
  <si>
    <t>陈慧群</t>
    <phoneticPr fontId="27" type="noConversion"/>
  </si>
  <si>
    <t>贾本玉</t>
    <phoneticPr fontId="27" type="noConversion"/>
  </si>
  <si>
    <t>杨振坤</t>
    <phoneticPr fontId="27" type="noConversion"/>
  </si>
  <si>
    <t>中电投</t>
    <phoneticPr fontId="27" type="noConversion"/>
  </si>
  <si>
    <t>宣化阳城子</t>
    <phoneticPr fontId="27" type="noConversion"/>
  </si>
  <si>
    <t>青海、安徽、湖南、湖北</t>
    <phoneticPr fontId="27" type="noConversion"/>
  </si>
  <si>
    <t>茶卡盐湖、青海切吉敦曲、章广、东岗岭、百里荒</t>
    <phoneticPr fontId="27" type="noConversion"/>
  </si>
  <si>
    <t>林口胜利</t>
  </si>
  <si>
    <t>中电</t>
  </si>
  <si>
    <t>云南</t>
  </si>
  <si>
    <t>苏撒坡</t>
  </si>
  <si>
    <t>大个岭</t>
  </si>
  <si>
    <t>长岭</t>
  </si>
  <si>
    <t>蒲类海麻黄沟西风电场</t>
  </si>
  <si>
    <t>国华云梦</t>
  </si>
  <si>
    <t>云霄曾江</t>
  </si>
  <si>
    <t>招远</t>
    <phoneticPr fontId="27" type="noConversion"/>
  </si>
  <si>
    <t>富裕</t>
  </si>
  <si>
    <t>湖南</t>
  </si>
  <si>
    <t>东岗岭</t>
  </si>
  <si>
    <t>老君庙风电场二期</t>
  </si>
  <si>
    <t>中核</t>
  </si>
  <si>
    <t>中核庙尔沟风电一场</t>
  </si>
  <si>
    <t>中卫香山第六风电场</t>
  </si>
  <si>
    <t>陕光伏</t>
  </si>
  <si>
    <t>上欠井</t>
  </si>
  <si>
    <t>短期软件；超短期软件；系统硬件；测风塔；测风塔设备；预测服务2年（除章广）3年（章广）</t>
    <phoneticPr fontId="1" type="noConversion"/>
  </si>
  <si>
    <t>建模扩容；测风塔；测风塔设备</t>
  </si>
  <si>
    <t>建模扩容；光伏AGC/AVC软件升级</t>
  </si>
  <si>
    <t>申雪原</t>
    <phoneticPr fontId="27" type="noConversion"/>
  </si>
  <si>
    <t>新  疆</t>
  </si>
  <si>
    <t>烟墩</t>
  </si>
  <si>
    <t>15021-2016</t>
    <phoneticPr fontId="1" type="noConversion"/>
  </si>
  <si>
    <t>2012.1.17</t>
    <phoneticPr fontId="1" type="noConversion"/>
  </si>
  <si>
    <t>2012.6.20</t>
    <phoneticPr fontId="1" type="noConversion"/>
  </si>
  <si>
    <t>2012.2.23</t>
    <phoneticPr fontId="1" type="noConversion"/>
  </si>
  <si>
    <t>2012.3.14</t>
    <phoneticPr fontId="1" type="noConversion"/>
  </si>
  <si>
    <t>2012.3.15</t>
  </si>
  <si>
    <t>2012.2.20</t>
    <phoneticPr fontId="1" type="noConversion"/>
  </si>
  <si>
    <t>2012.3.13</t>
    <phoneticPr fontId="1" type="noConversion"/>
  </si>
  <si>
    <t>2012.2.13</t>
    <phoneticPr fontId="1" type="noConversion"/>
  </si>
  <si>
    <t>2012.1.8</t>
    <phoneticPr fontId="1" type="noConversion"/>
  </si>
  <si>
    <t>2012.4.20</t>
    <phoneticPr fontId="1" type="noConversion"/>
  </si>
  <si>
    <t>2012.5.9</t>
    <phoneticPr fontId="1" type="noConversion"/>
  </si>
  <si>
    <t>2012.5.30</t>
    <phoneticPr fontId="1" type="noConversion"/>
  </si>
  <si>
    <t>2012.6.19</t>
    <phoneticPr fontId="1" type="noConversion"/>
  </si>
  <si>
    <t>2012.6.12</t>
    <phoneticPr fontId="1" type="noConversion"/>
  </si>
  <si>
    <t>2012.8.30</t>
    <phoneticPr fontId="1" type="noConversion"/>
  </si>
  <si>
    <t>2012.8.29</t>
    <phoneticPr fontId="1" type="noConversion"/>
  </si>
  <si>
    <t>2012.7.11</t>
    <phoneticPr fontId="1" type="noConversion"/>
  </si>
  <si>
    <t>2012.9.29</t>
    <phoneticPr fontId="1" type="noConversion"/>
  </si>
  <si>
    <t>2012.10.30</t>
    <phoneticPr fontId="1" type="noConversion"/>
  </si>
  <si>
    <t>2012.11.7</t>
    <phoneticPr fontId="1" type="noConversion"/>
  </si>
  <si>
    <t>2012.10.25</t>
    <phoneticPr fontId="1" type="noConversion"/>
  </si>
  <si>
    <t>2012.11.19</t>
    <phoneticPr fontId="1" type="noConversion"/>
  </si>
  <si>
    <t>2012.11.6</t>
    <phoneticPr fontId="1" type="noConversion"/>
  </si>
  <si>
    <t>2012.10</t>
    <phoneticPr fontId="1" type="noConversion"/>
  </si>
  <si>
    <t>2012.11.1</t>
    <phoneticPr fontId="1" type="noConversion"/>
  </si>
  <si>
    <t>2012.10.8</t>
    <phoneticPr fontId="1" type="noConversion"/>
  </si>
  <si>
    <t>2012.12.3</t>
    <phoneticPr fontId="1" type="noConversion"/>
  </si>
  <si>
    <t>2012.12.14</t>
    <phoneticPr fontId="1" type="noConversion"/>
  </si>
  <si>
    <t>2011.12.31</t>
    <phoneticPr fontId="1" type="noConversion"/>
  </si>
  <si>
    <t>2012.11.29</t>
    <phoneticPr fontId="1" type="noConversion"/>
  </si>
  <si>
    <t>2012.4.8</t>
    <phoneticPr fontId="1" type="noConversion"/>
  </si>
  <si>
    <t>2014.3.5</t>
    <phoneticPr fontId="27" type="noConversion"/>
  </si>
  <si>
    <t>2014.3.27</t>
    <phoneticPr fontId="27" type="noConversion"/>
  </si>
  <si>
    <t>2014.1.1</t>
    <phoneticPr fontId="1" type="noConversion"/>
  </si>
  <si>
    <t>2014.4.24</t>
    <phoneticPr fontId="1" type="noConversion"/>
  </si>
  <si>
    <t>2014.4.22</t>
    <phoneticPr fontId="1" type="noConversion"/>
  </si>
  <si>
    <t>2014.5.30</t>
    <phoneticPr fontId="1" type="noConversion"/>
  </si>
  <si>
    <t>2014.5.13</t>
    <phoneticPr fontId="1" type="noConversion"/>
  </si>
  <si>
    <t>2014.6.4</t>
    <phoneticPr fontId="1" type="noConversion"/>
  </si>
  <si>
    <t>2014.4.15</t>
    <phoneticPr fontId="1" type="noConversion"/>
  </si>
  <si>
    <t>2014.7.1</t>
    <phoneticPr fontId="1" type="noConversion"/>
  </si>
  <si>
    <t>2013.12.28</t>
    <phoneticPr fontId="1" type="noConversion"/>
  </si>
  <si>
    <t>2014.2.25</t>
    <phoneticPr fontId="1" type="noConversion"/>
  </si>
  <si>
    <t>2014.7.2</t>
    <phoneticPr fontId="1" type="noConversion"/>
  </si>
  <si>
    <t>2014.7.30</t>
    <phoneticPr fontId="1" type="noConversion"/>
  </si>
  <si>
    <t>2014.8.29</t>
    <phoneticPr fontId="1" type="noConversion"/>
  </si>
  <si>
    <t>2014.4.25</t>
    <phoneticPr fontId="1" type="noConversion"/>
  </si>
  <si>
    <t>2014.9.5</t>
    <phoneticPr fontId="1" type="noConversion"/>
  </si>
  <si>
    <t>2014.10.20</t>
    <phoneticPr fontId="1" type="noConversion"/>
  </si>
  <si>
    <t>2014.10.23</t>
    <phoneticPr fontId="1" type="noConversion"/>
  </si>
  <si>
    <t>2014.10.27</t>
    <phoneticPr fontId="1" type="noConversion"/>
  </si>
  <si>
    <t>2015.6.17</t>
    <phoneticPr fontId="1" type="noConversion"/>
  </si>
  <si>
    <t>2014.11.10</t>
    <phoneticPr fontId="1" type="noConversion"/>
  </si>
  <si>
    <t>2014.11.20</t>
    <phoneticPr fontId="1" type="noConversion"/>
  </si>
  <si>
    <t>2014.11.3</t>
    <phoneticPr fontId="1" type="noConversion"/>
  </si>
  <si>
    <t>2014.11.13</t>
    <phoneticPr fontId="1" type="noConversion"/>
  </si>
  <si>
    <t>2014.11.11</t>
    <phoneticPr fontId="1" type="noConversion"/>
  </si>
  <si>
    <t>2014.11.26</t>
    <phoneticPr fontId="1" type="noConversion"/>
  </si>
  <si>
    <t>2015.3.4</t>
    <phoneticPr fontId="1" type="noConversion"/>
  </si>
  <si>
    <t>2014.11.1</t>
    <phoneticPr fontId="1" type="noConversion"/>
  </si>
  <si>
    <t>2014.12.3</t>
    <phoneticPr fontId="1" type="noConversion"/>
  </si>
  <si>
    <t>2014.11.21</t>
    <phoneticPr fontId="1" type="noConversion"/>
  </si>
  <si>
    <t>2015.3.11</t>
    <phoneticPr fontId="1" type="noConversion"/>
  </si>
  <si>
    <t>2015.1.16</t>
    <phoneticPr fontId="1" type="noConversion"/>
  </si>
  <si>
    <t>2015.4.1</t>
    <phoneticPr fontId="1" type="noConversion"/>
  </si>
  <si>
    <t>2015.3.1</t>
    <phoneticPr fontId="1" type="noConversion"/>
  </si>
  <si>
    <t>2015.4.11</t>
    <phoneticPr fontId="1" type="noConversion"/>
  </si>
  <si>
    <t>2015.4.9</t>
    <phoneticPr fontId="1" type="noConversion"/>
  </si>
  <si>
    <t>2015.4.28</t>
    <phoneticPr fontId="1" type="noConversion"/>
  </si>
  <si>
    <t>2015.5.18</t>
    <phoneticPr fontId="1" type="noConversion"/>
  </si>
  <si>
    <t>2015.5.30</t>
    <phoneticPr fontId="1" type="noConversion"/>
  </si>
  <si>
    <t>2015.6.10</t>
    <phoneticPr fontId="1" type="noConversion"/>
  </si>
  <si>
    <t>2015.6.15</t>
    <phoneticPr fontId="1" type="noConversion"/>
  </si>
  <si>
    <t>2015.1.1</t>
    <phoneticPr fontId="1" type="noConversion"/>
  </si>
  <si>
    <t>2015.7.6</t>
    <phoneticPr fontId="1" type="noConversion"/>
  </si>
  <si>
    <t>2015.7.14</t>
    <phoneticPr fontId="1" type="noConversion"/>
  </si>
  <si>
    <t>2015.7.15</t>
  </si>
  <si>
    <t>2014.12.26</t>
    <phoneticPr fontId="1" type="noConversion"/>
  </si>
  <si>
    <t>2015.8.27</t>
    <phoneticPr fontId="1" type="noConversion"/>
  </si>
  <si>
    <t>2015.9.15</t>
    <phoneticPr fontId="1" type="noConversion"/>
  </si>
  <si>
    <t>2015.10.15</t>
    <phoneticPr fontId="1" type="noConversion"/>
  </si>
  <si>
    <t>2015.10.16</t>
    <phoneticPr fontId="1" type="noConversion"/>
  </si>
  <si>
    <t>2015.11.13</t>
    <phoneticPr fontId="1" type="noConversion"/>
  </si>
  <si>
    <t>2015.11.21</t>
    <phoneticPr fontId="1" type="noConversion"/>
  </si>
  <si>
    <t>2015.9.7</t>
    <phoneticPr fontId="1" type="noConversion"/>
  </si>
  <si>
    <t>2015.10.12</t>
    <phoneticPr fontId="1" type="noConversion"/>
  </si>
  <si>
    <t>2015.12.3</t>
    <phoneticPr fontId="1" type="noConversion"/>
  </si>
  <si>
    <t>2015.11.20</t>
    <phoneticPr fontId="1" type="noConversion"/>
  </si>
  <si>
    <t>2015.11.26</t>
    <phoneticPr fontId="1" type="noConversion"/>
  </si>
  <si>
    <t>2015.10.19</t>
    <phoneticPr fontId="1" type="noConversion"/>
  </si>
  <si>
    <t>2016.3.3</t>
    <phoneticPr fontId="1" type="noConversion"/>
  </si>
  <si>
    <t>2016.1.29</t>
    <phoneticPr fontId="1" type="noConversion"/>
  </si>
  <si>
    <t>2015.12.25</t>
    <phoneticPr fontId="1" type="noConversion"/>
  </si>
  <si>
    <t>2016.1.25</t>
    <phoneticPr fontId="1" type="noConversion"/>
  </si>
  <si>
    <t>2015.12.31</t>
    <phoneticPr fontId="1" type="noConversion"/>
  </si>
  <si>
    <t>2016.1.8</t>
    <phoneticPr fontId="1" type="noConversion"/>
  </si>
  <si>
    <t>2016.1.13</t>
    <phoneticPr fontId="1" type="noConversion"/>
  </si>
  <si>
    <t>2016.1.20</t>
    <phoneticPr fontId="1" type="noConversion"/>
  </si>
  <si>
    <t>2016.1.21</t>
    <phoneticPr fontId="1" type="noConversion"/>
  </si>
  <si>
    <t>2016.2.23</t>
    <phoneticPr fontId="1" type="noConversion"/>
  </si>
  <si>
    <t>2016.2.27</t>
    <phoneticPr fontId="1" type="noConversion"/>
  </si>
  <si>
    <t>2016.3.11</t>
    <phoneticPr fontId="1" type="noConversion"/>
  </si>
  <si>
    <t>2016.3.21</t>
    <phoneticPr fontId="1" type="noConversion"/>
  </si>
  <si>
    <t>2016.3.30</t>
    <phoneticPr fontId="1" type="noConversion"/>
  </si>
  <si>
    <t>2016.4.8</t>
    <phoneticPr fontId="1" type="noConversion"/>
  </si>
  <si>
    <t>2016.4.13</t>
    <phoneticPr fontId="1" type="noConversion"/>
  </si>
  <si>
    <t>2016.4.15</t>
    <phoneticPr fontId="1" type="noConversion"/>
  </si>
  <si>
    <t>2016.4.20</t>
    <phoneticPr fontId="1" type="noConversion"/>
  </si>
  <si>
    <t>2016.5.6</t>
    <phoneticPr fontId="1" type="noConversion"/>
  </si>
  <si>
    <t>2016.5.13</t>
    <phoneticPr fontId="1" type="noConversion"/>
  </si>
  <si>
    <t>2016.5.19</t>
    <phoneticPr fontId="1" type="noConversion"/>
  </si>
  <si>
    <t>2016.5.23</t>
    <phoneticPr fontId="1" type="noConversion"/>
  </si>
  <si>
    <t>2016.6.27</t>
    <phoneticPr fontId="1" type="noConversion"/>
  </si>
  <si>
    <t>2016.5.26</t>
    <phoneticPr fontId="1" type="noConversion"/>
  </si>
  <si>
    <t>2016.6.3</t>
    <phoneticPr fontId="1" type="noConversion"/>
  </si>
  <si>
    <t>2016.5.28</t>
    <phoneticPr fontId="1" type="noConversion"/>
  </si>
  <si>
    <t>2016.6.7</t>
    <phoneticPr fontId="1" type="noConversion"/>
  </si>
  <si>
    <t>2016.6.22</t>
    <phoneticPr fontId="1" type="noConversion"/>
  </si>
  <si>
    <t>2016.6.30</t>
    <phoneticPr fontId="1" type="noConversion"/>
  </si>
  <si>
    <t>2016.7.1</t>
    <phoneticPr fontId="1" type="noConversion"/>
  </si>
  <si>
    <t>2016.7.11</t>
    <phoneticPr fontId="1" type="noConversion"/>
  </si>
  <si>
    <t>2016.7.11</t>
  </si>
  <si>
    <t>2016.8.22</t>
    <phoneticPr fontId="1" type="noConversion"/>
  </si>
  <si>
    <t>2016.7.25</t>
    <phoneticPr fontId="1" type="noConversion"/>
  </si>
  <si>
    <t>2016.7.27</t>
    <phoneticPr fontId="1" type="noConversion"/>
  </si>
  <si>
    <t>2016.8.9</t>
    <phoneticPr fontId="1" type="noConversion"/>
  </si>
  <si>
    <t>2016.7.28</t>
    <phoneticPr fontId="1" type="noConversion"/>
  </si>
  <si>
    <t>2016.7.29</t>
    <phoneticPr fontId="1" type="noConversion"/>
  </si>
  <si>
    <t>2016.9.1</t>
    <phoneticPr fontId="1" type="noConversion"/>
  </si>
  <si>
    <t>2016.9.2</t>
    <phoneticPr fontId="1" type="noConversion"/>
  </si>
  <si>
    <t>2016.9.7</t>
    <phoneticPr fontId="1" type="noConversion"/>
  </si>
  <si>
    <t>2016.9.10</t>
    <phoneticPr fontId="1" type="noConversion"/>
  </si>
  <si>
    <t>2016.9.26</t>
    <phoneticPr fontId="1" type="noConversion"/>
  </si>
  <si>
    <t>2016.10.10</t>
    <phoneticPr fontId="1" type="noConversion"/>
  </si>
  <si>
    <t>2016.10.13</t>
    <phoneticPr fontId="1" type="noConversion"/>
  </si>
  <si>
    <t>2016.12.15</t>
    <phoneticPr fontId="1" type="noConversion"/>
  </si>
  <si>
    <t>2016.10.24</t>
    <phoneticPr fontId="1" type="noConversion"/>
  </si>
  <si>
    <t>2016.11.4</t>
  </si>
  <si>
    <t>2016.10.31</t>
    <phoneticPr fontId="1" type="noConversion"/>
  </si>
  <si>
    <t>2016.11.3</t>
    <phoneticPr fontId="1" type="noConversion"/>
  </si>
  <si>
    <t>2016.11.11</t>
    <phoneticPr fontId="1" type="noConversion"/>
  </si>
  <si>
    <t>2016.11.4</t>
    <phoneticPr fontId="1" type="noConversion"/>
  </si>
  <si>
    <t>2016.11.21</t>
    <phoneticPr fontId="1" type="noConversion"/>
  </si>
  <si>
    <t>2016.12.21</t>
    <phoneticPr fontId="1" type="noConversion"/>
  </si>
  <si>
    <t>2016.11.28</t>
    <phoneticPr fontId="1" type="noConversion"/>
  </si>
  <si>
    <t>2016.11.24</t>
    <phoneticPr fontId="1" type="noConversion"/>
  </si>
  <si>
    <t>2016.12.27</t>
    <phoneticPr fontId="1" type="noConversion"/>
  </si>
  <si>
    <t>2016.12.9</t>
    <phoneticPr fontId="1" type="noConversion"/>
  </si>
  <si>
    <t>2016.11.25</t>
    <phoneticPr fontId="1" type="noConversion"/>
  </si>
  <si>
    <t>2016.12.14</t>
    <phoneticPr fontId="1" type="noConversion"/>
  </si>
  <si>
    <t>2016.12.12</t>
    <phoneticPr fontId="1" type="noConversion"/>
  </si>
  <si>
    <t>2016.12.20</t>
    <phoneticPr fontId="1" type="noConversion"/>
  </si>
  <si>
    <t>2016.12.22</t>
    <phoneticPr fontId="1" type="noConversion"/>
  </si>
  <si>
    <t>2017.1.3</t>
    <phoneticPr fontId="1" type="noConversion"/>
  </si>
  <si>
    <t>2017.1.5</t>
    <phoneticPr fontId="1" type="noConversion"/>
  </si>
  <si>
    <t>/</t>
    <phoneticPr fontId="1" type="noConversion"/>
  </si>
  <si>
    <t>于忠新</t>
    <phoneticPr fontId="27" type="noConversion"/>
  </si>
  <si>
    <t>郭文明</t>
    <phoneticPr fontId="5" type="noConversion"/>
  </si>
  <si>
    <t>王维</t>
    <phoneticPr fontId="27" type="noConversion"/>
  </si>
  <si>
    <t>亚洲风力发电（牡丹江）有限公司
香港风力发电（穆棱）有限公司</t>
    <phoneticPr fontId="1" type="noConversion"/>
  </si>
  <si>
    <t>15003-1</t>
    <phoneticPr fontId="25" type="noConversion"/>
  </si>
  <si>
    <t>/</t>
    <phoneticPr fontId="25" type="noConversion"/>
  </si>
  <si>
    <t>华能哈密风力发电有限公司</t>
    <phoneticPr fontId="25" type="noConversion"/>
  </si>
  <si>
    <t>华能哈密东南部烟墩第四风电场风电风功率预测系统服务合同补充合同</t>
    <phoneticPr fontId="25" type="noConversion"/>
  </si>
  <si>
    <t>无-2013</t>
    <phoneticPr fontId="1" type="noConversion"/>
  </si>
  <si>
    <t>/</t>
    <phoneticPr fontId="1" type="noConversion"/>
  </si>
  <si>
    <t>大唐国际</t>
    <phoneticPr fontId="27" type="noConversion"/>
  </si>
  <si>
    <t>辽宁</t>
    <phoneticPr fontId="27" type="noConversion"/>
  </si>
  <si>
    <t>辽宁大唐国际昌图风电有限责任公司</t>
    <phoneticPr fontId="27" type="noConversion"/>
  </si>
  <si>
    <t>其他</t>
    <phoneticPr fontId="27" type="noConversion"/>
  </si>
  <si>
    <t>技术服务</t>
    <phoneticPr fontId="27" type="noConversion"/>
  </si>
  <si>
    <t>韩志宇</t>
    <phoneticPr fontId="27" type="noConversion"/>
  </si>
  <si>
    <t>龙源</t>
    <phoneticPr fontId="27" type="noConversion"/>
  </si>
  <si>
    <t>铁岭龙源风力发电有限公司</t>
    <phoneticPr fontId="27" type="noConversion"/>
  </si>
  <si>
    <t>/</t>
    <phoneticPr fontId="1" type="noConversion"/>
  </si>
  <si>
    <t>短期软件；超短期软件；系统硬件；测风塔；测风塔设备；预测服务1年</t>
    <phoneticPr fontId="1" type="noConversion"/>
  </si>
  <si>
    <t>郭文明</t>
    <phoneticPr fontId="1" type="noConversion"/>
  </si>
  <si>
    <t>复印件</t>
    <phoneticPr fontId="1" type="noConversion"/>
  </si>
  <si>
    <t>其他</t>
    <phoneticPr fontId="1" type="noConversion"/>
  </si>
  <si>
    <t>/</t>
    <phoneticPr fontId="1" type="noConversion"/>
  </si>
  <si>
    <t>/</t>
    <phoneticPr fontId="1" type="noConversion"/>
  </si>
  <si>
    <t>秦英飞</t>
    <phoneticPr fontId="27" type="noConversion"/>
  </si>
  <si>
    <t>15022-2016</t>
    <phoneticPr fontId="1" type="noConversion"/>
  </si>
  <si>
    <t>15003-2016</t>
    <phoneticPr fontId="1" type="noConversion"/>
  </si>
  <si>
    <t>王龙波</t>
    <phoneticPr fontId="27" type="noConversion"/>
  </si>
  <si>
    <t>无-2016</t>
    <phoneticPr fontId="1" type="noConversion"/>
  </si>
  <si>
    <t>无-2015</t>
    <phoneticPr fontId="25" type="noConversion"/>
  </si>
  <si>
    <t>无-2014</t>
    <phoneticPr fontId="1" type="noConversion"/>
  </si>
  <si>
    <t>ZFMD/SD-18048-SH</t>
    <phoneticPr fontId="22" type="noConversion"/>
  </si>
  <si>
    <t>ZFMD/KGSQ17016 ZFMD/KGSQ17057</t>
    <phoneticPr fontId="22" type="noConversion"/>
  </si>
  <si>
    <t>福能（龙海）风力发电有限责任公司</t>
    <phoneticPr fontId="22" type="noConversion"/>
  </si>
  <si>
    <t>福能埭头（莆田）风力发电有限公司</t>
    <phoneticPr fontId="22" type="noConversion"/>
  </si>
  <si>
    <t>省山风电场新能源信息系统采购合同</t>
    <phoneticPr fontId="22" type="noConversion"/>
  </si>
  <si>
    <t>隆教风电场新能源信息系统采购合同</t>
    <phoneticPr fontId="22" type="noConversion"/>
  </si>
  <si>
    <t>石塘风电场新能源信息系统采购合同</t>
    <phoneticPr fontId="22" type="noConversion"/>
  </si>
  <si>
    <t>大蚶山风电场新能源信息系统采购合同</t>
    <phoneticPr fontId="22" type="noConversion"/>
  </si>
  <si>
    <t>隆教</t>
    <phoneticPr fontId="22" type="noConversion"/>
  </si>
  <si>
    <t>大蚶山</t>
    <phoneticPr fontId="22" type="noConversion"/>
  </si>
  <si>
    <t>ZFMD/SD-18049-1-SH</t>
    <phoneticPr fontId="22" type="noConversion"/>
  </si>
  <si>
    <t>ZFMD/SD-18049-2-SH</t>
    <phoneticPr fontId="22" type="noConversion"/>
  </si>
  <si>
    <t>ZFMD/SD-18050-1-SH</t>
    <phoneticPr fontId="22" type="noConversion"/>
  </si>
  <si>
    <t>ZFMD/SD-18050-2-SH</t>
    <phoneticPr fontId="22" type="noConversion"/>
  </si>
  <si>
    <t>ZFMD/SD-18051-1-SH</t>
    <phoneticPr fontId="22" type="noConversion"/>
  </si>
  <si>
    <t>ZFMD/SD-18051-2-SH</t>
    <phoneticPr fontId="22" type="noConversion"/>
  </si>
  <si>
    <t>ZFMD/SD-18052-1-SH</t>
    <phoneticPr fontId="22" type="noConversion"/>
  </si>
  <si>
    <t>ZFMD/SD-18052-2-SH</t>
    <phoneticPr fontId="22" type="noConversion"/>
  </si>
  <si>
    <t>2018.5.31</t>
    <phoneticPr fontId="22" type="noConversion"/>
  </si>
  <si>
    <t>ZFMD/SD-18053-SH</t>
    <phoneticPr fontId="22" type="noConversion"/>
  </si>
  <si>
    <t>南京国电南自电网自动化有限公司</t>
    <phoneticPr fontId="22" type="noConversion"/>
  </si>
  <si>
    <t>隆基大庆市肇州县80兆瓦单晶光伏发电项目物资采购合同</t>
    <phoneticPr fontId="22" type="noConversion"/>
  </si>
  <si>
    <t>2018.6.1</t>
    <phoneticPr fontId="22" type="noConversion"/>
  </si>
  <si>
    <t>2018.5.30</t>
    <phoneticPr fontId="22" type="noConversion"/>
  </si>
  <si>
    <t>大庆肇州80MW单晶</t>
    <phoneticPr fontId="22" type="noConversion"/>
  </si>
  <si>
    <t>西安隆基</t>
    <phoneticPr fontId="22" type="noConversion"/>
  </si>
  <si>
    <t>ZFMD/KGSQ-18020</t>
    <phoneticPr fontId="22" type="noConversion"/>
  </si>
  <si>
    <t>2018.6.2</t>
    <phoneticPr fontId="5" type="noConversion"/>
  </si>
  <si>
    <t>龙海隆教</t>
    <phoneticPr fontId="22" type="noConversion"/>
  </si>
  <si>
    <t>莆田石塘</t>
    <phoneticPr fontId="22" type="noConversion"/>
  </si>
  <si>
    <t>龙海新村、新厝、港尾</t>
    <phoneticPr fontId="22" type="noConversion"/>
  </si>
  <si>
    <t>福建风电场理论功率上传软件</t>
    <phoneticPr fontId="22" type="noConversion"/>
  </si>
  <si>
    <t>福建风电场D5000二区软件</t>
    <phoneticPr fontId="22" type="noConversion"/>
  </si>
  <si>
    <t>合计</t>
    <phoneticPr fontId="22" type="noConversion"/>
  </si>
  <si>
    <t>国华(神木)新能源有限公司</t>
    <phoneticPr fontId="1" type="noConversion"/>
  </si>
  <si>
    <t>小城山</t>
    <phoneticPr fontId="1" type="noConversion"/>
  </si>
  <si>
    <t>驿马山</t>
    <phoneticPr fontId="1" type="noConversion"/>
  </si>
  <si>
    <t>大箐山、石帽顶子、耳朵眼</t>
    <phoneticPr fontId="1" type="noConversion"/>
  </si>
  <si>
    <t>华电小草湖南风电一场</t>
    <phoneticPr fontId="1" type="noConversion"/>
  </si>
  <si>
    <t>风电功率预测系统服务合同</t>
    <phoneticPr fontId="1" type="noConversion"/>
  </si>
  <si>
    <t>杨木岗</t>
    <phoneticPr fontId="1" type="noConversion"/>
  </si>
  <si>
    <t>锅盔山</t>
    <phoneticPr fontId="1" type="noConversion"/>
  </si>
  <si>
    <t>老平岗</t>
    <phoneticPr fontId="1" type="noConversion"/>
  </si>
  <si>
    <t>双鸭山老平岗风力发电有限公司</t>
    <phoneticPr fontId="1" type="noConversion"/>
  </si>
  <si>
    <t>前锋</t>
    <phoneticPr fontId="1" type="noConversion"/>
  </si>
  <si>
    <t>杏山</t>
    <phoneticPr fontId="1" type="noConversion"/>
  </si>
  <si>
    <t>代马沟风电场风电功率预测系统服务合同书</t>
    <phoneticPr fontId="1" type="noConversion"/>
  </si>
  <si>
    <t>临河</t>
    <phoneticPr fontId="1" type="noConversion"/>
  </si>
  <si>
    <t>潘家店</t>
    <phoneticPr fontId="1" type="noConversion"/>
  </si>
  <si>
    <t>柳毛</t>
    <phoneticPr fontId="1" type="noConversion"/>
  </si>
  <si>
    <t>兆方美迪风电功率预测系统</t>
    <phoneticPr fontId="1" type="noConversion"/>
  </si>
  <si>
    <t>大唐依兰风力发电有限公司</t>
    <phoneticPr fontId="1" type="noConversion"/>
  </si>
  <si>
    <t>大唐桦南风力发电有限公司</t>
    <phoneticPr fontId="1" type="noConversion"/>
  </si>
  <si>
    <t>风电场全年发电量预测</t>
    <phoneticPr fontId="1" type="noConversion"/>
  </si>
  <si>
    <t>风电场风电功率预测服务</t>
    <phoneticPr fontId="1" type="noConversion"/>
  </si>
  <si>
    <t>依兰富强风电场风电功率预测服务</t>
    <phoneticPr fontId="1" type="noConversion"/>
  </si>
  <si>
    <t>桦南风电场风电功率预测服务</t>
    <phoneticPr fontId="1" type="noConversion"/>
  </si>
  <si>
    <t>依兰晨光风电场风电功率预测服务</t>
    <phoneticPr fontId="1" type="noConversion"/>
  </si>
  <si>
    <t>风电场风电功率预测系统采购和服务合同</t>
    <phoneticPr fontId="1" type="noConversion"/>
  </si>
  <si>
    <t>中广核兴凯湖风电场风电功率预测系统采购合同</t>
    <phoneticPr fontId="1" type="noConversion"/>
  </si>
  <si>
    <t>华能铁岭平顶堡风电场工程---风功率预测设备采购</t>
    <phoneticPr fontId="1" type="noConversion"/>
  </si>
  <si>
    <t>华电双辽那木斯风电场一期工程风电功率预测系统采购合同</t>
    <phoneticPr fontId="1" type="noConversion"/>
  </si>
  <si>
    <t>小锅盔</t>
    <phoneticPr fontId="1" type="noConversion"/>
  </si>
  <si>
    <t>集贤太阳山风电场风电功率预测服务</t>
    <phoneticPr fontId="1" type="noConversion"/>
  </si>
  <si>
    <t>桦川风电场风电功率预测服务</t>
    <phoneticPr fontId="1" type="noConversion"/>
  </si>
  <si>
    <t>1.5MW风力发电机组零部件2011年采购合同</t>
    <phoneticPr fontId="1" type="noConversion"/>
  </si>
  <si>
    <t>风电功率预测系统建设合同</t>
    <phoneticPr fontId="1" type="noConversion"/>
  </si>
  <si>
    <t>测风塔及超短期风电功率预测系统</t>
    <phoneticPr fontId="1" type="noConversion"/>
  </si>
  <si>
    <t>国电桦川大青背二期风电项目风功率预测系统采购合同</t>
    <phoneticPr fontId="1" type="noConversion"/>
  </si>
  <si>
    <t>大唐长清风电场一期工程并网调度自动化技术支持系统（风功率预测及AGC、AVC）</t>
    <phoneticPr fontId="1" type="noConversion"/>
  </si>
  <si>
    <t>ZFMD/SD-18054-SH</t>
    <phoneticPr fontId="22" type="noConversion"/>
  </si>
  <si>
    <t>ZFMD/SD-18055-SH</t>
    <phoneticPr fontId="22" type="noConversion"/>
  </si>
  <si>
    <t>ZFMD/SD-18056-SH</t>
    <phoneticPr fontId="22" type="noConversion"/>
  </si>
  <si>
    <t>安达中广核新能源有限公司</t>
    <phoneticPr fontId="22" type="noConversion"/>
  </si>
  <si>
    <t>安达农义光伏电站受阻功率等数据上传省调服务合同</t>
    <phoneticPr fontId="22" type="noConversion"/>
  </si>
  <si>
    <t>安达农义</t>
    <phoneticPr fontId="22" type="noConversion"/>
  </si>
  <si>
    <t>大庆银浪风力发电有限公司</t>
    <phoneticPr fontId="22" type="noConversion"/>
  </si>
  <si>
    <t>银浪风电场受阻功率等数据上传省调服务合同</t>
    <phoneticPr fontId="22" type="noConversion"/>
  </si>
  <si>
    <t>安达中广核太阳能科技有限公司</t>
    <phoneticPr fontId="22" type="noConversion"/>
  </si>
  <si>
    <t>安达万宝山光伏电站受阻功率等数据上传省调服务合同</t>
    <phoneticPr fontId="22" type="noConversion"/>
  </si>
  <si>
    <t>2018.6.4</t>
    <phoneticPr fontId="22" type="noConversion"/>
  </si>
  <si>
    <t>黑龙江光伏电站理论功率上传软件；系统硬件</t>
    <phoneticPr fontId="22" type="noConversion"/>
  </si>
  <si>
    <t>大庆银浪</t>
    <phoneticPr fontId="22" type="noConversion"/>
  </si>
  <si>
    <t>大庆宏伟</t>
    <phoneticPr fontId="22" type="noConversion"/>
  </si>
  <si>
    <t>安达万宝山</t>
    <phoneticPr fontId="22" type="noConversion"/>
  </si>
  <si>
    <t>湖南</t>
    <phoneticPr fontId="5" type="noConversion"/>
  </si>
  <si>
    <t>ZFMD/KGSQ-17024</t>
    <phoneticPr fontId="5" type="noConversion"/>
  </si>
  <si>
    <t>ZFMD/KGSQ-17030</t>
    <phoneticPr fontId="22" type="noConversion"/>
  </si>
  <si>
    <t>ZFMD/KGSQ-17034</t>
    <phoneticPr fontId="22" type="noConversion"/>
  </si>
  <si>
    <t>安达通宝</t>
    <phoneticPr fontId="22" type="noConversion"/>
  </si>
  <si>
    <t>ZFMD/SD-18057-SH</t>
    <phoneticPr fontId="22" type="noConversion"/>
  </si>
  <si>
    <t>ZFMD/SD-18058-SH</t>
    <phoneticPr fontId="22" type="noConversion"/>
  </si>
  <si>
    <t>ZFMD/SD-18059-SH</t>
    <phoneticPr fontId="22" type="noConversion"/>
  </si>
  <si>
    <t>ZFMD/SD-18060-SH</t>
    <phoneticPr fontId="22" type="noConversion"/>
  </si>
  <si>
    <t>ZFMD/SD-18061-SH</t>
    <phoneticPr fontId="22" type="noConversion"/>
  </si>
  <si>
    <t>ZFMD/SD-18062-SH</t>
    <phoneticPr fontId="22" type="noConversion"/>
  </si>
  <si>
    <t>ZFMD/SD-18063-SH</t>
    <phoneticPr fontId="22" type="noConversion"/>
  </si>
  <si>
    <t>ZFMD/SD-18064-SH</t>
    <phoneticPr fontId="22" type="noConversion"/>
  </si>
  <si>
    <t>ZFMD/SD-18065-SH</t>
    <phoneticPr fontId="22" type="noConversion"/>
  </si>
  <si>
    <t>ZFMD/SD-18066-SH</t>
    <phoneticPr fontId="22" type="noConversion"/>
  </si>
  <si>
    <t>ZFMD/SD-18067-SH</t>
    <phoneticPr fontId="22" type="noConversion"/>
  </si>
  <si>
    <t>黑龙江龙源大黑山预测年度服务技术服务合同补充协议</t>
    <phoneticPr fontId="22" type="noConversion"/>
  </si>
  <si>
    <t>2018.6.13</t>
    <phoneticPr fontId="22" type="noConversion"/>
  </si>
  <si>
    <t>2014.6.16</t>
    <phoneticPr fontId="22" type="noConversion"/>
  </si>
  <si>
    <t>龙源</t>
    <phoneticPr fontId="22" type="noConversion"/>
  </si>
  <si>
    <t>大蜂山</t>
    <phoneticPr fontId="22" type="noConversion"/>
  </si>
  <si>
    <t>黑龙江龙源大蜂山预测年度服务技术服务合同补充协议</t>
    <phoneticPr fontId="22" type="noConversion"/>
  </si>
  <si>
    <t>黑龙江龙源曙光预测年度服务技术服务合同补充协议</t>
    <phoneticPr fontId="22" type="noConversion"/>
  </si>
  <si>
    <t>伊春龙源金山风力发电有限公司</t>
    <phoneticPr fontId="22" type="noConversion"/>
  </si>
  <si>
    <t>黑龙江龙源白山预测年度服务技术服务合同补充协议</t>
    <phoneticPr fontId="22" type="noConversion"/>
  </si>
  <si>
    <t>鹤岗龙源风力发电有限公司</t>
    <phoneticPr fontId="22" type="noConversion"/>
  </si>
  <si>
    <t>望云峰</t>
    <phoneticPr fontId="22" type="noConversion"/>
  </si>
  <si>
    <t>黑龙江龙源望云峰预测年度服务技术服务合同补充协议</t>
    <phoneticPr fontId="22" type="noConversion"/>
  </si>
  <si>
    <t>伊春龙源风力发电有限公司</t>
    <phoneticPr fontId="22" type="noConversion"/>
  </si>
  <si>
    <t>小城山</t>
    <phoneticPr fontId="22" type="noConversion"/>
  </si>
  <si>
    <t>黑龙江龙源马鞍山预测年度服务技术服务合同补充协议</t>
    <phoneticPr fontId="22" type="noConversion"/>
  </si>
  <si>
    <t>黑龙江龙源小城山预测年度服务技术服务合同补充协议</t>
    <phoneticPr fontId="22" type="noConversion"/>
  </si>
  <si>
    <t>黑龙江龙源驿马山预测年度服务技术服务合同补充协议</t>
    <phoneticPr fontId="22" type="noConversion"/>
  </si>
  <si>
    <t>黑龙江龙源小锅盔预测年度服务技术服务合同补充协议</t>
    <phoneticPr fontId="22" type="noConversion"/>
  </si>
  <si>
    <t>蝙蝠山</t>
    <phoneticPr fontId="22" type="noConversion"/>
  </si>
  <si>
    <t>黑龙江龙源蝙蝠山预测年度服务技术服务合同补充协议</t>
    <phoneticPr fontId="22" type="noConversion"/>
  </si>
  <si>
    <t>横岱山</t>
    <phoneticPr fontId="22" type="noConversion"/>
  </si>
  <si>
    <t>黑龙江龙源横岱山预测年度服务技术服务合同补充协议</t>
    <phoneticPr fontId="22" type="noConversion"/>
  </si>
  <si>
    <t>黑龙江龙源大箐山、石帽顶子、耳朵眼预测年度服务技术服务合同补充协议</t>
    <phoneticPr fontId="22" type="noConversion"/>
  </si>
  <si>
    <t>大黑山+小黑山</t>
  </si>
  <si>
    <t>大白山+小白山+老白山+少白山</t>
    <phoneticPr fontId="22" type="noConversion"/>
  </si>
  <si>
    <t>2017.11.1</t>
    <phoneticPr fontId="22" type="noConversion"/>
  </si>
  <si>
    <t>2018.10.31</t>
    <phoneticPr fontId="22" type="noConversion"/>
  </si>
  <si>
    <t>2017.5.1</t>
    <phoneticPr fontId="22" type="noConversion"/>
  </si>
  <si>
    <t>2018.4.30</t>
    <phoneticPr fontId="22" type="noConversion"/>
  </si>
  <si>
    <t>2014.6.14</t>
    <phoneticPr fontId="22" type="noConversion"/>
  </si>
  <si>
    <t>已开</t>
    <phoneticPr fontId="22" type="noConversion"/>
  </si>
  <si>
    <t>江苏苏美达新能源发展有限公司
付款方：江苏苏美达能源控股有限公司</t>
    <phoneticPr fontId="22" type="noConversion"/>
  </si>
  <si>
    <t>ZFMD/SD-17095-SH-BG01</t>
    <phoneticPr fontId="10" type="noConversion"/>
  </si>
  <si>
    <t>南京南瑞继保工程技术有限公司</t>
    <phoneticPr fontId="22" type="noConversion"/>
  </si>
  <si>
    <t>大连庄河海上风电项目风电功率预测系统含激光测风雷达及风机运行评估系统购销合同</t>
    <phoneticPr fontId="22" type="noConversion"/>
  </si>
  <si>
    <t>庄河</t>
    <phoneticPr fontId="22" type="noConversion"/>
  </si>
  <si>
    <t>王星</t>
    <phoneticPr fontId="22" type="noConversion"/>
  </si>
  <si>
    <t>2018.7.3</t>
    <phoneticPr fontId="22" type="noConversion"/>
  </si>
  <si>
    <t>2018.6.29</t>
    <phoneticPr fontId="22" type="noConversion"/>
  </si>
  <si>
    <t>ZFMD/KGSQ-17095</t>
    <phoneticPr fontId="22" type="noConversion"/>
  </si>
  <si>
    <t>备注</t>
    <phoneticPr fontId="10" type="noConversion"/>
  </si>
  <si>
    <t>2018年6月12日，因税率由17%调整为16%，合同金额由23万元变为22.80342万元。</t>
    <phoneticPr fontId="22" type="noConversion"/>
  </si>
  <si>
    <t>ZFMD/SD-18069-1-SH</t>
    <phoneticPr fontId="22" type="noConversion"/>
  </si>
  <si>
    <t>ZFMD/SD-18069-2-SH</t>
    <phoneticPr fontId="22" type="noConversion"/>
  </si>
  <si>
    <t>ZFMD/SD-18039-2-SH-BG01
ZFMD/SD-18039-2-SH-BG02</t>
    <phoneticPr fontId="22" type="noConversion"/>
  </si>
  <si>
    <t>风资源评估</t>
    <phoneticPr fontId="22" type="noConversion"/>
  </si>
  <si>
    <t>短期软件；超短期软件；系统硬件；预测服务3年；激光测风雷达</t>
    <phoneticPr fontId="22" type="noConversion"/>
  </si>
  <si>
    <t>2018.6.8</t>
    <phoneticPr fontId="22" type="noConversion"/>
  </si>
  <si>
    <t>2018年5月17日，因税率由17%调整为16%，合同金额由2.95万元变为2.924786万元。</t>
    <phoneticPr fontId="22" type="noConversion"/>
  </si>
  <si>
    <t>2018年5月17日，因税率由17%调整为16%，合同金额由29.76万元变为29.5056万元</t>
    <phoneticPr fontId="22" type="noConversion"/>
  </si>
  <si>
    <t>2018年5月18日，因税率由17%调整为16%，合同金额由2.92万元变为2.895043万元。</t>
    <phoneticPr fontId="10" type="noConversion"/>
  </si>
  <si>
    <t>华电达坂城大连湖风电一场</t>
    <phoneticPr fontId="22" type="noConversion"/>
  </si>
  <si>
    <t>华电达坂城西沟风电一场</t>
    <phoneticPr fontId="22" type="noConversion"/>
  </si>
  <si>
    <t>ZFMD/SD-18070-1-SH</t>
    <phoneticPr fontId="22" type="noConversion"/>
  </si>
  <si>
    <t>ZFMD/SD-18070-2-SH</t>
    <phoneticPr fontId="22" type="noConversion"/>
  </si>
  <si>
    <t>ZFMD/SD-18070-3-SH</t>
    <phoneticPr fontId="22" type="noConversion"/>
  </si>
  <si>
    <t>2018.7.5</t>
    <phoneticPr fontId="22" type="noConversion"/>
  </si>
  <si>
    <t>2017.9.1</t>
    <phoneticPr fontId="22" type="noConversion"/>
  </si>
  <si>
    <t>2018.8.31</t>
    <phoneticPr fontId="22" type="noConversion"/>
  </si>
  <si>
    <t>新疆华电苇湖梁新能源有限公司</t>
    <phoneticPr fontId="22" type="noConversion"/>
  </si>
  <si>
    <t>华电新疆达坂城大连湖风电一场、西沟风电一场、白杨沟风电一场风电功率预测系统服务合同</t>
    <phoneticPr fontId="5" type="noConversion"/>
  </si>
  <si>
    <t>华电达坂城白杨沟风电一场</t>
    <phoneticPr fontId="22" type="noConversion"/>
  </si>
  <si>
    <t>ZFMD/SD-18071-SH</t>
    <phoneticPr fontId="22" type="noConversion"/>
  </si>
  <si>
    <t>ZFMD/SD-18073-SH</t>
  </si>
  <si>
    <t>ZFMD/SD-18074-SH</t>
  </si>
  <si>
    <t>ZFMD/SD-18075-SH</t>
  </si>
  <si>
    <t>ZFMD/SD-18076-SH</t>
  </si>
  <si>
    <t>ZFMD/SD-18077-SH</t>
  </si>
  <si>
    <t>ZFMD/SD-18078-SH</t>
  </si>
  <si>
    <t>ZFMD/SD-18079-SH</t>
  </si>
  <si>
    <t>ZFMD/SD-18080-SH</t>
  </si>
  <si>
    <t>ZFMD/SD-18081-SH</t>
  </si>
  <si>
    <t>ZFMD/SD-18082-SH</t>
  </si>
  <si>
    <t>ZFMD/SD-18083-SH</t>
  </si>
  <si>
    <t>ZFMD/SD-18084-SH</t>
  </si>
  <si>
    <t>ZFMD/SD-18085-SH</t>
  </si>
  <si>
    <t>依兰龙源风力发电有限公司</t>
    <phoneticPr fontId="22" type="noConversion"/>
  </si>
  <si>
    <t>马鞍山风电场风功率预测系统服务合同书</t>
    <phoneticPr fontId="5" type="noConversion"/>
  </si>
  <si>
    <t>马鞍山</t>
    <phoneticPr fontId="22" type="noConversion"/>
  </si>
  <si>
    <t>2018.7.7</t>
    <phoneticPr fontId="22" type="noConversion"/>
  </si>
  <si>
    <t>2018.6.26</t>
    <phoneticPr fontId="22" type="noConversion"/>
  </si>
  <si>
    <t>2019.5.1</t>
    <phoneticPr fontId="22" type="noConversion"/>
  </si>
  <si>
    <t>伊春兴安岭风力发电有限公司</t>
    <phoneticPr fontId="22" type="noConversion"/>
  </si>
  <si>
    <t>2019.11.1</t>
    <phoneticPr fontId="22" type="noConversion"/>
  </si>
  <si>
    <t>ZFMD/SD-18072-1-SH</t>
    <phoneticPr fontId="22" type="noConversion"/>
  </si>
  <si>
    <t>岭东</t>
    <phoneticPr fontId="22" type="noConversion"/>
  </si>
  <si>
    <t>大箐山、石帽顶子、耳朵眼、岭东风电场风功率预测系统服务合同书</t>
    <phoneticPr fontId="22" type="noConversion"/>
  </si>
  <si>
    <t>大箐山、石帽顶子、耳朵眼、岭东风电场风功率预测系统服务合同书</t>
    <phoneticPr fontId="5" type="noConversion"/>
  </si>
  <si>
    <t>黑龙江龙源新能源发展有限公司杜尔伯特分公司</t>
    <phoneticPr fontId="22" type="noConversion"/>
  </si>
  <si>
    <t>草原风电场风功率预测系统服务合同书</t>
    <phoneticPr fontId="22" type="noConversion"/>
  </si>
  <si>
    <t>草原</t>
    <phoneticPr fontId="22" type="noConversion"/>
  </si>
  <si>
    <t>抚远龙源风力发电有限公司</t>
    <phoneticPr fontId="22" type="noConversion"/>
  </si>
  <si>
    <t>大蜂山风电场风功率预测系统服务合同</t>
    <phoneticPr fontId="22" type="noConversion"/>
  </si>
  <si>
    <t>通河龙源风力发电有限公司</t>
    <phoneticPr fontId="22" type="noConversion"/>
  </si>
  <si>
    <t>岔林河风电场风功率预测系统服务合同书</t>
    <phoneticPr fontId="22" type="noConversion"/>
  </si>
  <si>
    <t>岔林河</t>
    <phoneticPr fontId="22" type="noConversion"/>
  </si>
  <si>
    <t>桦南龙源风力发电有限公司</t>
    <phoneticPr fontId="22" type="noConversion"/>
  </si>
  <si>
    <t>横岱山风电场风功率预测系统服务合同书</t>
    <phoneticPr fontId="22" type="noConversion"/>
  </si>
  <si>
    <t>黑龙江龙源新能源发展有限公司克东分公司</t>
    <phoneticPr fontId="22" type="noConversion"/>
  </si>
  <si>
    <t>爱华风电场风功率预测系统服务合同书</t>
    <phoneticPr fontId="22" type="noConversion"/>
  </si>
  <si>
    <t>爱华</t>
    <phoneticPr fontId="22" type="noConversion"/>
  </si>
  <si>
    <t>黑龙江龙源新能源发展有限公司桦南雄亚分公司</t>
    <phoneticPr fontId="22" type="noConversion"/>
  </si>
  <si>
    <t>驿马山风电场风功率预测系统服务合同书</t>
    <phoneticPr fontId="22" type="noConversion"/>
  </si>
  <si>
    <t>驿马山</t>
    <phoneticPr fontId="22" type="noConversion"/>
  </si>
  <si>
    <t>黑龙江龙源新能源发展有限公司黑河分公司</t>
    <phoneticPr fontId="22" type="noConversion"/>
  </si>
  <si>
    <t>大黑山风电场风功率预测系统服务合同书</t>
    <phoneticPr fontId="22" type="noConversion"/>
  </si>
  <si>
    <t>大黑山</t>
    <phoneticPr fontId="22" type="noConversion"/>
  </si>
  <si>
    <t>双鸭山龙源风力发电有限公司</t>
    <phoneticPr fontId="22" type="noConversion"/>
  </si>
  <si>
    <t>蝙蝠山风电场风功率预测系统服务合同书</t>
    <phoneticPr fontId="22" type="noConversion"/>
  </si>
  <si>
    <t>黑龙江龙源新能源发展有限公司克山分公司</t>
    <phoneticPr fontId="22" type="noConversion"/>
  </si>
  <si>
    <t>曙光风电场风功率预测系统服务合同书</t>
    <phoneticPr fontId="22" type="noConversion"/>
  </si>
  <si>
    <t>曙光</t>
    <phoneticPr fontId="22" type="noConversion"/>
  </si>
  <si>
    <t>望云峰风电场风功率预测系统服务合同书</t>
    <phoneticPr fontId="22" type="noConversion"/>
  </si>
  <si>
    <t>小城山风电场风功率预测系统服务合同书</t>
    <phoneticPr fontId="22" type="noConversion"/>
  </si>
  <si>
    <t>海林龙源风力发电有限公司</t>
    <phoneticPr fontId="22" type="noConversion"/>
  </si>
  <si>
    <t>小锅盔风电场风功率预测系统服务合同书</t>
    <phoneticPr fontId="22" type="noConversion"/>
  </si>
  <si>
    <t>小锅盔</t>
    <phoneticPr fontId="22" type="noConversion"/>
  </si>
  <si>
    <t>伊春龙源雄亚风力发电有限公司</t>
    <phoneticPr fontId="22" type="noConversion"/>
  </si>
  <si>
    <t>白山风电场风功率预测系统服务合同书</t>
    <phoneticPr fontId="22" type="noConversion"/>
  </si>
  <si>
    <t>白山</t>
    <phoneticPr fontId="22" type="noConversion"/>
  </si>
  <si>
    <t>带岭东山</t>
    <phoneticPr fontId="22" type="noConversion"/>
  </si>
  <si>
    <t>大庆草原/绿色草原</t>
    <phoneticPr fontId="22" type="noConversion"/>
  </si>
  <si>
    <t>克东爱华</t>
    <phoneticPr fontId="22" type="noConversion"/>
  </si>
  <si>
    <t>大黑山+小黑山</t>
    <phoneticPr fontId="22" type="noConversion"/>
  </si>
  <si>
    <t>ZFMD/SD-18072-4-SH</t>
    <phoneticPr fontId="22" type="noConversion"/>
  </si>
  <si>
    <t>ZFMD/SD-18072-2-SH</t>
  </si>
  <si>
    <t>ZFMD/SD-18072-3-SH</t>
  </si>
  <si>
    <t>石帽顶子</t>
    <phoneticPr fontId="22" type="noConversion"/>
  </si>
  <si>
    <t>耳朵眼</t>
    <phoneticPr fontId="22" type="noConversion"/>
  </si>
  <si>
    <t>大箐山</t>
    <phoneticPr fontId="22" type="noConversion"/>
  </si>
  <si>
    <t>签订合同
销售经理</t>
    <phoneticPr fontId="1" type="noConversion"/>
  </si>
  <si>
    <t>销售联系人</t>
    <phoneticPr fontId="1" type="noConversion"/>
  </si>
  <si>
    <t>三峡新能源辽宁省开原威远风电场（49.5MW）工程风功率预测系统技术服务合同</t>
    <phoneticPr fontId="22" type="noConversion"/>
  </si>
  <si>
    <t>2018.7.12</t>
    <phoneticPr fontId="22" type="noConversion"/>
  </si>
  <si>
    <t>2018.7</t>
    <phoneticPr fontId="22" type="noConversion"/>
  </si>
  <si>
    <t>2017.12.26</t>
    <phoneticPr fontId="22" type="noConversion"/>
  </si>
  <si>
    <t>2020.12.25</t>
    <phoneticPr fontId="22" type="noConversion"/>
  </si>
  <si>
    <t>ZFMD/SD-18086-SH</t>
    <phoneticPr fontId="22" type="noConversion"/>
  </si>
  <si>
    <t>保函开具
情况</t>
    <phoneticPr fontId="10" type="noConversion"/>
  </si>
  <si>
    <t>合同存档
份数</t>
    <phoneticPr fontId="1" type="noConversion"/>
  </si>
  <si>
    <t>服务收费
起始时间</t>
    <phoneticPr fontId="1" type="noConversion"/>
  </si>
  <si>
    <t>服务收费
终止时间</t>
    <phoneticPr fontId="1" type="noConversion"/>
  </si>
  <si>
    <t>2017.1.5</t>
    <phoneticPr fontId="1" type="noConversion"/>
  </si>
  <si>
    <t>福能</t>
    <phoneticPr fontId="5" type="noConversion"/>
  </si>
  <si>
    <t>大蚶山</t>
    <phoneticPr fontId="5" type="noConversion"/>
  </si>
  <si>
    <t>秦英飞</t>
    <phoneticPr fontId="27" type="noConversion"/>
  </si>
  <si>
    <t>原件</t>
    <phoneticPr fontId="1" type="noConversion"/>
  </si>
  <si>
    <t>三峡新能源辽宁省开原威远风电场（49.5MW）工程测风塔设备采购及安装调试合同</t>
    <phoneticPr fontId="5" type="noConversion"/>
  </si>
  <si>
    <t>三峡新能源</t>
    <phoneticPr fontId="5" type="noConversion"/>
  </si>
  <si>
    <t>开原威远</t>
    <phoneticPr fontId="5" type="noConversion"/>
  </si>
  <si>
    <t>韩志宇</t>
    <phoneticPr fontId="27" type="noConversion"/>
  </si>
  <si>
    <t>2017.1.10</t>
    <phoneticPr fontId="1" type="noConversion"/>
  </si>
  <si>
    <t>原件</t>
    <phoneticPr fontId="1" type="noConversion"/>
  </si>
  <si>
    <t>巴彦双鸭山风力发电有限公司货物订购</t>
    <phoneticPr fontId="5" type="noConversion"/>
  </si>
  <si>
    <t>双津河</t>
    <phoneticPr fontId="5" type="noConversion"/>
  </si>
  <si>
    <t>韩志宇</t>
    <phoneticPr fontId="27" type="noConversion"/>
  </si>
  <si>
    <t>2017.4.8</t>
    <phoneticPr fontId="1" type="noConversion"/>
  </si>
  <si>
    <t>老平岗</t>
    <phoneticPr fontId="5" type="noConversion"/>
  </si>
  <si>
    <t>复印件</t>
    <phoneticPr fontId="1" type="noConversion"/>
  </si>
  <si>
    <t>中航龙腾风力发电有限公司货物订购</t>
    <phoneticPr fontId="5" type="noConversion"/>
  </si>
  <si>
    <t>中广核</t>
    <phoneticPr fontId="5" type="noConversion"/>
  </si>
  <si>
    <t>中航龙腾</t>
    <phoneticPr fontId="5" type="noConversion"/>
  </si>
  <si>
    <t>黑龙江东方风力发电有限公司货物订购</t>
    <phoneticPr fontId="5" type="noConversion"/>
  </si>
  <si>
    <t>柳毛</t>
    <phoneticPr fontId="5" type="noConversion"/>
  </si>
  <si>
    <t>韩志宇</t>
    <phoneticPr fontId="27" type="noConversion"/>
  </si>
  <si>
    <t>丹江</t>
    <phoneticPr fontId="5" type="noConversion"/>
  </si>
  <si>
    <t>福能</t>
    <phoneticPr fontId="5" type="noConversion"/>
  </si>
  <si>
    <t>新村、新厝、港尾</t>
    <phoneticPr fontId="5" type="noConversion"/>
  </si>
  <si>
    <t>秦英飞</t>
    <phoneticPr fontId="27" type="noConversion"/>
  </si>
  <si>
    <t>中广核</t>
    <phoneticPr fontId="5" type="noConversion"/>
  </si>
  <si>
    <t>双鸭山老平岗风力发电有限公司货物订购</t>
    <phoneticPr fontId="5" type="noConversion"/>
  </si>
  <si>
    <t>韩志宇</t>
    <phoneticPr fontId="27" type="noConversion"/>
  </si>
  <si>
    <t>/</t>
    <phoneticPr fontId="1" type="noConversion"/>
  </si>
  <si>
    <t>其他</t>
    <phoneticPr fontId="27" type="noConversion"/>
  </si>
  <si>
    <t>山东</t>
    <phoneticPr fontId="27" type="noConversion"/>
  </si>
  <si>
    <t>烟台东方华瑞电气有限公司</t>
    <phoneticPr fontId="27" type="noConversion"/>
  </si>
  <si>
    <t>郭文明</t>
    <phoneticPr fontId="27" type="noConversion"/>
  </si>
  <si>
    <t>合计</t>
    <phoneticPr fontId="1" type="noConversion"/>
  </si>
  <si>
    <t>2018年6月27日，因税率由17%调整为16%，合同金额由8万元变为7.931624万元</t>
    <phoneticPr fontId="10" type="noConversion"/>
  </si>
  <si>
    <t>2017年11月19，因甲方合同遗失，销售经理杨振坤为办理回款，借出合同原件</t>
    <phoneticPr fontId="1" type="noConversion"/>
  </si>
  <si>
    <t>龙井市智新镇光伏扶贫项目</t>
    <phoneticPr fontId="22" type="noConversion"/>
  </si>
  <si>
    <t>合计</t>
    <phoneticPr fontId="1" type="noConversion"/>
  </si>
  <si>
    <t>新疆</t>
    <phoneticPr fontId="18" type="noConversion"/>
  </si>
  <si>
    <t>15021-2017</t>
    <phoneticPr fontId="18" type="noConversion"/>
  </si>
  <si>
    <t>福建</t>
    <phoneticPr fontId="18" type="noConversion"/>
  </si>
  <si>
    <t>ZFMD/SHFW-2017007</t>
    <phoneticPr fontId="5" type="noConversion"/>
  </si>
  <si>
    <t>河北</t>
    <phoneticPr fontId="5" type="noConversion"/>
  </si>
  <si>
    <t>2017.7.10开具金额为57000元的履约保函，保函到期时间2018.7.7，有效期为一年</t>
    <phoneticPr fontId="10" type="noConversion"/>
  </si>
  <si>
    <t>2017.8.15</t>
    <phoneticPr fontId="5" type="noConversion"/>
  </si>
  <si>
    <t>2017.8.10</t>
    <phoneticPr fontId="5" type="noConversion"/>
  </si>
  <si>
    <t>2018.9.7</t>
    <phoneticPr fontId="10" type="noConversion"/>
  </si>
  <si>
    <t>2017.10.10</t>
    <phoneticPr fontId="5" type="noConversion"/>
  </si>
  <si>
    <t>2017.12.11开具金额为41946元的履约保函，保函到期时间2018.1.12，有效期为1个月</t>
    <phoneticPr fontId="10" type="noConversion"/>
  </si>
  <si>
    <t>2017.7.1</t>
    <phoneticPr fontId="10" type="noConversion"/>
  </si>
  <si>
    <t>2018.6.30</t>
    <phoneticPr fontId="10" type="noConversion"/>
  </si>
  <si>
    <t>2017.10.18</t>
    <phoneticPr fontId="10" type="noConversion"/>
  </si>
  <si>
    <t>哈密东方民生石城子光伏一二期2017年光功率预测系统服务合同</t>
    <phoneticPr fontId="5" type="noConversion"/>
  </si>
  <si>
    <t>哈密力诺石城子光伏2017年光功率预测系统服务合同</t>
    <phoneticPr fontId="5" type="noConversion"/>
  </si>
  <si>
    <t>新疆华电淖毛湖风电场2017年风电功率预测系统服务合同</t>
    <phoneticPr fontId="5" type="noConversion"/>
  </si>
  <si>
    <t>伊吾东方民生风电场2017年风电功率预测系统服务合同</t>
    <phoneticPr fontId="5" type="noConversion"/>
  </si>
  <si>
    <t>十三间房三期风电场2017年风电功率预测系统服务合同</t>
    <phoneticPr fontId="5" type="noConversion"/>
  </si>
  <si>
    <t>苦水风电场2017年风电功率预测系统服务合同</t>
    <phoneticPr fontId="10" type="noConversion"/>
  </si>
  <si>
    <t>2017.1.8</t>
    <phoneticPr fontId="10" type="noConversion"/>
  </si>
  <si>
    <t>2018.1.7</t>
    <phoneticPr fontId="10" type="noConversion"/>
  </si>
  <si>
    <t>2017.12.28</t>
    <phoneticPr fontId="1" type="noConversion"/>
  </si>
  <si>
    <t>无合同</t>
    <phoneticPr fontId="1" type="noConversion"/>
  </si>
  <si>
    <t>无合同</t>
    <phoneticPr fontId="10" type="noConversion"/>
  </si>
  <si>
    <t>15003-2018</t>
    <phoneticPr fontId="18" type="noConversion"/>
  </si>
  <si>
    <t>2018.1.1</t>
    <phoneticPr fontId="1" type="noConversion"/>
  </si>
  <si>
    <t>2018.12.31</t>
    <phoneticPr fontId="1" type="noConversion"/>
  </si>
  <si>
    <t>15021-2018</t>
    <phoneticPr fontId="18" type="noConversion"/>
  </si>
  <si>
    <t>15022-2018</t>
    <phoneticPr fontId="18" type="noConversion"/>
  </si>
  <si>
    <t>2018.1.4</t>
    <phoneticPr fontId="1" type="noConversion"/>
  </si>
  <si>
    <t>2017.12.8</t>
    <phoneticPr fontId="1" type="noConversion"/>
  </si>
  <si>
    <t>2019.12.31</t>
    <phoneticPr fontId="1" type="noConversion"/>
  </si>
  <si>
    <t>三峡新能源新疆哈密苦水风电场200MW项目风功率预测系统气象服务项目技术服务合同</t>
    <phoneticPr fontId="22" type="noConversion"/>
  </si>
  <si>
    <t>华能启东风力发电有限公司2018年风功率预测合同</t>
    <phoneticPr fontId="22" type="noConversion"/>
  </si>
  <si>
    <t>2017.7.19</t>
    <phoneticPr fontId="22" type="noConversion"/>
  </si>
  <si>
    <t>2018.7.18</t>
    <phoneticPr fontId="22" type="noConversion"/>
  </si>
  <si>
    <t>ZFMD/SHFW-2018016</t>
    <phoneticPr fontId="5" type="noConversion"/>
  </si>
  <si>
    <t>国家电投集团广西兴安风电有限公司坵坪风电场风功率预测系统1号、2号测风塔采购安装合同文件</t>
    <phoneticPr fontId="22" type="noConversion"/>
  </si>
  <si>
    <t>新能源D5000上传系统采购合同</t>
    <phoneticPr fontId="5" type="noConversion"/>
  </si>
  <si>
    <t>ZFMD/SD-11001-SH</t>
    <phoneticPr fontId="1" type="noConversion"/>
  </si>
  <si>
    <t>ZFMD/SD-11002-SH</t>
  </si>
  <si>
    <t>ZFMD/SD-11003-SH</t>
  </si>
  <si>
    <t>ZFMD/SD-11004-SH</t>
  </si>
  <si>
    <t>ZFMD/SD-11005-SH</t>
  </si>
  <si>
    <t>ZFMD/SD-11006-SH</t>
  </si>
  <si>
    <t>ZFMD/SD-11007-SH</t>
  </si>
  <si>
    <t>ZFMD/SD-11008-SH</t>
  </si>
  <si>
    <t>ZFMD/SD-11009-SH</t>
  </si>
  <si>
    <t>ZFMD/SD-11010-SH</t>
  </si>
  <si>
    <t>ZFMD/SD-11011-SH</t>
  </si>
  <si>
    <t>ZFMD/SD-11012-SH</t>
  </si>
  <si>
    <t>ZFMD/SD-11013-SH</t>
  </si>
  <si>
    <t>ZFMD/SD-11014-SH</t>
  </si>
  <si>
    <t>ZFMD/SD-11015-SH</t>
  </si>
  <si>
    <t>ZFMD/SD-11016-SH</t>
  </si>
  <si>
    <t>ZFMD/SD-11017-SH</t>
  </si>
  <si>
    <t>ZFMD/SD-11018-SH</t>
  </si>
  <si>
    <t>ZFMD/SD-11019-SH</t>
  </si>
  <si>
    <t>ZFMD/SD-11020-SH</t>
  </si>
  <si>
    <t>ZFMD/SD-11021-SH</t>
  </si>
  <si>
    <t>ZFMD/SD-11022-SH</t>
  </si>
  <si>
    <t>ZFMD/SD-11023-SH</t>
  </si>
  <si>
    <t>ZFMD/SD-11024-SH</t>
  </si>
  <si>
    <t>ZFMD/SD-11025-SH</t>
  </si>
  <si>
    <t>ZFMD/SD-11026-SH</t>
  </si>
  <si>
    <t>ZFMD/SD-11036-SH</t>
    <phoneticPr fontId="1" type="noConversion"/>
  </si>
  <si>
    <t>ZFMD/SD-11037-SH</t>
  </si>
  <si>
    <t>ZFMD/SD-11038-SH</t>
  </si>
  <si>
    <t>ZFMD/SD-11039-SH</t>
  </si>
  <si>
    <t>ZFMD/SD-11040-SH</t>
  </si>
  <si>
    <t>ZFMD/SD-11041-SH</t>
  </si>
  <si>
    <t>ZFMD/SD-11042-SH</t>
  </si>
  <si>
    <t>ZFMD/SD-11043-SH</t>
  </si>
  <si>
    <t>ZFMD/SD-11044-SH</t>
  </si>
  <si>
    <t>ZFMD/SD-11045-SH</t>
    <phoneticPr fontId="1" type="noConversion"/>
  </si>
  <si>
    <t>ZFMD/SD-11047-SH</t>
    <phoneticPr fontId="1" type="noConversion"/>
  </si>
  <si>
    <t>ZFMD/SD-11048-SH</t>
  </si>
  <si>
    <t>ZFMD/SD-11049-SH</t>
  </si>
  <si>
    <t>ZFMD/SD-10001-SH</t>
    <phoneticPr fontId="1" type="noConversion"/>
  </si>
  <si>
    <t>ZFMD/SD-10002-SH</t>
    <phoneticPr fontId="1" type="noConversion"/>
  </si>
  <si>
    <t>ZFMD/SD-10003-SH</t>
    <phoneticPr fontId="1" type="noConversion"/>
  </si>
  <si>
    <t>ZFMD/SD-10004-SH</t>
    <phoneticPr fontId="1" type="noConversion"/>
  </si>
  <si>
    <t>ZFMD/SD-10005-SH</t>
    <phoneticPr fontId="1" type="noConversion"/>
  </si>
  <si>
    <t>ZFMD/SD-10006-SH</t>
    <phoneticPr fontId="1" type="noConversion"/>
  </si>
  <si>
    <t>ZFMD/SD-10007-SH</t>
    <phoneticPr fontId="1" type="noConversion"/>
  </si>
  <si>
    <t>无-2014</t>
    <phoneticPr fontId="25" type="noConversion"/>
  </si>
  <si>
    <t>服务自动续签，无合同</t>
    <phoneticPr fontId="1" type="noConversion"/>
  </si>
  <si>
    <t>复印件</t>
    <phoneticPr fontId="1" type="noConversion"/>
  </si>
  <si>
    <t>ZFMD/SD-11046-SH
ZFMD/SD-17014-SH</t>
    <phoneticPr fontId="1" type="noConversion"/>
  </si>
  <si>
    <t>安达二期、安达万福、华润万福</t>
    <phoneticPr fontId="22" type="noConversion"/>
  </si>
  <si>
    <t>东海</t>
    <phoneticPr fontId="22" type="noConversion"/>
  </si>
  <si>
    <t>向前</t>
    <phoneticPr fontId="22" type="noConversion"/>
  </si>
  <si>
    <t>向前</t>
    <phoneticPr fontId="10" type="noConversion"/>
  </si>
  <si>
    <t>东海</t>
    <phoneticPr fontId="10" type="noConversion"/>
  </si>
  <si>
    <t>隆辉</t>
    <phoneticPr fontId="22" type="noConversion"/>
  </si>
  <si>
    <t>美阳达</t>
    <phoneticPr fontId="22" type="noConversion"/>
  </si>
  <si>
    <t>昌德</t>
    <phoneticPr fontId="22" type="noConversion"/>
  </si>
  <si>
    <t>2018.6.4</t>
    <phoneticPr fontId="5" type="noConversion"/>
  </si>
  <si>
    <t>2018.6.14</t>
    <phoneticPr fontId="5" type="noConversion"/>
  </si>
  <si>
    <t>SVG接入及后台接入费用共25万元，与乌鲁木齐恒瑞哲宇电力设备有限公司签订采购合同。</t>
    <phoneticPr fontId="10" type="noConversion"/>
  </si>
  <si>
    <t>2018年6月21日，因税率由17%调整为16%，合同金额由46.5万元变为46.1025万元</t>
    <phoneticPr fontId="10" type="noConversion"/>
  </si>
  <si>
    <t>ZFMD/SD-18087-SH</t>
    <phoneticPr fontId="22" type="noConversion"/>
  </si>
  <si>
    <t>ZFMD/SD-18088-SH</t>
    <phoneticPr fontId="22" type="noConversion"/>
  </si>
  <si>
    <t>伊春太阳风新能源有限公司</t>
    <phoneticPr fontId="22" type="noConversion"/>
  </si>
  <si>
    <t>三峡新能源黑龙江省伊春乌伊岭风电场（49.5MW）工程风功率预测技术服务合同</t>
    <phoneticPr fontId="22" type="noConversion"/>
  </si>
  <si>
    <t>2018.7.19</t>
    <phoneticPr fontId="22" type="noConversion"/>
  </si>
  <si>
    <t>2017.8.1</t>
    <phoneticPr fontId="22" type="noConversion"/>
  </si>
  <si>
    <t>2020.7.31</t>
    <phoneticPr fontId="22" type="noConversion"/>
  </si>
  <si>
    <t>三峡新能源黑龙江省伊春老白山风电场（51MW）工程风功率预测技术服务合同</t>
    <phoneticPr fontId="22" type="noConversion"/>
  </si>
  <si>
    <t>51MW</t>
    <phoneticPr fontId="22" type="noConversion"/>
  </si>
  <si>
    <t>美林</t>
    <phoneticPr fontId="22" type="noConversion"/>
  </si>
  <si>
    <t>伊春美林老白山</t>
    <phoneticPr fontId="22" type="noConversion"/>
  </si>
  <si>
    <t>2018.7.19</t>
    <phoneticPr fontId="5" type="noConversion"/>
  </si>
  <si>
    <t>7月21日收到重签合同，只有一份原件，交给财务，存档为复印件</t>
    <phoneticPr fontId="22" type="noConversion"/>
  </si>
  <si>
    <t>2018年7月23日，因税率由17%调整为16%，合同金额由45万元变为44.56935万元</t>
    <phoneticPr fontId="10" type="noConversion"/>
  </si>
  <si>
    <t>2018.3.5</t>
    <phoneticPr fontId="5" type="noConversion"/>
  </si>
  <si>
    <t>2018.7.6</t>
    <phoneticPr fontId="5" type="noConversion"/>
  </si>
  <si>
    <t>2017.11.8</t>
    <phoneticPr fontId="5" type="noConversion"/>
  </si>
  <si>
    <t>2018.3.13</t>
    <phoneticPr fontId="5" type="noConversion"/>
  </si>
  <si>
    <t>2018.6.19</t>
    <phoneticPr fontId="5" type="noConversion"/>
  </si>
  <si>
    <t>ZFMD/SD-18089-SH</t>
    <phoneticPr fontId="22" type="noConversion"/>
  </si>
  <si>
    <t>ZFMD/SD-18090-SH</t>
    <phoneticPr fontId="22" type="noConversion"/>
  </si>
  <si>
    <t>华能同江街津山风电场风电功率预测信息上传技术服务合同</t>
    <phoneticPr fontId="22" type="noConversion"/>
  </si>
  <si>
    <t>华能大庆和平风电场风电功率预测信息上传技术服务合同</t>
    <phoneticPr fontId="22" type="noConversion"/>
  </si>
  <si>
    <t>ZFMD/KGSQ-18041</t>
    <phoneticPr fontId="1" type="noConversion"/>
  </si>
  <si>
    <t>ZFMD/KGSQ-18042</t>
    <phoneticPr fontId="1" type="noConversion"/>
  </si>
  <si>
    <t>街津山</t>
    <phoneticPr fontId="1" type="noConversion"/>
  </si>
  <si>
    <t>和平</t>
    <phoneticPr fontId="1" type="noConversion"/>
  </si>
  <si>
    <t>黑龙江风电场综合通讯管理系统软件；系统硬件</t>
    <phoneticPr fontId="1" type="noConversion"/>
  </si>
  <si>
    <t>2018.7.31</t>
    <phoneticPr fontId="22" type="noConversion"/>
  </si>
  <si>
    <t>2018.7.26</t>
    <phoneticPr fontId="1" type="noConversion"/>
  </si>
  <si>
    <t>2018年6月27日，因税率由17%调整为16%，合同金额由27.5万元变为27.264957万元</t>
    <phoneticPr fontId="10" type="noConversion"/>
  </si>
  <si>
    <t>ZFMD/SD-18091-SH</t>
    <phoneticPr fontId="22" type="noConversion"/>
  </si>
  <si>
    <t>三峡新能源调兵山风电有限公司</t>
    <phoneticPr fontId="22" type="noConversion"/>
  </si>
  <si>
    <t>三峡新能源辽宁省调兵山风电场（99MW）工程风功率预测技术服务合同</t>
    <phoneticPr fontId="22" type="noConversion"/>
  </si>
  <si>
    <t>铁岭调兵山华仪+
三峡能源泉眼沟</t>
    <phoneticPr fontId="22" type="noConversion"/>
  </si>
  <si>
    <t>调兵山（华仪+泉眼沟）</t>
    <phoneticPr fontId="22" type="noConversion"/>
  </si>
  <si>
    <t>99MW</t>
    <phoneticPr fontId="22" type="noConversion"/>
  </si>
  <si>
    <t>2018.8.2</t>
    <phoneticPr fontId="22" type="noConversion"/>
  </si>
  <si>
    <t>2018.7.23</t>
    <phoneticPr fontId="22" type="noConversion"/>
  </si>
  <si>
    <t>2018.8.2</t>
    <phoneticPr fontId="1" type="noConversion"/>
  </si>
  <si>
    <t>ZFMD/SD-16039-SH</t>
    <phoneticPr fontId="1" type="noConversion"/>
  </si>
  <si>
    <t>ZFMD/SD-17074-SH</t>
    <phoneticPr fontId="10" type="noConversion"/>
  </si>
  <si>
    <t>2018.8.6</t>
    <phoneticPr fontId="5" type="noConversion"/>
  </si>
  <si>
    <t>七台河宏浩风力发电有限公司</t>
    <phoneticPr fontId="22" type="noConversion"/>
  </si>
  <si>
    <t>七里嘎山</t>
    <phoneticPr fontId="22" type="noConversion"/>
  </si>
  <si>
    <t>七里嘎山风电功率预测系统服务合同书</t>
    <phoneticPr fontId="22" type="noConversion"/>
  </si>
  <si>
    <t>2018.8.7</t>
    <phoneticPr fontId="22" type="noConversion"/>
  </si>
  <si>
    <t>七台河丰润风力发电有限公司汤原分公司</t>
    <phoneticPr fontId="22" type="noConversion"/>
  </si>
  <si>
    <t>渠首</t>
    <phoneticPr fontId="22" type="noConversion"/>
  </si>
  <si>
    <t>汤原渠首</t>
    <phoneticPr fontId="22" type="noConversion"/>
  </si>
  <si>
    <t>渠首风电功率预测系统服务合同书</t>
    <phoneticPr fontId="22" type="noConversion"/>
  </si>
  <si>
    <t>华电虎林风力发电有限公司</t>
    <phoneticPr fontId="22" type="noConversion"/>
  </si>
  <si>
    <t>华电虎林石青山风电场综合通讯管理系统采购合同</t>
    <phoneticPr fontId="22" type="noConversion"/>
  </si>
  <si>
    <t>石青山</t>
    <phoneticPr fontId="22" type="noConversion"/>
  </si>
  <si>
    <t>虎林石青山</t>
    <phoneticPr fontId="22" type="noConversion"/>
  </si>
  <si>
    <t>华电汤原渠首风电场综合通讯管理系统采购合同</t>
    <phoneticPr fontId="22" type="noConversion"/>
  </si>
  <si>
    <t>三峡新能源彰武发电有限公司</t>
    <phoneticPr fontId="22" type="noConversion"/>
  </si>
  <si>
    <t>三峡新能源彰武王家及北沟光伏电站（24MWP）工程光功率预测技术服务合同</t>
    <phoneticPr fontId="22" type="noConversion"/>
  </si>
  <si>
    <t>三峡王家</t>
    <phoneticPr fontId="22" type="noConversion"/>
  </si>
  <si>
    <t>彰武王家</t>
    <phoneticPr fontId="22" type="noConversion"/>
  </si>
  <si>
    <t>24MWP</t>
    <phoneticPr fontId="22" type="noConversion"/>
  </si>
  <si>
    <t>三峡新能源河北省尚义风电场（49.5MW）风功率超短期预测自动上传服务合同</t>
    <phoneticPr fontId="22" type="noConversion"/>
  </si>
  <si>
    <t>ZFMD/SD-18092-SH</t>
    <phoneticPr fontId="22" type="noConversion"/>
  </si>
  <si>
    <t>ZFMD/SD-18093-SH</t>
    <phoneticPr fontId="22" type="noConversion"/>
  </si>
  <si>
    <t>ZFMD/SD-18094-SH</t>
    <phoneticPr fontId="22" type="noConversion"/>
  </si>
  <si>
    <t>ZFMD/SD-18095-SH</t>
    <phoneticPr fontId="22" type="noConversion"/>
  </si>
  <si>
    <t>ZFMD/SD-18096-SH</t>
    <phoneticPr fontId="22" type="noConversion"/>
  </si>
  <si>
    <t>ZFMD/SD-18097-SH</t>
    <phoneticPr fontId="22" type="noConversion"/>
  </si>
  <si>
    <t>电力安全三区综合通讯系统软件河北版；系统硬件</t>
    <phoneticPr fontId="22" type="noConversion"/>
  </si>
  <si>
    <t>ZFMD/KGSQ-17092</t>
    <phoneticPr fontId="22" type="noConversion"/>
  </si>
  <si>
    <t>ZFMD/KGSQ-17086</t>
    <phoneticPr fontId="22" type="noConversion"/>
  </si>
  <si>
    <t>ZFMD/KGSQ-18016</t>
    <phoneticPr fontId="22" type="noConversion"/>
  </si>
  <si>
    <t>安达市青肯泡乡20MW光伏地面发电A、B项目二次设备采购合同</t>
    <phoneticPr fontId="5" type="noConversion"/>
  </si>
  <si>
    <t>青肯泡</t>
    <phoneticPr fontId="5" type="noConversion"/>
  </si>
  <si>
    <t>ZFMD/KGSQ-17091</t>
    <phoneticPr fontId="1" type="noConversion"/>
  </si>
  <si>
    <t>ZFMD/SD-18068-1-SH</t>
    <phoneticPr fontId="22" type="noConversion"/>
  </si>
  <si>
    <t>ZFMD/SD-18068-2-SH</t>
  </si>
  <si>
    <t>ZFMD/SD-18068-3-SH</t>
  </si>
  <si>
    <t>ZFMD/SD-16116-SH-BG01</t>
    <phoneticPr fontId="1" type="noConversion"/>
  </si>
  <si>
    <t>ZFMD/SD-17044-SH-BG01</t>
    <phoneticPr fontId="10" type="noConversion"/>
  </si>
  <si>
    <t>ZFMD/SD-18098-SH</t>
    <phoneticPr fontId="22" type="noConversion"/>
  </si>
  <si>
    <t>ZFMD/KGSQ-18039</t>
    <phoneticPr fontId="22" type="noConversion"/>
  </si>
  <si>
    <t>大唐集贤太平风力发电有限公司</t>
    <phoneticPr fontId="22" type="noConversion"/>
  </si>
  <si>
    <t>大唐集贤太平风力发电有限公司2018年风电场综合通讯系统管理软件采购合同</t>
    <phoneticPr fontId="22" type="noConversion"/>
  </si>
  <si>
    <t>太平</t>
    <phoneticPr fontId="22" type="noConversion"/>
  </si>
  <si>
    <t>2018.8.11</t>
    <phoneticPr fontId="22" type="noConversion"/>
  </si>
  <si>
    <t>2018.7.27</t>
    <phoneticPr fontId="22" type="noConversion"/>
  </si>
  <si>
    <t>2018.7.19</t>
    <phoneticPr fontId="1" type="noConversion"/>
  </si>
  <si>
    <t>2018年8月11日，因税率由17%调整为16%，合同金额由32.5万元变为32.22222万元。</t>
    <phoneticPr fontId="1" type="noConversion"/>
  </si>
  <si>
    <t>肇东尚家镇、尚家镇</t>
    <phoneticPr fontId="5" type="noConversion"/>
  </si>
  <si>
    <t>富荣</t>
    <phoneticPr fontId="10" type="noConversion"/>
  </si>
  <si>
    <t>华润新能源（明光）风能有限公司</t>
    <phoneticPr fontId="22" type="noConversion"/>
  </si>
  <si>
    <t>华润明光市栖凤风电场项目风功率预测系统设备采购合同</t>
    <phoneticPr fontId="22" type="noConversion"/>
  </si>
  <si>
    <t>安徽</t>
    <phoneticPr fontId="22" type="noConversion"/>
  </si>
  <si>
    <t>栖凤</t>
    <phoneticPr fontId="22" type="noConversion"/>
  </si>
  <si>
    <t>段洪宇</t>
    <phoneticPr fontId="22" type="noConversion"/>
  </si>
  <si>
    <t>2018.8.14</t>
    <phoneticPr fontId="22" type="noConversion"/>
  </si>
  <si>
    <t>2018.8.5</t>
    <phoneticPr fontId="22" type="noConversion"/>
  </si>
  <si>
    <t>测风塔；测风塔设备；建模扩容</t>
    <phoneticPr fontId="22" type="noConversion"/>
  </si>
  <si>
    <t>明光东山二期</t>
    <phoneticPr fontId="22" type="noConversion"/>
  </si>
  <si>
    <t>ZFMD/SD-18099-SH</t>
    <phoneticPr fontId="22" type="noConversion"/>
  </si>
  <si>
    <t>ZFMD/SD-17051-SH-BG01</t>
    <phoneticPr fontId="10" type="noConversion"/>
  </si>
  <si>
    <t>ZFMD/SD-17051-SH</t>
    <phoneticPr fontId="10" type="noConversion"/>
  </si>
  <si>
    <t>ZFMD/KGSQ-17011</t>
    <phoneticPr fontId="10" type="noConversion"/>
  </si>
  <si>
    <t>2018.8.15</t>
    <phoneticPr fontId="10" type="noConversion"/>
  </si>
  <si>
    <t>2018.8.15</t>
    <phoneticPr fontId="22" type="noConversion"/>
  </si>
  <si>
    <t>ZFMD/SD-18100-SH</t>
  </si>
  <si>
    <t>ZFMD/SD-18102-SH</t>
  </si>
  <si>
    <t>ZFMD/SD-18103-SH</t>
  </si>
  <si>
    <t>ZFMD/SD-18104-SH</t>
  </si>
  <si>
    <t>ZFMD/SD-18105-SH</t>
  </si>
  <si>
    <t>ZFMD/SD-18106-SH</t>
  </si>
  <si>
    <t>ZFMD/SD-18107-SH</t>
  </si>
  <si>
    <t>ZFMD/SD-18108-SH</t>
  </si>
  <si>
    <t>ZFMD/SD-18109-SH</t>
  </si>
  <si>
    <t>伊吾东方民生新能源有限公司</t>
    <phoneticPr fontId="22" type="noConversion"/>
  </si>
  <si>
    <t>巴里坤东方民生新能源有限公司</t>
    <phoneticPr fontId="22" type="noConversion"/>
  </si>
  <si>
    <t>哈密市东方民生太阳能源开发有限公司</t>
    <phoneticPr fontId="22" type="noConversion"/>
  </si>
  <si>
    <t>新疆华电苦水风电有限责任公司</t>
    <phoneticPr fontId="22" type="noConversion"/>
  </si>
  <si>
    <t>新疆华电淖毛湖风电有限责任公司</t>
    <phoneticPr fontId="22" type="noConversion"/>
  </si>
  <si>
    <t>哈密力诺太阳能电力有限公司</t>
    <phoneticPr fontId="22" type="noConversion"/>
  </si>
  <si>
    <t>新疆华电十三间房风电有限责任公司</t>
    <phoneticPr fontId="22" type="noConversion"/>
  </si>
  <si>
    <t>伊吾东方民生风电场2018年风电功率预测系统服务合同</t>
    <phoneticPr fontId="22" type="noConversion"/>
  </si>
  <si>
    <t>巴里坤东方民生风电场2018年风电功率预测系统服务合同</t>
    <phoneticPr fontId="22" type="noConversion"/>
  </si>
  <si>
    <t>哈密东方民生石城子光伏一二期2018年光功率预测系统服务合同</t>
    <phoneticPr fontId="22" type="noConversion"/>
  </si>
  <si>
    <t>苦水风电场2018年风电功率预测系统服务合同</t>
    <phoneticPr fontId="22" type="noConversion"/>
  </si>
  <si>
    <t>新疆华电淖毛湖风电场2018年风电功率预测系统服务合同</t>
    <phoneticPr fontId="22" type="noConversion"/>
  </si>
  <si>
    <t>华电石城子光伏三期2018年光功率预测系统服务合同</t>
    <phoneticPr fontId="22" type="noConversion"/>
  </si>
  <si>
    <t>华电石城子光伏一二期2018年光功率预测系统服务合同</t>
    <phoneticPr fontId="22" type="noConversion"/>
  </si>
  <si>
    <t>哈密力诺石城子光伏2018年光功率预测系统服务合同</t>
    <phoneticPr fontId="22" type="noConversion"/>
  </si>
  <si>
    <t>十三间房三期风电场2018年风电功率预测系统服务合同</t>
    <phoneticPr fontId="22" type="noConversion"/>
  </si>
  <si>
    <t>华电嘉利二场</t>
    <phoneticPr fontId="22" type="noConversion"/>
  </si>
  <si>
    <t>十三间房三期、四期</t>
  </si>
  <si>
    <t>力诺石城子光伏一电站</t>
    <phoneticPr fontId="22" type="noConversion"/>
  </si>
  <si>
    <t>华电石城子光伏电站</t>
    <phoneticPr fontId="22" type="noConversion"/>
  </si>
  <si>
    <t>华电石城子光伏二电站</t>
    <phoneticPr fontId="22" type="noConversion"/>
  </si>
  <si>
    <t>石城子三期</t>
    <phoneticPr fontId="22" type="noConversion"/>
  </si>
  <si>
    <t>华电淖毛湖风电一场+华电淖毛湖风电一场（二期/直流）</t>
    <phoneticPr fontId="22" type="noConversion"/>
  </si>
  <si>
    <t>华电苦水东风电一场</t>
    <phoneticPr fontId="22" type="noConversion"/>
  </si>
  <si>
    <t>哈密苦水</t>
    <phoneticPr fontId="22" type="noConversion"/>
  </si>
  <si>
    <t>东方民生石城子光伏一电站</t>
    <phoneticPr fontId="22" type="noConversion"/>
  </si>
  <si>
    <t>东方民生石城子</t>
    <phoneticPr fontId="22" type="noConversion"/>
  </si>
  <si>
    <t>2018.7.30</t>
    <phoneticPr fontId="22" type="noConversion"/>
  </si>
  <si>
    <t>华能江西清洁能源有限责任公司</t>
    <phoneticPr fontId="22" type="noConversion"/>
  </si>
  <si>
    <t>华能蒋公岭风电场（74兆瓦）测风设备采购合同</t>
    <phoneticPr fontId="22" type="noConversion"/>
  </si>
  <si>
    <t>江西</t>
    <phoneticPr fontId="22" type="noConversion"/>
  </si>
  <si>
    <t>2018.8</t>
    <phoneticPr fontId="22" type="noConversion"/>
  </si>
  <si>
    <t>ZFMD/SD-18101-SH</t>
    <phoneticPr fontId="22" type="noConversion"/>
  </si>
  <si>
    <t>华电淖毛湖风电一场（淖毛湖一期+淖毛湖二期）</t>
    <phoneticPr fontId="22" type="noConversion"/>
  </si>
  <si>
    <t>力诺哈密/力诺石城子</t>
    <phoneticPr fontId="22" type="noConversion"/>
  </si>
  <si>
    <t>ZFMD/KGSQ-18040</t>
    <phoneticPr fontId="22" type="noConversion"/>
  </si>
  <si>
    <t>五凌托克逊电力有限公司</t>
    <phoneticPr fontId="22" type="noConversion"/>
  </si>
  <si>
    <t>五凌小草湖南风电一场风功率预测系统改造服务合同</t>
    <phoneticPr fontId="22" type="noConversion"/>
  </si>
  <si>
    <t>新疆</t>
    <phoneticPr fontId="1" type="noConversion"/>
  </si>
  <si>
    <t>五凌小草湖南风电一场</t>
    <phoneticPr fontId="1" type="noConversion"/>
  </si>
  <si>
    <t>托克逊</t>
    <phoneticPr fontId="22" type="noConversion"/>
  </si>
  <si>
    <t>张铁民</t>
    <phoneticPr fontId="22" type="noConversion"/>
  </si>
  <si>
    <t>2018.8.23</t>
    <phoneticPr fontId="22" type="noConversion"/>
  </si>
  <si>
    <t>2018.8.24</t>
    <phoneticPr fontId="22" type="noConversion"/>
  </si>
  <si>
    <t>2018.8.13</t>
    <phoneticPr fontId="22" type="noConversion"/>
  </si>
  <si>
    <t>2018.7.27</t>
  </si>
  <si>
    <t>蒋公岭二期</t>
    <phoneticPr fontId="22" type="noConversion"/>
  </si>
  <si>
    <t>湖沙咀</t>
    <phoneticPr fontId="22" type="noConversion"/>
  </si>
  <si>
    <t>74MW</t>
    <phoneticPr fontId="22" type="noConversion"/>
  </si>
  <si>
    <t>ZFMD/SD-18110-SH</t>
    <phoneticPr fontId="22" type="noConversion"/>
  </si>
  <si>
    <t>安达3号40MW、4号40MW太阳能发电项目升压站扩建及对侧站改造扩容EPC工程物资采购合同</t>
    <phoneticPr fontId="22" type="noConversion"/>
  </si>
  <si>
    <t>ZFMD/SD-18111-SH</t>
    <phoneticPr fontId="22" type="noConversion"/>
  </si>
  <si>
    <t>黑龙江北星电力有限公司</t>
    <phoneticPr fontId="22" type="noConversion"/>
  </si>
  <si>
    <t>安达3号、4号</t>
    <phoneticPr fontId="22" type="noConversion"/>
  </si>
  <si>
    <t>2018.6.25</t>
    <phoneticPr fontId="22" type="noConversion"/>
  </si>
  <si>
    <t>建模扩容</t>
    <phoneticPr fontId="22" type="noConversion"/>
  </si>
  <si>
    <t>东方民生麻黄沟东风电一场（东方民生三塘湖一期、二期、三期、四期）</t>
    <phoneticPr fontId="22" type="noConversion"/>
  </si>
  <si>
    <t>东方民生麻黄沟东风电一场/一期+二三四期（东方民生麻黄沟东风电一场（直流/直流配套））</t>
    <phoneticPr fontId="22" type="noConversion"/>
  </si>
  <si>
    <t>ZFMD/SD-18112-SH</t>
    <phoneticPr fontId="22" type="noConversion"/>
  </si>
  <si>
    <t>河南省第二建设集团有限公司</t>
    <phoneticPr fontId="22" type="noConversion"/>
  </si>
  <si>
    <t>光伏气象站；光伏气象站设备</t>
    <phoneticPr fontId="22" type="noConversion"/>
  </si>
  <si>
    <t>ZFMD/KGSQ-18031</t>
    <phoneticPr fontId="22" type="noConversion"/>
  </si>
  <si>
    <t>ZFMD/KGSQ-18031</t>
  </si>
  <si>
    <t>横山、艾好峁</t>
    <phoneticPr fontId="1" type="noConversion"/>
  </si>
  <si>
    <t>西草沟</t>
  </si>
  <si>
    <t>ZFMD/SD-18113-SH</t>
  </si>
  <si>
    <t>石青山风电功率预测系统服务合同书</t>
    <phoneticPr fontId="22" type="noConversion"/>
  </si>
  <si>
    <t>ZFMD/SD-18114-SH</t>
  </si>
  <si>
    <t>鹤岗龙源风力发电有限公司望云峰风电场综合管理电脑和系统安装采购合同</t>
    <phoneticPr fontId="22" type="noConversion"/>
  </si>
  <si>
    <t>2018.9.3</t>
    <phoneticPr fontId="22" type="noConversion"/>
  </si>
  <si>
    <t>2018.8.27</t>
    <phoneticPr fontId="22" type="noConversion"/>
  </si>
  <si>
    <t>黑龙江风电场综合通讯管理系统硬件</t>
    <phoneticPr fontId="22" type="noConversion"/>
  </si>
  <si>
    <t>ZFMD/SD-18115-SH</t>
  </si>
  <si>
    <t>霞浦马耳山风电场气象源数据采购合同</t>
    <phoneticPr fontId="22" type="noConversion"/>
  </si>
  <si>
    <t>国电</t>
    <phoneticPr fontId="22" type="noConversion"/>
  </si>
  <si>
    <t>2018.9.5</t>
    <phoneticPr fontId="22" type="noConversion"/>
  </si>
  <si>
    <t>2018.8.1</t>
    <phoneticPr fontId="22" type="noConversion"/>
  </si>
  <si>
    <t>国电霞浦延亭风力发电有限公司</t>
    <phoneticPr fontId="22" type="noConversion"/>
  </si>
  <si>
    <t>预测服务17个月</t>
    <phoneticPr fontId="22" type="noConversion"/>
  </si>
  <si>
    <t>霞浦延亭（一期+二期）</t>
    <phoneticPr fontId="22" type="noConversion"/>
  </si>
  <si>
    <t>霞浦延亭（一期）霞浦马耳山（二期）</t>
    <phoneticPr fontId="22" type="noConversion"/>
  </si>
  <si>
    <t>ZFMD/SD-18116-SH</t>
  </si>
  <si>
    <t>ZFMD/KGSQ-18050</t>
    <phoneticPr fontId="22" type="noConversion"/>
  </si>
  <si>
    <t>华能定边新能源发电有限公司</t>
    <phoneticPr fontId="22" type="noConversion"/>
  </si>
  <si>
    <t>贺圈</t>
    <phoneticPr fontId="22" type="noConversion"/>
  </si>
  <si>
    <t>狼尔沟</t>
    <phoneticPr fontId="22" type="noConversion"/>
  </si>
  <si>
    <t>神华宜君新能源有限责任公司</t>
    <phoneticPr fontId="22" type="noConversion"/>
  </si>
  <si>
    <t>国华铜川二期（西草沟）风电场工程项目风功率预测系统采购合同</t>
    <phoneticPr fontId="22" type="noConversion"/>
  </si>
  <si>
    <t>陕西</t>
    <phoneticPr fontId="22" type="noConversion"/>
  </si>
  <si>
    <t>原件</t>
    <phoneticPr fontId="22" type="noConversion"/>
  </si>
  <si>
    <t>2018.9.13</t>
    <phoneticPr fontId="22" type="noConversion"/>
  </si>
  <si>
    <t>2018.8</t>
    <phoneticPr fontId="22" type="noConversion"/>
  </si>
  <si>
    <t>ZFMD/SD-18118-SH</t>
  </si>
  <si>
    <t>新疆浦类海能源发展有限公司三塘湖风电场2018年风电功率预测系统服务合同</t>
    <phoneticPr fontId="22" type="noConversion"/>
  </si>
  <si>
    <t>新疆</t>
    <phoneticPr fontId="22" type="noConversion"/>
  </si>
  <si>
    <t>华电</t>
    <phoneticPr fontId="22" type="noConversion"/>
  </si>
  <si>
    <t>三塘湖浦类海一期</t>
    <phoneticPr fontId="22" type="noConversion"/>
  </si>
  <si>
    <t>预测服务1年</t>
    <phoneticPr fontId="22" type="noConversion"/>
  </si>
  <si>
    <t>王龙波</t>
    <phoneticPr fontId="22" type="noConversion"/>
  </si>
  <si>
    <t>2018.9</t>
    <phoneticPr fontId="22" type="noConversion"/>
  </si>
  <si>
    <t>原件</t>
    <phoneticPr fontId="22" type="noConversion"/>
  </si>
  <si>
    <t>2018.1.1</t>
    <phoneticPr fontId="22" type="noConversion"/>
  </si>
  <si>
    <t>2018.12.31</t>
    <phoneticPr fontId="22" type="noConversion"/>
  </si>
  <si>
    <t>ZFMD/SD-18119-SH</t>
  </si>
  <si>
    <t>大蚶山风电场测风设备采购合同</t>
    <phoneticPr fontId="22" type="noConversion"/>
  </si>
  <si>
    <t>福建</t>
    <phoneticPr fontId="22" type="noConversion"/>
  </si>
  <si>
    <t>福能</t>
    <phoneticPr fontId="22" type="noConversion"/>
  </si>
  <si>
    <t>大蚶山</t>
    <phoneticPr fontId="22" type="noConversion"/>
  </si>
  <si>
    <t>无</t>
    <phoneticPr fontId="22" type="noConversion"/>
  </si>
  <si>
    <t>测风塔设备</t>
    <phoneticPr fontId="22" type="noConversion"/>
  </si>
  <si>
    <t>秦英飞</t>
    <phoneticPr fontId="22" type="noConversion"/>
  </si>
  <si>
    <t>2018.9.11</t>
    <phoneticPr fontId="22" type="noConversion"/>
  </si>
  <si>
    <t>ZFMD/SD-18120-SH</t>
  </si>
  <si>
    <t>石塘风电场测风设备采购合同</t>
    <phoneticPr fontId="22" type="noConversion"/>
  </si>
  <si>
    <t>石塘</t>
    <phoneticPr fontId="22" type="noConversion"/>
  </si>
  <si>
    <t>莆田石塘</t>
    <phoneticPr fontId="22" type="noConversion"/>
  </si>
  <si>
    <t>ZFMD/SD-18121-SH</t>
  </si>
  <si>
    <t>隆教风电场测风设备采购合同</t>
    <phoneticPr fontId="22" type="noConversion"/>
  </si>
  <si>
    <t>隆教</t>
    <phoneticPr fontId="22" type="noConversion"/>
  </si>
  <si>
    <t>龙海隆教</t>
    <phoneticPr fontId="22" type="noConversion"/>
  </si>
  <si>
    <t>ZFMD/SD-18122-SH</t>
  </si>
  <si>
    <t>中广核大庆银浪风电场2018年度风功率预测系统服务合同</t>
    <phoneticPr fontId="22" type="noConversion"/>
  </si>
  <si>
    <t>黑龙江</t>
    <phoneticPr fontId="22" type="noConversion"/>
  </si>
  <si>
    <t>中广核</t>
    <phoneticPr fontId="22" type="noConversion"/>
  </si>
  <si>
    <t>大庆银浪（大庆银浪+大庆宏伟）</t>
    <phoneticPr fontId="22" type="noConversion"/>
  </si>
  <si>
    <t>大庆银浪一期/大庆银浪+大庆银浪二期/大庆宏伟</t>
    <phoneticPr fontId="22" type="noConversion"/>
  </si>
  <si>
    <t>预测服务8个月</t>
    <phoneticPr fontId="22" type="noConversion"/>
  </si>
  <si>
    <t>马梦迪</t>
    <phoneticPr fontId="22" type="noConversion"/>
  </si>
  <si>
    <t>2018.5.1</t>
    <phoneticPr fontId="22" type="noConversion"/>
  </si>
  <si>
    <t>ZFMD/SD-18123-SH</t>
  </si>
  <si>
    <t>双鸭山杨木岗风力发电有限公司</t>
    <phoneticPr fontId="22" type="noConversion"/>
  </si>
  <si>
    <t>中广核安邦河风电场（杨木岗项目）2018年度风功率预测系统服务合同</t>
    <phoneticPr fontId="22" type="noConversion"/>
  </si>
  <si>
    <t>安邦河（杨木岗）</t>
    <phoneticPr fontId="22" type="noConversion"/>
  </si>
  <si>
    <t>双鸭山/老平岗+杨木岗+锅盔山</t>
    <phoneticPr fontId="22" type="noConversion"/>
  </si>
  <si>
    <t>ZFMD/SD-18124-SH</t>
  </si>
  <si>
    <t>中广核安邦河风电场（老平岗项目）2018年度风功率预测系统服务合同</t>
    <phoneticPr fontId="22" type="noConversion"/>
  </si>
  <si>
    <t>安邦河（老平岗）</t>
    <phoneticPr fontId="22" type="noConversion"/>
  </si>
  <si>
    <t>ZFMD/SD-18125-SH</t>
  </si>
  <si>
    <t>黑龙江北方风力发电有限公司</t>
    <phoneticPr fontId="22" type="noConversion"/>
  </si>
  <si>
    <t>中广核兴凯湖风电场（蜂蜜山项目）2018年度风功率预测系统服务合同</t>
    <phoneticPr fontId="22" type="noConversion"/>
  </si>
  <si>
    <t>兴凯湖（蜂蜜山）</t>
    <phoneticPr fontId="22" type="noConversion"/>
  </si>
  <si>
    <t>柳毛+蜂蜜山（一、二期）
临河+潘家店（三、四期）
密山兴凯湖</t>
    <phoneticPr fontId="22" type="noConversion"/>
  </si>
  <si>
    <t>ZFMD/SD-18126-SH</t>
  </si>
  <si>
    <t>双鸭山锅盔山风力发电有限公司</t>
    <phoneticPr fontId="22" type="noConversion"/>
  </si>
  <si>
    <t>中广核安邦河风电场（锅盔山项目）2018年度风功率预测系统服务合同</t>
    <phoneticPr fontId="22" type="noConversion"/>
  </si>
  <si>
    <t>安邦河（锅盔山)</t>
    <phoneticPr fontId="22" type="noConversion"/>
  </si>
  <si>
    <t>ZFMD/SD-18127-SH</t>
  </si>
  <si>
    <t>密山潘家店风力发电有限公司</t>
    <phoneticPr fontId="22" type="noConversion"/>
  </si>
  <si>
    <t>中广核兴凯湖风电场（潘家店项目）2018年度风功率预测系统服务合同</t>
    <phoneticPr fontId="22" type="noConversion"/>
  </si>
  <si>
    <t>兴凯湖（潘家店）</t>
    <phoneticPr fontId="22" type="noConversion"/>
  </si>
  <si>
    <t>ZFMD/SD-18128-SH</t>
  </si>
  <si>
    <t>黑龙江东方风力发电有限公司</t>
    <phoneticPr fontId="22" type="noConversion"/>
  </si>
  <si>
    <t>中广核兴凯湖风电场（柳毛项目）2018年度风功率预测系统服务合同</t>
    <phoneticPr fontId="22" type="noConversion"/>
  </si>
  <si>
    <t>兴凯湖（柳毛）</t>
    <phoneticPr fontId="22" type="noConversion"/>
  </si>
  <si>
    <t>ZFMD/SD-18129-SH</t>
  </si>
  <si>
    <t>密山临河风力发电有限公司</t>
    <phoneticPr fontId="22" type="noConversion"/>
  </si>
  <si>
    <t>中广核兴凯湖风电场（临河项目）2018年度风功率预测系统服务合同</t>
    <phoneticPr fontId="22" type="noConversion"/>
  </si>
  <si>
    <t>兴凯湖（临河）</t>
    <phoneticPr fontId="22" type="noConversion"/>
  </si>
  <si>
    <t>ZFMD/SD-18130-SH</t>
  </si>
  <si>
    <t>龙江杏山风力发电有限公司</t>
    <phoneticPr fontId="22" type="noConversion"/>
  </si>
  <si>
    <t>中广核哈拉海风电场（龙江杏山项目）2018年度风功率预测系统服务合同</t>
    <phoneticPr fontId="22" type="noConversion"/>
  </si>
  <si>
    <t>哈拉海（杏山）</t>
    <phoneticPr fontId="22" type="noConversion"/>
  </si>
  <si>
    <t>龙腾/中航龙腾/龙江/红旗+杏山</t>
    <phoneticPr fontId="22" type="noConversion"/>
  </si>
  <si>
    <t>ZFMD/SD-18131-SH</t>
  </si>
  <si>
    <t>中航龙腾风力发电有限公司</t>
    <phoneticPr fontId="22" type="noConversion"/>
  </si>
  <si>
    <t>中广核哈拉海风电场（中航龙腾项目）2018年度风功率预测系统服务合同</t>
    <phoneticPr fontId="22" type="noConversion"/>
  </si>
  <si>
    <t>哈拉海（龙腾）</t>
    <phoneticPr fontId="22" type="noConversion"/>
  </si>
  <si>
    <t>ZFMD/KGSQ-18002</t>
  </si>
  <si>
    <t>韩志宇</t>
    <phoneticPr fontId="22" type="noConversion"/>
  </si>
  <si>
    <t>2018.6.14</t>
    <phoneticPr fontId="22" type="noConversion"/>
  </si>
  <si>
    <t>ZFMD/SD-18117-SH</t>
    <phoneticPr fontId="22" type="noConversion"/>
  </si>
  <si>
    <t>建模扩容；测风塔；测风塔设备</t>
    <phoneticPr fontId="1" type="noConversion"/>
  </si>
  <si>
    <t>铜川阿庄二三期/阿庄二三期</t>
    <phoneticPr fontId="22" type="noConversion"/>
  </si>
  <si>
    <t>国华云梦（二三期）</t>
    <phoneticPr fontId="22" type="noConversion"/>
  </si>
  <si>
    <t>ZFMD/SD-18135-SH</t>
  </si>
  <si>
    <t>ZFMD/SD-18136-SH</t>
  </si>
  <si>
    <t>ZFMD/SD-18137-SH</t>
  </si>
  <si>
    <t>大唐依兰富强风电场综合通讯管理系统更换采购合同</t>
    <phoneticPr fontId="22" type="noConversion"/>
  </si>
  <si>
    <t>黑龙江</t>
    <phoneticPr fontId="22" type="noConversion"/>
  </si>
  <si>
    <t>大唐</t>
    <phoneticPr fontId="22" type="noConversion"/>
  </si>
  <si>
    <t>富强</t>
    <phoneticPr fontId="22" type="noConversion"/>
  </si>
  <si>
    <t>无</t>
    <phoneticPr fontId="22" type="noConversion"/>
  </si>
  <si>
    <t>ZFMD/KGSQ-18028</t>
    <phoneticPr fontId="22" type="noConversion"/>
  </si>
  <si>
    <t>黑龙江风电场综合通讯管理系统软件；系统硬件</t>
    <phoneticPr fontId="5" type="noConversion"/>
  </si>
  <si>
    <t>郭文明</t>
    <phoneticPr fontId="22" type="noConversion"/>
  </si>
  <si>
    <t>李妍</t>
    <phoneticPr fontId="22" type="noConversion"/>
  </si>
  <si>
    <t>2018.9.15</t>
    <phoneticPr fontId="22" type="noConversion"/>
  </si>
  <si>
    <t>2018.8.24</t>
    <phoneticPr fontId="22" type="noConversion"/>
  </si>
  <si>
    <t>ZFMD/KGSQ-18027</t>
    <phoneticPr fontId="22" type="noConversion"/>
  </si>
  <si>
    <t>大唐依兰晨光风电场综合通讯管理系统更换采购合同</t>
    <phoneticPr fontId="22" type="noConversion"/>
  </si>
  <si>
    <t>晨光</t>
    <phoneticPr fontId="22" type="noConversion"/>
  </si>
  <si>
    <t>ZFMD/KGSQ-18026</t>
    <phoneticPr fontId="22" type="noConversion"/>
  </si>
  <si>
    <t>大唐桦川苏家店风电场综合通讯管理系统更换采购合同</t>
    <phoneticPr fontId="22" type="noConversion"/>
  </si>
  <si>
    <t>苏家店</t>
    <phoneticPr fontId="22" type="noConversion"/>
  </si>
  <si>
    <t>桦川</t>
    <phoneticPr fontId="22" type="noConversion"/>
  </si>
  <si>
    <t>云霄曾江风功率预测系统技术服务合同</t>
    <phoneticPr fontId="22" type="noConversion"/>
  </si>
  <si>
    <t>云霄曾江</t>
    <phoneticPr fontId="22" type="noConversion"/>
  </si>
  <si>
    <t>风电功率预测</t>
    <phoneticPr fontId="22" type="noConversion"/>
  </si>
  <si>
    <t>ZFMD/SD-18134-SH</t>
    <phoneticPr fontId="22" type="noConversion"/>
  </si>
  <si>
    <t>ZFMD/SD-18133-SH</t>
    <phoneticPr fontId="22" type="noConversion"/>
  </si>
  <si>
    <t>ZFMD/SD-18132-SH</t>
    <phoneticPr fontId="22" type="noConversion"/>
  </si>
  <si>
    <t>预测服务1年</t>
    <phoneticPr fontId="22" type="noConversion"/>
  </si>
  <si>
    <t>秦英飞</t>
    <phoneticPr fontId="22" type="noConversion"/>
  </si>
  <si>
    <t>2018.1.1</t>
    <phoneticPr fontId="22" type="noConversion"/>
  </si>
  <si>
    <t>2018.12.31</t>
    <phoneticPr fontId="22" type="noConversion"/>
  </si>
  <si>
    <t>云霄汇海风电有限公司</t>
    <phoneticPr fontId="22" type="noConversion"/>
  </si>
  <si>
    <t>湖南大唐先一科技有限公司</t>
    <phoneticPr fontId="22" type="noConversion"/>
  </si>
  <si>
    <t>银子山风电场技术服务合同</t>
    <phoneticPr fontId="22" type="noConversion"/>
  </si>
  <si>
    <t>湖南</t>
    <phoneticPr fontId="22" type="noConversion"/>
  </si>
  <si>
    <t>大唐</t>
    <phoneticPr fontId="22" type="noConversion"/>
  </si>
  <si>
    <t>银子山</t>
    <phoneticPr fontId="22" type="noConversion"/>
  </si>
  <si>
    <t>宝鼎山</t>
    <phoneticPr fontId="22" type="noConversion"/>
  </si>
  <si>
    <t>风电功率预测</t>
    <phoneticPr fontId="22" type="noConversion"/>
  </si>
  <si>
    <t>2018.7.25</t>
    <phoneticPr fontId="22" type="noConversion"/>
  </si>
  <si>
    <t>原件</t>
    <phoneticPr fontId="22" type="noConversion"/>
  </si>
  <si>
    <t>江苏金风软件技术有限公司</t>
    <phoneticPr fontId="22" type="noConversion"/>
  </si>
  <si>
    <t>功率预测数据接口开放技术服务合同</t>
    <phoneticPr fontId="22" type="noConversion"/>
  </si>
  <si>
    <t>辽宁</t>
    <phoneticPr fontId="22" type="noConversion"/>
  </si>
  <si>
    <t>天润留龙沟</t>
    <phoneticPr fontId="22" type="noConversion"/>
  </si>
  <si>
    <t>其他</t>
    <phoneticPr fontId="22" type="noConversion"/>
  </si>
  <si>
    <t>留龙沟/义县留龙沟</t>
    <phoneticPr fontId="22" type="noConversion"/>
  </si>
  <si>
    <t>王星</t>
    <phoneticPr fontId="22" type="noConversion"/>
  </si>
  <si>
    <t>2018.9</t>
    <phoneticPr fontId="22" type="noConversion"/>
  </si>
  <si>
    <t>ZFMD/SD-18138-SH</t>
  </si>
  <si>
    <t>ZFMD/SD-18139-SH</t>
  </si>
  <si>
    <t>黑龙江富龙风力发电有限责任公司
黑龙江富龙风能科技开发有限责任公司</t>
    <phoneticPr fontId="22" type="noConversion"/>
  </si>
  <si>
    <t>乌尔古力山、五顶山风电场风电功率预测系统</t>
    <phoneticPr fontId="22" type="noConversion"/>
  </si>
  <si>
    <t>黑龙江</t>
    <phoneticPr fontId="22" type="noConversion"/>
  </si>
  <si>
    <t>乌尔古力</t>
    <phoneticPr fontId="22" type="noConversion"/>
  </si>
  <si>
    <t>五顶山</t>
    <phoneticPr fontId="22" type="noConversion"/>
  </si>
  <si>
    <t>风电功率预测</t>
    <phoneticPr fontId="22" type="noConversion"/>
  </si>
  <si>
    <t>预测服务1年</t>
    <phoneticPr fontId="22" type="noConversion"/>
  </si>
  <si>
    <t>马梦迪</t>
    <phoneticPr fontId="22" type="noConversion"/>
  </si>
  <si>
    <t>2017.4.30</t>
    <phoneticPr fontId="22" type="noConversion"/>
  </si>
  <si>
    <t>2017.5.1</t>
    <phoneticPr fontId="22" type="noConversion"/>
  </si>
  <si>
    <t>2018.4.30</t>
    <phoneticPr fontId="22" type="noConversion"/>
  </si>
  <si>
    <t>2018.5.1</t>
    <phoneticPr fontId="22" type="noConversion"/>
  </si>
  <si>
    <t>2019.4.30</t>
    <phoneticPr fontId="22" type="noConversion"/>
  </si>
  <si>
    <t>ZFMD/SD-18036-1-SH</t>
    <phoneticPr fontId="22" type="noConversion"/>
  </si>
  <si>
    <t>2018年7月14日，因税率由17%调整为16%，合同金额由8.68万元变为8.605812万元。</t>
    <phoneticPr fontId="22" type="noConversion"/>
  </si>
  <si>
    <t>曹碾沟风电场风功率系统超短期预测改造设备买卖合同-补充合同</t>
    <phoneticPr fontId="22" type="noConversion"/>
  </si>
  <si>
    <t>补充合同内容为：因税率由17%调整为16%，合同金额由8.68万元变为8.605812万元。</t>
    <phoneticPr fontId="22" type="noConversion"/>
  </si>
  <si>
    <t>2018.9.19</t>
    <phoneticPr fontId="22" type="noConversion"/>
  </si>
  <si>
    <t>ZFMD/SD-18140-SH</t>
  </si>
  <si>
    <t>黑山龙湾风电场风电功率预测系统技术服务合同</t>
    <phoneticPr fontId="22" type="noConversion"/>
  </si>
  <si>
    <t>辽宁</t>
    <phoneticPr fontId="22" type="noConversion"/>
  </si>
  <si>
    <t>其他</t>
    <phoneticPr fontId="22" type="noConversion"/>
  </si>
  <si>
    <t>黑山龙湾</t>
    <phoneticPr fontId="22" type="noConversion"/>
  </si>
  <si>
    <t>无</t>
    <phoneticPr fontId="22" type="noConversion"/>
  </si>
  <si>
    <t>风电场</t>
    <phoneticPr fontId="22" type="noConversion"/>
  </si>
  <si>
    <t>王星</t>
    <phoneticPr fontId="22" type="noConversion"/>
  </si>
  <si>
    <t>2018.9.19</t>
    <phoneticPr fontId="22" type="noConversion"/>
  </si>
  <si>
    <t>2018.9</t>
    <phoneticPr fontId="22" type="noConversion"/>
  </si>
  <si>
    <t>原件</t>
    <phoneticPr fontId="22" type="noConversion"/>
  </si>
  <si>
    <t>2018.1.1</t>
    <phoneticPr fontId="22" type="noConversion"/>
  </si>
  <si>
    <t>2018.12.31</t>
    <phoneticPr fontId="22" type="noConversion"/>
  </si>
  <si>
    <t>建筑材料（设备）供货合同</t>
    <phoneticPr fontId="22" type="noConversion"/>
  </si>
  <si>
    <t>2018.8.27</t>
    <phoneticPr fontId="22" type="noConversion"/>
  </si>
  <si>
    <t>华锐风电科技（集团）股份有限公司</t>
    <phoneticPr fontId="22" type="noConversion"/>
  </si>
  <si>
    <t>大唐海林二期风电场风机免爬器采购协议</t>
    <phoneticPr fontId="22" type="noConversion"/>
  </si>
  <si>
    <t>黑龙江</t>
    <phoneticPr fontId="22" type="noConversion"/>
  </si>
  <si>
    <t>大唐</t>
    <phoneticPr fontId="22" type="noConversion"/>
  </si>
  <si>
    <t>无</t>
    <phoneticPr fontId="22" type="noConversion"/>
  </si>
  <si>
    <t>风机免爬器</t>
    <phoneticPr fontId="22" type="noConversion"/>
  </si>
  <si>
    <t>李妍</t>
    <phoneticPr fontId="22" type="noConversion"/>
  </si>
  <si>
    <t>2018.9.19</t>
    <phoneticPr fontId="22" type="noConversion"/>
  </si>
  <si>
    <t>2018.9.10</t>
    <phoneticPr fontId="22" type="noConversion"/>
  </si>
  <si>
    <t>ZFMD/SD-18141-SH</t>
    <phoneticPr fontId="22" type="noConversion"/>
  </si>
  <si>
    <t>郭文明</t>
    <phoneticPr fontId="22" type="noConversion"/>
  </si>
  <si>
    <t>ZFMD/KGSQ-18056</t>
    <phoneticPr fontId="22" type="noConversion"/>
  </si>
  <si>
    <t>海林威虎山二期</t>
    <phoneticPr fontId="22" type="noConversion"/>
  </si>
  <si>
    <t>中闽能</t>
    <phoneticPr fontId="22" type="noConversion"/>
  </si>
  <si>
    <t>ZFMD/SD-18038-SH-BG01</t>
    <phoneticPr fontId="22" type="noConversion"/>
  </si>
  <si>
    <t>ZFMD/SD-17147-SH-BG01</t>
    <phoneticPr fontId="5" type="noConversion"/>
  </si>
  <si>
    <t>ZFMD/SD-18142-SH</t>
  </si>
  <si>
    <t>吉林中广核风力发电有限公司</t>
    <phoneticPr fontId="22" type="noConversion"/>
  </si>
  <si>
    <t>中广核吉林大岗子风电场风功率预测技术服务合同（2018年）</t>
    <phoneticPr fontId="22" type="noConversion"/>
  </si>
  <si>
    <t>吉林</t>
    <phoneticPr fontId="22" type="noConversion"/>
  </si>
  <si>
    <t>中广核</t>
    <phoneticPr fontId="22" type="noConversion"/>
  </si>
  <si>
    <t>大岗子</t>
    <phoneticPr fontId="22" type="noConversion"/>
  </si>
  <si>
    <t>预测服务1年</t>
    <phoneticPr fontId="22" type="noConversion"/>
  </si>
  <si>
    <t>王星</t>
    <phoneticPr fontId="22" type="noConversion"/>
  </si>
  <si>
    <t>2018.8</t>
    <phoneticPr fontId="22" type="noConversion"/>
  </si>
  <si>
    <t>2018.1.1</t>
    <phoneticPr fontId="22" type="noConversion"/>
  </si>
  <si>
    <t>2018.12.31</t>
    <phoneticPr fontId="22" type="noConversion"/>
  </si>
  <si>
    <t>原件</t>
    <phoneticPr fontId="22" type="noConversion"/>
  </si>
  <si>
    <t>ZFMD/KGSQ-18044</t>
  </si>
  <si>
    <t>华能新能源湘乡风力发电有限公司</t>
    <phoneticPr fontId="22" type="noConversion"/>
  </si>
  <si>
    <t>华能湘乡市梅桥镇风电场项目风功率预测系统设备合同</t>
    <phoneticPr fontId="22" type="noConversion"/>
  </si>
  <si>
    <t>湖南</t>
    <phoneticPr fontId="22" type="noConversion"/>
  </si>
  <si>
    <t>华能</t>
    <phoneticPr fontId="22" type="noConversion"/>
  </si>
  <si>
    <t>梅桥镇</t>
    <phoneticPr fontId="22" type="noConversion"/>
  </si>
  <si>
    <t>无</t>
    <phoneticPr fontId="22" type="noConversion"/>
  </si>
  <si>
    <t>秦英飞</t>
    <phoneticPr fontId="22" type="noConversion"/>
  </si>
  <si>
    <t>2018.9.12</t>
    <phoneticPr fontId="22" type="noConversion"/>
  </si>
  <si>
    <t>原件</t>
    <phoneticPr fontId="22" type="noConversion"/>
  </si>
  <si>
    <t>2018.8.10</t>
    <phoneticPr fontId="22" type="noConversion"/>
  </si>
  <si>
    <t>2018.9.30</t>
    <phoneticPr fontId="22" type="noConversion"/>
  </si>
  <si>
    <t>ZFMD/SD-18144-SH</t>
  </si>
  <si>
    <t>柳州市和润电子科技有限责任公司</t>
    <phoneticPr fontId="22" type="noConversion"/>
  </si>
  <si>
    <t>预测服务器及安装调试采购合同</t>
    <phoneticPr fontId="22" type="noConversion"/>
  </si>
  <si>
    <t>广西</t>
    <phoneticPr fontId="22" type="noConversion"/>
  </si>
  <si>
    <t>国电投</t>
    <phoneticPr fontId="22" type="noConversion"/>
  </si>
  <si>
    <t>坵坪</t>
    <phoneticPr fontId="22" type="noConversion"/>
  </si>
  <si>
    <t>广西兴安10个风场/110KV头岭升压站/220KV坵坪升压站</t>
    <phoneticPr fontId="22" type="noConversion"/>
  </si>
  <si>
    <t>风电功率预测</t>
    <phoneticPr fontId="22" type="noConversion"/>
  </si>
  <si>
    <t>系统硬件</t>
    <phoneticPr fontId="22" type="noConversion"/>
  </si>
  <si>
    <t>2018.9</t>
    <phoneticPr fontId="22" type="noConversion"/>
  </si>
  <si>
    <t>ZFMD/SD-18145-SH</t>
  </si>
  <si>
    <t>乾安网新风电有限公司</t>
    <phoneticPr fontId="22" type="noConversion"/>
  </si>
  <si>
    <t>乾安网新风电有限公司2018年-2019年风功率预测系统服务合同</t>
    <phoneticPr fontId="22" type="noConversion"/>
  </si>
  <si>
    <t>吉林</t>
    <phoneticPr fontId="22" type="noConversion"/>
  </si>
  <si>
    <t>中电</t>
    <phoneticPr fontId="22" type="noConversion"/>
  </si>
  <si>
    <t>乾安</t>
    <phoneticPr fontId="22" type="noConversion"/>
  </si>
  <si>
    <t>乾安网新、乾安才字</t>
  </si>
  <si>
    <t>99MW</t>
    <phoneticPr fontId="22" type="noConversion"/>
  </si>
  <si>
    <t>预测服务1年</t>
    <phoneticPr fontId="22" type="noConversion"/>
  </si>
  <si>
    <t>王星</t>
    <phoneticPr fontId="22" type="noConversion"/>
  </si>
  <si>
    <t>2018.9.21</t>
    <phoneticPr fontId="22" type="noConversion"/>
  </si>
  <si>
    <t>原件</t>
    <phoneticPr fontId="22" type="noConversion"/>
  </si>
  <si>
    <t>2018.9.8</t>
    <phoneticPr fontId="22" type="noConversion"/>
  </si>
  <si>
    <t>2019.9.7</t>
    <phoneticPr fontId="22" type="noConversion"/>
  </si>
  <si>
    <t>2018.10.10</t>
    <phoneticPr fontId="22" type="noConversion"/>
  </si>
  <si>
    <t>王星</t>
    <phoneticPr fontId="22" type="noConversion"/>
  </si>
  <si>
    <t>ZFMD/SHFW-2018083</t>
    <phoneticPr fontId="22" type="noConversion"/>
  </si>
  <si>
    <t>ZFMD/SD-18146-SH</t>
  </si>
  <si>
    <t>开发票占号，不签合同</t>
    <phoneticPr fontId="22" type="noConversion"/>
  </si>
  <si>
    <t>杨振坤</t>
    <phoneticPr fontId="22" type="noConversion"/>
  </si>
  <si>
    <t>华电龙口风电有限公司</t>
    <phoneticPr fontId="22" type="noConversion"/>
  </si>
  <si>
    <t>王龙波</t>
    <phoneticPr fontId="22" type="noConversion"/>
  </si>
  <si>
    <t>2018.7.1</t>
    <phoneticPr fontId="22" type="noConversion"/>
  </si>
  <si>
    <t>ZFMD/SD-18148-SH</t>
  </si>
  <si>
    <t>风电功率预测</t>
    <phoneticPr fontId="22" type="noConversion"/>
  </si>
  <si>
    <t>测风塔设备</t>
    <phoneticPr fontId="22" type="noConversion"/>
  </si>
  <si>
    <t>无</t>
    <phoneticPr fontId="22" type="noConversion"/>
  </si>
  <si>
    <t>烟台龙口二期</t>
    <phoneticPr fontId="22" type="noConversion"/>
  </si>
  <si>
    <t>新疆</t>
    <phoneticPr fontId="22" type="noConversion"/>
  </si>
  <si>
    <t>华电</t>
    <phoneticPr fontId="22" type="noConversion"/>
  </si>
  <si>
    <t>ZFMD/SD-18149-SH</t>
  </si>
  <si>
    <t>ZFMD/SD-18150-SH</t>
  </si>
  <si>
    <t>ZFMD/SD-18151-SH</t>
  </si>
  <si>
    <t>大唐大庆东岗新能源有限公司</t>
    <phoneticPr fontId="22" type="noConversion"/>
  </si>
  <si>
    <t>大唐大庆太平风电场项目安全监控系统设备采购及安装合同</t>
    <phoneticPr fontId="22" type="noConversion"/>
  </si>
  <si>
    <t>黑龙江</t>
    <phoneticPr fontId="22" type="noConversion"/>
  </si>
  <si>
    <t>大唐</t>
    <phoneticPr fontId="22" type="noConversion"/>
  </si>
  <si>
    <t>ZFMD/KGSQ-18046</t>
  </si>
  <si>
    <t>李妍</t>
    <phoneticPr fontId="22" type="noConversion"/>
  </si>
  <si>
    <t>2018.9.25</t>
    <phoneticPr fontId="22" type="noConversion"/>
  </si>
  <si>
    <t>大唐大庆宏伟风电场项目安全监控系统设备采购及安装合同</t>
    <phoneticPr fontId="22" type="noConversion"/>
  </si>
  <si>
    <t>无</t>
    <phoneticPr fontId="22" type="noConversion"/>
  </si>
  <si>
    <t>大唐绥滨吉成望江风电场安全监控系统设备采购及安装合同</t>
    <phoneticPr fontId="22" type="noConversion"/>
  </si>
  <si>
    <t>吉成</t>
    <phoneticPr fontId="22" type="noConversion"/>
  </si>
  <si>
    <t>ZFMD/SD-18152-SH</t>
  </si>
  <si>
    <t>三峡新能源泰来发电有限公司</t>
    <phoneticPr fontId="22" type="noConversion"/>
  </si>
  <si>
    <t>三峡新能源黑龙江省泰来汤池（9.9MWP)光伏发电工程光功率预测技术服务合同</t>
    <phoneticPr fontId="22" type="noConversion"/>
  </si>
  <si>
    <t>三峡新能源</t>
    <phoneticPr fontId="22" type="noConversion"/>
  </si>
  <si>
    <t>泰来</t>
    <phoneticPr fontId="22" type="noConversion"/>
  </si>
  <si>
    <t>泰来汤池/泰来光伏</t>
    <phoneticPr fontId="22" type="noConversion"/>
  </si>
  <si>
    <t>光伏电站</t>
    <phoneticPr fontId="22" type="noConversion"/>
  </si>
  <si>
    <t>预测服务3年</t>
    <phoneticPr fontId="22" type="noConversion"/>
  </si>
  <si>
    <t>马梦迪</t>
    <phoneticPr fontId="22" type="noConversion"/>
  </si>
  <si>
    <t>韩志宇</t>
    <phoneticPr fontId="22" type="noConversion"/>
  </si>
  <si>
    <t>2018.9.14</t>
    <phoneticPr fontId="22" type="noConversion"/>
  </si>
  <si>
    <t>2017.8.1</t>
    <phoneticPr fontId="22" type="noConversion"/>
  </si>
  <si>
    <t>2020.7.31</t>
    <phoneticPr fontId="22" type="noConversion"/>
  </si>
  <si>
    <t>集控中心数据转发软件技术服务合同</t>
    <phoneticPr fontId="22" type="noConversion"/>
  </si>
  <si>
    <t>2018.10</t>
    <phoneticPr fontId="22" type="noConversion"/>
  </si>
  <si>
    <t>ZFMD/SD-18153-SH</t>
  </si>
  <si>
    <t>三峡新能源富裕风电有限公司</t>
    <phoneticPr fontId="22" type="noConversion"/>
  </si>
  <si>
    <t>三峡新能源黑龙江省富裕友谊（20MWp）光伏发电工程光功率预测技术服务合同</t>
    <phoneticPr fontId="22" type="noConversion"/>
  </si>
  <si>
    <t>黑龙江</t>
    <phoneticPr fontId="22" type="noConversion"/>
  </si>
  <si>
    <t>三峡新能源</t>
    <phoneticPr fontId="22" type="noConversion"/>
  </si>
  <si>
    <t>富裕友谊</t>
    <phoneticPr fontId="22" type="noConversion"/>
  </si>
  <si>
    <t>富裕光伏</t>
    <phoneticPr fontId="22" type="noConversion"/>
  </si>
  <si>
    <t>2018.7.18</t>
    <phoneticPr fontId="22" type="noConversion"/>
  </si>
  <si>
    <t>2017.8.1</t>
    <phoneticPr fontId="22" type="noConversion"/>
  </si>
  <si>
    <t>2020.7.31</t>
    <phoneticPr fontId="22" type="noConversion"/>
  </si>
  <si>
    <t>大庆太平</t>
    <phoneticPr fontId="22" type="noConversion"/>
  </si>
  <si>
    <t>大庆宏伟</t>
    <phoneticPr fontId="22" type="noConversion"/>
  </si>
  <si>
    <t>场站视频监控</t>
    <phoneticPr fontId="22" type="noConversion"/>
  </si>
  <si>
    <t>2018.10.17</t>
    <phoneticPr fontId="22" type="noConversion"/>
  </si>
  <si>
    <t>2018.10.17</t>
    <phoneticPr fontId="22" type="noConversion"/>
  </si>
  <si>
    <t>风电场工地视频监控系统</t>
    <phoneticPr fontId="1" type="noConversion"/>
  </si>
  <si>
    <t>预测服务3个月</t>
    <phoneticPr fontId="22" type="noConversion"/>
  </si>
  <si>
    <t>2018.9.31</t>
    <phoneticPr fontId="22" type="noConversion"/>
  </si>
  <si>
    <t>ZFMD/SD-18154-1-SH</t>
    <phoneticPr fontId="22" type="noConversion"/>
  </si>
  <si>
    <t>ZFMD/SD-18154-2-SH</t>
    <phoneticPr fontId="22" type="noConversion"/>
  </si>
  <si>
    <t>新疆天电达坂城风力发电有限责任公司</t>
    <phoneticPr fontId="22" type="noConversion"/>
  </si>
  <si>
    <t>天山电力达坂城风电场（一场和二场）风电功率预测系统售后服务合同</t>
    <phoneticPr fontId="22" type="noConversion"/>
  </si>
  <si>
    <t>天电西沟（一期）</t>
    <phoneticPr fontId="22" type="noConversion"/>
  </si>
  <si>
    <t>达坂城西沟一期</t>
    <phoneticPr fontId="1" type="noConversion"/>
  </si>
  <si>
    <t>天电西沟（二期）</t>
    <phoneticPr fontId="22" type="noConversion"/>
  </si>
  <si>
    <t>达坂城西沟二期</t>
    <phoneticPr fontId="1" type="noConversion"/>
  </si>
  <si>
    <t>风电场</t>
    <phoneticPr fontId="22" type="noConversion"/>
  </si>
  <si>
    <t>风电功率预测</t>
    <phoneticPr fontId="22" type="noConversion"/>
  </si>
  <si>
    <t>预测服务1年</t>
    <phoneticPr fontId="22" type="noConversion"/>
  </si>
  <si>
    <t>王龙波</t>
    <phoneticPr fontId="22" type="noConversion"/>
  </si>
  <si>
    <t>2018.10.19</t>
    <phoneticPr fontId="22" type="noConversion"/>
  </si>
  <si>
    <t>2018.6</t>
    <phoneticPr fontId="22" type="noConversion"/>
  </si>
  <si>
    <t>2018.1.1</t>
    <phoneticPr fontId="22" type="noConversion"/>
  </si>
  <si>
    <t>2018.12.31</t>
    <phoneticPr fontId="22" type="noConversion"/>
  </si>
  <si>
    <t>ZFMD/SD-18155-1-SH</t>
    <phoneticPr fontId="22" type="noConversion"/>
  </si>
  <si>
    <t>ZFMD/SD-18155-2-SH</t>
  </si>
  <si>
    <t>ZFMD/SD-18155-3-SH</t>
  </si>
  <si>
    <t>长岭王子风电场一期风电功率预测系统技术服务合同</t>
    <phoneticPr fontId="22" type="noConversion"/>
  </si>
  <si>
    <t>中水建设</t>
    <phoneticPr fontId="5" type="noConversion"/>
  </si>
  <si>
    <t>王子（一期）</t>
    <phoneticPr fontId="22" type="noConversion"/>
  </si>
  <si>
    <t>长岭王子（一期）</t>
    <phoneticPr fontId="22" type="noConversion"/>
  </si>
  <si>
    <t>预测服务1年</t>
    <phoneticPr fontId="22" type="noConversion"/>
  </si>
  <si>
    <t>王星</t>
    <phoneticPr fontId="22" type="noConversion"/>
  </si>
  <si>
    <t>2018.10.23</t>
    <phoneticPr fontId="22" type="noConversion"/>
  </si>
  <si>
    <t>2018.5</t>
    <phoneticPr fontId="22" type="noConversion"/>
  </si>
  <si>
    <t>原件</t>
    <phoneticPr fontId="22" type="noConversion"/>
  </si>
  <si>
    <t>2018.5.7</t>
    <phoneticPr fontId="22" type="noConversion"/>
  </si>
  <si>
    <t>2019.5.6</t>
    <phoneticPr fontId="22" type="noConversion"/>
  </si>
  <si>
    <t>长岭王子风电场二期风电功率预测系统技术服务合同</t>
    <phoneticPr fontId="22" type="noConversion"/>
  </si>
  <si>
    <t>王子（二期）</t>
    <phoneticPr fontId="22" type="noConversion"/>
  </si>
  <si>
    <t>长岭王子（二期）</t>
    <phoneticPr fontId="22" type="noConversion"/>
  </si>
  <si>
    <t>长岭王子风电场三期风电功率预测系统技术服务合同</t>
    <phoneticPr fontId="22" type="noConversion"/>
  </si>
  <si>
    <t>王子（三期）</t>
    <phoneticPr fontId="22" type="noConversion"/>
  </si>
  <si>
    <t>长岭王子（三期）</t>
    <phoneticPr fontId="22" type="noConversion"/>
  </si>
  <si>
    <t>ZFMD/SD-18156-SH</t>
    <phoneticPr fontId="22" type="noConversion"/>
  </si>
  <si>
    <t>朝阳远大新能源有限公司</t>
    <phoneticPr fontId="22" type="noConversion"/>
  </si>
  <si>
    <t>国电投建平上新井风电场风功率预测系统设备购销合同</t>
    <phoneticPr fontId="22" type="noConversion"/>
  </si>
  <si>
    <t>辽宁</t>
    <phoneticPr fontId="22" type="noConversion"/>
  </si>
  <si>
    <t>国电投</t>
    <phoneticPr fontId="22" type="noConversion"/>
  </si>
  <si>
    <t>无</t>
    <phoneticPr fontId="22" type="noConversion"/>
  </si>
  <si>
    <t>风电场</t>
    <phoneticPr fontId="22" type="noConversion"/>
  </si>
  <si>
    <t>风电功率预测</t>
    <phoneticPr fontId="22" type="noConversion"/>
  </si>
  <si>
    <t>鞠云峰</t>
    <phoneticPr fontId="22" type="noConversion"/>
  </si>
  <si>
    <t>2018.10.25</t>
    <phoneticPr fontId="22" type="noConversion"/>
  </si>
  <si>
    <t>建平上新井</t>
    <phoneticPr fontId="22" type="noConversion"/>
  </si>
  <si>
    <t>风机运行评估系统</t>
    <phoneticPr fontId="22" type="noConversion"/>
  </si>
  <si>
    <t>ZFMD/SD-18157-SH</t>
  </si>
  <si>
    <t>宾县大个岭风力发电有限公司</t>
    <phoneticPr fontId="22" type="noConversion"/>
  </si>
  <si>
    <t>三峡新能源黑龙江省宾县大个岭、大泉子风电场（99MW)工程风功率预测技术服务合同</t>
    <phoneticPr fontId="22" type="noConversion"/>
  </si>
  <si>
    <t>宾县大个岭、宾县大泉子</t>
    <phoneticPr fontId="22" type="noConversion"/>
  </si>
  <si>
    <t>风电功率预测</t>
    <phoneticPr fontId="22" type="noConversion"/>
  </si>
  <si>
    <t>预测服务3年</t>
    <phoneticPr fontId="22" type="noConversion"/>
  </si>
  <si>
    <t>韩志宇</t>
    <phoneticPr fontId="22" type="noConversion"/>
  </si>
  <si>
    <t>马梦迪</t>
    <phoneticPr fontId="22" type="noConversion"/>
  </si>
  <si>
    <t>2018.10</t>
    <phoneticPr fontId="22" type="noConversion"/>
  </si>
  <si>
    <t>原件</t>
    <phoneticPr fontId="22" type="noConversion"/>
  </si>
  <si>
    <t>2017.8.1</t>
    <phoneticPr fontId="22" type="noConversion"/>
  </si>
  <si>
    <t>2020.7.31</t>
    <phoneticPr fontId="22" type="noConversion"/>
  </si>
  <si>
    <t>2018.10.29</t>
    <phoneticPr fontId="22" type="noConversion"/>
  </si>
  <si>
    <t>沈口子（一二期）</t>
    <phoneticPr fontId="22" type="noConversion"/>
  </si>
  <si>
    <t>2018年10月25日，因税率由17%调整为16%，合同金额由21.6万元变为21.415384万元</t>
    <phoneticPr fontId="10" type="noConversion"/>
  </si>
  <si>
    <t>杨井一二期</t>
    <phoneticPr fontId="22" type="noConversion"/>
  </si>
  <si>
    <t>榆林国远风电有限公司</t>
    <phoneticPr fontId="22" type="noConversion"/>
  </si>
  <si>
    <t>陕西</t>
    <phoneticPr fontId="22" type="noConversion"/>
  </si>
  <si>
    <t>国华</t>
    <phoneticPr fontId="22" type="noConversion"/>
  </si>
  <si>
    <t>狄青塬（二期）</t>
    <phoneticPr fontId="22" type="noConversion"/>
  </si>
  <si>
    <t>狄青塬二期、横山二期、艾好峁二期</t>
    <phoneticPr fontId="22" type="noConversion"/>
  </si>
  <si>
    <t>杨振坤</t>
    <phoneticPr fontId="22" type="noConversion"/>
  </si>
  <si>
    <t>2018.11.5</t>
    <phoneticPr fontId="22" type="noConversion"/>
  </si>
  <si>
    <t>2018.10</t>
    <phoneticPr fontId="22" type="noConversion"/>
  </si>
  <si>
    <t>原件</t>
    <phoneticPr fontId="22" type="noConversion"/>
  </si>
  <si>
    <t>国华横山二期（艾好峁）51.2MW风电项目风功率预测系统扩容设备采购合同</t>
    <phoneticPr fontId="22" type="noConversion"/>
  </si>
  <si>
    <t>ZFMD/KGSQ-18003</t>
  </si>
  <si>
    <t>ZFMD/SD-18158-SH</t>
    <phoneticPr fontId="22" type="noConversion"/>
  </si>
  <si>
    <t>2018.10.16</t>
    <phoneticPr fontId="22" type="noConversion"/>
  </si>
  <si>
    <t>原件</t>
    <phoneticPr fontId="22" type="noConversion"/>
  </si>
  <si>
    <t>昌黎新天风能有限公司</t>
    <phoneticPr fontId="22" type="noConversion"/>
  </si>
  <si>
    <t>七里风电场风功率系统超短期预测改造设备买卖合同</t>
    <phoneticPr fontId="22" type="noConversion"/>
  </si>
  <si>
    <t>建投七里</t>
    <phoneticPr fontId="22" type="noConversion"/>
  </si>
  <si>
    <t>昌黎大滩</t>
    <phoneticPr fontId="22" type="noConversion"/>
  </si>
  <si>
    <t>ZFMD/SD-18159-SH</t>
    <phoneticPr fontId="22" type="noConversion"/>
  </si>
  <si>
    <t>ZFMD/KGSQ-18014</t>
  </si>
  <si>
    <t>电力通讯</t>
    <phoneticPr fontId="22" type="noConversion"/>
  </si>
  <si>
    <t>电力安全三区综合通讯系统软件河北版；系统硬件</t>
    <phoneticPr fontId="1" type="noConversion"/>
  </si>
  <si>
    <t>王龙波</t>
    <phoneticPr fontId="22" type="noConversion"/>
  </si>
  <si>
    <t>2018.11.8</t>
    <phoneticPr fontId="22" type="noConversion"/>
  </si>
  <si>
    <t>2018.11.7</t>
    <phoneticPr fontId="22" type="noConversion"/>
  </si>
  <si>
    <t>河北华电尚义风力发电有限公司</t>
    <phoneticPr fontId="22" type="noConversion"/>
  </si>
  <si>
    <t>2018年华锦光伏电站光功率超短期自动上传系统采购合同</t>
    <phoneticPr fontId="22" type="noConversion"/>
  </si>
  <si>
    <t>二工地/华锦</t>
    <phoneticPr fontId="22" type="noConversion"/>
  </si>
  <si>
    <t>2018.11.15</t>
    <phoneticPr fontId="22" type="noConversion"/>
  </si>
  <si>
    <t>2018.11.05</t>
    <phoneticPr fontId="22" type="noConversion"/>
  </si>
  <si>
    <t>ZFMD/KGSQ-18010</t>
  </si>
  <si>
    <t>ZFMD/SD-18160-SH</t>
    <phoneticPr fontId="22" type="noConversion"/>
  </si>
  <si>
    <t>ZFMD/KGSQ-18018</t>
  </si>
  <si>
    <t>ZFMD/SD-18147-SH</t>
    <phoneticPr fontId="22" type="noConversion"/>
  </si>
  <si>
    <t>ZFMD/SD-18161-SH</t>
  </si>
  <si>
    <t>ZFMD/SD-18162-SH</t>
  </si>
  <si>
    <t>华电福新新疆木垒能源有限公司</t>
    <phoneticPr fontId="22" type="noConversion"/>
  </si>
  <si>
    <t>华电福新新疆木垒光伏电站光功率采集逆变器数据上传技术服务合同</t>
    <phoneticPr fontId="22" type="noConversion"/>
  </si>
  <si>
    <t>昌吉州木垒一期</t>
    <phoneticPr fontId="22" type="noConversion"/>
  </si>
  <si>
    <t>软件升级</t>
    <phoneticPr fontId="1" type="noConversion"/>
  </si>
  <si>
    <t>ZFMD/KGSQ-18033</t>
  </si>
  <si>
    <t>王龙波</t>
    <phoneticPr fontId="22" type="noConversion"/>
  </si>
  <si>
    <t>2018.11.16</t>
    <phoneticPr fontId="22" type="noConversion"/>
  </si>
  <si>
    <t>2018.11</t>
    <phoneticPr fontId="22" type="noConversion"/>
  </si>
  <si>
    <t>原件</t>
    <phoneticPr fontId="22" type="noConversion"/>
  </si>
  <si>
    <t>华电福新木垒一期光伏电站光功率预测气象数据服务合同（2018年度）</t>
    <phoneticPr fontId="22" type="noConversion"/>
  </si>
  <si>
    <t>2018.2.11</t>
    <phoneticPr fontId="22" type="noConversion"/>
  </si>
  <si>
    <t>2019.2.10</t>
    <phoneticPr fontId="22" type="noConversion"/>
  </si>
  <si>
    <t>ZFMD/SD-18163-SH</t>
  </si>
  <si>
    <t>陕西光伏太阳能发电有限公司</t>
    <phoneticPr fontId="22" type="noConversion"/>
  </si>
  <si>
    <t>陕西光伏太阳能发电有限公司靖边上欠井38兆瓦光伏电站光功率预测系统服务合同</t>
    <phoneticPr fontId="22" type="noConversion"/>
  </si>
  <si>
    <t>陕光伏</t>
    <phoneticPr fontId="22" type="noConversion"/>
  </si>
  <si>
    <t>靖边上欠井</t>
    <phoneticPr fontId="22" type="noConversion"/>
  </si>
  <si>
    <t>光伏功率预测</t>
    <phoneticPr fontId="22" type="noConversion"/>
  </si>
  <si>
    <t>预测服务2年</t>
    <phoneticPr fontId="22" type="noConversion"/>
  </si>
  <si>
    <t>杨振坤</t>
    <phoneticPr fontId="22" type="noConversion"/>
  </si>
  <si>
    <t>2018.11.17</t>
    <phoneticPr fontId="22" type="noConversion"/>
  </si>
  <si>
    <t>2018.11</t>
    <phoneticPr fontId="22" type="noConversion"/>
  </si>
  <si>
    <t>原件</t>
    <phoneticPr fontId="22" type="noConversion"/>
  </si>
  <si>
    <t>2018.1.1</t>
    <phoneticPr fontId="22" type="noConversion"/>
  </si>
  <si>
    <t>2019.12.31</t>
    <phoneticPr fontId="22" type="noConversion"/>
  </si>
  <si>
    <t>上欠井</t>
    <phoneticPr fontId="22" type="noConversion"/>
  </si>
  <si>
    <t>ZFMD/SD-18164-SH</t>
  </si>
  <si>
    <t>2018年华锦光伏电站光功率预测系统技术服务合同</t>
    <phoneticPr fontId="22" type="noConversion"/>
  </si>
  <si>
    <t>预测服务1年</t>
    <phoneticPr fontId="22" type="noConversion"/>
  </si>
  <si>
    <t>王龙波</t>
    <phoneticPr fontId="22" type="noConversion"/>
  </si>
  <si>
    <t>2018.11.14</t>
    <phoneticPr fontId="22" type="noConversion"/>
  </si>
  <si>
    <t>原件</t>
    <phoneticPr fontId="22" type="noConversion"/>
  </si>
  <si>
    <t>2018.1.1</t>
    <phoneticPr fontId="22" type="noConversion"/>
  </si>
  <si>
    <t>2018.12.15</t>
    <phoneticPr fontId="22" type="noConversion"/>
  </si>
  <si>
    <t>ZFMD/SD-18165-SH</t>
  </si>
  <si>
    <t>ZFMD/SD-18166-SH</t>
  </si>
  <si>
    <t>新疆华电珍珠泉新能源有限公司2018年风功率预测系统服务合同书</t>
    <phoneticPr fontId="22" type="noConversion"/>
  </si>
  <si>
    <t>新疆华电珍珠泉新能源有限公司</t>
    <phoneticPr fontId="22" type="noConversion"/>
  </si>
  <si>
    <t>华电小草湖北风电一场</t>
    <phoneticPr fontId="22" type="noConversion"/>
  </si>
  <si>
    <t>珍珠泉小草湖北</t>
    <phoneticPr fontId="22" type="noConversion"/>
  </si>
  <si>
    <t>风电场</t>
    <phoneticPr fontId="22" type="noConversion"/>
  </si>
  <si>
    <t>2018.11</t>
    <phoneticPr fontId="22" type="noConversion"/>
  </si>
  <si>
    <t>原件</t>
    <phoneticPr fontId="22" type="noConversion"/>
  </si>
  <si>
    <t>2018.1.1</t>
    <phoneticPr fontId="22" type="noConversion"/>
  </si>
  <si>
    <t>2018.12.31</t>
    <phoneticPr fontId="22" type="noConversion"/>
  </si>
  <si>
    <t>新疆华电白杨河风力发电有限责任公司</t>
    <phoneticPr fontId="22" type="noConversion"/>
  </si>
  <si>
    <t>新疆华电白杨河风力发电有限责任公司2018年风功率预测系统服务合同书</t>
    <phoneticPr fontId="22" type="noConversion"/>
  </si>
  <si>
    <t>华电小草湖南风电一场</t>
    <phoneticPr fontId="22" type="noConversion"/>
  </si>
  <si>
    <t>吐鲁番、吐鲁番白杨河</t>
    <phoneticPr fontId="22" type="noConversion"/>
  </si>
  <si>
    <t>2018.11.20</t>
    <phoneticPr fontId="22" type="noConversion"/>
  </si>
  <si>
    <t>2018年10月13日，重新签订合同，用于业主走流程，不流转</t>
    <phoneticPr fontId="10" type="noConversion"/>
  </si>
  <si>
    <t>2018年11月20日，因税率由17%调整为16%，合同金额由49.8万元变为49.374359万元。</t>
    <phoneticPr fontId="1" type="noConversion"/>
  </si>
  <si>
    <t>ZFMD/SD-18167-SH</t>
  </si>
  <si>
    <t>ZFMD/SD-18168-1-SH</t>
    <phoneticPr fontId="22" type="noConversion"/>
  </si>
  <si>
    <t>ZFMD/SD-18168-2-SH</t>
  </si>
  <si>
    <t>河北华电尚义风力发电有限公司</t>
    <phoneticPr fontId="22" type="noConversion"/>
  </si>
  <si>
    <t>电力通讯</t>
    <phoneticPr fontId="22" type="noConversion"/>
  </si>
  <si>
    <t>电力安全三区综合通讯系统软件升级河北版</t>
    <phoneticPr fontId="1" type="noConversion"/>
  </si>
  <si>
    <t>大唐海林二期风电场风电功率预测系统、电力通讯、场站视频监控采购订单</t>
    <phoneticPr fontId="22" type="noConversion"/>
  </si>
  <si>
    <t>风电场</t>
    <phoneticPr fontId="22" type="noConversion"/>
  </si>
  <si>
    <t>风电功率预测</t>
    <phoneticPr fontId="22" type="noConversion"/>
  </si>
  <si>
    <t>电力通讯</t>
    <phoneticPr fontId="22" type="noConversion"/>
  </si>
  <si>
    <t>李妍</t>
    <phoneticPr fontId="22" type="noConversion"/>
  </si>
  <si>
    <t>2018.10.20</t>
    <phoneticPr fontId="22" type="noConversion"/>
  </si>
  <si>
    <t>ZFMD/SD-18168-3-SH</t>
    <phoneticPr fontId="22" type="noConversion"/>
  </si>
  <si>
    <t>ZFMD/KGSQ-18057</t>
  </si>
  <si>
    <t>风机视频监控系统</t>
    <phoneticPr fontId="1" type="noConversion"/>
  </si>
  <si>
    <t>免费三年</t>
    <phoneticPr fontId="22" type="noConversion"/>
  </si>
  <si>
    <t>ZFMD/SD-18169-SH</t>
    <phoneticPr fontId="22" type="noConversion"/>
  </si>
  <si>
    <t>海林中电海浪风力发电有限公司</t>
    <phoneticPr fontId="22" type="noConversion"/>
  </si>
  <si>
    <t>海林中电海浪风电场工程测风塔、测风设备及测风数据实时传输系统采购合同-补充协议</t>
    <phoneticPr fontId="22" type="noConversion"/>
  </si>
  <si>
    <t>海浪</t>
    <phoneticPr fontId="22" type="noConversion"/>
  </si>
  <si>
    <t>海林海浪</t>
    <phoneticPr fontId="22" type="noConversion"/>
  </si>
  <si>
    <t>风电功率预测</t>
    <phoneticPr fontId="22" type="noConversion"/>
  </si>
  <si>
    <t>测风塔、测风塔设备</t>
    <phoneticPr fontId="22" type="noConversion"/>
  </si>
  <si>
    <t>马梦迪</t>
    <phoneticPr fontId="22" type="noConversion"/>
  </si>
  <si>
    <t>2018.11.23</t>
    <phoneticPr fontId="22" type="noConversion"/>
  </si>
  <si>
    <t>2018.11</t>
    <phoneticPr fontId="22" type="noConversion"/>
  </si>
  <si>
    <t>原件</t>
    <phoneticPr fontId="22" type="noConversion"/>
  </si>
  <si>
    <t>ZFMD/SD-18170-SH</t>
  </si>
  <si>
    <t>ZFMD/KGSQ-18070</t>
    <phoneticPr fontId="22" type="noConversion"/>
  </si>
  <si>
    <t>华电铁岭风力发电有限公司</t>
    <phoneticPr fontId="22" type="noConversion"/>
  </si>
  <si>
    <t>测风塔设备</t>
    <phoneticPr fontId="22" type="noConversion"/>
  </si>
  <si>
    <t>王星</t>
    <phoneticPr fontId="22" type="noConversion"/>
  </si>
  <si>
    <t>本合同为15020补充协议，合同金额为30万元，包含15020合同19万元，所以，此次流转合同为11万元。</t>
    <phoneticPr fontId="22" type="noConversion"/>
  </si>
  <si>
    <t>2018.11.27</t>
    <phoneticPr fontId="22" type="noConversion"/>
  </si>
  <si>
    <t>ZFMDSD-18069-1-SH-BG01
ZFMDSD-18069-1-SH-BG02
ZFMDSD-18069-1-SH-BG03
ZFMDSD-18069-1-SH-BG04</t>
    <phoneticPr fontId="5" type="noConversion"/>
  </si>
  <si>
    <t>ZFMD/KGSQ-18011</t>
  </si>
  <si>
    <t>ZFMD/SD-18171-SH</t>
    <phoneticPr fontId="22" type="noConversion"/>
  </si>
  <si>
    <t>张北曹碾沟风电场风电功率预测系统数值天气预报技术服务合同</t>
    <phoneticPr fontId="22" type="noConversion"/>
  </si>
  <si>
    <t>张北曹碾沟</t>
    <phoneticPr fontId="22" type="noConversion"/>
  </si>
  <si>
    <t>预测服务1年</t>
    <phoneticPr fontId="22" type="noConversion"/>
  </si>
  <si>
    <t>王龙波</t>
    <phoneticPr fontId="22" type="noConversion"/>
  </si>
  <si>
    <t>2018.11.27</t>
    <phoneticPr fontId="22" type="noConversion"/>
  </si>
  <si>
    <t>2018.10.9</t>
    <phoneticPr fontId="22" type="noConversion"/>
  </si>
  <si>
    <t>2018.1.1</t>
    <phoneticPr fontId="22" type="noConversion"/>
  </si>
  <si>
    <t>2018.12.31</t>
    <phoneticPr fontId="22" type="noConversion"/>
  </si>
  <si>
    <t>ZFMD/KGSQ-18061</t>
  </si>
  <si>
    <t>ZFMD/SD-18172-SH</t>
    <phoneticPr fontId="22" type="noConversion"/>
  </si>
  <si>
    <t>黑龙江</t>
    <phoneticPr fontId="1" type="noConversion"/>
  </si>
  <si>
    <t>大唐</t>
    <phoneticPr fontId="1" type="noConversion"/>
  </si>
  <si>
    <t>宁安</t>
    <phoneticPr fontId="1" type="noConversion"/>
  </si>
  <si>
    <t>无</t>
    <phoneticPr fontId="22" type="noConversion"/>
  </si>
  <si>
    <t>宁安镜泊二道岭风力发电有限公司</t>
    <phoneticPr fontId="22" type="noConversion"/>
  </si>
  <si>
    <t>大唐宁安二道岭风电场项目安全监控系统设备采购合同</t>
    <phoneticPr fontId="22" type="noConversion"/>
  </si>
  <si>
    <t>场站视频监控</t>
    <phoneticPr fontId="5" type="noConversion"/>
  </si>
  <si>
    <t>李妍</t>
    <phoneticPr fontId="22" type="noConversion"/>
  </si>
  <si>
    <t>2018.10.18</t>
    <phoneticPr fontId="22" type="noConversion"/>
  </si>
  <si>
    <t>铁岭镇西堡（镇西堡、李家屯、心田堡）</t>
    <phoneticPr fontId="22" type="noConversion"/>
  </si>
  <si>
    <r>
      <t>镇西堡</t>
    </r>
    <r>
      <rPr>
        <sz val="9"/>
        <color theme="1"/>
        <rFont val="宋体"/>
        <family val="3"/>
        <charset val="134"/>
      </rPr>
      <t>/铁岭（镇西堡、李家屯、心田堡）</t>
    </r>
    <phoneticPr fontId="22" type="noConversion"/>
  </si>
  <si>
    <t>ZFMD/SD-18173-SH</t>
  </si>
  <si>
    <t>陕西常兴光伏科技有限公司</t>
    <phoneticPr fontId="22" type="noConversion"/>
  </si>
  <si>
    <t>陕西</t>
    <phoneticPr fontId="1" type="noConversion"/>
  </si>
  <si>
    <t>落星堡</t>
    <phoneticPr fontId="1" type="noConversion"/>
  </si>
  <si>
    <t>岐山</t>
    <phoneticPr fontId="22" type="noConversion"/>
  </si>
  <si>
    <t>光伏电站</t>
    <phoneticPr fontId="22" type="noConversion"/>
  </si>
  <si>
    <t>杨振坤</t>
    <phoneticPr fontId="22" type="noConversion"/>
  </si>
  <si>
    <t>2018.7.31</t>
    <phoneticPr fontId="22" type="noConversion"/>
  </si>
  <si>
    <t>2019.7.31</t>
    <phoneticPr fontId="22" type="noConversion"/>
  </si>
  <si>
    <t>ZFMD/SD-18174-SH</t>
  </si>
  <si>
    <t>中卫香山第六风电场</t>
    <phoneticPr fontId="22" type="noConversion"/>
  </si>
  <si>
    <t>中卫香山第六风电场（中卫香山10-13期）</t>
    <phoneticPr fontId="22" type="noConversion"/>
  </si>
  <si>
    <t>风电场</t>
    <phoneticPr fontId="22" type="noConversion"/>
  </si>
  <si>
    <t>2018.11.1</t>
    <phoneticPr fontId="22" type="noConversion"/>
  </si>
  <si>
    <t>ZFMD/SD-18175-SH</t>
  </si>
  <si>
    <t>2019.10.31</t>
    <phoneticPr fontId="22" type="noConversion"/>
  </si>
  <si>
    <t>ZFMD/KGSQ-18051</t>
    <phoneticPr fontId="22" type="noConversion"/>
  </si>
  <si>
    <t>中卫香山第四风电场、中卫香山第六风电场</t>
    <phoneticPr fontId="22" type="noConversion"/>
  </si>
  <si>
    <t>中卫香山第四风电场（中卫香山7-9期）、中卫香山第六风电场（中卫香山10-13期）</t>
    <phoneticPr fontId="22" type="noConversion"/>
  </si>
  <si>
    <t>ZFMD/SD-18176-SH</t>
    <phoneticPr fontId="22" type="noConversion"/>
  </si>
  <si>
    <t>新疆华电苦水风电有限责任公司</t>
    <phoneticPr fontId="22" type="noConversion"/>
  </si>
  <si>
    <t>王龙波</t>
    <phoneticPr fontId="22" type="noConversion"/>
  </si>
  <si>
    <t>ZFMD/KGSQ-18032</t>
    <phoneticPr fontId="22" type="noConversion"/>
  </si>
  <si>
    <t>哈密市东方民生太阳能源开发有限公司</t>
    <phoneticPr fontId="22" type="noConversion"/>
  </si>
  <si>
    <t>东方民生石城子</t>
    <phoneticPr fontId="22" type="noConversion"/>
  </si>
  <si>
    <t>ZFMD/SD-18143-SH</t>
    <phoneticPr fontId="22" type="noConversion"/>
  </si>
  <si>
    <t>省（区）</t>
    <phoneticPr fontId="1" type="noConversion"/>
  </si>
  <si>
    <t>ZFMD/SD-18177-1-SH</t>
    <phoneticPr fontId="22" type="noConversion"/>
  </si>
  <si>
    <t>ZFMD/SD-18177-2-SH</t>
    <phoneticPr fontId="22" type="noConversion"/>
  </si>
  <si>
    <t>ZFMD/KGSQ-18035</t>
    <phoneticPr fontId="22" type="noConversion"/>
  </si>
  <si>
    <t>ZFMD/KGSQ-18036</t>
    <phoneticPr fontId="22" type="noConversion"/>
  </si>
  <si>
    <t>石城子一二期</t>
    <phoneticPr fontId="22" type="noConversion"/>
  </si>
  <si>
    <t>ZFMD/SD-18179-SH</t>
  </si>
  <si>
    <t>ZFMD/SD-18180-SH</t>
  </si>
  <si>
    <t>ZFMD/SD-18181-SH</t>
  </si>
  <si>
    <t>ZFMD/SD-18182-SH</t>
  </si>
  <si>
    <t>ZFMD/SD-18183-SH</t>
  </si>
  <si>
    <t>ZFMD/SD-18184-SH</t>
  </si>
  <si>
    <t>ZFMD/SD-18185-SH</t>
  </si>
  <si>
    <t>ZFMD/SD-18186-SH</t>
  </si>
  <si>
    <t>ZFMD/SD-18187-SH</t>
  </si>
  <si>
    <t>ZFMD/SD-18188-SH</t>
  </si>
  <si>
    <t>ZFMD/SD-18189-SH</t>
  </si>
  <si>
    <t>ZFMD/SD-18190-SH</t>
  </si>
  <si>
    <t>黑龙江</t>
    <phoneticPr fontId="22" type="noConversion"/>
  </si>
  <si>
    <t>龙源</t>
    <phoneticPr fontId="22" type="noConversion"/>
  </si>
  <si>
    <t>风电场</t>
    <phoneticPr fontId="22" type="noConversion"/>
  </si>
  <si>
    <t>马梦迪</t>
    <phoneticPr fontId="22" type="noConversion"/>
  </si>
  <si>
    <t>伊春兴安岭风力发电有限公司</t>
    <phoneticPr fontId="22" type="noConversion"/>
  </si>
  <si>
    <t>ZFMD/SD-18191-SH</t>
  </si>
  <si>
    <t>ZFMD/SD-18192-SH</t>
  </si>
  <si>
    <t>黑龙江龙源新能源发展有限公司依兰分公司</t>
    <phoneticPr fontId="22" type="noConversion"/>
  </si>
  <si>
    <t>无</t>
    <phoneticPr fontId="22" type="noConversion"/>
  </si>
  <si>
    <t>夹信山</t>
    <phoneticPr fontId="22" type="noConversion"/>
  </si>
  <si>
    <t>无</t>
    <phoneticPr fontId="22" type="noConversion"/>
  </si>
  <si>
    <t>岭东</t>
    <phoneticPr fontId="22" type="noConversion"/>
  </si>
  <si>
    <t>带岭东山</t>
    <phoneticPr fontId="22" type="noConversion"/>
  </si>
  <si>
    <t>国家电投集团宁夏香山第六风电场风功率预测服务合同</t>
    <phoneticPr fontId="22" type="noConversion"/>
  </si>
  <si>
    <t>2018.12.11</t>
    <phoneticPr fontId="22" type="noConversion"/>
  </si>
  <si>
    <t>2018.11</t>
    <phoneticPr fontId="22" type="noConversion"/>
  </si>
  <si>
    <t>国家电投集团宁夏中卫香山第四风电场风功率预测服务合同</t>
    <phoneticPr fontId="22" type="noConversion"/>
  </si>
  <si>
    <t>国家电投集团中卫香山第四、第六风电场风功率预测系统加装测风塔设备采购合同</t>
    <phoneticPr fontId="22" type="noConversion"/>
  </si>
  <si>
    <t>ZFMD/SD-17042-SH-BG01</t>
    <phoneticPr fontId="10" type="noConversion"/>
  </si>
  <si>
    <t>ZFMD/SD-18193-SH</t>
  </si>
  <si>
    <t>国家电投集团广西金紫山风电有限公司</t>
    <phoneticPr fontId="22" type="noConversion"/>
  </si>
  <si>
    <t>金紫山</t>
    <phoneticPr fontId="22" type="noConversion"/>
  </si>
  <si>
    <t>无</t>
    <phoneticPr fontId="22" type="noConversion"/>
  </si>
  <si>
    <t>秦英飞</t>
    <phoneticPr fontId="22" type="noConversion"/>
  </si>
  <si>
    <t>2018.12.17</t>
    <phoneticPr fontId="22" type="noConversion"/>
  </si>
  <si>
    <t>ZFMD/KGSQ-18072</t>
    <phoneticPr fontId="22" type="noConversion"/>
  </si>
  <si>
    <t>ZFMD/SD-18194-SH</t>
  </si>
  <si>
    <t>ZFMD/SD-18195-SH</t>
  </si>
  <si>
    <t>华电吉林双辽风力发电有限公司</t>
    <phoneticPr fontId="22" type="noConversion"/>
  </si>
  <si>
    <t>双辽那木斯</t>
    <phoneticPr fontId="22" type="noConversion"/>
  </si>
  <si>
    <t>预测服务1年</t>
    <phoneticPr fontId="22" type="noConversion"/>
  </si>
  <si>
    <t>王星</t>
    <phoneticPr fontId="22" type="noConversion"/>
  </si>
  <si>
    <t>2018.7.1</t>
    <phoneticPr fontId="22" type="noConversion"/>
  </si>
  <si>
    <t>2019.6.30</t>
    <phoneticPr fontId="22" type="noConversion"/>
  </si>
  <si>
    <t>那木斯</t>
    <phoneticPr fontId="22" type="noConversion"/>
  </si>
  <si>
    <t>华电吉林大安风力发电有限公司</t>
    <phoneticPr fontId="22" type="noConversion"/>
  </si>
  <si>
    <t>大安/大安风水山</t>
    <phoneticPr fontId="22" type="noConversion"/>
  </si>
  <si>
    <t>风水山</t>
    <phoneticPr fontId="22" type="noConversion"/>
  </si>
  <si>
    <t>2018.1.1</t>
    <phoneticPr fontId="22" type="noConversion"/>
  </si>
  <si>
    <t>2018.12.31</t>
    <phoneticPr fontId="22" type="noConversion"/>
  </si>
  <si>
    <t>华锦光伏电站测光数据上传整改维护合同</t>
    <phoneticPr fontId="22" type="noConversion"/>
  </si>
  <si>
    <t>2018.11.20</t>
    <phoneticPr fontId="22" type="noConversion"/>
  </si>
  <si>
    <t>国家电投集团广西金紫山风电有限公司金紫山风电场测风塔测风设备改造合同</t>
    <phoneticPr fontId="22" type="noConversion"/>
  </si>
  <si>
    <t>2018.12.1</t>
    <phoneticPr fontId="22" type="noConversion"/>
  </si>
  <si>
    <t>华电那木斯风电场风电功率预测系统技术服务合同书</t>
    <phoneticPr fontId="22" type="noConversion"/>
  </si>
  <si>
    <t>2018.12</t>
    <phoneticPr fontId="22" type="noConversion"/>
  </si>
  <si>
    <t>华电风水山风电场风电功率预测系统技术服务合同书</t>
    <phoneticPr fontId="22" type="noConversion"/>
  </si>
  <si>
    <t>ZFMD/SD-18197-SH</t>
  </si>
  <si>
    <t>ZFMD/SD-18198-SH</t>
  </si>
  <si>
    <t>三峡新能源白城风电发展有限公司</t>
    <phoneticPr fontId="22" type="noConversion"/>
  </si>
  <si>
    <t>三峡新能源吉林省白城查干浩特风电场（45MW）工程风功率预测技术服务合同</t>
    <phoneticPr fontId="22" type="noConversion"/>
  </si>
  <si>
    <t>查干浩特</t>
    <phoneticPr fontId="22" type="noConversion"/>
  </si>
  <si>
    <t>无</t>
    <phoneticPr fontId="22" type="noConversion"/>
  </si>
  <si>
    <t>预测服务3年</t>
    <phoneticPr fontId="22" type="noConversion"/>
  </si>
  <si>
    <t>马梦迪</t>
    <phoneticPr fontId="22" type="noConversion"/>
  </si>
  <si>
    <t>2017.8.1</t>
    <phoneticPr fontId="22" type="noConversion"/>
  </si>
  <si>
    <t>2020.7.31</t>
    <phoneticPr fontId="22" type="noConversion"/>
  </si>
  <si>
    <t>安达市同科新能源有限公司</t>
    <phoneticPr fontId="22" type="noConversion"/>
  </si>
  <si>
    <t>防火墙及安装调试采购合同</t>
    <phoneticPr fontId="22" type="noConversion"/>
  </si>
  <si>
    <t>光伏电站</t>
    <phoneticPr fontId="22" type="noConversion"/>
  </si>
  <si>
    <t>2018.10.31</t>
    <phoneticPr fontId="22" type="noConversion"/>
  </si>
  <si>
    <t>北京金风慧能技术有限公司</t>
    <phoneticPr fontId="22" type="noConversion"/>
  </si>
  <si>
    <t>风电场</t>
    <phoneticPr fontId="22" type="noConversion"/>
  </si>
  <si>
    <t>王龙波</t>
    <phoneticPr fontId="22" type="noConversion"/>
  </si>
  <si>
    <t>2018.11.21</t>
    <phoneticPr fontId="22" type="noConversion"/>
  </si>
  <si>
    <t>ZFMD/SD-18199-SH</t>
  </si>
  <si>
    <t>华电铁岭风力发电有限公司</t>
    <phoneticPr fontId="22" type="noConversion"/>
  </si>
  <si>
    <t>镇西堡/铁岭（镇西堡、李家屯、心田堡）</t>
    <phoneticPr fontId="22" type="noConversion"/>
  </si>
  <si>
    <t>风电功率预测</t>
    <phoneticPr fontId="22" type="noConversion"/>
  </si>
  <si>
    <t>预测服务1年</t>
    <phoneticPr fontId="22" type="noConversion"/>
  </si>
  <si>
    <t>王星</t>
    <phoneticPr fontId="22" type="noConversion"/>
  </si>
  <si>
    <t>2018.12.31</t>
    <phoneticPr fontId="22" type="noConversion"/>
  </si>
  <si>
    <t>ZFMD/SD-18200-SH</t>
  </si>
  <si>
    <t>五凌汝城电力有限公司</t>
    <phoneticPr fontId="22" type="noConversion"/>
  </si>
  <si>
    <t>ZFMD/SD-18201-SH</t>
  </si>
  <si>
    <t>ZFMD/SD-18202-SH</t>
  </si>
  <si>
    <t>ZFMD/SD-18203-SH</t>
  </si>
  <si>
    <t>华电虎林风力发电有限公司</t>
    <phoneticPr fontId="22" type="noConversion"/>
  </si>
  <si>
    <t>马梦迪</t>
    <phoneticPr fontId="22" type="noConversion"/>
  </si>
  <si>
    <t>汤原渠首</t>
    <phoneticPr fontId="22" type="noConversion"/>
  </si>
  <si>
    <t>七里嘎山（七里嘎山）</t>
    <phoneticPr fontId="22" type="noConversion"/>
  </si>
  <si>
    <t>七里嘎山</t>
    <phoneticPr fontId="22" type="noConversion"/>
  </si>
  <si>
    <t>ZFMD/SD-18193-SH-BG01</t>
    <phoneticPr fontId="22" type="noConversion"/>
  </si>
  <si>
    <t>七台河丰润风力发电有限公司</t>
    <phoneticPr fontId="22" type="noConversion"/>
  </si>
  <si>
    <t>开发票占号，开票申请日期为2018年11月20日，合同流转时间为12月26日</t>
    <phoneticPr fontId="22" type="noConversion"/>
  </si>
  <si>
    <t>2018.12.26</t>
    <phoneticPr fontId="22" type="noConversion"/>
  </si>
  <si>
    <t>ZFMD/SD-18196-SH</t>
    <phoneticPr fontId="22" type="noConversion"/>
  </si>
  <si>
    <t>ZFMD/KGSQ-17087</t>
    <phoneticPr fontId="22" type="noConversion"/>
  </si>
  <si>
    <t>2018.12.27</t>
    <phoneticPr fontId="22" type="noConversion"/>
  </si>
  <si>
    <t>ZFMD/SHFW-2018089</t>
    <phoneticPr fontId="22" type="noConversion"/>
  </si>
  <si>
    <t>ZFMD/SHFW-2018093</t>
    <phoneticPr fontId="22" type="noConversion"/>
  </si>
  <si>
    <t>ZFMD/SHFW-2018047</t>
    <phoneticPr fontId="5" type="noConversion"/>
  </si>
  <si>
    <t>ZFMD/SHFW-2018043</t>
    <phoneticPr fontId="5" type="noConversion"/>
  </si>
  <si>
    <t>ZFMD/SHFW-2018048</t>
    <phoneticPr fontId="5" type="noConversion"/>
  </si>
  <si>
    <t>华电虎林石青山风电场测风塔数据接入三区服务合同</t>
    <phoneticPr fontId="22" type="noConversion"/>
  </si>
  <si>
    <t>2018.12.29</t>
    <phoneticPr fontId="22" type="noConversion"/>
  </si>
  <si>
    <t>华电汤原渠首风电场测风塔数据接入三区服务合同</t>
    <phoneticPr fontId="22" type="noConversion"/>
  </si>
  <si>
    <t>华电七台河七里嘎山风电场测风塔数据接入三区服务合同</t>
    <phoneticPr fontId="22" type="noConversion"/>
  </si>
  <si>
    <t>ZFMD/SHFW-2018046</t>
  </si>
  <si>
    <t>ZFMD/SHFW-2018028</t>
  </si>
  <si>
    <r>
      <t xml:space="preserve">销售合同登记台账-2019年
</t>
    </r>
    <r>
      <rPr>
        <sz val="10"/>
        <color theme="1"/>
        <rFont val="宋体"/>
        <family val="3"/>
        <charset val="134"/>
        <scheme val="minor"/>
      </rPr>
      <t>（文件编号：ZFMDZHGLB-HTDJTZ-V1.0）</t>
    </r>
    <phoneticPr fontId="1" type="noConversion"/>
  </si>
  <si>
    <t>ZFMD/SD-19001-SH</t>
    <phoneticPr fontId="22" type="noConversion"/>
  </si>
  <si>
    <t>/</t>
    <phoneticPr fontId="22" type="noConversion"/>
  </si>
  <si>
    <t>哈密中核风电有限公司</t>
    <phoneticPr fontId="22" type="noConversion"/>
  </si>
  <si>
    <t>哈密庙尔沟风电场风功率预测系统服务合同</t>
    <phoneticPr fontId="22" type="noConversion"/>
  </si>
  <si>
    <t>中核庙尔沟风电一场</t>
    <phoneticPr fontId="1" type="noConversion"/>
  </si>
  <si>
    <t>中核</t>
    <phoneticPr fontId="18" type="noConversion"/>
  </si>
  <si>
    <t>哈密烟墩8C/哈密烟墩</t>
    <phoneticPr fontId="22" type="noConversion"/>
  </si>
  <si>
    <t>风电场</t>
    <phoneticPr fontId="22" type="noConversion"/>
  </si>
  <si>
    <t>风电功率预测</t>
    <phoneticPr fontId="22" type="noConversion"/>
  </si>
  <si>
    <t>预测服务1年</t>
    <phoneticPr fontId="22" type="noConversion"/>
  </si>
  <si>
    <t>王龙波</t>
    <phoneticPr fontId="22" type="noConversion"/>
  </si>
  <si>
    <t>2019.1.4</t>
    <phoneticPr fontId="22" type="noConversion"/>
  </si>
  <si>
    <t>2018.12.24</t>
    <phoneticPr fontId="22" type="noConversion"/>
  </si>
  <si>
    <t>原件</t>
    <phoneticPr fontId="22" type="noConversion"/>
  </si>
  <si>
    <t>2018.7.19</t>
    <phoneticPr fontId="22" type="noConversion"/>
  </si>
  <si>
    <t>2019.7.18</t>
    <phoneticPr fontId="22" type="noConversion"/>
  </si>
  <si>
    <t>未开</t>
    <phoneticPr fontId="22" type="noConversion"/>
  </si>
  <si>
    <t>/</t>
    <phoneticPr fontId="22" type="noConversion"/>
  </si>
  <si>
    <t>ZFMD/SD-19002-SH</t>
    <phoneticPr fontId="22" type="noConversion"/>
  </si>
  <si>
    <t>2018.10.1</t>
    <phoneticPr fontId="22" type="noConversion"/>
  </si>
  <si>
    <t>华电石城子光伏站逆变器-光功率预测系统自动化信息接入调试及上传省调服务合同</t>
    <phoneticPr fontId="22" type="noConversion"/>
  </si>
  <si>
    <t>哈密东方民生石城子光伏站逆变器-光功率预测系统自动化信息接入调试及上传省调服务合同</t>
    <phoneticPr fontId="22" type="noConversion"/>
  </si>
  <si>
    <t>ZFMD/SD-19003-SH</t>
  </si>
  <si>
    <t>江苏</t>
    <phoneticPr fontId="22" type="noConversion"/>
  </si>
  <si>
    <t>华能</t>
    <phoneticPr fontId="22" type="noConversion"/>
  </si>
  <si>
    <t>启东</t>
    <phoneticPr fontId="22" type="noConversion"/>
  </si>
  <si>
    <t>无</t>
    <phoneticPr fontId="22" type="noConversion"/>
  </si>
  <si>
    <t>风电场</t>
    <phoneticPr fontId="22" type="noConversion"/>
  </si>
  <si>
    <t>风电功率预测</t>
    <phoneticPr fontId="22" type="noConversion"/>
  </si>
  <si>
    <t>预测服务1年</t>
    <phoneticPr fontId="22" type="noConversion"/>
  </si>
  <si>
    <t>段洪宇</t>
    <phoneticPr fontId="22" type="noConversion"/>
  </si>
  <si>
    <t>2019.1.8</t>
    <phoneticPr fontId="22" type="noConversion"/>
  </si>
  <si>
    <t>2018.12.26</t>
    <phoneticPr fontId="22" type="noConversion"/>
  </si>
  <si>
    <t>原件</t>
    <phoneticPr fontId="22" type="noConversion"/>
  </si>
  <si>
    <t>2019.1.1</t>
    <phoneticPr fontId="22" type="noConversion"/>
  </si>
  <si>
    <t>2019.12.31</t>
    <phoneticPr fontId="22" type="noConversion"/>
  </si>
  <si>
    <t>华能启东风力发电有限公司2019年风功率预测系统技术服务合同</t>
    <phoneticPr fontId="22" type="noConversion"/>
  </si>
  <si>
    <t>ZFMD/SD-18198-SH-BG01</t>
    <phoneticPr fontId="22" type="noConversion"/>
  </si>
  <si>
    <t>ZFMD/SD-19004-SH</t>
  </si>
  <si>
    <t>华能同江街津山风电场2019年度风电功率预测服务</t>
    <phoneticPr fontId="22" type="noConversion"/>
  </si>
  <si>
    <t>华能同江风力发电有限公司</t>
    <phoneticPr fontId="22" type="noConversion"/>
  </si>
  <si>
    <t>预测服务1年</t>
    <phoneticPr fontId="22" type="noConversion"/>
  </si>
  <si>
    <t>李妍</t>
    <phoneticPr fontId="22" type="noConversion"/>
  </si>
  <si>
    <t>2019.1.11</t>
    <phoneticPr fontId="22" type="noConversion"/>
  </si>
  <si>
    <t>2018.12.29</t>
    <phoneticPr fontId="22" type="noConversion"/>
  </si>
  <si>
    <t>2019.1.1</t>
    <phoneticPr fontId="22" type="noConversion"/>
  </si>
  <si>
    <t>2019.12.31</t>
    <phoneticPr fontId="22" type="noConversion"/>
  </si>
  <si>
    <t>ZFMD/SD-19005-1-SH</t>
    <phoneticPr fontId="22" type="noConversion"/>
  </si>
  <si>
    <t>ZFMD/SD-19005-2-SH</t>
    <phoneticPr fontId="22" type="noConversion"/>
  </si>
  <si>
    <t>大庆绿源风力发电有限公司</t>
    <phoneticPr fontId="22" type="noConversion"/>
  </si>
  <si>
    <t>大庆和平、新海风电场2019年度风功率预测服务</t>
    <phoneticPr fontId="22" type="noConversion"/>
  </si>
  <si>
    <t>软件升级；系统硬件</t>
    <phoneticPr fontId="22" type="noConversion"/>
  </si>
  <si>
    <t>软件升级</t>
    <phoneticPr fontId="22" type="noConversion"/>
  </si>
  <si>
    <t>中国船舶重工集团海装风电股份有限公司</t>
    <phoneticPr fontId="22" type="noConversion"/>
  </si>
  <si>
    <t>中船重工</t>
    <phoneticPr fontId="22" type="noConversion"/>
  </si>
  <si>
    <t>第十三师三塘湖</t>
    <phoneticPr fontId="22" type="noConversion"/>
  </si>
  <si>
    <t>该合同为16071销售合同补充协议，补充协议包括合同金额变更及供货范围增加，其中华电山东龙口为49.8万元，第十三师三塘湖由49.8万元变更为49.3743万元。新增70米处测风单元3.2万元。所以此次只流转3.2万元。</t>
    <phoneticPr fontId="22" type="noConversion"/>
  </si>
  <si>
    <t>因税率由17%变更为16%，合同额由105.507万元变更为105.405528万元。</t>
    <phoneticPr fontId="1" type="noConversion"/>
  </si>
  <si>
    <t>因税率由17%变更为16%，合同额由5万元变更为4.957265万元。</t>
    <phoneticPr fontId="10" type="noConversion"/>
  </si>
  <si>
    <t>ZFMD/SD-19007-SH</t>
  </si>
  <si>
    <t>ZFMD/SD-19008-SH</t>
  </si>
  <si>
    <t>ZFMD/SD-19009-SH</t>
  </si>
  <si>
    <t>ZFMD/SD-19010-SH</t>
  </si>
  <si>
    <t>大唐黑龙江新能源开发有限公司集贤太平风力发电分公司</t>
    <phoneticPr fontId="22" type="noConversion"/>
  </si>
  <si>
    <t>大唐集贤太平风电场风电功率预测服务技术服务合同</t>
    <phoneticPr fontId="22" type="noConversion"/>
  </si>
  <si>
    <t>集贤太平</t>
    <phoneticPr fontId="22" type="noConversion"/>
  </si>
  <si>
    <t>李妍</t>
    <phoneticPr fontId="22" type="noConversion"/>
  </si>
  <si>
    <t>2019.1.17</t>
    <phoneticPr fontId="22" type="noConversion"/>
  </si>
  <si>
    <t>2018.12</t>
    <phoneticPr fontId="22" type="noConversion"/>
  </si>
  <si>
    <t>复印件</t>
    <phoneticPr fontId="22" type="noConversion"/>
  </si>
  <si>
    <t>2019.1.1</t>
    <phoneticPr fontId="22" type="noConversion"/>
  </si>
  <si>
    <t>2019.1.13</t>
    <phoneticPr fontId="22" type="noConversion"/>
  </si>
  <si>
    <t>大唐黑龙江新能源开发有限公司华安（齐齐哈尔）风力发电分公司</t>
    <phoneticPr fontId="22" type="noConversion"/>
  </si>
  <si>
    <t>大唐齐齐哈尔碾子山风电场风电功率预测服务技术服务合同</t>
    <phoneticPr fontId="22" type="noConversion"/>
  </si>
  <si>
    <t>无</t>
    <phoneticPr fontId="22" type="noConversion"/>
  </si>
  <si>
    <t>碾子山</t>
    <phoneticPr fontId="22" type="noConversion"/>
  </si>
  <si>
    <t>预测服务3年</t>
    <phoneticPr fontId="22" type="noConversion"/>
  </si>
  <si>
    <t>2019.1</t>
    <phoneticPr fontId="22" type="noConversion"/>
  </si>
  <si>
    <t>2019.1.14</t>
    <phoneticPr fontId="22" type="noConversion"/>
  </si>
  <si>
    <t>2021.12.31</t>
    <phoneticPr fontId="22" type="noConversion"/>
  </si>
  <si>
    <t>预测服务13日</t>
    <phoneticPr fontId="22" type="noConversion"/>
  </si>
  <si>
    <t>大唐济南长清清洁能源开发有限公司</t>
    <phoneticPr fontId="1" type="noConversion"/>
  </si>
  <si>
    <t>ZFMD/SD-19011-SH</t>
  </si>
  <si>
    <t>大唐哈密风电开发有限公司东南部风电场风功率预测服务合同书</t>
    <phoneticPr fontId="22" type="noConversion"/>
  </si>
  <si>
    <t>大唐哈密风电开发有限公司</t>
    <phoneticPr fontId="22" type="noConversion"/>
  </si>
  <si>
    <t>新疆</t>
    <phoneticPr fontId="22" type="noConversion"/>
  </si>
  <si>
    <t>大唐</t>
    <phoneticPr fontId="22" type="noConversion"/>
  </si>
  <si>
    <t>大唐苦水东风电场</t>
    <phoneticPr fontId="22" type="noConversion"/>
  </si>
  <si>
    <t>哈密苦水</t>
    <phoneticPr fontId="22" type="noConversion"/>
  </si>
  <si>
    <t>风电功率预测</t>
    <phoneticPr fontId="22" type="noConversion"/>
  </si>
  <si>
    <t>预测服务2年</t>
    <phoneticPr fontId="22" type="noConversion"/>
  </si>
  <si>
    <t>王龙波</t>
    <phoneticPr fontId="22" type="noConversion"/>
  </si>
  <si>
    <t>2018.12</t>
    <phoneticPr fontId="22" type="noConversion"/>
  </si>
  <si>
    <t>原件</t>
    <phoneticPr fontId="22" type="noConversion"/>
  </si>
  <si>
    <t>2018.7.1</t>
    <phoneticPr fontId="22" type="noConversion"/>
  </si>
  <si>
    <t>2020.6.30</t>
    <phoneticPr fontId="22" type="noConversion"/>
  </si>
  <si>
    <t>东岗岭风电场风功率预测数据上传郴州地调主站服务合同</t>
    <phoneticPr fontId="22" type="noConversion"/>
  </si>
  <si>
    <t>2018.12.29</t>
    <phoneticPr fontId="22" type="noConversion"/>
  </si>
  <si>
    <t>2019.1.22</t>
    <phoneticPr fontId="22" type="noConversion"/>
  </si>
  <si>
    <t>ZFMD/SD-19012-SH</t>
  </si>
  <si>
    <t>ZFMD/SD-19013-SH</t>
  </si>
  <si>
    <t>ZFMD/SD-19014-SH</t>
  </si>
  <si>
    <t>ZFMD/SD-19015-SH</t>
  </si>
  <si>
    <t>ZFMD/SD-19016-SH</t>
  </si>
  <si>
    <t>ZFMD/SD-19017-SH</t>
  </si>
  <si>
    <t>大唐依兰风力发电有限公司</t>
    <phoneticPr fontId="22" type="noConversion"/>
  </si>
  <si>
    <t>大唐依兰富强风电场风电功率预测服务技术服务合同</t>
    <phoneticPr fontId="22" type="noConversion"/>
  </si>
  <si>
    <t>李妍</t>
    <phoneticPr fontId="22" type="noConversion"/>
  </si>
  <si>
    <t>黑龙江</t>
    <phoneticPr fontId="22" type="noConversion"/>
  </si>
  <si>
    <t>大唐</t>
    <phoneticPr fontId="22" type="noConversion"/>
  </si>
  <si>
    <t>富强</t>
    <phoneticPr fontId="22" type="noConversion"/>
  </si>
  <si>
    <t>无</t>
    <phoneticPr fontId="22" type="noConversion"/>
  </si>
  <si>
    <t>风电场</t>
    <phoneticPr fontId="22" type="noConversion"/>
  </si>
  <si>
    <t>风电功率预测</t>
    <phoneticPr fontId="22" type="noConversion"/>
  </si>
  <si>
    <t>预测服务1年</t>
    <phoneticPr fontId="22" type="noConversion"/>
  </si>
  <si>
    <t>2019.1.22</t>
    <phoneticPr fontId="22" type="noConversion"/>
  </si>
  <si>
    <t>2019.1.10</t>
    <phoneticPr fontId="22" type="noConversion"/>
  </si>
  <si>
    <t>原件</t>
    <phoneticPr fontId="22" type="noConversion"/>
  </si>
  <si>
    <t>2019.1.1</t>
    <phoneticPr fontId="22" type="noConversion"/>
  </si>
  <si>
    <t>2019.12.31</t>
    <phoneticPr fontId="22" type="noConversion"/>
  </si>
  <si>
    <t>大唐依兰晨光风电场风电功率预测服务技术服务合同</t>
    <phoneticPr fontId="22" type="noConversion"/>
  </si>
  <si>
    <t>晨光</t>
    <phoneticPr fontId="22" type="noConversion"/>
  </si>
  <si>
    <t>大唐绥滨新能源有限公司</t>
    <phoneticPr fontId="22" type="noConversion"/>
  </si>
  <si>
    <t>大唐绥滨吉成风电场风电功率预测服务技术服务合同</t>
    <phoneticPr fontId="22" type="noConversion"/>
  </si>
  <si>
    <t>吉成</t>
    <phoneticPr fontId="22" type="noConversion"/>
  </si>
  <si>
    <t>大唐桦川风力发电有限公司集贤分公司</t>
    <phoneticPr fontId="22" type="noConversion"/>
  </si>
  <si>
    <t>大唐集贤太阳山风电场风电功率预测服务技术服务合同</t>
    <phoneticPr fontId="22" type="noConversion"/>
  </si>
  <si>
    <t>太阳山</t>
    <phoneticPr fontId="22" type="noConversion"/>
  </si>
  <si>
    <t>大唐桦南大架子山风电场风电功率预测服务技术服务合同</t>
  </si>
  <si>
    <t>大唐桦川风力发电有限公司桦南分公司</t>
    <phoneticPr fontId="22" type="noConversion"/>
  </si>
  <si>
    <t>北架山</t>
    <phoneticPr fontId="22" type="noConversion"/>
  </si>
  <si>
    <t>桦南/桦南大架子山</t>
  </si>
  <si>
    <t>大唐桦川风力发电有限公司</t>
    <phoneticPr fontId="22" type="noConversion"/>
  </si>
  <si>
    <t>大唐桦川苏家店风电场风电功率预测服务技术服务合同</t>
    <phoneticPr fontId="22" type="noConversion"/>
  </si>
  <si>
    <t>苏家店</t>
    <phoneticPr fontId="22" type="noConversion"/>
  </si>
  <si>
    <t>桦川</t>
    <phoneticPr fontId="22" type="noConversion"/>
  </si>
  <si>
    <t>ZFMD/SD-19018-SH</t>
  </si>
  <si>
    <t>华润新能源（安达）有限公司</t>
    <phoneticPr fontId="22" type="noConversion"/>
  </si>
  <si>
    <t>华润新能源（安达）有限公司2019年光功率预测系统天气预报数据服务合同</t>
    <phoneticPr fontId="22" type="noConversion"/>
  </si>
  <si>
    <t>黑龙江</t>
    <phoneticPr fontId="22" type="noConversion"/>
  </si>
  <si>
    <t>华润</t>
    <phoneticPr fontId="22" type="noConversion"/>
  </si>
  <si>
    <t>光伏电站</t>
    <phoneticPr fontId="22" type="noConversion"/>
  </si>
  <si>
    <t>光伏功率预测</t>
    <phoneticPr fontId="22" type="noConversion"/>
  </si>
  <si>
    <t>预测服务1年</t>
    <phoneticPr fontId="22" type="noConversion"/>
  </si>
  <si>
    <t>马梦迪</t>
    <phoneticPr fontId="22" type="noConversion"/>
  </si>
  <si>
    <t>2019.1.29</t>
    <phoneticPr fontId="22" type="noConversion"/>
  </si>
  <si>
    <t>2019.1.15</t>
    <phoneticPr fontId="22" type="noConversion"/>
  </si>
  <si>
    <t>2019.1.10</t>
    <phoneticPr fontId="22" type="noConversion"/>
  </si>
  <si>
    <t>2020.1.9</t>
    <phoneticPr fontId="22" type="noConversion"/>
  </si>
  <si>
    <t>安达1号、2号安达3号、4号</t>
    <phoneticPr fontId="22" type="noConversion"/>
  </si>
  <si>
    <t>安达万福、华润万福、（安达一期+安达二期）</t>
  </si>
  <si>
    <t>ZFMD/SD-19019-SH</t>
  </si>
  <si>
    <t>亚洲风力发电（牡丹江）有限公司
香港风力发电（穆棱）有限公司</t>
    <phoneticPr fontId="22" type="noConversion"/>
  </si>
  <si>
    <t>代马沟风电功率预测系统服务合同书</t>
    <phoneticPr fontId="22" type="noConversion"/>
  </si>
  <si>
    <t>亚洲电力</t>
    <phoneticPr fontId="22" type="noConversion"/>
  </si>
  <si>
    <t>代马沟</t>
    <phoneticPr fontId="22" type="noConversion"/>
  </si>
  <si>
    <t>无</t>
    <phoneticPr fontId="22" type="noConversion"/>
  </si>
  <si>
    <t>风电场</t>
    <phoneticPr fontId="22" type="noConversion"/>
  </si>
  <si>
    <t>马梦迪</t>
    <phoneticPr fontId="22" type="noConversion"/>
  </si>
  <si>
    <t>2019.1.31</t>
    <phoneticPr fontId="22" type="noConversion"/>
  </si>
  <si>
    <t>2018.12</t>
    <phoneticPr fontId="22" type="noConversion"/>
  </si>
  <si>
    <t>原件</t>
    <phoneticPr fontId="22" type="noConversion"/>
  </si>
  <si>
    <t>2019.1.1</t>
    <phoneticPr fontId="22" type="noConversion"/>
  </si>
  <si>
    <t>2019.12.31</t>
    <phoneticPr fontId="22" type="noConversion"/>
  </si>
  <si>
    <t>华电铁岭风力发电有限公司镇西堡风电场测风塔设备采购合同</t>
    <phoneticPr fontId="22" type="noConversion"/>
  </si>
  <si>
    <t>华电嘉利二场（十三间房四期）风功率预测系统采购合同</t>
    <phoneticPr fontId="22" type="noConversion"/>
  </si>
  <si>
    <t>华电镇西堡、李家屯及心田堡风电场2018年风功率预测系统技术服务合同</t>
    <phoneticPr fontId="22" type="noConversion"/>
  </si>
  <si>
    <t>2019.1.17</t>
    <phoneticPr fontId="22" type="noConversion"/>
  </si>
  <si>
    <t>2019.1.14</t>
    <phoneticPr fontId="22" type="noConversion"/>
  </si>
  <si>
    <t>原件</t>
    <phoneticPr fontId="22" type="noConversion"/>
  </si>
  <si>
    <t>第十三师三塘湖风功率预测系统补充协议</t>
    <phoneticPr fontId="22" type="noConversion"/>
  </si>
  <si>
    <t>ZFMD/SD-19020-1-SH</t>
    <phoneticPr fontId="22" type="noConversion"/>
  </si>
  <si>
    <t>ZFMD/SD-19020-2-SH</t>
  </si>
  <si>
    <t>ZFMD/SD-19021-1-SH</t>
    <phoneticPr fontId="22" type="noConversion"/>
  </si>
  <si>
    <t>ZFMD/SD-19021-2-SH</t>
  </si>
  <si>
    <t>ZFMD/KGSQ-18065</t>
  </si>
  <si>
    <t>ZFMD/KGSQ-18066</t>
  </si>
  <si>
    <t>ZFMD/KGSQ-18063</t>
  </si>
  <si>
    <t>ZFMD/KGSQ-18064</t>
  </si>
  <si>
    <t>大唐齐齐哈尔碾子山风电场调度一区综合通讯及二区综合通讯技术服务合同</t>
    <phoneticPr fontId="22" type="noConversion"/>
  </si>
  <si>
    <t>碾子山</t>
    <phoneticPr fontId="1" type="noConversion"/>
  </si>
  <si>
    <t>无</t>
    <phoneticPr fontId="22" type="noConversion"/>
  </si>
  <si>
    <t>黑龙江风电场电力安全一区综合通讯系统软件；系统硬件</t>
    <phoneticPr fontId="1" type="noConversion"/>
  </si>
  <si>
    <t>黑龙江风电场电力安全二区综合通讯系统软件；系统硬件</t>
    <phoneticPr fontId="1" type="noConversion"/>
  </si>
  <si>
    <t>李妍</t>
    <phoneticPr fontId="22" type="noConversion"/>
  </si>
  <si>
    <t>2019.2.13</t>
    <phoneticPr fontId="22" type="noConversion"/>
  </si>
  <si>
    <t>2019.1.30</t>
    <phoneticPr fontId="22" type="noConversion"/>
  </si>
  <si>
    <t>大唐集贤太平风电场调度一区综合通讯及二区综合通讯技术服务合同</t>
    <phoneticPr fontId="22" type="noConversion"/>
  </si>
  <si>
    <t>黑龙江</t>
    <phoneticPr fontId="22" type="noConversion"/>
  </si>
  <si>
    <t>大唐</t>
    <phoneticPr fontId="22" type="noConversion"/>
  </si>
  <si>
    <t>太平</t>
    <phoneticPr fontId="22" type="noConversion"/>
  </si>
  <si>
    <t>集贤太平</t>
    <phoneticPr fontId="22" type="noConversion"/>
  </si>
  <si>
    <t>黑龙江风电场电力安全二区综合通讯系统软件升级；系统硬件</t>
    <phoneticPr fontId="1" type="noConversion"/>
  </si>
  <si>
    <t>ZFMD/SD-19022-SH</t>
    <phoneticPr fontId="22" type="noConversion"/>
  </si>
  <si>
    <t>ZFMD/SD-19023-SH</t>
  </si>
  <si>
    <t>中广核大北山风电场D5000二区及功率预测系统改造合同</t>
  </si>
  <si>
    <t>中广核大北山（瓦房店）风力发电有限公司</t>
    <phoneticPr fontId="22" type="noConversion"/>
  </si>
  <si>
    <t>辽宁</t>
    <phoneticPr fontId="22" type="noConversion"/>
  </si>
  <si>
    <t>中广核</t>
    <phoneticPr fontId="22" type="noConversion"/>
  </si>
  <si>
    <t>大北山</t>
    <phoneticPr fontId="22" type="noConversion"/>
  </si>
  <si>
    <t>泡崖大北山</t>
    <phoneticPr fontId="22" type="noConversion"/>
  </si>
  <si>
    <t>风电场</t>
    <phoneticPr fontId="22" type="noConversion"/>
  </si>
  <si>
    <t>王星</t>
    <phoneticPr fontId="22" type="noConversion"/>
  </si>
  <si>
    <t>2019.2.22</t>
    <phoneticPr fontId="22" type="noConversion"/>
  </si>
  <si>
    <t>2019.2.12</t>
    <phoneticPr fontId="22" type="noConversion"/>
  </si>
  <si>
    <t>ZFMD/SD-19024-1-SH</t>
    <phoneticPr fontId="22" type="noConversion"/>
  </si>
  <si>
    <t>ZFMD/SD-19024-2-SH</t>
  </si>
  <si>
    <t>2019.2.22</t>
    <phoneticPr fontId="22" type="noConversion"/>
  </si>
  <si>
    <t>黑龙江梨树风力发电有限公司</t>
    <phoneticPr fontId="22" type="noConversion"/>
  </si>
  <si>
    <t>鸡西平岗风电场防火墙及安装调试采购合同</t>
    <phoneticPr fontId="22" type="noConversion"/>
  </si>
  <si>
    <t>鸡西平岗</t>
    <phoneticPr fontId="22" type="noConversion"/>
  </si>
  <si>
    <t>华仪</t>
    <phoneticPr fontId="22" type="noConversion"/>
  </si>
  <si>
    <t>平岗</t>
    <phoneticPr fontId="22" type="noConversion"/>
  </si>
  <si>
    <t>系统硬件</t>
    <phoneticPr fontId="22" type="noConversion"/>
  </si>
  <si>
    <t>马梦迪</t>
    <phoneticPr fontId="22" type="noConversion"/>
  </si>
  <si>
    <t>鸡西平岗49.5MW风电场风功率预测系统服务合同书</t>
    <phoneticPr fontId="22" type="noConversion"/>
  </si>
  <si>
    <t>预测服务1年</t>
    <phoneticPr fontId="22" type="noConversion"/>
  </si>
  <si>
    <t>2019.2.22</t>
    <phoneticPr fontId="22" type="noConversion"/>
  </si>
  <si>
    <t>2019.1</t>
    <phoneticPr fontId="22" type="noConversion"/>
  </si>
  <si>
    <t>2018.8.23</t>
    <phoneticPr fontId="22" type="noConversion"/>
  </si>
  <si>
    <t>2019.8.22</t>
    <phoneticPr fontId="22" type="noConversion"/>
  </si>
  <si>
    <t>ZFMD/SD-19025-SH</t>
    <phoneticPr fontId="22" type="noConversion"/>
  </si>
  <si>
    <t>大庆长元能源开发有限公司</t>
    <phoneticPr fontId="22" type="noConversion"/>
  </si>
  <si>
    <t>大庆长元光伏电站光伏功率预测系统技术服务合同</t>
    <phoneticPr fontId="22" type="noConversion"/>
  </si>
  <si>
    <t>大庆长元</t>
    <phoneticPr fontId="22" type="noConversion"/>
  </si>
  <si>
    <t>无</t>
    <phoneticPr fontId="22" type="noConversion"/>
  </si>
  <si>
    <t>光伏电站</t>
    <phoneticPr fontId="22" type="noConversion"/>
  </si>
  <si>
    <t>光伏功率预测</t>
    <phoneticPr fontId="22" type="noConversion"/>
  </si>
  <si>
    <t>预测服务2年</t>
    <phoneticPr fontId="22" type="noConversion"/>
  </si>
  <si>
    <t>2019.2.25</t>
    <phoneticPr fontId="22" type="noConversion"/>
  </si>
  <si>
    <t>2018.1.1</t>
    <phoneticPr fontId="22" type="noConversion"/>
  </si>
  <si>
    <t>2019.12.31</t>
    <phoneticPr fontId="22" type="noConversion"/>
  </si>
  <si>
    <t>ZFMD/SD-19024-1-SH-BG01</t>
    <phoneticPr fontId="22" type="noConversion"/>
  </si>
  <si>
    <t>ZFMD/SD-18170-SH-BG01</t>
    <phoneticPr fontId="22" type="noConversion"/>
  </si>
  <si>
    <t>15003-2019</t>
    <phoneticPr fontId="18" type="noConversion"/>
  </si>
  <si>
    <t>2019.1.1</t>
    <phoneticPr fontId="1" type="noConversion"/>
  </si>
  <si>
    <t>十三间房四期</t>
    <phoneticPr fontId="22" type="noConversion"/>
  </si>
  <si>
    <t>无</t>
    <phoneticPr fontId="22" type="noConversion"/>
  </si>
  <si>
    <t>建模扩容；系统硬件；预测服务1年</t>
    <phoneticPr fontId="22" type="noConversion"/>
  </si>
  <si>
    <t>ZFMD/SD-19028-SH</t>
  </si>
  <si>
    <t>岐山光伏电站光功率预测系统服务合同</t>
    <phoneticPr fontId="22" type="noConversion"/>
  </si>
  <si>
    <t>陕西</t>
    <phoneticPr fontId="22" type="noConversion"/>
  </si>
  <si>
    <t>杨振坤</t>
    <phoneticPr fontId="22" type="noConversion"/>
  </si>
  <si>
    <t>2019.3</t>
    <phoneticPr fontId="22" type="noConversion"/>
  </si>
  <si>
    <t>ZFMD/KGSQ-19004</t>
  </si>
  <si>
    <t>ZFMD/SD-19027-SH</t>
    <phoneticPr fontId="22" type="noConversion"/>
  </si>
  <si>
    <t>新能源场站一次调频</t>
    <phoneticPr fontId="5" type="noConversion"/>
  </si>
  <si>
    <t>快速调频装置</t>
    <phoneticPr fontId="5" type="noConversion"/>
  </si>
  <si>
    <t>国电</t>
    <phoneticPr fontId="22" type="noConversion"/>
  </si>
  <si>
    <t>芦河</t>
    <phoneticPr fontId="22" type="noConversion"/>
  </si>
  <si>
    <t>无</t>
    <phoneticPr fontId="22" type="noConversion"/>
  </si>
  <si>
    <t>国电陕西新能源有限公司</t>
    <phoneticPr fontId="22" type="noConversion"/>
  </si>
  <si>
    <t>国电陕西新能源有限公司芦河光伏电站一次调频系统物资采购合同</t>
    <phoneticPr fontId="22" type="noConversion"/>
  </si>
  <si>
    <t>2019.1.30</t>
    <phoneticPr fontId="22" type="noConversion"/>
  </si>
  <si>
    <t>风机自动消防</t>
  </si>
  <si>
    <t>明阳智慧能源集团股份公司</t>
    <phoneticPr fontId="22" type="noConversion"/>
  </si>
  <si>
    <t>明阳智慧2019年定边张崾先消防系统采购合同</t>
    <phoneticPr fontId="22" type="noConversion"/>
  </si>
  <si>
    <t>陕西</t>
    <phoneticPr fontId="22" type="noConversion"/>
  </si>
  <si>
    <t>华电</t>
    <phoneticPr fontId="22" type="noConversion"/>
  </si>
  <si>
    <t>张崾先</t>
    <phoneticPr fontId="22" type="noConversion"/>
  </si>
  <si>
    <t>无</t>
    <phoneticPr fontId="22" type="noConversion"/>
  </si>
  <si>
    <t>风电场</t>
    <phoneticPr fontId="22" type="noConversion"/>
  </si>
  <si>
    <t>2019.2.20</t>
    <phoneticPr fontId="22" type="noConversion"/>
  </si>
  <si>
    <t>灭火装置；探测装置；控制装置；通讯装置</t>
    <phoneticPr fontId="1" type="noConversion"/>
  </si>
  <si>
    <t>2019.3.8</t>
    <phoneticPr fontId="22" type="noConversion"/>
  </si>
  <si>
    <t>ZFMD/SD-19029-SH</t>
  </si>
  <si>
    <t>ZFMD/SD-19030-SH</t>
  </si>
  <si>
    <t>ZFMD/SD-19031-SH</t>
  </si>
  <si>
    <t>ZFMD/SD-19032-SH</t>
  </si>
  <si>
    <t>ZFMD/SD-19033-SH</t>
  </si>
  <si>
    <t>ZFMD/SD-19034-SH</t>
  </si>
  <si>
    <t>黑龙江龙源新能源发展有限公司克东分公司</t>
    <phoneticPr fontId="22" type="noConversion"/>
  </si>
  <si>
    <t>克东爱华风电场功率预测服务器设备购销合同</t>
    <phoneticPr fontId="22" type="noConversion"/>
  </si>
  <si>
    <t>克东爱华</t>
    <phoneticPr fontId="22" type="noConversion"/>
  </si>
  <si>
    <t>风电功率预测</t>
    <phoneticPr fontId="22" type="noConversion"/>
  </si>
  <si>
    <t>马梦迪</t>
    <phoneticPr fontId="22" type="noConversion"/>
  </si>
  <si>
    <t>2019.2.15</t>
    <phoneticPr fontId="22" type="noConversion"/>
  </si>
  <si>
    <t>大唐大庆东辉新能源有限公司</t>
    <phoneticPr fontId="22" type="noConversion"/>
  </si>
  <si>
    <t>大唐大庆东辉风电场通讯管理机采购服务合同</t>
    <phoneticPr fontId="22" type="noConversion"/>
  </si>
  <si>
    <t>电力通讯</t>
    <phoneticPr fontId="22" type="noConversion"/>
  </si>
  <si>
    <t>郭文明</t>
    <phoneticPr fontId="22" type="noConversion"/>
  </si>
  <si>
    <t>李妍</t>
    <phoneticPr fontId="22" type="noConversion"/>
  </si>
  <si>
    <t>2019.2.21</t>
    <phoneticPr fontId="22" type="noConversion"/>
  </si>
  <si>
    <t>大唐绥滨吉成风电场数据上传调度施工合同</t>
    <phoneticPr fontId="22" type="noConversion"/>
  </si>
  <si>
    <t>绥滨吉成</t>
    <phoneticPr fontId="22" type="noConversion"/>
  </si>
  <si>
    <t>大唐集贤太阳山风电场数据上传调度施工合同</t>
    <phoneticPr fontId="22" type="noConversion"/>
  </si>
  <si>
    <t>无</t>
    <phoneticPr fontId="22" type="noConversion"/>
  </si>
  <si>
    <t>大唐依兰富强风电场数据上传调度施工合同</t>
    <phoneticPr fontId="22" type="noConversion"/>
  </si>
  <si>
    <t>大唐桦南大架子山风电场数据上传调度施工合同</t>
    <phoneticPr fontId="22" type="noConversion"/>
  </si>
  <si>
    <t>桦南/桦南大架子山</t>
    <phoneticPr fontId="22" type="noConversion"/>
  </si>
  <si>
    <t>ZFMD/SD-19036-SH</t>
  </si>
  <si>
    <t>华能定边新能源发电有限公司</t>
    <phoneticPr fontId="22" type="noConversion"/>
  </si>
  <si>
    <t>风电功率预测</t>
    <phoneticPr fontId="22" type="noConversion"/>
  </si>
  <si>
    <t>技术服务</t>
    <phoneticPr fontId="22" type="noConversion"/>
  </si>
  <si>
    <t>杨振坤</t>
    <phoneticPr fontId="22" type="noConversion"/>
  </si>
  <si>
    <t>ZFMD/SD-19038-SH</t>
    <phoneticPr fontId="22" type="noConversion"/>
  </si>
  <si>
    <t>ZFMD/SD-19039-SH</t>
    <phoneticPr fontId="22" type="noConversion"/>
  </si>
  <si>
    <t>ZFMD/SD-19037-SH</t>
  </si>
  <si>
    <t>国华（乾安）风电有限公司</t>
    <phoneticPr fontId="22" type="noConversion"/>
  </si>
  <si>
    <t>乾安风电场风电功率预测系统服务合同</t>
    <phoneticPr fontId="22" type="noConversion"/>
  </si>
  <si>
    <t>风电功率预测</t>
    <phoneticPr fontId="22" type="noConversion"/>
  </si>
  <si>
    <t>预测服务1年</t>
    <phoneticPr fontId="22" type="noConversion"/>
  </si>
  <si>
    <t>马梦迪</t>
    <phoneticPr fontId="22" type="noConversion"/>
  </si>
  <si>
    <t>2019.3</t>
    <phoneticPr fontId="22" type="noConversion"/>
  </si>
  <si>
    <t>原件</t>
    <phoneticPr fontId="22" type="noConversion"/>
  </si>
  <si>
    <t>2019.1.1</t>
    <phoneticPr fontId="22" type="noConversion"/>
  </si>
  <si>
    <t>2019.12.31</t>
    <phoneticPr fontId="22" type="noConversion"/>
  </si>
  <si>
    <t>未开</t>
    <phoneticPr fontId="22" type="noConversion"/>
  </si>
  <si>
    <t>国华（齐齐哈尔）风电有限公司</t>
    <phoneticPr fontId="22" type="noConversion"/>
  </si>
  <si>
    <t>齐齐哈尔风电公司风电功率预测系统服务合同</t>
    <phoneticPr fontId="22" type="noConversion"/>
  </si>
  <si>
    <t>ZFMD/KGSQ-19002</t>
  </si>
  <si>
    <t>ZFMD/SD-19035-SH</t>
    <phoneticPr fontId="22" type="noConversion"/>
  </si>
  <si>
    <t>林甸东明园风力发电有限公司</t>
    <phoneticPr fontId="22" type="noConversion"/>
  </si>
  <si>
    <t>黑龙江省新能源场站调度系统林甸东明园风电场理论功率子站服务合同</t>
    <phoneticPr fontId="22" type="noConversion"/>
  </si>
  <si>
    <t>大风林甸=东明园+花园</t>
    <phoneticPr fontId="22" type="noConversion"/>
  </si>
  <si>
    <t>黑龙江风电场理论功率上传软件；系统硬件</t>
    <phoneticPr fontId="1" type="noConversion"/>
  </si>
  <si>
    <t>2019.1</t>
    <phoneticPr fontId="22" type="noConversion"/>
  </si>
  <si>
    <t>大庆大丰</t>
    <phoneticPr fontId="22" type="noConversion"/>
  </si>
  <si>
    <t>林甸东明园</t>
    <phoneticPr fontId="22" type="noConversion"/>
  </si>
  <si>
    <t>国际共和光伏电站一二三期光功率预测系统环境气象监测装置采购合同</t>
    <phoneticPr fontId="22" type="noConversion"/>
  </si>
  <si>
    <t>ZFMD/KGSQ-19006</t>
    <phoneticPr fontId="22" type="noConversion"/>
  </si>
  <si>
    <t>ZFMD/SD-19040-SH</t>
    <phoneticPr fontId="22" type="noConversion"/>
  </si>
  <si>
    <t>青海大唐国际共和光伏发电有限责任公司</t>
    <phoneticPr fontId="22" type="noConversion"/>
  </si>
  <si>
    <t>青海</t>
    <phoneticPr fontId="1" type="noConversion"/>
  </si>
  <si>
    <t>国际共和（一二三期）</t>
    <phoneticPr fontId="1" type="noConversion"/>
  </si>
  <si>
    <t>光伏功率预测</t>
    <phoneticPr fontId="1" type="noConversion"/>
  </si>
  <si>
    <t>光伏气象站设备</t>
    <phoneticPr fontId="1" type="noConversion"/>
  </si>
  <si>
    <t>2019.3.30</t>
    <phoneticPr fontId="22" type="noConversion"/>
  </si>
  <si>
    <t>2019.3.5</t>
    <phoneticPr fontId="22" type="noConversion"/>
  </si>
  <si>
    <t xml:space="preserve">  </t>
    <phoneticPr fontId="22" type="noConversion"/>
  </si>
  <si>
    <t>郭文明</t>
    <phoneticPr fontId="22" type="noConversion"/>
  </si>
  <si>
    <t>黑龙江风电场电力安全一区综合通讯系统软件；系统硬件</t>
    <phoneticPr fontId="1" type="noConversion"/>
  </si>
  <si>
    <t>黑龙江风电场电力安全一区综合通讯系统软件；系统硬件</t>
    <phoneticPr fontId="22" type="noConversion"/>
  </si>
  <si>
    <t>建模扩容程序修改</t>
    <phoneticPr fontId="22" type="noConversion"/>
  </si>
  <si>
    <t>ZFMD/SD-19043-SH</t>
  </si>
  <si>
    <t>ZFMD/SD-19045-SH</t>
  </si>
  <si>
    <t>ZFMD/KGSQ-18062</t>
    <phoneticPr fontId="22" type="noConversion"/>
  </si>
  <si>
    <t>ZFMD/SD-19041-SH</t>
    <phoneticPr fontId="22" type="noConversion"/>
  </si>
  <si>
    <t>义县中广核义北风力发电有限公司</t>
    <phoneticPr fontId="22" type="noConversion"/>
  </si>
  <si>
    <t>中广核新能源辽宁义县刘龙台二期风功率扩容采购</t>
    <phoneticPr fontId="22" type="noConversion"/>
  </si>
  <si>
    <t>辽宁</t>
    <phoneticPr fontId="1" type="noConversion"/>
  </si>
  <si>
    <t>中广核</t>
    <phoneticPr fontId="1" type="noConversion"/>
  </si>
  <si>
    <t>刘龙台（二期）</t>
    <phoneticPr fontId="1" type="noConversion"/>
  </si>
  <si>
    <t>建模扩容</t>
    <phoneticPr fontId="5" type="noConversion"/>
  </si>
  <si>
    <t>2019.3.20</t>
    <phoneticPr fontId="22" type="noConversion"/>
  </si>
  <si>
    <t>ZFMD/KGSQ-18009</t>
    <phoneticPr fontId="22" type="noConversion"/>
  </si>
  <si>
    <t>山东龙源风力发电有限公司</t>
    <phoneticPr fontId="22" type="noConversion"/>
  </si>
  <si>
    <t>山东龙源滨海风电场风功率预测系统升级及调试服务项目技术服务合同</t>
    <phoneticPr fontId="22" type="noConversion"/>
  </si>
  <si>
    <t>ZFMD/SD-19042-SH</t>
    <phoneticPr fontId="22" type="noConversion"/>
  </si>
  <si>
    <t>山东</t>
    <phoneticPr fontId="1" type="noConversion"/>
  </si>
  <si>
    <t>龙源</t>
    <phoneticPr fontId="1" type="noConversion"/>
  </si>
  <si>
    <t>滨海龙源</t>
    <phoneticPr fontId="1" type="noConversion"/>
  </si>
  <si>
    <t>沾化</t>
    <phoneticPr fontId="1" type="noConversion"/>
  </si>
  <si>
    <t>孙立中</t>
    <phoneticPr fontId="22" type="noConversion"/>
  </si>
  <si>
    <t>海浪风电场风电功率预测系统技术服务合同书</t>
    <phoneticPr fontId="22" type="noConversion"/>
  </si>
  <si>
    <t>海浪</t>
    <phoneticPr fontId="1" type="noConversion"/>
  </si>
  <si>
    <t>2019.2.1</t>
    <phoneticPr fontId="22" type="noConversion"/>
  </si>
  <si>
    <t>2020.1.31</t>
    <phoneticPr fontId="22" type="noConversion"/>
  </si>
  <si>
    <t>ZFMD/KGSQ-18043</t>
    <phoneticPr fontId="22" type="noConversion"/>
  </si>
  <si>
    <t>ZFMD/SD-19044-SH</t>
    <phoneticPr fontId="22" type="noConversion"/>
  </si>
  <si>
    <t>大安润风能源开发有限公司</t>
    <phoneticPr fontId="22" type="noConversion"/>
  </si>
  <si>
    <t>吉林</t>
    <phoneticPr fontId="1" type="noConversion"/>
  </si>
  <si>
    <t>198MW</t>
    <phoneticPr fontId="22" type="noConversion"/>
  </si>
  <si>
    <t>短期软件；超短期软件；系统硬件；测风塔设备</t>
    <phoneticPr fontId="1" type="noConversion"/>
  </si>
  <si>
    <t>2019.3.22</t>
    <phoneticPr fontId="22" type="noConversion"/>
  </si>
  <si>
    <t>三峡新能源新疆哈密苦水风电场200MW项目气象服务项目技术服务合同</t>
    <phoneticPr fontId="22" type="noConversion"/>
  </si>
  <si>
    <t>ZFMD/KGSQ-19008</t>
    <phoneticPr fontId="22" type="noConversion"/>
  </si>
  <si>
    <t>ZFMD/SD-19046-SH</t>
    <phoneticPr fontId="22" type="noConversion"/>
  </si>
  <si>
    <t>华润新能源光伏发电（泰来）有限公司</t>
    <phoneticPr fontId="22" type="noConversion"/>
  </si>
  <si>
    <t>华润新能源光伏发电（泰来）有限公司胜利光伏电站数据上传省调服务合同</t>
    <phoneticPr fontId="22" type="noConversion"/>
  </si>
  <si>
    <t>华润</t>
    <phoneticPr fontId="1" type="noConversion"/>
  </si>
  <si>
    <t>泰来胜利</t>
    <phoneticPr fontId="1" type="noConversion"/>
  </si>
  <si>
    <t>黑龙江光伏电站综合通讯管理系统软件；系统硬件</t>
    <phoneticPr fontId="1" type="noConversion"/>
  </si>
  <si>
    <t>韩志宇</t>
    <phoneticPr fontId="22" type="noConversion"/>
  </si>
  <si>
    <t>ZFMD/SD-19047-SH</t>
  </si>
  <si>
    <t>超短期上传程序修改，狼尔沟和杨井一二期两个场站都做修改，只收一个场站的费用。</t>
    <phoneticPr fontId="22" type="noConversion"/>
  </si>
  <si>
    <t>2019.4.17</t>
    <phoneticPr fontId="22" type="noConversion"/>
  </si>
  <si>
    <t>三峡新能源</t>
    <phoneticPr fontId="1" type="noConversion"/>
  </si>
  <si>
    <t>苦水</t>
    <phoneticPr fontId="1" type="noConversion"/>
  </si>
  <si>
    <t>ZFMD/SD-19048-SH</t>
  </si>
  <si>
    <t>大庆德美特尔能源科技有限公司</t>
    <phoneticPr fontId="22" type="noConversion"/>
  </si>
  <si>
    <t>林口胜利风电场理论功率系统改造合同</t>
    <phoneticPr fontId="22" type="noConversion"/>
  </si>
  <si>
    <t>大庆大丰</t>
    <phoneticPr fontId="5" type="noConversion"/>
  </si>
  <si>
    <t>林口胜利</t>
    <phoneticPr fontId="5" type="noConversion"/>
  </si>
  <si>
    <t>大丰林口</t>
    <phoneticPr fontId="5" type="noConversion"/>
  </si>
  <si>
    <t>2019.4</t>
    <phoneticPr fontId="22" type="noConversion"/>
  </si>
  <si>
    <t>尚义石井风电场测风数据上传服务合同</t>
    <phoneticPr fontId="22" type="noConversion"/>
  </si>
  <si>
    <t>ZFMD/SD-19049-SH</t>
  </si>
  <si>
    <t>到保</t>
    <phoneticPr fontId="5" type="noConversion"/>
  </si>
  <si>
    <t>新誉集团有限公司</t>
    <phoneticPr fontId="22" type="noConversion"/>
  </si>
  <si>
    <t>电力安全三区综合通讯系统软件升级河北版</t>
    <phoneticPr fontId="22" type="noConversion"/>
  </si>
  <si>
    <t>系统硬件；测风塔设备</t>
    <phoneticPr fontId="1" type="noConversion"/>
  </si>
  <si>
    <t>2019.4.24</t>
    <phoneticPr fontId="22" type="noConversion"/>
  </si>
  <si>
    <t>2019.4.25</t>
    <phoneticPr fontId="22" type="noConversion"/>
  </si>
  <si>
    <t>到保风电场系统硬件、测风塔设备产品买卖合同</t>
    <phoneticPr fontId="22" type="noConversion"/>
  </si>
  <si>
    <t>ZFMD/KGSQ-19007</t>
  </si>
  <si>
    <t>ZFMD/SD-19050-SH</t>
    <phoneticPr fontId="22" type="noConversion"/>
  </si>
  <si>
    <t>风功率预测系统项目硬件设备采购合同</t>
    <phoneticPr fontId="22" type="noConversion"/>
  </si>
  <si>
    <t>ZFMD/SD-18151-SH-BG01
ZFMD/SD-18151-SH-BG02</t>
    <phoneticPr fontId="22" type="noConversion"/>
  </si>
  <si>
    <t>华电</t>
    <phoneticPr fontId="1" type="noConversion"/>
  </si>
  <si>
    <t>十三间房四期</t>
    <phoneticPr fontId="1" type="noConversion"/>
  </si>
  <si>
    <t>无</t>
    <phoneticPr fontId="22" type="noConversion"/>
  </si>
  <si>
    <t>系统硬件</t>
    <phoneticPr fontId="1" type="noConversion"/>
  </si>
  <si>
    <t>2019.5.6</t>
    <phoneticPr fontId="22" type="noConversion"/>
  </si>
  <si>
    <t>2019.4.11</t>
    <phoneticPr fontId="22" type="noConversion"/>
  </si>
  <si>
    <t>2019.5.7</t>
    <phoneticPr fontId="22" type="noConversion"/>
  </si>
  <si>
    <t>东辉（祝三+青山）</t>
    <phoneticPr fontId="22" type="noConversion"/>
  </si>
  <si>
    <t>祝三+青山</t>
    <phoneticPr fontId="22" type="noConversion"/>
  </si>
  <si>
    <t>2019年5月6日，因税率由16%调整为13%，合同金额由48.8万元变为47.537931万元。</t>
    <phoneticPr fontId="22" type="noConversion"/>
  </si>
  <si>
    <t>ZFMD/SD-19030-SH-BG01</t>
    <phoneticPr fontId="22" type="noConversion"/>
  </si>
  <si>
    <t>合同作废</t>
    <phoneticPr fontId="22" type="noConversion"/>
  </si>
  <si>
    <t>ZFMD/SD-19051-SH</t>
  </si>
  <si>
    <t>国家电投集团广西金紫山风电有限公司</t>
    <phoneticPr fontId="22" type="noConversion"/>
  </si>
  <si>
    <t>国家电投集团广西金紫山风电有限公司金紫山风电场风功率系统技术服务及气象信息采购合同</t>
    <phoneticPr fontId="22" type="noConversion"/>
  </si>
  <si>
    <t>金紫山</t>
    <phoneticPr fontId="1" type="noConversion"/>
  </si>
  <si>
    <t>无</t>
    <phoneticPr fontId="22" type="noConversion"/>
  </si>
  <si>
    <t>预测服务2年</t>
    <phoneticPr fontId="22" type="noConversion"/>
  </si>
  <si>
    <t>秦英飞</t>
    <phoneticPr fontId="22" type="noConversion"/>
  </si>
  <si>
    <t>2019.4.17</t>
    <phoneticPr fontId="22" type="noConversion"/>
  </si>
  <si>
    <t>2019.3.1</t>
    <phoneticPr fontId="22" type="noConversion"/>
  </si>
  <si>
    <t>2021.2.28</t>
    <phoneticPr fontId="22" type="noConversion"/>
  </si>
  <si>
    <t>2019.5.14</t>
    <phoneticPr fontId="22" type="noConversion"/>
  </si>
  <si>
    <t>2018年10月15日，因税率由17%调整为16%，合同金额由19.5万元变为19.333333万元。接口费8000元付给个人。</t>
    <phoneticPr fontId="22" type="noConversion"/>
  </si>
  <si>
    <t>建模扩容；测风塔；测风塔设备；预测服务1年</t>
    <phoneticPr fontId="1" type="noConversion"/>
  </si>
  <si>
    <t>李妍2019年3月7日与销售经理王龙波确认此合同包含预测服务1年。
2019年5月21日，因税率由16%调整为13%，合同金额由26.54万元变为25.853621万元。</t>
    <phoneticPr fontId="22" type="noConversion"/>
  </si>
  <si>
    <t>ZFMD/SD-19052-SH</t>
  </si>
  <si>
    <t>新疆伊犁库克苏河水电开发有限公司</t>
    <phoneticPr fontId="22" type="noConversion"/>
  </si>
  <si>
    <t>五凌布尔津风电场49.5MW项目风功率预测系统技术服务合同</t>
    <phoneticPr fontId="22" type="noConversion"/>
  </si>
  <si>
    <t>布尔津</t>
    <phoneticPr fontId="1" type="noConversion"/>
  </si>
  <si>
    <t>无</t>
    <phoneticPr fontId="1" type="noConversion"/>
  </si>
  <si>
    <t>预测服务1年</t>
    <phoneticPr fontId="22" type="noConversion"/>
  </si>
  <si>
    <t>张铁民</t>
    <phoneticPr fontId="22" type="noConversion"/>
  </si>
  <si>
    <t>2019.5.21</t>
    <phoneticPr fontId="22" type="noConversion"/>
  </si>
  <si>
    <t>2019.4.27</t>
    <phoneticPr fontId="22" type="noConversion"/>
  </si>
  <si>
    <t>2019.1.1</t>
    <phoneticPr fontId="22" type="noConversion"/>
  </si>
  <si>
    <t>2019.12.31</t>
    <phoneticPr fontId="22" type="noConversion"/>
  </si>
  <si>
    <t>49.5MW</t>
    <phoneticPr fontId="22" type="noConversion"/>
  </si>
  <si>
    <t>2019年5月21日，因税率由16%调整为13%，合同金额由11.9万元变为11.592242万元。</t>
    <phoneticPr fontId="22" type="noConversion"/>
  </si>
  <si>
    <t>ZFMD/SD-19053-SH</t>
  </si>
  <si>
    <t>福建省福能新能源有限责任公司</t>
    <phoneticPr fontId="22" type="noConversion"/>
  </si>
  <si>
    <t>福建</t>
    <phoneticPr fontId="1" type="noConversion"/>
  </si>
  <si>
    <t>福能</t>
    <phoneticPr fontId="1" type="noConversion"/>
  </si>
  <si>
    <t>测风塔设备</t>
    <phoneticPr fontId="22" type="noConversion"/>
  </si>
  <si>
    <t>秦英飞</t>
    <phoneticPr fontId="22" type="noConversion"/>
  </si>
  <si>
    <t>2019.5.21</t>
    <phoneticPr fontId="22" type="noConversion"/>
  </si>
  <si>
    <t>2019.4.15</t>
    <phoneticPr fontId="22" type="noConversion"/>
  </si>
  <si>
    <t>大蚶山风电场测风设备更换合同</t>
    <phoneticPr fontId="22" type="noConversion"/>
  </si>
  <si>
    <t>ZFMD/SHFW-2019009</t>
    <phoneticPr fontId="22" type="noConversion"/>
  </si>
  <si>
    <t>技术服务；系统硬件</t>
    <phoneticPr fontId="22" type="noConversion"/>
  </si>
  <si>
    <t>ZFMD/SD-19054-SH</t>
  </si>
  <si>
    <t>ZFMD/SD-19055-SH</t>
  </si>
  <si>
    <t>ZFMD/SD-19056-SH</t>
  </si>
  <si>
    <t>ZFMD/SD-19057-SH</t>
  </si>
  <si>
    <t>ZFMD/SD-19058-SH</t>
  </si>
  <si>
    <t>ZFMD/SD-19059-SH</t>
  </si>
  <si>
    <t>ZFMD/SD-19060-SH</t>
  </si>
  <si>
    <t>ZFMD/SD-19061-SH</t>
  </si>
  <si>
    <t>ZFMD/SD-19062-SH</t>
  </si>
  <si>
    <t>伊吾东方民生风电场2019年风电功率预测系统维护技术服务合同</t>
    <phoneticPr fontId="22" type="noConversion"/>
  </si>
  <si>
    <t>巴里坤东方民生风电场2019年风电功率预测系统维护技术服务合同</t>
    <phoneticPr fontId="22" type="noConversion"/>
  </si>
  <si>
    <t>哈密东方民生石城子光伏一二期2019年光功率预测系统维护技术服务合同</t>
    <phoneticPr fontId="22" type="noConversion"/>
  </si>
  <si>
    <t>新疆华电苦水风电场2019年风电功率预测系统维护技术服务合同</t>
    <phoneticPr fontId="22" type="noConversion"/>
  </si>
  <si>
    <t>新疆华电淖毛湖风电场2019年风电功率预测系统维护技术服务合同</t>
    <phoneticPr fontId="22" type="noConversion"/>
  </si>
  <si>
    <t>华电石城子光伏三期2019年光功率预测系统维护技术服务合同</t>
    <phoneticPr fontId="22" type="noConversion"/>
  </si>
  <si>
    <t>华电石城子光伏一二期2019年光功率预测系统维护技术服务合同</t>
    <phoneticPr fontId="22" type="noConversion"/>
  </si>
  <si>
    <t>哈密力诺石城子光伏2019年光功率预测系统维护技术服务合同</t>
    <phoneticPr fontId="22" type="noConversion"/>
  </si>
  <si>
    <t>新疆华电十三间房三期风电场2019年风电功率预测系统维护技术服务合同</t>
    <phoneticPr fontId="22" type="noConversion"/>
  </si>
  <si>
    <t>ZFMD/SD-19063-SH</t>
    <phoneticPr fontId="22" type="noConversion"/>
  </si>
  <si>
    <t>ZFMD/KGSQ-19020</t>
  </si>
  <si>
    <t>到保风电场测风塔设备产品买卖合同</t>
    <phoneticPr fontId="22" type="noConversion"/>
  </si>
  <si>
    <t>到保</t>
    <phoneticPr fontId="1" type="noConversion"/>
  </si>
  <si>
    <t>无</t>
    <phoneticPr fontId="22" type="noConversion"/>
  </si>
  <si>
    <t>测风塔设备</t>
    <phoneticPr fontId="22" type="noConversion"/>
  </si>
  <si>
    <t>王星</t>
    <phoneticPr fontId="22" type="noConversion"/>
  </si>
  <si>
    <t>2019.6</t>
    <phoneticPr fontId="22" type="noConversion"/>
  </si>
  <si>
    <t>ZFMD/KGSQ-19011</t>
  </si>
  <si>
    <t>ZFMD/SD-19064-SH</t>
    <phoneticPr fontId="22" type="noConversion"/>
  </si>
  <si>
    <t>福建永福电力设计股份有限公司</t>
    <phoneticPr fontId="22" type="noConversion"/>
  </si>
  <si>
    <t>南安高嵛山风电场工程风功率预测系统采购合同结算补充协议</t>
    <phoneticPr fontId="22" type="noConversion"/>
  </si>
  <si>
    <t>秦英飞</t>
    <phoneticPr fontId="22" type="noConversion"/>
  </si>
  <si>
    <t>合同17074补充协议</t>
    <phoneticPr fontId="22" type="noConversion"/>
  </si>
  <si>
    <t>ZFMD/KGSQ-19022</t>
  </si>
  <si>
    <t>ZFMD/SD-19065-SH</t>
    <phoneticPr fontId="22" type="noConversion"/>
  </si>
  <si>
    <t>三峡新能源开原风电有限公司</t>
    <phoneticPr fontId="22" type="noConversion"/>
  </si>
  <si>
    <t>三峡新能源辽宁省开原威远风电场（49.5MW）工程测风塔维护和风速风向仪更换协议</t>
    <phoneticPr fontId="22" type="noConversion"/>
  </si>
  <si>
    <t>辽宁</t>
    <phoneticPr fontId="18" type="noConversion"/>
  </si>
  <si>
    <t>三峡新能源</t>
    <phoneticPr fontId="18" type="noConversion"/>
  </si>
  <si>
    <t>三峡威远</t>
    <phoneticPr fontId="18" type="noConversion"/>
  </si>
  <si>
    <t>开原威远</t>
    <phoneticPr fontId="18" type="noConversion"/>
  </si>
  <si>
    <t>马梦迪</t>
    <phoneticPr fontId="22" type="noConversion"/>
  </si>
  <si>
    <t>2019.6.3</t>
    <phoneticPr fontId="22" type="noConversion"/>
  </si>
  <si>
    <t>ZFMD/SD-19066-SH</t>
    <phoneticPr fontId="22" type="noConversion"/>
  </si>
  <si>
    <t>ZFMD/KGSQ-19021</t>
    <phoneticPr fontId="22" type="noConversion"/>
  </si>
  <si>
    <t>黑龙江富龙风力发电有限责任公司</t>
    <phoneticPr fontId="22" type="noConversion"/>
  </si>
  <si>
    <t>风功率预测服务器采购及软件升级合同</t>
    <phoneticPr fontId="22" type="noConversion"/>
  </si>
  <si>
    <t>中闽能</t>
    <phoneticPr fontId="18" type="noConversion"/>
  </si>
  <si>
    <t>五顶山</t>
    <phoneticPr fontId="18" type="noConversion"/>
  </si>
  <si>
    <t>技术服务；系统硬件</t>
    <phoneticPr fontId="1" type="noConversion"/>
  </si>
  <si>
    <t>2019.6.3</t>
    <phoneticPr fontId="22" type="noConversion"/>
  </si>
  <si>
    <t>2019.5.27</t>
    <phoneticPr fontId="22" type="noConversion"/>
  </si>
  <si>
    <t>预测服务1年针对横山二期。
2019年6月5日，因税率16%变更为13%，合同额由35.6万元变更为34.679310万元。</t>
    <phoneticPr fontId="22" type="noConversion"/>
  </si>
  <si>
    <t>测风塔三区接入</t>
    <phoneticPr fontId="22" type="noConversion"/>
  </si>
  <si>
    <t>辽宁风电场D5000二区软件升级</t>
    <phoneticPr fontId="1" type="noConversion"/>
  </si>
  <si>
    <t>测风塔维护；测风塔设备</t>
    <phoneticPr fontId="22" type="noConversion"/>
  </si>
  <si>
    <t>ZFMD/SD-19020-1-SH-BG01</t>
    <phoneticPr fontId="22" type="noConversion"/>
  </si>
  <si>
    <t>ZFMD/SD-19021-1-SH-BG01</t>
    <phoneticPr fontId="22" type="noConversion"/>
  </si>
  <si>
    <t>2019.6.18</t>
    <phoneticPr fontId="22" type="noConversion"/>
  </si>
  <si>
    <t>ZFMD/SD-19067-SH</t>
  </si>
  <si>
    <t>ZFMD/SD-19068-SH</t>
  </si>
  <si>
    <t>大蚶山风电场测风设备采购合同</t>
    <phoneticPr fontId="22" type="noConversion"/>
  </si>
  <si>
    <t>秦英飞</t>
    <phoneticPr fontId="22" type="noConversion"/>
  </si>
  <si>
    <t>/</t>
    <phoneticPr fontId="22" type="noConversion"/>
  </si>
  <si>
    <t>ZFMD/SHFW-2019022</t>
    <phoneticPr fontId="22" type="noConversion"/>
  </si>
  <si>
    <t>大唐大庆东辉新能源有限公司</t>
    <phoneticPr fontId="22" type="noConversion"/>
  </si>
  <si>
    <t>大唐大庆东辉祝三风电场综合通讯管理系统采购与安装合同</t>
    <phoneticPr fontId="22" type="noConversion"/>
  </si>
  <si>
    <t>李妍</t>
    <phoneticPr fontId="22" type="noConversion"/>
  </si>
  <si>
    <t>海林威虎山一期</t>
    <phoneticPr fontId="1" type="noConversion"/>
  </si>
  <si>
    <t>黑龙江风电场综合通讯管理系统软件；系统硬件</t>
    <phoneticPr fontId="5" type="noConversion"/>
  </si>
  <si>
    <t>2019.6.21</t>
    <phoneticPr fontId="22" type="noConversion"/>
  </si>
  <si>
    <t>2019.5.24</t>
    <phoneticPr fontId="22" type="noConversion"/>
  </si>
  <si>
    <t>2019.5.27</t>
    <phoneticPr fontId="22" type="noConversion"/>
  </si>
  <si>
    <t>ZFMD/SD-19063-SH-BG01
ZFMD/SD-19063-SH-BG02</t>
    <phoneticPr fontId="22" type="noConversion"/>
  </si>
  <si>
    <t>ZFMD/SD-19069-SH</t>
  </si>
  <si>
    <t>石塘</t>
    <phoneticPr fontId="1" type="noConversion"/>
  </si>
  <si>
    <t>莆田石塘</t>
    <phoneticPr fontId="1" type="noConversion"/>
  </si>
  <si>
    <t>2019.6.29</t>
    <phoneticPr fontId="22" type="noConversion"/>
  </si>
  <si>
    <t>2019.6.12</t>
    <phoneticPr fontId="22" type="noConversion"/>
  </si>
  <si>
    <t>ZFMD/SHFW-2019024</t>
  </si>
  <si>
    <t>ZFMD/SD-18178-1-SH</t>
    <phoneticPr fontId="22" type="noConversion"/>
  </si>
  <si>
    <t>ZFMD/SD-18178-2-SH</t>
    <phoneticPr fontId="22" type="noConversion"/>
  </si>
  <si>
    <t>ZFMD/KGSQ-18037</t>
  </si>
  <si>
    <t>软件升级；系统硬件</t>
  </si>
  <si>
    <t>ZFMD/SD-19031-SH-BG01</t>
    <phoneticPr fontId="22" type="noConversion"/>
  </si>
  <si>
    <t>ZFMD/SD-17119-SH-BG01</t>
    <phoneticPr fontId="10" type="noConversion"/>
  </si>
  <si>
    <t>ZFMD/SD-19070-SH</t>
  </si>
  <si>
    <t>海浪风电场系统硬件购销合同</t>
    <phoneticPr fontId="22" type="noConversion"/>
  </si>
  <si>
    <t>海林海浪</t>
    <phoneticPr fontId="1" type="noConversion"/>
  </si>
  <si>
    <t>2019.7.1</t>
    <phoneticPr fontId="22" type="noConversion"/>
  </si>
  <si>
    <t>2019.7.10</t>
    <phoneticPr fontId="22" type="noConversion"/>
  </si>
  <si>
    <t>2019.7.12</t>
    <phoneticPr fontId="22" type="noConversion"/>
  </si>
  <si>
    <t>ZFMD/KGSQ-19027</t>
    <phoneticPr fontId="22" type="noConversion"/>
  </si>
  <si>
    <t>吉电（滁州）章广风力发电有限公司</t>
    <phoneticPr fontId="22" type="noConversion"/>
  </si>
  <si>
    <t>安徽</t>
    <phoneticPr fontId="1" type="noConversion"/>
  </si>
  <si>
    <t>章广</t>
    <phoneticPr fontId="1" type="noConversion"/>
  </si>
  <si>
    <t>安徽南谯/常山</t>
    <phoneticPr fontId="22" type="noConversion"/>
  </si>
  <si>
    <t>ZFMD/SD-19071-SH</t>
    <phoneticPr fontId="22" type="noConversion"/>
  </si>
  <si>
    <t>2019.7.9</t>
    <phoneticPr fontId="22" type="noConversion"/>
  </si>
  <si>
    <t>ZFMD/SD-19075-SH</t>
  </si>
  <si>
    <t>ZFMD/SD-19077-SH</t>
  </si>
  <si>
    <t>2019.7.22</t>
    <phoneticPr fontId="22" type="noConversion"/>
  </si>
  <si>
    <t>2019.7.15</t>
    <phoneticPr fontId="22" type="noConversion"/>
  </si>
  <si>
    <t>2019.6.1</t>
    <phoneticPr fontId="22" type="noConversion"/>
  </si>
  <si>
    <t>2020.5.31</t>
    <phoneticPr fontId="22" type="noConversion"/>
  </si>
  <si>
    <t>ZFMD/KGSQ-19019</t>
    <phoneticPr fontId="22" type="noConversion"/>
  </si>
  <si>
    <t>ZFMD/SD-19072-SH</t>
    <phoneticPr fontId="22" type="noConversion"/>
  </si>
  <si>
    <t>黑龙江阿一电气有限责任公司</t>
    <phoneticPr fontId="22" type="noConversion"/>
  </si>
  <si>
    <t>大唐依兰晨光风电场数据上传调度施工合同</t>
    <phoneticPr fontId="22" type="noConversion"/>
  </si>
  <si>
    <t>2019.6.5</t>
    <phoneticPr fontId="22" type="noConversion"/>
  </si>
  <si>
    <t>ZFMD/KGSQ-19017</t>
    <phoneticPr fontId="22" type="noConversion"/>
  </si>
  <si>
    <t>ZFMD/SD-19073-SH</t>
    <phoneticPr fontId="22" type="noConversion"/>
  </si>
  <si>
    <t>大唐海林威虎山风电场数据上传调度施工合同</t>
    <phoneticPr fontId="22" type="noConversion"/>
  </si>
  <si>
    <t>ZFMD/KGSQ-19018</t>
    <phoneticPr fontId="22" type="noConversion"/>
  </si>
  <si>
    <t>大唐桦川苏家店风电场数据上传调度施工合同</t>
    <phoneticPr fontId="22" type="noConversion"/>
  </si>
  <si>
    <t>ZFMD/SD-19074-SH</t>
    <phoneticPr fontId="22" type="noConversion"/>
  </si>
  <si>
    <t>华电福新木垒一期光伏电站光功率预测气象数据服务合同（2019年度）</t>
    <phoneticPr fontId="22" type="noConversion"/>
  </si>
  <si>
    <t>福新木垒光伏一电站</t>
    <phoneticPr fontId="1" type="noConversion"/>
  </si>
  <si>
    <t>2019.7</t>
    <phoneticPr fontId="22" type="noConversion"/>
  </si>
  <si>
    <t>2019.2.11</t>
    <phoneticPr fontId="22" type="noConversion"/>
  </si>
  <si>
    <t>2020.2.10</t>
    <phoneticPr fontId="22" type="noConversion"/>
  </si>
  <si>
    <t>ZFMD/KGSQ-19015</t>
    <phoneticPr fontId="22" type="noConversion"/>
  </si>
  <si>
    <t>ZFMD/SD-19076-SH</t>
    <phoneticPr fontId="22" type="noConversion"/>
  </si>
  <si>
    <t>龙源（农安）风力发电有限公司</t>
    <phoneticPr fontId="22" type="noConversion"/>
  </si>
  <si>
    <t>永安风电场风功率预测系统更换技术服务合同</t>
    <phoneticPr fontId="22" type="noConversion"/>
  </si>
  <si>
    <t>永安</t>
    <phoneticPr fontId="1" type="noConversion"/>
  </si>
  <si>
    <t>2019.7.11</t>
    <phoneticPr fontId="22" type="noConversion"/>
  </si>
  <si>
    <t>2019.5.17</t>
    <phoneticPr fontId="22" type="noConversion"/>
  </si>
  <si>
    <t>ZFMD/KGSQ-19016</t>
    <phoneticPr fontId="22" type="noConversion"/>
  </si>
  <si>
    <t>通榆新发风力发电有限公司</t>
    <phoneticPr fontId="22" type="noConversion"/>
  </si>
  <si>
    <t>兴隆山风电场风功率预测系统更换技术服务合同</t>
    <phoneticPr fontId="22" type="noConversion"/>
  </si>
  <si>
    <t>兴隆山</t>
    <phoneticPr fontId="1" type="noConversion"/>
  </si>
  <si>
    <t>ZFMD/SD-19033-SH-BG01</t>
    <phoneticPr fontId="22" type="noConversion"/>
  </si>
  <si>
    <t>ZFMD/SD-19034-SH-BG01</t>
    <phoneticPr fontId="22" type="noConversion"/>
  </si>
  <si>
    <t>2019年6月24日，因税率由16%调整为13%，由10%调整为9%，合同金额由28.5万元变为28.2193万元。</t>
    <phoneticPr fontId="22" type="noConversion"/>
  </si>
  <si>
    <t>2019年6月24日，因税率由16%调整为13%，由10%调整为9%，合同金额由28.5万元变为28.25775万元。</t>
    <phoneticPr fontId="22" type="noConversion"/>
  </si>
  <si>
    <t>吉电（滁州）章广风力发电有限公司风电场风电功率预测技术服务和维护服务合同</t>
    <phoneticPr fontId="22" type="noConversion"/>
  </si>
  <si>
    <t>ZFMD/SD-19078-SH</t>
  </si>
  <si>
    <t>中闽能</t>
    <phoneticPr fontId="1" type="noConversion"/>
  </si>
  <si>
    <t>乌尔古力</t>
    <phoneticPr fontId="1" type="noConversion"/>
  </si>
  <si>
    <t>五顶山</t>
    <phoneticPr fontId="1" type="noConversion"/>
  </si>
  <si>
    <t>2019.7.26</t>
    <phoneticPr fontId="22" type="noConversion"/>
  </si>
  <si>
    <t>2020.4.30</t>
    <phoneticPr fontId="22" type="noConversion"/>
  </si>
  <si>
    <t>乌尔古力山、五顶山风电场风电功率预测系统技术服务合同</t>
    <phoneticPr fontId="1" type="noConversion"/>
  </si>
  <si>
    <t>鸡西平岗风电场综合通讯管理终端采购合同</t>
    <phoneticPr fontId="22" type="noConversion"/>
  </si>
  <si>
    <t>ZFMD/KGSQ-19010</t>
    <phoneticPr fontId="22" type="noConversion"/>
  </si>
  <si>
    <t>华仪</t>
    <phoneticPr fontId="1" type="noConversion"/>
  </si>
  <si>
    <t>平岗</t>
    <phoneticPr fontId="1" type="noConversion"/>
  </si>
  <si>
    <t>ZFMD/SD-19079-SH</t>
    <phoneticPr fontId="22" type="noConversion"/>
  </si>
  <si>
    <t>ZFMD/SD-19080-1-SH</t>
    <phoneticPr fontId="22" type="noConversion"/>
  </si>
  <si>
    <t>ZFMD/SD-19080-2-SH</t>
  </si>
  <si>
    <t>ZFMD/SD-19080-3-SH</t>
  </si>
  <si>
    <t>华电新疆达坂城大连湖风电一场、西沟风电一场、白杨沟风电一场风功率预测系统服务合同书</t>
    <phoneticPr fontId="22" type="noConversion"/>
  </si>
  <si>
    <t>2018.9.1</t>
    <phoneticPr fontId="22" type="noConversion"/>
  </si>
  <si>
    <t>2019.8.31</t>
    <phoneticPr fontId="22" type="noConversion"/>
  </si>
  <si>
    <t>2019年8月2日，因税率由16%调整为13%，合同金额由9.48万元变为9.2348万元。</t>
    <phoneticPr fontId="22" type="noConversion"/>
  </si>
  <si>
    <t>2019年8月2日，因税率由10%调整为9%，合同金额由23.56万元变为23.3458万元。</t>
    <phoneticPr fontId="22" type="noConversion"/>
  </si>
  <si>
    <t>2019年8月2日，因税率由10%调整为9%，合同金额由28.56万元变为28.3003万元。</t>
    <phoneticPr fontId="22" type="noConversion"/>
  </si>
  <si>
    <t>ZFMD/SD-18027-1-SH-BG01</t>
    <phoneticPr fontId="22" type="noConversion"/>
  </si>
  <si>
    <t>ZFMD/SD-18002-SH-BG01
ZFMD/SD-18002-SH-BG02</t>
    <phoneticPr fontId="5" type="noConversion"/>
  </si>
  <si>
    <t>ZFMD/SD-19081-SH</t>
    <phoneticPr fontId="22" type="noConversion"/>
  </si>
  <si>
    <t>ZFMD/SD-19082-SH</t>
  </si>
  <si>
    <t>ZFMD/SD-19083-SH</t>
  </si>
  <si>
    <t>ZFMD/SD-19084-SH</t>
  </si>
  <si>
    <t>ZFMD/SD-19085-SH</t>
  </si>
  <si>
    <t>ZFMD/SD-19086-SH</t>
  </si>
  <si>
    <t>汤原渠首风电功率预测系统服务合同书</t>
    <phoneticPr fontId="22" type="noConversion"/>
  </si>
  <si>
    <t>渠首</t>
    <phoneticPr fontId="5" type="noConversion"/>
  </si>
  <si>
    <t>2019.8.15</t>
    <phoneticPr fontId="22" type="noConversion"/>
  </si>
  <si>
    <t>2019.8.12</t>
    <phoneticPr fontId="22" type="noConversion"/>
  </si>
  <si>
    <t>石青山</t>
    <phoneticPr fontId="5" type="noConversion"/>
  </si>
  <si>
    <t>孚尧电力工程设计（上海）有限公司</t>
    <phoneticPr fontId="22" type="noConversion"/>
  </si>
  <si>
    <t>汉风泗县草庙49.5MW风电项目风功率预测系统及其附属设备采购合同</t>
    <phoneticPr fontId="22" type="noConversion"/>
  </si>
  <si>
    <t>中伏能源</t>
    <phoneticPr fontId="22" type="noConversion"/>
  </si>
  <si>
    <t>泗县草庙</t>
    <phoneticPr fontId="22" type="noConversion"/>
  </si>
  <si>
    <t>短期软件；超短期软件；系统硬件；预测服务2年</t>
    <phoneticPr fontId="22" type="noConversion"/>
  </si>
  <si>
    <t>2019.8</t>
    <phoneticPr fontId="22" type="noConversion"/>
  </si>
  <si>
    <t>中卫市麦垛山新能源有限公司
吴忠市白塔风力发电有限公司</t>
    <phoneticPr fontId="22" type="noConversion"/>
  </si>
  <si>
    <t>中卫市麦垛山新能源有限公司200MW风电项目测风塔及测风设备采购合同</t>
    <phoneticPr fontId="22" type="noConversion"/>
  </si>
  <si>
    <t>中电建</t>
    <phoneticPr fontId="22" type="noConversion"/>
  </si>
  <si>
    <t>麦垛山</t>
    <phoneticPr fontId="22" type="noConversion"/>
  </si>
  <si>
    <t>测风塔；测风塔设备</t>
    <phoneticPr fontId="22" type="noConversion"/>
  </si>
  <si>
    <t>国电和风风电开发有限公司桦川分公司</t>
    <phoneticPr fontId="22" type="noConversion"/>
  </si>
  <si>
    <t>国电和风</t>
    <phoneticPr fontId="22" type="noConversion"/>
  </si>
  <si>
    <t>青龙</t>
    <phoneticPr fontId="22" type="noConversion"/>
  </si>
  <si>
    <t>大青背</t>
    <phoneticPr fontId="22" type="noConversion"/>
  </si>
  <si>
    <t>ZFMD/KGSQ-19023</t>
  </si>
  <si>
    <t>ZFMD/SD-19087-SH</t>
    <phoneticPr fontId="22" type="noConversion"/>
  </si>
  <si>
    <t>2019.6.25</t>
    <phoneticPr fontId="22" type="noConversion"/>
  </si>
  <si>
    <t>ZFMD/SD-19088-SH</t>
  </si>
  <si>
    <t>山东龙源滨海风电场风功率预测系统维护服务项目技术服务合同</t>
    <phoneticPr fontId="22" type="noConversion"/>
  </si>
  <si>
    <t>山东</t>
    <phoneticPr fontId="22" type="noConversion"/>
  </si>
  <si>
    <t>滨海龙源</t>
    <phoneticPr fontId="22" type="noConversion"/>
  </si>
  <si>
    <t>沾化</t>
    <phoneticPr fontId="22" type="noConversion"/>
  </si>
  <si>
    <t>2019.7.23</t>
    <phoneticPr fontId="22" type="noConversion"/>
  </si>
  <si>
    <t>18016-2019</t>
    <phoneticPr fontId="22" type="noConversion"/>
  </si>
  <si>
    <t>2019.1.20</t>
    <phoneticPr fontId="22" type="noConversion"/>
  </si>
  <si>
    <t>2020.1.20</t>
    <phoneticPr fontId="22" type="noConversion"/>
  </si>
  <si>
    <t>2019年8月19日因税率由16%调整为13%，合同金额由31.4325万元变为30.619591万元。</t>
    <phoneticPr fontId="22" type="noConversion"/>
  </si>
  <si>
    <t>2019年8月19日因税率由16%调整为13%，合同金额由12.956万元变为12.620931万元。</t>
    <phoneticPr fontId="22" type="noConversion"/>
  </si>
  <si>
    <t>2019年8月19日因税率由16%调整为13%，合同金额由37.7545万元变为36.778091万元。</t>
    <phoneticPr fontId="22" type="noConversion"/>
  </si>
  <si>
    <t>ZFMD/SD-19089-SH</t>
  </si>
  <si>
    <t>ZFMD/KGSQ-19028</t>
    <phoneticPr fontId="22" type="noConversion"/>
  </si>
  <si>
    <t>三峡新能源石井风电场风功率预测二区更换三区改造软件服务合同</t>
    <phoneticPr fontId="22" type="noConversion"/>
  </si>
  <si>
    <t>河北</t>
    <phoneticPr fontId="1" type="noConversion"/>
  </si>
  <si>
    <t>尚义石井</t>
    <phoneticPr fontId="1" type="noConversion"/>
  </si>
  <si>
    <t>技术服务（预测二区换到三区）</t>
    <phoneticPr fontId="1" type="noConversion"/>
  </si>
  <si>
    <t>2019.8.21</t>
    <phoneticPr fontId="22" type="noConversion"/>
  </si>
  <si>
    <t>2019.8.9</t>
    <phoneticPr fontId="22" type="noConversion"/>
  </si>
  <si>
    <t>七里嘎山（七里嘎山+前锋）</t>
    <phoneticPr fontId="5" type="noConversion"/>
  </si>
  <si>
    <t>七里嘎山+前锋</t>
    <phoneticPr fontId="5" type="noConversion"/>
  </si>
  <si>
    <t>ZFMD/SD-19090-SH</t>
  </si>
  <si>
    <t>ZFMD/SD-19091-1-SH</t>
    <phoneticPr fontId="22" type="noConversion"/>
  </si>
  <si>
    <t>ZFMD/SD-19091-2-SH</t>
  </si>
  <si>
    <t>ZFMD/SD-19091-3-SH</t>
  </si>
  <si>
    <t>ZFMD/SD-19091-4-SH</t>
  </si>
  <si>
    <t>ZFMD/SD-19092-SH</t>
    <phoneticPr fontId="22" type="noConversion"/>
  </si>
  <si>
    <t>ZFMD/SD-19093-SH</t>
  </si>
  <si>
    <t>ZFMD/SD-19094-SH</t>
  </si>
  <si>
    <t>ZFMD/SD-19095-SH</t>
  </si>
  <si>
    <t>ZFMD/SD-19096-SH</t>
  </si>
  <si>
    <t>ZFMD/SD-19097-SH</t>
  </si>
  <si>
    <t>ZFMD/SD-19098-SH</t>
  </si>
  <si>
    <t>ZFMD/SD-19099-SH</t>
  </si>
  <si>
    <t>ZFMD/SD-19100-SH</t>
  </si>
  <si>
    <t>ZFMD/SD-19101-SH</t>
  </si>
  <si>
    <t>ZFMD/SD-19102-SH</t>
  </si>
  <si>
    <t>ZFMD/SD-19103-SH</t>
  </si>
  <si>
    <t>ZFMD/SD-19104-SH</t>
  </si>
  <si>
    <t>ZFMD/SD-19105-SH</t>
  </si>
  <si>
    <t>艾锋</t>
    <phoneticPr fontId="22" type="noConversion"/>
  </si>
  <si>
    <t>2019.5.2</t>
    <phoneticPr fontId="22" type="noConversion"/>
  </si>
  <si>
    <t>2019.11.2</t>
    <phoneticPr fontId="22" type="noConversion"/>
  </si>
  <si>
    <t>2020.5.1</t>
    <phoneticPr fontId="22" type="noConversion"/>
  </si>
  <si>
    <t>2020.11.1</t>
    <phoneticPr fontId="22" type="noConversion"/>
  </si>
  <si>
    <t>夹信山风电场风功率预测系统服务合同书</t>
    <phoneticPr fontId="22" type="noConversion"/>
  </si>
  <si>
    <t>2019.4.28</t>
    <phoneticPr fontId="22" type="noConversion"/>
  </si>
  <si>
    <t>安徽</t>
    <phoneticPr fontId="22" type="noConversion"/>
  </si>
  <si>
    <t>中伏能源是总包商，业主是国电投五凌电力。</t>
    <phoneticPr fontId="22" type="noConversion"/>
  </si>
  <si>
    <t>青龙风电场测风塔数据三区接入服务项目委托合同</t>
    <phoneticPr fontId="22" type="noConversion"/>
  </si>
  <si>
    <t>转包通源天达</t>
    <phoneticPr fontId="22" type="noConversion"/>
  </si>
  <si>
    <t>2019.8.28</t>
    <phoneticPr fontId="22" type="noConversion"/>
  </si>
  <si>
    <t>ZFMD/SD-19107-SH</t>
  </si>
  <si>
    <t>ZFMD/SD-19108-SH</t>
  </si>
  <si>
    <t>ZFMD/SD-19110-SH</t>
  </si>
  <si>
    <t>ZFMD/SD-19111-SH</t>
  </si>
  <si>
    <t>ZFMD/SD-19112-SH</t>
  </si>
  <si>
    <t>ZFMD/SD-19113-SH</t>
  </si>
  <si>
    <t>ZFMD/SD-19114-SH</t>
  </si>
  <si>
    <t>ZFMD/SD-19115-SH</t>
  </si>
  <si>
    <t>ZFMD/SD-19116-SH</t>
  </si>
  <si>
    <t>ZFMD/SD-19117-SH</t>
  </si>
  <si>
    <t>ZFMD/SD-19118-SH</t>
  </si>
  <si>
    <t>ZFMD/KGSQ-18052</t>
  </si>
  <si>
    <t>ZFMD/SD-19106-SH</t>
    <phoneticPr fontId="22" type="noConversion"/>
  </si>
  <si>
    <t>大唐中电（吉林）新能源发电有限公司双辽分公司</t>
    <phoneticPr fontId="22" type="noConversion"/>
  </si>
  <si>
    <t>2019年双辽风电场7月份风功率预测设备采购合同</t>
    <phoneticPr fontId="22" type="noConversion"/>
  </si>
  <si>
    <t>2019.9.1</t>
    <phoneticPr fontId="22" type="noConversion"/>
  </si>
  <si>
    <t>2019.8.13</t>
    <phoneticPr fontId="22" type="noConversion"/>
  </si>
  <si>
    <t>中电建宁夏工程有限公司</t>
    <phoneticPr fontId="22" type="noConversion"/>
  </si>
  <si>
    <t>中机国能六师北塔山牧场100MW风电项目风功率预测装置买卖合同</t>
    <phoneticPr fontId="22" type="noConversion"/>
  </si>
  <si>
    <t>北塔山牧场</t>
    <phoneticPr fontId="22" type="noConversion"/>
  </si>
  <si>
    <t>中机国能六师北塔山牧场100MW风电项目视频监控及安防系统买卖合同</t>
    <phoneticPr fontId="22" type="noConversion"/>
  </si>
  <si>
    <t>红旗</t>
    <phoneticPr fontId="22" type="noConversion"/>
  </si>
  <si>
    <t>海林中电红旗风力发电有限公司</t>
    <phoneticPr fontId="22" type="noConversion"/>
  </si>
  <si>
    <t>海林中电红旗风电场测风塔维修工程项目合同</t>
    <phoneticPr fontId="22" type="noConversion"/>
  </si>
  <si>
    <t>ZFMD/KGSQ-18059</t>
  </si>
  <si>
    <t>ZFMD/SD-19109-SH</t>
    <phoneticPr fontId="22" type="noConversion"/>
  </si>
  <si>
    <t>2019.9</t>
    <phoneticPr fontId="22" type="noConversion"/>
  </si>
  <si>
    <t>海林中电红旗风电场风电功率预测系统技术服务合同</t>
    <phoneticPr fontId="22" type="noConversion"/>
  </si>
  <si>
    <t>大蚶山风电场测风系统软件升级服务合同</t>
    <phoneticPr fontId="22" type="noConversion"/>
  </si>
  <si>
    <t>技术服务（软件升级）</t>
    <phoneticPr fontId="22" type="noConversion"/>
  </si>
  <si>
    <t>2019.8.7</t>
    <phoneticPr fontId="22" type="noConversion"/>
  </si>
  <si>
    <t>隆教风电场测风系统软件升级服务合同</t>
    <phoneticPr fontId="22" type="noConversion"/>
  </si>
  <si>
    <t>省山风电场测风系统软件升级服务合同</t>
    <phoneticPr fontId="22" type="noConversion"/>
  </si>
  <si>
    <t>石塘风电场测风系统软件升级服务合同</t>
    <phoneticPr fontId="22" type="noConversion"/>
  </si>
  <si>
    <t>ZFMD/SHFW-2019012</t>
    <phoneticPr fontId="22" type="noConversion"/>
  </si>
  <si>
    <t>ZFMD/SHFW-2019010</t>
    <phoneticPr fontId="22" type="noConversion"/>
  </si>
  <si>
    <t>ZFMD/SHFW-2019011</t>
    <phoneticPr fontId="22" type="noConversion"/>
  </si>
  <si>
    <t>ZFMD/SHFW-2019013</t>
    <phoneticPr fontId="22" type="noConversion"/>
  </si>
  <si>
    <t>灵华山风电场风功率预测模型优化及加装70米测风设备服务合同</t>
    <phoneticPr fontId="22" type="noConversion"/>
  </si>
  <si>
    <t>灵华山</t>
    <phoneticPr fontId="22" type="noConversion"/>
  </si>
  <si>
    <t>2018.9.28</t>
    <phoneticPr fontId="22" type="noConversion"/>
  </si>
  <si>
    <t>2019.9.27</t>
    <phoneticPr fontId="22" type="noConversion"/>
  </si>
  <si>
    <t>灵华山风电场风功率预测系统服务合同书</t>
    <phoneticPr fontId="22" type="noConversion"/>
  </si>
  <si>
    <t>2019.9.28</t>
    <phoneticPr fontId="22" type="noConversion"/>
  </si>
  <si>
    <t>2020.9.27</t>
    <phoneticPr fontId="22" type="noConversion"/>
  </si>
  <si>
    <t>蒋公岭（一期+二期）</t>
    <phoneticPr fontId="22" type="noConversion"/>
  </si>
  <si>
    <t>蒋公岭一期、蒋公岭二期（蒋公岭二期又名湖沙咀）</t>
    <phoneticPr fontId="22" type="noConversion"/>
  </si>
  <si>
    <t>蒋公岭风电场风功率预测模型优化及加装70米测风设备服务合同</t>
    <phoneticPr fontId="22" type="noConversion"/>
  </si>
  <si>
    <t>蒋公岭风电场风功率预测系统服务合同书</t>
    <phoneticPr fontId="22" type="noConversion"/>
  </si>
  <si>
    <t>2020.1.7</t>
    <phoneticPr fontId="22" type="noConversion"/>
  </si>
  <si>
    <t>哈尔滨新华自动控制工程有限公司</t>
    <phoneticPr fontId="22" type="noConversion"/>
  </si>
  <si>
    <t>技术服务合同</t>
    <phoneticPr fontId="22" type="noConversion"/>
  </si>
  <si>
    <t>2019.8.5</t>
    <phoneticPr fontId="22" type="noConversion"/>
  </si>
  <si>
    <t>短期软件；超短期软件；系统硬件；预测服务1年</t>
    <phoneticPr fontId="22" type="noConversion"/>
  </si>
  <si>
    <t>ZFMD/SD-19085-SH-BG01</t>
    <phoneticPr fontId="22" type="noConversion"/>
  </si>
  <si>
    <t>ZFMD/SD-19079-SH-BG01</t>
    <phoneticPr fontId="22" type="noConversion"/>
  </si>
  <si>
    <t>ZFMD/SD-17074-SH-BG01
ZFMD/SD-17074-SH-BG02
ZFMD/SD-17074-SH-BG03</t>
    <phoneticPr fontId="10" type="noConversion"/>
  </si>
  <si>
    <t>双辽</t>
    <phoneticPr fontId="22" type="noConversion"/>
  </si>
  <si>
    <t>短期软件；超短期软件；系统硬件；测风塔；测风塔设备；预测服务1年</t>
    <phoneticPr fontId="22" type="noConversion"/>
  </si>
  <si>
    <t>升压站视频监控系统</t>
    <phoneticPr fontId="22" type="noConversion"/>
  </si>
  <si>
    <t>2019年9月5日，因税率16%变更为13%，合同额由1.1万元变更为1.071552万元</t>
    <phoneticPr fontId="22" type="noConversion"/>
  </si>
  <si>
    <t>2019年9月5日，因税率16%变更为13%，合同额由2.36万元变更为2.298966万元</t>
    <phoneticPr fontId="22" type="noConversion"/>
  </si>
  <si>
    <t>2019年9月5日，因税率16%变更为13%，合同额由3.96万元变更为3.857586万元</t>
    <phoneticPr fontId="22" type="noConversion"/>
  </si>
  <si>
    <t>2019年9月5日，因税率由17%调整为13%，合同金额由20万元变为19.965812万元</t>
    <phoneticPr fontId="10" type="noConversion"/>
  </si>
  <si>
    <t>ZFMD/SD-19120-SH</t>
  </si>
  <si>
    <t>大蚶山风电场无线传输更换合同</t>
    <phoneticPr fontId="22" type="noConversion"/>
  </si>
  <si>
    <t>2019.9.9</t>
    <phoneticPr fontId="22" type="noConversion"/>
  </si>
  <si>
    <t>2019.8.26</t>
    <phoneticPr fontId="22" type="noConversion"/>
  </si>
  <si>
    <t>ZFMD/SHFW-2019023</t>
  </si>
  <si>
    <t>ZFMD/SD-19121-SH</t>
  </si>
  <si>
    <t>ZFMD/SD-19122-SH</t>
  </si>
  <si>
    <t>苇湖梁西区</t>
    <phoneticPr fontId="22" type="noConversion"/>
  </si>
  <si>
    <t>新疆浦类海能源发展有限公司三塘湖风电场2019年风电功率预测系统服务合同</t>
    <phoneticPr fontId="22" type="noConversion"/>
  </si>
  <si>
    <t>2019.9.16</t>
    <phoneticPr fontId="22" type="noConversion"/>
  </si>
  <si>
    <t>ZFMD/SD-18143-SH-BG01
ZFMD/SD-18143-SH-BG02
ZFMD/SD-18143-SH-BG03
ZFMD/SD-18143-SH-BG04</t>
    <phoneticPr fontId="22" type="noConversion"/>
  </si>
  <si>
    <t>ZFMD/SD-18005-SH-BG01
ZFMD/SD-18005-SH-BG02
ZFMD/SD-18005-SH-BG03
ZFMD/SD-18005-SH-BG04
ZFMD/SD-18005-SH-BG05
ZFMD/SD-18005-SH-BG06</t>
    <phoneticPr fontId="22" type="noConversion"/>
  </si>
  <si>
    <t>ZFMD/SD-19123-SH</t>
  </si>
  <si>
    <t>2019.9.18</t>
    <phoneticPr fontId="22" type="noConversion"/>
  </si>
  <si>
    <t>2019.9.11</t>
    <phoneticPr fontId="22" type="noConversion"/>
  </si>
  <si>
    <t>ZFMD/SD-19124-SH</t>
    <phoneticPr fontId="22" type="noConversion"/>
  </si>
  <si>
    <t>依兰县协合风力发电有限公司</t>
    <phoneticPr fontId="22" type="noConversion"/>
  </si>
  <si>
    <t>协合新能源</t>
    <phoneticPr fontId="22" type="noConversion"/>
  </si>
  <si>
    <t>东升</t>
    <phoneticPr fontId="22" type="noConversion"/>
  </si>
  <si>
    <t>2019.9.8</t>
    <phoneticPr fontId="22" type="noConversion"/>
  </si>
  <si>
    <t>2019年3月25日，因税率由16%调整为13%，合同金额由27万元变为26.301724万元。</t>
    <phoneticPr fontId="22" type="noConversion"/>
  </si>
  <si>
    <t>ZFMD/SD-19125-SH</t>
  </si>
  <si>
    <t>京电能源工程集团有限公司</t>
    <phoneticPr fontId="22" type="noConversion"/>
  </si>
  <si>
    <t>昌德光伏电站光伏功率预测系统技术服务合同</t>
    <phoneticPr fontId="22" type="noConversion"/>
  </si>
  <si>
    <t>2019.9.20</t>
    <phoneticPr fontId="22" type="noConversion"/>
  </si>
  <si>
    <t>2019.9.19</t>
    <phoneticPr fontId="22" type="noConversion"/>
  </si>
  <si>
    <t>ZFMD/SD-19126-SH</t>
  </si>
  <si>
    <t>昌德光伏电站光伏功率预测系统扩容技术服务合同</t>
    <phoneticPr fontId="22" type="noConversion"/>
  </si>
  <si>
    <t>ZFMD/SD-19127-SH</t>
  </si>
  <si>
    <t>ZFMD/SD-19128-SH</t>
  </si>
  <si>
    <t>ZFMD/SD-19129-SH</t>
  </si>
  <si>
    <t>2019.9.23</t>
    <phoneticPr fontId="22" type="noConversion"/>
  </si>
  <si>
    <t>2019.5</t>
    <phoneticPr fontId="22" type="noConversion"/>
  </si>
  <si>
    <t>2020.5.6</t>
    <phoneticPr fontId="22" type="noConversion"/>
  </si>
  <si>
    <t>ZFMD/SHFW-2018073</t>
    <phoneticPr fontId="22" type="noConversion"/>
  </si>
  <si>
    <t>ZFMD/SHFW-2018074</t>
    <phoneticPr fontId="22" type="noConversion"/>
  </si>
  <si>
    <t>预测服务1年；测风塔设备</t>
    <phoneticPr fontId="22" type="noConversion"/>
  </si>
  <si>
    <t>黑龙江风电场电力安全一区综合通讯系统软件；系统硬件</t>
    <phoneticPr fontId="1" type="noConversion"/>
  </si>
  <si>
    <t>黑龙江风电场综合通讯管理系统软件；系统硬件</t>
    <phoneticPr fontId="1" type="noConversion"/>
  </si>
  <si>
    <t>ZFMD/SD-19119-SH</t>
    <phoneticPr fontId="22" type="noConversion"/>
  </si>
  <si>
    <t>依兰F区、依兰东升</t>
    <phoneticPr fontId="22" type="noConversion"/>
  </si>
  <si>
    <t>依兰东升风电场项目综合通讯管理终端设备采购合同</t>
    <phoneticPr fontId="22" type="noConversion"/>
  </si>
  <si>
    <t>ZFMD/SHFW-2019061</t>
    <phoneticPr fontId="22" type="noConversion"/>
  </si>
  <si>
    <t>本合同服务费用已包含2018年加装测风塔设备费用，测风设备属于免费给业主提供，没有另行收取费用。以后每年蒋公岭风电场的风功率预测服务费用还是7.5万元。</t>
    <phoneticPr fontId="22" type="noConversion"/>
  </si>
  <si>
    <t>本合同服务费用已包含2018年加装测风塔设备费用，测风设备属于免费给业主提供，提供风速、风向各2套及配套线缆和安装支架，没有另行收取费用，因平台发布的询价文件中写数量1套，故合同中写1套。以后每年灵华山风电场的风功率预测服务费用还是8万元。</t>
    <phoneticPr fontId="22" type="noConversion"/>
  </si>
  <si>
    <t>合同中第7页4.1“服务期由2018年5月7日起至2019年5月6日止”此部分服务期是错误的，原模板中未改变彻底。正确服务期限为2019年5月7日至2020年5月6日止。</t>
    <phoneticPr fontId="22" type="noConversion"/>
  </si>
  <si>
    <t>哈尔滨恒安消防设施安装有限公司</t>
    <phoneticPr fontId="22" type="noConversion"/>
  </si>
  <si>
    <t>ZFMD/SD-19131-1-SH</t>
    <phoneticPr fontId="22" type="noConversion"/>
  </si>
  <si>
    <t>辽阳电能发展有限公司</t>
    <phoneticPr fontId="22" type="noConversion"/>
  </si>
  <si>
    <t>三峡新能源辽宁省葫芦岛岳家屯风电场（48MW）工程升压站、集中线路施工及设备采购合同</t>
    <phoneticPr fontId="22" type="noConversion"/>
  </si>
  <si>
    <t>48MW</t>
    <phoneticPr fontId="22" type="noConversion"/>
  </si>
  <si>
    <t>2019.9.29</t>
    <phoneticPr fontId="22" type="noConversion"/>
  </si>
  <si>
    <t>ZFMD/SD-19132-SH</t>
    <phoneticPr fontId="22" type="noConversion"/>
  </si>
  <si>
    <t>ZFMD/SD-19133-SH</t>
  </si>
  <si>
    <t>ZFMD/SD-19134-SH</t>
  </si>
  <si>
    <t>ZFMD/SD-19135-SH</t>
  </si>
  <si>
    <t>大蚶山风电场风电功率预测系统技术服务合同</t>
    <phoneticPr fontId="5" type="noConversion"/>
  </si>
  <si>
    <t>2020.12.31</t>
    <phoneticPr fontId="1" type="noConversion"/>
  </si>
  <si>
    <t>隆教风电场风电功率预测系统技术服务合同</t>
    <phoneticPr fontId="5" type="noConversion"/>
  </si>
  <si>
    <t>草山风电场风电功率预测系统技术服务合同</t>
    <phoneticPr fontId="5" type="noConversion"/>
  </si>
  <si>
    <t>省山风电场风电功率预测系统技术服务合同</t>
    <phoneticPr fontId="5" type="noConversion"/>
  </si>
  <si>
    <t>石塘风电场风电功率预测系统技术服务合同</t>
    <phoneticPr fontId="5" type="noConversion"/>
  </si>
  <si>
    <t>ZFMD/SD-19136-SH</t>
    <phoneticPr fontId="22" type="noConversion"/>
  </si>
  <si>
    <t>ZFMD/SD-19137-SH</t>
    <phoneticPr fontId="22" type="noConversion"/>
  </si>
  <si>
    <t>乾安网新风电有限公司2019-2020年风功率预测系统服务合同</t>
    <phoneticPr fontId="22" type="noConversion"/>
  </si>
  <si>
    <t>乾安网新、乾安才字</t>
    <phoneticPr fontId="22" type="noConversion"/>
  </si>
  <si>
    <t>2019.9.21</t>
    <phoneticPr fontId="22" type="noConversion"/>
  </si>
  <si>
    <t>2020.9.20</t>
    <phoneticPr fontId="22" type="noConversion"/>
  </si>
  <si>
    <t>19124的合同补充协议</t>
    <phoneticPr fontId="22" type="noConversion"/>
  </si>
  <si>
    <t>ZFMD/KGSQ-19031</t>
    <phoneticPr fontId="5" type="noConversion"/>
  </si>
  <si>
    <t>葫芦岛岳家屯</t>
    <phoneticPr fontId="22" type="noConversion"/>
  </si>
  <si>
    <t>2019.9.17</t>
    <phoneticPr fontId="5" type="noConversion"/>
  </si>
  <si>
    <t>ZFMD/SD-19131-2-SH</t>
    <phoneticPr fontId="22" type="noConversion"/>
  </si>
  <si>
    <t>ZFMD/KGSQ-19032</t>
    <phoneticPr fontId="5" type="noConversion"/>
  </si>
  <si>
    <t>辽宁风电场D5000二区系统软件；系统硬件</t>
    <phoneticPr fontId="22" type="noConversion"/>
  </si>
  <si>
    <t>ZFMD/SD-19139-SH</t>
  </si>
  <si>
    <t>ZFMD/SD-19140-SH</t>
  </si>
  <si>
    <t>华电那木斯风电场风电功率预测系统升级及服务费合同</t>
    <phoneticPr fontId="22" type="noConversion"/>
  </si>
  <si>
    <t>预测服务1年；系统硬件</t>
    <phoneticPr fontId="22" type="noConversion"/>
  </si>
  <si>
    <t>华电风水山风电场风电功率预测系统升级及服务费合同</t>
    <phoneticPr fontId="22" type="noConversion"/>
  </si>
  <si>
    <t>2019.10.9</t>
    <phoneticPr fontId="22" type="noConversion"/>
  </si>
  <si>
    <t>2018.9.6</t>
    <phoneticPr fontId="1" type="noConversion"/>
  </si>
  <si>
    <t>ZFMD/SD-19142-SH</t>
    <phoneticPr fontId="22" type="noConversion"/>
  </si>
  <si>
    <t>烟墩</t>
    <phoneticPr fontId="22" type="noConversion"/>
  </si>
  <si>
    <t>ZFMD/SD-19124-SH-BG01</t>
    <phoneticPr fontId="22" type="noConversion"/>
  </si>
  <si>
    <t>2019.10.11</t>
    <phoneticPr fontId="22" type="noConversion"/>
  </si>
  <si>
    <t>ZFMD/SHFW-2019060</t>
  </si>
  <si>
    <t>自动进入下一个预测服务年至2020年1月20日</t>
    <phoneticPr fontId="22" type="noConversion"/>
  </si>
  <si>
    <t>自动进入入下一个预测服务年，共续20年</t>
    <phoneticPr fontId="22" type="noConversion"/>
  </si>
  <si>
    <t>2019.10.16</t>
    <phoneticPr fontId="22" type="noConversion"/>
  </si>
  <si>
    <t>中节能烟墩北风电场风功率预测系统服务合同</t>
    <phoneticPr fontId="22" type="noConversion"/>
  </si>
  <si>
    <t>ZFMD/SD-19144-SH</t>
  </si>
  <si>
    <t>ZFMD/SD-19145-SH</t>
  </si>
  <si>
    <t>ZFMD/SD-19146-SH</t>
  </si>
  <si>
    <t>ZFMD/SD-19147-SH</t>
  </si>
  <si>
    <t>ZFMD/SD-19148-1-SH</t>
    <phoneticPr fontId="22" type="noConversion"/>
  </si>
  <si>
    <t>ZFMD/SD-19148-2-SH</t>
  </si>
  <si>
    <t>ZFMD/SD-19148-3-SH</t>
  </si>
  <si>
    <t>ZFMD/SD-19148-4-SH</t>
  </si>
  <si>
    <t>ZFMD/SD-19149-SH</t>
    <phoneticPr fontId="22" type="noConversion"/>
  </si>
  <si>
    <t>ZFMD/SD-19150-SH</t>
  </si>
  <si>
    <t>ZFMD/SD-19151-SH</t>
  </si>
  <si>
    <t>ZFMD/SD-19152-SH</t>
  </si>
  <si>
    <t>ZFMD/SD-19153-SH</t>
  </si>
  <si>
    <t>ZFMD/SD-19154-SH</t>
  </si>
  <si>
    <t>ZFMD/SD-19155-SH</t>
  </si>
  <si>
    <t>ZFMD/SD-19156-SH</t>
  </si>
  <si>
    <t>ZFMD/SD-19157-SH</t>
  </si>
  <si>
    <t>ZFMD/SD-19158-SH</t>
  </si>
  <si>
    <t>ZFMD/SD-19159-SH</t>
  </si>
  <si>
    <t>ZFMD/SD-19160-SH</t>
  </si>
  <si>
    <t>ZFMD/SD-19161-SH</t>
  </si>
  <si>
    <t>ZFMD/SD-19162-SH</t>
  </si>
  <si>
    <t>ZFMD/KGSQ-18053</t>
    <phoneticPr fontId="22" type="noConversion"/>
  </si>
  <si>
    <t>大唐吉林风力发电股份有限公司</t>
    <phoneticPr fontId="22" type="noConversion"/>
  </si>
  <si>
    <t>洮南风电场2019年9月份反向隔离装置采购合同</t>
    <phoneticPr fontId="22" type="noConversion"/>
  </si>
  <si>
    <t>洮南</t>
    <phoneticPr fontId="22" type="noConversion"/>
  </si>
  <si>
    <t>ZFMD/SD-19143-SH</t>
    <phoneticPr fontId="22" type="noConversion"/>
  </si>
  <si>
    <t>2019.10.19</t>
    <phoneticPr fontId="22" type="noConversion"/>
  </si>
  <si>
    <t>2019.9.24</t>
    <phoneticPr fontId="22" type="noConversion"/>
  </si>
  <si>
    <t>中广核吉林区域大岗子风电场风功率预测系统技术服务合同（2019年）</t>
    <phoneticPr fontId="22" type="noConversion"/>
  </si>
  <si>
    <t>大安大岗子</t>
    <phoneticPr fontId="22" type="noConversion"/>
  </si>
  <si>
    <t>2019.10.8</t>
    <phoneticPr fontId="22" type="noConversion"/>
  </si>
  <si>
    <t>中国华电科工集团有限公司</t>
    <phoneticPr fontId="22" type="noConversion"/>
  </si>
  <si>
    <t>陕西华电定边张腰先50MW风电项目视频监控系统成套设备采购合同</t>
    <phoneticPr fontId="22" type="noConversion"/>
  </si>
  <si>
    <t>2019.10.10</t>
    <phoneticPr fontId="22" type="noConversion"/>
  </si>
  <si>
    <t>ZFMD/KGSQ-19030</t>
  </si>
  <si>
    <t>龙源哈密新能源有限公司</t>
    <phoneticPr fontId="22" type="noConversion"/>
  </si>
  <si>
    <t>苦水西风电一场风功率预测系统技术服务协议及补充协议</t>
    <phoneticPr fontId="22" type="noConversion"/>
  </si>
  <si>
    <t>短期软件；超短期软件；预测服务1年</t>
    <phoneticPr fontId="1" type="noConversion"/>
  </si>
  <si>
    <t>2019.9.30</t>
    <phoneticPr fontId="22" type="noConversion"/>
  </si>
  <si>
    <t>2019.8.10</t>
    <phoneticPr fontId="22" type="noConversion"/>
  </si>
  <si>
    <t>马鞍山风电场测风塔数据接入三区改造服务合同</t>
    <phoneticPr fontId="22" type="noConversion"/>
  </si>
  <si>
    <t>大箐山、石帽顶子、耳朵眼、岭东风电场测风塔数据接入三区改造服务合同</t>
    <phoneticPr fontId="22" type="noConversion"/>
  </si>
  <si>
    <t>草原风电场测风塔数据接入三区改造服务合同</t>
    <phoneticPr fontId="22" type="noConversion"/>
  </si>
  <si>
    <t>大蜂山风电场测风塔数据接入三区改造服务合同</t>
    <phoneticPr fontId="22" type="noConversion"/>
  </si>
  <si>
    <t>岔林河风电场测风塔数据接入三区改造服务合同</t>
    <phoneticPr fontId="22" type="noConversion"/>
  </si>
  <si>
    <t>横岱山风电场测风塔数据接入三区改造服务合同</t>
    <phoneticPr fontId="22" type="noConversion"/>
  </si>
  <si>
    <t>爱华风电场测风塔数据接入三区改造服务合同</t>
    <phoneticPr fontId="22" type="noConversion"/>
  </si>
  <si>
    <t>驿马山风电场测风塔数据接入三区改造服务合同</t>
    <phoneticPr fontId="22" type="noConversion"/>
  </si>
  <si>
    <t>大黑山风电场测风塔数据接入三区改造服务合同</t>
    <phoneticPr fontId="22" type="noConversion"/>
  </si>
  <si>
    <t>蝙蝠山风电场测风塔数据接入三区改造服务合同</t>
    <phoneticPr fontId="22" type="noConversion"/>
  </si>
  <si>
    <t>曙光风电场测风塔数据接入三区改造服务合同</t>
    <phoneticPr fontId="22" type="noConversion"/>
  </si>
  <si>
    <t>望云峰风电场测风塔数据接入三区改造服务合同</t>
    <phoneticPr fontId="22" type="noConversion"/>
  </si>
  <si>
    <t>小城山风电场测风塔数据接入三区改造服务合同</t>
    <phoneticPr fontId="22" type="noConversion"/>
  </si>
  <si>
    <t>小锅盔风电场测风塔数据接入三区改造服务合同</t>
    <phoneticPr fontId="22" type="noConversion"/>
  </si>
  <si>
    <t>白山风电场测风塔数据接入三区改造服务合同</t>
    <phoneticPr fontId="22" type="noConversion"/>
  </si>
  <si>
    <t>夹信山风电场测风塔数据接入三区改造服务合同</t>
    <phoneticPr fontId="22" type="noConversion"/>
  </si>
  <si>
    <t>2019.10.10</t>
    <phoneticPr fontId="5" type="noConversion"/>
  </si>
  <si>
    <t>2018.9.6</t>
    <phoneticPr fontId="5" type="noConversion"/>
  </si>
  <si>
    <t>2019年10月25日，因税率由17%调整为13%，合同金额由5万元变为4.82906万元。</t>
    <phoneticPr fontId="22" type="noConversion"/>
  </si>
  <si>
    <t>ZFMD/SD-19164-SH</t>
    <phoneticPr fontId="22" type="noConversion"/>
  </si>
  <si>
    <t>锦州运达风力发电有限公司</t>
    <phoneticPr fontId="22" type="noConversion"/>
  </si>
  <si>
    <t>黑山龙湾风功率预测维护与服务</t>
    <phoneticPr fontId="22" type="noConversion"/>
  </si>
  <si>
    <t>2019.10.25</t>
    <phoneticPr fontId="22" type="noConversion"/>
  </si>
  <si>
    <t>ZFMD/SD-18168-1-SH-BG01</t>
    <phoneticPr fontId="22" type="noConversion"/>
  </si>
  <si>
    <t>ZFMD/SD-19141-SH</t>
    <phoneticPr fontId="22" type="noConversion"/>
  </si>
  <si>
    <t>ZFMD/SD-19163-SH</t>
    <phoneticPr fontId="22" type="noConversion"/>
  </si>
  <si>
    <t>ZFMD/SD-19165-SH</t>
  </si>
  <si>
    <t>河南西铁泰华电气有限公司</t>
    <phoneticPr fontId="22" type="noConversion"/>
  </si>
  <si>
    <t>山东龙源滨海风电场安装调试合同</t>
    <phoneticPr fontId="22" type="noConversion"/>
  </si>
  <si>
    <t>2019.10.30</t>
    <phoneticPr fontId="22" type="noConversion"/>
  </si>
  <si>
    <t>2019.10.14</t>
    <phoneticPr fontId="22" type="noConversion"/>
  </si>
  <si>
    <t>ZFMD/SHFW-2019072</t>
    <phoneticPr fontId="22" type="noConversion"/>
  </si>
  <si>
    <t>ZFMD/SHFW-2019041</t>
    <phoneticPr fontId="22" type="noConversion"/>
  </si>
  <si>
    <t>ZFMD/SHFW-2019089</t>
    <phoneticPr fontId="22" type="noConversion"/>
  </si>
  <si>
    <t>ZFMD/SHFW-2019095</t>
    <phoneticPr fontId="22" type="noConversion"/>
  </si>
  <si>
    <t>ZFMD/SHFW-2019091</t>
    <phoneticPr fontId="22" type="noConversion"/>
  </si>
  <si>
    <t>ZFMD/SHFW-2019085</t>
    <phoneticPr fontId="22" type="noConversion"/>
  </si>
  <si>
    <t>ZFMD/SHFW-2019088</t>
    <phoneticPr fontId="22" type="noConversion"/>
  </si>
  <si>
    <t>ZFMD/SHFW-2019093</t>
    <phoneticPr fontId="22" type="noConversion"/>
  </si>
  <si>
    <t>ZFMD/SHFW-2018102</t>
    <phoneticPr fontId="22" type="noConversion"/>
  </si>
  <si>
    <t>ZFMD/SHFW-2018085</t>
    <phoneticPr fontId="22" type="noConversion"/>
  </si>
  <si>
    <t>ZFMD/SHFW-2019087</t>
    <phoneticPr fontId="22" type="noConversion"/>
  </si>
  <si>
    <t>ZFMD/SHFW-2018084</t>
    <phoneticPr fontId="22" type="noConversion"/>
  </si>
  <si>
    <t>ZFMD/SHFW-2018068</t>
    <phoneticPr fontId="22" type="noConversion"/>
  </si>
  <si>
    <t>ZFMD/SHFW-2018100</t>
    <phoneticPr fontId="22" type="noConversion"/>
  </si>
  <si>
    <t>ZFMD/SHFW-2019084</t>
    <phoneticPr fontId="22" type="noConversion"/>
  </si>
  <si>
    <t>ZFMD/SHFW-2018107</t>
    <phoneticPr fontId="22" type="noConversion"/>
  </si>
  <si>
    <t>ZFMD/SHFW-2018101</t>
    <phoneticPr fontId="22" type="noConversion"/>
  </si>
  <si>
    <t>ZFMD/SHFW-2019068</t>
    <phoneticPr fontId="22" type="noConversion"/>
  </si>
  <si>
    <t>ZFMD/SHFW-2019040</t>
    <phoneticPr fontId="22" type="noConversion"/>
  </si>
  <si>
    <t>ZFMD/SHFW-2018106</t>
    <phoneticPr fontId="22" type="noConversion"/>
  </si>
  <si>
    <t>ZFMD/SD-19166-SH</t>
  </si>
  <si>
    <t>验收后一年</t>
    <phoneticPr fontId="22" type="noConversion"/>
  </si>
  <si>
    <t>/</t>
    <phoneticPr fontId="22" type="noConversion"/>
  </si>
  <si>
    <t>/</t>
    <phoneticPr fontId="22" type="noConversion"/>
  </si>
  <si>
    <t>短期软件；超短期软件；系统硬件；测风塔设备；预测服务1年</t>
    <phoneticPr fontId="1" type="noConversion"/>
  </si>
  <si>
    <t>免费三年</t>
    <phoneticPr fontId="22" type="noConversion"/>
  </si>
  <si>
    <t>免费一年</t>
    <phoneticPr fontId="22" type="noConversion"/>
  </si>
  <si>
    <t>免费一年</t>
    <phoneticPr fontId="22" type="noConversion"/>
  </si>
  <si>
    <t>ZFMD/SHFW-2019076</t>
    <phoneticPr fontId="22" type="noConversion"/>
  </si>
  <si>
    <t>技术服务（测风塔数据三区接入）；系统硬件</t>
  </si>
  <si>
    <t>苦水</t>
    <phoneticPr fontId="22" type="noConversion"/>
  </si>
  <si>
    <t>技术服务（测风塔数据三区接入）；系统硬件</t>
    <phoneticPr fontId="22" type="noConversion"/>
  </si>
  <si>
    <t>苦水西风电一场</t>
    <phoneticPr fontId="22" type="noConversion"/>
  </si>
  <si>
    <t>ZFMD/SHFW-2019098</t>
  </si>
  <si>
    <t>2019.10.11
2019.11.5</t>
    <phoneticPr fontId="22" type="noConversion"/>
  </si>
  <si>
    <t>2019.10.24
2019.11.5</t>
    <phoneticPr fontId="22" type="noConversion"/>
  </si>
  <si>
    <t>开票日期为2019.9.29</t>
    <phoneticPr fontId="22" type="noConversion"/>
  </si>
  <si>
    <t>开票日期为2019.11.7</t>
    <phoneticPr fontId="22" type="noConversion"/>
  </si>
  <si>
    <t>免费二年</t>
    <phoneticPr fontId="22" type="noConversion"/>
  </si>
  <si>
    <t>合同签订之日起一年</t>
    <phoneticPr fontId="22" type="noConversion"/>
  </si>
  <si>
    <t>ZFMD/SHFW-2018111</t>
  </si>
  <si>
    <t>ZFMD/SHFW-2019046</t>
  </si>
  <si>
    <t>ZFMD/SHFW-2019045</t>
  </si>
  <si>
    <t>ZFMD/SD-19167-SH</t>
  </si>
  <si>
    <t>华电苦水东风电一场</t>
    <phoneticPr fontId="5" type="noConversion"/>
  </si>
  <si>
    <t>开票日期为2019.11.14</t>
    <phoneticPr fontId="22" type="noConversion"/>
  </si>
  <si>
    <t>ZFMD/KGSQ-19044</t>
  </si>
  <si>
    <t>国电陕西新能源有限公司芦河光伏电站光功率预测系统升级改造合同</t>
    <phoneticPr fontId="22" type="noConversion"/>
  </si>
  <si>
    <t>芦河</t>
    <phoneticPr fontId="5" type="noConversion"/>
  </si>
  <si>
    <t>软件升级（换linux系统）；系统硬件</t>
    <phoneticPr fontId="1" type="noConversion"/>
  </si>
  <si>
    <t>2019.11.16</t>
    <phoneticPr fontId="22" type="noConversion"/>
  </si>
  <si>
    <t>2019.10.18</t>
    <phoneticPr fontId="22" type="noConversion"/>
  </si>
  <si>
    <t>2019.11.12</t>
    <phoneticPr fontId="5" type="noConversion"/>
  </si>
  <si>
    <t>华电龙口风电有限公司二期风功率预测系统反向隔离装置技术升级服务合同</t>
    <phoneticPr fontId="22" type="noConversion"/>
  </si>
  <si>
    <t>2019.11.20</t>
    <phoneticPr fontId="22" type="noConversion"/>
  </si>
  <si>
    <t>2019.10.28</t>
    <phoneticPr fontId="22" type="noConversion"/>
  </si>
  <si>
    <t>ZFMD/SD-19168-1-SH</t>
    <phoneticPr fontId="22" type="noConversion"/>
  </si>
  <si>
    <t>ZFMD/SD-19168-2-SH</t>
    <phoneticPr fontId="22" type="noConversion"/>
  </si>
  <si>
    <t>光伏AGC/AVC</t>
    <phoneticPr fontId="22" type="noConversion"/>
  </si>
  <si>
    <t>软件升级（换linux系统）</t>
    <phoneticPr fontId="1" type="noConversion"/>
  </si>
  <si>
    <t>ZFMD/SD-17100-SH-BG01
ZFMD/SD-17100-SH-BG02
ZFMD/SD-17100-SH-BG03</t>
    <phoneticPr fontId="10" type="noConversion"/>
  </si>
  <si>
    <t>ZFMD/SD-17102-SH-BG01
ZFMD/SD-17102-SH-BG02</t>
    <phoneticPr fontId="10" type="noConversion"/>
  </si>
  <si>
    <t>ZFMD/SD-17103-SH-BG01</t>
    <phoneticPr fontId="10" type="noConversion"/>
  </si>
  <si>
    <t>ZFMD/SD-17104-SH-BG01</t>
    <phoneticPr fontId="10" type="noConversion"/>
  </si>
  <si>
    <t>ZFMD/SD-17105-SH-BG01</t>
    <phoneticPr fontId="10" type="noConversion"/>
  </si>
  <si>
    <t>ZFMD/SD-17106-SH-BG01</t>
    <phoneticPr fontId="10" type="noConversion"/>
  </si>
  <si>
    <t>ZFMD/SD-17101-SH–BG01
ZFMD/SD-17101-SH–BG02</t>
    <phoneticPr fontId="5" type="noConversion"/>
  </si>
  <si>
    <t>新疆苦水风电场风功率预测服务器更换合同</t>
    <phoneticPr fontId="22" type="noConversion"/>
  </si>
  <si>
    <t>2019.11.27</t>
    <phoneticPr fontId="22" type="noConversion"/>
  </si>
  <si>
    <t>2019.11</t>
    <phoneticPr fontId="22" type="noConversion"/>
  </si>
  <si>
    <t>ZFMD/SD-19169-SH</t>
    <phoneticPr fontId="22" type="noConversion"/>
  </si>
  <si>
    <t>华润新能源（安达）有限公司万福光伏电站视频监控项目采购合同</t>
    <phoneticPr fontId="22" type="noConversion"/>
  </si>
  <si>
    <t>安达1号、2号、安达3号、4号</t>
    <phoneticPr fontId="5" type="noConversion"/>
  </si>
  <si>
    <t>安达万福、华润万福、（安达一期+安达二期）</t>
    <phoneticPr fontId="22" type="noConversion"/>
  </si>
  <si>
    <t>2019.11.28</t>
    <phoneticPr fontId="22" type="noConversion"/>
  </si>
  <si>
    <t>2019.11.14</t>
    <phoneticPr fontId="22" type="noConversion"/>
  </si>
  <si>
    <t>光伏电站场区视频监控系统；升压站视频监控系统</t>
    <phoneticPr fontId="1" type="noConversion"/>
  </si>
  <si>
    <t>2019.11.30</t>
    <phoneticPr fontId="5" type="noConversion"/>
  </si>
  <si>
    <t>ZFMD/SD-19130-1-SH</t>
    <phoneticPr fontId="22" type="noConversion"/>
  </si>
  <si>
    <t>ZFMD/SD-19130-2-SH</t>
    <phoneticPr fontId="22" type="noConversion"/>
  </si>
  <si>
    <t>大唐太平风电场风力发电机组可视化自动消防联动系统设备销售合同</t>
    <phoneticPr fontId="22" type="noConversion"/>
  </si>
  <si>
    <t>ZFMD/KGSQ-19009</t>
    <phoneticPr fontId="5" type="noConversion"/>
  </si>
  <si>
    <t>太平</t>
    <phoneticPr fontId="5" type="noConversion"/>
  </si>
  <si>
    <t>灭火装置；探测装置；控制装置；通讯装置</t>
    <phoneticPr fontId="22" type="noConversion"/>
  </si>
  <si>
    <t>2019.12.02</t>
    <phoneticPr fontId="22" type="noConversion"/>
  </si>
  <si>
    <t>大唐碾子山风电场风力发电机组可视化自动消防联动系统设备销售合同</t>
    <phoneticPr fontId="22" type="noConversion"/>
  </si>
  <si>
    <t>ZFMD/KGSQ-19013</t>
    <phoneticPr fontId="5" type="noConversion"/>
  </si>
  <si>
    <t>ZFMD/SD-19170-1-SH</t>
    <phoneticPr fontId="22" type="noConversion"/>
  </si>
  <si>
    <t>ZFMD/SD-19170-2-SH</t>
    <phoneticPr fontId="22" type="noConversion"/>
  </si>
  <si>
    <t>ZFMD/KGSQ-19038</t>
    <phoneticPr fontId="22" type="noConversion"/>
  </si>
  <si>
    <t>ZFMD/KGSQ-19039</t>
    <phoneticPr fontId="22" type="noConversion"/>
  </si>
  <si>
    <t>博尔能源</t>
    <phoneticPr fontId="1" type="noConversion"/>
  </si>
  <si>
    <t>安达畜牧场</t>
    <phoneticPr fontId="1" type="noConversion"/>
  </si>
  <si>
    <t>2019.12.2</t>
    <phoneticPr fontId="22" type="noConversion"/>
  </si>
  <si>
    <t>免费1年</t>
    <phoneticPr fontId="22" type="noConversion"/>
  </si>
  <si>
    <t>2014年11月13日签订三峡新能源彰武王家(10MWp)光伏发电项目升压站和光伏方阵土建、系统集成合同光伏电站功率预测系统、环境检测仪及有功无功控制装置设备采购三方协议书,合同金额由47.5万元变为47万元。</t>
    <phoneticPr fontId="1" type="noConversion"/>
  </si>
  <si>
    <t>ZFMD/SD-19171-SH</t>
    <phoneticPr fontId="22" type="noConversion"/>
  </si>
  <si>
    <t>华电铁岭风场2019年风电功率预测系统技术服务合同</t>
    <phoneticPr fontId="22" type="noConversion"/>
  </si>
  <si>
    <t>铁岭镇西堡（镇西堡、李家屯、心田堡）</t>
    <phoneticPr fontId="1" type="noConversion"/>
  </si>
  <si>
    <t>2019.12.5</t>
    <phoneticPr fontId="22" type="noConversion"/>
  </si>
  <si>
    <t>2019.11.29</t>
    <phoneticPr fontId="22" type="noConversion"/>
  </si>
  <si>
    <t>ZFMD/SD-19172-SH</t>
  </si>
  <si>
    <t>ZFMD/SD-19173-SH</t>
  </si>
  <si>
    <t>ZFMD/SD-19174-SH</t>
  </si>
  <si>
    <t>ZFMD/SD-19175-SH</t>
  </si>
  <si>
    <t>ZFMD/SD-19176-SH</t>
  </si>
  <si>
    <t>湖南</t>
    <phoneticPr fontId="1" type="noConversion"/>
  </si>
  <si>
    <t>东岗岭</t>
    <phoneticPr fontId="1" type="noConversion"/>
  </si>
  <si>
    <t>2022.11.19</t>
    <phoneticPr fontId="22" type="noConversion"/>
  </si>
  <si>
    <t>东岗岭风电场风功率预测系统服务合同</t>
    <phoneticPr fontId="22" type="noConversion"/>
  </si>
  <si>
    <t>ZFMD/SD-19177-SH</t>
    <phoneticPr fontId="22" type="noConversion"/>
  </si>
  <si>
    <t>2019.12.09</t>
    <phoneticPr fontId="22" type="noConversion"/>
  </si>
  <si>
    <t>2019.8.23</t>
    <phoneticPr fontId="22" type="noConversion"/>
  </si>
  <si>
    <t>2020.8.22</t>
    <phoneticPr fontId="22" type="noConversion"/>
  </si>
  <si>
    <t>国华（乾安）风电有限公司</t>
    <phoneticPr fontId="5" type="noConversion"/>
  </si>
  <si>
    <t>国华</t>
    <phoneticPr fontId="1" type="noConversion"/>
  </si>
  <si>
    <t>腾字</t>
    <phoneticPr fontId="1" type="noConversion"/>
  </si>
  <si>
    <t>2019.12.10</t>
    <phoneticPr fontId="22" type="noConversion"/>
  </si>
  <si>
    <t>2019.12</t>
    <phoneticPr fontId="22" type="noConversion"/>
  </si>
  <si>
    <t>开票时间为2019.12.9</t>
    <phoneticPr fontId="22" type="noConversion"/>
  </si>
  <si>
    <t>开票时间为2019.12.9（3万）</t>
    <phoneticPr fontId="22" type="noConversion"/>
  </si>
  <si>
    <t>焉耆县光润新能源发电有限公司</t>
    <phoneticPr fontId="22" type="noConversion"/>
  </si>
  <si>
    <t>光润焉耆光伏一电站</t>
    <phoneticPr fontId="22" type="noConversion"/>
  </si>
  <si>
    <t>ZFMD/SD-19178-SH</t>
  </si>
  <si>
    <t>ZFMD/KGSQ-18055</t>
  </si>
  <si>
    <t>吉林大安新唐发电有限公司</t>
    <phoneticPr fontId="22" type="noConversion"/>
  </si>
  <si>
    <t>吉林大安新唐发电有限公司新艾里风电场2019年11月反向隔离装置采购合同</t>
    <phoneticPr fontId="22" type="noConversion"/>
  </si>
  <si>
    <t>新艾里</t>
    <phoneticPr fontId="1" type="noConversion"/>
  </si>
  <si>
    <t>2019.12.12</t>
    <phoneticPr fontId="22" type="noConversion"/>
  </si>
  <si>
    <t>2018.11.24</t>
    <phoneticPr fontId="22" type="noConversion"/>
  </si>
  <si>
    <t>ZFMD/SD-19179-SH</t>
  </si>
  <si>
    <t>阿廷河</t>
    <phoneticPr fontId="1" type="noConversion"/>
  </si>
  <si>
    <t>黑龙江风电场电力安全二区综合通讯系统软件；系统硬件</t>
    <phoneticPr fontId="22" type="noConversion"/>
  </si>
  <si>
    <t>2019.12.16</t>
    <phoneticPr fontId="22" type="noConversion"/>
  </si>
  <si>
    <t>ZFMD/KGSQ-19014</t>
  </si>
  <si>
    <t>ZFMD/SD-19180-SH</t>
  </si>
  <si>
    <t>三峡新能源黑龙江省乌伊岭阿廷河风电场（49.5MW）工程省调综合通讯管理系统合同</t>
    <phoneticPr fontId="22" type="noConversion"/>
  </si>
  <si>
    <t>三峡新能源黑龙江省富裕友谊光伏电站（20MWP）工程省调综合通讯管理系统合同</t>
    <phoneticPr fontId="22" type="noConversion"/>
  </si>
  <si>
    <t>富裕友谊</t>
    <phoneticPr fontId="1" type="noConversion"/>
  </si>
  <si>
    <t>ZFMD/KGSQ-19040</t>
  </si>
  <si>
    <t>ZFMD/SD-19181-SH</t>
  </si>
  <si>
    <t>哈尔滨天智科技有限公司</t>
    <phoneticPr fontId="22" type="noConversion"/>
  </si>
  <si>
    <t>大庆银浪风电场视频监控设备安装服务合同</t>
    <phoneticPr fontId="22" type="noConversion"/>
  </si>
  <si>
    <t>ZFMD/SD-19182-SH</t>
  </si>
  <si>
    <t>ZFMD/KGSQ-19012</t>
    <phoneticPr fontId="1" type="noConversion"/>
  </si>
  <si>
    <t>三峡新能源黑龙江省伊春美林风电场（51MW）工程省调综合通讯管理系统合同</t>
    <phoneticPr fontId="22" type="noConversion"/>
  </si>
  <si>
    <t>2019.12.17</t>
    <phoneticPr fontId="22" type="noConversion"/>
  </si>
  <si>
    <t>ZFMD/SD-19183-1-SH</t>
    <phoneticPr fontId="22" type="noConversion"/>
  </si>
  <si>
    <t>ZFMD/SD-19183-2-SH</t>
  </si>
  <si>
    <t>ZFMD/KGSQ-19051</t>
    <phoneticPr fontId="1" type="noConversion"/>
  </si>
  <si>
    <t>ZFMD/KGSQ-19052</t>
  </si>
  <si>
    <t>华能</t>
    <phoneticPr fontId="1" type="noConversion"/>
  </si>
  <si>
    <t>鹤岗萝北</t>
    <phoneticPr fontId="1" type="noConversion"/>
  </si>
  <si>
    <t>保定四方继保工程技术有限公司采购合同萝北风电功率预测</t>
    <phoneticPr fontId="22" type="noConversion"/>
  </si>
  <si>
    <t>保定四方继保工程技术有限公司采购合同萝北综合通讯</t>
    <phoneticPr fontId="22" type="noConversion"/>
  </si>
  <si>
    <r>
      <t>短期软件；超短期软件；系统硬件；测风塔；测风塔设备；预测服务</t>
    </r>
    <r>
      <rPr>
        <sz val="11"/>
        <color theme="1"/>
        <rFont val="Calibri"/>
        <family val="2"/>
      </rPr>
      <t>1</t>
    </r>
    <r>
      <rPr>
        <sz val="11"/>
        <color theme="1"/>
        <rFont val="宋体"/>
        <family val="3"/>
        <charset val="134"/>
        <scheme val="minor"/>
      </rPr>
      <t>年</t>
    </r>
    <phoneticPr fontId="22" type="noConversion"/>
  </si>
  <si>
    <t>2019.11.21</t>
    <phoneticPr fontId="22" type="noConversion"/>
  </si>
  <si>
    <t>黑龙江光伏电站电力安全二区综合通讯系统软件；系统硬件</t>
    <phoneticPr fontId="22" type="noConversion"/>
  </si>
  <si>
    <t>2019年12月18日因税率由16%调整为13%，合同金额由2.95万元变为2.8737万元。</t>
    <phoneticPr fontId="22" type="noConversion"/>
  </si>
  <si>
    <t>ZFMD/SD-19184-SH</t>
    <phoneticPr fontId="22" type="noConversion"/>
  </si>
  <si>
    <t>ZFMD/KGSQ-18054</t>
  </si>
  <si>
    <t>大唐向阳风电有限公司</t>
    <phoneticPr fontId="22" type="noConversion"/>
  </si>
  <si>
    <t>向阳</t>
    <phoneticPr fontId="1" type="noConversion"/>
  </si>
  <si>
    <t>风电场</t>
    <phoneticPr fontId="1" type="noConversion"/>
  </si>
  <si>
    <t>2018.9.6</t>
    <phoneticPr fontId="22" type="noConversion"/>
  </si>
  <si>
    <t>开票时间为2019.12.18</t>
    <phoneticPr fontId="22" type="noConversion"/>
  </si>
  <si>
    <t>ZFMD/SD-19111-SH-BG01</t>
    <phoneticPr fontId="22" type="noConversion"/>
  </si>
  <si>
    <t>ZFMD/SD-19112-SH-BG01</t>
    <phoneticPr fontId="22" type="noConversion"/>
  </si>
  <si>
    <t>ZFMD/SD-19113-SH-BG01</t>
    <phoneticPr fontId="22" type="noConversion"/>
  </si>
  <si>
    <t>ZFMD/SD-19114-SH-BG01</t>
    <phoneticPr fontId="22" type="noConversion"/>
  </si>
  <si>
    <t>ZFMD/SD-19185-SH</t>
  </si>
  <si>
    <t>ZFMD/SD-19186-SH</t>
  </si>
  <si>
    <t>ZFMD/SD-19187-SH</t>
  </si>
  <si>
    <t>ZFMD/SD-19188-SH</t>
  </si>
  <si>
    <t>华能沈口子风电场风功率预测系统气象服务合同</t>
    <phoneticPr fontId="22" type="noConversion"/>
  </si>
  <si>
    <t>沈口子（一二期）</t>
    <phoneticPr fontId="1" type="noConversion"/>
  </si>
  <si>
    <t>2019.12.24</t>
    <phoneticPr fontId="22" type="noConversion"/>
  </si>
  <si>
    <t>2019.12.13</t>
    <phoneticPr fontId="22" type="noConversion"/>
  </si>
  <si>
    <t>2019.12.23日和杨振坤电话确认为杨井一二期</t>
    <phoneticPr fontId="22" type="noConversion"/>
  </si>
  <si>
    <t>国家电投集团中卫香山第四风电场风功率预测系统升级服务合同</t>
    <phoneticPr fontId="22" type="noConversion"/>
  </si>
  <si>
    <t>宁夏</t>
    <phoneticPr fontId="1" type="noConversion"/>
  </si>
  <si>
    <t>中卫香山第四风电场</t>
    <phoneticPr fontId="1" type="noConversion"/>
  </si>
  <si>
    <t>2019.10</t>
    <phoneticPr fontId="22" type="noConversion"/>
  </si>
  <si>
    <t>ZFMD/KGSQ-19035</t>
    <phoneticPr fontId="1" type="noConversion"/>
  </si>
  <si>
    <t>ZFMD/KGSQ-19036</t>
    <phoneticPr fontId="1" type="noConversion"/>
  </si>
  <si>
    <t>国家电投集团中卫香山第六风电场风功率预测系统升级服务合同</t>
    <phoneticPr fontId="22" type="noConversion"/>
  </si>
  <si>
    <t>中卫香山第六风电场</t>
    <phoneticPr fontId="1" type="noConversion"/>
  </si>
  <si>
    <t>华能钟祥风电有限责任公司</t>
    <phoneticPr fontId="22" type="noConversion"/>
  </si>
  <si>
    <t>湖北</t>
    <phoneticPr fontId="1" type="noConversion"/>
  </si>
  <si>
    <t>钟祥胡家湾</t>
    <phoneticPr fontId="1" type="noConversion"/>
  </si>
  <si>
    <t>大安海坨</t>
    <phoneticPr fontId="1" type="noConversion"/>
  </si>
  <si>
    <t>三峡新能源吉林省大安海坨风电场（198MW）工程更换风功率预测装置和测风塔自动上传系统采购合同</t>
    <phoneticPr fontId="22" type="noConversion"/>
  </si>
  <si>
    <t>庙尔沟风功率预测系统服务合同</t>
    <phoneticPr fontId="22" type="noConversion"/>
  </si>
  <si>
    <t>中核</t>
    <phoneticPr fontId="1" type="noConversion"/>
  </si>
  <si>
    <t>2019.12.28</t>
    <phoneticPr fontId="22" type="noConversion"/>
  </si>
  <si>
    <t>2019.12.6</t>
    <phoneticPr fontId="22" type="noConversion"/>
  </si>
  <si>
    <t>2019.7.19</t>
    <phoneticPr fontId="22" type="noConversion"/>
  </si>
  <si>
    <t>2020.7.18</t>
    <phoneticPr fontId="22" type="noConversion"/>
  </si>
  <si>
    <t>ZFMD/SD-19189-SH</t>
    <phoneticPr fontId="22" type="noConversion"/>
  </si>
  <si>
    <t>向阳风电场2019年12月份反向隔离装置采购合同</t>
    <phoneticPr fontId="22" type="noConversion"/>
  </si>
  <si>
    <t>2020.1.6</t>
    <phoneticPr fontId="22" type="noConversion"/>
  </si>
  <si>
    <t>2019.12.18</t>
    <phoneticPr fontId="22" type="noConversion"/>
  </si>
  <si>
    <t>华能钟祥胡家湾风电场#1测风塔维修合同</t>
    <phoneticPr fontId="22" type="noConversion"/>
  </si>
  <si>
    <t>2020.1.8</t>
    <phoneticPr fontId="22" type="noConversion"/>
  </si>
  <si>
    <t>15003-2020</t>
    <phoneticPr fontId="18" type="noConversion"/>
  </si>
  <si>
    <t>2020.1.1</t>
    <phoneticPr fontId="1" type="noConversion"/>
  </si>
  <si>
    <t>ZFMD/SD-20001-SH</t>
    <phoneticPr fontId="22" type="noConversion"/>
  </si>
  <si>
    <t>保定四方继保工程技术有限公司</t>
    <phoneticPr fontId="1" type="noConversion"/>
  </si>
  <si>
    <t>保定四方继保工程技术有限公司采购合同</t>
    <phoneticPr fontId="1" type="noConversion"/>
  </si>
  <si>
    <t>昌德</t>
    <phoneticPr fontId="1" type="noConversion"/>
  </si>
  <si>
    <t>光伏电站</t>
    <phoneticPr fontId="1" type="noConversion"/>
  </si>
  <si>
    <t>建模扩容</t>
    <phoneticPr fontId="1" type="noConversion"/>
  </si>
  <si>
    <t>马梦迪</t>
    <phoneticPr fontId="1" type="noConversion"/>
  </si>
  <si>
    <t>2020.1.8</t>
    <phoneticPr fontId="1" type="noConversion"/>
  </si>
  <si>
    <t>2019.11.15</t>
    <phoneticPr fontId="1" type="noConversion"/>
  </si>
  <si>
    <r>
      <t xml:space="preserve">销售合同登记台账-2020年
</t>
    </r>
    <r>
      <rPr>
        <sz val="10"/>
        <color theme="1"/>
        <rFont val="宋体"/>
        <family val="3"/>
        <charset val="134"/>
        <scheme val="minor"/>
      </rPr>
      <t>（文件编号：ZFMDZHGLB-HTDJTZ-V1.0）</t>
    </r>
    <phoneticPr fontId="1" type="noConversion"/>
  </si>
  <si>
    <t>ZFMD/SD-20002-SH</t>
  </si>
  <si>
    <t>海林龙源风力发电有限公司</t>
    <phoneticPr fontId="1" type="noConversion"/>
  </si>
  <si>
    <t>开发票占号，不签合同</t>
    <phoneticPr fontId="1" type="noConversion"/>
  </si>
  <si>
    <t>李妍</t>
    <phoneticPr fontId="1" type="noConversion"/>
  </si>
  <si>
    <t>开票时间为2020.01.10</t>
    <phoneticPr fontId="1" type="noConversion"/>
  </si>
  <si>
    <t>段洪宇</t>
    <phoneticPr fontId="1" type="noConversion"/>
  </si>
  <si>
    <t>2020.1.10</t>
    <phoneticPr fontId="1" type="noConversion"/>
  </si>
  <si>
    <t>2020.1.11</t>
    <phoneticPr fontId="1" type="noConversion"/>
  </si>
  <si>
    <t>2019.12.30</t>
    <phoneticPr fontId="1" type="noConversion"/>
  </si>
  <si>
    <t>华能启东风力发电有限公司2020年风功率预测技术服务合同</t>
    <phoneticPr fontId="22" type="noConversion"/>
  </si>
  <si>
    <t>ZFMD/KGSQ-19025</t>
  </si>
  <si>
    <t>ZFMD/SD-20003-SH</t>
    <phoneticPr fontId="1" type="noConversion"/>
  </si>
  <si>
    <t>ZFMD/SD-20004-SH</t>
    <phoneticPr fontId="1" type="noConversion"/>
  </si>
  <si>
    <t>华能江西清洁能源有限责任公司</t>
    <phoneticPr fontId="1" type="noConversion"/>
  </si>
  <si>
    <t>高龙山风电场测风塔设备采购合同</t>
    <phoneticPr fontId="1" type="noConversion"/>
  </si>
  <si>
    <t>高龙山</t>
    <phoneticPr fontId="22" type="noConversion"/>
  </si>
  <si>
    <t>测风塔设备</t>
    <phoneticPr fontId="1" type="noConversion"/>
  </si>
  <si>
    <t>2020.1.2</t>
    <phoneticPr fontId="1" type="noConversion"/>
  </si>
  <si>
    <t>新疆华电珍珠泉新能源有限公司2019年风功率预测系统服务合同书</t>
    <phoneticPr fontId="22" type="noConversion"/>
  </si>
  <si>
    <t>新疆华电白杨河风力发电有限责任公司2019年风功率预测系统服务合同书</t>
    <phoneticPr fontId="22" type="noConversion"/>
  </si>
  <si>
    <t>焉耆县光润新能源发电有限公司光伏电站光功率预测系统服务合同书</t>
    <phoneticPr fontId="22" type="noConversion"/>
  </si>
  <si>
    <t>2020.1.14</t>
    <phoneticPr fontId="22" type="noConversion"/>
  </si>
  <si>
    <t>ZFMD/SD-20006-1-SH</t>
    <phoneticPr fontId="1" type="noConversion"/>
  </si>
  <si>
    <t>ZFMD/SD-20006-2-SH</t>
  </si>
  <si>
    <t>ZFMD/SD-20006-3-SH</t>
  </si>
  <si>
    <t>ZFMD/SD-20006-4-SH</t>
  </si>
  <si>
    <t>ZFMD/KGSQ-19037</t>
    <phoneticPr fontId="1" type="noConversion"/>
  </si>
  <si>
    <t>上海电气风电集团股份有限公司</t>
    <phoneticPr fontId="1" type="noConversion"/>
  </si>
  <si>
    <t>内贸采购合同（配套件、设备）</t>
    <phoneticPr fontId="1" type="noConversion"/>
  </si>
  <si>
    <t>黑龙江</t>
    <phoneticPr fontId="1" type="noConversion"/>
  </si>
  <si>
    <t>大唐</t>
    <phoneticPr fontId="1" type="noConversion"/>
  </si>
  <si>
    <t>望江</t>
    <phoneticPr fontId="1" type="noConversion"/>
  </si>
  <si>
    <t>绥滨望江</t>
    <phoneticPr fontId="1" type="noConversion"/>
  </si>
  <si>
    <t>电力通讯</t>
    <phoneticPr fontId="1" type="noConversion"/>
  </si>
  <si>
    <t>李妍</t>
    <phoneticPr fontId="1" type="noConversion"/>
  </si>
  <si>
    <t>郭文明、李妍</t>
    <phoneticPr fontId="1" type="noConversion"/>
  </si>
  <si>
    <t>2020.2.29</t>
    <phoneticPr fontId="1" type="noConversion"/>
  </si>
  <si>
    <t>2020.1.22</t>
    <phoneticPr fontId="1" type="noConversion"/>
  </si>
  <si>
    <t>灭火装置；探测装置；控制装置；通讯装置</t>
  </si>
  <si>
    <t>风机自动消防</t>
    <phoneticPr fontId="1" type="noConversion"/>
  </si>
  <si>
    <t>大庆太平</t>
    <phoneticPr fontId="1" type="noConversion"/>
  </si>
  <si>
    <t>大庆宏伟</t>
    <phoneticPr fontId="1" type="noConversion"/>
  </si>
  <si>
    <t>ZFMD/SD-20006-9-SH</t>
  </si>
  <si>
    <t>ZFMD/KGSQ-18045</t>
  </si>
  <si>
    <t>ZFMD/SD-20006-7-SH</t>
    <phoneticPr fontId="1" type="noConversion"/>
  </si>
  <si>
    <t>ZFMD/KGSQ-19048</t>
    <phoneticPr fontId="1" type="noConversion"/>
  </si>
  <si>
    <t>ZFMD/SD-20006-5-SH</t>
    <phoneticPr fontId="1" type="noConversion"/>
  </si>
  <si>
    <t>ZFMD/SD-20006-8-SH</t>
    <phoneticPr fontId="1" type="noConversion"/>
  </si>
  <si>
    <t>ZFMD/SD-20006-6-SH</t>
    <phoneticPr fontId="1" type="noConversion"/>
  </si>
  <si>
    <t>2020.1.31</t>
    <phoneticPr fontId="1" type="noConversion"/>
  </si>
  <si>
    <t>ZFMD/SHFW-2019089</t>
  </si>
  <si>
    <t>ZFMD/SHFW-2019073</t>
  </si>
  <si>
    <t>ZFMD/SD-20007-SH</t>
    <phoneticPr fontId="1" type="noConversion"/>
  </si>
  <si>
    <t>ZFMD/SD-20005-1-SH</t>
    <phoneticPr fontId="1" type="noConversion"/>
  </si>
  <si>
    <t>ZFMD/SD-20005-2-SH</t>
    <phoneticPr fontId="1" type="noConversion"/>
  </si>
  <si>
    <t>ZFMD/KGSQ-19046</t>
  </si>
  <si>
    <t>ZFMD/KGSQ-19047</t>
  </si>
  <si>
    <t>福能（仙游）风力发电有限责任公司</t>
    <phoneticPr fontId="1" type="noConversion"/>
  </si>
  <si>
    <t>草山风电场新能源子站及测风塔数据校正系统建设合同</t>
    <phoneticPr fontId="1" type="noConversion"/>
  </si>
  <si>
    <t>草山</t>
    <phoneticPr fontId="22" type="noConversion"/>
  </si>
  <si>
    <t>仙游草山</t>
    <phoneticPr fontId="1" type="noConversion"/>
  </si>
  <si>
    <t>福建风电场D5000二区软件；系统硬件</t>
    <phoneticPr fontId="1" type="noConversion"/>
  </si>
  <si>
    <t>福建风电场理论功率上传软件</t>
    <phoneticPr fontId="1" type="noConversion"/>
  </si>
  <si>
    <t>2019.11.06</t>
    <phoneticPr fontId="1" type="noConversion"/>
  </si>
  <si>
    <t>ZFMD/SD-20009-SH</t>
  </si>
  <si>
    <t>坵坪风电场风功率预测系统服务合同文件</t>
    <phoneticPr fontId="1" type="noConversion"/>
  </si>
  <si>
    <t>广西兴安10个风场/110KV头岭升压站/220KV坵坪升压站</t>
  </si>
  <si>
    <t>2020.3.31</t>
    <phoneticPr fontId="1" type="noConversion"/>
  </si>
  <si>
    <t>2021.12.31</t>
    <phoneticPr fontId="1" type="noConversion"/>
  </si>
  <si>
    <t>ZFMD/SD-20010-SH</t>
  </si>
  <si>
    <t>华电福新新疆木垒能源有限公司</t>
    <phoneticPr fontId="1" type="noConversion"/>
  </si>
  <si>
    <t>木垒照壁山光伏电站光功率预测气象数据服务（2020年度）</t>
    <phoneticPr fontId="1" type="noConversion"/>
  </si>
  <si>
    <t>特变电工照壁山</t>
    <phoneticPr fontId="1" type="noConversion"/>
  </si>
  <si>
    <t>木垒照壁山</t>
    <phoneticPr fontId="1" type="noConversion"/>
  </si>
  <si>
    <t>ZFMD/KGSQ-19053</t>
  </si>
  <si>
    <t>吉电（滁州）章广风力发电有限公司</t>
    <phoneticPr fontId="1" type="noConversion"/>
  </si>
  <si>
    <t>风功率预测数据上传省调系统技术服务合同</t>
    <phoneticPr fontId="1" type="noConversion"/>
  </si>
  <si>
    <t>安徽南谯/常山</t>
    <phoneticPr fontId="1" type="noConversion"/>
  </si>
  <si>
    <t>安徽风电场理论功率上传软件</t>
    <phoneticPr fontId="5" type="noConversion"/>
  </si>
  <si>
    <t>ZFMD/SD-20008-1-SH</t>
    <phoneticPr fontId="1" type="noConversion"/>
  </si>
  <si>
    <t>ZFMD/SD-20008-2-SH</t>
    <phoneticPr fontId="1" type="noConversion"/>
  </si>
  <si>
    <t>ZFMD/KGSQ-19033</t>
    <phoneticPr fontId="1" type="noConversion"/>
  </si>
  <si>
    <t>ZFMD/KGSQ-19034</t>
    <phoneticPr fontId="1" type="noConversion"/>
  </si>
  <si>
    <t>技术服务</t>
    <phoneticPr fontId="1" type="noConversion"/>
  </si>
  <si>
    <t>2020.3</t>
    <phoneticPr fontId="1" type="noConversion"/>
  </si>
  <si>
    <t>2020年4月3日和段洪宇确认，该合同包含开工19033和19034。</t>
    <phoneticPr fontId="1" type="noConversion"/>
  </si>
  <si>
    <t>新誉集团到保风电场风功率预测系统服务及网络安全监控装置接入</t>
    <phoneticPr fontId="1" type="noConversion"/>
  </si>
  <si>
    <t>王星</t>
    <phoneticPr fontId="1" type="noConversion"/>
  </si>
  <si>
    <t>2020.4.8</t>
    <phoneticPr fontId="1" type="noConversion"/>
  </si>
  <si>
    <t>2020.3.23</t>
    <phoneticPr fontId="1" type="noConversion"/>
  </si>
  <si>
    <t>ZFMD/SD-20011-SH</t>
    <phoneticPr fontId="1" type="noConversion"/>
  </si>
  <si>
    <t>2019.9.19</t>
    <phoneticPr fontId="1" type="noConversion"/>
  </si>
  <si>
    <t>ZFMD/SD-20013-SH</t>
  </si>
  <si>
    <t>ZFMD/SD-20014-SH</t>
  </si>
  <si>
    <t>ZFMD/SD-20015-SH</t>
  </si>
  <si>
    <t>ZFMD/SD-20016-SH</t>
  </si>
  <si>
    <t>黑龙江龙源新能源发展有限公司依兰分公司</t>
    <phoneticPr fontId="1" type="noConversion"/>
  </si>
  <si>
    <t>黑龙江公司跨区现货交易辅助决策系统软件采购项目合同</t>
    <phoneticPr fontId="1" type="noConversion"/>
  </si>
  <si>
    <t>电力交易</t>
    <phoneticPr fontId="1" type="noConversion"/>
  </si>
  <si>
    <t>ZFMD/SD-19131-1-SH-BG01
ZFMD/SD-19131-1-SH-BG02</t>
    <phoneticPr fontId="22" type="noConversion"/>
  </si>
  <si>
    <t>ZFMD/SD-20011-SH-BG01</t>
    <phoneticPr fontId="1" type="noConversion"/>
  </si>
  <si>
    <t>2020.3.27</t>
    <phoneticPr fontId="1" type="noConversion"/>
  </si>
  <si>
    <t>齐齐哈尔风电富裕风电场风电功率预测系统服务合同</t>
    <phoneticPr fontId="22" type="noConversion"/>
  </si>
  <si>
    <t>乾安风电公司风电功率预测系统服务合同</t>
    <phoneticPr fontId="22" type="noConversion"/>
  </si>
  <si>
    <t>2020.4.15</t>
    <phoneticPr fontId="1" type="noConversion"/>
  </si>
  <si>
    <t>2020.3.13</t>
    <phoneticPr fontId="1" type="noConversion"/>
  </si>
  <si>
    <t>2020.3.4</t>
    <phoneticPr fontId="1" type="noConversion"/>
  </si>
  <si>
    <t>2021.3.3</t>
    <phoneticPr fontId="1" type="noConversion"/>
  </si>
  <si>
    <t>ZFMD/SD-20017-SH</t>
  </si>
  <si>
    <t>ZFMD/SD-20018-SH</t>
  </si>
  <si>
    <t>ZFMD/SD-20019-SH</t>
  </si>
  <si>
    <t>ZFMD/SD-20020-SH</t>
  </si>
  <si>
    <t>2020.4.16</t>
    <phoneticPr fontId="22" type="noConversion"/>
  </si>
  <si>
    <t>2020.3.26</t>
    <phoneticPr fontId="22" type="noConversion"/>
  </si>
  <si>
    <t>2020.1.1</t>
    <phoneticPr fontId="22" type="noConversion"/>
  </si>
  <si>
    <t>2020.12.31</t>
    <phoneticPr fontId="22" type="noConversion"/>
  </si>
  <si>
    <t>ZFMD/SD-20021-SH</t>
  </si>
  <si>
    <t>ZFMD/SD-20022-SH</t>
  </si>
  <si>
    <t>2020年双辽风场风功率预测系统服务合同</t>
    <phoneticPr fontId="22" type="noConversion"/>
  </si>
  <si>
    <t>2020.4.20</t>
    <phoneticPr fontId="22" type="noConversion"/>
  </si>
  <si>
    <t>2020.4</t>
    <phoneticPr fontId="22" type="noConversion"/>
  </si>
  <si>
    <t>2020.7.1</t>
    <phoneticPr fontId="22" type="noConversion"/>
  </si>
  <si>
    <t>2021.6.30</t>
    <phoneticPr fontId="22" type="noConversion"/>
  </si>
  <si>
    <t>2020年大安风场风功率预测系统服务合同</t>
    <phoneticPr fontId="22" type="noConversion"/>
  </si>
  <si>
    <t>ZFMD/SD-20023-SH</t>
  </si>
  <si>
    <t>ZFMD/KGSQ-20013</t>
  </si>
  <si>
    <t>技术服务（测风塔三区接入）</t>
    <phoneticPr fontId="1" type="noConversion"/>
  </si>
  <si>
    <t>2020.4.23</t>
    <phoneticPr fontId="1" type="noConversion"/>
  </si>
  <si>
    <t>ZFMD/SD-20012-18141-SH</t>
    <phoneticPr fontId="1" type="noConversion"/>
  </si>
  <si>
    <t>ZFMD/SD-20005-1-SH-BG01</t>
    <phoneticPr fontId="1" type="noConversion"/>
  </si>
  <si>
    <t>2019年1月15日，因税率17%变更为16%，合同额由3.22万元变更为3.192479万元。注：合同中的税率是16%，但是18年4月份的时候，报价金额为3.22万元是含17%增值税的，由于合同签订较晚，所以只能写16%，实际为17%。2020.3.20业主要求按照合同金额16%变更为13%，由3.22万元变更为3.136724万元。2020.4.21业主要求按照合同金额17%变更为13%，由3.22万元变更为3.109915万元。</t>
    <phoneticPr fontId="22" type="noConversion"/>
  </si>
  <si>
    <t>2020.3.31业主要求按照合同金额17%变更为13%，由1.8万元变更为1.738461万元。</t>
    <phoneticPr fontId="10" type="noConversion"/>
  </si>
  <si>
    <t>ZFMD/SD-19138-19124-SH</t>
    <phoneticPr fontId="22" type="noConversion"/>
  </si>
  <si>
    <t>ZFMD/SD-19006-16071-SH</t>
    <phoneticPr fontId="22" type="noConversion"/>
  </si>
  <si>
    <t>2020.4.5</t>
    <phoneticPr fontId="1" type="noConversion"/>
  </si>
  <si>
    <t>合同变更通知单</t>
    <phoneticPr fontId="1" type="noConversion"/>
  </si>
  <si>
    <t>2020年4月23日开票占号。是18141的合同补充。</t>
    <phoneticPr fontId="1" type="noConversion"/>
  </si>
  <si>
    <t>ZFMD/SD-20024-SH</t>
  </si>
  <si>
    <t>ZFMD/KGSQ-20014</t>
  </si>
  <si>
    <t>吉林省光华风电投资有限公司</t>
    <phoneticPr fontId="1" type="noConversion"/>
  </si>
  <si>
    <t>到保测风塔设备产品买卖合同</t>
    <phoneticPr fontId="1" type="noConversion"/>
  </si>
  <si>
    <t>2020.4.28</t>
    <phoneticPr fontId="1" type="noConversion"/>
  </si>
  <si>
    <t>2020.4.20</t>
    <phoneticPr fontId="1" type="noConversion"/>
  </si>
  <si>
    <t>2021.3.22</t>
    <phoneticPr fontId="1" type="noConversion"/>
  </si>
  <si>
    <t>ZFMD/SD-20025-SH</t>
  </si>
  <si>
    <t>ZFMD/SD-20026-SH</t>
  </si>
  <si>
    <t>ZFMD/SD-20027-SH</t>
  </si>
  <si>
    <t>ZFMD/SD-20028-SH</t>
  </si>
  <si>
    <t>ZFMD/SD-20029-SH</t>
  </si>
  <si>
    <t>代马沟</t>
    <phoneticPr fontId="1" type="noConversion"/>
  </si>
  <si>
    <t>2020.5.15</t>
    <phoneticPr fontId="1" type="noConversion"/>
  </si>
  <si>
    <t>大唐吉林风力发电股份有限公司</t>
    <phoneticPr fontId="1" type="noConversion"/>
  </si>
  <si>
    <t>洮南风电场2020年风功率预测系统（软硬件）及测风塔维修维护服务合同</t>
    <phoneticPr fontId="1" type="noConversion"/>
  </si>
  <si>
    <t>洮南</t>
    <phoneticPr fontId="1" type="noConversion"/>
  </si>
  <si>
    <t>测风塔维护；预测服务1年</t>
    <phoneticPr fontId="1" type="noConversion"/>
  </si>
  <si>
    <t>2020.4.3</t>
    <phoneticPr fontId="1" type="noConversion"/>
  </si>
  <si>
    <t>大唐向阳风电有限公司</t>
    <phoneticPr fontId="1" type="noConversion"/>
  </si>
  <si>
    <t>向阳风电场2020年风功率预测系统（软硬件）及测风塔维修维护服务合同</t>
    <phoneticPr fontId="1" type="noConversion"/>
  </si>
  <si>
    <t>吉林大安新唐发电有限公司</t>
    <phoneticPr fontId="1" type="noConversion"/>
  </si>
  <si>
    <t>新艾里风电场2020年风功率预测系统（软硬件）及测风塔维修维护服务合同</t>
    <phoneticPr fontId="1" type="noConversion"/>
  </si>
  <si>
    <t>大唐中电（吉林）新能源发电有限公司双辽分公司</t>
    <phoneticPr fontId="1" type="noConversion"/>
  </si>
  <si>
    <t>双辽分公司双辽风电场2020年风功率预测系统（软硬件）及测风塔维修维护服务合同</t>
    <phoneticPr fontId="1" type="noConversion"/>
  </si>
  <si>
    <t>双辽</t>
    <phoneticPr fontId="1" type="noConversion"/>
  </si>
  <si>
    <t>风电功率预测系统服务合同书</t>
    <phoneticPr fontId="1" type="noConversion"/>
  </si>
  <si>
    <t>2020.5.22</t>
    <phoneticPr fontId="1" type="noConversion"/>
  </si>
  <si>
    <t>2020.3.16</t>
    <phoneticPr fontId="1" type="noConversion"/>
  </si>
  <si>
    <t>ZFMD/SD-20030-SH</t>
  </si>
  <si>
    <t>ZFMD/SD-20031-SH</t>
  </si>
  <si>
    <t>伊春龙源雄亚风力发电有限公司</t>
    <phoneticPr fontId="1" type="noConversion"/>
  </si>
  <si>
    <t>白山</t>
    <phoneticPr fontId="1" type="noConversion"/>
  </si>
  <si>
    <t>大白山+小白山+老白山+少白山</t>
    <phoneticPr fontId="1" type="noConversion"/>
  </si>
  <si>
    <t>ZFMD/KGSQ-20006</t>
    <phoneticPr fontId="5" type="noConversion"/>
  </si>
  <si>
    <t>三峡新能源调兵山风电有限公司</t>
    <phoneticPr fontId="1" type="noConversion"/>
  </si>
  <si>
    <t>三峡新能源辽宁省调兵山风电场（99MW）工程理论功率子站采购合同</t>
    <phoneticPr fontId="1" type="noConversion"/>
  </si>
  <si>
    <t>铁岭调兵山华仪+三峡能源泉眼沟</t>
    <phoneticPr fontId="1" type="noConversion"/>
  </si>
  <si>
    <t>调兵山（华仪+泉眼沟）</t>
    <phoneticPr fontId="1" type="noConversion"/>
  </si>
  <si>
    <t>辽宁风电场理论功率上传软件；系统硬件</t>
    <phoneticPr fontId="1" type="noConversion"/>
  </si>
  <si>
    <t>2020.2.20</t>
    <phoneticPr fontId="1" type="noConversion"/>
  </si>
  <si>
    <t>ZFMD/SD-20032-SH</t>
  </si>
  <si>
    <t>ZFMD/KGSQ-20010</t>
  </si>
  <si>
    <t>葫芦岛全方新能源风电有限公司</t>
    <phoneticPr fontId="1" type="noConversion"/>
  </si>
  <si>
    <t>三峡新能源辽宁省葫芦岛岳家屯风电场（48MW）工程风功率预测系统升级买卖合同</t>
    <phoneticPr fontId="1" type="noConversion"/>
  </si>
  <si>
    <t>葫芦岛岳家屯</t>
  </si>
  <si>
    <t>2020.5.28</t>
    <phoneticPr fontId="1" type="noConversion"/>
  </si>
  <si>
    <t>2020.5.20</t>
    <phoneticPr fontId="1" type="noConversion"/>
  </si>
  <si>
    <t>ZFMD/SD-20033-SH</t>
  </si>
  <si>
    <t>ZFMD/KGSQ-19024</t>
    <phoneticPr fontId="1" type="noConversion"/>
  </si>
  <si>
    <t>三峡新能源泰来发电有限公司</t>
    <phoneticPr fontId="1" type="noConversion"/>
  </si>
  <si>
    <t>三峡新能源黑龙江省泰来汤池光伏电站（9.9MWp）工程省调综合通讯管理系统合同</t>
    <phoneticPr fontId="1" type="noConversion"/>
  </si>
  <si>
    <t>泰来</t>
    <phoneticPr fontId="1" type="noConversion"/>
  </si>
  <si>
    <t>泰来汤池/泰来光伏</t>
    <phoneticPr fontId="1" type="noConversion"/>
  </si>
  <si>
    <t>2020.5</t>
    <phoneticPr fontId="1" type="noConversion"/>
  </si>
  <si>
    <t>2019.6.18</t>
    <phoneticPr fontId="1" type="noConversion"/>
  </si>
  <si>
    <t>2020.4.7</t>
    <phoneticPr fontId="1" type="noConversion"/>
  </si>
  <si>
    <t>2020.3.25</t>
    <phoneticPr fontId="1" type="noConversion"/>
  </si>
  <si>
    <t>2019.12.12</t>
    <phoneticPr fontId="1" type="noConversion"/>
  </si>
  <si>
    <t>2019.7.3</t>
    <phoneticPr fontId="1" type="noConversion"/>
  </si>
  <si>
    <t>ZFMD/SD-20034-SH</t>
  </si>
  <si>
    <t>ZFMD/SD-20035-1-SH</t>
    <phoneticPr fontId="1" type="noConversion"/>
  </si>
  <si>
    <t>ZFMD/SD-20035-2-SH</t>
  </si>
  <si>
    <t>华能同江街津山风电场2020年度风电功率预测服务</t>
    <phoneticPr fontId="22" type="noConversion"/>
  </si>
  <si>
    <t>大庆和平、新海风电场2020年度风功率预测服务</t>
    <phoneticPr fontId="22" type="noConversion"/>
  </si>
  <si>
    <t>2020.1.15</t>
    <phoneticPr fontId="22" type="noConversion"/>
  </si>
  <si>
    <t>2020.5.28</t>
    <phoneticPr fontId="22" type="noConversion"/>
  </si>
  <si>
    <t>2020.1.16</t>
    <phoneticPr fontId="22" type="noConversion"/>
  </si>
  <si>
    <t>ZFMD/SD-20036-SH</t>
    <phoneticPr fontId="1" type="noConversion"/>
  </si>
  <si>
    <t>新疆伊犁库克苏河水电开发有限公司</t>
    <phoneticPr fontId="1" type="noConversion"/>
  </si>
  <si>
    <t>五凌布尔津风电场49.5MW项目风功率预测系统技术服务合同</t>
    <phoneticPr fontId="1" type="noConversion"/>
  </si>
  <si>
    <t>张铁民</t>
    <phoneticPr fontId="1" type="noConversion"/>
  </si>
  <si>
    <t>2020.5.29</t>
    <phoneticPr fontId="1" type="noConversion"/>
  </si>
  <si>
    <t>2020.1.16</t>
    <phoneticPr fontId="1" type="noConversion"/>
  </si>
  <si>
    <t>ZFMD/SD-20037-SH</t>
  </si>
  <si>
    <t>ZFMD/SD-20038-SH</t>
  </si>
  <si>
    <t>ZFMD/SD-20039-SH</t>
  </si>
  <si>
    <t>ZFMD/SD-20040-SH</t>
  </si>
  <si>
    <t>华能定边沈口子风电场风功率预测系统气象服务合同</t>
  </si>
  <si>
    <t>华能定边新能源发电有限公司</t>
    <phoneticPr fontId="1" type="noConversion"/>
  </si>
  <si>
    <t>2020.6.2</t>
    <phoneticPr fontId="22" type="noConversion"/>
  </si>
  <si>
    <t>2020.5.22</t>
    <phoneticPr fontId="22" type="noConversion"/>
  </si>
  <si>
    <t>ZFMD/SD-19145-SH-BG01
ZFMD/SD-19145-SH-BG02</t>
    <phoneticPr fontId="22" type="noConversion"/>
  </si>
  <si>
    <t>ZFMD/KGSQ-20015</t>
  </si>
  <si>
    <t>湘电风能有限公司</t>
    <phoneticPr fontId="1" type="noConversion"/>
  </si>
  <si>
    <t>湖南华电永州梅岗风电功率预测采购合同</t>
    <phoneticPr fontId="1" type="noConversion"/>
  </si>
  <si>
    <t>永州梅岗</t>
    <phoneticPr fontId="1" type="noConversion"/>
  </si>
  <si>
    <t>短期软件；超短期软件；系统硬件；测风塔；测风塔设备；预测服务2年</t>
    <phoneticPr fontId="1" type="noConversion"/>
  </si>
  <si>
    <t>2020.6.2</t>
    <phoneticPr fontId="1" type="noConversion"/>
  </si>
  <si>
    <t>免费一年</t>
    <phoneticPr fontId="1" type="noConversion"/>
  </si>
  <si>
    <t>免费两年</t>
    <phoneticPr fontId="1" type="noConversion"/>
  </si>
  <si>
    <t>三峡新能源河北省尚义风电场（49.5MW）工程2020年度风功率预测服务合同</t>
    <phoneticPr fontId="1" type="noConversion"/>
  </si>
  <si>
    <t>三峡新能源尚义风电有限公司</t>
    <phoneticPr fontId="1" type="noConversion"/>
  </si>
  <si>
    <t>尚义</t>
    <phoneticPr fontId="1" type="noConversion"/>
  </si>
  <si>
    <t>49.5MW</t>
    <phoneticPr fontId="1" type="noConversion"/>
  </si>
  <si>
    <t>2020.5.21</t>
    <phoneticPr fontId="1" type="noConversion"/>
  </si>
  <si>
    <t>2022.5.20</t>
    <phoneticPr fontId="1" type="noConversion"/>
  </si>
  <si>
    <t>三峡新能源哈密风电有限公司</t>
    <phoneticPr fontId="1" type="noConversion"/>
  </si>
  <si>
    <t>三峡新能源新疆哈密苦水风电场200MW项目2020年度风功率预测气象服务项目</t>
    <phoneticPr fontId="1" type="noConversion"/>
  </si>
  <si>
    <t>2020.2.6</t>
    <phoneticPr fontId="1" type="noConversion"/>
  </si>
  <si>
    <t>ZFMD/SD-20041-1-SH</t>
    <phoneticPr fontId="1" type="noConversion"/>
  </si>
  <si>
    <t>ZFMD/SD-20041-2-SH</t>
  </si>
  <si>
    <t>中铁十二局集团电气化工程有限公司</t>
    <phoneticPr fontId="1" type="noConversion"/>
  </si>
  <si>
    <t>风电功率预测系统物资材料采购合同</t>
    <phoneticPr fontId="1" type="noConversion"/>
  </si>
  <si>
    <t>AGC/AVC系统物资材料采购合同</t>
    <phoneticPr fontId="1" type="noConversion"/>
  </si>
  <si>
    <t>中铁十二局</t>
    <phoneticPr fontId="1" type="noConversion"/>
  </si>
  <si>
    <t>宝鸡麟游</t>
  </si>
  <si>
    <t>2020.6.5</t>
    <phoneticPr fontId="1" type="noConversion"/>
  </si>
  <si>
    <t>2020.5.26</t>
    <phoneticPr fontId="1" type="noConversion"/>
  </si>
  <si>
    <t>风电AGC/AVC</t>
    <phoneticPr fontId="1" type="noConversion"/>
  </si>
  <si>
    <t>风电AGC软件；风电AVC软件；系统硬件</t>
    <phoneticPr fontId="1" type="noConversion"/>
  </si>
  <si>
    <t>ZFMD/SD-20042-SH</t>
    <phoneticPr fontId="1" type="noConversion"/>
  </si>
  <si>
    <t>ZFMD/SD-20043-SH</t>
  </si>
  <si>
    <t>ZFMD/SD-20044-SH</t>
  </si>
  <si>
    <t>华能钟祥胡家湾风电场2020年天气预报数据服务项目采购合同</t>
    <phoneticPr fontId="1" type="noConversion"/>
  </si>
  <si>
    <t>华能钟祥风电有限责任公司</t>
    <phoneticPr fontId="1" type="noConversion"/>
  </si>
  <si>
    <t>2020.6.11</t>
    <phoneticPr fontId="1" type="noConversion"/>
  </si>
  <si>
    <t>2020.4</t>
    <phoneticPr fontId="1" type="noConversion"/>
  </si>
  <si>
    <t>2020.5.1</t>
    <phoneticPr fontId="1" type="noConversion"/>
  </si>
  <si>
    <t>2023.4.30</t>
    <phoneticPr fontId="1" type="noConversion"/>
  </si>
  <si>
    <t>2021.4.30</t>
    <phoneticPr fontId="22" type="noConversion"/>
  </si>
  <si>
    <t>蒋公岭风电场2020年风功率预测系统服务合同书</t>
    <phoneticPr fontId="1" type="noConversion"/>
  </si>
  <si>
    <t>2020.6.11</t>
    <phoneticPr fontId="22" type="noConversion"/>
  </si>
  <si>
    <t>2021.1.7</t>
    <phoneticPr fontId="22" type="noConversion"/>
  </si>
  <si>
    <t>合同条款1.5服务期限为：自签订之日起至2020年12月31日，和秦英飞确认实际的服务日期为2020.1.8-2021.1.7</t>
    <phoneticPr fontId="1" type="noConversion"/>
  </si>
  <si>
    <t>陕西光伏太阳能发电有限公司</t>
    <phoneticPr fontId="1" type="noConversion"/>
  </si>
  <si>
    <t>陕西光伏太阳能发电有限公司靖边上欠井38兆瓦光伏电站光功率预测系统服务合同</t>
    <phoneticPr fontId="1" type="noConversion"/>
  </si>
  <si>
    <t>2020.6.12</t>
    <phoneticPr fontId="22" type="noConversion"/>
  </si>
  <si>
    <t>ZFMD/SD-20045-SH</t>
    <phoneticPr fontId="1" type="noConversion"/>
  </si>
  <si>
    <t>2020年6月16日，因税率由16%调整为13%，合同金额由68.75万元变为66.971975万元。</t>
    <phoneticPr fontId="22" type="noConversion"/>
  </si>
  <si>
    <t>ZFMD/SD-20046-SH</t>
  </si>
  <si>
    <t>山东大唐国际东营风电有限责任公司</t>
    <phoneticPr fontId="1" type="noConversion"/>
  </si>
  <si>
    <t>开发票占号，合同未回</t>
    <phoneticPr fontId="1" type="noConversion"/>
  </si>
  <si>
    <t>东营大唐</t>
    <phoneticPr fontId="22" type="noConversion"/>
  </si>
  <si>
    <t>东营</t>
    <phoneticPr fontId="22" type="noConversion"/>
  </si>
  <si>
    <t>2020.6.17</t>
    <phoneticPr fontId="1" type="noConversion"/>
  </si>
  <si>
    <t>三峡新能源辽宁省调兵山风电场（99MW）工程测风塔设备采购及更换合同</t>
    <phoneticPr fontId="1" type="noConversion"/>
  </si>
  <si>
    <t>ZFMD/SD-20048-SH</t>
  </si>
  <si>
    <t>ZFMD/SD-20049-SH</t>
  </si>
  <si>
    <t>铁岭调兵山华仪+三峡能源泉眼沟</t>
    <phoneticPr fontId="22" type="noConversion"/>
  </si>
  <si>
    <t>2020.6.12</t>
    <phoneticPr fontId="1" type="noConversion"/>
  </si>
  <si>
    <t>福建中核高嵛山风电有限公司</t>
    <phoneticPr fontId="1" type="noConversion"/>
  </si>
  <si>
    <t>高嵛山风电场风功率预测技术服务合同</t>
    <phoneticPr fontId="1" type="noConversion"/>
  </si>
  <si>
    <t>高嵛山</t>
    <phoneticPr fontId="1" type="noConversion"/>
  </si>
  <si>
    <t>云霄汇海风电有限公司</t>
    <phoneticPr fontId="1" type="noConversion"/>
  </si>
  <si>
    <t>曾江风电场风功率预测技术服务合同</t>
    <phoneticPr fontId="1" type="noConversion"/>
  </si>
  <si>
    <t>中核国电</t>
    <phoneticPr fontId="1" type="noConversion"/>
  </si>
  <si>
    <t>云霄曾江</t>
    <phoneticPr fontId="1" type="noConversion"/>
  </si>
  <si>
    <t>2020.3.21</t>
    <phoneticPr fontId="1" type="noConversion"/>
  </si>
  <si>
    <t>2021.3.20</t>
    <phoneticPr fontId="1" type="noConversion"/>
  </si>
  <si>
    <t>2020.6.19</t>
    <phoneticPr fontId="1" type="noConversion"/>
  </si>
  <si>
    <t>开票时间为2020.6.17</t>
    <phoneticPr fontId="1" type="noConversion"/>
  </si>
  <si>
    <t>吉电（滁州）章广风力发电有限公司风电场风电功率预测技术服务和维护服务合同的补充协议</t>
    <phoneticPr fontId="22" type="noConversion"/>
  </si>
  <si>
    <t>2020.6.22</t>
    <phoneticPr fontId="22" type="noConversion"/>
  </si>
  <si>
    <t>2020.7.15</t>
    <phoneticPr fontId="22" type="noConversion"/>
  </si>
  <si>
    <t>2021.7.15</t>
    <phoneticPr fontId="22" type="noConversion"/>
  </si>
  <si>
    <t>开票时间为2020.6.22</t>
    <phoneticPr fontId="1" type="noConversion"/>
  </si>
  <si>
    <t>2020.6.15</t>
    <phoneticPr fontId="1" type="noConversion"/>
  </si>
  <si>
    <t>ZFMD/SD-20050-19071-SH</t>
    <phoneticPr fontId="1" type="noConversion"/>
  </si>
  <si>
    <t>ZFMD/SD-20051-SH</t>
    <phoneticPr fontId="1" type="noConversion"/>
  </si>
  <si>
    <t>ZFMD/SD-20052-SH</t>
    <phoneticPr fontId="1" type="noConversion"/>
  </si>
  <si>
    <t>ZFMD/KGSQ-18067</t>
  </si>
  <si>
    <t>ZFMD/KGSQ-18068</t>
  </si>
  <si>
    <t>三峡威远</t>
    <phoneticPr fontId="1" type="noConversion"/>
  </si>
  <si>
    <t>电力交易系统硬件</t>
    <phoneticPr fontId="1" type="noConversion"/>
  </si>
  <si>
    <t>2020.6.23</t>
    <phoneticPr fontId="1" type="noConversion"/>
  </si>
  <si>
    <t>灵华山风电场2020年风功率预测系统服务合同书</t>
    <phoneticPr fontId="22" type="noConversion"/>
  </si>
  <si>
    <t>2020.6.23</t>
    <phoneticPr fontId="22" type="noConversion"/>
  </si>
  <si>
    <t>ZFMD/SD-20053-SH</t>
    <phoneticPr fontId="1" type="noConversion"/>
  </si>
  <si>
    <t>2020.6.9</t>
    <phoneticPr fontId="22" type="noConversion"/>
  </si>
  <si>
    <t>2020.9.28</t>
    <phoneticPr fontId="22" type="noConversion"/>
  </si>
  <si>
    <t>2021.9.27</t>
    <phoneticPr fontId="22" type="noConversion"/>
  </si>
  <si>
    <t>2020年6月23日微信和秦英飞确认的服务起止日期</t>
    <phoneticPr fontId="1" type="noConversion"/>
  </si>
  <si>
    <t>技术服务（数据转发集控）</t>
    <phoneticPr fontId="22" type="noConversion"/>
  </si>
  <si>
    <t>ZFMD/KGSQ-18034</t>
    <phoneticPr fontId="1" type="noConversion"/>
  </si>
  <si>
    <t>焉耆县光润新能源发电有限公司</t>
    <phoneticPr fontId="1" type="noConversion"/>
  </si>
  <si>
    <t>焉耆光润光伏电站光伏功率预测系统接入集控中心服务合同</t>
    <phoneticPr fontId="1" type="noConversion"/>
  </si>
  <si>
    <t>2020.6</t>
    <phoneticPr fontId="1" type="noConversion"/>
  </si>
  <si>
    <t>ZFMD/SHFW-2020004</t>
    <phoneticPr fontId="1" type="noConversion"/>
  </si>
  <si>
    <t>ZFMD/SD-20054-SH</t>
    <phoneticPr fontId="1" type="noConversion"/>
  </si>
  <si>
    <t>2020年6月23日和王龙波确认对应的开工申请号</t>
    <phoneticPr fontId="1" type="noConversion"/>
  </si>
  <si>
    <t>大唐托克逊风电开发有限公司风功率预测系统维护合同</t>
    <phoneticPr fontId="1" type="noConversion"/>
  </si>
  <si>
    <t>大唐托克逊风电开发有限公司</t>
    <phoneticPr fontId="1" type="noConversion"/>
  </si>
  <si>
    <t>托克逊</t>
    <phoneticPr fontId="1" type="noConversion"/>
  </si>
  <si>
    <t>2020.6.24</t>
    <phoneticPr fontId="1" type="noConversion"/>
  </si>
  <si>
    <t>2020年6月24微信和王龙波确认的服务起止日期</t>
    <phoneticPr fontId="1" type="noConversion"/>
  </si>
  <si>
    <t>ZFMD/SD-20055-SH</t>
    <phoneticPr fontId="1" type="noConversion"/>
  </si>
  <si>
    <t>2023.5.27</t>
    <phoneticPr fontId="1" type="noConversion"/>
  </si>
  <si>
    <t>ZFMD/SD-20047-SH</t>
    <phoneticPr fontId="1" type="noConversion"/>
  </si>
  <si>
    <t>韩志宇
王星</t>
    <phoneticPr fontId="1" type="noConversion"/>
  </si>
  <si>
    <t>ZFMD/SD-20037-SH-BG01</t>
    <phoneticPr fontId="1" type="noConversion"/>
  </si>
  <si>
    <t>2020年6月30日，因税率由17%变为13%，合同额由39万元变更为37.666667万元</t>
    <phoneticPr fontId="10" type="noConversion"/>
  </si>
  <si>
    <t>ZFMD/SD-20056-SH</t>
  </si>
  <si>
    <t>ZFMD/SD-20057-SH</t>
  </si>
  <si>
    <t>ZFMD/SD-20058-SH</t>
  </si>
  <si>
    <t>2020.7</t>
    <phoneticPr fontId="22" type="noConversion"/>
  </si>
  <si>
    <t>2017年3月16日，因两座90米测风塔重建事宜，合同金额由79万变更为47万。
2020年07月06日，因税率由17%调整为13%，合同金额由47万元变为45.393162万元。</t>
    <phoneticPr fontId="1" type="noConversion"/>
  </si>
  <si>
    <t>2020.7.7</t>
    <phoneticPr fontId="1" type="noConversion"/>
  </si>
  <si>
    <t>ZFMD/SD-20059-SH</t>
  </si>
  <si>
    <t>曹碾沟风电场项目风电功率预测系统数值天气预报技术服务合同</t>
    <phoneticPr fontId="22" type="noConversion"/>
  </si>
  <si>
    <t>2020.7.7</t>
    <phoneticPr fontId="22" type="noConversion"/>
  </si>
  <si>
    <t>2020.5.18</t>
    <phoneticPr fontId="22" type="noConversion"/>
  </si>
  <si>
    <t>张北华实建投风能有限公司</t>
    <phoneticPr fontId="1" type="noConversion"/>
  </si>
  <si>
    <t>ZFMD/SD-18163-SH-BG01</t>
    <phoneticPr fontId="22" type="noConversion"/>
  </si>
  <si>
    <t>ZFMD/SD-20060-1-SH</t>
    <phoneticPr fontId="1" type="noConversion"/>
  </si>
  <si>
    <t>ZFMD/SD-20060-2-SH</t>
  </si>
  <si>
    <t>北京金风慧能技术有限公司</t>
    <phoneticPr fontId="1" type="noConversion"/>
  </si>
  <si>
    <t>宁安头道岭风电功率预测系统工业品买卖合同</t>
    <phoneticPr fontId="1" type="noConversion"/>
  </si>
  <si>
    <t>宁安二道岭风电功率预测系统工业品买卖合同</t>
    <phoneticPr fontId="1" type="noConversion"/>
  </si>
  <si>
    <t>宁安头道岭</t>
    <phoneticPr fontId="1" type="noConversion"/>
  </si>
  <si>
    <t>2020.7.14</t>
    <phoneticPr fontId="1" type="noConversion"/>
  </si>
  <si>
    <t>2020.7</t>
    <phoneticPr fontId="1" type="noConversion"/>
  </si>
  <si>
    <t>宁安二道岭</t>
    <phoneticPr fontId="1" type="noConversion"/>
  </si>
  <si>
    <t>ZFMD/SD-20061-SH</t>
    <phoneticPr fontId="1" type="noConversion"/>
  </si>
  <si>
    <t>ZFMD/SD-20062-SH</t>
  </si>
  <si>
    <t>ZFMD/SD-20064-SH</t>
  </si>
  <si>
    <t>ZFMD/SD-20065-SH</t>
  </si>
  <si>
    <t>ZFMD/SD-20066-SH</t>
  </si>
  <si>
    <t>ZFMD/SD-20067-SH</t>
  </si>
  <si>
    <t>国华（铜川）新能源有限公司</t>
    <phoneticPr fontId="1" type="noConversion"/>
  </si>
  <si>
    <t>国华陕西公司铜川风电场风功率预测操作系统更换合同</t>
    <phoneticPr fontId="1" type="noConversion"/>
  </si>
  <si>
    <t>国华陕西公司铜川风电场风功率预测系统技术服务合同</t>
    <phoneticPr fontId="1" type="noConversion"/>
  </si>
  <si>
    <t>国华云梦（一期+二三期）</t>
    <phoneticPr fontId="5" type="noConversion"/>
  </si>
  <si>
    <t>铜川阿庄（一期+二三期）、阿庄（一期+二三期）、西草沟（一期+二三期）</t>
    <phoneticPr fontId="1" type="noConversion"/>
  </si>
  <si>
    <t>ZFMD/KGSQ-20017</t>
  </si>
  <si>
    <t>榆林国远风电有限公司</t>
    <phoneticPr fontId="1" type="noConversion"/>
  </si>
  <si>
    <t>狄青塬一二期、横山一二期、艾好峁一二期</t>
    <phoneticPr fontId="1" type="noConversion"/>
  </si>
  <si>
    <t>狄青塬（一二期）</t>
    <phoneticPr fontId="5" type="noConversion"/>
  </si>
  <si>
    <t>ZFMD/KGSQ-20016</t>
    <phoneticPr fontId="1" type="noConversion"/>
  </si>
  <si>
    <t>国华陕西公司横山风电场风功率预测操作系统更换合同</t>
    <phoneticPr fontId="1" type="noConversion"/>
  </si>
  <si>
    <t>国华陕西公司横山风电场风功率预测系统技术服务合同</t>
    <phoneticPr fontId="1" type="noConversion"/>
  </si>
  <si>
    <t>2020.7.16</t>
    <phoneticPr fontId="1" type="noConversion"/>
  </si>
  <si>
    <t>2020.6.10</t>
    <phoneticPr fontId="22" type="noConversion"/>
  </si>
  <si>
    <t>大柳塔</t>
    <phoneticPr fontId="1" type="noConversion"/>
  </si>
  <si>
    <t>贾家梁</t>
    <phoneticPr fontId="5" type="noConversion"/>
  </si>
  <si>
    <t>ZFMD/KGSQ-20018</t>
  </si>
  <si>
    <t>ZFMD/KGSQ-20019</t>
  </si>
  <si>
    <t>国华（神木）新能源有限公司</t>
    <phoneticPr fontId="1" type="noConversion"/>
  </si>
  <si>
    <t>国华陕西公司大柳塔光伏电站光功率预测操作系统更换合同</t>
    <phoneticPr fontId="1" type="noConversion"/>
  </si>
  <si>
    <t>国华陕西公司大柳塔光伏电站光功率预测系统技术服务合同</t>
    <phoneticPr fontId="1" type="noConversion"/>
  </si>
  <si>
    <t>国华大柳塔光伏电站AVC、AGC操作系统更换合同</t>
    <phoneticPr fontId="1" type="noConversion"/>
  </si>
  <si>
    <t>软件升级；系统硬件</t>
    <phoneticPr fontId="1" type="noConversion"/>
  </si>
  <si>
    <t>光伏AGC/AVC</t>
    <phoneticPr fontId="1" type="noConversion"/>
  </si>
  <si>
    <t>光伏AGC/AVC软件升级；系统硬件</t>
    <phoneticPr fontId="1" type="noConversion"/>
  </si>
  <si>
    <t>ZFMD/SD-20063-SH</t>
    <phoneticPr fontId="1" type="noConversion"/>
  </si>
  <si>
    <t>龙源陕西风力发电有限公司</t>
    <phoneticPr fontId="1" type="noConversion"/>
  </si>
  <si>
    <t>龙源陕西风力发电有限公司观日台风电场反向隔离装置升级服务合同</t>
    <phoneticPr fontId="1" type="noConversion"/>
  </si>
  <si>
    <t>观日台</t>
    <phoneticPr fontId="1" type="noConversion"/>
  </si>
  <si>
    <t>2020.7.17</t>
    <phoneticPr fontId="1" type="noConversion"/>
  </si>
  <si>
    <t>南京国电南自电网自动化有限公司</t>
    <phoneticPr fontId="1" type="noConversion"/>
  </si>
  <si>
    <t>新疆华电木垒大石风电功率预测系统标准产品采购合同</t>
    <phoneticPr fontId="1" type="noConversion"/>
  </si>
  <si>
    <t>木垒大石头</t>
    <phoneticPr fontId="1" type="noConversion"/>
  </si>
  <si>
    <t>2020.7.9</t>
    <phoneticPr fontId="1" type="noConversion"/>
  </si>
  <si>
    <t>ZFMD/SD-20068-SH</t>
    <phoneticPr fontId="1" type="noConversion"/>
  </si>
  <si>
    <t>ZFMD/SD-20069-SH</t>
    <phoneticPr fontId="1" type="noConversion"/>
  </si>
  <si>
    <t>ZFMD/KGSQ-20023</t>
    <phoneticPr fontId="1" type="noConversion"/>
  </si>
  <si>
    <t>ZFMD/SD-20070-SH</t>
  </si>
  <si>
    <t>ZFMD/SD-20071-SH</t>
  </si>
  <si>
    <t>ZFMD/SD-20072-SH</t>
  </si>
  <si>
    <t>ZFMD/SD-20073-SH</t>
  </si>
  <si>
    <t>ZFMD/SD-20074-SH</t>
  </si>
  <si>
    <t>ZFMD/SD-20075-SH</t>
  </si>
  <si>
    <t>ZFMD/SD-20076-SH</t>
  </si>
  <si>
    <t>ZFMD/SD-20077-SH</t>
  </si>
  <si>
    <t>ZFMD/SD-20078-SH</t>
  </si>
  <si>
    <t>ZFMD/SD-20079-SH</t>
  </si>
  <si>
    <t>伊吾东方民生风电场2020年风功率预测系统维护技术服务合同</t>
    <phoneticPr fontId="22" type="noConversion"/>
  </si>
  <si>
    <t>2020.7.22</t>
    <phoneticPr fontId="22" type="noConversion"/>
  </si>
  <si>
    <t>2020.7.6</t>
    <phoneticPr fontId="22" type="noConversion"/>
  </si>
  <si>
    <t>2021.5.1</t>
    <phoneticPr fontId="22" type="noConversion"/>
  </si>
  <si>
    <t>巴里坤东方民生风电场2020年风功率预测系统维护技术服务合同</t>
    <phoneticPr fontId="22" type="noConversion"/>
  </si>
  <si>
    <t>哈密东方民生石城子光伏一二期2020年光功率预测系统维护技术服务合同</t>
    <phoneticPr fontId="22" type="noConversion"/>
  </si>
  <si>
    <t>新疆华电苦水风电场2020年风功率预测系统维护技术服务合同</t>
    <phoneticPr fontId="22" type="noConversion"/>
  </si>
  <si>
    <t>新疆华电淖毛湖风电场2020年风功率预测系统维护技术服务合同</t>
    <phoneticPr fontId="22" type="noConversion"/>
  </si>
  <si>
    <t>华电石城子光伏三期2020年光功率预测系统维护技术服务合同</t>
    <phoneticPr fontId="22" type="noConversion"/>
  </si>
  <si>
    <t>华电石城子光伏一二期2020年光功率预测系统维护技术服务合同</t>
    <phoneticPr fontId="22" type="noConversion"/>
  </si>
  <si>
    <t>哈密力诺石城子光伏2020年光功率预测系统维护技术服务合同</t>
    <phoneticPr fontId="22" type="noConversion"/>
  </si>
  <si>
    <t>新疆华电十三间房三期风电场2020年风电功率预测系统维护技术服务合同</t>
    <phoneticPr fontId="22" type="noConversion"/>
  </si>
  <si>
    <t>新疆华电十三间房四期风电场2020年风电功率预测系统维护技术服务合同</t>
    <phoneticPr fontId="22" type="noConversion"/>
  </si>
  <si>
    <t>华电嘉利二场（十三间房三期）</t>
    <phoneticPr fontId="22" type="noConversion"/>
  </si>
  <si>
    <t>锦州吉隆风力发电有限公司</t>
    <phoneticPr fontId="1" type="noConversion"/>
  </si>
  <si>
    <t>辽宁黑山龙湾风电场风功率预测维护与服务技术服务合同</t>
    <phoneticPr fontId="1" type="noConversion"/>
  </si>
  <si>
    <t>2020.10.17</t>
    <phoneticPr fontId="22" type="noConversion"/>
  </si>
  <si>
    <t>2021.10.16</t>
    <phoneticPr fontId="22" type="noConversion"/>
  </si>
  <si>
    <t>黑山耿屯</t>
    <phoneticPr fontId="22" type="noConversion"/>
  </si>
  <si>
    <t>ZFMD/SD-20080-SH</t>
    <phoneticPr fontId="1" type="noConversion"/>
  </si>
  <si>
    <t>合同作废重签，重签合同号20068</t>
    <phoneticPr fontId="1" type="noConversion"/>
  </si>
  <si>
    <t>ZFMD/SD-20082-SH</t>
  </si>
  <si>
    <t>ZFMD/SD-20083-SH</t>
  </si>
  <si>
    <t>ZFMD/SD-20084-SH</t>
  </si>
  <si>
    <t>大唐绥化热电有限公司</t>
    <phoneticPr fontId="1" type="noConversion"/>
  </si>
  <si>
    <t>孙吴</t>
    <phoneticPr fontId="1" type="noConversion"/>
  </si>
  <si>
    <t>2020.7.24</t>
    <phoneticPr fontId="1" type="noConversion"/>
  </si>
  <si>
    <t>2020.6</t>
    <phoneticPr fontId="22" type="noConversion"/>
  </si>
  <si>
    <t>2020.5.7</t>
    <phoneticPr fontId="22" type="noConversion"/>
  </si>
  <si>
    <t>2021.5.6</t>
    <phoneticPr fontId="22" type="noConversion"/>
  </si>
  <si>
    <t>ZFMD/SD-20081-SH</t>
    <phoneticPr fontId="1" type="noConversion"/>
  </si>
  <si>
    <t>绥化热电公司孙吴风电场测风系统设备建设项目合同</t>
    <phoneticPr fontId="1" type="noConversion"/>
  </si>
  <si>
    <t>ZFMD/KGSQ-20020</t>
    <phoneticPr fontId="1" type="noConversion"/>
  </si>
  <si>
    <t>ZFMD/SD-20081-SH-BG01</t>
    <phoneticPr fontId="1" type="noConversion"/>
  </si>
  <si>
    <t>2020.7.27</t>
    <phoneticPr fontId="1" type="noConversion"/>
  </si>
  <si>
    <t>大唐大庆东辉新能源有限公司</t>
    <phoneticPr fontId="1" type="noConversion"/>
  </si>
  <si>
    <t>大唐大庆东辉风电功率预测服务合同</t>
    <phoneticPr fontId="1" type="noConversion"/>
  </si>
  <si>
    <t>2020.7.31</t>
    <phoneticPr fontId="1" type="noConversion"/>
  </si>
  <si>
    <t>2020.8.1</t>
    <phoneticPr fontId="1" type="noConversion"/>
  </si>
  <si>
    <t>2021.7.31</t>
    <phoneticPr fontId="1" type="noConversion"/>
  </si>
  <si>
    <t>ZFMD/SD-20085-SH</t>
    <phoneticPr fontId="1" type="noConversion"/>
  </si>
  <si>
    <t>ZFMD/SD-20086-SH</t>
  </si>
  <si>
    <t>ZFMD/SD-20087-SH</t>
  </si>
  <si>
    <t>福能（龙海）风力发电有限责任公司</t>
    <phoneticPr fontId="1" type="noConversion"/>
  </si>
  <si>
    <t>省山风电场测风塔测风设备维护合同</t>
    <phoneticPr fontId="1" type="noConversion"/>
  </si>
  <si>
    <t>福能平海（莆田）风力发电有限公司</t>
    <phoneticPr fontId="1" type="noConversion"/>
  </si>
  <si>
    <t>石塘风电场测风塔测风设备维护合同</t>
    <phoneticPr fontId="1" type="noConversion"/>
  </si>
  <si>
    <t>国电和风风电开发有限公司桦川分公司</t>
    <phoneticPr fontId="1" type="noConversion"/>
  </si>
  <si>
    <t>青龙风电场气象数值预报及上传系统技术服务项目委托合同</t>
    <phoneticPr fontId="1" type="noConversion"/>
  </si>
  <si>
    <t>国电和风</t>
    <phoneticPr fontId="5" type="noConversion"/>
  </si>
  <si>
    <t>ZFMD/SD-20089-SH</t>
  </si>
  <si>
    <t>华能湘乡市梅桥镇风电场4682#测风塔拆除合同</t>
    <phoneticPr fontId="1" type="noConversion"/>
  </si>
  <si>
    <t>华能新能源湘乡风力发电有限公司</t>
    <phoneticPr fontId="1" type="noConversion"/>
  </si>
  <si>
    <t>技术服务（测风塔拆除）</t>
    <phoneticPr fontId="1" type="noConversion"/>
  </si>
  <si>
    <t>ZFMD/SD-20088-SH</t>
    <phoneticPr fontId="1" type="noConversion"/>
  </si>
  <si>
    <t>2020.8.5</t>
    <phoneticPr fontId="1" type="noConversion"/>
  </si>
  <si>
    <t>2020.7.28</t>
    <phoneticPr fontId="1" type="noConversion"/>
  </si>
  <si>
    <t>2020.8.6</t>
    <phoneticPr fontId="1" type="noConversion"/>
  </si>
  <si>
    <t>2020.3.11</t>
    <phoneticPr fontId="1" type="noConversion"/>
  </si>
  <si>
    <t>中广核（赣州）新能源有限公司</t>
    <phoneticPr fontId="1" type="noConversion"/>
  </si>
  <si>
    <t>中广核赣县茅店79.2MW风电项目风功率预测系统设备合同</t>
    <phoneticPr fontId="1" type="noConversion"/>
  </si>
  <si>
    <t>江西</t>
    <phoneticPr fontId="1" type="noConversion"/>
  </si>
  <si>
    <t>2020.8.10</t>
    <phoneticPr fontId="1" type="noConversion"/>
  </si>
  <si>
    <t>2020.8</t>
    <phoneticPr fontId="1" type="noConversion"/>
  </si>
  <si>
    <t>2020.8.11</t>
    <phoneticPr fontId="22" type="noConversion"/>
  </si>
  <si>
    <t>茅店</t>
    <phoneticPr fontId="1" type="noConversion"/>
  </si>
  <si>
    <t>ZFMD/SD-20090-SH</t>
    <phoneticPr fontId="1" type="noConversion"/>
  </si>
  <si>
    <t>79.2MW</t>
    <phoneticPr fontId="1" type="noConversion"/>
  </si>
  <si>
    <t>ZFMD/SD-19170-1-SH-BG01
ZFMD/SD-19170-1-SH-BG02
ZFMD/SD-19170-1-SH-BG03</t>
    <phoneticPr fontId="22" type="noConversion"/>
  </si>
  <si>
    <t>ZFMD/SD-19169-SH-BG01</t>
    <phoneticPr fontId="22" type="noConversion"/>
  </si>
  <si>
    <t>ZFMD/SD-20091-SH</t>
  </si>
  <si>
    <t>ZFMD/SD-20092-SH</t>
  </si>
  <si>
    <t>ZFMD/KGSQ-20008</t>
  </si>
  <si>
    <t>蒙东协合镇赉第一风力发电有限公司</t>
    <phoneticPr fontId="1" type="noConversion"/>
  </si>
  <si>
    <t>镇赉</t>
    <phoneticPr fontId="1" type="noConversion"/>
  </si>
  <si>
    <t>2020.8.17</t>
    <phoneticPr fontId="1" type="noConversion"/>
  </si>
  <si>
    <t>2020.3.28</t>
    <phoneticPr fontId="22" type="noConversion"/>
  </si>
  <si>
    <t>ZFMD/SD-20094-SH</t>
  </si>
  <si>
    <t>新疆华电木垒老君庙风电功率预测系统标准产品采购合同</t>
    <phoneticPr fontId="1" type="noConversion"/>
  </si>
  <si>
    <t>福新木垒老君庙</t>
  </si>
  <si>
    <t>2020.8.14</t>
    <phoneticPr fontId="1" type="noConversion"/>
  </si>
  <si>
    <t>海林中电红旗风力发电有限公司</t>
    <phoneticPr fontId="1" type="noConversion"/>
  </si>
  <si>
    <t>红旗风电场无线电台传输设备购销合同</t>
    <phoneticPr fontId="1" type="noConversion"/>
  </si>
  <si>
    <t>红旗</t>
    <phoneticPr fontId="1" type="noConversion"/>
  </si>
  <si>
    <t>2020.8.19</t>
    <phoneticPr fontId="1" type="noConversion"/>
  </si>
  <si>
    <t>2020年8月19日作废</t>
    <phoneticPr fontId="22" type="noConversion"/>
  </si>
  <si>
    <t>ZFMD/SD-20095-1-SH</t>
    <phoneticPr fontId="1" type="noConversion"/>
  </si>
  <si>
    <t>ZFMD/SD-20095-2-SH</t>
  </si>
  <si>
    <t>国家电投集团宁夏能源铝业中卫新能源有限公司</t>
    <phoneticPr fontId="1" type="noConversion"/>
  </si>
  <si>
    <t>中卫新能源香山第四风电场、香山第六风电场理论功率分析系统合同</t>
    <phoneticPr fontId="1" type="noConversion"/>
  </si>
  <si>
    <t>中卫香山第四风电场、中卫香山第六风电场</t>
  </si>
  <si>
    <t>中卫香山第四风电场（中卫香山7-9期）、中卫香山第六风电场（中卫香山10-13期）</t>
    <phoneticPr fontId="1" type="noConversion"/>
  </si>
  <si>
    <t>ZFMD/KGSQ-20012</t>
    <phoneticPr fontId="1" type="noConversion"/>
  </si>
  <si>
    <t>宁夏风电场理论功率上传软件</t>
    <phoneticPr fontId="1" type="noConversion"/>
  </si>
  <si>
    <t>2020.8.25</t>
    <phoneticPr fontId="1" type="noConversion"/>
  </si>
  <si>
    <t>2020.8.12</t>
    <phoneticPr fontId="1" type="noConversion"/>
  </si>
  <si>
    <t>ZFMD/SD-20096-SH</t>
    <phoneticPr fontId="1" type="noConversion"/>
  </si>
  <si>
    <t>国华（齐齐哈尔）风电有限公司</t>
    <phoneticPr fontId="1" type="noConversion"/>
  </si>
  <si>
    <t>齐齐哈尔哈尔滨风电富裕风电场风功率预测系统防火墙、反向隔离及交换机维修升级服务合同</t>
    <phoneticPr fontId="1" type="noConversion"/>
  </si>
  <si>
    <t>富裕风电</t>
    <phoneticPr fontId="1" type="noConversion"/>
  </si>
  <si>
    <t>2020.8.31</t>
    <phoneticPr fontId="1" type="noConversion"/>
  </si>
  <si>
    <t>2020.8.18</t>
    <phoneticPr fontId="1" type="noConversion"/>
  </si>
  <si>
    <t>ZFMD/KGSQ-20024</t>
  </si>
  <si>
    <t>ZFMD/SD-20097-SH</t>
  </si>
  <si>
    <t>2020.9.3</t>
    <phoneticPr fontId="1" type="noConversion"/>
  </si>
  <si>
    <t>2020.8.26</t>
    <phoneticPr fontId="1" type="noConversion"/>
  </si>
  <si>
    <t>ZFMD/SD-20098-19108-SH</t>
    <phoneticPr fontId="1" type="noConversion"/>
  </si>
  <si>
    <t>中机国能六师北塔山牧场100MW风电项目视频监控及安防系统补充协议</t>
    <phoneticPr fontId="22" type="noConversion"/>
  </si>
  <si>
    <t>2020.9.3</t>
    <phoneticPr fontId="22" type="noConversion"/>
  </si>
  <si>
    <t>2020.8</t>
    <phoneticPr fontId="22" type="noConversion"/>
  </si>
  <si>
    <t>ZFMD/SD-20099-1-SH</t>
    <phoneticPr fontId="1" type="noConversion"/>
  </si>
  <si>
    <t>ZFMD/SD-20099-3-SH</t>
  </si>
  <si>
    <t>2020.9</t>
    <phoneticPr fontId="22" type="noConversion"/>
  </si>
  <si>
    <t>ZFMD/SD-20100-SH</t>
    <phoneticPr fontId="1" type="noConversion"/>
  </si>
  <si>
    <t>ZFMD/SD-20101-SH</t>
    <phoneticPr fontId="1" type="noConversion"/>
  </si>
  <si>
    <t>新疆华电珍珠泉新能源有限公司2020年风功率预测系统服务合同书</t>
    <phoneticPr fontId="22" type="noConversion"/>
  </si>
  <si>
    <t>2020.9</t>
    <phoneticPr fontId="1" type="noConversion"/>
  </si>
  <si>
    <t>新疆华电白杨河风力发电有限责任公司2020年风功率预测系统服务合同书</t>
    <phoneticPr fontId="22" type="noConversion"/>
  </si>
  <si>
    <t>ZFMD/SD-20093-SH</t>
    <phoneticPr fontId="1" type="noConversion"/>
  </si>
  <si>
    <t>2020.7.1</t>
    <phoneticPr fontId="1" type="noConversion"/>
  </si>
  <si>
    <t>2021.6.30</t>
    <phoneticPr fontId="1" type="noConversion"/>
  </si>
  <si>
    <t>2020年9月4日和王龙波电话沟通服务期限为2020.7.1-2021.6.30</t>
    <phoneticPr fontId="1" type="noConversion"/>
  </si>
  <si>
    <t>新疆华电苇湖梁新能源有限公司</t>
    <phoneticPr fontId="1" type="noConversion"/>
  </si>
  <si>
    <t>ZFMD/SD-20099-2-SH</t>
    <phoneticPr fontId="1" type="noConversion"/>
  </si>
  <si>
    <t>ZFMD/SD-20102-SH</t>
    <phoneticPr fontId="1" type="noConversion"/>
  </si>
  <si>
    <t>2020.9.8</t>
    <phoneticPr fontId="22" type="noConversion"/>
  </si>
  <si>
    <t>ZFMD/SD-20103-SH</t>
  </si>
  <si>
    <t>ZFMD/SD-20104-SH</t>
  </si>
  <si>
    <t>林口胜利风力发电有限公司</t>
    <phoneticPr fontId="1" type="noConversion"/>
  </si>
  <si>
    <t>林口胜利风电场风功率预测系统数据接入集控中心技术服务合同</t>
    <phoneticPr fontId="1" type="noConversion"/>
  </si>
  <si>
    <t>大庆大丰</t>
    <phoneticPr fontId="1" type="noConversion"/>
  </si>
  <si>
    <t>林口胜利</t>
    <phoneticPr fontId="1" type="noConversion"/>
  </si>
  <si>
    <t>大丰林口</t>
    <phoneticPr fontId="1" type="noConversion"/>
  </si>
  <si>
    <t>技术服务（数据转发集控）</t>
  </si>
  <si>
    <t>2020.9.9</t>
    <phoneticPr fontId="1" type="noConversion"/>
  </si>
  <si>
    <t>林甸东明园风力发电有限公司</t>
    <phoneticPr fontId="1" type="noConversion"/>
  </si>
  <si>
    <t>林甸东明园风电场风功率预测系统数据接入集控中心技术服务合同</t>
    <phoneticPr fontId="1" type="noConversion"/>
  </si>
  <si>
    <t>林甸东明园</t>
    <phoneticPr fontId="1" type="noConversion"/>
  </si>
  <si>
    <t>大风林甸=东明园+花园</t>
    <phoneticPr fontId="1" type="noConversion"/>
  </si>
  <si>
    <t>ZFMD/SD-20105-SH</t>
    <phoneticPr fontId="1" type="noConversion"/>
  </si>
  <si>
    <t>鸡西平岗风电场风功率预测系统数据接入集控中心技术服务合同</t>
    <phoneticPr fontId="1" type="noConversion"/>
  </si>
  <si>
    <t>黑龙江梨树风力发电有限公司</t>
    <phoneticPr fontId="1" type="noConversion"/>
  </si>
  <si>
    <t>鸡西平岗</t>
    <phoneticPr fontId="1" type="noConversion"/>
  </si>
  <si>
    <t>2020.9.14</t>
    <phoneticPr fontId="1" type="noConversion"/>
  </si>
  <si>
    <t>布尔津县国源天立风力发电有限责任公司</t>
    <phoneticPr fontId="1" type="noConversion"/>
  </si>
  <si>
    <t>新疆国源天立布尔津风电场一期49.5MW工程提升风功率预测准确度研究项目采购与安装合同</t>
    <phoneticPr fontId="1" type="noConversion"/>
  </si>
  <si>
    <t>国源天立布尔津</t>
    <phoneticPr fontId="1" type="noConversion"/>
  </si>
  <si>
    <t>2020.7.6</t>
    <phoneticPr fontId="1" type="noConversion"/>
  </si>
  <si>
    <t>2020.9.1</t>
    <phoneticPr fontId="1" type="noConversion"/>
  </si>
  <si>
    <t>短期软件；超短期软件；系统硬件；预测服务16个月</t>
    <phoneticPr fontId="1" type="noConversion"/>
  </si>
  <si>
    <t>ZFMD/SD-20106-SH</t>
    <phoneticPr fontId="1" type="noConversion"/>
  </si>
  <si>
    <t>ZFMD/KGSQ-20026</t>
    <phoneticPr fontId="1" type="noConversion"/>
  </si>
  <si>
    <t>2020.9.17</t>
    <phoneticPr fontId="1" type="noConversion"/>
  </si>
  <si>
    <t>ZFMD/SD-20107-SH</t>
  </si>
  <si>
    <t>百里荒</t>
    <phoneticPr fontId="1" type="noConversion"/>
  </si>
  <si>
    <t>百里荒风电项目风功率数据上传技术服务合同</t>
    <phoneticPr fontId="1" type="noConversion"/>
  </si>
  <si>
    <t>技术服务（集控上传）</t>
    <phoneticPr fontId="1" type="noConversion"/>
  </si>
  <si>
    <t>2020.9.19</t>
    <phoneticPr fontId="1" type="noConversion"/>
  </si>
  <si>
    <t>2020.9.15</t>
    <phoneticPr fontId="1" type="noConversion"/>
  </si>
  <si>
    <t>国家电投集团湖北宜昌新能源有限公司</t>
    <phoneticPr fontId="1" type="noConversion"/>
  </si>
  <si>
    <t>ZFMD/SD-20108-SH</t>
  </si>
  <si>
    <t>吉林中广核风力发电有限公司</t>
    <phoneticPr fontId="1" type="noConversion"/>
  </si>
  <si>
    <t>中广核吉林大岗子风电场风功率预测服务采购合同</t>
    <phoneticPr fontId="1" type="noConversion"/>
  </si>
  <si>
    <t>大岗子</t>
    <phoneticPr fontId="1" type="noConversion"/>
  </si>
  <si>
    <t>2020.9.21</t>
    <phoneticPr fontId="1" type="noConversion"/>
  </si>
  <si>
    <t>ZFMD/SD-20109-SH</t>
  </si>
  <si>
    <t>大唐哈密风电开发有限公司</t>
    <phoneticPr fontId="1" type="noConversion"/>
  </si>
  <si>
    <t>大唐哈密风电开发有限公司东南部风电场风功率预测服务合同</t>
    <phoneticPr fontId="1" type="noConversion"/>
  </si>
  <si>
    <t>大唐苦水东风电场</t>
    <phoneticPr fontId="1" type="noConversion"/>
  </si>
  <si>
    <t>预测服务3年；系统硬件</t>
    <phoneticPr fontId="1" type="noConversion"/>
  </si>
  <si>
    <t>2020.9.22</t>
    <phoneticPr fontId="1" type="noConversion"/>
  </si>
  <si>
    <t>2023.6.30</t>
    <phoneticPr fontId="1" type="noConversion"/>
  </si>
  <si>
    <t>ZFMD/SD-20110-SH</t>
  </si>
  <si>
    <t>ZFMD/SHFW-2020017</t>
  </si>
  <si>
    <t>三峡新能源白城风电发展有限公司</t>
    <phoneticPr fontId="1" type="noConversion"/>
  </si>
  <si>
    <t>查干浩特</t>
    <phoneticPr fontId="1" type="noConversion"/>
  </si>
  <si>
    <t>2020.9.24</t>
    <phoneticPr fontId="1" type="noConversion"/>
  </si>
  <si>
    <t>ZFMD/SD-20111-SH</t>
  </si>
  <si>
    <t>海林中电红旗风电场风电功率预测系统技术服务合同</t>
    <phoneticPr fontId="1" type="noConversion"/>
  </si>
  <si>
    <t>2020.9.28</t>
    <phoneticPr fontId="1" type="noConversion"/>
  </si>
  <si>
    <t>ZFMD/SD-20112-SH</t>
  </si>
  <si>
    <t>海林中电海浪风力发电有限公司</t>
    <phoneticPr fontId="1" type="noConversion"/>
  </si>
  <si>
    <t>海浪风电场风电功率预测系统技术服务合同书</t>
    <phoneticPr fontId="1" type="noConversion"/>
  </si>
  <si>
    <t>2020.2.1</t>
    <phoneticPr fontId="1" type="noConversion"/>
  </si>
  <si>
    <t>2021.1.31</t>
    <phoneticPr fontId="1" type="noConversion"/>
  </si>
  <si>
    <t>ZFMD/SD-20113-SH</t>
  </si>
  <si>
    <t>乾安网新风电有限公司</t>
    <phoneticPr fontId="1" type="noConversion"/>
  </si>
  <si>
    <t>乾安网新风电有限公司2020-2021年风功率预测系统服务合同</t>
    <phoneticPr fontId="1" type="noConversion"/>
  </si>
  <si>
    <t>2021.9.21</t>
    <phoneticPr fontId="1" type="noConversion"/>
  </si>
  <si>
    <t>ZFMD/SD-20114-SH</t>
  </si>
  <si>
    <t>中节能风力发电（哈密）有限公司景峡风电场风功率预测系统服务合同</t>
  </si>
  <si>
    <t>中节能风力发电（哈密）有限公司</t>
    <phoneticPr fontId="1" type="noConversion"/>
  </si>
  <si>
    <t>中节能</t>
    <phoneticPr fontId="1" type="noConversion"/>
  </si>
  <si>
    <t>哈密景峡</t>
    <phoneticPr fontId="1" type="noConversion"/>
  </si>
  <si>
    <t>2020.7.18</t>
    <phoneticPr fontId="1" type="noConversion"/>
  </si>
  <si>
    <t>韩涛</t>
    <phoneticPr fontId="1" type="noConversion"/>
  </si>
  <si>
    <t>ZFMD/SD-20115-SH</t>
    <phoneticPr fontId="1" type="noConversion"/>
  </si>
  <si>
    <t>中节能风力发电（哈密）有限公司烟墩风电场风功率预测系统服务及测风塔维护服务合同</t>
    <phoneticPr fontId="1" type="noConversion"/>
  </si>
  <si>
    <t>2020.10.9</t>
    <phoneticPr fontId="1" type="noConversion"/>
  </si>
  <si>
    <t>2020.9.4</t>
    <phoneticPr fontId="1" type="noConversion"/>
  </si>
  <si>
    <t>验收合格之日起算起</t>
    <phoneticPr fontId="1" type="noConversion"/>
  </si>
  <si>
    <t>ZFMD/SD-20116-SH</t>
  </si>
  <si>
    <t>ZFMD/SD-20117-SH</t>
  </si>
  <si>
    <t>ZFMD/SD-20118-SH</t>
  </si>
  <si>
    <t>ZFMD/SD-20119-SH</t>
  </si>
  <si>
    <t>ZFMD/SD-20120-SH</t>
  </si>
  <si>
    <t>ZFMD/SD-20121-SH</t>
  </si>
  <si>
    <t>福新木垒光伏电站光功率预测气象数据服务（2020年度）</t>
    <phoneticPr fontId="1" type="noConversion"/>
  </si>
  <si>
    <t>福新木垒光伏一电站</t>
    <phoneticPr fontId="22" type="noConversion"/>
  </si>
  <si>
    <t>2020.10.13</t>
    <phoneticPr fontId="1" type="noConversion"/>
  </si>
  <si>
    <t>2020.6.1</t>
    <phoneticPr fontId="1" type="noConversion"/>
  </si>
  <si>
    <t>2021.6.1</t>
    <phoneticPr fontId="1" type="noConversion"/>
  </si>
  <si>
    <t>华电铁岭风力发电有限公司</t>
    <phoneticPr fontId="1" type="noConversion"/>
  </si>
  <si>
    <t>铁岭风场2020年风功率预测系统技术服务合同</t>
    <phoneticPr fontId="1" type="noConversion"/>
  </si>
  <si>
    <t>镇西堡/铁岭（镇西堡、李家屯、心田堡）</t>
    <phoneticPr fontId="1" type="noConversion"/>
  </si>
  <si>
    <t>2020.9.30</t>
    <phoneticPr fontId="1" type="noConversion"/>
  </si>
  <si>
    <t>中国电建集团西北勘测设计研究院有限公司</t>
    <phoneticPr fontId="1" type="noConversion"/>
  </si>
  <si>
    <t>乾智昌吉木垒老君庙风电场150MW风力发电项目测风塔</t>
    <phoneticPr fontId="1" type="noConversion"/>
  </si>
  <si>
    <t>ZFMD/KGSQ-20021</t>
  </si>
  <si>
    <t>老君庙风电场二期</t>
    <phoneticPr fontId="1" type="noConversion"/>
  </si>
  <si>
    <t>2020.9.25</t>
    <phoneticPr fontId="1" type="noConversion"/>
  </si>
  <si>
    <t>福能（仙游）风力发电有限责任公司草山风电场测风塔测风设备采购合同</t>
    <phoneticPr fontId="1" type="noConversion"/>
  </si>
  <si>
    <t>草山</t>
    <phoneticPr fontId="1" type="noConversion"/>
  </si>
  <si>
    <t>2020.9.23</t>
    <phoneticPr fontId="1" type="noConversion"/>
  </si>
  <si>
    <t>乾安网新风电有限公司风功率预测系统升级服务合同</t>
    <phoneticPr fontId="1" type="noConversion"/>
  </si>
  <si>
    <t>中电</t>
    <phoneticPr fontId="1" type="noConversion"/>
  </si>
  <si>
    <t>乾安</t>
    <phoneticPr fontId="1" type="noConversion"/>
  </si>
  <si>
    <t>乾安网新、乾安才字</t>
    <phoneticPr fontId="1" type="noConversion"/>
  </si>
  <si>
    <t>2020.10.13.</t>
    <phoneticPr fontId="1" type="noConversion"/>
  </si>
  <si>
    <t>ZFMD/SD-20122-SH</t>
  </si>
  <si>
    <t>大唐海林威虎山风力发电有限公司</t>
    <phoneticPr fontId="1" type="noConversion"/>
  </si>
  <si>
    <t>大唐海林威虎山风电公司虎峰岭风电场自动电压控制（AVC）装置采购合同</t>
    <phoneticPr fontId="1" type="noConversion"/>
  </si>
  <si>
    <t>虎峰岭</t>
    <phoneticPr fontId="1" type="noConversion"/>
  </si>
  <si>
    <t>风电AVC软件；系统硬件</t>
    <phoneticPr fontId="1" type="noConversion"/>
  </si>
  <si>
    <t>2020.10.14</t>
    <phoneticPr fontId="1" type="noConversion"/>
  </si>
  <si>
    <t>2020年10月9日因税率9%变更为6%，合同金额由26.5万元变更为25.77万元。</t>
    <phoneticPr fontId="1" type="noConversion"/>
  </si>
  <si>
    <t>ZFMD/SD-20124-SH</t>
  </si>
  <si>
    <t>代马沟风电场网络安全检测装置及主机加固采购合同</t>
    <phoneticPr fontId="1" type="noConversion"/>
  </si>
  <si>
    <t>主机加固</t>
    <phoneticPr fontId="1" type="noConversion"/>
  </si>
  <si>
    <t>2020.10.16</t>
    <phoneticPr fontId="1" type="noConversion"/>
  </si>
  <si>
    <t>2020.10</t>
    <phoneticPr fontId="1" type="noConversion"/>
  </si>
  <si>
    <t>松原绿筑光伏发电有限公司</t>
    <phoneticPr fontId="1" type="noConversion"/>
  </si>
  <si>
    <t>松原绿筑光伏电站光伏功率预测系统技术服务合同</t>
    <phoneticPr fontId="1" type="noConversion"/>
  </si>
  <si>
    <t>松原绿筑</t>
    <phoneticPr fontId="1" type="noConversion"/>
  </si>
  <si>
    <t>2020.10.1</t>
    <phoneticPr fontId="1" type="noConversion"/>
  </si>
  <si>
    <t>2021.9.30</t>
    <phoneticPr fontId="1" type="noConversion"/>
  </si>
  <si>
    <t>ZFMD/KGSQ-19050</t>
    <phoneticPr fontId="1" type="noConversion"/>
  </si>
  <si>
    <t>龙源玉林风力发电有限公司</t>
    <phoneticPr fontId="1" type="noConversion"/>
  </si>
  <si>
    <t>四方岭风电场风功率预测系统采购合同</t>
    <phoneticPr fontId="1" type="noConversion"/>
  </si>
  <si>
    <t>四方岭</t>
    <phoneticPr fontId="1" type="noConversion"/>
  </si>
  <si>
    <t>四方嶂</t>
    <phoneticPr fontId="1" type="noConversion"/>
  </si>
  <si>
    <t>ZFMD/SD-20125-SH</t>
    <phoneticPr fontId="1" type="noConversion"/>
  </si>
  <si>
    <t>ZFMD/SD-20090-SH-BG01</t>
    <phoneticPr fontId="1" type="noConversion"/>
  </si>
  <si>
    <t>ZFMD/SD-20126-SH</t>
  </si>
  <si>
    <t>2020.10.28</t>
    <phoneticPr fontId="1" type="noConversion"/>
  </si>
  <si>
    <t>ZFMD/SD-20106-SH-BG01</t>
    <phoneticPr fontId="1" type="noConversion"/>
  </si>
  <si>
    <t>ZFMD/SD-20069-SH-BG01</t>
    <phoneticPr fontId="1" type="noConversion"/>
  </si>
  <si>
    <t>ZFMD/SD-20127-1-SH</t>
    <phoneticPr fontId="1" type="noConversion"/>
  </si>
  <si>
    <t>ZFMD/SD-20127-2-SH</t>
  </si>
  <si>
    <t>ZFMD/SD-20127-3-SH</t>
  </si>
  <si>
    <t>ZFMD/SD-20127-4-SH</t>
  </si>
  <si>
    <t>ZFMD/SD-20127-5-SH</t>
  </si>
  <si>
    <t>ZFMD/SD-20127-6-SH</t>
  </si>
  <si>
    <t>ZFMD/SD-20127-7-SH</t>
  </si>
  <si>
    <t>ZFMD/SD-20127-8-SH</t>
  </si>
  <si>
    <t>ZFMD/SD-20127-9-SH</t>
  </si>
  <si>
    <t>ZFMD/SD-20127-10-SH</t>
  </si>
  <si>
    <t>ZFMD/SD-20127-11-SH</t>
  </si>
  <si>
    <t>ZFMD/SD-20127-12-SH</t>
  </si>
  <si>
    <t>ZFMD/SD-20127-13-SH</t>
  </si>
  <si>
    <t>ZFMD/SD-20127-14-SH</t>
  </si>
  <si>
    <t>ZFMD/SD-20127-15-SH</t>
  </si>
  <si>
    <t>ZFMD/SD-20127-16-SH</t>
  </si>
  <si>
    <t>ZFMD/SD-20127-17-SH</t>
  </si>
  <si>
    <t>ZFMD/SD-20127-18-SH</t>
  </si>
  <si>
    <t>ZFMD/SD-20127-19-SH</t>
  </si>
  <si>
    <t>ZFMD/KGSQ-20027</t>
  </si>
  <si>
    <t>ZFMD/KGSQ-20028</t>
  </si>
  <si>
    <t>ZFMD/KGSQ-20029</t>
  </si>
  <si>
    <t>ZFMD/KGSQ-20030</t>
  </si>
  <si>
    <t>ZFMD/KGSQ-20031</t>
  </si>
  <si>
    <t>ZFMD/KGSQ-20032</t>
  </si>
  <si>
    <t>ZFMD/KGSQ-20033</t>
  </si>
  <si>
    <t>ZFMD/KGSQ-20034</t>
  </si>
  <si>
    <t>ZFMD/KGSQ-20035</t>
  </si>
  <si>
    <t>ZFMD/KGSQ-20036</t>
  </si>
  <si>
    <t>ZFMD/KGSQ-20037</t>
  </si>
  <si>
    <t>ZFMD/KGSQ-20038</t>
  </si>
  <si>
    <t>ZFMD/KGSQ-20039</t>
  </si>
  <si>
    <t>ZFMD/KGSQ-20040</t>
  </si>
  <si>
    <t>ZFMD/KGSQ-20041</t>
  </si>
  <si>
    <t>ZFMD/KGSQ-20042</t>
  </si>
  <si>
    <t>ZFMD/KGSQ-20043</t>
  </si>
  <si>
    <t>ZFMD/KGSQ-20044</t>
  </si>
  <si>
    <t>ZFMD/KGSQ-20045</t>
  </si>
  <si>
    <t>龙源电力集团全国集控项目功率预测配合接入技术服务合同</t>
    <phoneticPr fontId="1" type="noConversion"/>
  </si>
  <si>
    <t>技术服务（数据转发集控）</t>
    <phoneticPr fontId="1" type="noConversion"/>
  </si>
  <si>
    <t>2020.10.29</t>
    <phoneticPr fontId="1" type="noConversion"/>
  </si>
  <si>
    <t>ZFMD/SD-20127-20-SH</t>
  </si>
  <si>
    <t>ZFMD/SD-20127-21-SH</t>
  </si>
  <si>
    <t>ZFMD/SD-20128-SH</t>
    <phoneticPr fontId="1" type="noConversion"/>
  </si>
  <si>
    <t>龙源电力集团能源销售有限公司</t>
    <phoneticPr fontId="1" type="noConversion"/>
  </si>
  <si>
    <t>现货交易辅助决策系统开发采购技术开发（委托）合同</t>
    <phoneticPr fontId="1" type="noConversion"/>
  </si>
  <si>
    <t>北京</t>
    <phoneticPr fontId="1" type="noConversion"/>
  </si>
  <si>
    <t>售电公司</t>
    <phoneticPr fontId="1" type="noConversion"/>
  </si>
  <si>
    <t>2020.10.30</t>
    <phoneticPr fontId="1" type="noConversion"/>
  </si>
  <si>
    <t>ZFMD/SD-20129-SH</t>
  </si>
  <si>
    <t>ZFMD/SD-20130-SH</t>
  </si>
  <si>
    <t>ZFMD/SD-20131-SH</t>
  </si>
  <si>
    <t>ZFMD/SD-20132-SH</t>
  </si>
  <si>
    <t>国家电投集团宁夏香山第四风电场风功率预测服务合同</t>
    <phoneticPr fontId="1" type="noConversion"/>
  </si>
  <si>
    <t>中卫香山第四风电场（中卫香山7-9期）</t>
    <phoneticPr fontId="1" type="noConversion"/>
  </si>
  <si>
    <t>2020.11.3</t>
    <phoneticPr fontId="1" type="noConversion"/>
  </si>
  <si>
    <t>2020.11</t>
    <phoneticPr fontId="1" type="noConversion"/>
  </si>
  <si>
    <t>2019.11.1</t>
    <phoneticPr fontId="1" type="noConversion"/>
  </si>
  <si>
    <t>2020.10.31</t>
    <phoneticPr fontId="1" type="noConversion"/>
  </si>
  <si>
    <t>国家电投集团宁夏香山第六风电场风功率预测服务合同</t>
    <phoneticPr fontId="1" type="noConversion"/>
  </si>
  <si>
    <t>中卫香山第六风电场（中卫香山10-13期）</t>
    <phoneticPr fontId="1" type="noConversion"/>
  </si>
  <si>
    <t>ZFMD/KGSQ-20049</t>
    <phoneticPr fontId="1" type="noConversion"/>
  </si>
  <si>
    <t>肇州县精锐新能源科技有限公司</t>
    <phoneticPr fontId="1" type="noConversion"/>
  </si>
  <si>
    <t>精锐光伏电站综合通讯系统合同</t>
    <phoneticPr fontId="1" type="noConversion"/>
  </si>
  <si>
    <t>精锐</t>
    <phoneticPr fontId="1" type="noConversion"/>
  </si>
  <si>
    <t>黑龙江光伏电站综合通讯管理系统软件；系统硬件</t>
  </si>
  <si>
    <t>三峡新能源黑龙江省泰来汤池光伏电站（9.9MWp）工程2020年光功率预测系统维护服务合同</t>
    <phoneticPr fontId="1" type="noConversion"/>
  </si>
  <si>
    <t>2021.10.28</t>
    <phoneticPr fontId="1" type="noConversion"/>
  </si>
  <si>
    <t>ZFMD/SD-20133-SH</t>
  </si>
  <si>
    <t>宾县大个岭风力发电有限公司</t>
    <phoneticPr fontId="1" type="noConversion"/>
  </si>
  <si>
    <t>三峡新能源黑龙江省宾县大个岭风电场（49.5MW）工程2020年风功率预测系统维护服务合同</t>
    <phoneticPr fontId="1" type="noConversion"/>
  </si>
  <si>
    <t>大个岭</t>
    <phoneticPr fontId="1" type="noConversion"/>
  </si>
  <si>
    <t>宾县大个岭、宾县大泉子</t>
    <phoneticPr fontId="1" type="noConversion"/>
  </si>
  <si>
    <t>2020.11.4</t>
    <phoneticPr fontId="1" type="noConversion"/>
  </si>
  <si>
    <t>2020.11.2</t>
    <phoneticPr fontId="1" type="noConversion"/>
  </si>
  <si>
    <t>2021.11.1</t>
    <phoneticPr fontId="1" type="noConversion"/>
  </si>
  <si>
    <t>ZFMD/SD-20134-SH</t>
  </si>
  <si>
    <t>三峡新能源辽宁省调兵山风电场（99MW）工程2020年风功率预测系统维护服务合同</t>
    <phoneticPr fontId="1" type="noConversion"/>
  </si>
  <si>
    <t>2020.11.5</t>
    <phoneticPr fontId="1" type="noConversion"/>
  </si>
  <si>
    <t>2021.10.29</t>
    <phoneticPr fontId="1" type="noConversion"/>
  </si>
  <si>
    <t>ZFMD/SD-20135-SH</t>
  </si>
  <si>
    <t>三峡新能源吉林省白城查干浩特风电场（45MW）工程2020年风功率预测系统维护服务合同</t>
    <phoneticPr fontId="1" type="noConversion"/>
  </si>
  <si>
    <t>ZFMD/SD-20136-SH</t>
  </si>
  <si>
    <t>大安润风能源开发有限公司</t>
    <phoneticPr fontId="1" type="noConversion"/>
  </si>
  <si>
    <t>三峡新能源吉林省大安海坨风电场（198MW）工程2020年风功率预测系统维护服务合同</t>
    <phoneticPr fontId="1" type="noConversion"/>
  </si>
  <si>
    <t>2020.11.6</t>
    <phoneticPr fontId="1" type="noConversion"/>
  </si>
  <si>
    <t>2021.11.4</t>
    <phoneticPr fontId="1" type="noConversion"/>
  </si>
  <si>
    <t>伊春太阳风新能源有限公司</t>
    <phoneticPr fontId="1" type="noConversion"/>
  </si>
  <si>
    <t>三峡新能源黑龙江省伊春美林风电场（51MW）工程2020年风功率预测系统维护服务合同</t>
    <phoneticPr fontId="1" type="noConversion"/>
  </si>
  <si>
    <t>美林</t>
    <phoneticPr fontId="1" type="noConversion"/>
  </si>
  <si>
    <t>2021.11.2</t>
    <phoneticPr fontId="1" type="noConversion"/>
  </si>
  <si>
    <t>ZFMD/SD-20137-SH</t>
    <phoneticPr fontId="1" type="noConversion"/>
  </si>
  <si>
    <t>伊春美林老白山</t>
  </si>
  <si>
    <t>ZFMD/SD-20060-1-SH-BG01</t>
    <phoneticPr fontId="1" type="noConversion"/>
  </si>
  <si>
    <t>ZFMD/SD-20138-SH</t>
  </si>
  <si>
    <t>三峡新能源富裕风电有限公司</t>
    <phoneticPr fontId="1" type="noConversion"/>
  </si>
  <si>
    <t>三峡新能源黑龙江省富裕友谊光伏电站（20MWp）工程2020年光伏功率预测系统维护服务合同</t>
    <phoneticPr fontId="1" type="noConversion"/>
  </si>
  <si>
    <t>富裕光伏</t>
  </si>
  <si>
    <t>2020.11.10</t>
    <phoneticPr fontId="1" type="noConversion"/>
  </si>
  <si>
    <t>2021.10.27</t>
    <phoneticPr fontId="1" type="noConversion"/>
  </si>
  <si>
    <t>ZFMD/SD-20139-SH</t>
  </si>
  <si>
    <t>ZFMD/SD-20140-SH</t>
  </si>
  <si>
    <t>ZFMD/SD-20141-SH</t>
  </si>
  <si>
    <t>ZFMD/SD-20142-SH</t>
  </si>
  <si>
    <t>伊春华宇电力新能源有限公司</t>
    <phoneticPr fontId="1" type="noConversion"/>
  </si>
  <si>
    <t>三峡新能源黑龙江省伊春乌伊岭阿廷河风电场（49.5MW）工程2020年风功率预测系统维护服务合同</t>
    <phoneticPr fontId="1" type="noConversion"/>
  </si>
  <si>
    <t>乌伊岭阿廷河</t>
  </si>
  <si>
    <t>2020.11.11</t>
    <phoneticPr fontId="1" type="noConversion"/>
  </si>
  <si>
    <t>三峡新能源辽宁省开原威远风电场（49.5MW）工程2020年风功率预测系统维护服务合同</t>
    <phoneticPr fontId="1" type="noConversion"/>
  </si>
  <si>
    <t>2020.12.26</t>
    <phoneticPr fontId="1" type="noConversion"/>
  </si>
  <si>
    <t>2021.12.25</t>
    <phoneticPr fontId="1" type="noConversion"/>
  </si>
  <si>
    <t>2020.11.9</t>
    <phoneticPr fontId="1" type="noConversion"/>
  </si>
  <si>
    <t>2021.11.8</t>
    <phoneticPr fontId="1" type="noConversion"/>
  </si>
  <si>
    <t>ZFMD/SD-19107-SH-BG01
ZFMD/SD-19107-SH-BG02</t>
    <phoneticPr fontId="22" type="noConversion"/>
  </si>
  <si>
    <t>中国能源建设集团江苏省电力建设第一工程有限公司</t>
    <phoneticPr fontId="1" type="noConversion"/>
  </si>
  <si>
    <t>新疆华电木垒大石头200MW风电项目测风塔采购合同</t>
    <phoneticPr fontId="1" type="noConversion"/>
  </si>
  <si>
    <t>2020.11.12</t>
    <phoneticPr fontId="1" type="noConversion"/>
  </si>
  <si>
    <t>测风塔</t>
    <phoneticPr fontId="1" type="noConversion"/>
  </si>
  <si>
    <t>华润新能源（安达）有限公司</t>
    <phoneticPr fontId="1" type="noConversion"/>
  </si>
  <si>
    <t>2020-2023年光功率预测系统气象数据及模型维护技术服务项目</t>
    <phoneticPr fontId="1" type="noConversion"/>
  </si>
  <si>
    <t>安达1号、2号、安达3号、4号</t>
    <phoneticPr fontId="1" type="noConversion"/>
  </si>
  <si>
    <t>安达万福、华润万福、（安达一期+安达二期）</t>
    <phoneticPr fontId="1" type="noConversion"/>
  </si>
  <si>
    <t>预测服务3年</t>
    <phoneticPr fontId="1" type="noConversion"/>
  </si>
  <si>
    <t>2023.9.29</t>
    <phoneticPr fontId="1" type="noConversion"/>
  </si>
  <si>
    <t>新疆蒲类海能源发展有限公司</t>
    <phoneticPr fontId="1" type="noConversion"/>
  </si>
  <si>
    <t>三塘湖风电场2020年风电功率预测系统服务合同</t>
    <phoneticPr fontId="1" type="noConversion"/>
  </si>
  <si>
    <t>蒲类海麻黄沟西风电场</t>
    <phoneticPr fontId="1" type="noConversion"/>
  </si>
  <si>
    <t>三塘湖浦类海一期</t>
    <phoneticPr fontId="1" type="noConversion"/>
  </si>
  <si>
    <t>2020.11.20</t>
    <phoneticPr fontId="1" type="noConversion"/>
  </si>
  <si>
    <t>ZFMD/SD-20143-SH</t>
    <phoneticPr fontId="1" type="noConversion"/>
  </si>
  <si>
    <t>ZFMD/SD-20127-22-SH</t>
  </si>
  <si>
    <t>ZFMD/SD-20127-23-SH</t>
  </si>
  <si>
    <t>四方岭风电场风功率预测系统更换技术服务合同</t>
    <phoneticPr fontId="1" type="noConversion"/>
  </si>
  <si>
    <t>2020.11.23</t>
    <phoneticPr fontId="1" type="noConversion"/>
  </si>
  <si>
    <t>苦水西风电一场</t>
    <phoneticPr fontId="1" type="noConversion"/>
  </si>
  <si>
    <t>龙源苦水风电场风功率预测系统更换技术服务合同</t>
    <phoneticPr fontId="1" type="noConversion"/>
  </si>
  <si>
    <t>ZFMD/SD-20144-SH</t>
  </si>
  <si>
    <t>ZFMD/SD-20145-SH</t>
  </si>
  <si>
    <t>ZFMD/KGSQ-20002</t>
  </si>
  <si>
    <t>湘电风能采购合同（宝鼎山项目风功率预测系统扩容）</t>
    <phoneticPr fontId="1" type="noConversion"/>
  </si>
  <si>
    <t>宝鼎山（二三期）</t>
    <phoneticPr fontId="1" type="noConversion"/>
  </si>
  <si>
    <t>银子山（二三期）</t>
    <phoneticPr fontId="1" type="noConversion"/>
  </si>
  <si>
    <t>建模扩容；预测服务5年</t>
    <phoneticPr fontId="1" type="noConversion"/>
  </si>
  <si>
    <t>ZFMD/SD-20146-1-SH</t>
    <phoneticPr fontId="1" type="noConversion"/>
  </si>
  <si>
    <t>ZFMD/SD-20146-2-SH</t>
  </si>
  <si>
    <t>ZFMD/SD-20146-3-SH</t>
  </si>
  <si>
    <t>ZFMD/SD-20146-4-SH</t>
  </si>
  <si>
    <t>ZFMD/SD-20147-SH</t>
    <phoneticPr fontId="1" type="noConversion"/>
  </si>
  <si>
    <t>ZFMD/SD-20148-SH</t>
  </si>
  <si>
    <t>ZFMD/SD-20149-SH</t>
  </si>
  <si>
    <t>ZFMD/SD-20150-SH</t>
  </si>
  <si>
    <t>ZFMD/SD-20151-SH</t>
  </si>
  <si>
    <t>ZFMD/SD-20152-SH</t>
  </si>
  <si>
    <t>ZFMD/SD-20153-SH</t>
  </si>
  <si>
    <t>ZFMD/SD-20154-SH</t>
  </si>
  <si>
    <t>ZFMD/SD-20155-SH</t>
  </si>
  <si>
    <t>ZFMD/SD-20156-SH</t>
  </si>
  <si>
    <t>ZFMD/SD-20157-SH</t>
  </si>
  <si>
    <t>ZFMD/SD-20158-SH</t>
  </si>
  <si>
    <t>ZFMD/SD-20159-SH</t>
  </si>
  <si>
    <t>ZFMD/SD-20160-SH</t>
  </si>
  <si>
    <t>2020.11.24</t>
    <phoneticPr fontId="22" type="noConversion"/>
  </si>
  <si>
    <t>2020.11.16</t>
    <phoneticPr fontId="22" type="noConversion"/>
  </si>
  <si>
    <t>2020.5.2</t>
    <phoneticPr fontId="22" type="noConversion"/>
  </si>
  <si>
    <t>2020.11.2</t>
    <phoneticPr fontId="22" type="noConversion"/>
  </si>
  <si>
    <t>2021.11.1</t>
    <phoneticPr fontId="22" type="noConversion"/>
  </si>
  <si>
    <t>大唐文登风力发电有限公司</t>
    <phoneticPr fontId="22" type="noConversion"/>
  </si>
  <si>
    <t>ZFMD/SD-20161-20007-SH</t>
    <phoneticPr fontId="1" type="noConversion"/>
  </si>
  <si>
    <t>ZFMD/SD-20162-SH</t>
    <phoneticPr fontId="1" type="noConversion"/>
  </si>
  <si>
    <t>2020.11.24</t>
    <phoneticPr fontId="1" type="noConversion"/>
  </si>
  <si>
    <t>泽库大唐</t>
    <phoneticPr fontId="22" type="noConversion"/>
  </si>
  <si>
    <t>文登</t>
  </si>
  <si>
    <t>2020.11.25</t>
    <phoneticPr fontId="1" type="noConversion"/>
  </si>
  <si>
    <t>20007销售合同的补充协议</t>
    <phoneticPr fontId="1" type="noConversion"/>
  </si>
  <si>
    <t>11月份流转</t>
    <phoneticPr fontId="1" type="noConversion"/>
  </si>
  <si>
    <t>并网之日起5年（含免费1年）</t>
    <phoneticPr fontId="1" type="noConversion"/>
  </si>
  <si>
    <t>和王龙波微信沟通服务时间，王龙波说：并网之日起开始算5年，含免费1年</t>
    <phoneticPr fontId="1" type="noConversion"/>
  </si>
  <si>
    <t>ZFMD/SD-15046-SH-BG01
ZFMD/SD-15046-SH-BG02
ZFMD/SD-15046-SH-BG03</t>
    <phoneticPr fontId="1" type="noConversion"/>
  </si>
  <si>
    <t>ZFMD/SD-20163-SH</t>
  </si>
  <si>
    <t>ZFMD/SD-20164-SH</t>
  </si>
  <si>
    <t>ZFMD/KGSQ-20052</t>
    <phoneticPr fontId="1" type="noConversion"/>
  </si>
  <si>
    <t>ZFMD/KGSQ-20053</t>
    <phoneticPr fontId="1" type="noConversion"/>
  </si>
  <si>
    <t>大安中广核风力发电有限公司</t>
    <phoneticPr fontId="1" type="noConversion"/>
  </si>
  <si>
    <t>中广核吉林大安来福风电场风功率预测采购合同</t>
    <phoneticPr fontId="1" type="noConversion"/>
  </si>
  <si>
    <t>四平中广核风力发电有限公司</t>
    <phoneticPr fontId="1" type="noConversion"/>
  </si>
  <si>
    <t>中广核吉林四平山门风电场风功率预测采购合同</t>
    <phoneticPr fontId="1" type="noConversion"/>
  </si>
  <si>
    <t>来福</t>
    <phoneticPr fontId="1" type="noConversion"/>
  </si>
  <si>
    <t>山门</t>
    <phoneticPr fontId="1" type="noConversion"/>
  </si>
  <si>
    <r>
      <t>短期软件；超短期软件；系统硬件；测风塔维护；测风塔设备；预测服务</t>
    </r>
    <r>
      <rPr>
        <sz val="11"/>
        <color theme="1"/>
        <rFont val="Calibri"/>
        <family val="2"/>
      </rPr>
      <t>1</t>
    </r>
    <r>
      <rPr>
        <sz val="11"/>
        <color theme="1"/>
        <rFont val="宋体"/>
        <family val="3"/>
        <charset val="134"/>
        <scheme val="minor"/>
      </rPr>
      <t>年</t>
    </r>
    <phoneticPr fontId="1" type="noConversion"/>
  </si>
  <si>
    <t>2020.11.28</t>
    <phoneticPr fontId="1" type="noConversion"/>
  </si>
  <si>
    <t>ZFMD/SD-20165-SH</t>
  </si>
  <si>
    <t>ZFMD/SD-20166-SH</t>
  </si>
  <si>
    <t>ZFMD/SD-20167-SH</t>
  </si>
  <si>
    <t>2020.12.1</t>
    <phoneticPr fontId="1" type="noConversion"/>
  </si>
  <si>
    <t>湖北</t>
  </si>
  <si>
    <t>百里荒（二期）</t>
    <phoneticPr fontId="1" type="noConversion"/>
  </si>
  <si>
    <t>ZFMD/KGSQ-20050</t>
    <phoneticPr fontId="1" type="noConversion"/>
  </si>
  <si>
    <t>三一重能股份有限公司</t>
    <phoneticPr fontId="1" type="noConversion"/>
  </si>
  <si>
    <t>百里荒二期建模扩容产品买卖合同</t>
    <phoneticPr fontId="1" type="noConversion"/>
  </si>
  <si>
    <t>建模扩容；系统硬件；预测服务5年</t>
    <phoneticPr fontId="1" type="noConversion"/>
  </si>
  <si>
    <t>2020.11.26</t>
    <phoneticPr fontId="1" type="noConversion"/>
  </si>
  <si>
    <t>华能钟祥胡家湾风电场风功率预测系统数据接入服务合同</t>
    <phoneticPr fontId="1" type="noConversion"/>
  </si>
  <si>
    <t>ZFMD/SD-20168-SH</t>
  </si>
  <si>
    <t>ZFMD/SD-20169-1-SH</t>
    <phoneticPr fontId="1" type="noConversion"/>
  </si>
  <si>
    <t>ZFMD/SD-20169-2-SH</t>
    <phoneticPr fontId="1" type="noConversion"/>
  </si>
  <si>
    <t>同江风电场两个细则考核系统升级服务合同</t>
    <phoneticPr fontId="22" type="noConversion"/>
  </si>
  <si>
    <t>大庆和平、新海风电场两个细则考核系统升级服务合同</t>
    <phoneticPr fontId="22" type="noConversion"/>
  </si>
  <si>
    <t>2020.12.3</t>
    <phoneticPr fontId="1" type="noConversion"/>
  </si>
  <si>
    <t>2020.11.27</t>
    <phoneticPr fontId="22" type="noConversion"/>
  </si>
  <si>
    <t>ZFMD/SD-20041-1-SH-BG01</t>
    <phoneticPr fontId="1" type="noConversion"/>
  </si>
  <si>
    <t>ZFMD/SD-20170-1-SH</t>
    <phoneticPr fontId="1" type="noConversion"/>
  </si>
  <si>
    <t>ZFMD/SD-20170-2-SH</t>
  </si>
  <si>
    <t>ZFMD/SD-20170-3-SH</t>
  </si>
  <si>
    <t>长春亿科数字科技有限公司</t>
    <phoneticPr fontId="1" type="noConversion"/>
  </si>
  <si>
    <t>国电投山西垣曲风电场首批站端上传系统硬件合同协议书</t>
    <phoneticPr fontId="1" type="noConversion"/>
  </si>
  <si>
    <t>ZFMD/KGSQ-20054</t>
    <phoneticPr fontId="1" type="noConversion"/>
  </si>
  <si>
    <t>山西</t>
    <phoneticPr fontId="1" type="noConversion"/>
  </si>
  <si>
    <t>垣曲</t>
    <phoneticPr fontId="1" type="noConversion"/>
  </si>
  <si>
    <t>2020.12.8</t>
    <phoneticPr fontId="1" type="noConversion"/>
  </si>
  <si>
    <t>国电投山西陵川二期风电场首批站端上传系统硬件合同协议书</t>
    <phoneticPr fontId="1" type="noConversion"/>
  </si>
  <si>
    <t>ZFMD/KGSQ-20055</t>
    <phoneticPr fontId="1" type="noConversion"/>
  </si>
  <si>
    <t>ZFMD/KGSQ-20056</t>
    <phoneticPr fontId="1" type="noConversion"/>
  </si>
  <si>
    <t>文登风电场风功率预测系统气象服务器采购合同</t>
    <phoneticPr fontId="22" type="noConversion"/>
  </si>
  <si>
    <t>2020.11.20</t>
    <phoneticPr fontId="22" type="noConversion"/>
  </si>
  <si>
    <t>ZFMD/SD-20123-1-SH</t>
    <phoneticPr fontId="1" type="noConversion"/>
  </si>
  <si>
    <t>ZFMD/SD-20123-2-SH</t>
    <phoneticPr fontId="1" type="noConversion"/>
  </si>
  <si>
    <t>网络安全监测装置</t>
    <phoneticPr fontId="1" type="noConversion"/>
  </si>
  <si>
    <t>郭文明
段洪宇</t>
    <phoneticPr fontId="1" type="noConversion"/>
  </si>
  <si>
    <t>ZFMD/SD-20171-1-SH</t>
    <phoneticPr fontId="1" type="noConversion"/>
  </si>
  <si>
    <t>ZFMD/SD-20171-2-SH</t>
  </si>
  <si>
    <t>ZFMD/SD-20171-3-SH</t>
  </si>
  <si>
    <t>ZFMD/KGSQ-20048</t>
    <phoneticPr fontId="1" type="noConversion"/>
  </si>
  <si>
    <t>ZFMD/KGSQ-20058</t>
    <phoneticPr fontId="1" type="noConversion"/>
  </si>
  <si>
    <t>ZFMD/KGSQ-20059</t>
    <phoneticPr fontId="1" type="noConversion"/>
  </si>
  <si>
    <t>美迪欧动力气象技术（北京）有限公司</t>
    <phoneticPr fontId="1" type="noConversion"/>
  </si>
  <si>
    <t>软件合同协议书</t>
    <phoneticPr fontId="1" type="noConversion"/>
  </si>
  <si>
    <t>2020.12.12</t>
    <phoneticPr fontId="1" type="noConversion"/>
  </si>
  <si>
    <t>2020.12.9</t>
    <phoneticPr fontId="1" type="noConversion"/>
  </si>
  <si>
    <t>陵川一期</t>
    <phoneticPr fontId="1" type="noConversion"/>
  </si>
  <si>
    <t>陵川二期</t>
    <phoneticPr fontId="1" type="noConversion"/>
  </si>
  <si>
    <t>ZFMD/SD-20172-SH</t>
    <phoneticPr fontId="1" type="noConversion"/>
  </si>
  <si>
    <t>大唐黑龙江新能源开发有限公司集贤太平风力发电分公司</t>
    <phoneticPr fontId="1" type="noConversion"/>
  </si>
  <si>
    <t>ZFMD/SD-20173-SH</t>
  </si>
  <si>
    <t>长岭王子风电场风功率预测系统升级服务合同</t>
  </si>
  <si>
    <t>中水电中电风力发电有限公司</t>
    <phoneticPr fontId="1" type="noConversion"/>
  </si>
  <si>
    <t>2020.12.14</t>
    <phoneticPr fontId="1" type="noConversion"/>
  </si>
  <si>
    <t>2020.11.30</t>
    <phoneticPr fontId="1" type="noConversion"/>
  </si>
  <si>
    <t>ZFMD/SD-20174-1-SH</t>
    <phoneticPr fontId="1" type="noConversion"/>
  </si>
  <si>
    <t>ZFMD/SD-20174-2-SH</t>
  </si>
  <si>
    <t>2021年度中卫香山第四、六风场风功率预测系统气象及维护服务合同</t>
    <phoneticPr fontId="1" type="noConversion"/>
  </si>
  <si>
    <t>2020.12.15</t>
    <phoneticPr fontId="1" type="noConversion"/>
  </si>
  <si>
    <t>2020.11.27</t>
    <phoneticPr fontId="1" type="noConversion"/>
  </si>
  <si>
    <t>2021.11.30</t>
    <phoneticPr fontId="1" type="noConversion"/>
  </si>
  <si>
    <t>王子</t>
    <phoneticPr fontId="1" type="noConversion"/>
  </si>
  <si>
    <t>长岭王子（一期+二期+三期）</t>
    <phoneticPr fontId="1" type="noConversion"/>
  </si>
  <si>
    <t>ZFMD/SD-20175-SH</t>
    <phoneticPr fontId="1" type="noConversion"/>
  </si>
  <si>
    <t>ZFMD/KGSQ-20061</t>
    <phoneticPr fontId="1" type="noConversion"/>
  </si>
  <si>
    <t>三峡新能源吉林省白城查干浩特风电场（45MW）工程反向隔离装置更换升级采购合同</t>
    <phoneticPr fontId="1" type="noConversion"/>
  </si>
  <si>
    <t>2020.12.17</t>
    <phoneticPr fontId="1" type="noConversion"/>
  </si>
  <si>
    <t>ZFMD/KGSQ-20051</t>
    <phoneticPr fontId="1" type="noConversion"/>
  </si>
  <si>
    <t>ZFMD/SD-20176-SH</t>
  </si>
  <si>
    <t>ZFMD/SD-20177-SH</t>
  </si>
  <si>
    <t>2020.12.18</t>
    <phoneticPr fontId="22" type="noConversion"/>
  </si>
  <si>
    <t>2020.12</t>
    <phoneticPr fontId="22" type="noConversion"/>
  </si>
  <si>
    <t>华电那木斯风电场功率预测系统集中管理及短期预测上传7天改造合同</t>
    <phoneticPr fontId="1" type="noConversion"/>
  </si>
  <si>
    <t>华电风水山风电场功率预测系统集中管理及短期预测上传7天改造合同</t>
    <phoneticPr fontId="1" type="noConversion"/>
  </si>
  <si>
    <t>ZFMD/SD-20178-SH</t>
  </si>
  <si>
    <t>ZFMD/SD-20179-SH</t>
  </si>
  <si>
    <t>ZFMD/SD-20180-SH</t>
  </si>
  <si>
    <t>ZFMD/SD-20181-SH</t>
  </si>
  <si>
    <t>ZFMD/SD-20182-SH</t>
  </si>
  <si>
    <t>ZFMD/SD-20183-SH</t>
  </si>
  <si>
    <t>齐齐哈尔风电富裕风电场2021-2023年风电功率预测系统服务合同</t>
    <phoneticPr fontId="1" type="noConversion"/>
  </si>
  <si>
    <t>2020.12.23</t>
    <phoneticPr fontId="1" type="noConversion"/>
  </si>
  <si>
    <t>2021.3.14</t>
    <phoneticPr fontId="1" type="noConversion"/>
  </si>
  <si>
    <t>2024.3.13</t>
    <phoneticPr fontId="1" type="noConversion"/>
  </si>
  <si>
    <t>乾安风电乾安风电场2021年-2023年风电功率预测系统服务合同</t>
    <phoneticPr fontId="1" type="noConversion"/>
  </si>
  <si>
    <t>乾安腾字</t>
    <phoneticPr fontId="1" type="noConversion"/>
  </si>
  <si>
    <t>华能启东风电场2021年上半年度风功率预测系统技术服务合同</t>
    <phoneticPr fontId="22" type="noConversion"/>
  </si>
  <si>
    <t>预测服务6个月</t>
    <phoneticPr fontId="22" type="noConversion"/>
  </si>
  <si>
    <t>2020.12.16</t>
    <phoneticPr fontId="1" type="noConversion"/>
  </si>
  <si>
    <t>2021.1.1</t>
    <phoneticPr fontId="1" type="noConversion"/>
  </si>
  <si>
    <t>哈密中核风电有限公司</t>
    <phoneticPr fontId="1" type="noConversion"/>
  </si>
  <si>
    <t>哈密中核风电有限公司风功率预测系统服务合同</t>
    <phoneticPr fontId="1" type="noConversion"/>
  </si>
  <si>
    <t>哈密烟墩8C/哈密烟墩</t>
    <phoneticPr fontId="1" type="noConversion"/>
  </si>
  <si>
    <t>2020.11.17</t>
    <phoneticPr fontId="1" type="noConversion"/>
  </si>
  <si>
    <t>2020.7.19</t>
    <phoneticPr fontId="1" type="noConversion"/>
  </si>
  <si>
    <t>2021.7.18</t>
    <phoneticPr fontId="1" type="noConversion"/>
  </si>
  <si>
    <t>ZFMD/KGSQ-20047</t>
  </si>
  <si>
    <t>张家口安智科为新能源有限公司</t>
    <phoneticPr fontId="1" type="noConversion"/>
  </si>
  <si>
    <t>尚义石井风电场风功率预测系统扩容服务合同</t>
    <phoneticPr fontId="1" type="noConversion"/>
  </si>
  <si>
    <t>尚义（二期）</t>
  </si>
  <si>
    <t>尚义石井（二期）</t>
    <phoneticPr fontId="1" type="noConversion"/>
  </si>
  <si>
    <t>2020.12</t>
    <phoneticPr fontId="1" type="noConversion"/>
  </si>
  <si>
    <t>鸡西平岗49.5MW风电场风功率预测系统服务合同书</t>
    <phoneticPr fontId="1" type="noConversion"/>
  </si>
  <si>
    <t>鸡西平岗</t>
  </si>
  <si>
    <t>2020.8.23</t>
    <phoneticPr fontId="1" type="noConversion"/>
  </si>
  <si>
    <t>2021.8.22</t>
    <phoneticPr fontId="1" type="noConversion"/>
  </si>
  <si>
    <t>ZFMD/SD-20185-SH</t>
  </si>
  <si>
    <t>ZFMD/SD-20186-SH</t>
  </si>
  <si>
    <t>ZFMD/SD-20187-SH</t>
  </si>
  <si>
    <t>ZFMD/SD-20188-SH</t>
  </si>
  <si>
    <t>黑龙江省华富电力投资有限公司依兰分公司</t>
    <phoneticPr fontId="1" type="noConversion"/>
  </si>
  <si>
    <t>鸡冠山</t>
    <phoneticPr fontId="1" type="noConversion"/>
  </si>
  <si>
    <t>2020.12.24</t>
    <phoneticPr fontId="1" type="noConversion"/>
  </si>
  <si>
    <t>ZFMD/SD-20189-SH</t>
    <phoneticPr fontId="1" type="noConversion"/>
  </si>
  <si>
    <t>中机国能六师北塔山牧场100MW风电项目风功率预测装置补充协议</t>
  </si>
  <si>
    <t>中电建</t>
    <phoneticPr fontId="1" type="noConversion"/>
  </si>
  <si>
    <t>北塔山牧场</t>
    <phoneticPr fontId="1" type="noConversion"/>
  </si>
  <si>
    <t>新疆风电场D5000二区软件；系统硬件</t>
    <phoneticPr fontId="1" type="noConversion"/>
  </si>
  <si>
    <t>ZFMD/KGSQ-20025</t>
  </si>
  <si>
    <t>不算公司
业绩</t>
    <phoneticPr fontId="1" type="noConversion"/>
  </si>
  <si>
    <t>不算销售
业绩</t>
    <phoneticPr fontId="1" type="noConversion"/>
  </si>
  <si>
    <t>×</t>
    <phoneticPr fontId="1" type="noConversion"/>
  </si>
  <si>
    <t>大唐中电（吉林）发电有限公司</t>
    <phoneticPr fontId="1" type="noConversion"/>
  </si>
  <si>
    <t>大唐中电（吉林）发电有限公司洮南大通风电场风功率预测系统反向隔离装置升级改造项目合同</t>
    <phoneticPr fontId="1" type="noConversion"/>
  </si>
  <si>
    <t>大唐向阳风电有限公司风功率预测系统反向隔离装置升级改造项目合同</t>
    <phoneticPr fontId="1" type="noConversion"/>
  </si>
  <si>
    <t>吉林大安新唐发电有限公司风功率预测系统反向隔离装置升级改造项目合同</t>
    <phoneticPr fontId="1" type="noConversion"/>
  </si>
  <si>
    <t>大唐中电（吉林）新能源发电有限公司双辽分公司风功率预测系统反向隔离装置升级改造项目合同</t>
    <phoneticPr fontId="1" type="noConversion"/>
  </si>
  <si>
    <t>2020.12.29</t>
    <phoneticPr fontId="1" type="noConversion"/>
  </si>
  <si>
    <t>ZFMD/SD-20190-SH</t>
  </si>
  <si>
    <t>ZFMD/SD-20191-SH</t>
  </si>
  <si>
    <t>ZFMD/SD-20192-SH</t>
  </si>
  <si>
    <t>ZFMD/SD-20193-SH</t>
  </si>
  <si>
    <t>2020.12.29</t>
    <phoneticPr fontId="22" type="noConversion"/>
  </si>
  <si>
    <t>2020.12.24</t>
    <phoneticPr fontId="22" type="noConversion"/>
  </si>
  <si>
    <t>2023.12.31</t>
    <phoneticPr fontId="1" type="noConversion"/>
  </si>
  <si>
    <t>依兰鸡冠山风电场综合通讯改造项目采购合同</t>
    <phoneticPr fontId="1" type="noConversion"/>
  </si>
  <si>
    <t>黑龙江风电场综合通讯管理系统软件升级</t>
    <phoneticPr fontId="1" type="noConversion"/>
  </si>
  <si>
    <t>ZFMD/SD-20184-SH</t>
    <phoneticPr fontId="1" type="noConversion"/>
  </si>
  <si>
    <t>ZFMD/KGSQ-20022</t>
  </si>
  <si>
    <t>国华投资乾安风电乾安腾字风电场三期（49.5）MW项目风功率预测系统扩容服务合同</t>
    <phoneticPr fontId="1" type="noConversion"/>
  </si>
  <si>
    <t>建模扩容；系统硬件</t>
    <phoneticPr fontId="1" type="noConversion"/>
  </si>
  <si>
    <t>ZFMD/SD-20194-SH</t>
    <phoneticPr fontId="1" type="noConversion"/>
  </si>
  <si>
    <t>15003-2021</t>
    <phoneticPr fontId="18" type="noConversion"/>
  </si>
  <si>
    <t>ZFMD/SD-21001-SH</t>
    <phoneticPr fontId="1" type="noConversion"/>
  </si>
  <si>
    <t>ZFMD/SD-21002-SH</t>
  </si>
  <si>
    <t>ZFMD/SD-21003-SH</t>
  </si>
  <si>
    <t>ZFMD/SD-21004-SH</t>
  </si>
  <si>
    <t>洮南风电场2021年风功率预测系统（软硬件）及测风塔维修维护服务合同</t>
    <phoneticPr fontId="1" type="noConversion"/>
  </si>
  <si>
    <t>2021.1.14</t>
    <phoneticPr fontId="1" type="noConversion"/>
  </si>
  <si>
    <t>2020.12.28</t>
    <phoneticPr fontId="1" type="noConversion"/>
  </si>
  <si>
    <t>向阳风电场2021年风功率预测系统（软硬件）及测风塔维修维护服务合同</t>
    <phoneticPr fontId="1" type="noConversion"/>
  </si>
  <si>
    <t>新艾里风电场2021年风功率预测系统（软硬件）及测风塔维修维护服务合同</t>
    <phoneticPr fontId="1" type="noConversion"/>
  </si>
  <si>
    <t>双辽分公司双辽风电场2021年风功率预测系统（软硬件）及测风塔维修维护服务合同</t>
    <phoneticPr fontId="1" type="noConversion"/>
  </si>
  <si>
    <t>ZFMD/SHFW-2020031</t>
  </si>
  <si>
    <t>ZFMD/SD-21005-SH</t>
  </si>
  <si>
    <t>华能蒋公岭风电场反向隔离装置更换维修及风功率系统维护</t>
    <phoneticPr fontId="1" type="noConversion"/>
  </si>
  <si>
    <t>ZFMD/SD-21006-SH</t>
  </si>
  <si>
    <t>蒋公岭风电场风功率预测系统服务合同书</t>
    <phoneticPr fontId="1" type="noConversion"/>
  </si>
  <si>
    <t>2021.1.14</t>
    <phoneticPr fontId="22" type="noConversion"/>
  </si>
  <si>
    <t>2021.1.1</t>
    <phoneticPr fontId="22" type="noConversion"/>
  </si>
  <si>
    <t>2021.1.8</t>
    <phoneticPr fontId="22" type="noConversion"/>
  </si>
  <si>
    <t>2022.1.7</t>
    <phoneticPr fontId="22" type="noConversion"/>
  </si>
  <si>
    <t>按照合同审批表记录合同服务期限</t>
    <phoneticPr fontId="1" type="noConversion"/>
  </si>
  <si>
    <t>ZFMD/SD-21007-SH</t>
  </si>
  <si>
    <t>高龙山风电场风功率预测系统服务合同书</t>
    <phoneticPr fontId="1" type="noConversion"/>
  </si>
  <si>
    <t>2021.8.10</t>
    <phoneticPr fontId="1" type="noConversion"/>
  </si>
  <si>
    <t>2022.8.9</t>
    <phoneticPr fontId="1" type="noConversion"/>
  </si>
  <si>
    <t>ZFMD/SD-21008-SH</t>
  </si>
  <si>
    <t>ZFMD/SHFW-2020029</t>
  </si>
  <si>
    <t>华能高龙山风电场风功率预测系统升级及维护服务合同</t>
    <phoneticPr fontId="1" type="noConversion"/>
  </si>
  <si>
    <t>ZFMD/SD-21009-SH</t>
  </si>
  <si>
    <t>灵华山风电场风功率预测系统服务合同书</t>
    <phoneticPr fontId="1" type="noConversion"/>
  </si>
  <si>
    <t>2021.9.28</t>
    <phoneticPr fontId="22" type="noConversion"/>
  </si>
  <si>
    <t>2022.9.27</t>
    <phoneticPr fontId="22" type="noConversion"/>
  </si>
  <si>
    <t>ZFMD/SHFW-2020030</t>
  </si>
  <si>
    <t>ZFMD/SD-21010-SH</t>
  </si>
  <si>
    <t>华能灵华山风电场风功率预测系统升级及维护服务合同</t>
    <phoneticPr fontId="1" type="noConversion"/>
  </si>
  <si>
    <t>ZFMD/SD-21011-1-SH</t>
    <phoneticPr fontId="1" type="noConversion"/>
  </si>
  <si>
    <t>ZFMD/SD-21011-2-SH</t>
  </si>
  <si>
    <t>ZFMD/SD-21011-3-SH</t>
  </si>
  <si>
    <t>ZFMD/SD-21011-4-SH</t>
  </si>
  <si>
    <t>ZFMD/SD-21011-5-SH</t>
  </si>
  <si>
    <t>ZFMD/SD-21011-6-SH</t>
  </si>
  <si>
    <t>大唐桦川风力发电有限公司等3个公司下辖北架、晨光、富强、太阳山、苏家店、吉成等6个风电场风电功率预测服务技术服务合同</t>
    <phoneticPr fontId="1" type="noConversion"/>
  </si>
  <si>
    <t>大唐绥滨新能源有限公司</t>
    <phoneticPr fontId="1" type="noConversion"/>
  </si>
  <si>
    <t>大唐桦川风力发电有限公司集贤分公司</t>
    <phoneticPr fontId="1" type="noConversion"/>
  </si>
  <si>
    <t>大唐桦川风力发电有限公司桦南分公司</t>
    <phoneticPr fontId="1" type="noConversion"/>
  </si>
  <si>
    <t>ZFMD/SD-21012-SH</t>
    <phoneticPr fontId="1" type="noConversion"/>
  </si>
  <si>
    <t>三峡新能源辽宁省彰武光伏电站（24MWP）工程2020年光功率预测系统维护服务合同</t>
    <phoneticPr fontId="22" type="noConversion"/>
  </si>
  <si>
    <t>2020.11.10</t>
    <phoneticPr fontId="22" type="noConversion"/>
  </si>
  <si>
    <t>2021.11.9</t>
    <phoneticPr fontId="22" type="noConversion"/>
  </si>
  <si>
    <t>审批表上没有写具体服务期限，按照审批意见签订后1年计算服务时间</t>
    <phoneticPr fontId="1" type="noConversion"/>
  </si>
  <si>
    <t>ZFMD/SD-21013-20081-SH</t>
    <phoneticPr fontId="1" type="noConversion"/>
  </si>
  <si>
    <t>绥化热电公司孙吴风电场测风系统设备建设项目补充协议</t>
    <phoneticPr fontId="1" type="noConversion"/>
  </si>
  <si>
    <t>ZFMD/SD-21014-SH</t>
    <phoneticPr fontId="1" type="noConversion"/>
  </si>
  <si>
    <t>ZFMD/SD-21015-1-SH</t>
    <phoneticPr fontId="1" type="noConversion"/>
  </si>
  <si>
    <t>ZFMD/SD-21015-2-SH</t>
  </si>
  <si>
    <t>华能同江街津山风电场2021年度风功率预测服务</t>
    <phoneticPr fontId="22" type="noConversion"/>
  </si>
  <si>
    <t>2021.1.15</t>
    <phoneticPr fontId="22" type="noConversion"/>
  </si>
  <si>
    <t>和平风电场、新海风电场2021年度风功率预测服务</t>
    <phoneticPr fontId="22" type="noConversion"/>
  </si>
  <si>
    <t>ZFMD/SD-21016-SH</t>
    <phoneticPr fontId="1" type="noConversion"/>
  </si>
  <si>
    <t>三峡新能源新疆哈密苦水风电场200MW项目2021年度至2023年度风功率预测气象服务项目合同</t>
    <phoneticPr fontId="1" type="noConversion"/>
  </si>
  <si>
    <t>2021.1.23</t>
    <phoneticPr fontId="1" type="noConversion"/>
  </si>
  <si>
    <t>2020.12.22</t>
    <phoneticPr fontId="1" type="noConversion"/>
  </si>
  <si>
    <t>2021.1.6</t>
    <phoneticPr fontId="1" type="noConversion"/>
  </si>
  <si>
    <t>国电霞浦延亭风力发电有限公司风功率预测气象服务</t>
    <phoneticPr fontId="1" type="noConversion"/>
  </si>
  <si>
    <t>测风塔设备；预测服务2年</t>
    <phoneticPr fontId="1" type="noConversion"/>
  </si>
  <si>
    <t>2021.1.29</t>
    <phoneticPr fontId="1" type="noConversion"/>
  </si>
  <si>
    <t>2020.12.25</t>
    <phoneticPr fontId="1" type="noConversion"/>
  </si>
  <si>
    <t>2022.12.31</t>
    <phoneticPr fontId="1" type="noConversion"/>
  </si>
  <si>
    <t>ZFMD/SD-21017-SH</t>
    <phoneticPr fontId="1" type="noConversion"/>
  </si>
  <si>
    <t xml:space="preserve"> ZFMD/SHFW-2020038</t>
    <phoneticPr fontId="1" type="noConversion"/>
  </si>
  <si>
    <t>ZFMD/SD-21018-SH</t>
  </si>
  <si>
    <t>霞浦延亭（一期）霞浦马耳山（二期）</t>
    <phoneticPr fontId="1" type="noConversion"/>
  </si>
  <si>
    <t>ZFMD/SD-21019-SH</t>
  </si>
  <si>
    <t>ZFMD/SD-21020-SH</t>
  </si>
  <si>
    <t>ZFMD/SHFW-2020037</t>
  </si>
  <si>
    <t>华能钟祥胡家湾风电场功率预测信息接入省调新能源监测与调度模块合同</t>
    <phoneticPr fontId="1" type="noConversion"/>
  </si>
  <si>
    <t>钟祥胡家湾</t>
    <phoneticPr fontId="22" type="noConversion"/>
  </si>
  <si>
    <t>技术服务；测风塔设备</t>
    <phoneticPr fontId="1" type="noConversion"/>
  </si>
  <si>
    <t>2021.2.5</t>
    <phoneticPr fontId="1" type="noConversion"/>
  </si>
  <si>
    <t>2021.1</t>
    <phoneticPr fontId="1" type="noConversion"/>
  </si>
  <si>
    <t>ZFMD/SD-21021-19086-SH</t>
    <phoneticPr fontId="1" type="noConversion"/>
  </si>
  <si>
    <t>中卫市麦垛山新能源有限公司</t>
    <phoneticPr fontId="1" type="noConversion"/>
  </si>
  <si>
    <t>中卫市麦垛山新能源有限公司200MW风电项目测风塔及测风设备采购补充协议</t>
    <phoneticPr fontId="1" type="noConversion"/>
  </si>
  <si>
    <t>200MW</t>
    <phoneticPr fontId="1" type="noConversion"/>
  </si>
  <si>
    <t>2021.1.26</t>
    <phoneticPr fontId="1" type="noConversion"/>
  </si>
  <si>
    <t>三峡新能源辽宁省调兵山风电场99MW工程风功率预测系统升级服务采购合同</t>
    <phoneticPr fontId="1" type="noConversion"/>
  </si>
  <si>
    <t>2021.2</t>
    <phoneticPr fontId="1" type="noConversion"/>
  </si>
  <si>
    <t>哈尔滨中瑞伟业科技发展有限公司</t>
    <phoneticPr fontId="1" type="noConversion"/>
  </si>
  <si>
    <t>测风塔1；测风塔1设备；测风塔2；测风塔2设备</t>
    <phoneticPr fontId="1" type="noConversion"/>
  </si>
  <si>
    <t>短期软件；超短期软件；系统硬件；测风塔1设备；测风塔2设备；预测服务1年</t>
    <phoneticPr fontId="1" type="noConversion"/>
  </si>
  <si>
    <t>ZFMD/SD-21024-SH</t>
  </si>
  <si>
    <t>ZFMD/SD-21025-SH</t>
  </si>
  <si>
    <t>ZFMD/SD-21026-SH</t>
  </si>
  <si>
    <t>ZFMD/SD-21027-SH</t>
  </si>
  <si>
    <t>2021.2.9</t>
    <phoneticPr fontId="22" type="noConversion"/>
  </si>
  <si>
    <t>国华铜川风电场风功率预测系统技术服务合同</t>
    <phoneticPr fontId="1" type="noConversion"/>
  </si>
  <si>
    <t>国华横山风电场风功率预测系统技术服务合同</t>
    <phoneticPr fontId="1" type="noConversion"/>
  </si>
  <si>
    <t>国华大柳塔光伏电站光功率预测系统技术服务合同</t>
    <phoneticPr fontId="1" type="noConversion"/>
  </si>
  <si>
    <t>ZFMD/SD-20061-SH-BG01</t>
    <phoneticPr fontId="1" type="noConversion"/>
  </si>
  <si>
    <t>ZFMD/SD-20063-SH-BG01
ZFMD/SD-20063-SH-BG02</t>
    <phoneticPr fontId="1" type="noConversion"/>
  </si>
  <si>
    <t>2021年2月26日，由因税率由16%调整为13%，合同金额由163.344万元变为159.1195万元。</t>
    <phoneticPr fontId="22" type="noConversion"/>
  </si>
  <si>
    <t>SHFW-2017075</t>
  </si>
  <si>
    <t xml:space="preserve">SHFW-2017052 </t>
  </si>
  <si>
    <t>ZFMD/SD-21028-SH</t>
  </si>
  <si>
    <t>国能陕西新能源发电有限公司靖边分公司</t>
    <phoneticPr fontId="1" type="noConversion"/>
  </si>
  <si>
    <t>国能陕西新能源发电有限公司靖边分公司芦河光伏电站光功率预测系统维护合同</t>
    <phoneticPr fontId="1" type="noConversion"/>
  </si>
  <si>
    <t>光伏气象站维护；预测服务1年</t>
    <phoneticPr fontId="1" type="noConversion"/>
  </si>
  <si>
    <t>2021.3.5</t>
    <phoneticPr fontId="1" type="noConversion"/>
  </si>
  <si>
    <t>2021.2.20</t>
    <phoneticPr fontId="1" type="noConversion"/>
  </si>
  <si>
    <t>2021.3.1</t>
    <phoneticPr fontId="1" type="noConversion"/>
  </si>
  <si>
    <t>2022.2.28</t>
    <phoneticPr fontId="1" type="noConversion"/>
  </si>
  <si>
    <t>ZFMD/SD-21029-SH</t>
    <phoneticPr fontId="1" type="noConversion"/>
  </si>
  <si>
    <t>ZFMD/SHFW-2018015</t>
  </si>
  <si>
    <t>林甸东明园风电场测风设备采购合同</t>
    <phoneticPr fontId="1" type="noConversion"/>
  </si>
  <si>
    <t>林甸东明园</t>
    <phoneticPr fontId="5" type="noConversion"/>
  </si>
  <si>
    <t>2021.3.10</t>
    <phoneticPr fontId="1" type="noConversion"/>
  </si>
  <si>
    <t>2021.3</t>
    <phoneticPr fontId="1" type="noConversion"/>
  </si>
  <si>
    <t>唐山市南堡经济开发区航天万源新能源有限公司</t>
    <phoneticPr fontId="1" type="noConversion"/>
  </si>
  <si>
    <t>唐山南堡戟门河风电场风功率预测系统改造及单机信息上传系统改造（操作系统国产化改造）采购合同</t>
    <phoneticPr fontId="1" type="noConversion"/>
  </si>
  <si>
    <t>ZFMD/SD-19183-1-SH-BG01
ZFMD/SD-19183-1-SH-BG02</t>
    <phoneticPr fontId="22" type="noConversion"/>
  </si>
  <si>
    <t>南堡戟门河</t>
    <phoneticPr fontId="1" type="noConversion"/>
  </si>
  <si>
    <t>2021.2.26</t>
    <phoneticPr fontId="1" type="noConversion"/>
  </si>
  <si>
    <t>2021.3.13</t>
    <phoneticPr fontId="1" type="noConversion"/>
  </si>
  <si>
    <t>华能定边沈口子风电场2021-2023年度兆方美迪风功率预测系统气象服务合同</t>
    <phoneticPr fontId="1" type="noConversion"/>
  </si>
  <si>
    <t>2021.3.22</t>
    <phoneticPr fontId="22" type="noConversion"/>
  </si>
  <si>
    <t>2021.3.13</t>
    <phoneticPr fontId="22" type="noConversion"/>
  </si>
  <si>
    <t>ZFMD/SD-21031-SH</t>
    <phoneticPr fontId="1" type="noConversion"/>
  </si>
  <si>
    <t>2021.3.24马梦迪说：业主付款需要合同原件，哈尔滨原件邮寄给业主。上海还有1份原件存档。</t>
    <phoneticPr fontId="22" type="noConversion"/>
  </si>
  <si>
    <t>2021年3月24日和杨振坤电话沟通服务期确认为2021.1.1-2023.12.31</t>
    <phoneticPr fontId="1" type="noConversion"/>
  </si>
  <si>
    <t>ZFMD/SD-21032-15046-SH</t>
    <phoneticPr fontId="1" type="noConversion"/>
  </si>
  <si>
    <t>乾智昌吉木垒老君庙风电场150MW风力发电项目测风塔补充协议1</t>
    <phoneticPr fontId="1" type="noConversion"/>
  </si>
  <si>
    <t>老君庙风电场二期</t>
    <phoneticPr fontId="22" type="noConversion"/>
  </si>
  <si>
    <t>2021.3.25</t>
    <phoneticPr fontId="1" type="noConversion"/>
  </si>
  <si>
    <t>ZFMD/SD-21033-SH</t>
    <phoneticPr fontId="1" type="noConversion"/>
  </si>
  <si>
    <t>ZFMD/SD-21034-SH</t>
    <phoneticPr fontId="1" type="noConversion"/>
  </si>
  <si>
    <t>东海光伏电站光伏功率预测系统技术服务合同</t>
    <phoneticPr fontId="22" type="noConversion"/>
  </si>
  <si>
    <t>2021.3.24</t>
    <phoneticPr fontId="22" type="noConversion"/>
  </si>
  <si>
    <t>2021.3.30</t>
    <phoneticPr fontId="22" type="noConversion"/>
  </si>
  <si>
    <t>肇东华能德昌太阳能发电有限公司</t>
    <phoneticPr fontId="22" type="noConversion"/>
  </si>
  <si>
    <t>德昌光伏电站光伏功率预测系统技术服务合同</t>
    <phoneticPr fontId="22" type="noConversion"/>
  </si>
  <si>
    <t>中电投新疆能源化工集团吐鲁番有限公司</t>
    <phoneticPr fontId="1" type="noConversion"/>
  </si>
  <si>
    <t>五凌小草湖南风电一场</t>
    <phoneticPr fontId="22" type="noConversion"/>
  </si>
  <si>
    <t>2021.3.31</t>
    <phoneticPr fontId="1" type="noConversion"/>
  </si>
  <si>
    <t>2021.2.9</t>
    <phoneticPr fontId="1" type="noConversion"/>
  </si>
  <si>
    <t>2019.8.4</t>
    <phoneticPr fontId="1" type="noConversion"/>
  </si>
  <si>
    <t>2022.8.3</t>
    <phoneticPr fontId="1" type="noConversion"/>
  </si>
  <si>
    <t>五凌托克逊风电场（小草湖南风电一场）风功率预测系统服务合同书</t>
    <phoneticPr fontId="1" type="noConversion"/>
  </si>
  <si>
    <t>ZFMD/SD-21035-SH</t>
    <phoneticPr fontId="1" type="noConversion"/>
  </si>
  <si>
    <t>2021.3.31日郭总说：服务期为2021年1月1日-2021年12月31日</t>
    <phoneticPr fontId="1" type="noConversion"/>
  </si>
  <si>
    <t>ZFMD/SD-21036-SH</t>
  </si>
  <si>
    <t>新疆华电十三间房风电有限责任公司</t>
    <phoneticPr fontId="1" type="noConversion"/>
  </si>
  <si>
    <t>新疆华电十三间房风电场一二期风功率预测系统换型服务合同</t>
    <phoneticPr fontId="1" type="noConversion"/>
  </si>
  <si>
    <t>十三间房一期、二期</t>
    <phoneticPr fontId="1" type="noConversion"/>
  </si>
  <si>
    <t>华电嘉利一场</t>
    <phoneticPr fontId="22" type="noConversion"/>
  </si>
  <si>
    <t>2021.4.7</t>
    <phoneticPr fontId="1" type="noConversion"/>
  </si>
  <si>
    <t>2021.3.30</t>
    <phoneticPr fontId="1" type="noConversion"/>
  </si>
  <si>
    <t>ZFMD/KGSQ-19003</t>
  </si>
  <si>
    <t>2022.3.24</t>
    <phoneticPr fontId="1" type="noConversion"/>
  </si>
  <si>
    <t>2021.4.17</t>
    <phoneticPr fontId="1" type="noConversion"/>
  </si>
  <si>
    <t>2021.4.14</t>
    <phoneticPr fontId="22" type="noConversion"/>
  </si>
  <si>
    <t>2022.4.30</t>
    <phoneticPr fontId="22" type="noConversion"/>
  </si>
  <si>
    <t>宁德蕉城闽电新能源有限公司</t>
    <phoneticPr fontId="1" type="noConversion"/>
  </si>
  <si>
    <t>虎贝风电场风电功率预测拓展系统采购合同</t>
    <phoneticPr fontId="1" type="noConversion"/>
  </si>
  <si>
    <t>宁德虎贝</t>
    <phoneticPr fontId="1" type="noConversion"/>
  </si>
  <si>
    <t>ZFMD/SHFW-2021013</t>
  </si>
  <si>
    <t>ZFMD/SD-21037-SH</t>
    <phoneticPr fontId="1" type="noConversion"/>
  </si>
  <si>
    <t>ZFMD/SD-21038-SH</t>
    <phoneticPr fontId="1" type="noConversion"/>
  </si>
  <si>
    <t>ZFMD/SD-21039-SH</t>
  </si>
  <si>
    <t>ZFMD/SD-21040-SH</t>
  </si>
  <si>
    <t>ZFMD/SD-21041-SH</t>
  </si>
  <si>
    <t>ZFMD/SD-21042-1-SH</t>
    <phoneticPr fontId="1" type="noConversion"/>
  </si>
  <si>
    <t>ZFMD/SD-21042-2-SH</t>
  </si>
  <si>
    <t>巴里坤东方民生风电场风功率预测系统中长期预测服务合同</t>
    <phoneticPr fontId="1" type="noConversion"/>
  </si>
  <si>
    <t>中长期软件；预测服务1年</t>
    <phoneticPr fontId="1" type="noConversion"/>
  </si>
  <si>
    <t>2021.4.20</t>
    <phoneticPr fontId="1" type="noConversion"/>
  </si>
  <si>
    <t>2021.4.14</t>
    <phoneticPr fontId="1" type="noConversion"/>
  </si>
  <si>
    <t>新疆华电苦水风电场风功率预测系统中长期预测服务合同</t>
    <phoneticPr fontId="1" type="noConversion"/>
  </si>
  <si>
    <t>新疆华电淖毛湖风电场风功率预测系统中长期预测服务合同</t>
    <phoneticPr fontId="22" type="noConversion"/>
  </si>
  <si>
    <t>新疆华电十三间房风电场三四期风功率预测系统中长期预测服务合同</t>
    <phoneticPr fontId="1" type="noConversion"/>
  </si>
  <si>
    <t>ZFMD/SD-21043-SH</t>
    <phoneticPr fontId="1" type="noConversion"/>
  </si>
  <si>
    <t>到保</t>
    <phoneticPr fontId="22" type="noConversion"/>
  </si>
  <si>
    <t>吉林省光华风电投资有限公司到保风电场风电功率预测系统技术服务合同</t>
    <phoneticPr fontId="1" type="noConversion"/>
  </si>
  <si>
    <t>ZFMD/SD-21044-SH</t>
  </si>
  <si>
    <t>产品购销合同</t>
    <phoneticPr fontId="1" type="noConversion"/>
  </si>
  <si>
    <t>箱变测控</t>
    <phoneticPr fontId="10" type="noConversion"/>
  </si>
  <si>
    <t>箱变测控</t>
    <phoneticPr fontId="1" type="noConversion"/>
  </si>
  <si>
    <t>2021.4.22</t>
    <phoneticPr fontId="1" type="noConversion"/>
  </si>
  <si>
    <t>ZFMD/SD-21046-SH</t>
  </si>
  <si>
    <t>陕西通源天达能源工程集团有限公司</t>
    <phoneticPr fontId="1" type="noConversion"/>
  </si>
  <si>
    <t>三峡新能源黑龙江省宾县大个岭风电场49.5MW工程测风塔维护服务合同</t>
    <phoneticPr fontId="1" type="noConversion"/>
  </si>
  <si>
    <t>2021.4</t>
    <phoneticPr fontId="1" type="noConversion"/>
  </si>
  <si>
    <t>大连远华热效率仪器仪表有限公司</t>
    <phoneticPr fontId="1" type="noConversion"/>
  </si>
  <si>
    <t>河北新天科创新能源技术有限公司</t>
    <phoneticPr fontId="1" type="noConversion"/>
  </si>
  <si>
    <t>曹碾沟风电场风电功率预测系统数值天气预报技术服务合同</t>
    <phoneticPr fontId="22" type="noConversion"/>
  </si>
  <si>
    <t>2021.4.22</t>
    <phoneticPr fontId="22" type="noConversion"/>
  </si>
  <si>
    <t>2021.4.15</t>
    <phoneticPr fontId="22" type="noConversion"/>
  </si>
  <si>
    <t>ZFMD/SD-21048-SH</t>
  </si>
  <si>
    <t>三峡新能源黑龙江省伊春美林风电场51MW工程隔离装置加固技术服务合同</t>
    <phoneticPr fontId="1" type="noConversion"/>
  </si>
  <si>
    <t>2021.4.23</t>
    <phoneticPr fontId="1" type="noConversion"/>
  </si>
  <si>
    <t>2021.4.26</t>
    <phoneticPr fontId="1" type="noConversion"/>
  </si>
  <si>
    <t>三峡新能源吉林省大安海坨风电场（198MW）工程系统网络安全服务采购合同</t>
    <phoneticPr fontId="1" type="noConversion"/>
  </si>
  <si>
    <t>ZFMD/SD-20146-1-SH-BG01</t>
    <phoneticPr fontId="1" type="noConversion"/>
  </si>
  <si>
    <t>ZFMD/SD-20184-SH-BG01</t>
    <phoneticPr fontId="1" type="noConversion"/>
  </si>
  <si>
    <t>4.26开发票占号</t>
    <phoneticPr fontId="1" type="noConversion"/>
  </si>
  <si>
    <t>ZFMD/SD-21049-SH</t>
  </si>
  <si>
    <t>ZFMD/SD-21050-SH</t>
  </si>
  <si>
    <t>ZFMD/SD-21051-SH</t>
  </si>
  <si>
    <t>ZFMD/SD-21052-SH</t>
  </si>
  <si>
    <t>2021.4.30</t>
    <phoneticPr fontId="1" type="noConversion"/>
  </si>
  <si>
    <t>ZFMD/SD-21053-SH</t>
    <phoneticPr fontId="1" type="noConversion"/>
  </si>
  <si>
    <t>福能（漳州）风力发电有限责任公司</t>
    <phoneticPr fontId="1" type="noConversion"/>
  </si>
  <si>
    <t>隆教风电场风电功率预测拓展系统服务合同</t>
    <phoneticPr fontId="1" type="noConversion"/>
  </si>
  <si>
    <t>草山风电场测风塔测风设备采购合同</t>
    <phoneticPr fontId="1" type="noConversion"/>
  </si>
  <si>
    <t>草山风电场测风塔测风设备安装调试合同</t>
    <phoneticPr fontId="1" type="noConversion"/>
  </si>
  <si>
    <t>风电场技术服务</t>
    <phoneticPr fontId="1" type="noConversion"/>
  </si>
  <si>
    <t>省山风电场风电功率预测拓展系统服务合同</t>
    <phoneticPr fontId="1" type="noConversion"/>
  </si>
  <si>
    <t>石塘风电场风电功率预测拓展系统服务合同</t>
    <phoneticPr fontId="1" type="noConversion"/>
  </si>
  <si>
    <t>ZFMD/SHFW-2021012</t>
    <phoneticPr fontId="5" type="noConversion"/>
  </si>
  <si>
    <t>ZFMD/SHFW-2021011</t>
    <phoneticPr fontId="5" type="noConversion"/>
  </si>
  <si>
    <t>ZFMD/SHFW-2021010</t>
    <phoneticPr fontId="5" type="noConversion"/>
  </si>
  <si>
    <t>ZFMD/SHFW-2020044</t>
    <phoneticPr fontId="5" type="noConversion"/>
  </si>
  <si>
    <t>ZFMD/SHFW-2020036</t>
  </si>
  <si>
    <t>ZFMD/SD-19183-2-SH-BG01</t>
    <phoneticPr fontId="22" type="noConversion"/>
  </si>
  <si>
    <t>湖南大唐先一科技有限公司</t>
    <phoneticPr fontId="1" type="noConversion"/>
  </si>
  <si>
    <t>华银远程集中监控中心升级项目南山AGCAVC接口外包服务</t>
    <phoneticPr fontId="1" type="noConversion"/>
  </si>
  <si>
    <t>华银南山</t>
    <phoneticPr fontId="22" type="noConversion"/>
  </si>
  <si>
    <t>风电AGC/AVC</t>
    <phoneticPr fontId="22" type="noConversion"/>
  </si>
  <si>
    <t>2021.5.8</t>
    <phoneticPr fontId="1" type="noConversion"/>
  </si>
  <si>
    <t>2021.4.13</t>
    <phoneticPr fontId="1" type="noConversion"/>
  </si>
  <si>
    <t>ZFMD/SD-21054-SH</t>
    <phoneticPr fontId="1" type="noConversion"/>
  </si>
  <si>
    <t>ZFMD/SD-21055-SH</t>
  </si>
  <si>
    <t>ZFMD/SD-21056-SH</t>
  </si>
  <si>
    <t>新疆蒲类海能源发展有限公司三塘湖风电场2021年风电功率预测系统服务合同</t>
    <phoneticPr fontId="1" type="noConversion"/>
  </si>
  <si>
    <t>2021.5.11</t>
    <phoneticPr fontId="1" type="noConversion"/>
  </si>
  <si>
    <t>方正县江湾风力发电有限公司</t>
    <phoneticPr fontId="1" type="noConversion"/>
  </si>
  <si>
    <t>方正团结风电场项目综合通讯管理终端设备采购合同</t>
    <phoneticPr fontId="1" type="noConversion"/>
  </si>
  <si>
    <t>协合新能源</t>
    <phoneticPr fontId="1" type="noConversion"/>
  </si>
  <si>
    <t>方正团结</t>
    <phoneticPr fontId="1" type="noConversion"/>
  </si>
  <si>
    <t>ZFMD/SD-21057-SH</t>
  </si>
  <si>
    <t>镇赉</t>
    <phoneticPr fontId="5" type="noConversion"/>
  </si>
  <si>
    <t>ZFMD/SD-21058-SH</t>
  </si>
  <si>
    <t>布尔津</t>
    <phoneticPr fontId="5" type="noConversion"/>
  </si>
  <si>
    <t>2021.5.15</t>
    <phoneticPr fontId="1" type="noConversion"/>
  </si>
  <si>
    <t>2021.3.18</t>
    <phoneticPr fontId="1" type="noConversion"/>
  </si>
  <si>
    <t>ZFMD/SD-21054-SH-BG01</t>
    <phoneticPr fontId="1" type="noConversion"/>
  </si>
  <si>
    <t>ZFMD/SD-21059-SH</t>
  </si>
  <si>
    <t>ZFMD/SD-21060-SH</t>
  </si>
  <si>
    <t>中节能风力发电（哈密）有限公司景峡风电场风功率预测技术服务合同</t>
    <phoneticPr fontId="1" type="noConversion"/>
  </si>
  <si>
    <t>2021.5.20</t>
    <phoneticPr fontId="1" type="noConversion"/>
  </si>
  <si>
    <t>2021.4.8</t>
    <phoneticPr fontId="1" type="noConversion"/>
  </si>
  <si>
    <t>2021.4.9</t>
    <phoneticPr fontId="1" type="noConversion"/>
  </si>
  <si>
    <t>2022.4.8</t>
    <phoneticPr fontId="1" type="noConversion"/>
  </si>
  <si>
    <t>依兰县协合风力发电有限公司</t>
    <phoneticPr fontId="1" type="noConversion"/>
  </si>
  <si>
    <t>黑龙江依兰风电场E区综合通讯管理系统设备采购合同</t>
    <phoneticPr fontId="1" type="noConversion"/>
  </si>
  <si>
    <t>2021.5</t>
    <phoneticPr fontId="1" type="noConversion"/>
  </si>
  <si>
    <t>双发E区</t>
    <phoneticPr fontId="1" type="noConversion"/>
  </si>
  <si>
    <t>依兰E区</t>
    <phoneticPr fontId="1" type="noConversion"/>
  </si>
  <si>
    <t>ZFMD/SD-21061-SH</t>
  </si>
  <si>
    <t>ZFMD/SD-21062-SH</t>
  </si>
  <si>
    <t>国电霞浦延亭风力发电有限公司延亭风电场2座测风塔拉线更换及风功率短期预测系统升级项目合同协议书</t>
    <phoneticPr fontId="1" type="noConversion"/>
  </si>
  <si>
    <t>霞浦延亭（一期+二期）</t>
    <phoneticPr fontId="1" type="noConversion"/>
  </si>
  <si>
    <t>测风塔维护；技术服务（上传10天预测文件程序修改）</t>
    <phoneticPr fontId="1" type="noConversion"/>
  </si>
  <si>
    <t>2021.5.24</t>
    <phoneticPr fontId="1" type="noConversion"/>
  </si>
  <si>
    <t>2021.4.27</t>
    <phoneticPr fontId="1" type="noConversion"/>
  </si>
  <si>
    <t>ZFMD/SD-21063-SH</t>
  </si>
  <si>
    <t>ZFMD/SD-21064-SH</t>
  </si>
  <si>
    <t>ZFMD/KGSQ-20057</t>
    <phoneticPr fontId="1" type="noConversion"/>
  </si>
  <si>
    <t>风电场上传系统硬件设备采购合同</t>
    <phoneticPr fontId="1" type="noConversion"/>
  </si>
  <si>
    <t>宾阳</t>
    <phoneticPr fontId="1" type="noConversion"/>
  </si>
  <si>
    <t>2021.5.28</t>
    <phoneticPr fontId="1" type="noConversion"/>
  </si>
  <si>
    <t>宾县协合风力发电有限公司</t>
    <phoneticPr fontId="1" type="noConversion"/>
  </si>
  <si>
    <t>哈尔滨宾县平价上网风电项目综合通讯管理终端设备采购合同</t>
    <phoneticPr fontId="1" type="noConversion"/>
  </si>
  <si>
    <t>宾县协合</t>
    <phoneticPr fontId="1" type="noConversion"/>
  </si>
  <si>
    <t>陕光伏</t>
    <phoneticPr fontId="1" type="noConversion"/>
  </si>
  <si>
    <t>上欠井</t>
    <phoneticPr fontId="1" type="noConversion"/>
  </si>
  <si>
    <t>靖边上欠井</t>
    <phoneticPr fontId="1" type="noConversion"/>
  </si>
  <si>
    <t>ZFMD/SD-18168-3-SH-BG01
ZFMD/SD-18168-3-SH-BG02
ZFMD/SD-18168-3-SH-BG03
ZFMD/SD-18168-3-SH-BG04</t>
    <phoneticPr fontId="22" type="noConversion"/>
  </si>
  <si>
    <t>ZFMD/SD-21065-SH</t>
  </si>
  <si>
    <t>ZFMD/SD-21066-SH</t>
  </si>
  <si>
    <t>ZFMD/SD-21067-SH</t>
  </si>
  <si>
    <t>ZFMD/SD-21068-SH</t>
  </si>
  <si>
    <t>华能哈密石城子光伏电站光功率预测系统改造服务合同</t>
    <phoneticPr fontId="1" type="noConversion"/>
  </si>
  <si>
    <t>ZFMD/KGSQ-21006</t>
  </si>
  <si>
    <t>哈密石城子</t>
    <phoneticPr fontId="1" type="noConversion"/>
  </si>
  <si>
    <r>
      <t>短期软件；超短期软件；系统硬件；光伏气象站；光伏气象站设备；预测服务</t>
    </r>
    <r>
      <rPr>
        <sz val="11"/>
        <color theme="1"/>
        <rFont val="Calibri"/>
        <family val="2"/>
      </rPr>
      <t>1</t>
    </r>
    <r>
      <rPr>
        <sz val="11"/>
        <color theme="1"/>
        <rFont val="宋体"/>
        <family val="3"/>
        <charset val="134"/>
        <scheme val="minor"/>
      </rPr>
      <t>年</t>
    </r>
    <phoneticPr fontId="1" type="noConversion"/>
  </si>
  <si>
    <t>2021.6.4</t>
    <phoneticPr fontId="1" type="noConversion"/>
  </si>
  <si>
    <t>华能哈密石城子光伏电站AVC数据转发（接入集控）合同</t>
    <phoneticPr fontId="1" type="noConversion"/>
  </si>
  <si>
    <t>华能哈密烟墩风电场风功率预测数据转发（接入集控）合同</t>
    <phoneticPr fontId="1" type="noConversion"/>
  </si>
  <si>
    <t>华能烟墩北风电一场</t>
    <phoneticPr fontId="1" type="noConversion"/>
  </si>
  <si>
    <t>烟墩</t>
    <phoneticPr fontId="1" type="noConversion"/>
  </si>
  <si>
    <t>福建中核高嵛山风电有限公司高嵛山70MW风电项目风功率预测技术服务合同</t>
    <phoneticPr fontId="1" type="noConversion"/>
  </si>
  <si>
    <t>2021.5.31</t>
    <phoneticPr fontId="1" type="noConversion"/>
  </si>
  <si>
    <t>2021.3.21</t>
    <phoneticPr fontId="1" type="noConversion"/>
  </si>
  <si>
    <t>2022.3.20</t>
    <phoneticPr fontId="1" type="noConversion"/>
  </si>
  <si>
    <t>ZFMD/SD-21069-SH</t>
  </si>
  <si>
    <t>三峡新能源大连发电有限公司</t>
    <phoneticPr fontId="1" type="noConversion"/>
  </si>
  <si>
    <t>三峡新能源辽宁省大连市庄河III300MW海上风电项目电力现货交易服务器采购合同</t>
    <phoneticPr fontId="1" type="noConversion"/>
  </si>
  <si>
    <t>庄河</t>
    <phoneticPr fontId="1" type="noConversion"/>
  </si>
  <si>
    <t>2021.6.10</t>
    <phoneticPr fontId="1" type="noConversion"/>
  </si>
  <si>
    <t>2021.6.3</t>
    <phoneticPr fontId="1" type="noConversion"/>
  </si>
  <si>
    <t>ZFMD/SD-21070-SH</t>
  </si>
  <si>
    <t>ZFMD/SD-21071-SH</t>
  </si>
  <si>
    <t>ZFMD/SD-21072-SH</t>
  </si>
  <si>
    <t>2021.6.16</t>
    <phoneticPr fontId="1" type="noConversion"/>
  </si>
  <si>
    <t>2021.5.7</t>
    <phoneticPr fontId="1" type="noConversion"/>
  </si>
  <si>
    <t>2022.5.6</t>
    <phoneticPr fontId="1" type="noConversion"/>
  </si>
  <si>
    <t>ZFMD/SD-21036-SH-BG01
ZFMD/SD-21036-SH-BG02</t>
    <phoneticPr fontId="1" type="noConversion"/>
  </si>
  <si>
    <t>ZFMD/SD-21073-SH</t>
  </si>
  <si>
    <t>南昌朗承商贸有限公司</t>
    <phoneticPr fontId="1" type="noConversion"/>
  </si>
  <si>
    <t>蒋公岭（二期）</t>
    <phoneticPr fontId="22" type="noConversion"/>
  </si>
  <si>
    <t>蒋公岭二期、湖沙咀</t>
    <phoneticPr fontId="22" type="noConversion"/>
  </si>
  <si>
    <t>测风设备销售合同</t>
    <phoneticPr fontId="1" type="noConversion"/>
  </si>
  <si>
    <t>2021.6.22</t>
    <phoneticPr fontId="1" type="noConversion"/>
  </si>
  <si>
    <t>2021.6</t>
    <phoneticPr fontId="1" type="noConversion"/>
  </si>
  <si>
    <t>ZFMD/SD-20163-SH-BG01</t>
    <phoneticPr fontId="1" type="noConversion"/>
  </si>
  <si>
    <t>ZFMD/SD-20164-SH-BG01</t>
    <phoneticPr fontId="1" type="noConversion"/>
  </si>
  <si>
    <t>与销售合同21048重复，所以作废</t>
    <phoneticPr fontId="1" type="noConversion"/>
  </si>
  <si>
    <t>ZFMD/SD-21074-SH</t>
  </si>
  <si>
    <t>ZFMD/SD-21075-SH</t>
  </si>
  <si>
    <t>海林风电红旗风电场II区综合通信系统合同</t>
    <phoneticPr fontId="1" type="noConversion"/>
  </si>
  <si>
    <t>黑龙江风电场电力安全二区综合通讯系统软件；系统硬件</t>
  </si>
  <si>
    <t>2021.7.1</t>
    <phoneticPr fontId="1" type="noConversion"/>
  </si>
  <si>
    <t>2021.7</t>
    <phoneticPr fontId="1" type="noConversion"/>
  </si>
  <si>
    <t>海林风电海浪风电场II区综合通信系统合同</t>
    <phoneticPr fontId="1" type="noConversion"/>
  </si>
  <si>
    <t>ZFMD/SD-21076-SH</t>
  </si>
  <si>
    <t>沈阳博来德滋电子科技有限公司</t>
    <phoneticPr fontId="1" type="noConversion"/>
  </si>
  <si>
    <t>2021.7.5</t>
    <phoneticPr fontId="1" type="noConversion"/>
  </si>
  <si>
    <t>协合新能源</t>
    <phoneticPr fontId="5" type="noConversion"/>
  </si>
  <si>
    <t>东投阿城</t>
    <phoneticPr fontId="22" type="noConversion"/>
  </si>
  <si>
    <t>2021年7月5日开发票占号。2021年7月7日作废。</t>
    <phoneticPr fontId="1" type="noConversion"/>
  </si>
  <si>
    <t>ZFMD/SD-21030-1-SH</t>
    <phoneticPr fontId="1" type="noConversion"/>
  </si>
  <si>
    <t>ZFMD/SD-21030-2-SH</t>
    <phoneticPr fontId="1" type="noConversion"/>
  </si>
  <si>
    <t>电力安全三区综合通讯系统软件河北单机信息上传</t>
    <phoneticPr fontId="1" type="noConversion"/>
  </si>
  <si>
    <t>ZFMD/SD-21077-SH</t>
  </si>
  <si>
    <t>ZFMD/SD-21078-SH</t>
  </si>
  <si>
    <t>江苏金风软件技术有限公司</t>
    <phoneticPr fontId="1" type="noConversion"/>
  </si>
  <si>
    <t>工业品买卖合同</t>
    <phoneticPr fontId="1" type="noConversion"/>
  </si>
  <si>
    <t>黑龙江</t>
    <phoneticPr fontId="1" type="noConversion"/>
  </si>
  <si>
    <t>大唐</t>
    <phoneticPr fontId="1" type="noConversion"/>
  </si>
  <si>
    <t>绥滨（三期）</t>
    <phoneticPr fontId="1" type="noConversion"/>
  </si>
  <si>
    <t>无</t>
    <phoneticPr fontId="1" type="noConversion"/>
  </si>
  <si>
    <t>风电功率预测</t>
    <phoneticPr fontId="1" type="noConversion"/>
  </si>
  <si>
    <t>郭文明
李妍</t>
    <phoneticPr fontId="1" type="noConversion"/>
  </si>
  <si>
    <t>2021.7.19</t>
    <phoneticPr fontId="1" type="noConversion"/>
  </si>
  <si>
    <t>2021.5.27</t>
    <phoneticPr fontId="1" type="noConversion"/>
  </si>
  <si>
    <t>短期软件；超短期软件；系统硬件；测风塔1；测风塔1设备；测风塔2；测风塔2设备；预测服务2年</t>
    <phoneticPr fontId="5" type="noConversion"/>
  </si>
  <si>
    <t>北京鑫和旗帜科技有限公司</t>
    <phoneticPr fontId="1" type="noConversion"/>
  </si>
  <si>
    <t>景泰新能源齐齐哈尔龙江风电平价上网项目综合通讯合同</t>
    <phoneticPr fontId="1" type="noConversion"/>
  </si>
  <si>
    <t>其他</t>
    <phoneticPr fontId="1" type="noConversion"/>
  </si>
  <si>
    <t>齐齐哈尔龙江风电平价上网项目</t>
    <phoneticPr fontId="1" type="noConversion"/>
  </si>
  <si>
    <t>电力通讯</t>
    <phoneticPr fontId="1" type="noConversion"/>
  </si>
  <si>
    <t>2021.7</t>
    <phoneticPr fontId="1" type="noConversion"/>
  </si>
  <si>
    <t>ZFMD/SD-21079-1-SH</t>
    <phoneticPr fontId="1" type="noConversion"/>
  </si>
  <si>
    <t>ZFMD/SD-21079-2-SH</t>
  </si>
  <si>
    <t>ZFMD/KGSQ-21011</t>
  </si>
  <si>
    <t>ZFMD/KGSQ-21012</t>
  </si>
  <si>
    <t>中国二十二冶集团有限公司</t>
    <phoneticPr fontId="1" type="noConversion"/>
  </si>
  <si>
    <t>中国二十二冶集团有限公司河北建投战海风电场工程风电功率预测及单机信息上传设备采购合同</t>
    <phoneticPr fontId="1" type="noConversion"/>
  </si>
  <si>
    <t>河北建投</t>
    <phoneticPr fontId="1" type="noConversion"/>
  </si>
  <si>
    <t>战海（二期）</t>
    <phoneticPr fontId="1" type="noConversion"/>
  </si>
  <si>
    <t>电力安全三区综合通讯系统软件河北单机信息上传；系统硬件</t>
    <phoneticPr fontId="1" type="noConversion"/>
  </si>
  <si>
    <t>2021.7.21</t>
    <phoneticPr fontId="1" type="noConversion"/>
  </si>
  <si>
    <t>2021.7.10</t>
    <phoneticPr fontId="1" type="noConversion"/>
  </si>
  <si>
    <t>复印件</t>
    <phoneticPr fontId="1" type="noConversion"/>
  </si>
  <si>
    <t>免费三年</t>
    <phoneticPr fontId="1" type="noConversion"/>
  </si>
  <si>
    <t>免费二年</t>
    <phoneticPr fontId="1" type="noConversion"/>
  </si>
  <si>
    <t>ZFMD/SD-21080-SH</t>
    <phoneticPr fontId="1" type="noConversion"/>
  </si>
  <si>
    <t>ZFMD/SD-21081-SH</t>
  </si>
  <si>
    <t>红旗风电场风电功率预测系统技术服务合同书</t>
    <phoneticPr fontId="1" type="noConversion"/>
  </si>
  <si>
    <t>2021.7.22</t>
    <phoneticPr fontId="1" type="noConversion"/>
  </si>
  <si>
    <t>2022.6.30</t>
    <phoneticPr fontId="1" type="noConversion"/>
  </si>
  <si>
    <t>ZFMD/SD-21082-SH</t>
  </si>
  <si>
    <t>ZFMD/SD-21083-SH</t>
  </si>
  <si>
    <t>ZFMD/SHFW-2021050</t>
  </si>
  <si>
    <t>隆教风电场测风塔备件采购合同</t>
    <phoneticPr fontId="1" type="noConversion"/>
  </si>
  <si>
    <t>龙海隆教</t>
    <phoneticPr fontId="1" type="noConversion"/>
  </si>
  <si>
    <t>测风塔设备</t>
    <phoneticPr fontId="1" type="noConversion"/>
  </si>
  <si>
    <t>秦英飞</t>
    <phoneticPr fontId="1" type="noConversion"/>
  </si>
  <si>
    <t>2021.7.23</t>
    <phoneticPr fontId="1" type="noConversion"/>
  </si>
  <si>
    <t>2021.7.20</t>
    <phoneticPr fontId="1" type="noConversion"/>
  </si>
  <si>
    <t>厦门迅慧科技有限公司</t>
    <phoneticPr fontId="1" type="noConversion"/>
  </si>
  <si>
    <t>福能石塘风电场风功率预测配合接入技术服务合同</t>
    <phoneticPr fontId="1" type="noConversion"/>
  </si>
  <si>
    <t>莆田石塘</t>
    <phoneticPr fontId="1" type="noConversion"/>
  </si>
  <si>
    <t>技术服务</t>
    <phoneticPr fontId="1" type="noConversion"/>
  </si>
  <si>
    <t>2021.7.14</t>
    <phoneticPr fontId="1" type="noConversion"/>
  </si>
  <si>
    <t>ZFMD/SD-21084-SH</t>
  </si>
  <si>
    <t>技术服务</t>
    <phoneticPr fontId="1" type="noConversion"/>
  </si>
  <si>
    <t>马梦迪</t>
    <phoneticPr fontId="1" type="noConversion"/>
  </si>
  <si>
    <t>2021.7.26</t>
    <phoneticPr fontId="1" type="noConversion"/>
  </si>
  <si>
    <t>景泰新能源齐齐哈尔龙江风电平价上网项目技术服务合同</t>
    <phoneticPr fontId="1" type="noConversion"/>
  </si>
  <si>
    <t>ZFMD/SD-21085-SH</t>
  </si>
  <si>
    <t>大唐大庆东辉新能源有限公司</t>
    <phoneticPr fontId="1" type="noConversion"/>
  </si>
  <si>
    <t>大唐大庆东辉新能源有限公司东辉风电场风电功率预测服务合同</t>
    <phoneticPr fontId="1" type="noConversion"/>
  </si>
  <si>
    <t>东辉（祝三+青山）</t>
    <phoneticPr fontId="1" type="noConversion"/>
  </si>
  <si>
    <t>祝三+青山</t>
    <phoneticPr fontId="1" type="noConversion"/>
  </si>
  <si>
    <t>李妍</t>
    <phoneticPr fontId="1" type="noConversion"/>
  </si>
  <si>
    <t>2021.8.5</t>
    <phoneticPr fontId="1" type="noConversion"/>
  </si>
  <si>
    <t>2021.7.16</t>
    <phoneticPr fontId="1" type="noConversion"/>
  </si>
  <si>
    <t>2021.8.1</t>
    <phoneticPr fontId="1" type="noConversion"/>
  </si>
  <si>
    <t>2022.7.31</t>
    <phoneticPr fontId="1" type="noConversion"/>
  </si>
  <si>
    <t>ZFMD/SD-21079-2-SH-BG01</t>
    <phoneticPr fontId="1" type="noConversion"/>
  </si>
  <si>
    <t>ZFMD/SD-21086-SH</t>
  </si>
  <si>
    <t>ZFMD/SD-21087-SH</t>
  </si>
  <si>
    <t>产品采购合同</t>
    <phoneticPr fontId="1" type="noConversion"/>
  </si>
  <si>
    <t>双辽莲花山</t>
    <phoneticPr fontId="1" type="noConversion"/>
  </si>
  <si>
    <t>无</t>
    <phoneticPr fontId="1" type="noConversion"/>
  </si>
  <si>
    <t>2021.8.11</t>
    <phoneticPr fontId="1" type="noConversion"/>
  </si>
  <si>
    <t>2021.7.26</t>
    <phoneticPr fontId="1" type="noConversion"/>
  </si>
  <si>
    <t>免费一年</t>
    <phoneticPr fontId="1" type="noConversion"/>
  </si>
  <si>
    <t>国华（齐齐哈尔）风电有限公司</t>
    <phoneticPr fontId="1" type="noConversion"/>
  </si>
  <si>
    <t>齐齐哈尔公司富裕风电场风功率预测系统国产化改造服务合同</t>
    <phoneticPr fontId="1" type="noConversion"/>
  </si>
  <si>
    <t>ZFMD/KGSQ-21013</t>
  </si>
  <si>
    <t>富裕</t>
    <phoneticPr fontId="1" type="noConversion"/>
  </si>
  <si>
    <t>富裕风电</t>
    <phoneticPr fontId="1" type="noConversion"/>
  </si>
  <si>
    <t>软件升级（换linux系统）；系统硬件</t>
    <phoneticPr fontId="1" type="noConversion"/>
  </si>
  <si>
    <t>2021.7.27</t>
    <phoneticPr fontId="1" type="noConversion"/>
  </si>
  <si>
    <t>ZFMD/SD-21088-SH</t>
  </si>
  <si>
    <t>北京四方继保工程技术有限公司保定分公司</t>
    <phoneticPr fontId="1" type="noConversion"/>
  </si>
  <si>
    <t>黑龙江省齐齐哈尔市龙江县景星镇二龙山村100MW平价上网光伏项目</t>
    <phoneticPr fontId="1" type="noConversion"/>
  </si>
  <si>
    <t>日泽</t>
    <phoneticPr fontId="1" type="noConversion"/>
  </si>
  <si>
    <t>无</t>
    <phoneticPr fontId="1" type="noConversion"/>
  </si>
  <si>
    <t>电力通讯</t>
    <phoneticPr fontId="1" type="noConversion"/>
  </si>
  <si>
    <t>2021.8.12</t>
    <phoneticPr fontId="1" type="noConversion"/>
  </si>
  <si>
    <t>2021.8.2</t>
    <phoneticPr fontId="1" type="noConversion"/>
  </si>
  <si>
    <t>ZFMD/KGSQ-21014</t>
  </si>
  <si>
    <t>ZFMD/SD-21089-SH</t>
  </si>
  <si>
    <t>ZFMD/SD-21090-SH</t>
  </si>
  <si>
    <t>中节能风力发电（哈密）有限公司烟墩风电场风功率预测技术服务合同</t>
    <phoneticPr fontId="1" type="noConversion"/>
  </si>
  <si>
    <t>无</t>
    <phoneticPr fontId="1" type="noConversion"/>
  </si>
  <si>
    <t>国电和风</t>
    <phoneticPr fontId="1" type="noConversion"/>
  </si>
  <si>
    <t>青龙</t>
    <phoneticPr fontId="1" type="noConversion"/>
  </si>
  <si>
    <t>大青背</t>
    <phoneticPr fontId="1" type="noConversion"/>
  </si>
  <si>
    <t>风电功率预测</t>
    <phoneticPr fontId="1" type="noConversion"/>
  </si>
  <si>
    <t>预测服务1年</t>
    <phoneticPr fontId="1" type="noConversion"/>
  </si>
  <si>
    <t>李妍</t>
    <phoneticPr fontId="1" type="noConversion"/>
  </si>
  <si>
    <t>2021.8.18</t>
    <phoneticPr fontId="1" type="noConversion"/>
  </si>
  <si>
    <t>2021.8.9</t>
    <phoneticPr fontId="1" type="noConversion"/>
  </si>
  <si>
    <t>2021.9.1</t>
    <phoneticPr fontId="1" type="noConversion"/>
  </si>
  <si>
    <t>2022.8.31</t>
    <phoneticPr fontId="1" type="noConversion"/>
  </si>
  <si>
    <t>国电和风风电开发有限公司桦川分公司</t>
    <phoneticPr fontId="1" type="noConversion"/>
  </si>
  <si>
    <t>青龙风电场2021年气象数值预报及上传系统技术服务项目委托合同</t>
    <phoneticPr fontId="1" type="noConversion"/>
  </si>
  <si>
    <t>马梦迪</t>
    <phoneticPr fontId="1" type="noConversion"/>
  </si>
  <si>
    <t>2021.3.29</t>
    <phoneticPr fontId="1" type="noConversion"/>
  </si>
  <si>
    <t>2021.1.1</t>
    <phoneticPr fontId="1" type="noConversion"/>
  </si>
  <si>
    <t>2021.12.31</t>
    <phoneticPr fontId="1" type="noConversion"/>
  </si>
  <si>
    <t>ZFMD/SD-21091-SH</t>
  </si>
  <si>
    <t>ZFMD/SD-21092-SH</t>
  </si>
  <si>
    <t>ZFMD/SD-21093-SH</t>
  </si>
  <si>
    <t>ZFMD/KGSQ-21008</t>
  </si>
  <si>
    <t>ZFMD/KGSQ-21009</t>
  </si>
  <si>
    <t>ZFMD/KGSQ-21007</t>
    <phoneticPr fontId="1" type="noConversion"/>
  </si>
  <si>
    <t>风机视频监控系统</t>
  </si>
  <si>
    <t>上海电气风电设备东台有限公司</t>
    <phoneticPr fontId="1" type="noConversion"/>
  </si>
  <si>
    <t>上海电气风电设备东台有限公司采购订单</t>
    <phoneticPr fontId="1" type="noConversion"/>
  </si>
  <si>
    <t>绥滨望江</t>
    <phoneticPr fontId="1" type="noConversion"/>
  </si>
  <si>
    <t>李妍</t>
    <phoneticPr fontId="1" type="noConversion"/>
  </si>
  <si>
    <t>2021.8.20</t>
    <phoneticPr fontId="1" type="noConversion"/>
  </si>
  <si>
    <t>2021.5.24</t>
    <phoneticPr fontId="1" type="noConversion"/>
  </si>
  <si>
    <t>2021.5.26</t>
    <phoneticPr fontId="1" type="noConversion"/>
  </si>
  <si>
    <t>ZFMD/SD-21094-SH</t>
  </si>
  <si>
    <t>ZFMD/SD-21095-SH</t>
  </si>
  <si>
    <t>ZFMD/SD-21096-SH</t>
  </si>
  <si>
    <t>ZFMD/SD-21097-SH</t>
  </si>
  <si>
    <t>ZFMD/SD-21098-SH</t>
  </si>
  <si>
    <t>ZFMD/SD-21099-SH</t>
  </si>
  <si>
    <t>ZFMD/SD-21100-SH</t>
  </si>
  <si>
    <t>ZFMD/SD-21101-SH</t>
  </si>
  <si>
    <t>ZFMD/SD-21102-SH</t>
  </si>
  <si>
    <t>ZFMD/SD-21103-SH</t>
  </si>
  <si>
    <t>伊吾东方民生风电场2021年风功率预测系统维护技术服务合同</t>
    <phoneticPr fontId="22" type="noConversion"/>
  </si>
  <si>
    <t>2021.8.4</t>
    <phoneticPr fontId="22" type="noConversion"/>
  </si>
  <si>
    <t>2021.6.10</t>
    <phoneticPr fontId="22" type="noConversion"/>
  </si>
  <si>
    <t>2022.6.10</t>
    <phoneticPr fontId="22" type="noConversion"/>
  </si>
  <si>
    <t>巴里坤东方民生风电场2021年风功率预测系统维护技术服务合同</t>
    <phoneticPr fontId="22" type="noConversion"/>
  </si>
  <si>
    <t>哈密东方民生石城子光伏一二期2021年光功率预测系统维护技术服务合同</t>
    <phoneticPr fontId="22" type="noConversion"/>
  </si>
  <si>
    <t>新疆华电淖毛湖风电场2021年风功率预测系统维护技术服务合同</t>
    <phoneticPr fontId="22" type="noConversion"/>
  </si>
  <si>
    <t>新疆华电苦水风电场2021年风功率预测系统维护技术服务合同</t>
    <phoneticPr fontId="22" type="noConversion"/>
  </si>
  <si>
    <t>华电石城子光伏三期2021年光功率预测系统维护技术服务合同</t>
    <phoneticPr fontId="22" type="noConversion"/>
  </si>
  <si>
    <t>华电石城子光伏一二期2021年光功率预测系统维护技术服务合同</t>
    <phoneticPr fontId="22" type="noConversion"/>
  </si>
  <si>
    <t>哈密力诺石城子光伏2021年光功率预测系统维护技术服务合同</t>
    <phoneticPr fontId="22" type="noConversion"/>
  </si>
  <si>
    <t>新疆华电十三间房四期风电场2021年风功率预测系统维护技术服务合同</t>
    <phoneticPr fontId="22" type="noConversion"/>
  </si>
  <si>
    <t>新疆华电十三间房三期风电场2021年风功率预测系统维护技术服务合同</t>
    <phoneticPr fontId="22" type="noConversion"/>
  </si>
  <si>
    <t>ZFMD/SD-21104-SH</t>
  </si>
  <si>
    <t>国家电投集团湖北宜昌新能源有限公司</t>
    <phoneticPr fontId="1" type="noConversion"/>
  </si>
  <si>
    <t>百里荒风电项目风功率测风塔维修配件合同</t>
    <phoneticPr fontId="1" type="noConversion"/>
  </si>
  <si>
    <t>湖北</t>
    <phoneticPr fontId="22" type="noConversion"/>
  </si>
  <si>
    <t>百里荒</t>
    <phoneticPr fontId="22" type="noConversion"/>
  </si>
  <si>
    <t>测风塔设备</t>
    <phoneticPr fontId="1" type="noConversion"/>
  </si>
  <si>
    <t>2021.8</t>
    <phoneticPr fontId="1" type="noConversion"/>
  </si>
  <si>
    <t>ZFMD/KGSQ-21015</t>
  </si>
  <si>
    <t>ZFMD/SD-21106-SH</t>
  </si>
  <si>
    <t>国家电投集团广西金紫山风电有限公司</t>
    <phoneticPr fontId="1" type="noConversion"/>
  </si>
  <si>
    <t>国家电投集团广西金紫山风电有限公司金紫山风电场风功率预测系统技术服务及气象信息服务采购合同</t>
    <phoneticPr fontId="1" type="noConversion"/>
  </si>
  <si>
    <t>预测服务18个月</t>
    <phoneticPr fontId="1" type="noConversion"/>
  </si>
  <si>
    <t>秦英飞</t>
    <phoneticPr fontId="1" type="noConversion"/>
  </si>
  <si>
    <t>2021.8.25</t>
    <phoneticPr fontId="1" type="noConversion"/>
  </si>
  <si>
    <t>2021.7</t>
    <phoneticPr fontId="1" type="noConversion"/>
  </si>
  <si>
    <t>2021.7.22</t>
    <phoneticPr fontId="1" type="noConversion"/>
  </si>
  <si>
    <t>2023.1.21</t>
    <phoneticPr fontId="1" type="noConversion"/>
  </si>
  <si>
    <t>中核国电</t>
    <phoneticPr fontId="22" type="noConversion"/>
  </si>
  <si>
    <t>云霄汇海风电有限公司曾江30MW风电项目风功率预测技术服务合同</t>
    <phoneticPr fontId="1" type="noConversion"/>
  </si>
  <si>
    <t>秦英飞</t>
    <phoneticPr fontId="1" type="noConversion"/>
  </si>
  <si>
    <t>2021.8.20</t>
    <phoneticPr fontId="1" type="noConversion"/>
  </si>
  <si>
    <t>2021.8</t>
    <phoneticPr fontId="1" type="noConversion"/>
  </si>
  <si>
    <t>2021.8.31</t>
    <phoneticPr fontId="1" type="noConversion"/>
  </si>
  <si>
    <t>2022.8.31</t>
    <phoneticPr fontId="1" type="noConversion"/>
  </si>
  <si>
    <t>ZFMD/SD-21105-SH</t>
    <phoneticPr fontId="1" type="noConversion"/>
  </si>
  <si>
    <t>ZFMD/SD-21107-SH</t>
  </si>
  <si>
    <t>ZFMD/SD-21108-SH</t>
  </si>
  <si>
    <t>宾阳</t>
    <phoneticPr fontId="22" type="noConversion"/>
  </si>
  <si>
    <t>山东泰开高压开关有限公司</t>
    <phoneticPr fontId="1" type="noConversion"/>
  </si>
  <si>
    <t>分供方供货合同</t>
    <phoneticPr fontId="1" type="noConversion"/>
  </si>
  <si>
    <t>余字（一期）</t>
    <phoneticPr fontId="1" type="noConversion"/>
  </si>
  <si>
    <t>2021.8.26</t>
    <phoneticPr fontId="1" type="noConversion"/>
  </si>
  <si>
    <t>ZFMD/SD-21078-SH-BG01</t>
    <phoneticPr fontId="1" type="noConversion"/>
  </si>
  <si>
    <t>ZFMD/SD-21109-SH</t>
  </si>
  <si>
    <t>黑龙江省新产业投资集团龙江清洁能源有限公司</t>
    <phoneticPr fontId="1" type="noConversion"/>
  </si>
  <si>
    <t>兰西</t>
    <phoneticPr fontId="1" type="noConversion"/>
  </si>
  <si>
    <t>光伏电站</t>
    <phoneticPr fontId="1" type="noConversion"/>
  </si>
  <si>
    <t>2021.8.27</t>
    <phoneticPr fontId="1" type="noConversion"/>
  </si>
  <si>
    <t>ZFMD/KGSQ-21019</t>
  </si>
  <si>
    <t>黑龙江省新产业投资集团龙江清洁能源有限公司光伏气象监测设备采购及安装调试服务合同</t>
    <phoneticPr fontId="1" type="noConversion"/>
  </si>
  <si>
    <t>ZFMD/SD-21110-SH</t>
  </si>
  <si>
    <t>北京华软恒信科技发展有限公司</t>
    <phoneticPr fontId="1" type="noConversion"/>
  </si>
  <si>
    <t>青龙风电场反向隔离装置销售合同</t>
    <phoneticPr fontId="1" type="noConversion"/>
  </si>
  <si>
    <t>系统硬件</t>
    <phoneticPr fontId="1" type="noConversion"/>
  </si>
  <si>
    <t>ZFMD/KGSQ-21001</t>
    <phoneticPr fontId="1" type="noConversion"/>
  </si>
  <si>
    <t>2021.8.31</t>
    <phoneticPr fontId="1" type="noConversion"/>
  </si>
  <si>
    <t>2021.8</t>
    <phoneticPr fontId="1" type="noConversion"/>
  </si>
  <si>
    <t>ZFMD/SHFW-2021008</t>
    <phoneticPr fontId="1" type="noConversion"/>
  </si>
  <si>
    <t>ZFMD/SD-21111-SH</t>
  </si>
  <si>
    <t>ZFMD/SD-21112-SH</t>
  </si>
  <si>
    <t>ZFMD/SD-21113-SH</t>
  </si>
  <si>
    <t>国华（乾安）风电有限公司</t>
    <phoneticPr fontId="1" type="noConversion"/>
  </si>
  <si>
    <t>国华（乾安）风电有限公司乾安风电场风功率预测系统改造服务合同</t>
    <phoneticPr fontId="1" type="noConversion"/>
  </si>
  <si>
    <t>风电场</t>
    <phoneticPr fontId="1" type="noConversion"/>
  </si>
  <si>
    <t>软件升级（换linux系统）；系统硬件</t>
    <phoneticPr fontId="1" type="noConversion"/>
  </si>
  <si>
    <t>2021.9.3</t>
    <phoneticPr fontId="1" type="noConversion"/>
  </si>
  <si>
    <t>2021.8.24</t>
    <phoneticPr fontId="1" type="noConversion"/>
  </si>
  <si>
    <t>原件</t>
    <phoneticPr fontId="1" type="noConversion"/>
  </si>
  <si>
    <t>中国电建集团江西省电力建设有限公司</t>
    <phoneticPr fontId="1" type="noConversion"/>
  </si>
  <si>
    <t>新疆鑫和北塔山200MW风电项目110KV升压站二次设备运维（风功率预测）设备</t>
    <phoneticPr fontId="1" type="noConversion"/>
  </si>
  <si>
    <t>新疆</t>
    <phoneticPr fontId="1" type="noConversion"/>
  </si>
  <si>
    <t>华电</t>
    <phoneticPr fontId="1" type="noConversion"/>
  </si>
  <si>
    <t>鑫和北塔山</t>
    <phoneticPr fontId="1" type="noConversion"/>
  </si>
  <si>
    <t>李妍</t>
    <phoneticPr fontId="1" type="noConversion"/>
  </si>
  <si>
    <t>杭州品联科技有限公司</t>
    <phoneticPr fontId="5" type="noConversion"/>
  </si>
  <si>
    <t>2021.9.3</t>
    <phoneticPr fontId="1" type="noConversion"/>
  </si>
  <si>
    <t>ZFMD/SD-21104-SH-BG01
ZFMD/SD-21104-SH-BG02</t>
    <phoneticPr fontId="1" type="noConversion"/>
  </si>
  <si>
    <t>合同签订7日内，乙方想甲方提交合同总价50%的预付款保函和收据，甲方7个工作日内支付</t>
    <phoneticPr fontId="1" type="noConversion"/>
  </si>
  <si>
    <t>双方验收合格并签署货物验收证书，且收到全额增值税专用发票后2个月内支付</t>
    <phoneticPr fontId="1" type="noConversion"/>
  </si>
  <si>
    <t>质保期满1年后，7个工作日内支付</t>
    <phoneticPr fontId="1" type="noConversion"/>
  </si>
  <si>
    <t>ZFMD/SD-21114-SH</t>
  </si>
  <si>
    <t>ZFMD/SD-21115-SH</t>
  </si>
  <si>
    <t>ZFMD/SD-21116-SH</t>
  </si>
  <si>
    <t>ZFMD/SD-21117-SH</t>
  </si>
  <si>
    <t>ZFMD/SD-21118-SH</t>
  </si>
  <si>
    <t>ZFMD/SD-21119-SH</t>
  </si>
  <si>
    <t>吉林中广核风力发电有限公司</t>
    <phoneticPr fontId="1" type="noConversion"/>
  </si>
  <si>
    <t>中广核吉林大岗子风电场风功率预测服务项目采购合同</t>
    <phoneticPr fontId="1" type="noConversion"/>
  </si>
  <si>
    <t>大安大岗子</t>
    <phoneticPr fontId="1" type="noConversion"/>
  </si>
  <si>
    <t>预测服务1年</t>
    <phoneticPr fontId="1" type="noConversion"/>
  </si>
  <si>
    <t>王星</t>
    <phoneticPr fontId="1" type="noConversion"/>
  </si>
  <si>
    <t>2021.9.7</t>
    <phoneticPr fontId="1" type="noConversion"/>
  </si>
  <si>
    <t>2021.9</t>
    <phoneticPr fontId="1" type="noConversion"/>
  </si>
  <si>
    <t>2021.1.1</t>
    <phoneticPr fontId="1" type="noConversion"/>
  </si>
  <si>
    <t>2021.12.31</t>
    <phoneticPr fontId="1" type="noConversion"/>
  </si>
  <si>
    <t>技术服务合同协议书</t>
    <phoneticPr fontId="1" type="noConversion"/>
  </si>
  <si>
    <t>大连湖一场风功率预测气象数据服务合同（2021年度）</t>
    <phoneticPr fontId="1" type="noConversion"/>
  </si>
  <si>
    <t>新疆华电雪湖风力发电有限公司</t>
    <phoneticPr fontId="1" type="noConversion"/>
  </si>
  <si>
    <t>李妍</t>
    <phoneticPr fontId="1" type="noConversion"/>
  </si>
  <si>
    <t>2021.6</t>
    <phoneticPr fontId="1" type="noConversion"/>
  </si>
  <si>
    <t>2021.6.15</t>
    <phoneticPr fontId="1" type="noConversion"/>
  </si>
  <si>
    <t>2022.6.15</t>
    <phoneticPr fontId="1" type="noConversion"/>
  </si>
  <si>
    <t>华电福新新疆木垒能源有限公司</t>
    <phoneticPr fontId="1" type="noConversion"/>
  </si>
  <si>
    <t>木垒老君庙风功率预测系统中长期预测服务合同</t>
    <phoneticPr fontId="1" type="noConversion"/>
  </si>
  <si>
    <t>福新木垒老君庙</t>
    <phoneticPr fontId="1" type="noConversion"/>
  </si>
  <si>
    <t>无</t>
    <phoneticPr fontId="1" type="noConversion"/>
  </si>
  <si>
    <t>2021.3</t>
    <phoneticPr fontId="1" type="noConversion"/>
  </si>
  <si>
    <t>2021.3.31</t>
    <phoneticPr fontId="1" type="noConversion"/>
  </si>
  <si>
    <t>2022.3.30</t>
    <phoneticPr fontId="1" type="noConversion"/>
  </si>
  <si>
    <t>福新木垒光伏电站光功率预测气象数据服务（2021年度）</t>
    <phoneticPr fontId="1" type="noConversion"/>
  </si>
  <si>
    <t>昌吉州木垒一期</t>
    <phoneticPr fontId="1" type="noConversion"/>
  </si>
  <si>
    <t>光伏电站</t>
    <phoneticPr fontId="1" type="noConversion"/>
  </si>
  <si>
    <t>光伏功率预测</t>
    <phoneticPr fontId="1" type="noConversion"/>
  </si>
  <si>
    <t>2021.6.2</t>
    <phoneticPr fontId="1" type="noConversion"/>
  </si>
  <si>
    <t>2022.6.1</t>
    <phoneticPr fontId="1" type="noConversion"/>
  </si>
  <si>
    <t>木垒照壁山光伏电站光功率预测气象数据服务（2021年度）</t>
    <phoneticPr fontId="1" type="noConversion"/>
  </si>
  <si>
    <t>国家电投集团广西兴安风电有限公司</t>
    <phoneticPr fontId="1" type="noConversion"/>
  </si>
  <si>
    <t>国家电投集团广西兴安风电有限公司2022年度坵坪风电场风功率预测技术服务</t>
    <phoneticPr fontId="1" type="noConversion"/>
  </si>
  <si>
    <t>广西兴安10个风场/110KV头岭升压站/220KV坵坪升压站</t>
    <phoneticPr fontId="1" type="noConversion"/>
  </si>
  <si>
    <t>风电场</t>
    <phoneticPr fontId="1" type="noConversion"/>
  </si>
  <si>
    <t>风电功率预测</t>
    <phoneticPr fontId="1" type="noConversion"/>
  </si>
  <si>
    <t>测风塔设备；预测服务1年</t>
    <phoneticPr fontId="1" type="noConversion"/>
  </si>
  <si>
    <t>秦英飞</t>
    <phoneticPr fontId="1" type="noConversion"/>
  </si>
  <si>
    <t>2021.7.8</t>
    <phoneticPr fontId="1" type="noConversion"/>
  </si>
  <si>
    <t>2022.1.1</t>
    <phoneticPr fontId="1" type="noConversion"/>
  </si>
  <si>
    <t>2022.12.31</t>
    <phoneticPr fontId="1" type="noConversion"/>
  </si>
  <si>
    <t>大连湖风电一场</t>
    <phoneticPr fontId="1" type="noConversion"/>
  </si>
  <si>
    <t>ZFMD/SD-21105-SH-BG01</t>
    <phoneticPr fontId="1" type="noConversion"/>
  </si>
  <si>
    <t>吉林铧翊工程技术有限公司</t>
    <phoneticPr fontId="1" type="noConversion"/>
  </si>
  <si>
    <t>镇赉华兴风力发电有限公司</t>
    <phoneticPr fontId="1" type="noConversion"/>
  </si>
  <si>
    <t>江口</t>
  </si>
  <si>
    <t>华能湖南江口风电项目工程风功率预测系统设备采购合同</t>
    <phoneticPr fontId="1" type="noConversion"/>
  </si>
  <si>
    <t>华能湖南江口风电有限责任公司</t>
    <phoneticPr fontId="1" type="noConversion"/>
  </si>
  <si>
    <t>2021.9.13</t>
    <phoneticPr fontId="1" type="noConversion"/>
  </si>
  <si>
    <t>2021.8.23</t>
    <phoneticPr fontId="1" type="noConversion"/>
  </si>
  <si>
    <t>免费两年</t>
    <phoneticPr fontId="1" type="noConversion"/>
  </si>
  <si>
    <t>ZFMD/SD-21121-1-SH</t>
    <phoneticPr fontId="1" type="noConversion"/>
  </si>
  <si>
    <t>ZFMD/SD-21121-2-SH</t>
  </si>
  <si>
    <t>ZFMD/SD-21121-3-SH</t>
  </si>
  <si>
    <t>新疆华电苇湖梁新能源有限公司2021年风功率预测系统服务合同书</t>
    <phoneticPr fontId="1" type="noConversion"/>
  </si>
  <si>
    <t>2021.9.15</t>
    <phoneticPr fontId="1" type="noConversion"/>
  </si>
  <si>
    <t>ZFMD/SD-21122-SH</t>
    <phoneticPr fontId="1" type="noConversion"/>
  </si>
  <si>
    <t>新疆华电珍珠泉新能源有限公司2021年风功率预测系统服务合同书</t>
    <phoneticPr fontId="22" type="noConversion"/>
  </si>
  <si>
    <t>新疆华电白杨河风力发电有限责任公司2021年风功率预测系统服务合同书</t>
    <phoneticPr fontId="22" type="noConversion"/>
  </si>
  <si>
    <t>ZFMD/SD-21125-1-SH</t>
    <phoneticPr fontId="1" type="noConversion"/>
  </si>
  <si>
    <t>ZFMD/SD-21125-2-SH</t>
  </si>
  <si>
    <t>北京四方继保工程技术有限公司保定分公司采购合同</t>
    <phoneticPr fontId="1" type="noConversion"/>
  </si>
  <si>
    <t>安达十八里畜牧场</t>
  </si>
  <si>
    <t>短期软件；超短期软件；系统硬件；光伏气象站；光伏气象站设备；预测服务2年</t>
    <phoneticPr fontId="1" type="noConversion"/>
  </si>
  <si>
    <t>黑龙江光伏电站电力安全二区综合通讯系统软件；系统硬件</t>
    <phoneticPr fontId="1" type="noConversion"/>
  </si>
  <si>
    <t>马梦迪</t>
    <phoneticPr fontId="1" type="noConversion"/>
  </si>
  <si>
    <t>2021.9.15</t>
    <phoneticPr fontId="1" type="noConversion"/>
  </si>
  <si>
    <t>2021.9.6</t>
    <phoneticPr fontId="1" type="noConversion"/>
  </si>
  <si>
    <t>ZFMD/SD-21120-SH</t>
    <phoneticPr fontId="1" type="noConversion"/>
  </si>
  <si>
    <t>ZFMD/SD-21123-SH</t>
    <phoneticPr fontId="1" type="noConversion"/>
  </si>
  <si>
    <t>ZFMD/SD-21124-SH</t>
    <phoneticPr fontId="1" type="noConversion"/>
  </si>
  <si>
    <t>短期软件；超短期软件；系统硬件；测风塔；测风塔设备；预测服务2年</t>
    <phoneticPr fontId="1" type="noConversion"/>
  </si>
  <si>
    <t>ZFMD/KGSQ-21020</t>
    <phoneticPr fontId="1" type="noConversion"/>
  </si>
  <si>
    <t>安达十八里畜牧场</t>
    <phoneticPr fontId="1" type="noConversion"/>
  </si>
  <si>
    <t>ZFMD/KGSQ-21016</t>
    <phoneticPr fontId="1" type="noConversion"/>
  </si>
  <si>
    <t>ZFMD/KGSQ-21017</t>
    <phoneticPr fontId="1" type="noConversion"/>
  </si>
  <si>
    <t>ZFMD/SD-21126-1-SH</t>
    <phoneticPr fontId="1" type="noConversion"/>
  </si>
  <si>
    <t>ZFMD/SD-21126-2-SH</t>
  </si>
  <si>
    <t>ZFMD/KGSQ-21022</t>
  </si>
  <si>
    <t>ZFMD/KGSQ-21023</t>
  </si>
  <si>
    <t>公心集</t>
    <phoneticPr fontId="1" type="noConversion"/>
  </si>
  <si>
    <t>无</t>
    <phoneticPr fontId="1" type="noConversion"/>
  </si>
  <si>
    <t>2021.9.17</t>
    <phoneticPr fontId="1" type="noConversion"/>
  </si>
  <si>
    <t>2021.9.9</t>
    <phoneticPr fontId="1" type="noConversion"/>
  </si>
  <si>
    <t>免费一年</t>
    <phoneticPr fontId="1" type="noConversion"/>
  </si>
  <si>
    <t>ZFMD/SD-21127-1-SH</t>
    <phoneticPr fontId="1" type="noConversion"/>
  </si>
  <si>
    <t>ZFMD/SD-21127-2-SH</t>
  </si>
  <si>
    <t>青岛特锐德电气股份有限公司</t>
    <phoneticPr fontId="1" type="noConversion"/>
  </si>
  <si>
    <t>产品购销合同</t>
    <phoneticPr fontId="1" type="noConversion"/>
  </si>
  <si>
    <t>黑龙江</t>
    <phoneticPr fontId="1" type="noConversion"/>
  </si>
  <si>
    <t>其他</t>
    <phoneticPr fontId="1" type="noConversion"/>
  </si>
  <si>
    <t>卧里屯</t>
    <phoneticPr fontId="1" type="noConversion"/>
  </si>
  <si>
    <t>卧里屯分散式风电项目</t>
    <phoneticPr fontId="1" type="noConversion"/>
  </si>
  <si>
    <t>2021.9.18</t>
    <phoneticPr fontId="1" type="noConversion"/>
  </si>
  <si>
    <t>2021.9.15</t>
    <phoneticPr fontId="1" type="noConversion"/>
  </si>
  <si>
    <t>ZFMD/SD-21128-SH</t>
    <phoneticPr fontId="1" type="noConversion"/>
  </si>
  <si>
    <t>吉林中广核风力发电有限公司大安两家子分公司</t>
    <phoneticPr fontId="1" type="noConversion"/>
  </si>
  <si>
    <t>中广核吉林大安两家子100MW风电项目风功率预测系统设备采购合同</t>
    <phoneticPr fontId="1" type="noConversion"/>
  </si>
  <si>
    <t>吉林</t>
    <phoneticPr fontId="1" type="noConversion"/>
  </si>
  <si>
    <t>中广核</t>
    <phoneticPr fontId="1" type="noConversion"/>
  </si>
  <si>
    <t>两家子</t>
    <phoneticPr fontId="1" type="noConversion"/>
  </si>
  <si>
    <t>风电功率预测</t>
    <phoneticPr fontId="1" type="noConversion"/>
  </si>
  <si>
    <t>短期软件；超短期软件；系统硬件；测风塔维护；测风塔设备；预测服务2年</t>
    <phoneticPr fontId="1" type="noConversion"/>
  </si>
  <si>
    <t>王星</t>
    <phoneticPr fontId="1" type="noConversion"/>
  </si>
  <si>
    <t>2021.9</t>
    <phoneticPr fontId="1" type="noConversion"/>
  </si>
  <si>
    <t>原件</t>
    <phoneticPr fontId="1" type="noConversion"/>
  </si>
  <si>
    <t>免费两年</t>
    <phoneticPr fontId="1" type="noConversion"/>
  </si>
  <si>
    <t>100MW</t>
    <phoneticPr fontId="1" type="noConversion"/>
  </si>
  <si>
    <t>ZFMD/SD-21129-SH</t>
  </si>
  <si>
    <t>ZFMD/SD-21130-SH</t>
  </si>
  <si>
    <t>ZFMD/KGSQ-21002</t>
  </si>
  <si>
    <t>大唐黑龙江新能源开发有限公司集贤太平风力发电分公司</t>
    <phoneticPr fontId="1" type="noConversion"/>
  </si>
  <si>
    <t>大唐太平风电场设备迁移服务合同</t>
    <phoneticPr fontId="1" type="noConversion"/>
  </si>
  <si>
    <t>太平</t>
    <phoneticPr fontId="1" type="noConversion"/>
  </si>
  <si>
    <t>集贤太平</t>
    <phoneticPr fontId="1" type="noConversion"/>
  </si>
  <si>
    <t>李妍</t>
    <phoneticPr fontId="1" type="noConversion"/>
  </si>
  <si>
    <t>2021.9.24</t>
    <phoneticPr fontId="1" type="noConversion"/>
  </si>
  <si>
    <t>2021.7.7</t>
    <phoneticPr fontId="1" type="noConversion"/>
  </si>
  <si>
    <t>河北博达电子科技有限公司</t>
    <phoneticPr fontId="1" type="noConversion"/>
  </si>
  <si>
    <t>国电芦河光伏电站功率预测系统数据转发集控系统技术服务合同</t>
    <phoneticPr fontId="1" type="noConversion"/>
  </si>
  <si>
    <t>芦河</t>
    <phoneticPr fontId="1" type="noConversion"/>
  </si>
  <si>
    <t>无</t>
    <phoneticPr fontId="1" type="noConversion"/>
  </si>
  <si>
    <t>光伏功率预测</t>
    <phoneticPr fontId="1" type="noConversion"/>
  </si>
  <si>
    <t>2021.9.22</t>
    <phoneticPr fontId="1" type="noConversion"/>
  </si>
  <si>
    <t>ZFMD/SD-21131-SH</t>
  </si>
  <si>
    <t>ZFMD/KGSQ-21004</t>
  </si>
  <si>
    <t>北京通源天达科技有限公司</t>
    <phoneticPr fontId="1" type="noConversion"/>
  </si>
  <si>
    <t>大唐绥滨新能源有限公司吉成风电场控制室搬迁施工合同</t>
    <phoneticPr fontId="1" type="noConversion"/>
  </si>
  <si>
    <t>吉成+望江</t>
    <phoneticPr fontId="1" type="noConversion"/>
  </si>
  <si>
    <t>绥滨吉成+绥滨望江</t>
    <phoneticPr fontId="1" type="noConversion"/>
  </si>
  <si>
    <t>2021.9.26</t>
    <phoneticPr fontId="1" type="noConversion"/>
  </si>
  <si>
    <t>2021.9</t>
    <phoneticPr fontId="1" type="noConversion"/>
  </si>
  <si>
    <t>ZFMD/SD-21132-SH</t>
  </si>
  <si>
    <t>ZFMD/SHFW-2021054</t>
  </si>
  <si>
    <t>无</t>
    <phoneticPr fontId="1" type="noConversion"/>
  </si>
  <si>
    <t>宁德蕉城闽电新能源有限公司</t>
    <phoneticPr fontId="1" type="noConversion"/>
  </si>
  <si>
    <t>风电功率预测</t>
    <phoneticPr fontId="1" type="noConversion"/>
  </si>
  <si>
    <t>测风塔设备</t>
    <phoneticPr fontId="1" type="noConversion"/>
  </si>
  <si>
    <t>秦英飞</t>
    <phoneticPr fontId="1" type="noConversion"/>
  </si>
  <si>
    <t>2021.9.29</t>
    <phoneticPr fontId="1" type="noConversion"/>
  </si>
  <si>
    <t>2021.8.10</t>
    <phoneticPr fontId="1" type="noConversion"/>
  </si>
  <si>
    <t>ZFMD/SD-21133-SH</t>
  </si>
  <si>
    <t>锦州和兴风力发电有限公司</t>
    <phoneticPr fontId="1" type="noConversion"/>
  </si>
  <si>
    <t>技术服务合同</t>
    <phoneticPr fontId="1" type="noConversion"/>
  </si>
  <si>
    <t>2021.9.30</t>
    <phoneticPr fontId="22" type="noConversion"/>
  </si>
  <si>
    <t>2021.7.20</t>
    <phoneticPr fontId="22" type="noConversion"/>
  </si>
  <si>
    <t>2022.1.1</t>
    <phoneticPr fontId="22" type="noConversion"/>
  </si>
  <si>
    <t>2022.12.31</t>
    <phoneticPr fontId="22" type="noConversion"/>
  </si>
  <si>
    <t>ZFMD/SD-21134-SH</t>
  </si>
  <si>
    <t>中电建宁夏工程有限公司</t>
    <phoneticPr fontId="1" type="noConversion"/>
  </si>
  <si>
    <t>巴里坤黑眼泉20兆瓦分散式风电项目风功率预测系统买卖合同</t>
    <phoneticPr fontId="1" type="noConversion"/>
  </si>
  <si>
    <t>中电建</t>
    <phoneticPr fontId="5" type="noConversion"/>
  </si>
  <si>
    <t>巴里坤黑眼泉</t>
    <phoneticPr fontId="1" type="noConversion"/>
  </si>
  <si>
    <t>无</t>
    <phoneticPr fontId="1" type="noConversion"/>
  </si>
  <si>
    <t>风电场</t>
    <phoneticPr fontId="1" type="noConversion"/>
  </si>
  <si>
    <t>李妍</t>
    <phoneticPr fontId="1" type="noConversion"/>
  </si>
  <si>
    <t>2021.10.8</t>
    <phoneticPr fontId="1" type="noConversion"/>
  </si>
  <si>
    <t>2021.9.15</t>
    <phoneticPr fontId="1" type="noConversion"/>
  </si>
  <si>
    <t>免费一年</t>
    <phoneticPr fontId="1" type="noConversion"/>
  </si>
  <si>
    <t>华电石城子光伏二电站</t>
    <phoneticPr fontId="1" type="noConversion"/>
  </si>
  <si>
    <t>石城子三期</t>
    <phoneticPr fontId="1" type="noConversion"/>
  </si>
  <si>
    <t>技术服务</t>
    <phoneticPr fontId="1" type="noConversion"/>
  </si>
  <si>
    <t>ZFMD/SD-21135-SH</t>
  </si>
  <si>
    <t>ZFMD/SD-21136-SH</t>
  </si>
  <si>
    <t>ZFMD/SD-21137-SH</t>
  </si>
  <si>
    <t>汤原风电场气象数据及技术服务合同</t>
    <phoneticPr fontId="22" type="noConversion"/>
  </si>
  <si>
    <t>虎林风电场气象数据及技术服务合同</t>
    <phoneticPr fontId="22" type="noConversion"/>
  </si>
  <si>
    <t>七台河风电场气象数据及技术服务合同</t>
    <phoneticPr fontId="22" type="noConversion"/>
  </si>
  <si>
    <t>2021.10.11</t>
    <phoneticPr fontId="1" type="noConversion"/>
  </si>
  <si>
    <t>2021.9.26</t>
    <phoneticPr fontId="22" type="noConversion"/>
  </si>
  <si>
    <t>ZFMD/SD-21077-SH-BG01</t>
    <phoneticPr fontId="1" type="noConversion"/>
  </si>
  <si>
    <t>ZFMD/SD-21138-SH</t>
  </si>
  <si>
    <t>预测服务6个月</t>
    <phoneticPr fontId="1" type="noConversion"/>
  </si>
  <si>
    <t>2021.10.20</t>
    <phoneticPr fontId="22" type="noConversion"/>
  </si>
  <si>
    <t>ZFMD/SD-21139-SH</t>
  </si>
  <si>
    <t>秦英飞</t>
    <phoneticPr fontId="1" type="noConversion"/>
  </si>
  <si>
    <t>王星</t>
    <phoneticPr fontId="1" type="noConversion"/>
  </si>
  <si>
    <t>华能新能源湘乡风力发电有限公司</t>
    <phoneticPr fontId="1" type="noConversion"/>
  </si>
  <si>
    <t>2021年梅桥风电场风功率预测系统高精度气象预报数据及技术维护服务合同</t>
    <phoneticPr fontId="1" type="noConversion"/>
  </si>
  <si>
    <t>无</t>
    <phoneticPr fontId="1" type="noConversion"/>
  </si>
  <si>
    <t>风电场</t>
    <phoneticPr fontId="1" type="noConversion"/>
  </si>
  <si>
    <t>风电功率预测</t>
    <phoneticPr fontId="1" type="noConversion"/>
  </si>
  <si>
    <t>2021.10.22</t>
    <phoneticPr fontId="1" type="noConversion"/>
  </si>
  <si>
    <t>2021.10</t>
    <phoneticPr fontId="1" type="noConversion"/>
  </si>
  <si>
    <t>2021.10.12</t>
    <phoneticPr fontId="1" type="noConversion"/>
  </si>
  <si>
    <t>2022.10.11</t>
    <phoneticPr fontId="1" type="noConversion"/>
  </si>
  <si>
    <t>秦英飞说：服务期为2021.10.12-2022.10.11</t>
    <phoneticPr fontId="1" type="noConversion"/>
  </si>
  <si>
    <t>ZFMD/SD-21140-1-SH</t>
    <phoneticPr fontId="1" type="noConversion"/>
  </si>
  <si>
    <t>ZFMD/SD-21140-2-SH</t>
  </si>
  <si>
    <t>ZFMD/SD-21140-3-SH</t>
  </si>
  <si>
    <t>南京国电南自电网自动化有限公司</t>
    <phoneticPr fontId="1" type="noConversion"/>
  </si>
  <si>
    <t>标准产品采购合同</t>
    <phoneticPr fontId="1" type="noConversion"/>
  </si>
  <si>
    <t>台安桑林</t>
  </si>
  <si>
    <t>风电AGC/AVC</t>
    <phoneticPr fontId="1" type="noConversion"/>
  </si>
  <si>
    <t>2021.10.15</t>
    <phoneticPr fontId="1" type="noConversion"/>
  </si>
  <si>
    <t>电力通讯</t>
    <phoneticPr fontId="1" type="noConversion"/>
  </si>
  <si>
    <t>ZFMD/SD-21141-1-SH</t>
    <phoneticPr fontId="1" type="noConversion"/>
  </si>
  <si>
    <t>ZFMD/SD-21141-2-SH</t>
  </si>
  <si>
    <t>ZFMD/KGSQ-21024</t>
  </si>
  <si>
    <t>ZFMD/KGSQ-21025</t>
  </si>
  <si>
    <t>帅家岩</t>
    <phoneticPr fontId="1" type="noConversion"/>
  </si>
  <si>
    <t>月亮山</t>
    <phoneticPr fontId="1" type="noConversion"/>
  </si>
  <si>
    <t>短期软件；超短期软件；系统硬件；技术服务</t>
    <phoneticPr fontId="1" type="noConversion"/>
  </si>
  <si>
    <t>国家电投山西帅家岩、广西月亮山御风项目风功率预测上传软件及硬件采购合同协议书</t>
    <phoneticPr fontId="1" type="noConversion"/>
  </si>
  <si>
    <t>郭文明</t>
    <phoneticPr fontId="1" type="noConversion"/>
  </si>
  <si>
    <t>2021.10.28</t>
    <phoneticPr fontId="1" type="noConversion"/>
  </si>
  <si>
    <t>辽宁风电场D5000二区软件；系统硬件</t>
    <phoneticPr fontId="1" type="noConversion"/>
  </si>
  <si>
    <t>ZFMD/SD-20006-7-SH-BG01</t>
    <phoneticPr fontId="1" type="noConversion"/>
  </si>
  <si>
    <t>2021.9.15</t>
    <phoneticPr fontId="22" type="noConversion"/>
  </si>
  <si>
    <t>2021.7.1</t>
    <phoneticPr fontId="22" type="noConversion"/>
  </si>
  <si>
    <t>ZFMD/SD-21142-1-SH</t>
    <phoneticPr fontId="1" type="noConversion"/>
  </si>
  <si>
    <t>ZFMD/SD-21142-2-SH</t>
  </si>
  <si>
    <t>ZFMD/SD-21142-3-SH</t>
  </si>
  <si>
    <t>ZFMD/SD-21142-4-SH</t>
  </si>
  <si>
    <t>觐联（上海）工业技术有限公司</t>
    <phoneticPr fontId="1" type="noConversion"/>
  </si>
  <si>
    <t>国华云梦、狄青塬、大柳塔场站功率预测及AGC系统数据转发集控系统服务合同</t>
    <phoneticPr fontId="1" type="noConversion"/>
  </si>
  <si>
    <t>技术服务（数据转发集控）</t>
    <phoneticPr fontId="5" type="noConversion"/>
  </si>
  <si>
    <t>李妍</t>
    <phoneticPr fontId="1" type="noConversion"/>
  </si>
  <si>
    <t>2021.11.2</t>
    <phoneticPr fontId="1" type="noConversion"/>
  </si>
  <si>
    <t>2021.10.21</t>
    <phoneticPr fontId="1" type="noConversion"/>
  </si>
  <si>
    <t>ZFMD/SD-21087-SH-BG01
ZFMD/SD-21087-SH-BG02
ZFMD/SD-21087-SH-BG03</t>
    <phoneticPr fontId="1" type="noConversion"/>
  </si>
  <si>
    <t>ZFMD/SD-21143-SH</t>
    <phoneticPr fontId="1" type="noConversion"/>
  </si>
  <si>
    <t>ZFMD/KGSQ-21021</t>
  </si>
  <si>
    <t>扶余市吉成风能有限公司</t>
    <phoneticPr fontId="1" type="noConversion"/>
  </si>
  <si>
    <t>扶余市吉成风能有限公司风功率预测系统代维护服务合同</t>
    <phoneticPr fontId="1" type="noConversion"/>
  </si>
  <si>
    <t>三井子</t>
    <phoneticPr fontId="1" type="noConversion"/>
  </si>
  <si>
    <t>风电场</t>
    <phoneticPr fontId="1" type="noConversion"/>
  </si>
  <si>
    <t>无</t>
    <phoneticPr fontId="1" type="noConversion"/>
  </si>
  <si>
    <t>王星</t>
    <phoneticPr fontId="1" type="noConversion"/>
  </si>
  <si>
    <t>2021.11.5</t>
    <phoneticPr fontId="1" type="noConversion"/>
  </si>
  <si>
    <t>2021.10.21</t>
    <phoneticPr fontId="1" type="noConversion"/>
  </si>
  <si>
    <t>蒙东协合镇赉第一风力发电有限公司</t>
    <phoneticPr fontId="1" type="noConversion"/>
  </si>
  <si>
    <t>蒙东协合镇赉第一风力发电有限公司风功率预测系统代维护服务合同</t>
    <phoneticPr fontId="1" type="noConversion"/>
  </si>
  <si>
    <t>预测服务1年</t>
    <phoneticPr fontId="1" type="noConversion"/>
  </si>
  <si>
    <t>蒙东协合镇赉第一风力发电有限公司测风塔设备维护服务合同</t>
    <phoneticPr fontId="1" type="noConversion"/>
  </si>
  <si>
    <t>测风塔设备维护</t>
    <phoneticPr fontId="1" type="noConversion"/>
  </si>
  <si>
    <t>2021.10.18</t>
    <phoneticPr fontId="1" type="noConversion"/>
  </si>
  <si>
    <t>ZFMD/SD-21144-SH</t>
    <phoneticPr fontId="1" type="noConversion"/>
  </si>
  <si>
    <t>ZFMD/SD-21145-SH</t>
    <phoneticPr fontId="1" type="noConversion"/>
  </si>
  <si>
    <t>ZFMD/SD-21146-SH</t>
  </si>
  <si>
    <t>2021.11</t>
    <phoneticPr fontId="1" type="noConversion"/>
  </si>
  <si>
    <t>2022.8.25</t>
    <phoneticPr fontId="1" type="noConversion"/>
  </si>
  <si>
    <t>ZFMD/SD-21147-SH</t>
    <phoneticPr fontId="1" type="noConversion"/>
  </si>
  <si>
    <t>华能湖南江口风电场工程100m测风塔建塔项目合同</t>
    <phoneticPr fontId="1" type="noConversion"/>
  </si>
  <si>
    <t>2021.11.18</t>
    <phoneticPr fontId="1" type="noConversion"/>
  </si>
  <si>
    <t>ZFMD/KGSQ-21028</t>
    <phoneticPr fontId="1" type="noConversion"/>
  </si>
  <si>
    <t>ZFMD/SD-21148-SH</t>
  </si>
  <si>
    <t>福能省山风电场风功率预测配合接入技术服务合同</t>
    <phoneticPr fontId="1" type="noConversion"/>
  </si>
  <si>
    <t>龙海新村、新厝、港尾</t>
    <phoneticPr fontId="1" type="noConversion"/>
  </si>
  <si>
    <t>2021.11.19</t>
    <phoneticPr fontId="1" type="noConversion"/>
  </si>
  <si>
    <t>2021.11.12</t>
    <phoneticPr fontId="1" type="noConversion"/>
  </si>
  <si>
    <t>ZFMD/SD-21149-1-SH</t>
    <phoneticPr fontId="1" type="noConversion"/>
  </si>
  <si>
    <t>ZFMD/SD-21149-2-SH</t>
  </si>
  <si>
    <t>ZFMD/SD-21149-3-SH</t>
  </si>
  <si>
    <t>大唐桦川风力发电有限公司北架、太阳山、苏家店风电场风电功率预测服务</t>
    <phoneticPr fontId="1" type="noConversion"/>
  </si>
  <si>
    <t>2021.11.23</t>
    <phoneticPr fontId="22" type="noConversion"/>
  </si>
  <si>
    <t>2021.10</t>
    <phoneticPr fontId="22" type="noConversion"/>
  </si>
  <si>
    <t>ZFMD/SD-21150-1-SH</t>
    <phoneticPr fontId="1" type="noConversion"/>
  </si>
  <si>
    <t>ZFMD/SD-21150-2-SH</t>
  </si>
  <si>
    <t>ZFMD/SD-21150-3-SH</t>
  </si>
  <si>
    <t>ZFMD/SD-21150-4-SH</t>
  </si>
  <si>
    <t>ZFMD/SD-21150-5-SH</t>
  </si>
  <si>
    <t>ZFMD/SD-21150-6-SH</t>
  </si>
  <si>
    <t>ZFMD/SD-21150-7-SH</t>
  </si>
  <si>
    <t>ZFMD/SD-21150-8-SH</t>
  </si>
  <si>
    <t>ZFMD/SD-21150-9-SH</t>
  </si>
  <si>
    <t>ZFMD/SD-21150-10-SH</t>
  </si>
  <si>
    <t>ZFMD/SD-21150-11-SH</t>
  </si>
  <si>
    <t>黑龙江</t>
    <phoneticPr fontId="1" type="noConversion"/>
  </si>
  <si>
    <t>大唐</t>
    <phoneticPr fontId="1" type="noConversion"/>
  </si>
  <si>
    <t>大庆太平、宏伟</t>
    <phoneticPr fontId="10" type="noConversion"/>
  </si>
  <si>
    <t>东安</t>
    <phoneticPr fontId="1" type="noConversion"/>
  </si>
  <si>
    <t>宁安头道岭、二道岭</t>
    <phoneticPr fontId="1" type="noConversion"/>
  </si>
  <si>
    <t>双岭</t>
    <phoneticPr fontId="1" type="noConversion"/>
  </si>
  <si>
    <t>大唐桦川风力发电有限公司等8家公司下辖北架、晨光、富强、虎峰岭、太阳山、苏家店、锐驰、吉成、东辉、东安、双岭等11个风电场反向隔离装置换新、升级服务合同</t>
    <phoneticPr fontId="1" type="noConversion"/>
  </si>
  <si>
    <t>大唐大庆东岗新能源有限公司</t>
    <phoneticPr fontId="1" type="noConversion"/>
  </si>
  <si>
    <t>宁安镜泊二道岭风力发电有限公司</t>
    <phoneticPr fontId="1" type="noConversion"/>
  </si>
  <si>
    <t>2021.11</t>
    <phoneticPr fontId="22" type="noConversion"/>
  </si>
  <si>
    <t>ZFMD/SD-21151-1-SH</t>
    <phoneticPr fontId="1" type="noConversion"/>
  </si>
  <si>
    <t>ZFMD/SD-21151-2-SH</t>
  </si>
  <si>
    <t>ZFMD/SD-21151-3-SH</t>
  </si>
  <si>
    <t>ZFMD/SD-21151-4-SH</t>
  </si>
  <si>
    <t>ZFMD/SD-21151-5-SH</t>
  </si>
  <si>
    <t>大唐黑龙江新能源开发有限公司太平、碾子山风电场、东升水电站正、反向隔离装置换新服务合同</t>
    <phoneticPr fontId="1" type="noConversion"/>
  </si>
  <si>
    <t>场站信息管理系统</t>
    <phoneticPr fontId="22" type="noConversion"/>
  </si>
  <si>
    <t>大唐黑龙江新能源开发有限公司东宁水电开发分公司</t>
    <phoneticPr fontId="1" type="noConversion"/>
  </si>
  <si>
    <t>东升</t>
    <phoneticPr fontId="1" type="noConversion"/>
  </si>
  <si>
    <t>水电站</t>
    <phoneticPr fontId="1" type="noConversion"/>
  </si>
  <si>
    <t>ZFMD/SD-21152-1-SH</t>
    <phoneticPr fontId="1" type="noConversion"/>
  </si>
  <si>
    <t>ZFMD/SD-21152-2-SH</t>
  </si>
  <si>
    <t>大唐黑龙江新能源开发有限公司太平、碾子山风电场风电功率预测服务</t>
    <phoneticPr fontId="1" type="noConversion"/>
  </si>
  <si>
    <t>ZFMD/KGSQ-21005</t>
  </si>
  <si>
    <t>ZFMD/KGSQ-21003</t>
  </si>
  <si>
    <t>ZFMD/SHFW-2021014</t>
  </si>
  <si>
    <t>ZFMD/SHFW-2021016</t>
  </si>
  <si>
    <t>ZFMD/SHFW-2021017</t>
  </si>
  <si>
    <t>ZFMD/SHFW-2021018</t>
  </si>
  <si>
    <t>ZFMD/SHFW-2021019</t>
  </si>
  <si>
    <t>ZFMD/SHFW-2021020</t>
  </si>
  <si>
    <t>ZFMD/SHFW-2021021</t>
  </si>
  <si>
    <t>ZFMD/SHFW-2021022</t>
  </si>
  <si>
    <t>ZFMD/SHFW-2021024</t>
  </si>
  <si>
    <t>ZFMD/SHFW-2021025</t>
  </si>
  <si>
    <t>ZFMD/SHFW-2021015</t>
  </si>
  <si>
    <t>ZFMD/SHFW-2021023</t>
  </si>
  <si>
    <t>测风塔维护；预测服务1年</t>
    <phoneticPr fontId="22" type="noConversion"/>
  </si>
  <si>
    <t>技术服务（反隔升级）</t>
    <phoneticPr fontId="1" type="noConversion"/>
  </si>
  <si>
    <t>SIS系统硬件</t>
  </si>
  <si>
    <t>短期预测；超短期预测；系统硬件；预测服务1年</t>
    <phoneticPr fontId="1" type="noConversion"/>
  </si>
  <si>
    <t>签订合同内容为反隔，实际合同内容为：短期预测；超短期预测；系统硬件；预测服务1年</t>
    <phoneticPr fontId="1" type="noConversion"/>
  </si>
  <si>
    <t>SIS系统硬件</t>
    <phoneticPr fontId="1" type="noConversion"/>
  </si>
  <si>
    <t>ZFMD/SD-21153-SH</t>
    <phoneticPr fontId="1" type="noConversion"/>
  </si>
  <si>
    <t>ZFMD/SD-21154-SH</t>
  </si>
  <si>
    <t>ZFMD/SD-21155-SH</t>
  </si>
  <si>
    <t>ZFMD/SD-21156-SH</t>
  </si>
  <si>
    <t>三峡能源吉林省白城查干浩特风电场45MW工程2021年风功率预测系统维护服务合同</t>
  </si>
  <si>
    <t>2021.11.30</t>
    <phoneticPr fontId="1" type="noConversion"/>
  </si>
  <si>
    <t>2021.11.26</t>
    <phoneticPr fontId="1" type="noConversion"/>
  </si>
  <si>
    <t>原件</t>
    <phoneticPr fontId="1" type="noConversion"/>
  </si>
  <si>
    <t>2022.11.25</t>
    <phoneticPr fontId="1" type="noConversion"/>
  </si>
  <si>
    <t>三峡能源辽宁省开原威远风电场49.5MW工程2021年风功率预测系统维护服务合同</t>
    <phoneticPr fontId="1" type="noConversion"/>
  </si>
  <si>
    <t>2021.11.24</t>
    <phoneticPr fontId="1" type="noConversion"/>
  </si>
  <si>
    <t>2021.12.26</t>
    <phoneticPr fontId="1" type="noConversion"/>
  </si>
  <si>
    <t>2022.12.25</t>
    <phoneticPr fontId="1" type="noConversion"/>
  </si>
  <si>
    <t>国家电力投资集团公司黑龙江分公司安达昌德光伏电站光功率预测系统反向隔离装置采购服务合同</t>
    <phoneticPr fontId="22" type="noConversion"/>
  </si>
  <si>
    <t>马梦迪</t>
    <phoneticPr fontId="1" type="noConversion"/>
  </si>
  <si>
    <t>2021.11.20</t>
    <phoneticPr fontId="1" type="noConversion"/>
  </si>
  <si>
    <t>秦英飞</t>
    <phoneticPr fontId="1" type="noConversion"/>
  </si>
  <si>
    <t>ZFMD/SHFW-2021061</t>
  </si>
  <si>
    <t>开发票占号。2021.11.30开票4.5万元。</t>
    <phoneticPr fontId="1" type="noConversion"/>
  </si>
  <si>
    <t>ZFMD/SD-21127-1-SH-BG01</t>
    <phoneticPr fontId="1" type="noConversion"/>
  </si>
  <si>
    <t>合同金额变更，减掉测风塔，2021.11.11开票26.509万元。</t>
  </si>
  <si>
    <t>ZFMD/SD-21157-SH</t>
  </si>
  <si>
    <t>ZFMD/SD-21158-SH</t>
  </si>
  <si>
    <t>ZFMD/SD-21159-SH</t>
  </si>
  <si>
    <t>2021.12.11</t>
    <phoneticPr fontId="22" type="noConversion"/>
  </si>
  <si>
    <t>开发票占号。2021.12.7开票8.9万元。</t>
    <phoneticPr fontId="1" type="noConversion"/>
  </si>
  <si>
    <t>开发票占号。2021.12.7开票8.8万元。</t>
    <phoneticPr fontId="1" type="noConversion"/>
  </si>
  <si>
    <t>扶余市富汇风能有限公司</t>
    <phoneticPr fontId="1" type="noConversion"/>
  </si>
  <si>
    <t>ZFMD/KGSQ-21029</t>
  </si>
  <si>
    <t>ZFMD/SD-21160-SH</t>
  </si>
  <si>
    <t>ZFMD/SD-21161-SH</t>
  </si>
  <si>
    <t>ZFMD/SD-21162-SH</t>
  </si>
  <si>
    <t>三峡能源黑龙江省伊春乌伊岭阿廷河风电场49.5MW工程2021年风功率预测系统维护服务合同</t>
    <phoneticPr fontId="1" type="noConversion"/>
  </si>
  <si>
    <t>三峡新能源辽宁省调兵山风电场99MW工程2021年风功率预测系统维护服务合同</t>
    <phoneticPr fontId="1" type="noConversion"/>
  </si>
  <si>
    <t>2021.11.29</t>
    <phoneticPr fontId="1" type="noConversion"/>
  </si>
  <si>
    <t>2022.11.28</t>
    <phoneticPr fontId="1" type="noConversion"/>
  </si>
  <si>
    <t>大庆经开区风光互补</t>
    <phoneticPr fontId="1" type="noConversion"/>
  </si>
  <si>
    <t>ZFMD/KGSQ-21010</t>
  </si>
  <si>
    <t>南京南瑞继保工程技术有限公司</t>
    <phoneticPr fontId="1" type="noConversion"/>
  </si>
  <si>
    <t>采购协议</t>
    <phoneticPr fontId="1" type="noConversion"/>
  </si>
  <si>
    <t>2021.12</t>
    <phoneticPr fontId="1" type="noConversion"/>
  </si>
  <si>
    <t>ZFMD/SD-21163-SH</t>
  </si>
  <si>
    <t>中广核（赣州）新能源有限公司茅店风电场风电功率预测拓展系统合同</t>
    <phoneticPr fontId="1" type="noConversion"/>
  </si>
  <si>
    <t>扶余市富汇风能有限公司防火墙等采购合同</t>
    <phoneticPr fontId="1" type="noConversion"/>
  </si>
  <si>
    <t>2021.11.16</t>
    <phoneticPr fontId="1" type="noConversion"/>
  </si>
  <si>
    <t>华电小草湖北风电一场</t>
    <phoneticPr fontId="1" type="noConversion"/>
  </si>
  <si>
    <t>2021.12.17</t>
    <phoneticPr fontId="22" type="noConversion"/>
  </si>
  <si>
    <t>铁岭风电场2021年风功率预测服务项目合同</t>
    <phoneticPr fontId="1" type="noConversion"/>
  </si>
  <si>
    <t>2021.12.7</t>
    <phoneticPr fontId="1" type="noConversion"/>
  </si>
  <si>
    <t>ZFMD/SD-21164-SH</t>
  </si>
  <si>
    <t>2021年风功率预测系统维护服务合同</t>
    <phoneticPr fontId="1" type="noConversion"/>
  </si>
  <si>
    <t>2021.12.24</t>
    <phoneticPr fontId="1" type="noConversion"/>
  </si>
  <si>
    <t>2021.12.5</t>
    <phoneticPr fontId="1" type="noConversion"/>
  </si>
  <si>
    <t>2022.12.4</t>
    <phoneticPr fontId="1" type="noConversion"/>
  </si>
  <si>
    <t>ZFMD/SD-21165-SH</t>
    <phoneticPr fontId="22" type="noConversion"/>
  </si>
  <si>
    <t>ZFMD/KGSQ-21032
ZFMD/KGSQ-21033</t>
    <phoneticPr fontId="22" type="noConversion"/>
  </si>
  <si>
    <t>山西华仁通电力科技有限公司</t>
    <phoneticPr fontId="22" type="noConversion"/>
  </si>
  <si>
    <t>向阳二期</t>
    <phoneticPr fontId="1" type="noConversion"/>
  </si>
  <si>
    <t>无</t>
    <phoneticPr fontId="22" type="noConversion"/>
  </si>
  <si>
    <t>李妍</t>
    <phoneticPr fontId="22" type="noConversion"/>
  </si>
  <si>
    <t>2021.12.24</t>
    <phoneticPr fontId="22" type="noConversion"/>
  </si>
  <si>
    <t>ZFMD/SD-21166-SH</t>
    <phoneticPr fontId="22" type="noConversion"/>
  </si>
  <si>
    <t>龙源玉林风力发电有限公司</t>
    <phoneticPr fontId="22" type="noConversion"/>
  </si>
  <si>
    <t>四方嶂</t>
    <phoneticPr fontId="22" type="noConversion"/>
  </si>
  <si>
    <t>秦英飞</t>
    <phoneticPr fontId="22" type="noConversion"/>
  </si>
  <si>
    <t>2021.12.24</t>
    <phoneticPr fontId="22" type="noConversion"/>
  </si>
  <si>
    <t>ZFMD/KGSQ-21018</t>
  </si>
  <si>
    <t>鑫和信</t>
    <phoneticPr fontId="1" type="noConversion"/>
  </si>
  <si>
    <t>ZFMD/SD-21167-SH</t>
  </si>
  <si>
    <t>ZFMD/SD-21170-SH</t>
  </si>
  <si>
    <t>ZFMD/SD-21171-SH</t>
  </si>
  <si>
    <t>ZFMD/SD-21172-SH</t>
  </si>
  <si>
    <t>ZFMD/SD-21173-SH</t>
  </si>
  <si>
    <t>ZFMD/SD-21174-SH</t>
  </si>
  <si>
    <t>ZFMD/SD-21175-SH</t>
  </si>
  <si>
    <t>ZFMD/SD-21176-SH</t>
  </si>
  <si>
    <t>ZFMD/SD-21177-SH</t>
  </si>
  <si>
    <t>ZFMD/SD-21178-SH</t>
  </si>
  <si>
    <t>ZFMD/SD-21179-SH</t>
  </si>
  <si>
    <t>ZFMD/SD-21180-SH</t>
  </si>
  <si>
    <t>ZFMD/SD-21181-SH</t>
  </si>
  <si>
    <t>ZFMD/SD-21182-SH</t>
  </si>
  <si>
    <t>郭文明
李妍</t>
    <phoneticPr fontId="22" type="noConversion"/>
  </si>
  <si>
    <t>ZFMD/SD-21168-1-SH</t>
    <phoneticPr fontId="22" type="noConversion"/>
  </si>
  <si>
    <t>ZFMD/SD-21168-2-SH</t>
  </si>
  <si>
    <t>ZFMD/SD-21168-3-SH</t>
  </si>
  <si>
    <t>ZFMD/SD-21168-4-SH</t>
  </si>
  <si>
    <t>ZFMD/SD-21169-SH</t>
    <phoneticPr fontId="22" type="noConversion"/>
  </si>
  <si>
    <t>2021.5.2</t>
    <phoneticPr fontId="22" type="noConversion"/>
  </si>
  <si>
    <t>2022.5.1</t>
    <phoneticPr fontId="22" type="noConversion"/>
  </si>
  <si>
    <t>2021.12.21</t>
    <phoneticPr fontId="22" type="noConversion"/>
  </si>
  <si>
    <t>2021.11.2</t>
    <phoneticPr fontId="22" type="noConversion"/>
  </si>
  <si>
    <t>2022.11.1</t>
    <phoneticPr fontId="22" type="noConversion"/>
  </si>
  <si>
    <t>系统硬件；预测服务1年</t>
    <phoneticPr fontId="22" type="noConversion"/>
  </si>
  <si>
    <t>ZFMD/SD-21183-1-SH</t>
    <phoneticPr fontId="22" type="noConversion"/>
  </si>
  <si>
    <t>ZFMD/SD-21183-2-SH</t>
  </si>
  <si>
    <t>ZFMD/SD-21183-3-SH</t>
  </si>
  <si>
    <t>ZFMD/SD-21183-4-SH</t>
  </si>
  <si>
    <t>ZFMD/SD-21184-SH</t>
    <phoneticPr fontId="22" type="noConversion"/>
  </si>
  <si>
    <t>ZFMD/SD-21185-SH</t>
  </si>
  <si>
    <t>2021.12</t>
    <phoneticPr fontId="22" type="noConversion"/>
  </si>
  <si>
    <t>三塘湖</t>
    <phoneticPr fontId="22" type="noConversion"/>
  </si>
  <si>
    <t>2021.12.2</t>
    <phoneticPr fontId="22" type="noConversion"/>
  </si>
  <si>
    <t>大唐海林威虎山风力发电有限公司虎峰岭风电场风电功率预测服务技术服务合同</t>
    <phoneticPr fontId="1" type="noConversion"/>
  </si>
  <si>
    <t>大唐依兰风力发电有限公司等3个公司下辖晨光、富强、锐驰、吉成等4个风电场风电功率预测服务技术服务合同</t>
    <phoneticPr fontId="22" type="noConversion"/>
  </si>
  <si>
    <t>软件升级（预测上传10天）</t>
    <phoneticPr fontId="22" type="noConversion"/>
  </si>
  <si>
    <t>光伏功率预测</t>
    <phoneticPr fontId="22" type="noConversion"/>
  </si>
  <si>
    <t>2021.12.29</t>
    <phoneticPr fontId="22" type="noConversion"/>
  </si>
  <si>
    <t>2021.12.29开发票占号</t>
    <phoneticPr fontId="22" type="noConversion"/>
  </si>
  <si>
    <t>ZFMD/SD-21187-SH</t>
  </si>
  <si>
    <t>ZFMD/SD-21188-SH</t>
  </si>
  <si>
    <t>ZFMD/SD-21189-SH</t>
  </si>
  <si>
    <t>ZFMD/SD-21190-SH</t>
  </si>
  <si>
    <t>洮南风电场2022年风功率预测系统（软硬件）及测风塔维修维护服务合同</t>
    <phoneticPr fontId="1" type="noConversion"/>
  </si>
  <si>
    <t>2021.12.29</t>
    <phoneticPr fontId="1" type="noConversion"/>
  </si>
  <si>
    <t>2021.12.13</t>
    <phoneticPr fontId="1" type="noConversion"/>
  </si>
  <si>
    <t>向阳风电场2022年风功率预测系统（软硬件）及测风塔维修维护服务合同</t>
    <phoneticPr fontId="1" type="noConversion"/>
  </si>
  <si>
    <t>新艾里风电场2022年风功率预测系统（软硬件）及测风塔维修维护服务合同</t>
    <phoneticPr fontId="1" type="noConversion"/>
  </si>
  <si>
    <t>双辽分公司双辽风电场2022年风功率预测系统（软硬件）及测风塔维修维护服务合同</t>
    <phoneticPr fontId="1" type="noConversion"/>
  </si>
  <si>
    <t>华电风水山风电场风功率预测系统服务合同（2021）</t>
    <phoneticPr fontId="1" type="noConversion"/>
  </si>
  <si>
    <t>2021.12</t>
    <phoneticPr fontId="22" type="noConversion"/>
  </si>
  <si>
    <t>三峡能源吉林省大安海坨风电场198MW工程2021年风功率预测系统维护服务合同</t>
    <phoneticPr fontId="1" type="noConversion"/>
  </si>
  <si>
    <t>2021.12.1</t>
    <phoneticPr fontId="1" type="noConversion"/>
  </si>
  <si>
    <t>2022.11.30</t>
    <phoneticPr fontId="1" type="noConversion"/>
  </si>
  <si>
    <t>三峡新能源黑龙江省宾县大个岭风电场49.5MW工程2021年风功率预测系统维护服务合同</t>
    <phoneticPr fontId="1" type="noConversion"/>
  </si>
  <si>
    <t>2021.11.25</t>
    <phoneticPr fontId="1" type="noConversion"/>
  </si>
  <si>
    <t>2022.11.24</t>
    <phoneticPr fontId="1" type="noConversion"/>
  </si>
  <si>
    <t>ZFMD/SD-21191-SH</t>
    <phoneticPr fontId="22" type="noConversion"/>
  </si>
  <si>
    <t>ZFMD/SD-21192-SH</t>
    <phoneticPr fontId="22" type="noConversion"/>
  </si>
  <si>
    <t>ZFMD/SD-21193-SH</t>
    <phoneticPr fontId="22" type="noConversion"/>
  </si>
  <si>
    <t>升压站视频监控系统</t>
    <phoneticPr fontId="1" type="noConversion"/>
  </si>
  <si>
    <t>技术咨询合同</t>
    <phoneticPr fontId="1" type="noConversion"/>
  </si>
  <si>
    <t>2021.12</t>
    <phoneticPr fontId="22" type="noConversion"/>
  </si>
  <si>
    <t>创新奇智（青岛）科技有限公司</t>
    <phoneticPr fontId="22" type="noConversion"/>
  </si>
  <si>
    <t>采购合同</t>
    <phoneticPr fontId="22" type="noConversion"/>
  </si>
  <si>
    <t>李妍</t>
    <phoneticPr fontId="22" type="noConversion"/>
  </si>
  <si>
    <t>2021.12.29</t>
    <phoneticPr fontId="22" type="noConversion"/>
  </si>
  <si>
    <t>ZFMD/SD-21194-SH</t>
    <phoneticPr fontId="22" type="noConversion"/>
  </si>
  <si>
    <t>ZFMD/KGSQ-21032</t>
    <phoneticPr fontId="22" type="noConversion"/>
  </si>
  <si>
    <t>四方岭风电场风功率预测系统服务合同书</t>
    <phoneticPr fontId="1" type="noConversion"/>
  </si>
  <si>
    <t>2021.12.20</t>
    <phoneticPr fontId="22" type="noConversion"/>
  </si>
  <si>
    <t>ZFMD/SD-21195-1-SH</t>
    <phoneticPr fontId="22" type="noConversion"/>
  </si>
  <si>
    <t>ZFMD/SD-21195-2-SH</t>
  </si>
  <si>
    <t>三峡新能源辽宁省调兵山风电场99MW工程两个细则整改设备采购合同</t>
    <phoneticPr fontId="22" type="noConversion"/>
  </si>
  <si>
    <t>预测服务1个月</t>
    <phoneticPr fontId="1" type="noConversion"/>
  </si>
  <si>
    <t>2020.8.1</t>
    <phoneticPr fontId="22" type="noConversion"/>
  </si>
  <si>
    <t>2020.8.31</t>
    <phoneticPr fontId="22" type="noConversion"/>
  </si>
  <si>
    <t>ZFMD/SD-21196-1-SH</t>
    <phoneticPr fontId="22" type="noConversion"/>
  </si>
  <si>
    <t>ZFMD/SD-21196-2-SH</t>
  </si>
  <si>
    <t>ZFMD/SHFW-2021031</t>
  </si>
  <si>
    <t>三峡新能源黑龙江省泰来汤池光伏电站9.9MWp工程两个细则整改设备采购合同</t>
    <phoneticPr fontId="22" type="noConversion"/>
  </si>
  <si>
    <t>系统硬件</t>
    <phoneticPr fontId="22" type="noConversion"/>
  </si>
  <si>
    <t>预测服务2个月</t>
    <phoneticPr fontId="22" type="noConversion"/>
  </si>
  <si>
    <t>2021.12.29</t>
    <phoneticPr fontId="22" type="noConversion"/>
  </si>
  <si>
    <t>2021.12.22</t>
    <phoneticPr fontId="22" type="noConversion"/>
  </si>
  <si>
    <t>2020.9.1</t>
    <phoneticPr fontId="22" type="noConversion"/>
  </si>
  <si>
    <t>2020.10.31</t>
    <phoneticPr fontId="22" type="noConversion"/>
  </si>
  <si>
    <t>ZFMD/SHFW-2021034</t>
    <phoneticPr fontId="22" type="noConversion"/>
  </si>
  <si>
    <t>ZFMD/SD-21197-1-SH</t>
    <phoneticPr fontId="22" type="noConversion"/>
  </si>
  <si>
    <t>ZFMD/SD-21197-2-SH</t>
  </si>
  <si>
    <t>三峡能源吉林省大安海坨风电场198MW工程两个细则整改设备采购合同</t>
    <phoneticPr fontId="22" type="noConversion"/>
  </si>
  <si>
    <t>吉林风电场理论功率上传软件；系统硬件</t>
    <phoneticPr fontId="22" type="noConversion"/>
  </si>
  <si>
    <t>2021.12.27</t>
    <phoneticPr fontId="1" type="noConversion"/>
  </si>
  <si>
    <r>
      <t>ZFMD/KGSQ-20011</t>
    </r>
    <r>
      <rPr>
        <sz val="9"/>
        <color indexed="8"/>
        <rFont val="宋体"/>
        <family val="3"/>
        <charset val="134"/>
      </rPr>
      <t/>
    </r>
    <phoneticPr fontId="22" type="noConversion"/>
  </si>
  <si>
    <t>ZFMD/SHFW-2021032</t>
    <phoneticPr fontId="22" type="noConversion"/>
  </si>
  <si>
    <t>ZFMD/SD-21198-SH</t>
    <phoneticPr fontId="22" type="noConversion"/>
  </si>
  <si>
    <t>ZFMD/SD-21199-1-SH</t>
    <phoneticPr fontId="22" type="noConversion"/>
  </si>
  <si>
    <t>ZFMD/SD-21199-2-SH</t>
  </si>
  <si>
    <t>ZFMD/SD-21199-3-SH</t>
  </si>
  <si>
    <t>三峡新能源辽宁省彰武光伏电站（24MWP）工程两个细则整改设备采购合同</t>
    <phoneticPr fontId="22" type="noConversion"/>
  </si>
  <si>
    <t>ZFMD/SHFW-2021028</t>
    <phoneticPr fontId="22" type="noConversion"/>
  </si>
  <si>
    <t>三峡能源黑龙江省宾县大个岭49.5MW工程两个细则整改设备采购合同</t>
    <phoneticPr fontId="22" type="noConversion"/>
  </si>
  <si>
    <t>2021.12.29</t>
    <phoneticPr fontId="22" type="noConversion"/>
  </si>
  <si>
    <t>2021.12.22</t>
    <phoneticPr fontId="22" type="noConversion"/>
  </si>
  <si>
    <t>预测服务3个月</t>
    <phoneticPr fontId="22" type="noConversion"/>
  </si>
  <si>
    <t>2020.8.1</t>
    <phoneticPr fontId="22" type="noConversion"/>
  </si>
  <si>
    <t>2020.10.31</t>
    <phoneticPr fontId="22" type="noConversion"/>
  </si>
  <si>
    <t>ZFMD/SHFW-2021035</t>
  </si>
  <si>
    <t>ZFMD/SHFW-2021029</t>
  </si>
  <si>
    <t>ZFMD/KGSQ-20072</t>
  </si>
  <si>
    <t>ZFMD/KGSQ-20071</t>
  </si>
  <si>
    <t>ZFMD/KGSQ-20070</t>
  </si>
  <si>
    <t>ZFMD/KGSQ-20062</t>
  </si>
  <si>
    <t>ZFMD/KGSQ-20068</t>
  </si>
  <si>
    <t>ZFMD/KGSQ-20066</t>
  </si>
  <si>
    <t>ZFMD/SD-21200-1-SH</t>
    <phoneticPr fontId="22" type="noConversion"/>
  </si>
  <si>
    <t>ZFMD/SD-21200-2-SH</t>
  </si>
  <si>
    <t>ZFMD/KGSQ-20065</t>
  </si>
  <si>
    <t>ZFMD/KGSQ-20069</t>
  </si>
  <si>
    <t>国电投山西陵川一期风电场首批站端上传系统硬件合同协议书</t>
  </si>
  <si>
    <t>系统硬件</t>
    <phoneticPr fontId="22" type="noConversion"/>
  </si>
  <si>
    <t>技术服务</t>
    <phoneticPr fontId="22" type="noConversion"/>
  </si>
  <si>
    <t>ZFMD/SHFW-2021030</t>
  </si>
  <si>
    <t>ZFMD/SHFW-2021027</t>
  </si>
  <si>
    <t>郭总说：销售业绩算在2021年12月份</t>
    <phoneticPr fontId="22" type="noConversion"/>
  </si>
  <si>
    <t>ZFMD/SD-21185-SH-BG01</t>
    <phoneticPr fontId="22" type="noConversion"/>
  </si>
  <si>
    <r>
      <t xml:space="preserve">销售合同登记台账-2021年
</t>
    </r>
    <r>
      <rPr>
        <sz val="10"/>
        <color theme="1"/>
        <rFont val="宋体"/>
        <family val="3"/>
        <charset val="134"/>
        <scheme val="minor"/>
      </rPr>
      <t>（文件编号：ZFMDZHGLB-HTDJTZ-V1.0）</t>
    </r>
    <phoneticPr fontId="1" type="noConversion"/>
  </si>
  <si>
    <r>
      <t xml:space="preserve">销售合同登记台账-2022年
</t>
    </r>
    <r>
      <rPr>
        <sz val="10"/>
        <color theme="1"/>
        <rFont val="宋体"/>
        <family val="3"/>
        <charset val="134"/>
        <scheme val="minor"/>
      </rPr>
      <t>（文件编号：ZFMDZHGLB-HTDJTZ-V1.0）</t>
    </r>
    <phoneticPr fontId="1" type="noConversion"/>
  </si>
  <si>
    <t>15003-2022</t>
    <phoneticPr fontId="18" type="noConversion"/>
  </si>
  <si>
    <t>ZFMD/SD-22001-SH</t>
    <phoneticPr fontId="1" type="noConversion"/>
  </si>
  <si>
    <t>宝鸡国源安华新能源开发有限公司</t>
    <phoneticPr fontId="1" type="noConversion"/>
  </si>
  <si>
    <t>2022年1月10日开票占号</t>
    <phoneticPr fontId="1" type="noConversion"/>
  </si>
  <si>
    <t>开发票占号，合同未回</t>
    <phoneticPr fontId="5" type="noConversion"/>
  </si>
  <si>
    <t>ZFMD/SD-22002-SH</t>
  </si>
  <si>
    <t>新疆蒲类海能源发展有限公司三塘湖风电场风功率预测系统数据上传时间改造技术服务合同</t>
    <phoneticPr fontId="1" type="noConversion"/>
  </si>
  <si>
    <t>ZFMD/SD-22003-SH</t>
  </si>
  <si>
    <t>2022.1.14</t>
    <phoneticPr fontId="22" type="noConversion"/>
  </si>
  <si>
    <t>2021.12.9</t>
    <phoneticPr fontId="22" type="noConversion"/>
  </si>
  <si>
    <t>华电吉林双辽风力发电有限公司</t>
    <phoneticPr fontId="1" type="noConversion"/>
  </si>
  <si>
    <t>华电那木斯风电场风功率预测系统服务合同（2021）</t>
    <phoneticPr fontId="1" type="noConversion"/>
  </si>
  <si>
    <t>那木斯</t>
    <phoneticPr fontId="1" type="noConversion"/>
  </si>
  <si>
    <t>双辽那木斯</t>
    <phoneticPr fontId="1" type="noConversion"/>
  </si>
  <si>
    <t>ZFMD/SD-22004-SH</t>
  </si>
  <si>
    <t>ZFMD/SD-22005-SH</t>
  </si>
  <si>
    <t>ZFMD/SD-22006-SH</t>
  </si>
  <si>
    <t>ZFMD/SD-22007-SH</t>
  </si>
  <si>
    <t>ZFMD/SD-22008-SH</t>
  </si>
  <si>
    <t>ZFMD/SD-22009-SH</t>
  </si>
  <si>
    <t>华能蒋公岭风电场2021年功率预测系统软件升级服务合同</t>
    <phoneticPr fontId="1" type="noConversion"/>
  </si>
  <si>
    <t>华能蒋公岭风电场风功率预测2022年气象服务合同</t>
    <phoneticPr fontId="1" type="noConversion"/>
  </si>
  <si>
    <t>2021.12.27</t>
    <phoneticPr fontId="22" type="noConversion"/>
  </si>
  <si>
    <t>华能高龙山风电场风功率预测2022年气象服务合同</t>
    <phoneticPr fontId="1" type="noConversion"/>
  </si>
  <si>
    <t>2022.8.10</t>
    <phoneticPr fontId="1" type="noConversion"/>
  </si>
  <si>
    <t>2023.8.9</t>
    <phoneticPr fontId="1" type="noConversion"/>
  </si>
  <si>
    <t>华能高龙山风电场2021年功率预测系统软件升级服务合同</t>
    <phoneticPr fontId="1" type="noConversion"/>
  </si>
  <si>
    <t>华能灵华山风电场风功率预测2022年气象服务合同</t>
    <phoneticPr fontId="1" type="noConversion"/>
  </si>
  <si>
    <t>2022.9.28</t>
    <phoneticPr fontId="22" type="noConversion"/>
  </si>
  <si>
    <t>2023.9.27</t>
    <phoneticPr fontId="22" type="noConversion"/>
  </si>
  <si>
    <t>华能灵华山风电场2021年功率预测系统软件升级服务合同</t>
    <phoneticPr fontId="1" type="noConversion"/>
  </si>
  <si>
    <t>ZFMD/SHFW-2021063</t>
  </si>
  <si>
    <t>ZFMD/SD-22010-SH</t>
    <phoneticPr fontId="1" type="noConversion"/>
  </si>
  <si>
    <t>三峡能源辽宁省开原威远风电场49.5MW工程两个细则整改设备采购合同</t>
    <phoneticPr fontId="22" type="noConversion"/>
  </si>
  <si>
    <t>2022.1.4</t>
    <phoneticPr fontId="22" type="noConversion"/>
  </si>
  <si>
    <t>ZFMD/SD-21131-SH-BG01
ZFMD/SD-21131-SH-BG02</t>
    <phoneticPr fontId="1" type="noConversion"/>
  </si>
  <si>
    <t>ZFMD/SD-21143-SH-BG01</t>
    <phoneticPr fontId="1" type="noConversion"/>
  </si>
  <si>
    <t>ZFMD/SD-21086-SH-BG01</t>
    <phoneticPr fontId="1" type="noConversion"/>
  </si>
  <si>
    <t>哈尔滨新华控制工程有限公司</t>
    <phoneticPr fontId="1" type="noConversion"/>
  </si>
  <si>
    <t>2022.1.17</t>
    <phoneticPr fontId="1" type="noConversion"/>
  </si>
  <si>
    <t>×</t>
    <phoneticPr fontId="1" type="noConversion"/>
  </si>
  <si>
    <t>2022年1月17日开票占号</t>
    <phoneticPr fontId="1" type="noConversion"/>
  </si>
  <si>
    <t>ZFMD/SD-22011-SH</t>
  </si>
  <si>
    <t>ZFMD/KGSQ-22003</t>
  </si>
  <si>
    <t>江苏金风软件技术有限公司</t>
    <phoneticPr fontId="1" type="noConversion"/>
  </si>
  <si>
    <t>采购合同</t>
    <phoneticPr fontId="1" type="noConversion"/>
  </si>
  <si>
    <t>绥滨三期</t>
    <phoneticPr fontId="1" type="noConversion"/>
  </si>
  <si>
    <t>场站视频监控</t>
    <phoneticPr fontId="1" type="noConversion"/>
  </si>
  <si>
    <t>郭文明
李妍</t>
    <phoneticPr fontId="1" type="noConversion"/>
  </si>
  <si>
    <t>李妍</t>
    <phoneticPr fontId="1" type="noConversion"/>
  </si>
  <si>
    <t>2022.1.25</t>
    <phoneticPr fontId="1" type="noConversion"/>
  </si>
  <si>
    <t>2022.1</t>
    <phoneticPr fontId="1" type="noConversion"/>
  </si>
  <si>
    <t>2022年1月24日，李妍QQ通知本合同销售业绩郭总、李妍各1半</t>
    <phoneticPr fontId="1" type="noConversion"/>
  </si>
  <si>
    <t>ZFMD/SD-22012-1-SH</t>
    <phoneticPr fontId="1" type="noConversion"/>
  </si>
  <si>
    <t>ZFMD/SD-22012-2-SH</t>
  </si>
  <si>
    <t>ZFMD/KGSQ-21026</t>
  </si>
  <si>
    <t>ZFMD/KGSQ-21027</t>
  </si>
  <si>
    <t>南京国电南自电网自动化有限公司</t>
    <phoneticPr fontId="1" type="noConversion"/>
  </si>
  <si>
    <t>标准产品采购合同</t>
    <phoneticPr fontId="1" type="noConversion"/>
  </si>
  <si>
    <t>富裕友谊50MW风电平价上网项目</t>
    <phoneticPr fontId="1" type="noConversion"/>
  </si>
  <si>
    <t>韩志宇</t>
    <phoneticPr fontId="1" type="noConversion"/>
  </si>
  <si>
    <t>2022.1.27</t>
    <phoneticPr fontId="1" type="noConversion"/>
  </si>
  <si>
    <t>2022.1.21</t>
    <phoneticPr fontId="1" type="noConversion"/>
  </si>
  <si>
    <t>免费一年</t>
    <phoneticPr fontId="1" type="noConversion"/>
  </si>
  <si>
    <t>ZFMD/SD-21125-1-SH-BG01</t>
    <phoneticPr fontId="1" type="noConversion"/>
  </si>
  <si>
    <t>ZFMD/SD-21112-SH-BG01</t>
    <phoneticPr fontId="1" type="noConversion"/>
  </si>
  <si>
    <t>ZFMD/SD-22013-SH</t>
    <phoneticPr fontId="1" type="noConversion"/>
  </si>
  <si>
    <t>中机国能五家渠新能源发电有限公司</t>
    <phoneticPr fontId="1" type="noConversion"/>
  </si>
  <si>
    <t>预测服务1个月</t>
    <phoneticPr fontId="22" type="noConversion"/>
  </si>
  <si>
    <t>李妍</t>
    <phoneticPr fontId="1" type="noConversion"/>
  </si>
  <si>
    <t>2022.1.30</t>
    <phoneticPr fontId="1" type="noConversion"/>
  </si>
  <si>
    <t>2022年1月30日开票占号</t>
    <phoneticPr fontId="1" type="noConversion"/>
  </si>
  <si>
    <t>ZFMD/SD-21119-SH-BG01</t>
    <phoneticPr fontId="1" type="noConversion"/>
  </si>
  <si>
    <t>陕西光伏太阳能发电有限公司上欠井光伏电站光功率预测系统技术升级改造服务合同</t>
    <phoneticPr fontId="22" type="noConversion"/>
  </si>
  <si>
    <t>ZFMD/SD-21186-SH</t>
    <phoneticPr fontId="1" type="noConversion"/>
  </si>
  <si>
    <t>麟游风电场风功率预测系统数据上传时间改造技术服务合同</t>
    <phoneticPr fontId="1" type="noConversion"/>
  </si>
  <si>
    <t>2022.1.10</t>
    <phoneticPr fontId="22" type="noConversion"/>
  </si>
  <si>
    <t>宝鸡麟游</t>
    <phoneticPr fontId="1" type="noConversion"/>
  </si>
  <si>
    <t>ZFMD/SD-22014-SH</t>
  </si>
  <si>
    <t>ZFMD/SD-22015-SH</t>
  </si>
  <si>
    <t>街津山风电场2022年度风功率预测服务合同</t>
    <phoneticPr fontId="22" type="noConversion"/>
  </si>
  <si>
    <t>2021.2.18</t>
    <phoneticPr fontId="22" type="noConversion"/>
  </si>
  <si>
    <t>2022.2.14</t>
    <phoneticPr fontId="22" type="noConversion"/>
  </si>
  <si>
    <t>广东明阳电气股份有限公司</t>
    <phoneticPr fontId="22" type="noConversion"/>
  </si>
  <si>
    <t>2022年2月23日开票占号</t>
    <phoneticPr fontId="1" type="noConversion"/>
  </si>
  <si>
    <t>2022.2.23</t>
    <phoneticPr fontId="1" type="noConversion"/>
  </si>
  <si>
    <t>ZFMD/SD-22017-SH</t>
  </si>
  <si>
    <t>产品买卖合同</t>
    <phoneticPr fontId="1" type="noConversion"/>
  </si>
  <si>
    <t>2022.2.21</t>
    <phoneticPr fontId="1" type="noConversion"/>
  </si>
  <si>
    <t>ZFMD/SD-22016-SH</t>
    <phoneticPr fontId="1" type="noConversion"/>
  </si>
  <si>
    <t>ZFMD/SD-22018-SH</t>
    <phoneticPr fontId="1" type="noConversion"/>
  </si>
  <si>
    <t>北京科东电力控制系统有限责任公司</t>
    <phoneticPr fontId="1" type="noConversion"/>
  </si>
  <si>
    <t>ZFMD/SD-22019-1-SH</t>
    <phoneticPr fontId="1" type="noConversion"/>
  </si>
  <si>
    <t>ZFMD/SD-22019-2-SH</t>
  </si>
  <si>
    <t>新疆伊犁库克苏河水电开发有限公司</t>
    <phoneticPr fontId="1" type="noConversion"/>
  </si>
  <si>
    <t>五凌布尔津风电场和国源天立布尔津风电场风功率预测技术服务合同</t>
    <phoneticPr fontId="1" type="noConversion"/>
  </si>
  <si>
    <t>布尔津</t>
    <phoneticPr fontId="22" type="noConversion"/>
  </si>
  <si>
    <t>国源天立布尔津</t>
    <phoneticPr fontId="22" type="noConversion"/>
  </si>
  <si>
    <t>预测服务2年</t>
    <phoneticPr fontId="1" type="noConversion"/>
  </si>
  <si>
    <t>李妍</t>
    <phoneticPr fontId="1" type="noConversion"/>
  </si>
  <si>
    <t>2022.2.25</t>
    <phoneticPr fontId="1" type="noConversion"/>
  </si>
  <si>
    <t>2021.12.31</t>
    <phoneticPr fontId="1" type="noConversion"/>
  </si>
  <si>
    <t>原件</t>
    <phoneticPr fontId="1" type="noConversion"/>
  </si>
  <si>
    <t>2022.1.1</t>
    <phoneticPr fontId="1" type="noConversion"/>
  </si>
  <si>
    <t>2023.12.31</t>
    <phoneticPr fontId="1" type="noConversion"/>
  </si>
  <si>
    <t>ZFMD/SD-22016-SH-BG01</t>
    <phoneticPr fontId="1" type="noConversion"/>
  </si>
  <si>
    <t>ZFMD/SD-22020-SH</t>
    <phoneticPr fontId="1" type="noConversion"/>
  </si>
  <si>
    <t>ZFMD/SD-22021-1-SH</t>
    <phoneticPr fontId="1" type="noConversion"/>
  </si>
  <si>
    <t>ZFMD/SD-22021-2-SH</t>
  </si>
  <si>
    <t>2022.3.3</t>
    <phoneticPr fontId="1" type="noConversion"/>
  </si>
  <si>
    <t>2022年3月3日开票占号</t>
    <phoneticPr fontId="1" type="noConversion"/>
  </si>
  <si>
    <t>2022.2.22</t>
    <phoneticPr fontId="22" type="noConversion"/>
  </si>
  <si>
    <t>ZFMD/KGSQ-22001</t>
    <phoneticPr fontId="1" type="noConversion"/>
  </si>
  <si>
    <t>ZFMD/KGSQ-22002</t>
  </si>
  <si>
    <t>北京四方继保工程技术有限公司保定分公司</t>
    <phoneticPr fontId="1" type="noConversion"/>
  </si>
  <si>
    <t>北京四方继保工程技术有限公司保定分公司采购合同</t>
    <phoneticPr fontId="1" type="noConversion"/>
  </si>
  <si>
    <t>马梦迪</t>
    <phoneticPr fontId="1" type="noConversion"/>
  </si>
  <si>
    <t>2022.1.18</t>
    <phoneticPr fontId="1" type="noConversion"/>
  </si>
  <si>
    <t>免费一年</t>
    <phoneticPr fontId="1" type="noConversion"/>
  </si>
  <si>
    <t>ZFMD/SD-22022-1-SH</t>
    <phoneticPr fontId="1" type="noConversion"/>
  </si>
  <si>
    <t>ZFMD/SD-22022-2-SH</t>
  </si>
  <si>
    <t>中节能风力发电（哈密）有限公司烟墩风电场、景峡风电场风功率预测中期改造技术服务合同</t>
    <phoneticPr fontId="1" type="noConversion"/>
  </si>
  <si>
    <t>中节能风力发电（哈密）有限公司</t>
  </si>
  <si>
    <t>李妍</t>
    <phoneticPr fontId="1" type="noConversion"/>
  </si>
  <si>
    <t>2022.3.4</t>
    <phoneticPr fontId="1" type="noConversion"/>
  </si>
  <si>
    <t>2022.2.23</t>
    <phoneticPr fontId="1" type="noConversion"/>
  </si>
  <si>
    <t>原件</t>
    <phoneticPr fontId="1" type="noConversion"/>
  </si>
  <si>
    <t>ZFMD/SD-22023-SH</t>
    <phoneticPr fontId="1" type="noConversion"/>
  </si>
  <si>
    <t>黑龙江省筑祥建设工程有限公司</t>
    <phoneticPr fontId="1" type="noConversion"/>
  </si>
  <si>
    <t>黑龙江</t>
    <phoneticPr fontId="1" type="noConversion"/>
  </si>
  <si>
    <t>华能</t>
    <phoneticPr fontId="1" type="noConversion"/>
  </si>
  <si>
    <t>长胜</t>
    <phoneticPr fontId="1" type="noConversion"/>
  </si>
  <si>
    <t>无</t>
    <phoneticPr fontId="1" type="noConversion"/>
  </si>
  <si>
    <t>光伏电站</t>
    <phoneticPr fontId="1" type="noConversion"/>
  </si>
  <si>
    <t>光伏功率预测</t>
    <phoneticPr fontId="1" type="noConversion"/>
  </si>
  <si>
    <t>系统硬件；光伏气象站设备</t>
    <phoneticPr fontId="1" type="noConversion"/>
  </si>
  <si>
    <t>马梦迪</t>
    <phoneticPr fontId="1" type="noConversion"/>
  </si>
  <si>
    <t>2022.3.7</t>
    <phoneticPr fontId="1" type="noConversion"/>
  </si>
  <si>
    <t>2021.10</t>
    <phoneticPr fontId="1" type="noConversion"/>
  </si>
  <si>
    <t>大庆市经开区能源互联网光伏发电平价上网项目光功率预测系统设备升级改造技术服务合同</t>
    <phoneticPr fontId="1" type="noConversion"/>
  </si>
  <si>
    <t>测风塔维护；预测服务3年</t>
    <phoneticPr fontId="1" type="noConversion"/>
  </si>
  <si>
    <t>2022.3.7</t>
    <phoneticPr fontId="1" type="noConversion"/>
  </si>
  <si>
    <t>2022.2.23</t>
    <phoneticPr fontId="1" type="noConversion"/>
  </si>
  <si>
    <t>2022.4.9</t>
    <phoneticPr fontId="1" type="noConversion"/>
  </si>
  <si>
    <t>新特红星</t>
    <phoneticPr fontId="1" type="noConversion"/>
  </si>
  <si>
    <t>系统硬件</t>
    <phoneticPr fontId="1" type="noConversion"/>
  </si>
  <si>
    <t>哈密新特能源有限责任公司</t>
    <phoneticPr fontId="1" type="noConversion"/>
  </si>
  <si>
    <t>哈密新特风电场风功率预测服务工作站及预测服务器等物资采购合同</t>
    <phoneticPr fontId="1" type="noConversion"/>
  </si>
  <si>
    <t>2022.2.25</t>
    <phoneticPr fontId="1" type="noConversion"/>
  </si>
  <si>
    <t>原件</t>
    <phoneticPr fontId="1" type="noConversion"/>
  </si>
  <si>
    <t>ZFMD/SD-22024-SH</t>
    <phoneticPr fontId="1" type="noConversion"/>
  </si>
  <si>
    <t>ZFMD/SD-22025-SH</t>
    <phoneticPr fontId="1" type="noConversion"/>
  </si>
  <si>
    <t>ZFMD/KGSQ-22005</t>
    <phoneticPr fontId="1" type="noConversion"/>
  </si>
  <si>
    <t>ZFMD/SD-21126-1-SH-BG01
ZFMD/SD-21126-1-SH-BG02</t>
    <phoneticPr fontId="1" type="noConversion"/>
  </si>
  <si>
    <t>木垒县乾慧能源开发有限公司</t>
    <phoneticPr fontId="1" type="noConversion"/>
  </si>
  <si>
    <t>秦英飞</t>
    <phoneticPr fontId="1" type="noConversion"/>
  </si>
  <si>
    <t>2022.3.11</t>
    <phoneticPr fontId="1" type="noConversion"/>
  </si>
  <si>
    <t>ZFMD/SD-21128-SH-BG01
ZFMD/SD-21128-SH-BG02</t>
    <phoneticPr fontId="1" type="noConversion"/>
  </si>
  <si>
    <t>乾慧木垒老君庙</t>
    <phoneticPr fontId="1" type="noConversion"/>
  </si>
  <si>
    <t>ZFMD/SD-22023-SH-BG01</t>
    <phoneticPr fontId="1" type="noConversion"/>
  </si>
  <si>
    <t>乌鲁木齐恒瑞哲宇电力设备有限公司</t>
    <phoneticPr fontId="1" type="noConversion"/>
  </si>
  <si>
    <t>新特红星风电场风功率预测系统服务合同书</t>
    <phoneticPr fontId="1" type="noConversion"/>
  </si>
  <si>
    <t>ZFMD/SD-22028-SH</t>
    <phoneticPr fontId="1" type="noConversion"/>
  </si>
  <si>
    <t>李妍</t>
    <phoneticPr fontId="1" type="noConversion"/>
  </si>
  <si>
    <t>2022.3.16</t>
    <phoneticPr fontId="1" type="noConversion"/>
  </si>
  <si>
    <t>2022.3</t>
    <phoneticPr fontId="1" type="noConversion"/>
  </si>
  <si>
    <t>ZFMD/SD-22029-SH</t>
  </si>
  <si>
    <t>ZFMD/SD-22030-SH</t>
  </si>
  <si>
    <t>ZFMD/SHFW-2022002</t>
  </si>
  <si>
    <t>蒙东协合镇赉第一风力发电有限公司</t>
    <phoneticPr fontId="1" type="noConversion"/>
  </si>
  <si>
    <t>蒙东协合镇赉第一风力发电有限公司风功率预测系统升级服务合同</t>
    <phoneticPr fontId="1" type="noConversion"/>
  </si>
  <si>
    <t>王星</t>
    <phoneticPr fontId="1" type="noConversion"/>
  </si>
  <si>
    <t>2022.3.11</t>
    <phoneticPr fontId="1" type="noConversion"/>
  </si>
  <si>
    <t>扶余市成瑞风能有限公司</t>
    <phoneticPr fontId="1" type="noConversion"/>
  </si>
  <si>
    <t>扶余市成瑞风能有限公司风功率预测系统升级服务合同</t>
    <phoneticPr fontId="1" type="noConversion"/>
  </si>
  <si>
    <t>ZFMD/SD-22031-SH</t>
  </si>
  <si>
    <t>ZFMD/KGSQ-22004</t>
  </si>
  <si>
    <t>北京金风慧能技术有限公司</t>
    <phoneticPr fontId="1" type="noConversion"/>
  </si>
  <si>
    <t>采购合同</t>
    <phoneticPr fontId="1" type="noConversion"/>
  </si>
  <si>
    <t>2022.3.7</t>
    <phoneticPr fontId="1" type="noConversion"/>
  </si>
  <si>
    <t>乾慧风电场风功率预测系统技术服务合同</t>
    <phoneticPr fontId="1" type="noConversion"/>
  </si>
  <si>
    <t>2022.2.24</t>
    <phoneticPr fontId="1" type="noConversion"/>
  </si>
  <si>
    <t>2023.2.23</t>
    <phoneticPr fontId="1" type="noConversion"/>
  </si>
  <si>
    <t>ZFMD/SD-22027-SH</t>
    <phoneticPr fontId="1" type="noConversion"/>
  </si>
  <si>
    <t>包含调兵山服务费2.4万元，反隔更换4.6万元。
乌伊岭服务费2.4万元。</t>
    <phoneticPr fontId="1" type="noConversion"/>
  </si>
  <si>
    <t>ZFMD/SD-21022-SH</t>
    <phoneticPr fontId="1" type="noConversion"/>
  </si>
  <si>
    <t>包含大安海坨服务费1.6万元，反隔更换4.4万元。
富裕服务费2.4万元。</t>
    <phoneticPr fontId="1" type="noConversion"/>
  </si>
  <si>
    <t>ZFMD/SD-21023-SH</t>
    <phoneticPr fontId="1" type="noConversion"/>
  </si>
  <si>
    <t>合同包含宾县预测服务2.4万元，伊春反隔更换4.75万元。</t>
    <phoneticPr fontId="1" type="noConversion"/>
  </si>
  <si>
    <t>ZFMD/SD-21045-SH</t>
    <phoneticPr fontId="1" type="noConversion"/>
  </si>
  <si>
    <t>合同包含伊春美林服务费2.4万元，彰武服务费1.475万元。</t>
    <phoneticPr fontId="1" type="noConversion"/>
  </si>
  <si>
    <t>ZFMD/SD-21047-SH</t>
    <phoneticPr fontId="1" type="noConversion"/>
  </si>
  <si>
    <t>短期软件；超短期软件；预测服务1年；软件升级（预测上传10天）</t>
    <phoneticPr fontId="1" type="noConversion"/>
  </si>
  <si>
    <t>补充协议为软件升级（预测上传10天）</t>
    <phoneticPr fontId="1" type="noConversion"/>
  </si>
  <si>
    <t>ZFMD/SD-22032-SH</t>
  </si>
  <si>
    <t>乾慧风电场风功率预测系统升级改造技术服务合同</t>
    <phoneticPr fontId="1" type="noConversion"/>
  </si>
  <si>
    <t>ZFMD/SD-22026-SH</t>
    <phoneticPr fontId="1" type="noConversion"/>
  </si>
  <si>
    <t>哈密海新能源有限公司</t>
    <phoneticPr fontId="1" type="noConversion"/>
  </si>
  <si>
    <t>中船重工</t>
    <phoneticPr fontId="1" type="noConversion"/>
  </si>
  <si>
    <t>第十三师三塘湖</t>
    <phoneticPr fontId="1" type="noConversion"/>
  </si>
  <si>
    <t>海为红星</t>
    <phoneticPr fontId="1" type="noConversion"/>
  </si>
  <si>
    <t>哈密海新能源有限公司（风功率预测系统升级技术服务合同）</t>
    <phoneticPr fontId="1" type="noConversion"/>
  </si>
  <si>
    <t>李妍</t>
    <phoneticPr fontId="1" type="noConversion"/>
  </si>
  <si>
    <t>2022.3.24</t>
    <phoneticPr fontId="1" type="noConversion"/>
  </si>
  <si>
    <t>2022.3.7</t>
    <phoneticPr fontId="1" type="noConversion"/>
  </si>
  <si>
    <t>华电铁岭风力发电有限公司</t>
    <phoneticPr fontId="1" type="noConversion"/>
  </si>
  <si>
    <t>2022.3.23</t>
    <phoneticPr fontId="22" type="noConversion"/>
  </si>
  <si>
    <t>2022年3月23日开票占号</t>
    <phoneticPr fontId="1" type="noConversion"/>
  </si>
  <si>
    <t>ZFMD/SD-22033-SH</t>
    <phoneticPr fontId="1" type="noConversion"/>
  </si>
  <si>
    <t>华电铁岭风电公司铁岭风电场2022年风功率预测服务项目合同</t>
    <phoneticPr fontId="1" type="noConversion"/>
  </si>
  <si>
    <t>ZFMD/SD-22034-SH</t>
  </si>
  <si>
    <t>2022.3.29</t>
    <phoneticPr fontId="1" type="noConversion"/>
  </si>
  <si>
    <t>2022.3.1</t>
    <phoneticPr fontId="1" type="noConversion"/>
  </si>
  <si>
    <t>2023.2.28</t>
    <phoneticPr fontId="1" type="noConversion"/>
  </si>
  <si>
    <t>ZFMD/SD-22035-SH</t>
  </si>
  <si>
    <t>2022.4.2</t>
    <phoneticPr fontId="1" type="noConversion"/>
  </si>
  <si>
    <t>2022年4月2日开票占号</t>
    <phoneticPr fontId="1" type="noConversion"/>
  </si>
  <si>
    <t>2022.4.9</t>
    <phoneticPr fontId="22" type="noConversion"/>
  </si>
  <si>
    <t>2022.3.24</t>
    <phoneticPr fontId="22" type="noConversion"/>
  </si>
  <si>
    <t>ZFMD/SD-22036-SH</t>
    <phoneticPr fontId="1" type="noConversion"/>
  </si>
  <si>
    <t>2022年4月11日。郭总转交合同变更协议。合同金额由169.5万元变更为159.5万元。</t>
    <phoneticPr fontId="1" type="noConversion"/>
  </si>
  <si>
    <t>ZFMD/SD-22011-SH-BG01</t>
    <phoneticPr fontId="1" type="noConversion"/>
  </si>
  <si>
    <t>ZFMD/SD-21120-SH-BG01</t>
    <phoneticPr fontId="1" type="noConversion"/>
  </si>
  <si>
    <t>ZFMD/SD-22037-SH</t>
  </si>
  <si>
    <t>ZFMD/SD-22038-SH</t>
  </si>
  <si>
    <t>五凌托克逊电力有限公司</t>
    <phoneticPr fontId="1" type="noConversion"/>
  </si>
  <si>
    <t>五凌托克逊风电场中期功率预测升级服务项目合同</t>
    <phoneticPr fontId="1" type="noConversion"/>
  </si>
  <si>
    <t>风电场</t>
    <phoneticPr fontId="1" type="noConversion"/>
  </si>
  <si>
    <t>李妍</t>
    <phoneticPr fontId="1" type="noConversion"/>
  </si>
  <si>
    <t>2022.4.16</t>
    <phoneticPr fontId="1" type="noConversion"/>
  </si>
  <si>
    <t>2022.4.8</t>
    <phoneticPr fontId="1" type="noConversion"/>
  </si>
  <si>
    <t>五凌布尔津电力有限公司</t>
    <phoneticPr fontId="1" type="noConversion"/>
  </si>
  <si>
    <t>五凌布尔津风电场中期功率预测升级服务项目合同</t>
    <phoneticPr fontId="1" type="noConversion"/>
  </si>
  <si>
    <t>无</t>
    <phoneticPr fontId="1" type="noConversion"/>
  </si>
  <si>
    <t>2022.3.30</t>
    <phoneticPr fontId="1" type="noConversion"/>
  </si>
  <si>
    <t>ZFMD/SD-22039-1-SH</t>
    <phoneticPr fontId="1" type="noConversion"/>
  </si>
  <si>
    <t>ZFMD/SD-22039-2-SH</t>
  </si>
  <si>
    <t>华能哈密风力发电有限公司所属场站中期功率预测上传升级服务合同</t>
    <phoneticPr fontId="1" type="noConversion"/>
  </si>
  <si>
    <t>华能烟墩北风电一场</t>
    <phoneticPr fontId="22" type="noConversion"/>
  </si>
  <si>
    <t>哈密石城子</t>
    <phoneticPr fontId="22" type="noConversion"/>
  </si>
  <si>
    <t>2022.4.21</t>
    <phoneticPr fontId="1" type="noConversion"/>
  </si>
  <si>
    <t>2022.4.11</t>
    <phoneticPr fontId="1" type="noConversion"/>
  </si>
  <si>
    <t>ZFMD/SD-22040-SH</t>
    <phoneticPr fontId="1" type="noConversion"/>
  </si>
  <si>
    <t>ZFMD/KGSQ-22009</t>
  </si>
  <si>
    <t>齐齐哈尔一重</t>
    <phoneticPr fontId="1" type="noConversion"/>
  </si>
  <si>
    <t>马梦迪</t>
    <phoneticPr fontId="1" type="noConversion"/>
  </si>
  <si>
    <t>2022.4.22</t>
    <phoneticPr fontId="1" type="noConversion"/>
  </si>
  <si>
    <t>2022.4.12</t>
    <phoneticPr fontId="1" type="noConversion"/>
  </si>
  <si>
    <t>ZFMD/SD-22041-SH</t>
  </si>
  <si>
    <t>龙源哈密新能源有限公司</t>
    <phoneticPr fontId="1" type="noConversion"/>
  </si>
  <si>
    <t>2022.4.26</t>
    <phoneticPr fontId="1" type="noConversion"/>
  </si>
  <si>
    <t>2022年4月26日开票占号</t>
    <phoneticPr fontId="1" type="noConversion"/>
  </si>
  <si>
    <t>ZFMD/SD-22042-SH</t>
  </si>
  <si>
    <t>大唐黑龙江新能源开发有限公司消防无人机及巡视无人机采购合同</t>
    <phoneticPr fontId="1" type="noConversion"/>
  </si>
  <si>
    <t>无人机</t>
    <phoneticPr fontId="1" type="noConversion"/>
  </si>
  <si>
    <t>郭文明
李妍</t>
    <phoneticPr fontId="1" type="noConversion"/>
  </si>
  <si>
    <t>李妍</t>
    <phoneticPr fontId="1" type="noConversion"/>
  </si>
  <si>
    <t>2022.4.29</t>
    <phoneticPr fontId="1" type="noConversion"/>
  </si>
  <si>
    <t>风电功率预测</t>
    <phoneticPr fontId="1" type="noConversion"/>
  </si>
  <si>
    <t>测风塔；测风塔设备</t>
    <phoneticPr fontId="1" type="noConversion"/>
  </si>
  <si>
    <t>ZFMD/SD-22043-1-SH</t>
    <phoneticPr fontId="1" type="noConversion"/>
  </si>
  <si>
    <t>ZFMD/SD-22043-2-SH</t>
    <phoneticPr fontId="1" type="noConversion"/>
  </si>
  <si>
    <t>ZFMD/SD-22044-SH</t>
    <phoneticPr fontId="1" type="noConversion"/>
  </si>
  <si>
    <t>南京国电南自维美德自动化有限公司</t>
    <phoneticPr fontId="1" type="noConversion"/>
  </si>
  <si>
    <t>西沟二期</t>
    <phoneticPr fontId="1" type="noConversion"/>
  </si>
  <si>
    <t>短期软件；超短期软件；系统硬件；预测服务2年；测风塔改造</t>
    <phoneticPr fontId="1" type="noConversion"/>
  </si>
  <si>
    <t>ZFMD/KGSQ-21030</t>
  </si>
  <si>
    <t>物资采购合同</t>
    <phoneticPr fontId="1" type="noConversion"/>
  </si>
  <si>
    <t>2022.4.27</t>
    <phoneticPr fontId="22" type="noConversion"/>
  </si>
  <si>
    <t>ZFMD/SD-22045-1-SH</t>
    <phoneticPr fontId="1" type="noConversion"/>
  </si>
  <si>
    <t>ZFMD/SD-22045-2-SH</t>
  </si>
  <si>
    <t>2022年度中卫香山第四、六风电场风功率预测系统气象及运维服务</t>
    <phoneticPr fontId="1" type="noConversion"/>
  </si>
  <si>
    <t>2022.5.11</t>
    <phoneticPr fontId="1" type="noConversion"/>
  </si>
  <si>
    <t>2022.3.6</t>
    <phoneticPr fontId="1" type="noConversion"/>
  </si>
  <si>
    <t>ZFMD/SD-22046-SH</t>
    <phoneticPr fontId="1" type="noConversion"/>
  </si>
  <si>
    <t>ZFMD/KGSQ-22007</t>
  </si>
  <si>
    <t>雅满苏</t>
    <phoneticPr fontId="1" type="noConversion"/>
  </si>
  <si>
    <t>光伏气象站；光伏气象站设备</t>
    <phoneticPr fontId="1" type="noConversion"/>
  </si>
  <si>
    <t>大唐哈密风电开发有限公司</t>
    <phoneticPr fontId="1" type="noConversion"/>
  </si>
  <si>
    <t>无</t>
    <phoneticPr fontId="1" type="noConversion"/>
  </si>
  <si>
    <t>光伏电站</t>
    <phoneticPr fontId="1" type="noConversion"/>
  </si>
  <si>
    <t>2022.5.11</t>
    <phoneticPr fontId="1" type="noConversion"/>
  </si>
  <si>
    <t>2022.4.6</t>
    <phoneticPr fontId="1" type="noConversion"/>
  </si>
  <si>
    <t>ZFMD/SD-22047-SH</t>
  </si>
  <si>
    <t>上堡风电场风功率预测系统服务合同书</t>
    <phoneticPr fontId="1" type="noConversion"/>
  </si>
  <si>
    <t>上堡</t>
    <phoneticPr fontId="1" type="noConversion"/>
  </si>
  <si>
    <t>ZFMD/SD-22048-SH</t>
  </si>
  <si>
    <t>钟祥胡家湾风电场功率预测系统程序升级服务</t>
    <phoneticPr fontId="1" type="noConversion"/>
  </si>
  <si>
    <t>2022.4.20</t>
    <phoneticPr fontId="1" type="noConversion"/>
  </si>
  <si>
    <t>ZFMD/SD-22049-SH</t>
  </si>
  <si>
    <t>2022.5.19</t>
    <phoneticPr fontId="1" type="noConversion"/>
  </si>
  <si>
    <t>2022年5月19日开票占号</t>
    <phoneticPr fontId="1" type="noConversion"/>
  </si>
  <si>
    <t>ZFMD/SD-22050-SH</t>
  </si>
  <si>
    <t>ZFMD/SD-22051-SH</t>
  </si>
  <si>
    <t>ZFMD/SD-22052-SH</t>
  </si>
  <si>
    <t>大唐哈密风电开发有限公司石城子光伏电站太阳能资源实时监测系统改造项目合同</t>
    <phoneticPr fontId="1" type="noConversion"/>
  </si>
  <si>
    <t>大唐哈密风电开发有限公司雅满苏光伏电站太阳能资源实时监测系统改造项目合同</t>
    <phoneticPr fontId="1" type="noConversion"/>
  </si>
  <si>
    <t>ZFMD/KGSQ-22008</t>
    <phoneticPr fontId="5" type="noConversion"/>
  </si>
  <si>
    <t>石城子</t>
    <phoneticPr fontId="22" type="noConversion"/>
  </si>
  <si>
    <t>2022.5.20</t>
    <phoneticPr fontId="22" type="noConversion"/>
  </si>
  <si>
    <t>2022.4.7</t>
    <phoneticPr fontId="22" type="noConversion"/>
  </si>
  <si>
    <t>2022.5</t>
    <phoneticPr fontId="1" type="noConversion"/>
  </si>
  <si>
    <t>2023.3.31</t>
    <phoneticPr fontId="1" type="noConversion"/>
  </si>
  <si>
    <t>2021.10.1</t>
    <phoneticPr fontId="1" type="noConversion"/>
  </si>
  <si>
    <t>预测服务18个月；软件升级（预测上传10天）</t>
    <phoneticPr fontId="1" type="noConversion"/>
  </si>
  <si>
    <t>中国船舶重工集团海装风电股份有限公司</t>
    <phoneticPr fontId="22" type="noConversion"/>
  </si>
  <si>
    <t>技术服务合同</t>
    <phoneticPr fontId="22" type="noConversion"/>
  </si>
  <si>
    <t>风电场</t>
    <phoneticPr fontId="22" type="noConversion"/>
  </si>
  <si>
    <t>风电功率预测</t>
    <phoneticPr fontId="22" type="noConversion"/>
  </si>
  <si>
    <t>预测服务42个月</t>
    <phoneticPr fontId="22" type="noConversion"/>
  </si>
  <si>
    <t>李妍</t>
    <phoneticPr fontId="22" type="noConversion"/>
  </si>
  <si>
    <t>2022.5.20</t>
    <phoneticPr fontId="22" type="noConversion"/>
  </si>
  <si>
    <t>2022.5.9</t>
    <phoneticPr fontId="22" type="noConversion"/>
  </si>
  <si>
    <t>原件</t>
    <phoneticPr fontId="22" type="noConversion"/>
  </si>
  <si>
    <t>2022.4.1</t>
    <phoneticPr fontId="22" type="noConversion"/>
  </si>
  <si>
    <t>2025.9.30</t>
    <phoneticPr fontId="22" type="noConversion"/>
  </si>
  <si>
    <t>ZFMD/SD-22053-1-SH</t>
    <phoneticPr fontId="22" type="noConversion"/>
  </si>
  <si>
    <t>ZFMD/SD-22053-2-SH</t>
  </si>
  <si>
    <t>阳光电源股份有限公司</t>
    <phoneticPr fontId="22" type="noConversion"/>
  </si>
  <si>
    <t>国华陕西大柳塔光伏电站AGC/AVC系统及光伏功率预测系统接入调试技术服务合同</t>
    <phoneticPr fontId="22" type="noConversion"/>
  </si>
  <si>
    <t>贾家梁</t>
    <phoneticPr fontId="1" type="noConversion"/>
  </si>
  <si>
    <t>技术服务</t>
    <phoneticPr fontId="22" type="noConversion"/>
  </si>
  <si>
    <t>2022.5.20</t>
    <phoneticPr fontId="22" type="noConversion"/>
  </si>
  <si>
    <t>2022.5</t>
    <phoneticPr fontId="22" type="noConversion"/>
  </si>
  <si>
    <t>ZFMD/SD-22054-SH</t>
    <phoneticPr fontId="22" type="noConversion"/>
  </si>
  <si>
    <t>伊吾东方民生风电场中期功率预测上传升级服务合同</t>
    <phoneticPr fontId="22" type="noConversion"/>
  </si>
  <si>
    <t>2022.5.28</t>
    <phoneticPr fontId="1" type="noConversion"/>
  </si>
  <si>
    <t>2022.5.11</t>
    <phoneticPr fontId="22" type="noConversion"/>
  </si>
  <si>
    <t>巴里坤东方民生风电场中期功率预测上传升级服务合同</t>
    <phoneticPr fontId="22" type="noConversion"/>
  </si>
  <si>
    <t>ZFMD/SD-22055-SH</t>
    <phoneticPr fontId="22" type="noConversion"/>
  </si>
  <si>
    <t>ZFMD/SD-22056-SH</t>
    <phoneticPr fontId="22" type="noConversion"/>
  </si>
  <si>
    <t>哈密东方民生石城子光伏电站中期功率预测上传升级服务合同</t>
    <phoneticPr fontId="22" type="noConversion"/>
  </si>
  <si>
    <t>ZFMD/SD-22057-SH</t>
    <phoneticPr fontId="22" type="noConversion"/>
  </si>
  <si>
    <t>新疆华电苦水风电场中期功率预测上传升级服务合同</t>
    <phoneticPr fontId="22" type="noConversion"/>
  </si>
  <si>
    <t>ZFMD/SD-22058-SH</t>
    <phoneticPr fontId="22" type="noConversion"/>
  </si>
  <si>
    <t>新疆华电淖毛湖风电场中期功率预测上传升级服务合同</t>
    <phoneticPr fontId="22" type="noConversion"/>
  </si>
  <si>
    <t>ZFMD/SD-22059-1-SH</t>
    <phoneticPr fontId="22" type="noConversion"/>
  </si>
  <si>
    <t>ZFMD/SD-22059-2-SH</t>
  </si>
  <si>
    <t>新疆华电石城子光伏电站一二三期中期功率预测上传升级服务合同</t>
    <phoneticPr fontId="22" type="noConversion"/>
  </si>
  <si>
    <t>ZFMD/SD-22060-SH</t>
    <phoneticPr fontId="22" type="noConversion"/>
  </si>
  <si>
    <t>哈密力诺石城子光伏电站中期功率预测上传升级服务合同</t>
    <phoneticPr fontId="22" type="noConversion"/>
  </si>
  <si>
    <t>ZFMD/SD-22061-1-SH</t>
    <phoneticPr fontId="22" type="noConversion"/>
  </si>
  <si>
    <t>ZFMD/SD-22061-2-SH</t>
  </si>
  <si>
    <t>ZFMD/SD-22061-3-SH</t>
  </si>
  <si>
    <t>十三间房一期、二期</t>
    <phoneticPr fontId="22" type="noConversion"/>
  </si>
  <si>
    <t>新疆华电十三间房风电场一二三四期中期功率预测上传升级服务合同</t>
    <phoneticPr fontId="22" type="noConversion"/>
  </si>
  <si>
    <t>ZFMD/SD-22062-SH</t>
    <phoneticPr fontId="22" type="noConversion"/>
  </si>
  <si>
    <t>新疆华电雪湖三期（大连湖风一场）中期功率预测上传升级服务合同</t>
    <phoneticPr fontId="1" type="noConversion"/>
  </si>
  <si>
    <t>ZFMD/SD-22063-SH</t>
    <phoneticPr fontId="22" type="noConversion"/>
  </si>
  <si>
    <t>华电福新老君庙风电一场中期功率预测上传升级服务合同</t>
    <phoneticPr fontId="1" type="noConversion"/>
  </si>
  <si>
    <t>ZFMD/SD-22064-1-SH</t>
    <phoneticPr fontId="22" type="noConversion"/>
  </si>
  <si>
    <t>ZFMD/SD-22064-2-SH</t>
  </si>
  <si>
    <t>福新木垒、木垒照壁山光伏一电站中期功率预测上传升级服务合同</t>
    <phoneticPr fontId="1" type="noConversion"/>
  </si>
  <si>
    <t>ZFMD/SD-22065-SH</t>
    <phoneticPr fontId="22" type="noConversion"/>
  </si>
  <si>
    <t>ZFMD/SD-22066-SH</t>
  </si>
  <si>
    <t>ZFMD/SD-22067-SH</t>
  </si>
  <si>
    <t>代马沟风电场技术服务合同</t>
    <phoneticPr fontId="1" type="noConversion"/>
  </si>
  <si>
    <t>香港风力发电（穆棱）有限公司</t>
    <phoneticPr fontId="1" type="noConversion"/>
  </si>
  <si>
    <t>2022.5.31</t>
    <phoneticPr fontId="1" type="noConversion"/>
  </si>
  <si>
    <t>2022.4.29</t>
    <phoneticPr fontId="22" type="noConversion"/>
  </si>
  <si>
    <t>2023.4.30</t>
    <phoneticPr fontId="22" type="noConversion"/>
  </si>
  <si>
    <t>2022.3.31</t>
    <phoneticPr fontId="1" type="noConversion"/>
  </si>
  <si>
    <t>ZFMD/SD-22068-1-SH</t>
    <phoneticPr fontId="22" type="noConversion"/>
  </si>
  <si>
    <t>ZFMD/SD-22068-2-SH</t>
    <phoneticPr fontId="22" type="noConversion"/>
  </si>
  <si>
    <t>和平、新海风电场2022年度风功率预测服务合同</t>
    <phoneticPr fontId="22" type="noConversion"/>
  </si>
  <si>
    <t>2022.6.11</t>
    <phoneticPr fontId="22" type="noConversion"/>
  </si>
  <si>
    <t>2022.4.20</t>
    <phoneticPr fontId="22" type="noConversion"/>
  </si>
  <si>
    <t>ZFMD/SD-22069-SH</t>
    <phoneticPr fontId="22" type="noConversion"/>
  </si>
  <si>
    <t>四平中广核风力发电有限公司</t>
    <phoneticPr fontId="22" type="noConversion"/>
  </si>
  <si>
    <t>开发票占号，不签合同</t>
    <phoneticPr fontId="22" type="noConversion"/>
  </si>
  <si>
    <t>/</t>
    <phoneticPr fontId="22" type="noConversion"/>
  </si>
  <si>
    <t>ZFMD/SD-22070-SH</t>
  </si>
  <si>
    <t>2022.6.14</t>
    <phoneticPr fontId="22" type="noConversion"/>
  </si>
  <si>
    <t>ZFMD/SD-22071-SH</t>
  </si>
  <si>
    <t>ZFMD/SD-22072-SH</t>
  </si>
  <si>
    <t>ZFMD/SD-22073-1-SH</t>
    <phoneticPr fontId="22" type="noConversion"/>
  </si>
  <si>
    <t>ZFMD/SD-22073-2-SH</t>
  </si>
  <si>
    <t>ZFMD/SD-22073-3-SH</t>
  </si>
  <si>
    <t>ZFMD/SD-22074-SH</t>
    <phoneticPr fontId="22" type="noConversion"/>
  </si>
  <si>
    <t>ZFMD/SD-22075-SH</t>
  </si>
  <si>
    <t>ZFMD/SD-22076-SH</t>
  </si>
  <si>
    <t>ZFMD/SD-22077-SH</t>
  </si>
  <si>
    <t>ZFMD/SD-22078-SH</t>
  </si>
  <si>
    <t>技术服务合同</t>
    <phoneticPr fontId="22" type="noConversion"/>
  </si>
  <si>
    <t>2022.6.14</t>
    <phoneticPr fontId="1" type="noConversion"/>
  </si>
  <si>
    <t>2022.6</t>
    <phoneticPr fontId="1" type="noConversion"/>
  </si>
  <si>
    <t>国电和风青龙风电场2022年气象数值预报及上传系统技术服务合同</t>
    <phoneticPr fontId="1" type="noConversion"/>
  </si>
  <si>
    <t>2022.2.22</t>
    <phoneticPr fontId="1" type="noConversion"/>
  </si>
  <si>
    <t>白杨沟风电场、大连湖风电一场、西沟风电一场中期功率预测上传升级服务合同</t>
    <phoneticPr fontId="1" type="noConversion"/>
  </si>
  <si>
    <t>2022.5.24</t>
    <phoneticPr fontId="1" type="noConversion"/>
  </si>
  <si>
    <t>小草湖北风电一场中期功率预测上传升级服务合同</t>
    <phoneticPr fontId="22" type="noConversion"/>
  </si>
  <si>
    <t>小草湖南风电一场中期功率预测上传升级服务合同</t>
    <phoneticPr fontId="22" type="noConversion"/>
  </si>
  <si>
    <t>新疆华电焉耆太阳能发电有限公司</t>
    <phoneticPr fontId="22" type="noConversion"/>
  </si>
  <si>
    <t>焉耆太阳能光伏电站中期功率预测上传升级服务合同</t>
    <phoneticPr fontId="22" type="noConversion"/>
  </si>
  <si>
    <t>新疆华电木垒新能源有限公司</t>
    <phoneticPr fontId="22" type="noConversion"/>
  </si>
  <si>
    <t>木垒大石头风电场中期功率预测上传升级服务合同</t>
    <phoneticPr fontId="22" type="noConversion"/>
  </si>
  <si>
    <t>五家渠鑫和信能源科技有限公司</t>
    <phoneticPr fontId="22" type="noConversion"/>
  </si>
  <si>
    <t>鑫和北塔山风电场中期功率预测上传升级服务合同</t>
    <phoneticPr fontId="22" type="noConversion"/>
  </si>
  <si>
    <t>ZFMD/SD-22079-SH</t>
  </si>
  <si>
    <t>曹碾沟风电场风电功率预测系统设备买卖合同</t>
    <phoneticPr fontId="22" type="noConversion"/>
  </si>
  <si>
    <t>系统硬件；技术服务（预测三区换到二区）</t>
    <phoneticPr fontId="1" type="noConversion"/>
  </si>
  <si>
    <t>ZFMD/KGSQ-22014</t>
  </si>
  <si>
    <t>2022.6.16</t>
    <phoneticPr fontId="22" type="noConversion"/>
  </si>
  <si>
    <t>2022.5.17</t>
    <phoneticPr fontId="22" type="noConversion"/>
  </si>
  <si>
    <t>ZFMD/SD-22080-1-SH</t>
    <phoneticPr fontId="22" type="noConversion"/>
  </si>
  <si>
    <t>ZFMD/SD-22080-2-SH</t>
  </si>
  <si>
    <t>ZFMD/SD-22080-3-SH</t>
  </si>
  <si>
    <t>阳光智维科技有限公司</t>
    <phoneticPr fontId="22" type="noConversion"/>
  </si>
  <si>
    <t>光功率预测系统维护服务合同</t>
    <phoneticPr fontId="22" type="noConversion"/>
  </si>
  <si>
    <t>2022.6.17</t>
    <phoneticPr fontId="1" type="noConversion"/>
  </si>
  <si>
    <t>2022.5.3</t>
    <phoneticPr fontId="1" type="noConversion"/>
  </si>
  <si>
    <t>2023.5.30</t>
    <phoneticPr fontId="1" type="noConversion"/>
  </si>
  <si>
    <t>2023.5.8</t>
    <phoneticPr fontId="22" type="noConversion"/>
  </si>
  <si>
    <t>富裕光伏</t>
    <phoneticPr fontId="22" type="noConversion"/>
  </si>
  <si>
    <t>ZFMD/SD-22081-SH</t>
    <phoneticPr fontId="22" type="noConversion"/>
  </si>
  <si>
    <t>来福</t>
  </si>
  <si>
    <t>大安中广核风力发电有限公司</t>
    <phoneticPr fontId="22" type="noConversion"/>
  </si>
  <si>
    <t>2022.6.23</t>
    <phoneticPr fontId="22" type="noConversion"/>
  </si>
  <si>
    <t>ZFMD/SD-22083-SH</t>
  </si>
  <si>
    <t>ZFMD/SD-22082-1-SH</t>
    <phoneticPr fontId="22" type="noConversion"/>
  </si>
  <si>
    <t>ZFMD/SD-22082-2-SH</t>
    <phoneticPr fontId="22" type="noConversion"/>
  </si>
  <si>
    <t>国电投中卫新能源香山第四风电场、第六风电场功率预测升级技术服务合同</t>
    <phoneticPr fontId="1" type="noConversion"/>
  </si>
  <si>
    <t>2022.6.24</t>
    <phoneticPr fontId="1" type="noConversion"/>
  </si>
  <si>
    <t>2022.6.9</t>
    <phoneticPr fontId="1" type="noConversion"/>
  </si>
  <si>
    <t>华润新能源（安达）有限公司万福光伏电站光功率系统升级服务技术服务合同</t>
    <phoneticPr fontId="22" type="noConversion"/>
  </si>
  <si>
    <t>安达万福、华润万福</t>
    <phoneticPr fontId="1" type="noConversion"/>
  </si>
  <si>
    <t>安达1号、2号</t>
    <phoneticPr fontId="1" type="noConversion"/>
  </si>
  <si>
    <t>2022.5.7</t>
    <phoneticPr fontId="22" type="noConversion"/>
  </si>
  <si>
    <t>ZFMD/SD-22084-SH</t>
  </si>
  <si>
    <t>ZFMD/SD-22085-SH</t>
  </si>
  <si>
    <t>2022.6.30</t>
    <phoneticPr fontId="22" type="noConversion"/>
  </si>
  <si>
    <t>遂川大唐汉业新能源有限公司</t>
    <phoneticPr fontId="22" type="noConversion"/>
  </si>
  <si>
    <t>中广核新能源江西遂川清秀风电场风功率预测设备合同</t>
    <phoneticPr fontId="22" type="noConversion"/>
  </si>
  <si>
    <t>遂川清秀</t>
    <phoneticPr fontId="22" type="noConversion"/>
  </si>
  <si>
    <t>2022.6</t>
    <phoneticPr fontId="22" type="noConversion"/>
  </si>
  <si>
    <t>张家口安智科为新能源有限公司</t>
    <phoneticPr fontId="22" type="noConversion"/>
  </si>
  <si>
    <t>尚义石井（二期）</t>
    <phoneticPr fontId="22" type="noConversion"/>
  </si>
  <si>
    <t>尚义（二期）</t>
    <phoneticPr fontId="1" type="noConversion"/>
  </si>
  <si>
    <t>龙源哈密新能源有限公司苦水西风电一场功率预测技术服务合同</t>
    <phoneticPr fontId="1" type="noConversion"/>
  </si>
  <si>
    <t>2022.6.16</t>
    <phoneticPr fontId="1" type="noConversion"/>
  </si>
  <si>
    <t>ZFMD/SD-22086-SH</t>
  </si>
  <si>
    <t>上堡风电场测风设备采购维修合同</t>
    <phoneticPr fontId="1" type="noConversion"/>
  </si>
  <si>
    <t>测风塔维护；测风塔设备</t>
    <phoneticPr fontId="1" type="noConversion"/>
  </si>
  <si>
    <t>2022.7.13</t>
    <phoneticPr fontId="1" type="noConversion"/>
  </si>
  <si>
    <t>2022.7.6</t>
    <phoneticPr fontId="1" type="noConversion"/>
  </si>
  <si>
    <t>尚义石井风电场风功率预测系统移区服务合同</t>
    <phoneticPr fontId="22" type="noConversion"/>
  </si>
  <si>
    <t>ZFMD/KGSQ-22015</t>
  </si>
  <si>
    <t>技术服务（预测三区换到二区）</t>
    <phoneticPr fontId="1" type="noConversion"/>
  </si>
  <si>
    <t>ZFMD/SD-22087-SH</t>
  </si>
  <si>
    <t>ZFMD/SD-22088-SH</t>
  </si>
  <si>
    <t>ZFMD/SD-22089-SH</t>
  </si>
  <si>
    <t>ZFMD/SD-22090-SH</t>
  </si>
  <si>
    <t>ZFMD/SD-22091-SH</t>
  </si>
  <si>
    <t>ZFMD/SD-22092-SH</t>
  </si>
  <si>
    <t>ZFMD/SD-22093-SH</t>
  </si>
  <si>
    <t>ZFMD/SD-22094-SH</t>
  </si>
  <si>
    <t>ZFMD/SD-22095-SH</t>
  </si>
  <si>
    <t>ZFMD/SD-22096-SH</t>
  </si>
  <si>
    <t>ZFMD/SD-22097-SH</t>
  </si>
  <si>
    <t>ZFMD/SD-22098-SH</t>
  </si>
  <si>
    <t>ZFMD/SD-22099-SH</t>
  </si>
  <si>
    <t>伊吾东方民生新能源有限公司</t>
    <phoneticPr fontId="5" type="noConversion"/>
  </si>
  <si>
    <t>巴里坤东方民生新能源有限公司</t>
    <phoneticPr fontId="5" type="noConversion"/>
  </si>
  <si>
    <t>新疆华电苦水风电有限责任公司</t>
    <phoneticPr fontId="5" type="noConversion"/>
  </si>
  <si>
    <t>新疆华电淖毛湖风电有限责任公司</t>
    <phoneticPr fontId="5" type="noConversion"/>
  </si>
  <si>
    <t>哈密力诺太阳能电力有限公司</t>
    <phoneticPr fontId="5" type="noConversion"/>
  </si>
  <si>
    <t>新疆华电十三间房风电有限责任公司</t>
    <phoneticPr fontId="5" type="noConversion"/>
  </si>
  <si>
    <t>伊吾东方民生风电场2022年功率预测系统维护服务合同</t>
    <phoneticPr fontId="22" type="noConversion"/>
  </si>
  <si>
    <t>2022.7.15</t>
    <phoneticPr fontId="1" type="noConversion"/>
  </si>
  <si>
    <t>2022.7.1</t>
    <phoneticPr fontId="22" type="noConversion"/>
  </si>
  <si>
    <t>2022.6.10</t>
    <phoneticPr fontId="1" type="noConversion"/>
  </si>
  <si>
    <t>2023.6.9</t>
    <phoneticPr fontId="1" type="noConversion"/>
  </si>
  <si>
    <t>巴里坤东方民生风电场2022年功率预测系统维护服务合同</t>
    <phoneticPr fontId="22" type="noConversion"/>
  </si>
  <si>
    <t>哈密东方民生石城子光伏电站2022年功率预测系统维护服务合同</t>
    <phoneticPr fontId="22" type="noConversion"/>
  </si>
  <si>
    <t>新疆华电苦水风电场2022年功率预测系统维护服务合同</t>
    <phoneticPr fontId="22" type="noConversion"/>
  </si>
  <si>
    <t>新疆华电淖毛湖风电场2022年功率预测系统维护服务合同</t>
    <phoneticPr fontId="22" type="noConversion"/>
  </si>
  <si>
    <t>新疆华电石城子一二期光伏电站2022年功率预测系统维护服务合同</t>
    <phoneticPr fontId="22" type="noConversion"/>
  </si>
  <si>
    <t>哈密力诺石城子光伏电站2022年功率预测系统维护服务合同</t>
    <phoneticPr fontId="22" type="noConversion"/>
  </si>
  <si>
    <t>新疆华电十三间房一二期风电场2022年功率预测系统维护服务合同</t>
    <phoneticPr fontId="22" type="noConversion"/>
  </si>
  <si>
    <t>新疆华电十三间房三期风电场2022年功率预测系统维护服务合同</t>
    <phoneticPr fontId="22" type="noConversion"/>
  </si>
  <si>
    <t>新疆华电十三间房四期风电场2022年功率预测系统维护服务合同</t>
    <phoneticPr fontId="22" type="noConversion"/>
  </si>
  <si>
    <t>新疆华电雪湖三期（大连湖风一场）风电场2022年功率预测系统维护服务合同</t>
    <phoneticPr fontId="1" type="noConversion"/>
  </si>
  <si>
    <t>新疆华电老君庙风电一场2022年功率预测系统维护服务合同</t>
    <phoneticPr fontId="22" type="noConversion"/>
  </si>
  <si>
    <t>新疆华电石城子三期光伏电站2022年功率预测系统维护服务合同</t>
    <phoneticPr fontId="22" type="noConversion"/>
  </si>
  <si>
    <t>ZFMD/SD-22100-1-SH</t>
    <phoneticPr fontId="22" type="noConversion"/>
  </si>
  <si>
    <t>ZFMD/SD-22100-2-SH</t>
  </si>
  <si>
    <t>ZFMD/SD-22100-3-SH</t>
  </si>
  <si>
    <t>新疆华电小草湖风力发电有限责任公司</t>
    <phoneticPr fontId="22" type="noConversion"/>
  </si>
  <si>
    <t>新能源分公司小草湖风电场一二三期风功率预测系统换型服务项目合同</t>
    <phoneticPr fontId="22" type="noConversion"/>
  </si>
  <si>
    <t>小草湖一期</t>
    <phoneticPr fontId="1" type="noConversion"/>
  </si>
  <si>
    <t>小草湖二期</t>
    <phoneticPr fontId="1" type="noConversion"/>
  </si>
  <si>
    <t>短期软件；超短期软件；预测服务1年；中长期电量预测</t>
    <phoneticPr fontId="1" type="noConversion"/>
  </si>
  <si>
    <t>ZFMD/KGSQ-22010</t>
  </si>
  <si>
    <t>ZFMD/KGSQ-22011</t>
  </si>
  <si>
    <t>ZFMD/KGSQ-22013</t>
  </si>
  <si>
    <t>草湖二场</t>
    <phoneticPr fontId="1" type="noConversion"/>
  </si>
  <si>
    <t>草湖三场</t>
    <phoneticPr fontId="1" type="noConversion"/>
  </si>
  <si>
    <t>ZFMD/SD-22101-SH</t>
    <phoneticPr fontId="22" type="noConversion"/>
  </si>
  <si>
    <t>ZFMD/KGSQ-22012</t>
  </si>
  <si>
    <t>2022.7.4</t>
    <phoneticPr fontId="22" type="noConversion"/>
  </si>
  <si>
    <t>新疆华电草湖风电有限公司</t>
    <phoneticPr fontId="22" type="noConversion"/>
  </si>
  <si>
    <t>新能源分公司草湖风电场风功率预测系统换型服务项目合同</t>
    <phoneticPr fontId="22" type="noConversion"/>
  </si>
  <si>
    <t>ZFMD/SD-22102-SH</t>
  </si>
  <si>
    <t>ZFMD/SD-22103-SH</t>
  </si>
  <si>
    <t>ZFMD/SD-22104-SH</t>
  </si>
  <si>
    <t>ZFMD/SD-22105-SH</t>
  </si>
  <si>
    <t>华能林甸县清洁能源有限公司</t>
    <phoneticPr fontId="22" type="noConversion"/>
  </si>
  <si>
    <t>服务合同</t>
    <phoneticPr fontId="22" type="noConversion"/>
  </si>
  <si>
    <t>草湖一期+草湖二期</t>
    <phoneticPr fontId="22" type="noConversion"/>
  </si>
  <si>
    <t>小草湖三期</t>
    <phoneticPr fontId="22" type="noConversion"/>
  </si>
  <si>
    <t>雪湖三期</t>
  </si>
  <si>
    <t>雪湖三期</t>
    <phoneticPr fontId="1" type="noConversion"/>
  </si>
  <si>
    <t>雪湖三期</t>
    <phoneticPr fontId="22" type="noConversion"/>
  </si>
  <si>
    <t>衡水恒淼钢结构有限公司</t>
    <phoneticPr fontId="22" type="noConversion"/>
  </si>
  <si>
    <t>华电新疆乌鲁木齐80万千瓦风电项目6座测风塔及11套测风设备（含监控系统）工程合同</t>
    <phoneticPr fontId="22" type="noConversion"/>
  </si>
  <si>
    <t>达坂城风电项目</t>
    <phoneticPr fontId="22" type="noConversion"/>
  </si>
  <si>
    <t>新疆华电达坂城新能源有限公司
华电新疆乌鲁木齐县能源发展有限公司</t>
    <phoneticPr fontId="22" type="noConversion"/>
  </si>
  <si>
    <t>仅算销售业绩，不回款，不开票</t>
    <phoneticPr fontId="22" type="noConversion"/>
  </si>
  <si>
    <t>ZFMD/SD-22106-SH</t>
  </si>
  <si>
    <t>ZFMD/SD-22107-SH</t>
  </si>
  <si>
    <t>ZFMD/SD-22108-SH</t>
  </si>
  <si>
    <t>ZFMD/SD-22109-SH</t>
  </si>
  <si>
    <t>ZFMD/SD-22110-SH</t>
  </si>
  <si>
    <t>ZFMD/SD-22111-SH</t>
  </si>
  <si>
    <t>三峡能源河北省尚义风电场风功率预测服务（2022年-2023年）采购合同</t>
    <phoneticPr fontId="1" type="noConversion"/>
  </si>
  <si>
    <t>2022.7.22</t>
    <phoneticPr fontId="1" type="noConversion"/>
  </si>
  <si>
    <t>2022.7</t>
    <phoneticPr fontId="1" type="noConversion"/>
  </si>
  <si>
    <t>2022.8.15</t>
    <phoneticPr fontId="1" type="noConversion"/>
  </si>
  <si>
    <t>2024.8.14</t>
    <phoneticPr fontId="1" type="noConversion"/>
  </si>
  <si>
    <t>国源天立布尔津风电一场中期风功率预测软件采购合同</t>
    <phoneticPr fontId="1" type="noConversion"/>
  </si>
  <si>
    <t>大唐哈密风电开发有限公司哈密东南部风电场风功率预测系统升级服务项目合同</t>
    <phoneticPr fontId="1" type="noConversion"/>
  </si>
  <si>
    <t>2022.5.7</t>
    <phoneticPr fontId="1" type="noConversion"/>
  </si>
  <si>
    <t>2023.5.6</t>
    <phoneticPr fontId="1" type="noConversion"/>
  </si>
  <si>
    <t>中国水电建设集团新能源开发有限责任公司长岭风电分公司长岭王子风电场一期风电功率预测系统技术服务项目合同</t>
    <phoneticPr fontId="22" type="noConversion"/>
  </si>
  <si>
    <t>中水电中电风力发电有限公司长岭王子风电场二期风电功率预测系统技术服务项目合同</t>
    <phoneticPr fontId="22" type="noConversion"/>
  </si>
  <si>
    <t>长岭中电建新能源风力发电有限责任公司长岭王子风电场三期风电功率预测系统技术服务项目合同</t>
    <phoneticPr fontId="22" type="noConversion"/>
  </si>
  <si>
    <t>ZFMD/SD-22112-SH</t>
  </si>
  <si>
    <t>国网黑龙江省电力有限公司</t>
    <phoneticPr fontId="1" type="noConversion"/>
  </si>
  <si>
    <t>2022.7.23</t>
    <phoneticPr fontId="1" type="noConversion"/>
  </si>
  <si>
    <t>2022年7月23日开票占号</t>
    <phoneticPr fontId="1" type="noConversion"/>
  </si>
  <si>
    <t>昌德光伏电站光伏功率预测系统技术服务和设备升级改造合同</t>
    <phoneticPr fontId="22" type="noConversion"/>
  </si>
  <si>
    <t>光伏气象站设备；预测服务1年；软件升级（预测上传10天）</t>
    <phoneticPr fontId="22" type="noConversion"/>
  </si>
  <si>
    <t>2022.7.23</t>
    <phoneticPr fontId="22" type="noConversion"/>
  </si>
  <si>
    <t>ZFMD/SD-22113-SH</t>
    <phoneticPr fontId="22" type="noConversion"/>
  </si>
  <si>
    <t>ZFMD/SD-22114-SH</t>
  </si>
  <si>
    <t>ZFMD/SD-22115-SH</t>
  </si>
  <si>
    <t>ZFMD/SD-22116-SH</t>
  </si>
  <si>
    <t>ZFMD/SD-22117-SH</t>
  </si>
  <si>
    <t>2022.7.1</t>
    <phoneticPr fontId="1" type="noConversion"/>
  </si>
  <si>
    <t>红旗风电场风电功率预测系统数据上传时间改造技术服务合同</t>
    <phoneticPr fontId="22" type="noConversion"/>
  </si>
  <si>
    <t>2022.7</t>
    <phoneticPr fontId="22" type="noConversion"/>
  </si>
  <si>
    <t>海浪风电场风电功率预测系统数据上传时间改造技术服务合同</t>
    <phoneticPr fontId="22" type="noConversion"/>
  </si>
  <si>
    <t>ZFMD/SD-22118-SH</t>
  </si>
  <si>
    <t>ZFMD/SD-22119-SH</t>
  </si>
  <si>
    <t>ZFMD/SD-22120-SH</t>
  </si>
  <si>
    <t>ZFMD/SD-22121-SH</t>
  </si>
  <si>
    <t>ZFMD/SD-22122-SH</t>
  </si>
  <si>
    <t>ZFMD/SD-22123-SH</t>
  </si>
  <si>
    <t>沈阳博来德滋电子科技有限公司</t>
    <phoneticPr fontId="22" type="noConversion"/>
  </si>
  <si>
    <t>黑山龙湾</t>
    <phoneticPr fontId="1" type="noConversion"/>
  </si>
  <si>
    <t>2022.8.6</t>
    <phoneticPr fontId="22" type="noConversion"/>
  </si>
  <si>
    <t>林甸东明园项目风电功率预测系统数据上传时间改造技术服务合同</t>
    <phoneticPr fontId="22" type="noConversion"/>
  </si>
  <si>
    <t>2022.7.16</t>
    <phoneticPr fontId="22" type="noConversion"/>
  </si>
  <si>
    <t>吉林省光华风电投资有限公司</t>
    <phoneticPr fontId="22" type="noConversion"/>
  </si>
  <si>
    <t>ZFMD/KGSQ-22022</t>
  </si>
  <si>
    <t>采购协议</t>
    <phoneticPr fontId="22" type="noConversion"/>
  </si>
  <si>
    <t>大庆经开区</t>
  </si>
  <si>
    <t>2022.7.21</t>
    <phoneticPr fontId="22" type="noConversion"/>
  </si>
  <si>
    <t>ZFMD/KGSQ-22019</t>
  </si>
  <si>
    <t>青冈未来</t>
    <phoneticPr fontId="1" type="noConversion"/>
  </si>
  <si>
    <t>ZFMD/KGSQ-22021</t>
  </si>
  <si>
    <t>海伦冠峰</t>
    <phoneticPr fontId="1" type="noConversion"/>
  </si>
  <si>
    <t>2022.8.16</t>
    <phoneticPr fontId="1" type="noConversion"/>
  </si>
  <si>
    <t>2022.7.29</t>
    <phoneticPr fontId="1" type="noConversion"/>
  </si>
  <si>
    <t>2025.8.9</t>
    <phoneticPr fontId="1" type="noConversion"/>
  </si>
  <si>
    <t>ZFMD/SD-22124-SH</t>
    <phoneticPr fontId="22" type="noConversion"/>
  </si>
  <si>
    <t>ZFMD/SD-22126-SH</t>
  </si>
  <si>
    <t>中水建设</t>
    <phoneticPr fontId="1" type="noConversion"/>
  </si>
  <si>
    <t>长岭王子（一期+二期+三期）</t>
    <phoneticPr fontId="22" type="noConversion"/>
  </si>
  <si>
    <t>2022.8.19</t>
    <phoneticPr fontId="22" type="noConversion"/>
  </si>
  <si>
    <t>2022.8.5</t>
    <phoneticPr fontId="22" type="noConversion"/>
  </si>
  <si>
    <t>ZFMD/SD-22125-SH</t>
    <phoneticPr fontId="22" type="noConversion"/>
  </si>
  <si>
    <t>中国水电建设集团新能源开发有限责任公司长岭风电分公司烟墩风电场风功率预测技术服务合同长岭电场风电功率预测系统软件升级服务合同</t>
    <phoneticPr fontId="1" type="noConversion"/>
  </si>
  <si>
    <t>华电新疆天润托里新能源有限公司</t>
    <phoneticPr fontId="22" type="noConversion"/>
  </si>
  <si>
    <t>托里</t>
    <phoneticPr fontId="1" type="noConversion"/>
  </si>
  <si>
    <t>测风塔；测风塔设备；视频监控设备</t>
    <phoneticPr fontId="1" type="noConversion"/>
  </si>
  <si>
    <t>新疆华电天润塔城托里老风口50MW风电项目测风塔采购合同（开发票占号，合同未回）</t>
    <phoneticPr fontId="22" type="noConversion"/>
  </si>
  <si>
    <t>ZFMD/KGSQ-22016</t>
  </si>
  <si>
    <t>代马沟风电场风电功率预测系统数据上传时间改造技术服务合同</t>
    <phoneticPr fontId="1" type="noConversion"/>
  </si>
  <si>
    <t>软件升级（预测上传10天）；系统硬件</t>
    <phoneticPr fontId="1" type="noConversion"/>
  </si>
  <si>
    <t>2022.8.24</t>
    <phoneticPr fontId="1" type="noConversion"/>
  </si>
  <si>
    <t>2022.8</t>
    <phoneticPr fontId="1" type="noConversion"/>
  </si>
  <si>
    <t>ZFMD/SD-22127-SH</t>
    <phoneticPr fontId="22" type="noConversion"/>
  </si>
  <si>
    <t>ZFMD/SD-22128-SH</t>
  </si>
  <si>
    <t>瞻榆49.5MW风电场风电功率预测系统合同</t>
    <phoneticPr fontId="22" type="noConversion"/>
  </si>
  <si>
    <t>瞻榆</t>
    <phoneticPr fontId="22" type="noConversion"/>
  </si>
  <si>
    <t>2022.8.31</t>
    <phoneticPr fontId="22" type="noConversion"/>
  </si>
  <si>
    <t>2022.8</t>
    <phoneticPr fontId="22" type="noConversion"/>
  </si>
  <si>
    <t>2022年9月5日，因税率由17%调整为13%，合同金额由24.5万元变为23.662393万元</t>
    <phoneticPr fontId="10" type="noConversion"/>
  </si>
  <si>
    <t>ZFMD/SD-22129-SH</t>
  </si>
  <si>
    <t>福建公司宁德公司延亭及马耳山风电功率预测系统气象工控机维修服务项目服务合同</t>
    <phoneticPr fontId="1" type="noConversion"/>
  </si>
  <si>
    <t>ZFMD/KGSQ-22020</t>
  </si>
  <si>
    <t>2022.9.9</t>
    <phoneticPr fontId="1" type="noConversion"/>
  </si>
  <si>
    <t>2022.8.18</t>
    <phoneticPr fontId="1" type="noConversion"/>
  </si>
  <si>
    <t>ZFMD/SD-22130-SH</t>
  </si>
  <si>
    <t>三峡能源辽宁省葫芦岛市岳家屯风电场48MW工程2022年风功率预测系统维护服务合同</t>
    <phoneticPr fontId="1" type="noConversion"/>
  </si>
  <si>
    <t>2022.9</t>
    <phoneticPr fontId="1" type="noConversion"/>
  </si>
  <si>
    <t>2022.12.23</t>
    <phoneticPr fontId="1" type="noConversion"/>
  </si>
  <si>
    <t>2023.12.22</t>
    <phoneticPr fontId="1" type="noConversion"/>
  </si>
  <si>
    <t>ZFMD/SD-22131-1-SH</t>
    <phoneticPr fontId="22" type="noConversion"/>
  </si>
  <si>
    <t>ZFMD/SD-22131-2-SH</t>
  </si>
  <si>
    <t>ZFMD/SD-22131-3-SH</t>
  </si>
  <si>
    <t>ZFMD/KGSQ-22024</t>
    <phoneticPr fontId="1" type="noConversion"/>
  </si>
  <si>
    <t>ZFMD/KGSQ-22025</t>
    <phoneticPr fontId="1" type="noConversion"/>
  </si>
  <si>
    <t>ZFMD/KGSQ-22026</t>
    <phoneticPr fontId="1" type="noConversion"/>
  </si>
  <si>
    <t>梅里斯</t>
    <phoneticPr fontId="1" type="noConversion"/>
  </si>
  <si>
    <t>2022.9.9</t>
    <phoneticPr fontId="22" type="noConversion"/>
  </si>
  <si>
    <t>2022.9.2</t>
    <phoneticPr fontId="22" type="noConversion"/>
  </si>
  <si>
    <t>ZFMD/SD-22132-SH</t>
    <phoneticPr fontId="22" type="noConversion"/>
  </si>
  <si>
    <t>开原威远</t>
    <phoneticPr fontId="1" type="noConversion"/>
  </si>
  <si>
    <t>三峡能源辽宁省开原威远风电场49.5MW工程测风塔50米风速仪更换协议</t>
    <phoneticPr fontId="22" type="noConversion"/>
  </si>
  <si>
    <t>2022.9.15</t>
    <phoneticPr fontId="22" type="noConversion"/>
  </si>
  <si>
    <t>2022.9</t>
    <phoneticPr fontId="22" type="noConversion"/>
  </si>
  <si>
    <t>安达众城能源有限公司</t>
    <phoneticPr fontId="22" type="noConversion"/>
  </si>
  <si>
    <t>光功率预测系统升级调试技术服务合同</t>
    <phoneticPr fontId="22" type="noConversion"/>
  </si>
  <si>
    <t>2022.9.26</t>
    <phoneticPr fontId="22" type="noConversion"/>
  </si>
  <si>
    <t>2022.3</t>
    <phoneticPr fontId="22" type="noConversion"/>
  </si>
  <si>
    <t>ZFMD/KGSQ-22028</t>
    <phoneticPr fontId="1" type="noConversion"/>
  </si>
  <si>
    <t>软件升级；系统硬件；主机加固</t>
    <phoneticPr fontId="1" type="noConversion"/>
  </si>
  <si>
    <t>查干浩特风电场风电功率预测系统改造（操作系统国产化改造）采购合同</t>
    <phoneticPr fontId="22" type="noConversion"/>
  </si>
  <si>
    <t>2022.9.13</t>
    <phoneticPr fontId="22" type="noConversion"/>
  </si>
  <si>
    <t>ZFMD/SD-22135-1-SH</t>
    <phoneticPr fontId="22" type="noConversion"/>
  </si>
  <si>
    <t>ZFMD/SD-22135-2-SH</t>
  </si>
  <si>
    <t>ZFMD/SD-22136-SH</t>
    <phoneticPr fontId="22" type="noConversion"/>
  </si>
  <si>
    <t>华能哈密风力发电有限公司所属场站2022-2023年度功率预测服务合同</t>
    <phoneticPr fontId="22" type="noConversion"/>
  </si>
  <si>
    <t>2022.9.1</t>
    <phoneticPr fontId="22" type="noConversion"/>
  </si>
  <si>
    <t>2023.8.31</t>
    <phoneticPr fontId="22" type="noConversion"/>
  </si>
  <si>
    <t>三峡新能源辽宁省调兵山风电场99MW工程2022年风功率预测系统维护服务合同</t>
    <phoneticPr fontId="1" type="noConversion"/>
  </si>
  <si>
    <t>2022.12.3</t>
    <phoneticPr fontId="1" type="noConversion"/>
  </si>
  <si>
    <t>2023.12.2</t>
    <phoneticPr fontId="1" type="noConversion"/>
  </si>
  <si>
    <t>ZFMD/SD-22133-SH</t>
    <phoneticPr fontId="22" type="noConversion"/>
  </si>
  <si>
    <t>ZFMD/SD-22134-SH</t>
    <phoneticPr fontId="22" type="noConversion"/>
  </si>
  <si>
    <t>ZFMD/KGSQ-22006</t>
  </si>
  <si>
    <t>ZFMD/SD-22137-SH</t>
  </si>
  <si>
    <t>ZFMD/SD-22138-SH</t>
  </si>
  <si>
    <t>ZFMD/SD-22140-SH</t>
  </si>
  <si>
    <t>ZFMD/SD-22141-SH</t>
  </si>
  <si>
    <t>ZFMD/SD-22142-SH</t>
  </si>
  <si>
    <t>ZFMD/SD-22143-SH</t>
  </si>
  <si>
    <t>ZFMD/SD-22144-SH</t>
  </si>
  <si>
    <t>新疆华电白杨河风力发电有限责任公司</t>
    <phoneticPr fontId="1" type="noConversion"/>
  </si>
  <si>
    <t>开发票占号，不签合同</t>
    <phoneticPr fontId="5" type="noConversion"/>
  </si>
  <si>
    <t>华能新疆三塘湖风力发电有限责任公司</t>
    <phoneticPr fontId="22" type="noConversion"/>
  </si>
  <si>
    <t>华能东疆分公司望洋台风电场风功率预测系统更换合同</t>
    <phoneticPr fontId="22" type="noConversion"/>
  </si>
  <si>
    <t>望洋台</t>
    <phoneticPr fontId="1" type="noConversion"/>
  </si>
  <si>
    <t>2022.10.12</t>
    <phoneticPr fontId="22" type="noConversion"/>
  </si>
  <si>
    <t>2022.9.16</t>
    <phoneticPr fontId="22" type="noConversion"/>
  </si>
  <si>
    <t>三峡能源辽宁省开原威远风电场49.5MW工程2022年风功率预测系统维护服务合同</t>
    <phoneticPr fontId="22" type="noConversion"/>
  </si>
  <si>
    <t>2022.9.21</t>
    <phoneticPr fontId="1" type="noConversion"/>
  </si>
  <si>
    <t>2022.12.26</t>
    <phoneticPr fontId="1" type="noConversion"/>
  </si>
  <si>
    <t>2023.12.25</t>
    <phoneticPr fontId="1" type="noConversion"/>
  </si>
  <si>
    <t>肇州县隆辉新能源有限公司</t>
    <phoneticPr fontId="22" type="noConversion"/>
  </si>
  <si>
    <t>肇州县隆辉新能源有限公司中期功率预测数据和长期电量预测数据上传省调技术服务合同</t>
    <phoneticPr fontId="22" type="noConversion"/>
  </si>
  <si>
    <t>2022.10</t>
    <phoneticPr fontId="22" type="noConversion"/>
  </si>
  <si>
    <t>大庆美阳达新能源科技开发有限公司</t>
    <phoneticPr fontId="22" type="noConversion"/>
  </si>
  <si>
    <t>美阳达新能源综合通讯升级及数据上传技术服务合同</t>
    <phoneticPr fontId="22" type="noConversion"/>
  </si>
  <si>
    <t>上堡风电场测风设备采购维修合同补充协议</t>
    <phoneticPr fontId="1" type="noConversion"/>
  </si>
  <si>
    <t>2022.10.12</t>
    <phoneticPr fontId="1" type="noConversion"/>
  </si>
  <si>
    <t>2022.9.22</t>
    <phoneticPr fontId="1" type="noConversion"/>
  </si>
  <si>
    <t>上海巽竹科技有限公司</t>
    <phoneticPr fontId="22" type="noConversion"/>
  </si>
  <si>
    <t>ZFMD/SD-22139-SH</t>
    <phoneticPr fontId="22" type="noConversion"/>
  </si>
  <si>
    <t>ZFMD/KGSQ-22039</t>
    <phoneticPr fontId="22" type="noConversion"/>
  </si>
  <si>
    <t>中广核新能源吉林四平山门风电场风功率预测系统维护服务采购合同</t>
    <phoneticPr fontId="22" type="noConversion"/>
  </si>
  <si>
    <t>2022.10.18</t>
    <phoneticPr fontId="22" type="noConversion"/>
  </si>
  <si>
    <t>2022.10</t>
    <phoneticPr fontId="1" type="noConversion"/>
  </si>
  <si>
    <t>中广核新能源吉林大安大岗子风电场风功率预测系统维护服务采购合同</t>
    <phoneticPr fontId="22" type="noConversion"/>
  </si>
  <si>
    <t>中广核新能源吉林大安来福风电场风功率预测系统维护服务采购合同</t>
    <phoneticPr fontId="22" type="noConversion"/>
  </si>
  <si>
    <t>新疆华电白杨河风力发电有限责任公司2022年风功率预测系统服务合同书</t>
    <phoneticPr fontId="22" type="noConversion"/>
  </si>
  <si>
    <t>2022.10.18</t>
    <phoneticPr fontId="1" type="noConversion"/>
  </si>
  <si>
    <t>新疆华电珍珠泉新能源有限公司2022年风功率预测系统服务合同书</t>
    <phoneticPr fontId="22" type="noConversion"/>
  </si>
  <si>
    <t>ZFMD/SD-22150-1-SH</t>
    <phoneticPr fontId="22" type="noConversion"/>
  </si>
  <si>
    <t>ZFMD/SD-22150-2-SH</t>
  </si>
  <si>
    <t>ZFMD/SD-22150-3-SH</t>
  </si>
  <si>
    <t>新疆华电苇湖梁新能源有限公司2022年风功率预测系统服务合同书</t>
    <phoneticPr fontId="1" type="noConversion"/>
  </si>
  <si>
    <t>木垒大石头风电场2022年风功率预测系统服务合同书</t>
    <phoneticPr fontId="22" type="noConversion"/>
  </si>
  <si>
    <t>2022.1.5</t>
    <phoneticPr fontId="1" type="noConversion"/>
  </si>
  <si>
    <t>2023.1.4</t>
    <phoneticPr fontId="1" type="noConversion"/>
  </si>
  <si>
    <t>ZFMD/SD-22145-SH</t>
    <phoneticPr fontId="22" type="noConversion"/>
  </si>
  <si>
    <t>ZFMD/SD-22146-SH</t>
    <phoneticPr fontId="22" type="noConversion"/>
  </si>
  <si>
    <t>ZFMD/SD-22147-SH</t>
    <phoneticPr fontId="22" type="noConversion"/>
  </si>
  <si>
    <t>ZFMD/SD-22148-SH</t>
    <phoneticPr fontId="22" type="noConversion"/>
  </si>
  <si>
    <t>ZFMD/SD-22149-SH</t>
    <phoneticPr fontId="22" type="noConversion"/>
  </si>
  <si>
    <t>ZFMD/SD-22151-SH</t>
    <phoneticPr fontId="22" type="noConversion"/>
  </si>
  <si>
    <t>ZFMD/SD-22152-SH</t>
    <phoneticPr fontId="22" type="noConversion"/>
  </si>
  <si>
    <t>中国船舶重工集团海装风电股份有限公司维修合同</t>
    <phoneticPr fontId="22" type="noConversion"/>
  </si>
  <si>
    <t>2022.10.19</t>
    <phoneticPr fontId="22" type="noConversion"/>
  </si>
  <si>
    <t>ZFMD/SD-22153-SH</t>
    <phoneticPr fontId="22" type="noConversion"/>
  </si>
  <si>
    <t>ZFMD/SD-22154-1-SH</t>
    <phoneticPr fontId="22" type="noConversion"/>
  </si>
  <si>
    <t>ZFMD/SD-22154-2-SH</t>
  </si>
  <si>
    <t>华锐风电科技（甘肃）有限公司</t>
    <phoneticPr fontId="22" type="noConversion"/>
  </si>
  <si>
    <t>风机视频监控系统</t>
    <phoneticPr fontId="22" type="noConversion"/>
  </si>
  <si>
    <t>ZFMD/KGSQ-22027</t>
  </si>
  <si>
    <t>ZFMD/SD-21079-1-SH-BG01
ZFMD/SD-21079-1-SH-BG02</t>
    <phoneticPr fontId="1" type="noConversion"/>
  </si>
  <si>
    <t>上海巽竹科技有限公司风电功率预测系统软件产品</t>
    <phoneticPr fontId="22" type="noConversion"/>
  </si>
  <si>
    <t>云南</t>
    <phoneticPr fontId="1" type="noConversion"/>
  </si>
  <si>
    <t>五街</t>
    <phoneticPr fontId="1" type="noConversion"/>
  </si>
  <si>
    <r>
      <t>短期软件；超短期软件；预测服务</t>
    </r>
    <r>
      <rPr>
        <sz val="11"/>
        <color theme="1"/>
        <rFont val="Calibri"/>
        <family val="2"/>
      </rPr>
      <t>1</t>
    </r>
    <r>
      <rPr>
        <sz val="11"/>
        <color theme="1"/>
        <rFont val="宋体"/>
        <family val="3"/>
        <charset val="134"/>
        <scheme val="minor"/>
      </rPr>
      <t>年</t>
    </r>
    <phoneticPr fontId="1" type="noConversion"/>
  </si>
  <si>
    <t>2022.10.9</t>
    <phoneticPr fontId="1" type="noConversion"/>
  </si>
  <si>
    <t>2022.10.13</t>
    <phoneticPr fontId="1" type="noConversion"/>
  </si>
  <si>
    <t>ZFMD/SD-22155-1-SH</t>
    <phoneticPr fontId="22" type="noConversion"/>
  </si>
  <si>
    <t>ZFMD/SD-22155-2-SH</t>
  </si>
  <si>
    <t>国家电投集团广西兴安风电有限公司</t>
    <phoneticPr fontId="22" type="noConversion"/>
  </si>
  <si>
    <t>国家电投集团广西兴安风电有限公司坵坪风电场风功率预测系统运行数据报送项目采购合同</t>
    <phoneticPr fontId="22" type="noConversion"/>
  </si>
  <si>
    <t>广西风电场电力安全二区综合通讯系统软件；系统硬件</t>
    <phoneticPr fontId="22" type="noConversion"/>
  </si>
  <si>
    <t>2022.11.12</t>
    <phoneticPr fontId="22" type="noConversion"/>
  </si>
  <si>
    <t>2022.10.14</t>
    <phoneticPr fontId="22" type="noConversion"/>
  </si>
  <si>
    <t>ZFMD/SD-22032-SH-BG01</t>
    <phoneticPr fontId="22" type="noConversion"/>
  </si>
  <si>
    <t>2022.11.26</t>
    <phoneticPr fontId="22" type="noConversion"/>
  </si>
  <si>
    <t>2022.11.29</t>
    <phoneticPr fontId="22" type="noConversion"/>
  </si>
  <si>
    <t>ZFMD/SD-22156-SH</t>
    <phoneticPr fontId="22" type="noConversion"/>
  </si>
  <si>
    <t>通榆中广核风力发电有限公司</t>
    <phoneticPr fontId="22" type="noConversion"/>
  </si>
  <si>
    <t>中广核新能源吉林通榆幸福风电场风功率预测系统维护服务采购合同</t>
    <phoneticPr fontId="22" type="noConversion"/>
  </si>
  <si>
    <t>通榆幸福</t>
    <phoneticPr fontId="22" type="noConversion"/>
  </si>
  <si>
    <t>2022.11</t>
    <phoneticPr fontId="22" type="noConversion"/>
  </si>
  <si>
    <t>ZFMD/SD-22157-SH</t>
    <phoneticPr fontId="22" type="noConversion"/>
  </si>
  <si>
    <t>三峡新能源大连发电有限公司</t>
    <phoneticPr fontId="22" type="noConversion"/>
  </si>
  <si>
    <t>三线新能源辽宁省大连市庄河Ⅲ（300MW）海上风电项目2022年风功率预测系统维护服务合同</t>
    <phoneticPr fontId="22" type="noConversion"/>
  </si>
  <si>
    <t>庄河</t>
    <phoneticPr fontId="5" type="noConversion"/>
  </si>
  <si>
    <t>300MW</t>
    <phoneticPr fontId="22" type="noConversion"/>
  </si>
  <si>
    <t>2022.10.1</t>
    <phoneticPr fontId="22" type="noConversion"/>
  </si>
  <si>
    <t>2023.9.30</t>
    <phoneticPr fontId="22" type="noConversion"/>
  </si>
  <si>
    <t>青龙</t>
    <phoneticPr fontId="5" type="noConversion"/>
  </si>
  <si>
    <t>北京华软恒信科技发展有限公司</t>
    <phoneticPr fontId="22" type="noConversion"/>
  </si>
  <si>
    <t>青龙风电场风功率预测系统升级调试服务合同</t>
    <phoneticPr fontId="22" type="noConversion"/>
  </si>
  <si>
    <t xml:space="preserve">ZFMD/SD-22159-1-SH </t>
    <phoneticPr fontId="22" type="noConversion"/>
  </si>
  <si>
    <t>ZFMD/SD-22159-2-SH</t>
  </si>
  <si>
    <t>ZFMD/SD-22159-3-SH</t>
  </si>
  <si>
    <t>ZFMD/SD-22159-4-SH</t>
  </si>
  <si>
    <t>ZFMD/SD-22159-6-SH</t>
  </si>
  <si>
    <t>ZFMD/SD-22159-7-SH</t>
  </si>
  <si>
    <t>ZFMD/SD-22159-8-SH</t>
  </si>
  <si>
    <t>ZFMD/SD-22159-9-SH</t>
  </si>
  <si>
    <t>物资采购合同</t>
    <phoneticPr fontId="22" type="noConversion"/>
  </si>
  <si>
    <t>白杨沟110KV</t>
    <phoneticPr fontId="1" type="noConversion"/>
  </si>
  <si>
    <r>
      <t>短期软件；超短期软件；系统硬件；测风塔；测风塔设备；预测服务</t>
    </r>
    <r>
      <rPr>
        <sz val="11"/>
        <color theme="1"/>
        <rFont val="Calibri"/>
        <family val="2"/>
      </rPr>
      <t>1</t>
    </r>
    <r>
      <rPr>
        <sz val="11"/>
        <color theme="1"/>
        <rFont val="宋体"/>
        <family val="3"/>
        <charset val="134"/>
        <scheme val="minor"/>
      </rPr>
      <t>年</t>
    </r>
    <phoneticPr fontId="1" type="noConversion"/>
  </si>
  <si>
    <t>木垒35KV</t>
    <phoneticPr fontId="1" type="noConversion"/>
  </si>
  <si>
    <t>ZFMD/KGSQ-22032</t>
  </si>
  <si>
    <t>ZFMD/KGSQ-22033</t>
  </si>
  <si>
    <t>ZFMD/KGSQ-22034</t>
  </si>
  <si>
    <t>ZFMD/KGSQ-22035</t>
  </si>
  <si>
    <t>ZFMD/KGSQ-22036</t>
  </si>
  <si>
    <t>ZFMD/KGSQ-22037</t>
  </si>
  <si>
    <t>ZFMD/KGSQ-22038</t>
  </si>
  <si>
    <t>2022.11.25</t>
    <phoneticPr fontId="22" type="noConversion"/>
  </si>
  <si>
    <t>小草湖100MW</t>
    <phoneticPr fontId="1" type="noConversion"/>
  </si>
  <si>
    <t>ZFMD/SD-22160-1-SH</t>
    <phoneticPr fontId="22" type="noConversion"/>
  </si>
  <si>
    <t>北架山</t>
    <phoneticPr fontId="5" type="noConversion"/>
  </si>
  <si>
    <t>苏家店</t>
    <phoneticPr fontId="5" type="noConversion"/>
  </si>
  <si>
    <t>宁安头道岭、二道岭</t>
    <phoneticPr fontId="5" type="noConversion"/>
  </si>
  <si>
    <t>桦南/桦南大架子山</t>
    <phoneticPr fontId="1" type="noConversion"/>
  </si>
  <si>
    <t>晨光</t>
    <phoneticPr fontId="5" type="noConversion"/>
  </si>
  <si>
    <t>富强</t>
    <phoneticPr fontId="5" type="noConversion"/>
  </si>
  <si>
    <t>海林威虎山二期</t>
    <phoneticPr fontId="5" type="noConversion"/>
  </si>
  <si>
    <t>太阳山</t>
    <phoneticPr fontId="5" type="noConversion"/>
  </si>
  <si>
    <t>桦川</t>
    <phoneticPr fontId="1" type="noConversion"/>
  </si>
  <si>
    <t>锐驰</t>
    <phoneticPr fontId="5" type="noConversion"/>
  </si>
  <si>
    <t>吉成</t>
    <phoneticPr fontId="5" type="noConversion"/>
  </si>
  <si>
    <t>绥滨吉成</t>
    <phoneticPr fontId="1" type="noConversion"/>
  </si>
  <si>
    <t>东辉（祝三+青山）</t>
    <phoneticPr fontId="5" type="noConversion"/>
  </si>
  <si>
    <t>大庆太平、宏伟</t>
    <phoneticPr fontId="5" type="noConversion"/>
  </si>
  <si>
    <t>ZFMD/SD-22160-2-SH</t>
    <phoneticPr fontId="22" type="noConversion"/>
  </si>
  <si>
    <t>ZFMD/SD-22160-3-SH</t>
    <phoneticPr fontId="22" type="noConversion"/>
  </si>
  <si>
    <t>ZFMD/SD-22160-4-SH</t>
    <phoneticPr fontId="22" type="noConversion"/>
  </si>
  <si>
    <t>ZFMD/SD-22160-5-SH</t>
    <phoneticPr fontId="22" type="noConversion"/>
  </si>
  <si>
    <t>ZFMD/SD-22160-6-SH</t>
    <phoneticPr fontId="22" type="noConversion"/>
  </si>
  <si>
    <t>ZFMD/SD-22160-7-SH</t>
    <phoneticPr fontId="22" type="noConversion"/>
  </si>
  <si>
    <t>哈尔滨锐驰风力发电有限责任公司</t>
    <phoneticPr fontId="1" type="noConversion"/>
  </si>
  <si>
    <t>ZFMD/SD-22160-8-SH</t>
    <phoneticPr fontId="22" type="noConversion"/>
  </si>
  <si>
    <t>ZFMD/SD-22160-9-SH</t>
    <phoneticPr fontId="22" type="noConversion"/>
  </si>
  <si>
    <t>ZFMD/SD-22160-10-SH</t>
    <phoneticPr fontId="22" type="noConversion"/>
  </si>
  <si>
    <t>ZFMD/SD-22160-11-SH</t>
    <phoneticPr fontId="22" type="noConversion"/>
  </si>
  <si>
    <t>ZFMD/SD-22158-SH</t>
    <phoneticPr fontId="22" type="noConversion"/>
  </si>
  <si>
    <t>通榆</t>
    <phoneticPr fontId="22" type="noConversion"/>
  </si>
  <si>
    <t>2022.9.1</t>
    <phoneticPr fontId="1" type="noConversion"/>
  </si>
  <si>
    <t>2023.8.31</t>
    <phoneticPr fontId="1" type="noConversion"/>
  </si>
  <si>
    <t>ZFMD/KGSQ-22023</t>
    <phoneticPr fontId="22" type="noConversion"/>
  </si>
  <si>
    <t>ZFMD/KGSQ-22031</t>
    <phoneticPr fontId="22" type="noConversion"/>
  </si>
  <si>
    <t>木垒110KV</t>
    <phoneticPr fontId="22" type="noConversion"/>
  </si>
  <si>
    <t>塔城托里</t>
    <phoneticPr fontId="22" type="noConversion"/>
  </si>
  <si>
    <t>托里乡110KV</t>
    <phoneticPr fontId="22" type="noConversion"/>
  </si>
  <si>
    <t>西山35KV</t>
    <phoneticPr fontId="22" type="noConversion"/>
  </si>
  <si>
    <t>西山110KV</t>
    <phoneticPr fontId="22" type="noConversion"/>
  </si>
  <si>
    <t>盐湖南110KV</t>
    <phoneticPr fontId="22" type="noConversion"/>
  </si>
  <si>
    <t>ZFMD/SD-22161-SH</t>
    <phoneticPr fontId="22" type="noConversion"/>
  </si>
  <si>
    <t>湖南泰威电力科技有限公司</t>
    <phoneticPr fontId="22" type="noConversion"/>
  </si>
  <si>
    <t>银子山</t>
    <phoneticPr fontId="5" type="noConversion"/>
  </si>
  <si>
    <t>宝鼎山</t>
    <phoneticPr fontId="1" type="noConversion"/>
  </si>
  <si>
    <t>2022.12.5</t>
    <phoneticPr fontId="22" type="noConversion"/>
  </si>
  <si>
    <t>2022.12.8</t>
    <phoneticPr fontId="22" type="noConversion"/>
  </si>
  <si>
    <t>蒲类海麻黄沟西风电场</t>
    <phoneticPr fontId="5" type="noConversion"/>
  </si>
  <si>
    <t>ZFMD/SD-22163-SH</t>
  </si>
  <si>
    <t>ZFMD/SD-22164-SH</t>
  </si>
  <si>
    <t>ZFMD/SD-22165-SH</t>
  </si>
  <si>
    <t>ZFMD/SD-22166-SH</t>
  </si>
  <si>
    <t>ZFMD/SD-22167-SH</t>
  </si>
  <si>
    <t>ZFMD/SD-22168-SH</t>
  </si>
  <si>
    <t>2022.12.10</t>
    <phoneticPr fontId="22" type="noConversion"/>
  </si>
  <si>
    <t>三峡能源黑龙江省乌伊岭阿廷河风电场49.5MW工程功率预测系统升级服务合同</t>
    <phoneticPr fontId="22" type="noConversion"/>
  </si>
  <si>
    <t>三峡能源黑龙江省伊春美林风电场51MW工程功率预测系统升级服务合同</t>
    <phoneticPr fontId="22" type="noConversion"/>
  </si>
  <si>
    <t>三峡能源黑龙江省泰来汤池光伏电站9.9MWP工程功率预测系统升级服务合同</t>
    <phoneticPr fontId="22" type="noConversion"/>
  </si>
  <si>
    <t>2022.12</t>
    <phoneticPr fontId="22" type="noConversion"/>
  </si>
  <si>
    <t>三峡能源黑龙江省富裕友谊光伏电站20MWP工程功率预测系统升级服务合同</t>
    <phoneticPr fontId="22" type="noConversion"/>
  </si>
  <si>
    <t>三峡能源黑龙江省富裕友谊50MW风电平价上网项目功率预测系统升级服务合同</t>
    <phoneticPr fontId="22" type="noConversion"/>
  </si>
  <si>
    <t>50MW</t>
    <phoneticPr fontId="22" type="noConversion"/>
  </si>
  <si>
    <t>20MWP</t>
    <phoneticPr fontId="22" type="noConversion"/>
  </si>
  <si>
    <t>9.9MWP</t>
    <phoneticPr fontId="22" type="noConversion"/>
  </si>
  <si>
    <t>梅桥风电场2022-2023风功率预测系统高精度气象预报数据及技术维护服务项目合同</t>
    <phoneticPr fontId="22" type="noConversion"/>
  </si>
  <si>
    <t>2022.11.14</t>
    <phoneticPr fontId="22" type="noConversion"/>
  </si>
  <si>
    <t>2023.11.13</t>
    <phoneticPr fontId="22" type="noConversion"/>
  </si>
  <si>
    <t>ZFMD/SD-22169-SH</t>
  </si>
  <si>
    <t>ZFMD/SD-22170-SH</t>
  </si>
  <si>
    <t>ZFMD/SD-22171-SH</t>
  </si>
  <si>
    <t>ZFMD/SD-22172-SH</t>
  </si>
  <si>
    <t>ZFMD/SD-22173-SH</t>
  </si>
  <si>
    <t>ZFMD/SD-22174-SH</t>
  </si>
  <si>
    <t>ZFMD/SD-22175-SH</t>
  </si>
  <si>
    <t>ZFMD/SD-22176-SH</t>
  </si>
  <si>
    <t>ZFMD/SD-22177-SH</t>
  </si>
  <si>
    <t>ZFMD/SD-22178-SH</t>
  </si>
  <si>
    <t>依兰鸡冠山风电场综合通讯系统升级技术服务合同</t>
    <phoneticPr fontId="1" type="noConversion"/>
  </si>
  <si>
    <t>2022.12.12</t>
    <phoneticPr fontId="1" type="noConversion"/>
  </si>
  <si>
    <t>2022.11</t>
    <phoneticPr fontId="1" type="noConversion"/>
  </si>
  <si>
    <t>瑞信风电场综合通讯系统升级技术服务合同</t>
    <phoneticPr fontId="10" type="noConversion"/>
  </si>
  <si>
    <t>绥阳风电场综合通讯系统升级技术服务合同</t>
    <phoneticPr fontId="10" type="noConversion"/>
  </si>
  <si>
    <t>穆棱十文字风电场综合通讯系统升级技术服务合同</t>
    <phoneticPr fontId="10" type="noConversion"/>
  </si>
  <si>
    <t>七台河风电场风电功率预测系统升级技术服务合同</t>
    <phoneticPr fontId="22" type="noConversion"/>
  </si>
  <si>
    <t>七台河风电场风电功率预测系统服务合同</t>
    <phoneticPr fontId="22" type="noConversion"/>
  </si>
  <si>
    <t>汤原风电场风电功率预测系统软件升级技术服务合同</t>
    <phoneticPr fontId="22" type="noConversion"/>
  </si>
  <si>
    <t>汤原风电场风电功率预测系统服务合同</t>
    <phoneticPr fontId="22" type="noConversion"/>
  </si>
  <si>
    <t>虎林风电场风电功率预测系统软件升级技术服务合同</t>
    <phoneticPr fontId="22" type="noConversion"/>
  </si>
  <si>
    <t>大唐托克逊风电开发有限公司</t>
    <phoneticPr fontId="22" type="noConversion"/>
  </si>
  <si>
    <t>2022.12.19</t>
    <phoneticPr fontId="22" type="noConversion"/>
  </si>
  <si>
    <t>ZFMD/SD-22180-SH</t>
  </si>
  <si>
    <t>ZFMD/SD-22181-SH</t>
  </si>
  <si>
    <t>ZFMD/SD-22182-SH</t>
  </si>
  <si>
    <t>ZFMD/SD-22183-SH</t>
  </si>
  <si>
    <t>ZFMD/SD-22184-SH</t>
  </si>
  <si>
    <t>三峡能源吉林省大安海坨风电场198MW工程风功率预测系统升级服务合同</t>
    <phoneticPr fontId="1" type="noConversion"/>
  </si>
  <si>
    <t>2022.12.29</t>
    <phoneticPr fontId="1" type="noConversion"/>
  </si>
  <si>
    <t>三峡能源吉林省白城查干浩特风电场45MW工程风功率预测系统升级服务合同</t>
    <phoneticPr fontId="22" type="noConversion"/>
  </si>
  <si>
    <t>45MW</t>
    <phoneticPr fontId="22" type="noConversion"/>
  </si>
  <si>
    <t>三峡新能源黑龙江省宾县大个岭风电场49.5MW工程功率预测系统升级服务合同</t>
    <phoneticPr fontId="1" type="noConversion"/>
  </si>
  <si>
    <t>2022.12.6</t>
    <phoneticPr fontId="1" type="noConversion"/>
  </si>
  <si>
    <t>2022.11.13</t>
    <phoneticPr fontId="1" type="noConversion"/>
  </si>
  <si>
    <t>2022.3.21</t>
    <phoneticPr fontId="1" type="noConversion"/>
  </si>
  <si>
    <t>2024.9.30</t>
    <phoneticPr fontId="1" type="noConversion"/>
  </si>
  <si>
    <t>测风塔维护；预测服务30个月</t>
    <phoneticPr fontId="1" type="noConversion"/>
  </si>
  <si>
    <t>70MW</t>
    <phoneticPr fontId="22" type="noConversion"/>
  </si>
  <si>
    <t>30MW</t>
    <phoneticPr fontId="22" type="noConversion"/>
  </si>
  <si>
    <t>测风塔维护；预测服务27个月</t>
    <phoneticPr fontId="1" type="noConversion"/>
  </si>
  <si>
    <t>2022.12.1</t>
    <phoneticPr fontId="1" type="noConversion"/>
  </si>
  <si>
    <t>2024.12.31</t>
    <phoneticPr fontId="1" type="noConversion"/>
  </si>
  <si>
    <t>ZFMD/SD-22185-SH</t>
  </si>
  <si>
    <t>ZFMD/SD-22186-SH</t>
  </si>
  <si>
    <t>2022.8.4</t>
    <phoneticPr fontId="1" type="noConversion"/>
  </si>
  <si>
    <t>2023.8.3</t>
    <phoneticPr fontId="1" type="noConversion"/>
  </si>
  <si>
    <t>七台河万龙风力发电有限公司</t>
    <phoneticPr fontId="22" type="noConversion"/>
  </si>
  <si>
    <t>万龙风电场风电功率预测系统改造采购合同</t>
    <phoneticPr fontId="22" type="noConversion"/>
  </si>
  <si>
    <t>万龙</t>
    <phoneticPr fontId="22" type="noConversion"/>
  </si>
  <si>
    <t>2022.12.29</t>
    <phoneticPr fontId="22" type="noConversion"/>
  </si>
  <si>
    <t>2022.12.24</t>
    <phoneticPr fontId="22" type="noConversion"/>
  </si>
  <si>
    <t>ZFMD/SD-23001-SH</t>
    <phoneticPr fontId="1" type="noConversion"/>
  </si>
  <si>
    <t>ZFMD/SD-23007-SH</t>
  </si>
  <si>
    <t>ZFMD/SD-23008-SH</t>
  </si>
  <si>
    <t>ZFMD/SD-23009-SH</t>
  </si>
  <si>
    <t>2022年梅桥风电场风功率预测系统数据及技术升级维护服务项目合同</t>
    <phoneticPr fontId="22" type="noConversion"/>
  </si>
  <si>
    <t>2023.1.18</t>
    <phoneticPr fontId="22" type="noConversion"/>
  </si>
  <si>
    <t>2022.12.13</t>
    <phoneticPr fontId="22" type="noConversion"/>
  </si>
  <si>
    <t>ZFMD/SD-23002-1-SH</t>
    <phoneticPr fontId="1" type="noConversion"/>
  </si>
  <si>
    <t>ZFMD/SD-23002-2-SH</t>
  </si>
  <si>
    <t>ZFMD/SD-23002-3-SH</t>
  </si>
  <si>
    <t>ZFMD/SD-23002-4-SH</t>
  </si>
  <si>
    <t>2022.12.26</t>
    <phoneticPr fontId="22" type="noConversion"/>
  </si>
  <si>
    <t>2023.1.1</t>
    <phoneticPr fontId="22" type="noConversion"/>
  </si>
  <si>
    <t>2023.3.31</t>
    <phoneticPr fontId="22" type="noConversion"/>
  </si>
  <si>
    <t>ZFMD/SD-23003-SH</t>
    <phoneticPr fontId="1" type="noConversion"/>
  </si>
  <si>
    <t>ZFMD/SD-23004-1-SH</t>
    <phoneticPr fontId="1" type="noConversion"/>
  </si>
  <si>
    <t>ZFMD/SD-23004-2-SH</t>
  </si>
  <si>
    <t>ZFMD/SD-23005-1-SH</t>
    <phoneticPr fontId="1" type="noConversion"/>
  </si>
  <si>
    <t>ZFMD/SD-23005-2-SH</t>
  </si>
  <si>
    <t>ZFMD/SD-23005-3-SH</t>
  </si>
  <si>
    <t>ZFMD/SD-23006-SH</t>
    <phoneticPr fontId="1" type="noConversion"/>
  </si>
  <si>
    <t>三峡能源黑龙江省宾县大个岭49.5MW工程综合通讯装置采购合同</t>
    <phoneticPr fontId="1" type="noConversion"/>
  </si>
  <si>
    <t>ZFMD/SD-23010-SH</t>
  </si>
  <si>
    <t>ZFMD/SD-23011-SH</t>
  </si>
  <si>
    <t>ZFMD/SD-23012-SH</t>
  </si>
  <si>
    <t>大唐吉林风力发电股份有限公司洮南风电场2023年风功率预测系统（软硬件）及测风塔维修维护服务合同</t>
    <phoneticPr fontId="1" type="noConversion"/>
  </si>
  <si>
    <t>2023.1.1</t>
    <phoneticPr fontId="1" type="noConversion"/>
  </si>
  <si>
    <t>大唐向阳风电有限公司向阳风电场2023年风功率预测系统（软硬件）及测风塔维修维护服务合同</t>
    <phoneticPr fontId="1" type="noConversion"/>
  </si>
  <si>
    <t>2022.12.9</t>
    <phoneticPr fontId="1" type="noConversion"/>
  </si>
  <si>
    <t>吉林大安新唐发电有限公司新艾里风电场2023年风功率预测系统（软硬件）及测风塔维修维护服务合同</t>
    <phoneticPr fontId="1" type="noConversion"/>
  </si>
  <si>
    <t>大唐中电（吉林）新能源发电有限公司双辽分公司双辽分公司双辽风电场2023年风功率预测系统（软硬件）及测风塔维修维护服务合同</t>
    <phoneticPr fontId="1" type="noConversion"/>
  </si>
  <si>
    <t>ZFMD/SD-23013-SH</t>
  </si>
  <si>
    <t>ZFMD/SD-23014-SH</t>
  </si>
  <si>
    <t>ZFMD/SD-23015-SH</t>
  </si>
  <si>
    <t>2023年度长胜光伏电站光功率预测系统服务合同</t>
    <phoneticPr fontId="22" type="noConversion"/>
  </si>
  <si>
    <t>2022.12</t>
    <phoneticPr fontId="1" type="noConversion"/>
  </si>
  <si>
    <t>2023年度向前光伏电站光功率预测系统服务合同</t>
    <phoneticPr fontId="22" type="noConversion"/>
  </si>
  <si>
    <t>泮阳</t>
    <phoneticPr fontId="1" type="noConversion"/>
  </si>
  <si>
    <t>古田泮阳</t>
  </si>
  <si>
    <t>古田中电建新能源发电有限公司</t>
    <phoneticPr fontId="1" type="noConversion"/>
  </si>
  <si>
    <t>古田中电建新能源发电有限公司古田电厂风功率预测服务合同文件</t>
    <phoneticPr fontId="1" type="noConversion"/>
  </si>
  <si>
    <t>2023.12.30</t>
    <phoneticPr fontId="1" type="noConversion"/>
  </si>
  <si>
    <t>2022.12.30</t>
    <phoneticPr fontId="1" type="noConversion"/>
  </si>
  <si>
    <t>ZFMD/KGSQ-22045</t>
  </si>
  <si>
    <t>ZFMD/KGSQ-22048</t>
  </si>
  <si>
    <t>ZFMD/KGSQ-22047</t>
  </si>
  <si>
    <t>新疆浦类海能源发展有限公司三塘湖风电场2022年风电功率预测系统服务合同</t>
    <phoneticPr fontId="22" type="noConversion"/>
  </si>
  <si>
    <t>ZFMD/SD-22162-SH</t>
    <phoneticPr fontId="22" type="noConversion"/>
  </si>
  <si>
    <t>ZFMD/SD-23016-SH</t>
  </si>
  <si>
    <t>三峡能源黑龙江省伊春美林风电扬51MW工
程2022-2024年风功率预测系统维护服务合
同</t>
    <phoneticPr fontId="1" type="noConversion"/>
  </si>
  <si>
    <t>2023.2.3</t>
    <phoneticPr fontId="1" type="noConversion"/>
  </si>
  <si>
    <t>2023.1.18</t>
    <phoneticPr fontId="1" type="noConversion"/>
  </si>
  <si>
    <t>ZFMD/SD-23017-SH</t>
  </si>
  <si>
    <t>三峡新能源黑龙江省宾县大个岭风电场49.5MW工程2022-2024年风功率预测系统维护服务合同</t>
    <phoneticPr fontId="1" type="noConversion"/>
  </si>
  <si>
    <t>2023.2.11</t>
    <phoneticPr fontId="1" type="noConversion"/>
  </si>
  <si>
    <t>2023.1.17</t>
    <phoneticPr fontId="1" type="noConversion"/>
  </si>
  <si>
    <t>大唐托克逊风电开发有限公司托克逊风电场测风塔系统换型改造项目承揽合同</t>
    <phoneticPr fontId="22" type="noConversion"/>
  </si>
  <si>
    <t>2022.12.17</t>
    <phoneticPr fontId="1" type="noConversion"/>
  </si>
  <si>
    <t>ZFMD/SD-22179-SH</t>
    <phoneticPr fontId="22" type="noConversion"/>
  </si>
  <si>
    <t>ZFMD/SD-23018-SH</t>
  </si>
  <si>
    <t>ZFMD/SD-23019-SH</t>
  </si>
  <si>
    <t>ZFMD/SD-23020-SH</t>
  </si>
  <si>
    <t>ZFMD/SD-23022-SH</t>
  </si>
  <si>
    <t>上堡风电场2023年度风功率预测系统服务合同书</t>
    <phoneticPr fontId="1" type="noConversion"/>
  </si>
  <si>
    <t>2023.3.5</t>
    <phoneticPr fontId="1" type="noConversion"/>
  </si>
  <si>
    <t>2023.2.20</t>
    <phoneticPr fontId="1" type="noConversion"/>
  </si>
  <si>
    <t>国能陕西新能源发电有限公司靖边分公司芦河光伏电站光功率系统维护合同</t>
    <phoneticPr fontId="1" type="noConversion"/>
  </si>
  <si>
    <t>2023.3.1</t>
    <phoneticPr fontId="1" type="noConversion"/>
  </si>
  <si>
    <t>2024.2.29</t>
    <phoneticPr fontId="1" type="noConversion"/>
  </si>
  <si>
    <t>大庆绿源风力发电有限公司2023年度东海光伏电站光伏功率预测系统技术服务合同</t>
    <phoneticPr fontId="22" type="noConversion"/>
  </si>
  <si>
    <t>2023.2.24</t>
    <phoneticPr fontId="22" type="noConversion"/>
  </si>
  <si>
    <t>ZFMD/SD-23021-1-SH</t>
    <phoneticPr fontId="1" type="noConversion"/>
  </si>
  <si>
    <t>ZFMD/SD-23021-2-SH</t>
    <phoneticPr fontId="1" type="noConversion"/>
  </si>
  <si>
    <t>大庆绿源风力发电有限公司2023年度风功率预测服务合同</t>
    <phoneticPr fontId="22" type="noConversion"/>
  </si>
  <si>
    <t>吉电未来智维能源科技（吉林）有限公司</t>
    <phoneticPr fontId="1" type="noConversion"/>
  </si>
  <si>
    <t>白城镇赉风电场风功率预测系统服务合同书</t>
    <phoneticPr fontId="1" type="noConversion"/>
  </si>
  <si>
    <t>2022.12.13</t>
    <phoneticPr fontId="1" type="noConversion"/>
  </si>
  <si>
    <t>2023.12.14</t>
    <phoneticPr fontId="1" type="noConversion"/>
  </si>
  <si>
    <t>ZFMD/SD-23023-SH</t>
  </si>
  <si>
    <t>ZFMD/SD-23024-SH</t>
  </si>
  <si>
    <t>ZFMD/SD-23025-SH</t>
  </si>
  <si>
    <t>ZFMD/SD-23026-SH</t>
  </si>
  <si>
    <t>ZFMD/SD-23027-SH</t>
  </si>
  <si>
    <t>ZFMD/SD-23028-SH</t>
  </si>
  <si>
    <t>奇台协鑫50MW风电项目工程D5000综合通讯系统合同</t>
    <phoneticPr fontId="1" type="noConversion"/>
  </si>
  <si>
    <t>2023.3.17</t>
    <phoneticPr fontId="1" type="noConversion"/>
  </si>
  <si>
    <t>替换20189合同，还是干20189的活</t>
    <phoneticPr fontId="1" type="noConversion"/>
  </si>
  <si>
    <t>合同已作废，项目施工已完成。合同作废重签成23023号销售合同</t>
    <phoneticPr fontId="1" type="noConversion"/>
  </si>
  <si>
    <t>河北风电场理论功率上传软件</t>
    <phoneticPr fontId="1" type="noConversion"/>
  </si>
  <si>
    <t>曹碾沟风电场理论可用功率上报系统买卖合同</t>
    <phoneticPr fontId="22" type="noConversion"/>
  </si>
  <si>
    <t>2023.3.17</t>
    <phoneticPr fontId="22" type="noConversion"/>
  </si>
  <si>
    <t>2023.2.28</t>
    <phoneticPr fontId="22" type="noConversion"/>
  </si>
  <si>
    <t>2023.2.22</t>
    <phoneticPr fontId="1" type="noConversion"/>
  </si>
  <si>
    <t>2023.2.24</t>
    <phoneticPr fontId="1" type="noConversion"/>
  </si>
  <si>
    <t>2026.2.23</t>
    <phoneticPr fontId="1" type="noConversion"/>
  </si>
  <si>
    <t>关于《中电建宁夏工程有限公司巴里坤黑眼泉20兆瓦分散式风电项目风功率预测系统买卖合同》-补充协议1</t>
    <phoneticPr fontId="1" type="noConversion"/>
  </si>
  <si>
    <t>2023.2.25</t>
    <phoneticPr fontId="1" type="noConversion"/>
  </si>
  <si>
    <t>茅店风电场风功率预测气象服务协议</t>
    <phoneticPr fontId="1" type="noConversion"/>
  </si>
  <si>
    <t>2023.3.9</t>
    <phoneticPr fontId="1" type="noConversion"/>
  </si>
  <si>
    <t>2023.1.26</t>
    <phoneticPr fontId="1" type="noConversion"/>
  </si>
  <si>
    <t>2023.7.16</t>
    <phoneticPr fontId="1" type="noConversion"/>
  </si>
  <si>
    <t>黑龙江龙能电力集团有限公司</t>
    <phoneticPr fontId="1" type="noConversion"/>
  </si>
  <si>
    <t>2023.3.22</t>
    <phoneticPr fontId="22" type="noConversion"/>
  </si>
  <si>
    <t>2023.2</t>
    <phoneticPr fontId="22" type="noConversion"/>
  </si>
  <si>
    <t>2023.3.20开票占号</t>
    <phoneticPr fontId="1" type="noConversion"/>
  </si>
  <si>
    <t>昌德光伏电站光伏功率预测系统技术服务合同</t>
    <phoneticPr fontId="1" type="noConversion"/>
  </si>
  <si>
    <t>ZFMD/SD-23029-SH</t>
    <phoneticPr fontId="1" type="noConversion"/>
  </si>
  <si>
    <t>ZFMD/SD-23030-SH</t>
  </si>
  <si>
    <t>ZFMD/SD-23031-SH</t>
  </si>
  <si>
    <t>三峡能源黑龙江省乌伊岭阿廷河风电场49.5MW工程2022-2024年风功率预测系统维护服务合同</t>
    <phoneticPr fontId="1" type="noConversion"/>
  </si>
  <si>
    <t>预测服务29个月</t>
    <phoneticPr fontId="1" type="noConversion"/>
  </si>
  <si>
    <t>2023.3.13</t>
    <phoneticPr fontId="1" type="noConversion"/>
  </si>
  <si>
    <t>2023.1.19</t>
    <phoneticPr fontId="1" type="noConversion"/>
  </si>
  <si>
    <t>2025.6.18</t>
    <phoneticPr fontId="1" type="noConversion"/>
  </si>
  <si>
    <t>吉林省光华风电投资有限公司到保风电场风电功率预测系统技术服务合同</t>
    <phoneticPr fontId="22" type="noConversion"/>
  </si>
  <si>
    <t>2023.3.15</t>
    <phoneticPr fontId="1" type="noConversion"/>
  </si>
  <si>
    <t>2024.2.28</t>
    <phoneticPr fontId="1" type="noConversion"/>
  </si>
  <si>
    <t>2025.6.17</t>
    <phoneticPr fontId="1" type="noConversion"/>
  </si>
  <si>
    <t>ZFMD/SD-23032-1-SH</t>
    <phoneticPr fontId="1" type="noConversion"/>
  </si>
  <si>
    <t>ZFMD/SD-23032-2-SH</t>
  </si>
  <si>
    <t>2023年度中卫香山第四、六风电场风功率预测系统气象及运维服务</t>
    <phoneticPr fontId="1" type="noConversion"/>
  </si>
  <si>
    <t>2023.4.8</t>
    <phoneticPr fontId="1" type="noConversion"/>
  </si>
  <si>
    <t>ZFMD/SD-23033-SH</t>
    <phoneticPr fontId="1" type="noConversion"/>
  </si>
  <si>
    <t>北京中科伏瑞电气技术有限公司</t>
    <phoneticPr fontId="1" type="noConversion"/>
  </si>
  <si>
    <t>2023.4.15</t>
    <phoneticPr fontId="22" type="noConversion"/>
  </si>
  <si>
    <t>2023.4</t>
    <phoneticPr fontId="22" type="noConversion"/>
  </si>
  <si>
    <t>2023.12.31</t>
    <phoneticPr fontId="22" type="noConversion"/>
  </si>
  <si>
    <t>ZFMD/SD-23034-SH</t>
  </si>
  <si>
    <t>ZFMD/KGSQ-22017</t>
  </si>
  <si>
    <t>2023.4.25</t>
    <phoneticPr fontId="1" type="noConversion"/>
  </si>
  <si>
    <t>2023.4.25开票占号</t>
    <phoneticPr fontId="1" type="noConversion"/>
  </si>
  <si>
    <t>ZFMD/SD-22012-1-SH-BG01
ZFMD/SD-22012-1-SH-BG02</t>
    <phoneticPr fontId="1" type="noConversion"/>
  </si>
  <si>
    <t>哈电风能有限公司</t>
    <phoneticPr fontId="1" type="noConversion"/>
  </si>
  <si>
    <t>2023.4.27</t>
    <phoneticPr fontId="1" type="noConversion"/>
  </si>
  <si>
    <t>2023.3</t>
    <phoneticPr fontId="1" type="noConversion"/>
  </si>
  <si>
    <t>ZFMD/SD-23035-SH</t>
    <phoneticPr fontId="1" type="noConversion"/>
  </si>
  <si>
    <t>银子山</t>
    <phoneticPr fontId="1" type="noConversion"/>
  </si>
  <si>
    <t>ZFMD/SD-23038-1-SH</t>
    <phoneticPr fontId="1" type="noConversion"/>
  </si>
  <si>
    <t>ZFMD/SD-23038-2-SH</t>
  </si>
  <si>
    <t>新疆华电力诺太阳能电力有限公司</t>
    <phoneticPr fontId="1" type="noConversion"/>
  </si>
  <si>
    <t>新疆华电力诺石城子光伏电站功率预测系统升级改造合同</t>
    <phoneticPr fontId="1" type="noConversion"/>
  </si>
  <si>
    <t>系统硬件；光伏气象站；软件升级（自动巡检）</t>
    <phoneticPr fontId="1" type="noConversion"/>
  </si>
  <si>
    <t>2023.5.5</t>
    <phoneticPr fontId="1" type="noConversion"/>
  </si>
  <si>
    <t>2023.4.25</t>
    <phoneticPr fontId="22" type="noConversion"/>
  </si>
  <si>
    <t>新疆华电东方民生太阳能源开发有限公司</t>
    <phoneticPr fontId="5" type="noConversion"/>
  </si>
  <si>
    <t>新疆华电东方民生石城子光伏电站功率预测系统升级改造合同</t>
    <phoneticPr fontId="22" type="noConversion"/>
  </si>
  <si>
    <t>新疆华电石城光伏电站及二电站功率预测系统升级改造合同</t>
    <phoneticPr fontId="22" type="noConversion"/>
  </si>
  <si>
    <t>ZFMD/SD-23039-SH</t>
    <phoneticPr fontId="1" type="noConversion"/>
  </si>
  <si>
    <t>ZFMD/SD-23036-SH</t>
    <phoneticPr fontId="1" type="noConversion"/>
  </si>
  <si>
    <t>ZFMD/SD-23037-SH</t>
    <phoneticPr fontId="1" type="noConversion"/>
  </si>
  <si>
    <t>2023.3.30</t>
    <phoneticPr fontId="22" type="noConversion"/>
  </si>
  <si>
    <t>2024.4.30</t>
    <phoneticPr fontId="22" type="noConversion"/>
  </si>
  <si>
    <t>辽宁宏鑫润达商贸有限公司</t>
    <phoneticPr fontId="1" type="noConversion"/>
  </si>
  <si>
    <t>中广核吉林四平梨树30.4MW分散式风电乡村振兴项目风功率预测系统设备采购合同</t>
    <phoneticPr fontId="1" type="noConversion"/>
  </si>
  <si>
    <t>梨树</t>
    <phoneticPr fontId="1" type="noConversion"/>
  </si>
  <si>
    <t>2023.5.11</t>
    <phoneticPr fontId="1" type="noConversion"/>
  </si>
  <si>
    <t>2023.5</t>
    <phoneticPr fontId="1" type="noConversion"/>
  </si>
  <si>
    <t>ZFMD/SD-23040-SH</t>
    <phoneticPr fontId="1" type="noConversion"/>
  </si>
  <si>
    <t>ZFMD/SD-23041-SH</t>
  </si>
  <si>
    <t>ZFMD/SD-23042-SH</t>
  </si>
  <si>
    <t>ZFMD/SD-23044-SH</t>
  </si>
  <si>
    <t>三峡能源吉林省大安海坨风电场198MW工程2022-2024年风功率预测系统维护服务合同</t>
    <phoneticPr fontId="1" type="noConversion"/>
  </si>
  <si>
    <t>2023.5.13</t>
    <phoneticPr fontId="1" type="noConversion"/>
  </si>
  <si>
    <t>三峡能源吉林省白城查干浩特风电场45MW工程2022-2024年风功率预测系统维护服务合同</t>
    <phoneticPr fontId="1" type="noConversion"/>
  </si>
  <si>
    <t>ZFMD/SD-23043-1-SH</t>
    <phoneticPr fontId="1" type="noConversion"/>
  </si>
  <si>
    <t>ZFMD/SD-23043-2-SH</t>
    <phoneticPr fontId="1" type="noConversion"/>
  </si>
  <si>
    <t>ZFMD/SD-23043-3-SH</t>
    <phoneticPr fontId="1" type="noConversion"/>
  </si>
  <si>
    <t>新疆华电小草湖风力发电有限责任公司</t>
    <phoneticPr fontId="1" type="noConversion"/>
  </si>
  <si>
    <t>小草湖风场日常维护气象服务器正向隔离装置SCADA服务器采购合同</t>
    <phoneticPr fontId="1" type="noConversion"/>
  </si>
  <si>
    <t>系统硬件；软件升级（自动巡检）</t>
    <phoneticPr fontId="1" type="noConversion"/>
  </si>
  <si>
    <t>2023.5.4</t>
    <phoneticPr fontId="1" type="noConversion"/>
  </si>
  <si>
    <t>新疆华电草湖风电有限公司</t>
    <phoneticPr fontId="1" type="noConversion"/>
  </si>
  <si>
    <t>草湖风场日常维护气象服务器正向隔离装置采购合同</t>
    <phoneticPr fontId="1" type="noConversion"/>
  </si>
  <si>
    <t>草湖二场</t>
  </si>
  <si>
    <t>ZFMD/SD-23045-SH</t>
  </si>
  <si>
    <t>华电铁岭风电公司镇西堡风场2023、2024年风功率预测服务项目合同</t>
    <phoneticPr fontId="1" type="noConversion"/>
  </si>
  <si>
    <t>2023.5.17</t>
    <phoneticPr fontId="22" type="noConversion"/>
  </si>
  <si>
    <t>ZFMD/SD-23046-SH</t>
    <phoneticPr fontId="1" type="noConversion"/>
  </si>
  <si>
    <t>ZFMD/SHFW-2023006</t>
    <phoneticPr fontId="1" type="noConversion"/>
  </si>
  <si>
    <t>2023.5.17</t>
    <phoneticPr fontId="1" type="noConversion"/>
  </si>
  <si>
    <t>2023年5月17日开票占号</t>
    <phoneticPr fontId="1" type="noConversion"/>
  </si>
  <si>
    <t>ZFMD/SD-21140-1-SH-BG01
ZFMD/SD-21140-1-SH-BG02
ZFMD/SD-21140-1-SH-BG03</t>
    <phoneticPr fontId="1" type="noConversion"/>
  </si>
  <si>
    <t>ZFMD/SD-21140-2-SH-BG01
ZFMD/SD-21140-2-SH-BG02
ZFMD/SD-21140-2-SH-BG03
ZFMD/SD-21140-2-SH-BG04
ZFMD/SD-21140-2-SH-BG05</t>
    <phoneticPr fontId="1" type="noConversion"/>
  </si>
  <si>
    <t>ZFMD/SD-21140-3-SH-BG01
ZFMD/SD-21140-3-SH-BG02</t>
    <phoneticPr fontId="1" type="noConversion"/>
  </si>
  <si>
    <t>三峡新能源大安海坨风电场测风塔设备维修合同</t>
    <phoneticPr fontId="1" type="noConversion"/>
  </si>
  <si>
    <t>2023.5.15</t>
    <phoneticPr fontId="1" type="noConversion"/>
  </si>
  <si>
    <t>ZFMD/SD-23047-SH</t>
  </si>
  <si>
    <t>ZFMD/SD-23048-SH</t>
  </si>
  <si>
    <t>ZFMD/SD-23049-SH</t>
  </si>
  <si>
    <t>ZFMD/SD-23050-SH</t>
  </si>
  <si>
    <t>2023.6.2</t>
    <phoneticPr fontId="1" type="noConversion"/>
  </si>
  <si>
    <t>2023.6</t>
    <phoneticPr fontId="1" type="noConversion"/>
  </si>
  <si>
    <t>东北区域公司三井子风电场风功率预测系统维护项目服务合同</t>
    <phoneticPr fontId="1" type="noConversion"/>
  </si>
  <si>
    <t>2023.5.29</t>
    <phoneticPr fontId="1" type="noConversion"/>
  </si>
  <si>
    <t>2024.5.28</t>
    <phoneticPr fontId="1" type="noConversion"/>
  </si>
  <si>
    <t>ZFMD/SD-23052-1-SH</t>
    <phoneticPr fontId="1" type="noConversion"/>
  </si>
  <si>
    <t>ZFMD/SD-23052-2-SH</t>
    <phoneticPr fontId="1" type="noConversion"/>
  </si>
  <si>
    <t>ZFMD/SD-23052-3-SH</t>
    <phoneticPr fontId="1" type="noConversion"/>
  </si>
  <si>
    <t>三峡新能源辽宁省彰武光伏电站（24MWp）工程电站、三峡黑龙江富裕友谊20MW电站、三峡黑龙江泰来汤池9.9MW电站光功率预测系统维护服务合同</t>
    <phoneticPr fontId="22" type="noConversion"/>
  </si>
  <si>
    <t>2023.5.23</t>
    <phoneticPr fontId="1" type="noConversion"/>
  </si>
  <si>
    <t>2023.6.1</t>
    <phoneticPr fontId="1" type="noConversion"/>
  </si>
  <si>
    <t>2024.11.30</t>
    <phoneticPr fontId="1" type="noConversion"/>
  </si>
  <si>
    <t>2023.5.7</t>
    <phoneticPr fontId="22" type="noConversion"/>
  </si>
  <si>
    <t>2024.11.17</t>
    <phoneticPr fontId="22" type="noConversion"/>
  </si>
  <si>
    <t>大唐托克逊风电开发有限公司托克逊风电场风功率预测系统维护服务项目承揽合同</t>
    <phoneticPr fontId="1" type="noConversion"/>
  </si>
  <si>
    <t>2023.2.1</t>
    <phoneticPr fontId="1" type="noConversion"/>
  </si>
  <si>
    <t>2026.1.31</t>
    <phoneticPr fontId="1" type="noConversion"/>
  </si>
  <si>
    <t>ZFMD/SD-23055-SH</t>
    <phoneticPr fontId="1" type="noConversion"/>
  </si>
  <si>
    <t>长岭中电建新能源风力发电有限责任公司长岭电场风功率预测服务及隔离装置升级采购合同</t>
    <phoneticPr fontId="22" type="noConversion"/>
  </si>
  <si>
    <t>长岭王子（一期+二期+三期）</t>
  </si>
  <si>
    <t>2024.5.31</t>
    <phoneticPr fontId="1" type="noConversion"/>
  </si>
  <si>
    <t>ZFMD/SD-23051-SH</t>
    <phoneticPr fontId="1" type="noConversion"/>
  </si>
  <si>
    <t>ZFMD/SD-23053-SH</t>
    <phoneticPr fontId="1" type="noConversion"/>
  </si>
  <si>
    <t>ZFMD/SD-23054-SH</t>
    <phoneticPr fontId="1" type="noConversion"/>
  </si>
  <si>
    <t>ZFMD/SD-23056-SH</t>
  </si>
  <si>
    <t>新风光电子科技股份有限公司</t>
    <phoneticPr fontId="1" type="noConversion"/>
  </si>
  <si>
    <t>大唐新疆三塘湖风电场AVC系统接口调试技术服务合同</t>
    <phoneticPr fontId="1" type="noConversion"/>
  </si>
  <si>
    <t>2023.6.27</t>
    <phoneticPr fontId="22" type="noConversion"/>
  </si>
  <si>
    <t>2023.6</t>
    <phoneticPr fontId="22" type="noConversion"/>
  </si>
  <si>
    <t>2023.5.23</t>
    <phoneticPr fontId="22" type="noConversion"/>
  </si>
  <si>
    <t>2023.7.1</t>
    <phoneticPr fontId="1" type="noConversion"/>
  </si>
  <si>
    <t>2024.6.30</t>
    <phoneticPr fontId="1" type="noConversion"/>
  </si>
  <si>
    <t>ZFMD/SD-23057-SH</t>
    <phoneticPr fontId="1" type="noConversion"/>
  </si>
  <si>
    <t>ZFMD/SD-23058-SH</t>
    <phoneticPr fontId="1" type="noConversion"/>
  </si>
  <si>
    <t>2023.7.8</t>
    <phoneticPr fontId="1" type="noConversion"/>
  </si>
  <si>
    <t>中国电建集团山东电力建设第一工程有限公司</t>
    <phoneticPr fontId="1" type="noConversion"/>
  </si>
  <si>
    <t>安白高速新艾里风电场二期项目风电功率预测系统采购合同</t>
    <phoneticPr fontId="1" type="noConversion"/>
  </si>
  <si>
    <t>安白高速新艾里二期</t>
    <phoneticPr fontId="1" type="noConversion"/>
  </si>
  <si>
    <t>ZFMD/SD-23059-SH</t>
    <phoneticPr fontId="1" type="noConversion"/>
  </si>
  <si>
    <t>ZFMD/SD-23060-1-SH</t>
    <phoneticPr fontId="1" type="noConversion"/>
  </si>
  <si>
    <t>ZFMD/SD-23060-2-SH</t>
    <phoneticPr fontId="1" type="noConversion"/>
  </si>
  <si>
    <t>ZFMD/SD-23060-3-SH</t>
    <phoneticPr fontId="1" type="noConversion"/>
  </si>
  <si>
    <t>ZFMD/KGSQ-23005</t>
  </si>
  <si>
    <t>福建省福能海峡发电有限公司</t>
    <phoneticPr fontId="1" type="noConversion"/>
  </si>
  <si>
    <t>技术开发合同</t>
    <phoneticPr fontId="1" type="noConversion"/>
  </si>
  <si>
    <t>龙下</t>
    <phoneticPr fontId="1" type="noConversion"/>
  </si>
  <si>
    <t>一级公司</t>
    <phoneticPr fontId="1" type="noConversion"/>
  </si>
  <si>
    <t>二级公司</t>
    <phoneticPr fontId="1" type="noConversion"/>
  </si>
  <si>
    <t>三级公司</t>
    <phoneticPr fontId="1" type="noConversion"/>
  </si>
  <si>
    <t>吉林省投</t>
    <phoneticPr fontId="1" type="noConversion"/>
  </si>
  <si>
    <t>吉林省投新能源</t>
    <phoneticPr fontId="1" type="noConversion"/>
  </si>
  <si>
    <t>福建省能源集团</t>
    <phoneticPr fontId="1" type="noConversion"/>
  </si>
  <si>
    <t>福能海峡发电</t>
    <phoneticPr fontId="1" type="noConversion"/>
  </si>
  <si>
    <t>风资源评估</t>
    <phoneticPr fontId="1" type="noConversion"/>
  </si>
  <si>
    <t>风机运行评估系统</t>
    <phoneticPr fontId="1" type="noConversion"/>
  </si>
  <si>
    <t>福建风电场D5000二区软件；福建风电场理论功率上传软件</t>
    <phoneticPr fontId="1" type="noConversion"/>
  </si>
  <si>
    <t>2023.7.6</t>
    <phoneticPr fontId="1" type="noConversion"/>
  </si>
  <si>
    <t>ZFMD/KGSQ-23003</t>
    <phoneticPr fontId="1" type="noConversion"/>
  </si>
  <si>
    <t>ZFMD/KGSQ-23004</t>
    <phoneticPr fontId="1" type="noConversion"/>
  </si>
  <si>
    <t>国家电投集团</t>
    <phoneticPr fontId="1" type="noConversion"/>
  </si>
  <si>
    <t>国家电投广西省公司</t>
    <phoneticPr fontId="1" type="noConversion"/>
  </si>
  <si>
    <t>广西省公司新能源</t>
    <phoneticPr fontId="1" type="noConversion"/>
  </si>
  <si>
    <t>国家电投集团广西金紫山风电有限公司2023至2025年度金紫山风电场风功率预测技术服务合同</t>
    <phoneticPr fontId="1" type="noConversion"/>
  </si>
  <si>
    <t>测风塔设备；预测服务3年</t>
    <phoneticPr fontId="1" type="noConversion"/>
  </si>
  <si>
    <t>2023.5.18</t>
    <phoneticPr fontId="1" type="noConversion"/>
  </si>
  <si>
    <t>2026.5.31</t>
    <phoneticPr fontId="1" type="noConversion"/>
  </si>
  <si>
    <t>国家电投集团广西兴安风电有限公司2023至2025年度坵坪风电场风功率预测技术服务合同</t>
    <phoneticPr fontId="1" type="noConversion"/>
  </si>
  <si>
    <t>ZFMD/SD-23061-SH</t>
    <phoneticPr fontId="1" type="noConversion"/>
  </si>
  <si>
    <t>ZFMD/SD-23062-SH</t>
    <phoneticPr fontId="1" type="noConversion"/>
  </si>
  <si>
    <t>ZFMD/SD-23063-1-SH</t>
    <phoneticPr fontId="1" type="noConversion"/>
  </si>
  <si>
    <t>ZFMD/SD-23063-2-SH</t>
    <phoneticPr fontId="1" type="noConversion"/>
  </si>
  <si>
    <t>ZFMD/SD-23063-3-SH</t>
    <phoneticPr fontId="1" type="noConversion"/>
  </si>
  <si>
    <t>2023.5.24</t>
    <phoneticPr fontId="22" type="noConversion"/>
  </si>
  <si>
    <t>2024.5.23</t>
    <phoneticPr fontId="22" type="noConversion"/>
  </si>
  <si>
    <t>中国大唐集团</t>
    <phoneticPr fontId="1" type="noConversion"/>
  </si>
  <si>
    <t>大唐黑龙江省公司</t>
    <phoneticPr fontId="1" type="noConversion"/>
  </si>
  <si>
    <t>大唐黑龙江省新能源</t>
    <phoneticPr fontId="1" type="noConversion"/>
  </si>
  <si>
    <t>ZFMD/SD-23064-1-SH</t>
    <phoneticPr fontId="1" type="noConversion"/>
  </si>
  <si>
    <t>ZFMD/SD-23064-2-SH</t>
  </si>
  <si>
    <t>ZFMD/SD-23064-3-SH</t>
  </si>
  <si>
    <t>ZFMD/SD-23064-4-SH</t>
  </si>
  <si>
    <t>ZFMD/SD-23064-6-SH</t>
  </si>
  <si>
    <t>ZFMD/SD-23064-7-SH</t>
  </si>
  <si>
    <t>ZFMD/SD-23064-8-SH</t>
  </si>
  <si>
    <t>ZFMD/SD-23064-9-SH</t>
  </si>
  <si>
    <t>ZFMD/SD-23064-5-SH</t>
    <phoneticPr fontId="1" type="noConversion"/>
  </si>
  <si>
    <t>系统硬件维护；测风塔维护；预测服务1年</t>
    <phoneticPr fontId="22" type="noConversion"/>
  </si>
  <si>
    <t>ZFMD/SD-23065-SH</t>
    <phoneticPr fontId="1" type="noConversion"/>
  </si>
  <si>
    <t>沈阳奥迅科技有限公司</t>
    <phoneticPr fontId="1" type="noConversion"/>
  </si>
  <si>
    <t>大唐宾县新能源有限公司锐驰二期风电场综合通讯管理系统合同</t>
    <phoneticPr fontId="1" type="noConversion"/>
  </si>
  <si>
    <t>锐驰二期</t>
    <phoneticPr fontId="1" type="noConversion"/>
  </si>
  <si>
    <t>2023.7.17</t>
    <phoneticPr fontId="1" type="noConversion"/>
  </si>
  <si>
    <t>系统硬件；测风塔维护；预测服务3年</t>
    <phoneticPr fontId="22" type="noConversion"/>
  </si>
  <si>
    <t>2025.4.8</t>
    <phoneticPr fontId="1" type="noConversion"/>
  </si>
  <si>
    <t>测风塔维护；预测服务5个月</t>
    <phoneticPr fontId="22" type="noConversion"/>
  </si>
  <si>
    <t>2023.7.28</t>
    <phoneticPr fontId="1" type="noConversion"/>
  </si>
  <si>
    <t>福能（漳州）风力发电有限责任公司风功率预测系统服务器更换及预测软件升级工程</t>
    <phoneticPr fontId="1" type="noConversion"/>
  </si>
  <si>
    <t xml:space="preserve">福能集团 </t>
    <phoneticPr fontId="1" type="noConversion"/>
  </si>
  <si>
    <t>福建省福能新能源</t>
    <phoneticPr fontId="1" type="noConversion"/>
  </si>
  <si>
    <t>2023.7</t>
    <phoneticPr fontId="1" type="noConversion"/>
  </si>
  <si>
    <t>福能（龙海）风力发电有限责任公司</t>
    <phoneticPr fontId="5" type="noConversion"/>
  </si>
  <si>
    <t>福能（龙海）风力发电有限责任公司风功率预测系统服务器更换及预测软件升级工程</t>
    <phoneticPr fontId="1" type="noConversion"/>
  </si>
  <si>
    <t>华电巴里坤新能源有限公司</t>
    <phoneticPr fontId="5" type="noConversion"/>
  </si>
  <si>
    <t>巴里坤麻黄沟东风电一场、风电一场（二三四期）功率预测系统升级改造服务合同</t>
    <phoneticPr fontId="22" type="noConversion"/>
  </si>
  <si>
    <t>2023.8.4</t>
    <phoneticPr fontId="1" type="noConversion"/>
  </si>
  <si>
    <t>2023.7.21</t>
    <phoneticPr fontId="1" type="noConversion"/>
  </si>
  <si>
    <t>ZFMD/SD-23072-SH</t>
  </si>
  <si>
    <t>新疆华电苦水东风电一场功率预测系统升级改造服务合同</t>
    <phoneticPr fontId="1" type="noConversion"/>
  </si>
  <si>
    <t>新疆华电淖毛湖风电一场、一场（二期）功率预测系统升级改造服务合同</t>
    <phoneticPr fontId="1" type="noConversion"/>
  </si>
  <si>
    <t>ZFMD/SD-23074-SH</t>
  </si>
  <si>
    <t>华电新能（伊吾）东方民生新能源有限公司</t>
    <phoneticPr fontId="1" type="noConversion"/>
  </si>
  <si>
    <t>新疆华电伊吾东方民生淖毛湖风电场功率预测系统升级改造服务合同</t>
    <phoneticPr fontId="1" type="noConversion"/>
  </si>
  <si>
    <t>ZFMD/SD-23075-1-SH</t>
    <phoneticPr fontId="1" type="noConversion"/>
  </si>
  <si>
    <t>ZFMD/SD-23075-2-SH</t>
  </si>
  <si>
    <t>ZFMD/SD-23075-3-SH</t>
  </si>
  <si>
    <t>新疆华电嘉利风电场、风电二场、三场功率预测系统升级改造服务合同</t>
  </si>
  <si>
    <t>新疆华电嘉利风电场、风电二场、三场功率预测系统升级改造服务合同</t>
    <phoneticPr fontId="1" type="noConversion"/>
  </si>
  <si>
    <t>ZFMD/SD-23071-1-SH</t>
    <phoneticPr fontId="1" type="noConversion"/>
  </si>
  <si>
    <t>ZFMD/SD-23071-2-SH</t>
    <phoneticPr fontId="1" type="noConversion"/>
  </si>
  <si>
    <t>淖毛湖风电一场</t>
    <phoneticPr fontId="22" type="noConversion"/>
  </si>
  <si>
    <t>淖毛湖风电一场（二期）</t>
    <phoneticPr fontId="22" type="noConversion"/>
  </si>
  <si>
    <t>二三四期（东方民生麻黄沟东风电一场（直流/直流配套））</t>
    <phoneticPr fontId="22" type="noConversion"/>
  </si>
  <si>
    <t>ZFMD/SD-23073-1-SH</t>
    <phoneticPr fontId="1" type="noConversion"/>
  </si>
  <si>
    <t>ZFMD/SD-23073-2-SH</t>
    <phoneticPr fontId="1" type="noConversion"/>
  </si>
  <si>
    <t>麻黄沟东风电一场</t>
    <phoneticPr fontId="22" type="noConversion"/>
  </si>
  <si>
    <t>麻黄沟东风电一场（二三四期）</t>
    <phoneticPr fontId="22" type="noConversion"/>
  </si>
  <si>
    <t>华电淖毛湖风电一场</t>
    <phoneticPr fontId="22" type="noConversion"/>
  </si>
  <si>
    <t>华电淖毛湖风电一场（二期/直流）</t>
    <phoneticPr fontId="22" type="noConversion"/>
  </si>
  <si>
    <t>华电嘉利一场、十三间房一期、二期</t>
    <phoneticPr fontId="22" type="noConversion"/>
  </si>
  <si>
    <t>嘉利风电场</t>
    <phoneticPr fontId="10" type="noConversion"/>
  </si>
  <si>
    <t>嘉利风电二场</t>
    <phoneticPr fontId="10" type="noConversion"/>
  </si>
  <si>
    <t>嘉利风电三场</t>
    <phoneticPr fontId="10" type="noConversion"/>
  </si>
  <si>
    <t>东方民生麻黄沟东风电一场/一期</t>
    <phoneticPr fontId="22" type="noConversion"/>
  </si>
  <si>
    <t>ZFMD/SD-23076-SH</t>
    <phoneticPr fontId="1" type="noConversion"/>
  </si>
  <si>
    <t>2023.7.31开票3万元</t>
    <phoneticPr fontId="1" type="noConversion"/>
  </si>
  <si>
    <t>2023.7.31</t>
    <phoneticPr fontId="1" type="noConversion"/>
  </si>
  <si>
    <t>福能平海（莆田）风力发电有限公司风功率预测系统服务器更换及预测软件升级工程</t>
    <phoneticPr fontId="1" type="noConversion"/>
  </si>
  <si>
    <t>万福光伏电站2023-2025年度光功率预测系统天气预报数据及模型维护服务技术服务合同</t>
    <phoneticPr fontId="1" type="noConversion"/>
  </si>
  <si>
    <t>2023.7.23</t>
    <phoneticPr fontId="1" type="noConversion"/>
  </si>
  <si>
    <t>2023.9.30</t>
    <phoneticPr fontId="1" type="noConversion"/>
  </si>
  <si>
    <t>2025.9.29</t>
    <phoneticPr fontId="1" type="noConversion"/>
  </si>
  <si>
    <t>ZFMD/SD-23070-1-SH</t>
    <phoneticPr fontId="1" type="noConversion"/>
  </si>
  <si>
    <t>ZFMD/SD-23070-2-SH</t>
    <phoneticPr fontId="1" type="noConversion"/>
  </si>
  <si>
    <t>华电铁岭风电公司镇西堡风电场2023年风功率预测系统设备换新项目服务合同</t>
    <phoneticPr fontId="1" type="noConversion"/>
  </si>
  <si>
    <t>开票占号，不签合同</t>
    <phoneticPr fontId="1" type="noConversion"/>
  </si>
  <si>
    <t>ZFMD/SD-23068-SH</t>
    <phoneticPr fontId="1" type="noConversion"/>
  </si>
  <si>
    <t>ZFMD/SD-23066-SH</t>
    <phoneticPr fontId="1" type="noConversion"/>
  </si>
  <si>
    <t>ZFMD/SD-23067-SH</t>
    <phoneticPr fontId="1" type="noConversion"/>
  </si>
  <si>
    <t>ZFMD/SD-23069-SH</t>
    <phoneticPr fontId="1" type="noConversion"/>
  </si>
  <si>
    <t>华润集团</t>
    <phoneticPr fontId="1" type="noConversion"/>
  </si>
  <si>
    <t>华润电力东北分公司</t>
    <phoneticPr fontId="1" type="noConversion"/>
  </si>
  <si>
    <t>华润电力新能源东北分公司</t>
    <phoneticPr fontId="1" type="noConversion"/>
  </si>
  <si>
    <t>华电集团</t>
    <phoneticPr fontId="1" type="noConversion"/>
  </si>
  <si>
    <t xml:space="preserve">华电新能源公司辽宁分公司 </t>
    <phoneticPr fontId="1" type="noConversion"/>
  </si>
  <si>
    <t>华电新能源公司</t>
    <phoneticPr fontId="1" type="noConversion"/>
  </si>
  <si>
    <t>ZFMD/SHFW-2023010</t>
  </si>
  <si>
    <t>ZFMD/SD-23077-1-SH</t>
    <phoneticPr fontId="1" type="noConversion"/>
  </si>
  <si>
    <t>ZFMD/SD-23077-2-SH</t>
  </si>
  <si>
    <t>镇江全宝电气有限公司</t>
    <phoneticPr fontId="1" type="noConversion"/>
  </si>
  <si>
    <t>萝北县石墨产业园分散式风电（含测风塔）及云山石墨矿分散式风电项目风功率预测系统合同</t>
    <phoneticPr fontId="1" type="noConversion"/>
  </si>
  <si>
    <t>华能集团</t>
    <phoneticPr fontId="1" type="noConversion"/>
  </si>
  <si>
    <t>华能黑龙江省公司</t>
    <phoneticPr fontId="1" type="noConversion"/>
  </si>
  <si>
    <t>华能鹤岗热电厂</t>
    <phoneticPr fontId="1" type="noConversion"/>
  </si>
  <si>
    <t>萝北县石墨产业园分散式风电项目</t>
    <phoneticPr fontId="1" type="noConversion"/>
  </si>
  <si>
    <t>云山石墨矿分散式风电项目</t>
    <phoneticPr fontId="1" type="noConversion"/>
  </si>
  <si>
    <t>2023.8.2</t>
    <phoneticPr fontId="1" type="noConversion"/>
  </si>
  <si>
    <t>ZFMD/SD-23078-SH</t>
    <phoneticPr fontId="1" type="noConversion"/>
  </si>
  <si>
    <t>通河县聚霆新能源有限公司</t>
    <phoneticPr fontId="1" type="noConversion"/>
  </si>
  <si>
    <t>通河项目综合通讯采购合同</t>
    <phoneticPr fontId="1" type="noConversion"/>
  </si>
  <si>
    <t>协合通河</t>
    <phoneticPr fontId="1" type="noConversion"/>
  </si>
  <si>
    <t>2023.8.11</t>
    <phoneticPr fontId="1" type="noConversion"/>
  </si>
  <si>
    <t>ZFMD/SD-23079-SH</t>
  </si>
  <si>
    <t>2023.8</t>
    <phoneticPr fontId="1" type="noConversion"/>
  </si>
  <si>
    <t>2024.1.1</t>
    <phoneticPr fontId="1" type="noConversion"/>
  </si>
  <si>
    <t>2026.12.31</t>
    <phoneticPr fontId="1" type="noConversion"/>
  </si>
  <si>
    <t>系统硬件维护；预测服务3年</t>
    <phoneticPr fontId="1" type="noConversion"/>
  </si>
  <si>
    <t>国华（铜川）新能源有限公司铜川风电场功率预测系统维护技术服务合同</t>
    <phoneticPr fontId="1" type="noConversion"/>
  </si>
  <si>
    <t>榆林国远风电有限公司横山风电场功率预测系统维护技术服务合同</t>
    <phoneticPr fontId="1" type="noConversion"/>
  </si>
  <si>
    <t>国华（神木）新能源有限公司大柳塔光伏电站功率预测系统技术服务合同</t>
    <phoneticPr fontId="1" type="noConversion"/>
  </si>
  <si>
    <t>ZFMD/SD-23080-SH</t>
    <phoneticPr fontId="1" type="noConversion"/>
  </si>
  <si>
    <t>ZFMD/SD-23081-SH</t>
    <phoneticPr fontId="1" type="noConversion"/>
  </si>
  <si>
    <t>ZFMD/SD-23082-SH</t>
    <phoneticPr fontId="1" type="noConversion"/>
  </si>
  <si>
    <t>ZFMD/SD-23071-1-SH-BG01</t>
    <phoneticPr fontId="1" type="noConversion"/>
  </si>
  <si>
    <t>ZFMD/SD-23071-2-SH-BG01</t>
    <phoneticPr fontId="1" type="noConversion"/>
  </si>
  <si>
    <t>ZFMD/SD-23072-SH-BG01</t>
    <phoneticPr fontId="1" type="noConversion"/>
  </si>
  <si>
    <t>ZFMD/SD-23073-1-SH-BG01</t>
    <phoneticPr fontId="1" type="noConversion"/>
  </si>
  <si>
    <t>ZFMD/SD-23073-2-SH-BG01</t>
    <phoneticPr fontId="1" type="noConversion"/>
  </si>
  <si>
    <t>ZFMD/SD-23074-SH-BG01</t>
    <phoneticPr fontId="1" type="noConversion"/>
  </si>
  <si>
    <t>ZFMD/SD-23075-1-SH-BG01</t>
    <phoneticPr fontId="1" type="noConversion"/>
  </si>
  <si>
    <t>ZFMD/SD-23075-2-SH-BG01</t>
    <phoneticPr fontId="1" type="noConversion"/>
  </si>
  <si>
    <t>ZFMD/SD-23075-3-SH-BG01</t>
    <phoneticPr fontId="1" type="noConversion"/>
  </si>
  <si>
    <t>ZFMD/SD-23083-SH</t>
  </si>
  <si>
    <t>2023.8.19</t>
    <phoneticPr fontId="1" type="noConversion"/>
  </si>
  <si>
    <r>
      <t>短期软件；超短期软件；系统硬件；测风塔；测风塔设备；预测服务</t>
    </r>
    <r>
      <rPr>
        <sz val="11"/>
        <color theme="1"/>
        <rFont val="宋体"/>
        <family val="3"/>
        <charset val="134"/>
      </rPr>
      <t>2</t>
    </r>
    <r>
      <rPr>
        <sz val="11"/>
        <color theme="1"/>
        <rFont val="宋体"/>
        <family val="3"/>
        <charset val="134"/>
        <scheme val="minor"/>
      </rPr>
      <t>年</t>
    </r>
    <phoneticPr fontId="1" type="noConversion"/>
  </si>
  <si>
    <r>
      <t>短期软件；超短期软件；系统硬件；测风塔；测风塔设备；预测服务</t>
    </r>
    <r>
      <rPr>
        <sz val="11"/>
        <color theme="1"/>
        <rFont val="宋体"/>
        <family val="3"/>
        <charset val="134"/>
      </rPr>
      <t>3</t>
    </r>
    <r>
      <rPr>
        <sz val="11"/>
        <color theme="1"/>
        <rFont val="宋体"/>
        <family val="3"/>
        <charset val="134"/>
        <scheme val="minor"/>
      </rPr>
      <t>年</t>
    </r>
    <phoneticPr fontId="1" type="noConversion"/>
  </si>
  <si>
    <t>新疆天瑞杰铭信息技术有限公司</t>
    <phoneticPr fontId="1" type="noConversion"/>
  </si>
  <si>
    <t>三峡新能源蒲类海麻黄沟西风电一场风功率预测系统服务合同书</t>
    <phoneticPr fontId="1" type="noConversion"/>
  </si>
  <si>
    <t>ZFMD/SD-23084-SH</t>
  </si>
  <si>
    <t>软件升级（极端天气）</t>
    <phoneticPr fontId="1" type="noConversion"/>
  </si>
  <si>
    <t>2023.8.25</t>
    <phoneticPr fontId="1" type="noConversion"/>
  </si>
  <si>
    <t>陕西上欠井光伏电站极端天气改造服务合同（电子版合同，纸质版合同未回）</t>
    <phoneticPr fontId="1" type="noConversion"/>
  </si>
  <si>
    <t>ZFMD/SHFW-2023010</t>
    <phoneticPr fontId="1" type="noConversion"/>
  </si>
  <si>
    <t>ZFMD/KGSQ-23008</t>
  </si>
  <si>
    <t>ZFMD/KGSQ-23006</t>
  </si>
  <si>
    <t>ZFMD/KGSQ-23007</t>
  </si>
  <si>
    <t>ZFMD/KGSQ-17094</t>
  </si>
  <si>
    <t>ZFMD/SD-23085-SH</t>
  </si>
  <si>
    <t>ZFMD/SD-23086-SH</t>
  </si>
  <si>
    <t>ZFMD/SD-23087-SH</t>
  </si>
  <si>
    <t>华电那木斯风电场风功率预测系统服务合同（2023年）</t>
    <phoneticPr fontId="1" type="noConversion"/>
  </si>
  <si>
    <t>2023.8</t>
    <phoneticPr fontId="22" type="noConversion"/>
  </si>
  <si>
    <t>华电风水山风电场风功率预测系统服务合同（2023年）</t>
    <phoneticPr fontId="1" type="noConversion"/>
  </si>
  <si>
    <t>系统硬件；预测服务1年</t>
    <phoneticPr fontId="1" type="noConversion"/>
  </si>
  <si>
    <t>ZFMD/KGSQ-23020</t>
  </si>
  <si>
    <t>华润电力风能（佳木斯）有限公司</t>
    <phoneticPr fontId="1" type="noConversion"/>
  </si>
  <si>
    <t>华润电力风能（佳木斯）有限公司综合通讯系统采购合同</t>
    <phoneticPr fontId="1" type="noConversion"/>
  </si>
  <si>
    <t>尖山</t>
    <phoneticPr fontId="1" type="noConversion"/>
  </si>
  <si>
    <t>ZFMD/SD-23089-SH</t>
  </si>
  <si>
    <t>ZFMD/SD-23091-SH</t>
  </si>
  <si>
    <t>李妍
郭文明</t>
    <phoneticPr fontId="1" type="noConversion"/>
  </si>
  <si>
    <t>2023.9.6</t>
    <phoneticPr fontId="1" type="noConversion"/>
  </si>
  <si>
    <t>2023.9.8</t>
    <phoneticPr fontId="1" type="noConversion"/>
  </si>
  <si>
    <t>2024.3.1</t>
    <phoneticPr fontId="1" type="noConversion"/>
  </si>
  <si>
    <t>2025.2.28</t>
    <phoneticPr fontId="1" type="noConversion"/>
  </si>
  <si>
    <t>ZFMD/SD-23090-1-SH</t>
    <phoneticPr fontId="1" type="noConversion"/>
  </si>
  <si>
    <t>ZFMD/SD-23090-2-SH</t>
    <phoneticPr fontId="1" type="noConversion"/>
  </si>
  <si>
    <t>2023.9.1</t>
    <phoneticPr fontId="1" type="noConversion"/>
  </si>
  <si>
    <t>2024.8.31</t>
    <phoneticPr fontId="1" type="noConversion"/>
  </si>
  <si>
    <t>金风科技</t>
    <phoneticPr fontId="1" type="noConversion"/>
  </si>
  <si>
    <t>天润公司</t>
    <phoneticPr fontId="1" type="noConversion"/>
  </si>
  <si>
    <t>黑龙江七台河天润</t>
    <phoneticPr fontId="1" type="noConversion"/>
  </si>
  <si>
    <t>七台河市勃利天润200MW风电项目</t>
    <phoneticPr fontId="1" type="noConversion"/>
  </si>
  <si>
    <t>2023.8.28</t>
    <phoneticPr fontId="1" type="noConversion"/>
  </si>
  <si>
    <t>ZFMD/SD-23092-SH</t>
  </si>
  <si>
    <t>ZFMD/SD-23093-SH</t>
  </si>
  <si>
    <t>ZFMD/SD-23094-SH</t>
  </si>
  <si>
    <t>ZFMD/SD-23095-SH</t>
  </si>
  <si>
    <t>2023.9.16</t>
    <phoneticPr fontId="1" type="noConversion"/>
  </si>
  <si>
    <t>ZFMD/SD-23059-SH-BG01
ZFMD/SD-23059-SH-BG02</t>
    <phoneticPr fontId="1" type="noConversion"/>
  </si>
  <si>
    <t>ZFMD/SD-23036-SH-BG01</t>
    <phoneticPr fontId="1" type="noConversion"/>
  </si>
  <si>
    <t>ZFMD/SD-23037-SH-BG01</t>
    <phoneticPr fontId="1" type="noConversion"/>
  </si>
  <si>
    <t>ZFMD/SD-23038-2-SH-BG01</t>
    <phoneticPr fontId="1" type="noConversion"/>
  </si>
  <si>
    <t>2023年9签订补充协议，9月22日合同金额变更，由42万元变更为26.9万元。测风塔利用前期塔，原变更前带测风塔</t>
    <phoneticPr fontId="1" type="noConversion"/>
  </si>
  <si>
    <t>ZFMD/SD-23096-SH</t>
  </si>
  <si>
    <t>2023.9.23</t>
    <phoneticPr fontId="1" type="noConversion"/>
  </si>
  <si>
    <t>ZFMD/SD-23097-SH</t>
  </si>
  <si>
    <t>华能望洋台风电场2024年功率预测服务合同</t>
    <phoneticPr fontId="1" type="noConversion"/>
  </si>
  <si>
    <t>华能哈密风力发电有限公司所属场站2023-2024年度功率预测服务合同</t>
    <phoneticPr fontId="1" type="noConversion"/>
  </si>
  <si>
    <t>中广核新能源吉林区域风电场风功率预测系统维护服务采购项目三标段：中广核新能源吉林山门风电场风功率预测系统维护服务采购项目采购合同</t>
    <phoneticPr fontId="22" type="noConversion"/>
  </si>
  <si>
    <t>2023.9</t>
    <phoneticPr fontId="1" type="noConversion"/>
  </si>
  <si>
    <t>2023.8.21</t>
    <phoneticPr fontId="1" type="noConversion"/>
  </si>
  <si>
    <t>2024.8.20</t>
    <phoneticPr fontId="1" type="noConversion"/>
  </si>
  <si>
    <t>中广核新能源吉林区域风电场风功率预测系统维护服务采购项目一标段：中广核新能源吉林大岗子风电场风功率预测系统维护服务采购项目采购合同</t>
    <phoneticPr fontId="22" type="noConversion"/>
  </si>
  <si>
    <t>中广核新能源吉林区域风电场风功率预测系统维护服务采购项目二标段：中广核新能源吉林来福风电场风功率预测系统维护服务采购项目采购合同</t>
    <phoneticPr fontId="22" type="noConversion"/>
  </si>
  <si>
    <t>中广核新能源吉林区域风电场风功率预测系统维护服务采购项目四标段：中广核新能源吉林幸福风电场风功率预测系统维护服务采购合同</t>
    <phoneticPr fontId="22" type="noConversion"/>
  </si>
  <si>
    <t>2023.11.12</t>
    <phoneticPr fontId="1" type="noConversion"/>
  </si>
  <si>
    <t>2024.11.11</t>
    <phoneticPr fontId="1" type="noConversion"/>
  </si>
  <si>
    <t>湘能楚天电力装备股份有限公司</t>
    <phoneticPr fontId="1" type="noConversion"/>
  </si>
  <si>
    <t>华润电力桦南一期300MW风电项目升压站PC（不含储能）工程风功率预测系统采购合同</t>
    <phoneticPr fontId="1" type="noConversion"/>
  </si>
  <si>
    <t>2023.8.29</t>
    <phoneticPr fontId="1" type="noConversion"/>
  </si>
  <si>
    <t>桦南一期300MW风电项目</t>
    <phoneticPr fontId="1" type="noConversion"/>
  </si>
  <si>
    <t>ZFMD/SD-23098-SH</t>
  </si>
  <si>
    <t>ZFMD/SD-23099-SH</t>
  </si>
  <si>
    <t>ZFMD/SD-23100-SH</t>
  </si>
  <si>
    <t>ZFMD/SD-23101-SH</t>
  </si>
  <si>
    <t>ZFMD/SD-23102-SH</t>
  </si>
  <si>
    <t>ZFMD/SD-23103-SH</t>
  </si>
  <si>
    <t>ZFMD/SD-23104-SH</t>
  </si>
  <si>
    <t>ZFMD/SD-23105-SH</t>
  </si>
  <si>
    <t>ZFMD/SD-23106-SH</t>
  </si>
  <si>
    <t>ZFMD/SD-23107-SH</t>
  </si>
  <si>
    <t>ZFMD/SD-23108-SH</t>
  </si>
  <si>
    <t>ZFMD/SD-23109-SH</t>
  </si>
  <si>
    <t>中船海装风电有限公司</t>
    <phoneticPr fontId="1" type="noConversion"/>
  </si>
  <si>
    <t>中船海装风电有限公司维修合同</t>
    <phoneticPr fontId="1" type="noConversion"/>
  </si>
  <si>
    <t>2023.9.28</t>
    <phoneticPr fontId="1" type="noConversion"/>
  </si>
  <si>
    <t>瑞麟风电场风功率预测系统极端天气升级改造服务合同</t>
    <phoneticPr fontId="1" type="noConversion"/>
  </si>
  <si>
    <t>瑞麟</t>
    <phoneticPr fontId="1" type="noConversion"/>
  </si>
  <si>
    <t>ZFMD/SD-23110-SH</t>
    <phoneticPr fontId="1" type="noConversion"/>
  </si>
  <si>
    <t>2023.9.10</t>
    <phoneticPr fontId="1" type="noConversion"/>
  </si>
  <si>
    <t>2025.9.9</t>
    <phoneticPr fontId="1" type="noConversion"/>
  </si>
  <si>
    <t>ZFMD/SD-23111-SH</t>
    <phoneticPr fontId="1" type="noConversion"/>
  </si>
  <si>
    <t>ZFMD/SD-23112-SH</t>
  </si>
  <si>
    <t>陕投</t>
    <phoneticPr fontId="1" type="noConversion"/>
  </si>
  <si>
    <t>华电新能伊吾东方民生新能源有限公司</t>
    <phoneticPr fontId="5" type="noConversion"/>
  </si>
  <si>
    <t>新疆华电伊吾东方民生风电场2023年功率预测系统维护服务合同</t>
    <phoneticPr fontId="22" type="noConversion"/>
  </si>
  <si>
    <t>2023.9.11</t>
    <phoneticPr fontId="1" type="noConversion"/>
  </si>
  <si>
    <t>2023.7.11</t>
    <phoneticPr fontId="1" type="noConversion"/>
  </si>
  <si>
    <t>2024.7.10</t>
    <phoneticPr fontId="1" type="noConversion"/>
  </si>
  <si>
    <t>新疆华电巴里坤东方民生风电场2023年功率预测系统维护服务合同</t>
    <phoneticPr fontId="22" type="noConversion"/>
  </si>
  <si>
    <t>新疆华电东方民生石城子光伏电站2023年功率预测系统维护服务合同</t>
    <phoneticPr fontId="22" type="noConversion"/>
  </si>
  <si>
    <t>新疆华电苦水风电场2023年功率预测系统维护服务合同</t>
    <phoneticPr fontId="22" type="noConversion"/>
  </si>
  <si>
    <t>新疆华电淖毛湖风电场2023年功率预测系统维护服务合同</t>
    <phoneticPr fontId="22" type="noConversion"/>
  </si>
  <si>
    <t>新疆华电石城子一二期光伏电站2023年功率预测系统维护服务合同</t>
    <phoneticPr fontId="22" type="noConversion"/>
  </si>
  <si>
    <t>新疆华电力诺太阳能电力有限公司</t>
    <phoneticPr fontId="5" type="noConversion"/>
  </si>
  <si>
    <t>新疆华电力诺光伏电站2023年功率预测系统维护服务合同</t>
    <phoneticPr fontId="22" type="noConversion"/>
  </si>
  <si>
    <t>新疆华电十三间房一二期风电场2023年功率预测系统维护服务合同</t>
    <phoneticPr fontId="22" type="noConversion"/>
  </si>
  <si>
    <t>新疆华电十三间房三期风电场2023年功率预测系统维护服务合同</t>
    <phoneticPr fontId="22" type="noConversion"/>
  </si>
  <si>
    <t>新疆华电十三间房四期风电场2023年功率预测系统维护服务合同</t>
    <phoneticPr fontId="22" type="noConversion"/>
  </si>
  <si>
    <t>新疆华电石城子三期光伏电站2023年功率预测系统维护服务合同</t>
    <phoneticPr fontId="22" type="noConversion"/>
  </si>
  <si>
    <t>ZFMD/SD-23113-1-SH</t>
    <phoneticPr fontId="1" type="noConversion"/>
  </si>
  <si>
    <t>ZFMD/SD-23113-2-SH</t>
  </si>
  <si>
    <t>三峡能源辽宁省开原风电场49.5MW工程风功率预测系统升级服务及D5000一区设备采购合同</t>
    <phoneticPr fontId="22" type="noConversion"/>
  </si>
  <si>
    <t>ZFMD/SD-23114-SH</t>
    <phoneticPr fontId="1" type="noConversion"/>
  </si>
  <si>
    <t>ZFMD/SD-23115-SH</t>
  </si>
  <si>
    <t>ZFMD/SD-23116-SH</t>
  </si>
  <si>
    <t>ZFMD/SD-23117-1-SH</t>
    <phoneticPr fontId="1" type="noConversion"/>
  </si>
  <si>
    <t>ZFMD/SD-23117-2-SH</t>
  </si>
  <si>
    <t>ZFMD/SD-23117-3-SH</t>
  </si>
  <si>
    <t>ZFMD/SD-23118-SH</t>
    <phoneticPr fontId="1" type="noConversion"/>
  </si>
  <si>
    <t>ZFMD/SD-23119-SH</t>
  </si>
  <si>
    <t>代马沟风电场功率预测系统及测风塔升级改造合同</t>
    <phoneticPr fontId="1" type="noConversion"/>
  </si>
  <si>
    <t>系统硬件；测风塔设备；软件升级（预测上传10天）</t>
    <phoneticPr fontId="1" type="noConversion"/>
  </si>
  <si>
    <t>2023.10.12</t>
    <phoneticPr fontId="1" type="noConversion"/>
  </si>
  <si>
    <t>2023.10</t>
    <phoneticPr fontId="1" type="noConversion"/>
  </si>
  <si>
    <t>2024.9.7</t>
    <phoneticPr fontId="1" type="noConversion"/>
  </si>
  <si>
    <t>华电大连湖风电一场2023年功率预测系统维护服务外委项目合同</t>
    <phoneticPr fontId="1" type="noConversion"/>
  </si>
  <si>
    <t>华电新能新疆木垒新能源有限公司</t>
    <phoneticPr fontId="1" type="noConversion"/>
  </si>
  <si>
    <t>华电福新老君庙风电一场2023年功率预测系统维护服务外委项目合同</t>
    <phoneticPr fontId="22" type="noConversion"/>
  </si>
  <si>
    <t>华电小草湖风电一二三期2023年功率预测系统维护服务外委项目合同</t>
    <phoneticPr fontId="22" type="noConversion"/>
  </si>
  <si>
    <t>2023.8.30</t>
    <phoneticPr fontId="1" type="noConversion"/>
  </si>
  <si>
    <t>2024.8.30</t>
    <phoneticPr fontId="1" type="noConversion"/>
  </si>
  <si>
    <t>华电草湖风电二场2023年功率预测系统维护服务外委项目合同</t>
    <phoneticPr fontId="22" type="noConversion"/>
  </si>
  <si>
    <t>三峡能源辽宁省葫芦岛岳家屯风电场48MW工程风功率预测系统升级服务采购合同</t>
  </si>
  <si>
    <t>2023.9.24</t>
    <phoneticPr fontId="1" type="noConversion"/>
  </si>
  <si>
    <t>2023.10.13</t>
    <phoneticPr fontId="1" type="noConversion"/>
  </si>
  <si>
    <t>三峡能源大连市庄河Ⅲ300MW海上风电场风功率预测系统升级服务采购合同</t>
    <phoneticPr fontId="1" type="noConversion"/>
  </si>
  <si>
    <t>2023.10.21</t>
    <phoneticPr fontId="1" type="noConversion"/>
  </si>
  <si>
    <t>ZFMD/SD-23122-SH</t>
    <phoneticPr fontId="1" type="noConversion"/>
  </si>
  <si>
    <t>ZFMD/SD-23124-SH</t>
  </si>
  <si>
    <t>10月19日开票占号，合同额6万元，开票3万元</t>
    <phoneticPr fontId="1" type="noConversion"/>
  </si>
  <si>
    <t>10月20日开票占号</t>
    <phoneticPr fontId="1" type="noConversion"/>
  </si>
  <si>
    <t>ZFMD/SD-23133-SH</t>
  </si>
  <si>
    <t>ZFMD/SD-23134-SH</t>
  </si>
  <si>
    <t>ZFMD/SD-23135-SH</t>
  </si>
  <si>
    <t>ZFMD/SD-23137-SH</t>
  </si>
  <si>
    <t>ZFMD/SD-23138-SH</t>
  </si>
  <si>
    <t>10月21日开票占号，合同额20.4万元，开票6.8万元</t>
    <phoneticPr fontId="1" type="noConversion"/>
  </si>
  <si>
    <t>10月21日开票占号，合同额61.2万元，开票20.4万元</t>
    <phoneticPr fontId="1" type="noConversion"/>
  </si>
  <si>
    <t>10月21日开票占号</t>
    <phoneticPr fontId="1" type="noConversion"/>
  </si>
  <si>
    <t>ZFMD/SD-23139-1-SH</t>
    <phoneticPr fontId="1" type="noConversion"/>
  </si>
  <si>
    <t>ZFMD/SD-23139-2-SH</t>
  </si>
  <si>
    <t>ZFMD/SD-23120-SH</t>
    <phoneticPr fontId="1" type="noConversion"/>
  </si>
  <si>
    <t>ZFMD/SD-23121-21140-1-SH</t>
    <phoneticPr fontId="1" type="noConversion"/>
  </si>
  <si>
    <t>ZFMD/SD-23121-21140-2-SH</t>
    <phoneticPr fontId="1" type="noConversion"/>
  </si>
  <si>
    <t>ZFMD/SD-23121-21140-3-SH</t>
    <phoneticPr fontId="1" type="noConversion"/>
  </si>
  <si>
    <t>2023.10.7</t>
    <phoneticPr fontId="1" type="noConversion"/>
  </si>
  <si>
    <t>台安桑林</t>
    <phoneticPr fontId="1" type="noConversion"/>
  </si>
  <si>
    <t>五凌鄯善电力有限公司</t>
    <phoneticPr fontId="1" type="noConversion"/>
  </si>
  <si>
    <t>五凌电力鄯善风电场测风塔组立服务合同</t>
    <phoneticPr fontId="1" type="noConversion"/>
  </si>
  <si>
    <t>五凌布尔津</t>
    <phoneticPr fontId="1" type="noConversion"/>
  </si>
  <si>
    <t>2023.10.10</t>
    <phoneticPr fontId="1" type="noConversion"/>
  </si>
  <si>
    <t>ZFMD/KGSQ-23025</t>
    <phoneticPr fontId="1" type="noConversion"/>
  </si>
  <si>
    <t>三峡能源辽宁省彰武光伏电站光功率预测系统升级服务合同</t>
    <phoneticPr fontId="22" type="noConversion"/>
  </si>
  <si>
    <t>2023.10.8</t>
    <phoneticPr fontId="1" type="noConversion"/>
  </si>
  <si>
    <t>ZFMD/SD-23123-SH</t>
    <phoneticPr fontId="1" type="noConversion"/>
  </si>
  <si>
    <t>开票占号，合同未回</t>
    <phoneticPr fontId="1" type="noConversion"/>
  </si>
  <si>
    <t>青冈永合</t>
    <phoneticPr fontId="1" type="noConversion"/>
  </si>
  <si>
    <t>五大连池和平</t>
    <phoneticPr fontId="1" type="noConversion"/>
  </si>
  <si>
    <t>2023.10.16</t>
    <phoneticPr fontId="1" type="noConversion"/>
  </si>
  <si>
    <t>ZFMD/KGSQ-23023</t>
    <phoneticPr fontId="1" type="noConversion"/>
  </si>
  <si>
    <t>ZFMD/KGSQ-23024</t>
    <phoneticPr fontId="1" type="noConversion"/>
  </si>
  <si>
    <t xml:space="preserve">华电小草湖南风电一场功率预测系统服务
增加中长期预测功能技术服务合同
开票占号，合同未回（已流转）
</t>
    <phoneticPr fontId="1" type="noConversion"/>
  </si>
  <si>
    <t>新疆华电白杨河风力发电有限责任公司2023-2026年度风功率预测系统服务合同书
开票占号，合同未回（已流转）</t>
    <phoneticPr fontId="1" type="noConversion"/>
  </si>
  <si>
    <t>2023.9.13</t>
    <phoneticPr fontId="1" type="noConversion"/>
  </si>
  <si>
    <t>2026.8.10</t>
    <phoneticPr fontId="1" type="noConversion"/>
  </si>
  <si>
    <t>新疆华电达坂城新能源有限公司</t>
    <phoneticPr fontId="1" type="noConversion"/>
  </si>
  <si>
    <t>西沟风电二场风电场2023年-2026年风功率预测系统服务合同书
开票占号，合同未回（已流转）</t>
    <phoneticPr fontId="1" type="noConversion"/>
  </si>
  <si>
    <t>西沟二期</t>
    <phoneticPr fontId="22" type="noConversion"/>
  </si>
  <si>
    <t>新疆华电木垒新能源有限公司</t>
    <phoneticPr fontId="1" type="noConversion"/>
  </si>
  <si>
    <t xml:space="preserve">焉耆县光润新能源发电有限公司2023-2026年度光伏电站光功率预测系统服务合同书
开票占号，合同未回（已流转）
</t>
    <phoneticPr fontId="1" type="noConversion"/>
  </si>
  <si>
    <t>木垒大石头风电场2023年-2026年度风功率预测系统服务合同书
开票占号，合同未回（已流转）</t>
    <phoneticPr fontId="1" type="noConversion"/>
  </si>
  <si>
    <t>ZFMD/SD-23130-1-SH</t>
    <phoneticPr fontId="1" type="noConversion"/>
  </si>
  <si>
    <t>ZFMD/SD-23130-2-SH</t>
  </si>
  <si>
    <t>ZFMD/SD-23130-3-SH</t>
  </si>
  <si>
    <t>新疆华电苇湖梁新能源有限公司2023-2026年度风功率预测系统服务合同书
开票占号，合同未回（已流转）</t>
    <phoneticPr fontId="1" type="noConversion"/>
  </si>
  <si>
    <t>2023.9.15</t>
    <phoneticPr fontId="1" type="noConversion"/>
  </si>
  <si>
    <t>华电五家渠新能源有限公司</t>
    <phoneticPr fontId="1" type="noConversion"/>
  </si>
  <si>
    <t>鑫和北塔山风电场2023-2026年度风功率预测系统服务合同书
开票占号，合同未回（已流转）</t>
    <phoneticPr fontId="1" type="noConversion"/>
  </si>
  <si>
    <t>新疆华电珍珠泉新能源有限公司</t>
    <phoneticPr fontId="1" type="noConversion"/>
  </si>
  <si>
    <t>新疆华电珍珠泉新能源有限公司2023年-2026年风功率预测系统服务合同书
开票占号，合同未回（已流转）</t>
    <phoneticPr fontId="1" type="noConversion"/>
  </si>
  <si>
    <t>陕西宝鸡瑞麟风电场风功率预测系统服务合同书</t>
    <phoneticPr fontId="1" type="noConversion"/>
  </si>
  <si>
    <t>2023.8.1</t>
    <phoneticPr fontId="1" type="noConversion"/>
  </si>
  <si>
    <t>2024.7.31</t>
    <phoneticPr fontId="1" type="noConversion"/>
  </si>
  <si>
    <t>ZFMD/SD-23125-SH</t>
    <phoneticPr fontId="1" type="noConversion"/>
  </si>
  <si>
    <t>ZFMD/SD-23126-SH</t>
    <phoneticPr fontId="1" type="noConversion"/>
  </si>
  <si>
    <t>ZFMD/SD-23127-SH</t>
    <phoneticPr fontId="1" type="noConversion"/>
  </si>
  <si>
    <t>ZFMD/SD-23128-SH</t>
    <phoneticPr fontId="1" type="noConversion"/>
  </si>
  <si>
    <t>ZFMD/SD-23129-SH</t>
    <phoneticPr fontId="1" type="noConversion"/>
  </si>
  <si>
    <t>ZFMD/SD-23131-SH</t>
    <phoneticPr fontId="1" type="noConversion"/>
  </si>
  <si>
    <t>ZFMD/SD-23132-SH</t>
    <phoneticPr fontId="1" type="noConversion"/>
  </si>
  <si>
    <t>华电达坂城西沟风电二场功率预测系统服务增加中长期预测功能技术服务合同
开票占号，合同未回（已流转）</t>
    <phoneticPr fontId="1" type="noConversion"/>
  </si>
  <si>
    <t>中长期电量预测</t>
    <phoneticPr fontId="1" type="noConversion"/>
  </si>
  <si>
    <t>华电木垒大石头风电一场功率预测系统服务增加中长期预测功能技术服务合同
开票占号，合同未回（已流转）</t>
    <phoneticPr fontId="1" type="noConversion"/>
  </si>
  <si>
    <t>ZFMD/SD-23136-1-SH</t>
    <phoneticPr fontId="1" type="noConversion"/>
  </si>
  <si>
    <t>ZFMD/SD-23136-2-SH</t>
  </si>
  <si>
    <t>ZFMD/SD-23136-3-SH</t>
  </si>
  <si>
    <t>大连湖风电一场、西沟风电一场、白杨沟风电一场功率预测系统服务增加中长期预测功能技术服务合同
开票占号，合同未回（已流转）</t>
    <phoneticPr fontId="1" type="noConversion"/>
  </si>
  <si>
    <t>鑫和信北塔山风电一场功率预测系统服务
增加中长期预测功能技术服务合同
开票占号，合同未回（已流转）</t>
    <phoneticPr fontId="1" type="noConversion"/>
  </si>
  <si>
    <t>华电小草湖北风电一场功率预测系统服务
增加中长期预测功能技术服务合同
开票占号，合同未回（已流转）</t>
    <phoneticPr fontId="1" type="noConversion"/>
  </si>
  <si>
    <t>ZFMD/SD-23140-SH</t>
    <phoneticPr fontId="1" type="noConversion"/>
  </si>
  <si>
    <t>ZFMD/KGSQ-23026</t>
  </si>
  <si>
    <t>ZFMD/KGSQ-23027</t>
  </si>
  <si>
    <t>2023.11.4</t>
    <phoneticPr fontId="1" type="noConversion"/>
  </si>
  <si>
    <t>2023.10.15</t>
    <phoneticPr fontId="1" type="noConversion"/>
  </si>
  <si>
    <t>2024.10.14</t>
    <phoneticPr fontId="1" type="noConversion"/>
  </si>
  <si>
    <t>ZFMD/KGSQ-23029</t>
  </si>
  <si>
    <t>2023.11.10</t>
    <phoneticPr fontId="1" type="noConversion"/>
  </si>
  <si>
    <t>ZFMD/SD-23145-SH</t>
  </si>
  <si>
    <t>ZFMD/SD-23146-SH</t>
  </si>
  <si>
    <t>ZFMD/SD-23147-SH</t>
  </si>
  <si>
    <t>2023年江口风电场风功率系统双平面建设项目合同</t>
    <phoneticPr fontId="1" type="noConversion"/>
  </si>
  <si>
    <t>江口</t>
    <phoneticPr fontId="1" type="noConversion"/>
  </si>
  <si>
    <t>软件升级（双平面改造）</t>
    <phoneticPr fontId="1" type="noConversion"/>
  </si>
  <si>
    <t>梅桥镇</t>
    <phoneticPr fontId="1" type="noConversion"/>
  </si>
  <si>
    <t>2023年梅桥风电场风功率系统双平面建设项目合同</t>
    <phoneticPr fontId="22" type="noConversion"/>
  </si>
  <si>
    <t>福新老君庙</t>
    <phoneticPr fontId="1" type="noConversion"/>
  </si>
  <si>
    <t>2023.10.11</t>
    <phoneticPr fontId="1" type="noConversion"/>
  </si>
  <si>
    <t>老君庙风电场功率预测系统硬件升级项目合同</t>
    <phoneticPr fontId="1" type="noConversion"/>
  </si>
  <si>
    <t>吉林中电投新能源有限公司</t>
    <phoneticPr fontId="1" type="noConversion"/>
  </si>
  <si>
    <t>吉林中电投新能源有限公司功率预警系统采购合同</t>
    <phoneticPr fontId="1" type="noConversion"/>
  </si>
  <si>
    <t>北正</t>
    <phoneticPr fontId="1" type="noConversion"/>
  </si>
  <si>
    <t>2023.10.28</t>
    <phoneticPr fontId="1" type="noConversion"/>
  </si>
  <si>
    <t>安达博众光伏电站光伏功率预测系统服务合同书</t>
    <phoneticPr fontId="1" type="noConversion"/>
  </si>
  <si>
    <t>2023.11.3</t>
    <phoneticPr fontId="1" type="noConversion"/>
  </si>
  <si>
    <t>2023.12.11</t>
    <phoneticPr fontId="1" type="noConversion"/>
  </si>
  <si>
    <t>安达安众光伏电站光伏功率预测系统服务合同书</t>
    <phoneticPr fontId="1" type="noConversion"/>
  </si>
  <si>
    <t>安达博众</t>
    <phoneticPr fontId="1" type="noConversion"/>
  </si>
  <si>
    <t>安达安众</t>
  </si>
  <si>
    <t>2022.9.15</t>
    <phoneticPr fontId="1" type="noConversion"/>
  </si>
  <si>
    <t>2023.9.14</t>
    <phoneticPr fontId="1" type="noConversion"/>
  </si>
  <si>
    <t>2024.9.14</t>
    <phoneticPr fontId="1" type="noConversion"/>
  </si>
  <si>
    <t>ZFMD/SD-23148-SH</t>
  </si>
  <si>
    <t>上堡风电场风功率预测系统横向隔离装置升级技术服务合同</t>
    <phoneticPr fontId="1" type="noConversion"/>
  </si>
  <si>
    <t>ZFMD/KGSQ-23017</t>
  </si>
  <si>
    <t>2023.11.14</t>
    <phoneticPr fontId="1" type="noConversion"/>
  </si>
  <si>
    <t>ZFMD/SD-23141-SH</t>
    <phoneticPr fontId="1" type="noConversion"/>
  </si>
  <si>
    <t>ZFMD/SD-23142-SH</t>
    <phoneticPr fontId="1" type="noConversion"/>
  </si>
  <si>
    <t>ZFMD/SD-23144-SH</t>
    <phoneticPr fontId="1" type="noConversion"/>
  </si>
  <si>
    <t>ZFMD/SD-23149-1-SH</t>
    <phoneticPr fontId="1" type="noConversion"/>
  </si>
  <si>
    <t>ZFMD/SD-23149-2-SH</t>
  </si>
  <si>
    <t>ZFMD/SD-23150-SH</t>
    <phoneticPr fontId="1" type="noConversion"/>
  </si>
  <si>
    <t>华能新疆三塘湖风力发电有限责任公司</t>
    <phoneticPr fontId="1" type="noConversion"/>
  </si>
  <si>
    <t>2023.11.24</t>
    <phoneticPr fontId="1" type="noConversion"/>
  </si>
  <si>
    <t>ZFMD/SD-23143-1-SH</t>
    <phoneticPr fontId="1" type="noConversion"/>
  </si>
  <si>
    <t>ZFMD/SD-23143-2-SH</t>
    <phoneticPr fontId="1" type="noConversion"/>
  </si>
  <si>
    <t>雪湖二三期风电场功率预测系统硬件升级项目合同</t>
    <phoneticPr fontId="1" type="noConversion"/>
  </si>
  <si>
    <t>雪湖二期</t>
    <phoneticPr fontId="1" type="noConversion"/>
  </si>
  <si>
    <t>ZFMD/SD-23139-1-SH-BG01</t>
    <phoneticPr fontId="1" type="noConversion"/>
  </si>
  <si>
    <t>ZFMD/SD-23139-2-SH-BG01</t>
    <phoneticPr fontId="1" type="noConversion"/>
  </si>
  <si>
    <t>李妍23年11月24日微信上说：23053合同，开1年预测服务发票，就结束了。
这个合同的服务期到2026年1月31日，咱们实际服务到2023年11月23日，就被替换停止预报了。</t>
    <phoneticPr fontId="1" type="noConversion"/>
  </si>
  <si>
    <t>福能(仙游)风力发电有限责任公司</t>
    <phoneticPr fontId="1" type="noConversion"/>
  </si>
  <si>
    <t>ZFMD/SD-23151-1-SH</t>
    <phoneticPr fontId="1" type="noConversion"/>
  </si>
  <si>
    <t>ZFMD/SD-23151-2-SH</t>
    <phoneticPr fontId="1" type="noConversion"/>
  </si>
  <si>
    <t>国电投中卫新能源香山第四风电场、第六风电场功率预测改造合同</t>
    <phoneticPr fontId="1" type="noConversion"/>
  </si>
  <si>
    <t>2023.11.30</t>
    <phoneticPr fontId="1" type="noConversion"/>
  </si>
  <si>
    <t>2023.10.23</t>
    <phoneticPr fontId="1" type="noConversion"/>
  </si>
  <si>
    <t>ZFMD/KGSQ-23028</t>
  </si>
  <si>
    <t>2023年11月30日开票占号</t>
    <phoneticPr fontId="1" type="noConversion"/>
  </si>
  <si>
    <t>博耳能源江苏有限公司</t>
    <phoneticPr fontId="1" type="noConversion"/>
  </si>
  <si>
    <t>博耳能源</t>
    <phoneticPr fontId="1" type="noConversion"/>
  </si>
  <si>
    <t>ZFMD/SD-23153-SH
（合同号作废）</t>
    <phoneticPr fontId="1" type="noConversion"/>
  </si>
  <si>
    <t>此合同号作废，2023年11月30日开票40.86万元无人机，应该是合同号22042。</t>
    <phoneticPr fontId="1" type="noConversion"/>
  </si>
  <si>
    <t>2023年11月30日开票40.86万元</t>
    <phoneticPr fontId="22" type="noConversion"/>
  </si>
  <si>
    <t>ZFMD/SD-23152-SH</t>
    <phoneticPr fontId="1" type="noConversion"/>
  </si>
  <si>
    <t>ZFMD/SD-23154-SH</t>
    <phoneticPr fontId="1" type="noConversion"/>
  </si>
  <si>
    <t>ZFMD/SD-23155-SH</t>
  </si>
  <si>
    <t>ZFMD/SD-23156-SH</t>
  </si>
  <si>
    <t>ZFMD/SD-23157-SH</t>
  </si>
  <si>
    <t>杭州海康威视系统技术有限公司</t>
    <phoneticPr fontId="1" type="noConversion"/>
  </si>
  <si>
    <t>瑞丰</t>
    <phoneticPr fontId="1" type="noConversion"/>
  </si>
  <si>
    <t>2023.12.1</t>
    <phoneticPr fontId="1" type="noConversion"/>
  </si>
  <si>
    <t>饶河</t>
    <phoneticPr fontId="1" type="noConversion"/>
  </si>
  <si>
    <t>高楞</t>
    <phoneticPr fontId="1" type="noConversion"/>
  </si>
  <si>
    <t>丰岗</t>
    <phoneticPr fontId="1" type="noConversion"/>
  </si>
  <si>
    <t>ZFMD/SD-23158-SH</t>
  </si>
  <si>
    <t>ZFMD/SD-23159-SH</t>
  </si>
  <si>
    <t>国华（乾安）风电有限公司余字风电场2023年风功率系统维护、消缺服务合同</t>
    <phoneticPr fontId="1" type="noConversion"/>
  </si>
  <si>
    <t>2023.12.8</t>
    <phoneticPr fontId="1" type="noConversion"/>
  </si>
  <si>
    <t>2023.11.29</t>
    <phoneticPr fontId="1" type="noConversion"/>
  </si>
  <si>
    <t>2024.11.28</t>
    <phoneticPr fontId="1" type="noConversion"/>
  </si>
  <si>
    <t>国华新能源（双辽）有限公司</t>
    <phoneticPr fontId="1" type="noConversion"/>
  </si>
  <si>
    <t>国华新能源（双辽）有限公司大兴风电场2023年风功率系统维护、消缺服务合同</t>
    <phoneticPr fontId="1" type="noConversion"/>
  </si>
  <si>
    <t>七台河丰润风力发电有限公司</t>
    <phoneticPr fontId="1" type="noConversion"/>
  </si>
  <si>
    <t>七台河丰润风力发电有限公司汤原分公司</t>
    <phoneticPr fontId="1" type="noConversion"/>
  </si>
  <si>
    <t>华电虎林风力发电有限公司</t>
    <phoneticPr fontId="1" type="noConversion"/>
  </si>
  <si>
    <t>2023年12月8日开票占号</t>
    <phoneticPr fontId="1" type="noConversion"/>
  </si>
  <si>
    <t>ZFMD/SD-23040-SH-BG01
ZFMD/SD-23040-SH-BG02</t>
    <phoneticPr fontId="1" type="noConversion"/>
  </si>
  <si>
    <t>ZFMD/SD-23163-1-SH</t>
    <phoneticPr fontId="1" type="noConversion"/>
  </si>
  <si>
    <t>ZFMD/SD-23163-2-SH</t>
  </si>
  <si>
    <t>ZFMD/SD-23164-1-SH</t>
    <phoneticPr fontId="1" type="noConversion"/>
  </si>
  <si>
    <t>ZFMD/SD-23164-3-SH</t>
  </si>
  <si>
    <t>ZFMD/SD-23164-4-SH</t>
  </si>
  <si>
    <t>ZFMD/SD-23164-5-SH</t>
  </si>
  <si>
    <t>ZFMD/SD-23164-6-SH</t>
  </si>
  <si>
    <t>系统集成项目合作合同</t>
    <phoneticPr fontId="22" type="noConversion"/>
  </si>
  <si>
    <t>ZFMD/KGSQ-23041</t>
  </si>
  <si>
    <t>2023.12.13</t>
    <phoneticPr fontId="1" type="noConversion"/>
  </si>
  <si>
    <t>2023.12</t>
    <phoneticPr fontId="1" type="noConversion"/>
  </si>
  <si>
    <t>大唐黑龙江新能源开发有限公司AVC装置采购合同</t>
    <phoneticPr fontId="1" type="noConversion"/>
  </si>
  <si>
    <t>ZFMD/KGSQ-23042</t>
  </si>
  <si>
    <t>大唐桦川风力发电有限公司AVC装置采购合同</t>
    <phoneticPr fontId="22" type="noConversion"/>
  </si>
  <si>
    <t>ZFMD/KGSQ-23038</t>
  </si>
  <si>
    <t>ZFMD/KGSQ-23037</t>
  </si>
  <si>
    <t>ZFMD/KGSQ-23040</t>
  </si>
  <si>
    <t>ZFMD/KGSQ-23036</t>
  </si>
  <si>
    <t>ZFMD/KGSQ-23039</t>
  </si>
  <si>
    <t>ZFMD/KGSQ-23043</t>
  </si>
  <si>
    <t>福能(仙游)风力发电有限责任公司风功率预测系统服务器更换及预测软件升级合同</t>
    <phoneticPr fontId="1" type="noConversion"/>
  </si>
  <si>
    <t>2023.11.20</t>
    <phoneticPr fontId="1" type="noConversion"/>
  </si>
  <si>
    <t>ZFMD/SD-23165-SH</t>
    <phoneticPr fontId="1" type="noConversion"/>
  </si>
  <si>
    <t>ZFMD/SD-23166-SH</t>
  </si>
  <si>
    <t>ZFMD/SD-23167-1-SH</t>
    <phoneticPr fontId="1" type="noConversion"/>
  </si>
  <si>
    <t>ZFMD/SD-23167-2-SH</t>
  </si>
  <si>
    <t>ZFMD/SD-23167-3-SH</t>
  </si>
  <si>
    <t>ZFMD/SD-23167-4-SH</t>
  </si>
  <si>
    <t>ZFMD/KGSQ-23021</t>
  </si>
  <si>
    <t>2023.12.15</t>
    <phoneticPr fontId="1" type="noConversion"/>
  </si>
  <si>
    <t>2023.11.23</t>
    <phoneticPr fontId="1" type="noConversion"/>
  </si>
  <si>
    <t>ZFMD/KGSQ-23032</t>
  </si>
  <si>
    <t>白城能投</t>
    <phoneticPr fontId="1" type="noConversion"/>
  </si>
  <si>
    <t>中广核吉西基地鲁固直流白城140万千瓦外送项目大安单元</t>
    <phoneticPr fontId="1" type="noConversion"/>
  </si>
  <si>
    <t>ZFMD/KGSQ-23044</t>
  </si>
  <si>
    <t>中能建吉西基地鲁固直流白城140万千瓦外送项目大安单元</t>
    <phoneticPr fontId="1" type="noConversion"/>
  </si>
  <si>
    <t>ZFMD/KGSQ-23034</t>
  </si>
  <si>
    <t>ZFMD/KGSQ-23045</t>
  </si>
  <si>
    <t>国家电投通榆单元配套220KV升压站</t>
    <phoneticPr fontId="1" type="noConversion"/>
  </si>
  <si>
    <t>中电建通榆单元配套220KV升压站</t>
    <phoneticPr fontId="1" type="noConversion"/>
  </si>
  <si>
    <t>许继电气股份有限公司</t>
    <phoneticPr fontId="1" type="noConversion"/>
  </si>
  <si>
    <t>光伏功率预测系统采购合同</t>
    <phoneticPr fontId="1" type="noConversion"/>
  </si>
  <si>
    <t>ZFMD/SD-23168-SH</t>
    <phoneticPr fontId="1" type="noConversion"/>
  </si>
  <si>
    <t>ZFMD/SD-23169-SH</t>
  </si>
  <si>
    <t>ZFMD/SD-23170-SH</t>
  </si>
  <si>
    <t>华能烟墩风电场及石城子光伏电站功率预测系统全数据接入集控中心服务合同</t>
    <phoneticPr fontId="1" type="noConversion"/>
  </si>
  <si>
    <t>华能望洋台风电场功率预测系统全数据接入集控中心服务合同</t>
    <phoneticPr fontId="1" type="noConversion"/>
  </si>
  <si>
    <t>ZFMD/SHFW-2023024</t>
  </si>
  <si>
    <t>ZFMD/SHFW-2023024</t>
    <phoneticPr fontId="1" type="noConversion"/>
  </si>
  <si>
    <t>ZFMD/SD-23160-SH</t>
    <phoneticPr fontId="1" type="noConversion"/>
  </si>
  <si>
    <t>七台河风电场气象数据及技术服务合同</t>
    <phoneticPr fontId="1" type="noConversion"/>
  </si>
  <si>
    <t>汤原风电场气象数据及技术服务合同</t>
    <phoneticPr fontId="1" type="noConversion"/>
  </si>
  <si>
    <t>虎林风电场气象数据及技术服务合同</t>
    <phoneticPr fontId="1" type="noConversion"/>
  </si>
  <si>
    <t>ZFMD/SD-23161-SH</t>
    <phoneticPr fontId="1" type="noConversion"/>
  </si>
  <si>
    <t>ZFMD/SD-23162-SH</t>
    <phoneticPr fontId="1" type="noConversion"/>
  </si>
  <si>
    <t>松原绿筑光伏电站光功率预测系统气象服务及技术维护服务合同</t>
    <phoneticPr fontId="1" type="noConversion"/>
  </si>
  <si>
    <t>2023.12.21</t>
    <phoneticPr fontId="1" type="noConversion"/>
  </si>
  <si>
    <t>2024.12.14</t>
    <phoneticPr fontId="1" type="noConversion"/>
  </si>
  <si>
    <t>2023.12.12</t>
    <phoneticPr fontId="1" type="noConversion"/>
  </si>
  <si>
    <t>2024.12.11</t>
    <phoneticPr fontId="1" type="noConversion"/>
  </si>
  <si>
    <t>特殊合同</t>
    <phoneticPr fontId="1" type="noConversion"/>
  </si>
  <si>
    <t>风电AVC软件；系统硬件</t>
    <phoneticPr fontId="5" type="noConversion"/>
  </si>
  <si>
    <t>ZFMD/SD-23171-SH</t>
    <phoneticPr fontId="1" type="noConversion"/>
  </si>
  <si>
    <t>ZFMD/SD-23172-SH</t>
  </si>
  <si>
    <t>ZFMD/KGSQ-23030</t>
  </si>
  <si>
    <t>ZFMD/KGSQ-23031</t>
  </si>
  <si>
    <t>双鸭山杨木岗风力发电有限公司</t>
    <phoneticPr fontId="1" type="noConversion"/>
  </si>
  <si>
    <t>双鸭山杨木岗风力发电有限公司自动电压控制系统改造合同</t>
    <phoneticPr fontId="1" type="noConversion"/>
  </si>
  <si>
    <t>安邦河（老平岗+杨木岗+锅盔山）</t>
    <phoneticPr fontId="5" type="noConversion"/>
  </si>
  <si>
    <t>兴凯湖</t>
    <phoneticPr fontId="5" type="noConversion"/>
  </si>
  <si>
    <t>黑龙江东方风力发电有限公司</t>
    <phoneticPr fontId="1" type="noConversion"/>
  </si>
  <si>
    <t>黑龙江东方风力发电有限公司自动电压控制系统改造合同</t>
    <phoneticPr fontId="1" type="noConversion"/>
  </si>
  <si>
    <t>ZFMD/SD-23173-SH</t>
  </si>
  <si>
    <t>ZFMD/SD-23174-SH</t>
  </si>
  <si>
    <t>ZFMD/SD-23175-SH</t>
  </si>
  <si>
    <t>ZFMD/SHFW-2023019</t>
  </si>
  <si>
    <t>ZFMD/SHFW-2023020</t>
  </si>
  <si>
    <t>ZFMD/SHFW-2023021</t>
  </si>
  <si>
    <t>榆林国远风电有限公司兆方美迪功率预测系统极端天气影响预测功能升级改造技术服务合同</t>
    <phoneticPr fontId="1" type="noConversion"/>
  </si>
  <si>
    <t>2023.12.26</t>
    <phoneticPr fontId="1" type="noConversion"/>
  </si>
  <si>
    <t>国华（铜川）新能源有限公司兆方美迪功率预测系统极端天气影响预测功能升级改造技术服务合同</t>
    <phoneticPr fontId="1" type="noConversion"/>
  </si>
  <si>
    <t>国华（神木）新能源有限公司兆方美迪功率预测系统极端天气影响预测功能升级改造技术服务合同</t>
    <phoneticPr fontId="1" type="noConversion"/>
  </si>
  <si>
    <t>上堡风电场2024年度风功率预测系统服务合同书</t>
    <phoneticPr fontId="1" type="noConversion"/>
  </si>
  <si>
    <t>2023.12.19</t>
    <phoneticPr fontId="1" type="noConversion"/>
  </si>
  <si>
    <t>ZFMD/SD-23176-SH</t>
    <phoneticPr fontId="1" type="noConversion"/>
  </si>
  <si>
    <t>ZFMD/SD-23179-SH</t>
  </si>
  <si>
    <t>ZFMD/SD-23180-SH</t>
  </si>
  <si>
    <t>ZFMD/KGSQ-23019</t>
  </si>
  <si>
    <t>焉耆</t>
    <phoneticPr fontId="1" type="noConversion"/>
  </si>
  <si>
    <t>库车轮台火光储多能互补（巴州部分）焉耆项目</t>
    <phoneticPr fontId="1" type="noConversion"/>
  </si>
  <si>
    <t>2023.12.28</t>
    <phoneticPr fontId="1" type="noConversion"/>
  </si>
  <si>
    <t>2023.12.20</t>
    <phoneticPr fontId="1" type="noConversion"/>
  </si>
  <si>
    <t>ZFMD/KGSQ-23046</t>
    <phoneticPr fontId="1" type="noConversion"/>
  </si>
  <si>
    <t>明阳智慧能源集团股份公司</t>
    <phoneticPr fontId="1" type="noConversion"/>
  </si>
  <si>
    <t>明阳智慧能源集团股份公司采购订单</t>
    <phoneticPr fontId="1" type="noConversion"/>
  </si>
  <si>
    <t>宾县二期</t>
    <phoneticPr fontId="1" type="noConversion"/>
  </si>
  <si>
    <t>短期软件；超短期软件；测风塔；测风塔设备；预测服务2年</t>
    <phoneticPr fontId="1" type="noConversion"/>
  </si>
  <si>
    <t>2023.9.6开票占号。合同重签。合同额由69.7416变更为63.5万元</t>
    <phoneticPr fontId="1" type="noConversion"/>
  </si>
  <si>
    <t>ZFMD/SD-23177-SH</t>
    <phoneticPr fontId="1" type="noConversion"/>
  </si>
  <si>
    <t>ZFMD/SD-23178-SH</t>
    <phoneticPr fontId="1" type="noConversion"/>
  </si>
  <si>
    <t>大庆采油六厂</t>
    <phoneticPr fontId="1" type="noConversion"/>
  </si>
  <si>
    <t>明阳智慧能源集团股份公司与兆方美迪风能工程（上海）有限公司产品采购合同</t>
    <phoneticPr fontId="1" type="noConversion"/>
  </si>
  <si>
    <t>ZFMD/KGSQ-23013</t>
    <phoneticPr fontId="1" type="noConversion"/>
  </si>
  <si>
    <t>ZFMD/SD-23181-SH</t>
  </si>
  <si>
    <t>ZFMD/SD-23182-SH</t>
  </si>
  <si>
    <t>ZFMD/SD-23183-SH</t>
  </si>
  <si>
    <t>ZFMD/SD-23184-SH</t>
  </si>
  <si>
    <t>福能（漳州）风力发电有限责任公司隆教风电场风电功率预测系统技术服务合同</t>
    <phoneticPr fontId="1" type="noConversion"/>
  </si>
  <si>
    <t>福能（仙游）风力发电有限责任公司草山风电场风电功率预测系统技术服务合同</t>
    <phoneticPr fontId="1" type="noConversion"/>
  </si>
  <si>
    <t>福能（龙海）风力发电有限责任公司省山风电场风电功率预测系统技术服务合同</t>
    <phoneticPr fontId="1" type="noConversion"/>
  </si>
  <si>
    <t>福能平海（莆田）风力发电有限公司石塘风电场风电功率预测系统技术服务合同</t>
    <phoneticPr fontId="1" type="noConversion"/>
  </si>
  <si>
    <t>2023.12.29</t>
    <phoneticPr fontId="22" type="noConversion"/>
  </si>
  <si>
    <t>2023.12</t>
    <phoneticPr fontId="22" type="noConversion"/>
  </si>
  <si>
    <t>郭文明
韩志宇</t>
    <phoneticPr fontId="1" type="noConversion"/>
  </si>
  <si>
    <t>ZFMD/SD-23113-2-SH-BG01</t>
    <phoneticPr fontId="1" type="noConversion"/>
  </si>
  <si>
    <t>ZFMD/KGSQ-16017</t>
    <phoneticPr fontId="1" type="noConversion"/>
  </si>
  <si>
    <t>ZFMD/SD-24001-SH</t>
    <phoneticPr fontId="1" type="noConversion"/>
  </si>
  <si>
    <t>泰来宏浩风力发电有限公司</t>
    <phoneticPr fontId="1" type="noConversion"/>
  </si>
  <si>
    <t>齐齐哈尔宏浩</t>
    <phoneticPr fontId="1" type="noConversion"/>
  </si>
  <si>
    <t>宏浩</t>
    <phoneticPr fontId="1" type="noConversion"/>
  </si>
  <si>
    <t>2024.1.17</t>
    <phoneticPr fontId="1" type="noConversion"/>
  </si>
  <si>
    <t>2023.12.29</t>
    <phoneticPr fontId="1" type="noConversion"/>
  </si>
  <si>
    <t>古田中电建新能源发电有限公司古田电厂风功率预测系统服务合同文件</t>
    <phoneticPr fontId="1" type="noConversion"/>
  </si>
  <si>
    <t>2023.12.23</t>
    <phoneticPr fontId="1" type="noConversion"/>
  </si>
  <si>
    <t>2024.12.13</t>
    <phoneticPr fontId="1" type="noConversion"/>
  </si>
  <si>
    <t>华电新能源集团股份有限公司黑龙江分公司宏浩风电场风电功率预测系统改造项目合同</t>
    <phoneticPr fontId="1" type="noConversion"/>
  </si>
  <si>
    <t>ZFMD/SD-24002-SH</t>
    <phoneticPr fontId="1" type="noConversion"/>
  </si>
  <si>
    <t>ZFMD/KGSQ-23010</t>
    <phoneticPr fontId="1" type="noConversion"/>
  </si>
  <si>
    <t>古田泮阳</t>
    <phoneticPr fontId="5" type="noConversion"/>
  </si>
  <si>
    <t>2024.1.27</t>
    <phoneticPr fontId="1" type="noConversion"/>
  </si>
  <si>
    <t>ZFMD/SD-24004-SH</t>
  </si>
  <si>
    <t>ZFMD/SD-24005-SH</t>
  </si>
  <si>
    <t>ZFMD/SD-24006-SH</t>
  </si>
  <si>
    <t>ZFMD/SD-24007-SH</t>
  </si>
  <si>
    <t>ZFMD/SD-24008-SH</t>
  </si>
  <si>
    <t>ZFMD/SD-24009-23059-SH</t>
    <phoneticPr fontId="1" type="noConversion"/>
  </si>
  <si>
    <t>ZFMD/SD-24010-SH</t>
    <phoneticPr fontId="1" type="noConversion"/>
  </si>
  <si>
    <t>ZFMD/SD-24011-SH</t>
  </si>
  <si>
    <t>ZFMD/SD-24003-23040-SH</t>
    <phoneticPr fontId="1" type="noConversion"/>
  </si>
  <si>
    <t>2024.1.31</t>
    <phoneticPr fontId="1" type="noConversion"/>
  </si>
  <si>
    <t>中广核梨树风电项目风功率预测系统测风塔加装150米及160米传感器安装调试合同</t>
    <phoneticPr fontId="1" type="noConversion"/>
  </si>
  <si>
    <t>2024.1</t>
    <phoneticPr fontId="1" type="noConversion"/>
  </si>
  <si>
    <t>吉林通榆新唐发电有限公司</t>
    <phoneticPr fontId="1" type="noConversion"/>
  </si>
  <si>
    <t>繁荣</t>
    <phoneticPr fontId="1" type="noConversion"/>
  </si>
  <si>
    <t>吉林通榆新唐发电有限公司繁荣风电场2024年风功率预测（软硬件）系统维修维护服务合同</t>
    <phoneticPr fontId="1" type="noConversion"/>
  </si>
  <si>
    <t>大唐吉林风力发电股份有限公司洮南风电场2024年风功率预测（软硬件）系统维修维护服务合同</t>
    <phoneticPr fontId="1" type="noConversion"/>
  </si>
  <si>
    <t>大唐向阳风电有限公司向阳风电场2024年风功率预测（软硬件）系统维修维护服务合同</t>
    <phoneticPr fontId="1" type="noConversion"/>
  </si>
  <si>
    <t>吉林大安新唐发电有限公司新艾里风电场2024年风功率预测（软硬件）系统维修维护服务合同</t>
    <phoneticPr fontId="1" type="noConversion"/>
  </si>
  <si>
    <t>大唐中电（吉林）新能源发电有限公司双辽分公司双辽风电场2024年风功率预测（软硬件）系统维修维护服务合同</t>
    <phoneticPr fontId="1" type="noConversion"/>
  </si>
  <si>
    <t>关于安白高速新艾里风电场二期项目风电功率预测系统采购合同的合同变更协议</t>
    <phoneticPr fontId="1" type="noConversion"/>
  </si>
  <si>
    <t>双鸭山锅盔山风力发电有限公司</t>
    <phoneticPr fontId="1" type="noConversion"/>
  </si>
  <si>
    <t>双鸭山锅盔山风力发电有限公司测风塔成套设备及安装采购合同</t>
    <phoneticPr fontId="1" type="noConversion"/>
  </si>
  <si>
    <t>绥滨县中金宝宜新能源有限公司</t>
    <phoneticPr fontId="1" type="noConversion"/>
  </si>
  <si>
    <t>黑龙江宝宜光伏电站光伏功率预测系统改造项目合同</t>
    <phoneticPr fontId="1" type="noConversion"/>
  </si>
  <si>
    <t>宝宜</t>
    <phoneticPr fontId="1" type="noConversion"/>
  </si>
  <si>
    <t>2024.1.26</t>
    <phoneticPr fontId="1" type="noConversion"/>
  </si>
  <si>
    <t>ZFMD/SHFW-2020025</t>
    <phoneticPr fontId="1" type="noConversion"/>
  </si>
  <si>
    <t>ZFMD/SD-24012-SH</t>
    <phoneticPr fontId="1" type="noConversion"/>
  </si>
  <si>
    <t>2024.2.23</t>
    <phoneticPr fontId="1" type="noConversion"/>
  </si>
  <si>
    <t>2024.2</t>
    <phoneticPr fontId="1" type="noConversion"/>
  </si>
  <si>
    <t>ZFMD/SD-24013-SH</t>
    <phoneticPr fontId="1" type="noConversion"/>
  </si>
  <si>
    <t>ZFMD/SD-23088-SH-BG01</t>
    <phoneticPr fontId="1" type="noConversion"/>
  </si>
  <si>
    <t>ZFMD/SD-23038-1-SH-BG01
ZFMD/SD-23038-1-SH-BG02</t>
    <phoneticPr fontId="1" type="noConversion"/>
  </si>
  <si>
    <t>ZFMD/SD-23088-SH</t>
    <phoneticPr fontId="1" type="noConversion"/>
  </si>
  <si>
    <t>ZFMD/KGSQ-22041</t>
    <phoneticPr fontId="1" type="noConversion"/>
  </si>
  <si>
    <t>ZFMD/SD-20006-3-SH-BG01</t>
    <phoneticPr fontId="1" type="noConversion"/>
  </si>
  <si>
    <t>ZFMD/SHFW-2023002</t>
    <phoneticPr fontId="5" type="noConversion"/>
  </si>
  <si>
    <t>ZFMD/SHFW-2023001
ZFMD/SHFW-2023003</t>
    <phoneticPr fontId="5" type="noConversion"/>
  </si>
  <si>
    <t>ZFMD/SHFW-2023007</t>
    <phoneticPr fontId="1" type="noConversion"/>
  </si>
  <si>
    <t>ZFMD/SHFW-2023011</t>
    <phoneticPr fontId="5" type="noConversion"/>
  </si>
  <si>
    <t>ZFMD/SHFW-2023013</t>
    <phoneticPr fontId="5" type="noConversion"/>
  </si>
  <si>
    <t>ZFMD/SHFW-2023014</t>
    <phoneticPr fontId="5" type="noConversion"/>
  </si>
  <si>
    <t>ZFMD/SHFW-2023015</t>
    <phoneticPr fontId="5" type="noConversion"/>
  </si>
  <si>
    <t>ZFMD/SHFW-2023016</t>
    <phoneticPr fontId="5" type="noConversion"/>
  </si>
  <si>
    <t>ZFMD/SHFW-2023018</t>
    <phoneticPr fontId="5" type="noConversion"/>
  </si>
  <si>
    <t>ZFMD/SHFW-2023022</t>
    <phoneticPr fontId="5" type="noConversion"/>
  </si>
  <si>
    <t>ZFMD/SHFW-2023025</t>
    <phoneticPr fontId="5" type="noConversion"/>
  </si>
  <si>
    <t>ZFMD/SHFW-2023027</t>
    <phoneticPr fontId="1" type="noConversion"/>
  </si>
  <si>
    <t>ZFMD/SHFW-2023028</t>
    <phoneticPr fontId="5" type="noConversion"/>
  </si>
  <si>
    <t>ZFMD/SHFW-2023029</t>
    <phoneticPr fontId="5" type="noConversion"/>
  </si>
  <si>
    <t>ZFMD/SHFW-2024002</t>
    <phoneticPr fontId="5" type="noConversion"/>
  </si>
  <si>
    <t>ZFMD/SHFW-2024003</t>
    <phoneticPr fontId="5" type="noConversion"/>
  </si>
  <si>
    <t>2024.3.2</t>
    <phoneticPr fontId="1" type="noConversion"/>
  </si>
  <si>
    <t>ZFMD/SD-24015-SH</t>
  </si>
  <si>
    <t>ZFMD/SD-24016-SH</t>
  </si>
  <si>
    <t>ZFMD/SD-24017-SH</t>
  </si>
  <si>
    <t>ZFMD/SD-24018-SH</t>
  </si>
  <si>
    <t>2024.3.8</t>
    <phoneticPr fontId="1" type="noConversion"/>
  </si>
  <si>
    <t>ZFMD/SD-24019-SH</t>
  </si>
  <si>
    <t>2024.3.16</t>
    <phoneticPr fontId="1" type="noConversion"/>
  </si>
  <si>
    <t>ZFMD/SD-24020-SH</t>
  </si>
  <si>
    <t>ZFMD/SD-24014-1-SH</t>
    <phoneticPr fontId="1" type="noConversion"/>
  </si>
  <si>
    <t>ZFMD/KGSQ-23033</t>
  </si>
  <si>
    <t>ZFMD/KGSQ-23035</t>
  </si>
  <si>
    <t>ZFMD/SD-24014-2-SH</t>
    <phoneticPr fontId="1" type="noConversion"/>
  </si>
  <si>
    <t>河南瑞诚电力有限公司</t>
    <phoneticPr fontId="1" type="noConversion"/>
  </si>
  <si>
    <t>吉西基地鲁固直流白城140万千瓦外送项目通榆风电升压站及大安风电升压站风功率预测系统合同</t>
    <phoneticPr fontId="1" type="noConversion"/>
  </si>
  <si>
    <t>中广核长城</t>
    <phoneticPr fontId="1" type="noConversion"/>
  </si>
  <si>
    <t>中电建自强</t>
    <phoneticPr fontId="1" type="noConversion"/>
  </si>
  <si>
    <t>远景能源有限公司</t>
    <phoneticPr fontId="1" type="noConversion"/>
  </si>
  <si>
    <t>北兴</t>
    <phoneticPr fontId="1" type="noConversion"/>
  </si>
  <si>
    <t>P-1434大唐黑龙江龙江北兴视频系统贴牌采购协议（合同未流转）</t>
    <phoneticPr fontId="1" type="noConversion"/>
  </si>
  <si>
    <t>梅桥风电场2023-2024风功率预测系统高精度气象预报数据及技术维护服务项目合同</t>
    <phoneticPr fontId="22" type="noConversion"/>
  </si>
  <si>
    <t>2024.11.13</t>
    <phoneticPr fontId="1" type="noConversion"/>
  </si>
  <si>
    <t>江口风电场2023-2024风功率预测系统高精度气象预报数据及技术维护服务项目合同</t>
    <phoneticPr fontId="22" type="noConversion"/>
  </si>
  <si>
    <t>2024.12.27</t>
    <phoneticPr fontId="1" type="noConversion"/>
  </si>
  <si>
    <t>系统硬件维护；光伏气象站维护；预测服务1年</t>
    <phoneticPr fontId="1" type="noConversion"/>
  </si>
  <si>
    <t>2024.2.7</t>
    <phoneticPr fontId="1" type="noConversion"/>
  </si>
  <si>
    <t>镇赉风电场功率预测系统代维护项目服务合同</t>
    <phoneticPr fontId="1" type="noConversion"/>
  </si>
  <si>
    <t>2024.3.12</t>
    <phoneticPr fontId="1" type="noConversion"/>
  </si>
  <si>
    <t>2025.3.11</t>
    <phoneticPr fontId="1" type="noConversion"/>
  </si>
  <si>
    <t>ZFMD/SD-24021-1-SH</t>
    <phoneticPr fontId="1" type="noConversion"/>
  </si>
  <si>
    <t>ZFMD/SD-24021-2-SH</t>
  </si>
  <si>
    <t>ZFMD/KGSQ-24001</t>
    <phoneticPr fontId="1" type="noConversion"/>
  </si>
  <si>
    <t>ZFMD/KGSQ-24002</t>
  </si>
  <si>
    <t>讷河东庆</t>
    <phoneticPr fontId="1" type="noConversion"/>
  </si>
  <si>
    <t>讷河东庆兴旺</t>
    <phoneticPr fontId="1" type="noConversion"/>
  </si>
  <si>
    <t>2024.3.22</t>
    <phoneticPr fontId="1" type="noConversion"/>
  </si>
  <si>
    <t>明阳智慧能源集团股份有限公司采购订单</t>
    <phoneticPr fontId="1" type="noConversion"/>
  </si>
  <si>
    <t>华能安达300兆瓦</t>
    <phoneticPr fontId="1" type="noConversion"/>
  </si>
  <si>
    <t>2024.3.5</t>
    <phoneticPr fontId="1" type="noConversion"/>
  </si>
  <si>
    <t>阳光智维科技股份有限公司</t>
    <phoneticPr fontId="22" type="noConversion"/>
  </si>
  <si>
    <t>ZFMD/SD-22031-SH-BG01</t>
    <phoneticPr fontId="22" type="noConversion"/>
  </si>
  <si>
    <t>ZFMD/SD-23178-SH-BG01
ZFMD/SD-23178-SH-BG02</t>
    <phoneticPr fontId="1" type="noConversion"/>
  </si>
  <si>
    <t>ZFMD/SHFW-2024005</t>
    <phoneticPr fontId="5" type="noConversion"/>
  </si>
  <si>
    <t>ZFMD/SHFW-2024007</t>
    <phoneticPr fontId="5" type="noConversion"/>
  </si>
  <si>
    <t>ZFMD/SD-24022-SH</t>
    <phoneticPr fontId="1" type="noConversion"/>
  </si>
  <si>
    <t>ZFMD/SD-24023-SH</t>
  </si>
  <si>
    <t>ZFMD/SD-24024-SH</t>
  </si>
  <si>
    <t>ZFMD/SD-24025-SH</t>
  </si>
  <si>
    <t>2024.4.3</t>
    <phoneticPr fontId="1" type="noConversion"/>
  </si>
  <si>
    <t>2024.3.30</t>
    <phoneticPr fontId="22" type="noConversion"/>
  </si>
  <si>
    <t>2025.4.30</t>
    <phoneticPr fontId="22" type="noConversion"/>
  </si>
  <si>
    <t>2024.3</t>
    <phoneticPr fontId="1" type="noConversion"/>
  </si>
  <si>
    <t>国瑞科技（吉林）有限公司</t>
    <phoneticPr fontId="1" type="noConversion"/>
  </si>
  <si>
    <t>吉林华电伊通26.1MW风电工程风电功率预测系统购销合同</t>
    <phoneticPr fontId="1" type="noConversion"/>
  </si>
  <si>
    <t>伊通26.1MW风电工程</t>
    <phoneticPr fontId="1" type="noConversion"/>
  </si>
  <si>
    <t>2024.4.9</t>
    <phoneticPr fontId="1" type="noConversion"/>
  </si>
  <si>
    <t>2024.3.29</t>
    <phoneticPr fontId="1" type="noConversion"/>
  </si>
  <si>
    <t>ZFMD/SHFW-2024006</t>
    <phoneticPr fontId="5" type="noConversion"/>
  </si>
  <si>
    <t>26.1MW</t>
    <phoneticPr fontId="1" type="noConversion"/>
  </si>
  <si>
    <t>2024.4.9开票占号</t>
    <phoneticPr fontId="1" type="noConversion"/>
  </si>
  <si>
    <t>ZFMD/SD-24026-SH</t>
  </si>
  <si>
    <t>2024.4.10</t>
    <phoneticPr fontId="22" type="noConversion"/>
  </si>
  <si>
    <t>2024.3.19</t>
    <phoneticPr fontId="22" type="noConversion"/>
  </si>
  <si>
    <t>ZFMD/SD-21108-SH-BG01</t>
    <phoneticPr fontId="1" type="noConversion"/>
  </si>
  <si>
    <t>ZFMD/SD-24027-SH</t>
  </si>
  <si>
    <t>2024.4.22开票占号</t>
    <phoneticPr fontId="1" type="noConversion"/>
  </si>
  <si>
    <t>2024.4.24</t>
    <phoneticPr fontId="1" type="noConversion"/>
  </si>
  <si>
    <t>2024.4.26</t>
    <phoneticPr fontId="1" type="noConversion"/>
  </si>
  <si>
    <t>ZFMD/SD-24028-SH</t>
  </si>
  <si>
    <t>ZFMD/SD-24031-SH</t>
  </si>
  <si>
    <t>2024.4.30</t>
    <phoneticPr fontId="1" type="noConversion"/>
  </si>
  <si>
    <t>台安桑林风力发电有限公司</t>
    <phoneticPr fontId="1" type="noConversion"/>
  </si>
  <si>
    <t>中广核新能源吉林同兴风电场风功率预测系统维护服务采购项目采购合同</t>
    <phoneticPr fontId="1" type="noConversion"/>
  </si>
  <si>
    <t>同兴</t>
    <phoneticPr fontId="1" type="noConversion"/>
  </si>
  <si>
    <t>2024.4.25</t>
    <phoneticPr fontId="1" type="noConversion"/>
  </si>
  <si>
    <t>ZFMD/SD-24029-1-SH</t>
    <phoneticPr fontId="1" type="noConversion"/>
  </si>
  <si>
    <t>ZFMD/SD-24029-2-SH</t>
    <phoneticPr fontId="1" type="noConversion"/>
  </si>
  <si>
    <t>ZFMD/SD-24029-3-SH</t>
    <phoneticPr fontId="1" type="noConversion"/>
  </si>
  <si>
    <t>三峡新能源彰武发电有限公司</t>
    <phoneticPr fontId="1" type="noConversion"/>
  </si>
  <si>
    <t>三峡能源辽宁省彰武光伏电站D5000系统、功率预测系统、AGCAVC系统设备采购合同</t>
    <phoneticPr fontId="1" type="noConversion"/>
  </si>
  <si>
    <t>辽宁光伏电站D5000二区软件；系统硬件</t>
    <phoneticPr fontId="1" type="noConversion"/>
  </si>
  <si>
    <t>2024.4.19</t>
    <phoneticPr fontId="1" type="noConversion"/>
  </si>
  <si>
    <t>ZFMD/SD-24030-1-SH</t>
    <phoneticPr fontId="1" type="noConversion"/>
  </si>
  <si>
    <t>ZFMD/SD-24030-2-SH</t>
    <phoneticPr fontId="1" type="noConversion"/>
  </si>
  <si>
    <t>中节能风力发电（哈密）有限公司烟墩风场、景峡风场风功率预测、测风塔及相关设备系统接入数据中心服务合同</t>
    <phoneticPr fontId="1" type="noConversion"/>
  </si>
  <si>
    <t>2024.4.15</t>
    <phoneticPr fontId="1" type="noConversion"/>
  </si>
  <si>
    <t>三峡能源辽宁葫芦岛岳家屯风电场2023年风功率预测系统维护服务采购合同</t>
    <phoneticPr fontId="1" type="noConversion"/>
  </si>
  <si>
    <t>2024.4.28</t>
    <phoneticPr fontId="1" type="noConversion"/>
  </si>
  <si>
    <t>2024.12.22</t>
    <phoneticPr fontId="1" type="noConversion"/>
  </si>
  <si>
    <t>技术服务（数据转发集控；电力交易系统转发）</t>
    <phoneticPr fontId="22" type="noConversion"/>
  </si>
  <si>
    <t>2024.5.11</t>
    <phoneticPr fontId="1" type="noConversion"/>
  </si>
  <si>
    <t>ZFMD/SD-24034-SH</t>
  </si>
  <si>
    <t>ZFMD/SD-24035-SH</t>
  </si>
  <si>
    <t>ZFMD/SD-24032-1-SH</t>
    <phoneticPr fontId="1" type="noConversion"/>
  </si>
  <si>
    <t>ZFMD/SD-24032-2-SH</t>
  </si>
  <si>
    <t>ZFMD/SD-24032-3-SH</t>
  </si>
  <si>
    <t>三峡能源辽宁省调兵山风电场D5000系统、功率预测系统、AGCAVC系统设备采购及2024年风功率预测系统维护服务采购合同</t>
    <phoneticPr fontId="1" type="noConversion"/>
  </si>
  <si>
    <t>辽宁风电场D5000一区软件；辽宁风电场D5000二区软件；系统硬件</t>
    <phoneticPr fontId="1" type="noConversion"/>
  </si>
  <si>
    <t>ZFMD/SD-24032-4-SH</t>
    <phoneticPr fontId="1" type="noConversion"/>
  </si>
  <si>
    <t>技术服务（其他现代服务）</t>
    <phoneticPr fontId="1" type="noConversion"/>
  </si>
  <si>
    <t>2024.4.12</t>
    <phoneticPr fontId="1" type="noConversion"/>
  </si>
  <si>
    <t>2023.12.3</t>
    <phoneticPr fontId="1" type="noConversion"/>
  </si>
  <si>
    <t>2024.12.3</t>
    <phoneticPr fontId="1" type="noConversion"/>
  </si>
  <si>
    <t>ZFMD/SD-24033-SH</t>
    <phoneticPr fontId="1" type="noConversion"/>
  </si>
  <si>
    <t>三峡能源辽宁省开原风电场功率预测系统、AGCAVC系统设备采购及2024年风功率预测系统维护服务采购合同</t>
    <phoneticPr fontId="22" type="noConversion"/>
  </si>
  <si>
    <t>2024.12.26</t>
    <phoneticPr fontId="1" type="noConversion"/>
  </si>
  <si>
    <t>ZFMD/SD-24036-SH</t>
  </si>
  <si>
    <t>2024.5.17</t>
    <phoneticPr fontId="1" type="noConversion"/>
  </si>
  <si>
    <t>ZFMD/SD-24037-SH</t>
  </si>
  <si>
    <t>ZFMD/SD-24038-SH</t>
  </si>
  <si>
    <t>ZFMD/SD-24039-SH</t>
  </si>
  <si>
    <t>ZFMD/SD-24040-SH</t>
  </si>
  <si>
    <t>2024.5.23</t>
    <phoneticPr fontId="1" type="noConversion"/>
  </si>
  <si>
    <t>ZFMD/SD-24042-SH</t>
  </si>
  <si>
    <t>2024.5.25</t>
    <phoneticPr fontId="1" type="noConversion"/>
  </si>
  <si>
    <t>ZFMD/SD-24043-SH</t>
  </si>
  <si>
    <t>ZFMD/SD-24044-SH</t>
  </si>
  <si>
    <t>ZFMD/SD-24045-SH</t>
  </si>
  <si>
    <t>ZFMD/SD-24046-SH</t>
  </si>
  <si>
    <t>ZFMD/SD-23171-SH-BG01</t>
    <phoneticPr fontId="1" type="noConversion"/>
  </si>
  <si>
    <t>ZFMD/SD-24021-1-SH-BG01</t>
    <phoneticPr fontId="1" type="noConversion"/>
  </si>
  <si>
    <t>ZFMD/SD-24021-2-SH-BG01</t>
    <phoneticPr fontId="1" type="noConversion"/>
  </si>
  <si>
    <t>ZFMD/SD-24049-1-SH</t>
    <phoneticPr fontId="1" type="noConversion"/>
  </si>
  <si>
    <t>ZFMD/SD-24049-2-SH</t>
    <phoneticPr fontId="1" type="noConversion"/>
  </si>
  <si>
    <t>哈尔滨华芯兴业电子技术有限公司</t>
    <phoneticPr fontId="1" type="noConversion"/>
  </si>
  <si>
    <t>大唐龙江北兴150MW、依兰达连河100MW风电项目安全视频监控设备采购合同</t>
    <phoneticPr fontId="1" type="noConversion"/>
  </si>
  <si>
    <t>北兴150MW风电项目</t>
    <phoneticPr fontId="1" type="noConversion"/>
  </si>
  <si>
    <t>150MW</t>
    <phoneticPr fontId="1" type="noConversion"/>
  </si>
  <si>
    <t>智慧工地项目场区视频监控系统</t>
    <phoneticPr fontId="1" type="noConversion"/>
  </si>
  <si>
    <t>2024.5.24</t>
    <phoneticPr fontId="1" type="noConversion"/>
  </si>
  <si>
    <t>依兰达连河100MW风电项目</t>
    <phoneticPr fontId="1" type="noConversion"/>
  </si>
  <si>
    <t>巴里坤甬坤能源有限公司</t>
    <phoneticPr fontId="1" type="noConversion"/>
  </si>
  <si>
    <t>巴里坤黑眼泉20兆瓦分散式风电项目风功率预测技术服务买卖合同</t>
    <phoneticPr fontId="1" type="noConversion"/>
  </si>
  <si>
    <t>国电和风青龙风电场系统升级技术服务合同</t>
    <phoneticPr fontId="22" type="noConversion"/>
  </si>
  <si>
    <t>预测服务3个月</t>
    <phoneticPr fontId="1" type="noConversion"/>
  </si>
  <si>
    <t>风电功率预测系统数值天气预报技术服务合同</t>
    <phoneticPr fontId="1" type="noConversion"/>
  </si>
  <si>
    <t>2024.3.28</t>
    <phoneticPr fontId="22" type="noConversion"/>
  </si>
  <si>
    <t>2024.4.16</t>
    <phoneticPr fontId="1" type="noConversion"/>
  </si>
  <si>
    <t>2023.10.1</t>
    <phoneticPr fontId="1" type="noConversion"/>
  </si>
  <si>
    <t>三峡能源大连庄河海上风电项目2023年风功率预测系统维护服务采购合同</t>
    <phoneticPr fontId="1" type="noConversion"/>
  </si>
  <si>
    <t>福建公司宁德公司延亭及马耳山风电2024-2027年风功率预测服务项目服务合同</t>
    <phoneticPr fontId="1" type="noConversion"/>
  </si>
  <si>
    <t>2027.4.15</t>
    <phoneticPr fontId="1" type="noConversion"/>
  </si>
  <si>
    <t>新疆丝路鸿元智慧能源有限公司</t>
    <phoneticPr fontId="1" type="noConversion"/>
  </si>
  <si>
    <t>五凌布尔津风电一场2024年风功率预测技术服务合同</t>
    <phoneticPr fontId="1" type="noConversion"/>
  </si>
  <si>
    <t>国源天立布尔津风电一场2024年风功率预测技术服务合同</t>
    <phoneticPr fontId="1" type="noConversion"/>
  </si>
  <si>
    <t>哈尔滨鼎豪科技有限公司</t>
    <phoneticPr fontId="1" type="noConversion"/>
  </si>
  <si>
    <t>大安中广核风力发电有限公司70米测风塔维护服务协议</t>
    <phoneticPr fontId="1" type="noConversion"/>
  </si>
  <si>
    <t>测风塔维护</t>
    <phoneticPr fontId="1" type="noConversion"/>
  </si>
  <si>
    <t>ZFMD/KGSQ-24021</t>
  </si>
  <si>
    <t>哈密一通道40万千瓦风电+10万千瓦光伏多能互补项目</t>
    <phoneticPr fontId="1" type="noConversion"/>
  </si>
  <si>
    <t>2024.5.14</t>
    <phoneticPr fontId="1" type="noConversion"/>
  </si>
  <si>
    <t>ZFMD/KGSQ-24003</t>
  </si>
  <si>
    <t>ZFMD/KGSQ-24004</t>
  </si>
  <si>
    <t>ZFMD/KGSQ-24005</t>
  </si>
  <si>
    <t>宝龙</t>
    <phoneticPr fontId="1" type="noConversion"/>
  </si>
  <si>
    <t>新胜</t>
    <phoneticPr fontId="1" type="noConversion"/>
  </si>
  <si>
    <t>通榆边昭风力发电有限公司</t>
    <phoneticPr fontId="1" type="noConversion"/>
  </si>
  <si>
    <t>东北区域公司宝龙风场功率预测系统改造项目服务合同</t>
    <phoneticPr fontId="1" type="noConversion"/>
  </si>
  <si>
    <t>通榆开通风力发电有限公司</t>
    <phoneticPr fontId="1" type="noConversion"/>
  </si>
  <si>
    <t>东北区域公司新胜风场功率预测系统改造项目服务合同</t>
    <phoneticPr fontId="1" type="noConversion"/>
  </si>
  <si>
    <t>ZFMD/SD-24047-1-SH</t>
    <phoneticPr fontId="1" type="noConversion"/>
  </si>
  <si>
    <t>ZFMD/SD-24047-2-SH</t>
    <phoneticPr fontId="1" type="noConversion"/>
  </si>
  <si>
    <t>ZFMD/SD-24047-3-SH</t>
    <phoneticPr fontId="1" type="noConversion"/>
  </si>
  <si>
    <t>系统硬件维护；测风塔维护；预测服务3年</t>
    <phoneticPr fontId="22" type="noConversion"/>
  </si>
  <si>
    <t>2027.5.23</t>
    <phoneticPr fontId="1" type="noConversion"/>
  </si>
  <si>
    <t>ZFMD/SD-24048-1-SH</t>
    <phoneticPr fontId="1" type="noConversion"/>
  </si>
  <si>
    <t>ZFMD/SD-24048-2-SH</t>
  </si>
  <si>
    <t>ZFMD/SD-24048-3-SH</t>
  </si>
  <si>
    <t>ZFMD/SD-24048-4-SH</t>
  </si>
  <si>
    <t>ZFMD/SD-24048-5-SH</t>
  </si>
  <si>
    <t>ZFMD/SD-24048-6-SH</t>
  </si>
  <si>
    <t>ZFMD/SD-24048-7-SH</t>
  </si>
  <si>
    <t>ZFMD/SD-24048-8-SH</t>
  </si>
  <si>
    <t>ZFMD/SD-24048-9-SH</t>
  </si>
  <si>
    <t>ZFMD/SD-24048-10-SH</t>
  </si>
  <si>
    <t>ZFMD/SD-24048-11-SH</t>
  </si>
  <si>
    <t>东安</t>
    <phoneticPr fontId="5" type="noConversion"/>
  </si>
  <si>
    <t>大庆太平、宏伟</t>
    <phoneticPr fontId="1" type="noConversion"/>
  </si>
  <si>
    <t>双岭</t>
    <phoneticPr fontId="5" type="noConversion"/>
  </si>
  <si>
    <t>绥滨三期西区</t>
    <phoneticPr fontId="1" type="noConversion"/>
  </si>
  <si>
    <t>临江</t>
    <phoneticPr fontId="1" type="noConversion"/>
  </si>
  <si>
    <t>ZFMD/SD-24029-1-SH-BG01</t>
    <phoneticPr fontId="1" type="noConversion"/>
  </si>
  <si>
    <t>ZFMD/SD-24029-2-SH-BG01</t>
    <phoneticPr fontId="1" type="noConversion"/>
  </si>
  <si>
    <t>ZFMD/SD-24032-1-SH-BG01</t>
    <phoneticPr fontId="1" type="noConversion"/>
  </si>
  <si>
    <t>ZFMD/SD-24032-2-SH-BG01</t>
    <phoneticPr fontId="1" type="noConversion"/>
  </si>
  <si>
    <t>ZFMD/SD-23164-1-SH-BG01</t>
    <phoneticPr fontId="1" type="noConversion"/>
  </si>
  <si>
    <t>ZFMD/SD-23144-SH-BG01
ZFMD/SD-23144-SH-BG02
ZFMD/SD-23144-SH-BG03</t>
    <phoneticPr fontId="1" type="noConversion"/>
  </si>
  <si>
    <t>ZFMD/SHFW-2024016</t>
  </si>
  <si>
    <t>ZFMD/SHFW-2024017</t>
    <phoneticPr fontId="5" type="noConversion"/>
  </si>
  <si>
    <t>2024.6.15</t>
    <phoneticPr fontId="1" type="noConversion"/>
  </si>
  <si>
    <t>ZFMD/SD-24050-SH</t>
    <phoneticPr fontId="1" type="noConversion"/>
  </si>
  <si>
    <t>产品采购协议</t>
    <phoneticPr fontId="1" type="noConversion"/>
  </si>
  <si>
    <t>2024.5.7</t>
    <phoneticPr fontId="1" type="noConversion"/>
  </si>
  <si>
    <t>免费五年</t>
    <phoneticPr fontId="1" type="noConversion"/>
  </si>
  <si>
    <t>采购订单</t>
    <phoneticPr fontId="1" type="noConversion"/>
  </si>
  <si>
    <t>300MW</t>
    <phoneticPr fontId="1" type="noConversion"/>
  </si>
  <si>
    <t>2024.6.11</t>
    <phoneticPr fontId="1" type="noConversion"/>
  </si>
  <si>
    <t>ZFMD/SD-24051-SH</t>
    <phoneticPr fontId="1" type="noConversion"/>
  </si>
  <si>
    <t>ZFMD/SD-24052-SH</t>
  </si>
  <si>
    <t>ZFMD/SD-24053-SH</t>
  </si>
  <si>
    <t>国华（齐齐哈尔）风电有限公司富裕风电场2024-2026年度兆方美迪风电功率预测系统数据服务及维护服务合同</t>
    <phoneticPr fontId="1" type="noConversion"/>
  </si>
  <si>
    <t>2024.6.5</t>
    <phoneticPr fontId="1" type="noConversion"/>
  </si>
  <si>
    <t>2027.6.4</t>
    <phoneticPr fontId="1" type="noConversion"/>
  </si>
  <si>
    <t>ZFMD/KGSQ-22043</t>
  </si>
  <si>
    <t>轮台100MW光伏项目</t>
    <phoneticPr fontId="1" type="noConversion"/>
  </si>
  <si>
    <t>库车轮台火光储多能互补项目（巴州部分）轮台项目</t>
    <phoneticPr fontId="1" type="noConversion"/>
  </si>
  <si>
    <t>短期软件；超短期软件；系统硬件；光伏气象站；光伏气象站设备；预测服务3年</t>
    <phoneticPr fontId="1" type="noConversion"/>
  </si>
  <si>
    <t>2024.6.13</t>
    <phoneticPr fontId="1" type="noConversion"/>
  </si>
  <si>
    <t>2026.10.14</t>
    <phoneticPr fontId="1" type="noConversion"/>
  </si>
  <si>
    <t>ZFMD/SD-24054-SH</t>
  </si>
  <si>
    <t>2024.6.18</t>
    <phoneticPr fontId="1" type="noConversion"/>
  </si>
  <si>
    <t>南票</t>
    <phoneticPr fontId="1" type="noConversion"/>
  </si>
  <si>
    <t>辽宁省葫芦岛市南票区红螺蚬镇大唐风电场</t>
    <phoneticPr fontId="1" type="noConversion"/>
  </si>
  <si>
    <t>ZFMD/SD-24055-SH</t>
  </si>
  <si>
    <t>ZFMD/SD-24056-SH</t>
  </si>
  <si>
    <t>ZFMD/SD-24057-SH</t>
  </si>
  <si>
    <t>ZFMD/SD-24058-SH</t>
  </si>
  <si>
    <t>2024.6.20</t>
    <phoneticPr fontId="1" type="noConversion"/>
  </si>
  <si>
    <t>福能（漳州）风力发电有限责任公司隆教风电场风功率预测系统预测接口开发技术服务合同</t>
    <phoneticPr fontId="1" type="noConversion"/>
  </si>
  <si>
    <t>福能（仙游）风力发电有限责任公司草山风电场风功率预测系统预测接口开发技术服务合同</t>
    <phoneticPr fontId="1" type="noConversion"/>
  </si>
  <si>
    <t>福能（龙海）风力发电有限责任公司省山风电场风功率预测系统预测接口开发技术服务合同</t>
    <phoneticPr fontId="1" type="noConversion"/>
  </si>
  <si>
    <t>福能平海（莆田）风力发电有限公司石塘风电场风功率预测系统预测接口开发技术服务合同</t>
    <phoneticPr fontId="1" type="noConversion"/>
  </si>
  <si>
    <t>2024.6.19</t>
    <phoneticPr fontId="1" type="noConversion"/>
  </si>
  <si>
    <t>ZFMD/SD-24059-SH</t>
  </si>
  <si>
    <t>ZFMD/KGSQ-24022</t>
  </si>
  <si>
    <t>查干湖青山头</t>
    <phoneticPr fontId="1" type="noConversion"/>
  </si>
  <si>
    <t>前郭县成瑞风能有限公司</t>
    <phoneticPr fontId="1" type="noConversion"/>
  </si>
  <si>
    <t>东北区域公司查干湖风场功率预测系统改造项目服务合同</t>
    <phoneticPr fontId="1" type="noConversion"/>
  </si>
  <si>
    <t>吉电股份</t>
    <phoneticPr fontId="1" type="noConversion"/>
  </si>
  <si>
    <t>国电投吉林新能源</t>
    <phoneticPr fontId="1" type="noConversion"/>
  </si>
  <si>
    <t>2024.6.22</t>
    <phoneticPr fontId="1" type="noConversion"/>
  </si>
  <si>
    <t>呼图壁</t>
    <phoneticPr fontId="1" type="noConversion"/>
  </si>
  <si>
    <t>呼图壁县蜂巢100MW（400MWh)储能配套400MW光伏项目</t>
    <phoneticPr fontId="1" type="noConversion"/>
  </si>
  <si>
    <t>400MW</t>
    <phoneticPr fontId="1" type="noConversion"/>
  </si>
  <si>
    <t>2024.6.21</t>
    <phoneticPr fontId="1" type="noConversion"/>
  </si>
  <si>
    <t>ZFMD/SD-24060-SH</t>
    <phoneticPr fontId="1" type="noConversion"/>
  </si>
  <si>
    <t>2024.10.20</t>
    <phoneticPr fontId="1" type="noConversion"/>
  </si>
  <si>
    <t>免费一年
2023.10.21</t>
    <phoneticPr fontId="1" type="noConversion"/>
  </si>
  <si>
    <t>ZFMD/KGSQ-23018</t>
    <phoneticPr fontId="1" type="noConversion"/>
  </si>
  <si>
    <t>大唐吉林省公司</t>
    <phoneticPr fontId="1" type="noConversion"/>
  </si>
  <si>
    <t>大唐吉林省新能源</t>
    <phoneticPr fontId="1" type="noConversion"/>
  </si>
  <si>
    <t>ZFMD/SD-24061-1-SH</t>
    <phoneticPr fontId="1" type="noConversion"/>
  </si>
  <si>
    <t>ZFMD/SD-24061-2-SH</t>
  </si>
  <si>
    <t>ZFMD/SD-24062-SH</t>
    <phoneticPr fontId="1" type="noConversion"/>
  </si>
  <si>
    <t>国华（乾安）风电有限公司乾安腾字、余字风电场2024年-2026年风功率系统维护及消缺服务合同</t>
    <phoneticPr fontId="1" type="noConversion"/>
  </si>
  <si>
    <t>2024.6.26</t>
    <phoneticPr fontId="1" type="noConversion"/>
  </si>
  <si>
    <t>2027.6.20</t>
    <phoneticPr fontId="1" type="noConversion"/>
  </si>
  <si>
    <t>2024.11.29</t>
    <phoneticPr fontId="1" type="noConversion"/>
  </si>
  <si>
    <t>2027.11.28</t>
    <phoneticPr fontId="1" type="noConversion"/>
  </si>
  <si>
    <t>国华新能源（双辽）有限公司双辽大兴风电场2024年-2026年风功率系统维护及消缺服务合同</t>
    <phoneticPr fontId="1" type="noConversion"/>
  </si>
  <si>
    <t>双辽大兴</t>
    <phoneticPr fontId="1" type="noConversion"/>
  </si>
  <si>
    <t>国家能源集团</t>
    <phoneticPr fontId="1" type="noConversion"/>
  </si>
  <si>
    <t>国华投资公司</t>
    <phoneticPr fontId="1" type="noConversion"/>
  </si>
  <si>
    <t>国华投资吉林分公司</t>
    <phoneticPr fontId="1" type="noConversion"/>
  </si>
  <si>
    <t>国华投资黑龙江分公司</t>
    <phoneticPr fontId="1" type="noConversion"/>
  </si>
  <si>
    <t>黑龙江华电宁安风水山200MW风电场风功率预测系统采购合同</t>
    <phoneticPr fontId="1" type="noConversion"/>
  </si>
  <si>
    <t>宁安风水山</t>
    <phoneticPr fontId="1" type="noConversion"/>
  </si>
  <si>
    <t>2024.6.28</t>
    <phoneticPr fontId="1" type="noConversion"/>
  </si>
  <si>
    <t>ZFMD/SD-24063-SH</t>
    <phoneticPr fontId="1" type="noConversion"/>
  </si>
  <si>
    <t>华电黑龙江省公司</t>
    <phoneticPr fontId="1" type="noConversion"/>
  </si>
  <si>
    <t>华富风力发电投资有限公司</t>
    <phoneticPr fontId="1" type="noConversion"/>
  </si>
  <si>
    <t>ZFMD/SD-24064-SH</t>
  </si>
  <si>
    <t>长岭中电建新能源风力发电有限责任公司风功率预测系统预测服务及系统服务器更换采购合同</t>
    <phoneticPr fontId="22" type="noConversion"/>
  </si>
  <si>
    <t>系统硬件；软件升级（换linux系统）；预测服务1年</t>
    <phoneticPr fontId="22" type="noConversion"/>
  </si>
  <si>
    <t>2024.7.3</t>
    <phoneticPr fontId="1" type="noConversion"/>
  </si>
  <si>
    <t>2024.7.2</t>
    <phoneticPr fontId="1" type="noConversion"/>
  </si>
  <si>
    <t>2024.7.1</t>
    <phoneticPr fontId="1" type="noConversion"/>
  </si>
  <si>
    <t>2025.6.30</t>
    <phoneticPr fontId="1" type="noConversion"/>
  </si>
  <si>
    <t>ZFMD/SD-24065-SH</t>
  </si>
  <si>
    <t>ZFMD/SD-24066-SH</t>
  </si>
  <si>
    <t>2024.7.6</t>
    <phoneticPr fontId="1" type="noConversion"/>
  </si>
  <si>
    <t>2024.7.12开票占号</t>
    <phoneticPr fontId="1" type="noConversion"/>
  </si>
  <si>
    <t>ZFMD/SD-24068-1-SH</t>
    <phoneticPr fontId="1" type="noConversion"/>
  </si>
  <si>
    <t>ZFMD/SD-24068-2-SH</t>
  </si>
  <si>
    <t>ZFMD/SD-24068-3-SH</t>
  </si>
  <si>
    <t>大庆绿源风力发电有限公司风、光功率预测系统技术服务合同</t>
    <phoneticPr fontId="22" type="noConversion"/>
  </si>
  <si>
    <t>2024.7.12</t>
    <phoneticPr fontId="1" type="noConversion"/>
  </si>
  <si>
    <t>2024.7.8</t>
    <phoneticPr fontId="1" type="noConversion"/>
  </si>
  <si>
    <t>2025.7.7</t>
    <phoneticPr fontId="1" type="noConversion"/>
  </si>
  <si>
    <t>华能大庆新华热电厂</t>
    <phoneticPr fontId="1" type="noConversion"/>
  </si>
  <si>
    <t>ZFMD/SD-24059-SH-BG01</t>
    <phoneticPr fontId="1" type="noConversion"/>
  </si>
  <si>
    <t>ZFMD/SD-24067-SH</t>
    <phoneticPr fontId="1" type="noConversion"/>
  </si>
  <si>
    <t>ZFMD/SD-24069-SH</t>
    <phoneticPr fontId="1" type="noConversion"/>
  </si>
  <si>
    <t>胜利</t>
    <phoneticPr fontId="1" type="noConversion"/>
  </si>
  <si>
    <t>2024.7.19</t>
    <phoneticPr fontId="1" type="noConversion"/>
  </si>
  <si>
    <t>2024.5.20</t>
    <phoneticPr fontId="1" type="noConversion"/>
  </si>
  <si>
    <t>ZFMD/KGSQ-24023</t>
    <phoneticPr fontId="1" type="noConversion"/>
  </si>
  <si>
    <t>ZFMD/SD-24070-SH</t>
  </si>
  <si>
    <t>2024.7.26</t>
    <phoneticPr fontId="1" type="noConversion"/>
  </si>
  <si>
    <t>2024.7.24</t>
    <phoneticPr fontId="1" type="noConversion"/>
  </si>
  <si>
    <t>远景能源黑龙江大唐北兴项目风电功率测风塔及测风设备采购合同</t>
    <phoneticPr fontId="1" type="noConversion"/>
  </si>
  <si>
    <t>远景能源辽宁大唐南票项目风电功率测风塔及测风设备采购合同</t>
    <phoneticPr fontId="1" type="noConversion"/>
  </si>
  <si>
    <t>ZFMD/SD-23167-3-SH-BG01</t>
    <phoneticPr fontId="1" type="noConversion"/>
  </si>
  <si>
    <t>宁波鼎成嘉诚科技有限公司</t>
    <phoneticPr fontId="1" type="noConversion"/>
  </si>
  <si>
    <t>哈尔滨朗昇电气股份有限公司</t>
    <phoneticPr fontId="1" type="noConversion"/>
  </si>
  <si>
    <t>黑龙江桦川储能装备实证风电项目风功率预测系统合同</t>
    <phoneticPr fontId="1" type="noConversion"/>
  </si>
  <si>
    <t>国家能源投资集团有限责任公司</t>
    <phoneticPr fontId="1" type="noConversion"/>
  </si>
  <si>
    <t>国家能源投资集团有限责任公司黑龙江分公司</t>
    <phoneticPr fontId="1" type="noConversion"/>
  </si>
  <si>
    <t>国能黑龙江新能源有限公司</t>
    <phoneticPr fontId="1" type="noConversion"/>
  </si>
  <si>
    <t>国能投</t>
    <phoneticPr fontId="1" type="noConversion"/>
  </si>
  <si>
    <t>桦川储能装备实证风电项目</t>
    <phoneticPr fontId="1" type="noConversion"/>
  </si>
  <si>
    <t>2024.7.30</t>
    <phoneticPr fontId="1" type="noConversion"/>
  </si>
  <si>
    <t>2024.7.22</t>
    <phoneticPr fontId="1" type="noConversion"/>
  </si>
  <si>
    <t>ZFMD/SD-24072-1-SH</t>
    <phoneticPr fontId="1" type="noConversion"/>
  </si>
  <si>
    <t>ZFMD/SD-24072-2-SH</t>
  </si>
  <si>
    <t>ZFMD/SD-24072-3-SH</t>
  </si>
  <si>
    <t>ZFMD/SD-24072-4-SH</t>
  </si>
  <si>
    <t>ZFMD/SD-24072-5-SH</t>
  </si>
  <si>
    <t>国能日新科技股份有限公司</t>
    <phoneticPr fontId="1" type="noConversion"/>
  </si>
  <si>
    <t>2024年度各场站功率预测系统维护</t>
    <phoneticPr fontId="1" type="noConversion"/>
  </si>
  <si>
    <t>华能黑龙省公司</t>
    <phoneticPr fontId="1" type="noConversion"/>
  </si>
  <si>
    <t>华能黑龙江新能源公司</t>
    <phoneticPr fontId="1" type="noConversion"/>
  </si>
  <si>
    <t>长丰</t>
    <phoneticPr fontId="1" type="noConversion"/>
  </si>
  <si>
    <t>长荣</t>
    <phoneticPr fontId="1" type="noConversion"/>
  </si>
  <si>
    <t>2024.6.3</t>
    <phoneticPr fontId="1" type="noConversion"/>
  </si>
  <si>
    <t>2025.6.2</t>
    <phoneticPr fontId="1" type="noConversion"/>
  </si>
  <si>
    <t>2024.3.6</t>
    <phoneticPr fontId="1" type="noConversion"/>
  </si>
  <si>
    <t>2025.3.5</t>
    <phoneticPr fontId="1" type="noConversion"/>
  </si>
  <si>
    <t>ZFMD/KGSQ-22046</t>
  </si>
  <si>
    <t>ZFMD/KGSQ-23001</t>
    <phoneticPr fontId="1" type="noConversion"/>
  </si>
  <si>
    <t>系统硬件维护；测风塔维护；预测服务1年</t>
    <phoneticPr fontId="1" type="noConversion"/>
  </si>
  <si>
    <t>ZFMD/SD-24074-SH</t>
  </si>
  <si>
    <t>中国石油集团</t>
    <phoneticPr fontId="1" type="noConversion"/>
  </si>
  <si>
    <t>中国石油大庆油田</t>
    <phoneticPr fontId="1" type="noConversion"/>
  </si>
  <si>
    <t>大庆油田采油二厂</t>
    <phoneticPr fontId="1" type="noConversion"/>
  </si>
  <si>
    <t>大庆采油二厂</t>
    <phoneticPr fontId="1" type="noConversion"/>
  </si>
  <si>
    <t>中石油大庆油田采油二厂6万项目</t>
    <phoneticPr fontId="1" type="noConversion"/>
  </si>
  <si>
    <t>ZFMD/SD-24075-SH</t>
  </si>
  <si>
    <t>ZFMD/SD-24076-1-SH</t>
    <phoneticPr fontId="1" type="noConversion"/>
  </si>
  <si>
    <t>ZFMD/SD-24076-2-SH</t>
  </si>
  <si>
    <t>木垒光伏片区功率预测系统功能升级维护外委项目合同</t>
    <phoneticPr fontId="1" type="noConversion"/>
  </si>
  <si>
    <t>华电新疆省公司</t>
    <phoneticPr fontId="1" type="noConversion"/>
  </si>
  <si>
    <t>华电新疆新能源公司</t>
    <phoneticPr fontId="1" type="noConversion"/>
  </si>
  <si>
    <t>木垒</t>
    <phoneticPr fontId="1" type="noConversion"/>
  </si>
  <si>
    <t>木垒风电片区功率预测系统功能升级维护外委项目合同</t>
    <phoneticPr fontId="1" type="noConversion"/>
  </si>
  <si>
    <t>木垒110KV</t>
  </si>
  <si>
    <t>木垒光伏园区250MW光伏发电项目/光伏一电站</t>
    <phoneticPr fontId="1" type="noConversion"/>
  </si>
  <si>
    <t>四十个井子风电二场/木垒四十个井子35kV升压站500MW风电项目</t>
    <phoneticPr fontId="1" type="noConversion"/>
  </si>
  <si>
    <t>四十个井子风电三场/木垒四十个井子110kV升压站300MW风电项目</t>
    <phoneticPr fontId="1" type="noConversion"/>
  </si>
  <si>
    <t>系统硬件；软件升级（自动巡检）；中长期电量预测</t>
    <phoneticPr fontId="1" type="noConversion"/>
  </si>
  <si>
    <t>ZFMD/SD-24077-SH</t>
    <phoneticPr fontId="1" type="noConversion"/>
  </si>
  <si>
    <t>2024.8.5</t>
    <phoneticPr fontId="1" type="noConversion"/>
  </si>
  <si>
    <t>ZFMD/SD-24078-SH</t>
  </si>
  <si>
    <t>2024.8.6</t>
    <phoneticPr fontId="1" type="noConversion"/>
  </si>
  <si>
    <t>2024.5</t>
    <phoneticPr fontId="1" type="noConversion"/>
  </si>
  <si>
    <t>ZFMD/SD-24079-SH</t>
  </si>
  <si>
    <t>黑龙江省火传光信科技有限公司</t>
    <phoneticPr fontId="1" type="noConversion"/>
  </si>
  <si>
    <t>华能安达300MW风电项目风功率预测系统采购合同</t>
    <phoneticPr fontId="1" type="noConversion"/>
  </si>
  <si>
    <t>ZFMD/SD-24064-SH-BG01</t>
    <phoneticPr fontId="1" type="noConversion"/>
  </si>
  <si>
    <t>ZFMD/SD-24024-SH-BG01</t>
    <phoneticPr fontId="1" type="noConversion"/>
  </si>
  <si>
    <t>ZFMD/SD-24080-SH</t>
  </si>
  <si>
    <t>2024.8.17</t>
    <phoneticPr fontId="1" type="noConversion"/>
  </si>
  <si>
    <t>2024.8.16</t>
    <phoneticPr fontId="1" type="noConversion"/>
  </si>
  <si>
    <t>大唐辽宁铁岭宋家街15万项目</t>
    <phoneticPr fontId="1" type="noConversion"/>
  </si>
  <si>
    <t>ZFMD/SD-24081-SH</t>
  </si>
  <si>
    <t>大唐辽宁铁岭昌图金山二期15万项目</t>
    <phoneticPr fontId="1" type="noConversion"/>
  </si>
  <si>
    <t>2024.8.21</t>
    <phoneticPr fontId="1" type="noConversion"/>
  </si>
  <si>
    <t>ZFMD/SD-24082-SH</t>
  </si>
  <si>
    <t>ZFMD/SHFW-2024022
ZFMD/SHFW-2024020
ZFMD/SHFW-2024024</t>
    <phoneticPr fontId="1" type="noConversion"/>
  </si>
  <si>
    <t>2024.8.22</t>
    <phoneticPr fontId="1" type="noConversion"/>
  </si>
  <si>
    <t>2024.8.22开票占号</t>
    <phoneticPr fontId="1" type="noConversion"/>
  </si>
  <si>
    <t>短期软件；超短期软件</t>
    <phoneticPr fontId="1" type="noConversion"/>
  </si>
  <si>
    <t>短期软件；超短期软件；系统硬件；预测服务5年</t>
    <phoneticPr fontId="1" type="noConversion"/>
  </si>
  <si>
    <t>ZFMD/SD-24083-1-SH</t>
    <phoneticPr fontId="1" type="noConversion"/>
  </si>
  <si>
    <t>ZFMD/SD-24083-2-SH</t>
  </si>
  <si>
    <t>ZFMD/KGSQ-24034</t>
  </si>
  <si>
    <t>ZFMD/KGSQ-24035</t>
  </si>
  <si>
    <t>北京东润环能科技股份有限公司</t>
    <phoneticPr fontId="1" type="noConversion"/>
  </si>
  <si>
    <t>2024.8.27</t>
    <phoneticPr fontId="1" type="noConversion"/>
  </si>
  <si>
    <t>ZFMD/SD-24084-SH</t>
    <phoneticPr fontId="1" type="noConversion"/>
  </si>
  <si>
    <t>ZFMD/SD-24085-SH</t>
  </si>
  <si>
    <t>ZFMD/SD-24086-SH</t>
  </si>
  <si>
    <t>ZFMD/SD-24087-SH</t>
  </si>
  <si>
    <t>ZFMD/SD-24088-SH</t>
  </si>
  <si>
    <t>ZFMD/SD-24089-SH</t>
  </si>
  <si>
    <t>ZFMD/SD-24090-SH</t>
  </si>
  <si>
    <t>ZFMD/SD-24091-SH</t>
  </si>
  <si>
    <t>ZFMD/SD-24092-SH</t>
  </si>
  <si>
    <t>ZFMD/KGSQ-24025</t>
  </si>
  <si>
    <t>中国广核新能源现货数据管控一体化平台功率预测数据接入服务采购协议</t>
    <phoneticPr fontId="1" type="noConversion"/>
  </si>
  <si>
    <t>技术服务（电力交易系统转发）</t>
  </si>
  <si>
    <t>2024.8.28</t>
    <phoneticPr fontId="1" type="noConversion"/>
  </si>
  <si>
    <t>四平中广核风力发电有限公司梨树分公司</t>
    <phoneticPr fontId="1" type="noConversion"/>
  </si>
  <si>
    <t>龙山</t>
    <phoneticPr fontId="1" type="noConversion"/>
  </si>
  <si>
    <t>广投新能源白城有限公司风电分公司</t>
    <phoneticPr fontId="1" type="noConversion"/>
  </si>
  <si>
    <t>中广核长虹光伏电站</t>
    <phoneticPr fontId="1" type="noConversion"/>
  </si>
  <si>
    <t>广投新能源白城有限公司</t>
    <phoneticPr fontId="1" type="noConversion"/>
  </si>
  <si>
    <t>齐齐哈尔汇能新能源有限公司</t>
    <phoneticPr fontId="1" type="noConversion"/>
  </si>
  <si>
    <t>泰和风电场风功率预测服务合同书</t>
    <phoneticPr fontId="1" type="noConversion"/>
  </si>
  <si>
    <t>泰和</t>
    <phoneticPr fontId="1" type="noConversion"/>
  </si>
  <si>
    <t>2024.8</t>
    <phoneticPr fontId="1" type="noConversion"/>
  </si>
  <si>
    <t>2024.9.1</t>
    <phoneticPr fontId="1" type="noConversion"/>
  </si>
  <si>
    <t>2026.8.31</t>
    <phoneticPr fontId="1" type="noConversion"/>
  </si>
  <si>
    <t>水发集团</t>
    <phoneticPr fontId="1" type="noConversion"/>
  </si>
  <si>
    <t>山东水发</t>
    <phoneticPr fontId="1" type="noConversion"/>
  </si>
  <si>
    <t>中广核集团</t>
    <phoneticPr fontId="1" type="noConversion"/>
  </si>
  <si>
    <t>中广核吉林省公司</t>
    <phoneticPr fontId="1" type="noConversion"/>
  </si>
  <si>
    <t>大安中广核风力发电有限公司</t>
  </si>
  <si>
    <t>通榆中广核风力发电有限公司</t>
  </si>
  <si>
    <t>吉林中广核风力发电有限公司大安两家子分公司</t>
  </si>
  <si>
    <t>四平中广核风力发电有限公司梨树分公司</t>
  </si>
  <si>
    <t>广投新能源白城有限公司风电分公司</t>
  </si>
  <si>
    <t>广投新能源白城有限公司</t>
  </si>
  <si>
    <t>四平中广核风力发电有限公司</t>
  </si>
  <si>
    <t>ZFMD/SD-24093-SH</t>
  </si>
  <si>
    <t>ZFMD/SD-24094-SH</t>
  </si>
  <si>
    <t>ZFMD/SD-24096-SH</t>
  </si>
  <si>
    <t>ZFMD/SD-24097-SH</t>
  </si>
  <si>
    <t>华电大连湖风电一场2024-2027年功率预测系统维护服务外委项目合同</t>
    <phoneticPr fontId="1" type="noConversion"/>
  </si>
  <si>
    <t>2024.9.4</t>
    <phoneticPr fontId="1" type="noConversion"/>
  </si>
  <si>
    <t>2024.9.8</t>
    <phoneticPr fontId="1" type="noConversion"/>
  </si>
  <si>
    <t>2027.9.7</t>
    <phoneticPr fontId="1" type="noConversion"/>
  </si>
  <si>
    <t>华电福新老君庙风电一场2024-2027年功率预测系统维护服务外委项目合同</t>
    <phoneticPr fontId="1" type="noConversion"/>
  </si>
  <si>
    <t>ZFMD/SD-24095-1-SH</t>
    <phoneticPr fontId="1" type="noConversion"/>
  </si>
  <si>
    <t>ZFMD/SD-24095-2-SH</t>
  </si>
  <si>
    <t>ZFMD/SD-24095-3-SH</t>
  </si>
  <si>
    <t>华电小草湖风电一二三期2024-2027年功率预测系统维护服务外委项目合同</t>
    <phoneticPr fontId="22" type="noConversion"/>
  </si>
  <si>
    <t>华电草湖风电二场2024-2027年功率预测系统维护服务外委项目合同</t>
    <phoneticPr fontId="22" type="noConversion"/>
  </si>
  <si>
    <t>龙下风电场风功率预测系统服务项目合同</t>
    <phoneticPr fontId="1" type="noConversion"/>
  </si>
  <si>
    <t>2024.8.29</t>
    <phoneticPr fontId="1" type="noConversion"/>
  </si>
  <si>
    <t>2024.7.21</t>
    <phoneticPr fontId="1" type="noConversion"/>
  </si>
  <si>
    <t>2027.7.20</t>
    <phoneticPr fontId="1" type="noConversion"/>
  </si>
  <si>
    <t>2024.9.6</t>
    <phoneticPr fontId="1" type="noConversion"/>
  </si>
  <si>
    <t>ZFMD/SD-24098-SH</t>
  </si>
  <si>
    <t>ZFMD/SD-24099-SH</t>
  </si>
  <si>
    <t>ZFMD/SD-24100-SH</t>
  </si>
  <si>
    <t>华电木垒光伏一电站2024-2027功率预测系统维护服务外委项目合同</t>
    <phoneticPr fontId="1" type="noConversion"/>
  </si>
  <si>
    <t>2024.9.2</t>
    <phoneticPr fontId="1" type="noConversion"/>
  </si>
  <si>
    <t>2024.12.17</t>
    <phoneticPr fontId="1" type="noConversion"/>
  </si>
  <si>
    <t>2027.12.16</t>
    <phoneticPr fontId="1" type="noConversion"/>
  </si>
  <si>
    <t>ZFMD/SD-24101-SH</t>
  </si>
  <si>
    <t>华电木垒四十个井子风电二场2024-2027年风功率预测系统维护服务外委项目合同</t>
    <phoneticPr fontId="1" type="noConversion"/>
  </si>
  <si>
    <t>2025.4.20</t>
    <phoneticPr fontId="1" type="noConversion"/>
  </si>
  <si>
    <t>华电木垒四十个井子风电三场2024-2027年风功率预测系统维护服务外委项目合同</t>
    <phoneticPr fontId="1" type="noConversion"/>
  </si>
  <si>
    <t>2025.7.13</t>
    <phoneticPr fontId="1" type="noConversion"/>
  </si>
  <si>
    <t>2028.7.12</t>
    <phoneticPr fontId="1" type="noConversion"/>
  </si>
  <si>
    <t>溧阳市飞跃风能发电机服务有限公司</t>
    <phoneticPr fontId="1" type="noConversion"/>
  </si>
  <si>
    <t>河北曹碾沟风电场风电预测系统远程配合数据接入调试专项技术服务合同</t>
    <phoneticPr fontId="1" type="noConversion"/>
  </si>
  <si>
    <t>2024.9.10</t>
    <phoneticPr fontId="1" type="noConversion"/>
  </si>
  <si>
    <t>ZFMD/SD-24102-SH</t>
  </si>
  <si>
    <t>ZFMD/SD-24103-SH</t>
  </si>
  <si>
    <t>ZFMD/SD-24104-SH</t>
  </si>
  <si>
    <t>ZFMD/SD-24105-SH</t>
  </si>
  <si>
    <t>ZFMD/SD-24106-SH</t>
  </si>
  <si>
    <t>ZFMD/SD-24107-SH</t>
  </si>
  <si>
    <t>ZFMD/SD-24108-SH</t>
  </si>
  <si>
    <t>ZFMD/SD-24109-SH</t>
  </si>
  <si>
    <t>ZFMD/SD-24110-SH</t>
  </si>
  <si>
    <t>ZFMD/SD-24111-SH</t>
  </si>
  <si>
    <t>ZFMD/SD-24112-SH</t>
  </si>
  <si>
    <t>ZFMD/SD-24113-SH</t>
  </si>
  <si>
    <t>华电新能（伊吾）东方民生新能源有限公司</t>
    <phoneticPr fontId="5" type="noConversion"/>
  </si>
  <si>
    <t>2024.9.13</t>
    <phoneticPr fontId="1" type="noConversion"/>
  </si>
  <si>
    <t>2024.7.11</t>
    <phoneticPr fontId="1" type="noConversion"/>
  </si>
  <si>
    <t>2027.7.10</t>
    <phoneticPr fontId="1" type="noConversion"/>
  </si>
  <si>
    <t>新疆华电巴里坤东方民生风电场2024-2027年三年期功率预测系统维护服务合同</t>
    <phoneticPr fontId="22" type="noConversion"/>
  </si>
  <si>
    <t>新疆华电伊吾东方民生风电场2024-2027年三年期功率预测系统维护服务合同</t>
    <phoneticPr fontId="22" type="noConversion"/>
  </si>
  <si>
    <t>新疆华电东方民生石城子光伏电站2024-2027年三年期功率预测系统维护服务合同</t>
    <phoneticPr fontId="22" type="noConversion"/>
  </si>
  <si>
    <t>新疆华电苦水风电场2024-2027年三年期功率预测系统维护服务合同</t>
    <phoneticPr fontId="22" type="noConversion"/>
  </si>
  <si>
    <t>新疆华电淖毛湖风电场2024-2027年三年期功率预测系统维护服务合同</t>
    <phoneticPr fontId="22" type="noConversion"/>
  </si>
  <si>
    <t>新疆华电石城子一二期光伏电站2024-2027年三年期功率预测系统维护服务合同</t>
    <phoneticPr fontId="22" type="noConversion"/>
  </si>
  <si>
    <t>新疆华电力诺光伏电站2024-2027年三年期功率预测系统维护服务合同</t>
    <phoneticPr fontId="22" type="noConversion"/>
  </si>
  <si>
    <t>新疆华电十三间房一二期风电场2024-2027年三年期功率预测系统维护服务合同</t>
    <phoneticPr fontId="22" type="noConversion"/>
  </si>
  <si>
    <t>新疆华电十三间房三期风电场2024-2027年三年期功率预测系统维护服务合同</t>
    <phoneticPr fontId="22" type="noConversion"/>
  </si>
  <si>
    <t>新疆华电十三间房四期风电场2024-2027年三年期功率预测系统维护服务合同</t>
    <phoneticPr fontId="22" type="noConversion"/>
  </si>
  <si>
    <t>新疆华电石城子三期光伏电站2024-2027年三年期功率预测系统维护服务合同</t>
    <phoneticPr fontId="22" type="noConversion"/>
  </si>
  <si>
    <t>华电哈密新能源有限公司</t>
    <phoneticPr fontId="1" type="noConversion"/>
  </si>
  <si>
    <t>新疆华电雅满苏光伏一电站2024-2027年三年期功率预测系统维护服务合同</t>
    <phoneticPr fontId="1" type="noConversion"/>
  </si>
  <si>
    <t>ZFMD/SD-24114-SH</t>
  </si>
  <si>
    <t>三峡能源河北省尚义风电场风功率预测服务合同</t>
    <phoneticPr fontId="1" type="noConversion"/>
  </si>
  <si>
    <t>三峡集团</t>
    <phoneticPr fontId="1" type="noConversion"/>
  </si>
  <si>
    <t>三峡新能源河北省公司</t>
    <phoneticPr fontId="1" type="noConversion"/>
  </si>
  <si>
    <t>2024.9.19</t>
    <phoneticPr fontId="1" type="noConversion"/>
  </si>
  <si>
    <t>2024.9.15</t>
    <phoneticPr fontId="1" type="noConversion"/>
  </si>
  <si>
    <t>2025.9.14</t>
    <phoneticPr fontId="1" type="noConversion"/>
  </si>
  <si>
    <t>2028.4.19</t>
    <phoneticPr fontId="5" type="noConversion"/>
  </si>
  <si>
    <t>ZFMD/SD-24029-3-SH-BG01
ZFMD/SD-24029-3-SH-BG02</t>
    <phoneticPr fontId="1" type="noConversion"/>
  </si>
  <si>
    <t>长春华信电力成套设备有限公司</t>
    <phoneticPr fontId="22" type="noConversion"/>
  </si>
  <si>
    <t>ZFMD/KGSQ-24024</t>
  </si>
  <si>
    <t>凯升木垒800MW风力发电项目（200MW风电部分）</t>
    <phoneticPr fontId="1" type="noConversion"/>
  </si>
  <si>
    <t>2024.9.25</t>
    <phoneticPr fontId="1" type="noConversion"/>
  </si>
  <si>
    <t>桦树岭风电场二期功率预测系统极端气象预警功能调试服务合同</t>
    <phoneticPr fontId="1" type="noConversion"/>
  </si>
  <si>
    <t>桦树岭风电场二期</t>
    <phoneticPr fontId="1" type="noConversion"/>
  </si>
  <si>
    <t>2024.9</t>
    <phoneticPr fontId="1" type="noConversion"/>
  </si>
  <si>
    <t>华电那木斯风电场风功率预测系统服务合同（2024-2026年）</t>
    <phoneticPr fontId="1" type="noConversion"/>
  </si>
  <si>
    <t>华电风水山风电场风功率预测系统服务合同（2024-2026年）</t>
    <phoneticPr fontId="1" type="noConversion"/>
  </si>
  <si>
    <t>2024.9.24</t>
    <phoneticPr fontId="1" type="noConversion"/>
  </si>
  <si>
    <t>软件升级（极端天气）；预测服务1年</t>
    <phoneticPr fontId="1" type="noConversion"/>
  </si>
  <si>
    <t>曹碾沟风电场功率预测系统极端气象预警功能调试服务合同</t>
    <phoneticPr fontId="22" type="noConversion"/>
  </si>
  <si>
    <t>2024.10.10</t>
    <phoneticPr fontId="1" type="noConversion"/>
  </si>
  <si>
    <t>2024.10</t>
    <phoneticPr fontId="1" type="noConversion"/>
  </si>
  <si>
    <t>ZFMD/SD-24116-SH</t>
    <phoneticPr fontId="1" type="noConversion"/>
  </si>
  <si>
    <t>ZFMD/SD-24117-SH</t>
    <phoneticPr fontId="1" type="noConversion"/>
  </si>
  <si>
    <t>ZFMD/SD-24118-SH</t>
    <phoneticPr fontId="1" type="noConversion"/>
  </si>
  <si>
    <t>ZFMD/SD-24119-SH</t>
    <phoneticPr fontId="1" type="noConversion"/>
  </si>
  <si>
    <t>ZFMD/SD-24120-SH</t>
    <phoneticPr fontId="1" type="noConversion"/>
  </si>
  <si>
    <t>ZFMD/SD-24115-1-SH</t>
    <phoneticPr fontId="1" type="noConversion"/>
  </si>
  <si>
    <t>ZFMD/SD-24115-2-SH</t>
  </si>
  <si>
    <t>ZFMD/SD-24115-3-SH</t>
  </si>
  <si>
    <t>ZFMD/SD-24115-4-SH</t>
  </si>
  <si>
    <t>ZFMD/SD-24115-6-SH</t>
  </si>
  <si>
    <t>ZFMD/SD-24115-7-SH</t>
  </si>
  <si>
    <t>ZFMD/SD-24115-8-SH</t>
  </si>
  <si>
    <t>ZFMD/SD-24115-9-SH</t>
  </si>
  <si>
    <t>ZFMD/SD-24115-10-SH</t>
  </si>
  <si>
    <t>ZFMD/SD-24115-11-SH</t>
  </si>
  <si>
    <t>ZFMD/SD-24115-12-SH</t>
  </si>
  <si>
    <t>ZFMD/SD-24115-13-SH</t>
  </si>
  <si>
    <t>ZFMD/SD-24115-14-SH</t>
  </si>
  <si>
    <t>ZFMD/SD-24115-15-SH</t>
  </si>
  <si>
    <t>ZFMD/KGSQ-24006</t>
  </si>
  <si>
    <t>ZFMD/KGSQ-24007</t>
  </si>
  <si>
    <t>ZFMD/KGSQ-24008</t>
  </si>
  <si>
    <t>ZFMD/KGSQ-24009</t>
  </si>
  <si>
    <t>ZFMD/KGSQ-24011</t>
  </si>
  <si>
    <t>ZFMD/KGSQ-24012</t>
  </si>
  <si>
    <t>ZFMD/KGSQ-24013</t>
  </si>
  <si>
    <t>ZFMD/KGSQ-24015</t>
  </si>
  <si>
    <t>ZFMD/KGSQ-24016</t>
  </si>
  <si>
    <t>ZFMD/KGSQ-24017</t>
  </si>
  <si>
    <t>ZFMD/KGSQ-24018</t>
  </si>
  <si>
    <t>ZFMD/KGSQ-24019</t>
  </si>
  <si>
    <t>ZFMD/KGSQ-24020</t>
  </si>
  <si>
    <t>安邦河</t>
    <phoneticPr fontId="1" type="noConversion"/>
  </si>
  <si>
    <t>丹江</t>
    <phoneticPr fontId="1" type="noConversion"/>
  </si>
  <si>
    <t>哈拉海</t>
    <phoneticPr fontId="1" type="noConversion"/>
  </si>
  <si>
    <t>兴凯湖</t>
    <phoneticPr fontId="1" type="noConversion"/>
  </si>
  <si>
    <t>大庆银浪（大庆银浪+大庆宏伟）</t>
    <phoneticPr fontId="1" type="noConversion"/>
  </si>
  <si>
    <t>双津河</t>
    <phoneticPr fontId="1" type="noConversion"/>
  </si>
  <si>
    <t>通肯河</t>
    <phoneticPr fontId="1" type="noConversion"/>
  </si>
  <si>
    <t>五莲湖</t>
    <phoneticPr fontId="1" type="noConversion"/>
  </si>
  <si>
    <t>鹤鸣湖</t>
    <phoneticPr fontId="1" type="noConversion"/>
  </si>
  <si>
    <t>富荣</t>
    <phoneticPr fontId="1" type="noConversion"/>
  </si>
  <si>
    <t>金海</t>
    <phoneticPr fontId="1" type="noConversion"/>
  </si>
  <si>
    <t>齐齐哈尔祥鹤</t>
    <phoneticPr fontId="1" type="noConversion"/>
  </si>
  <si>
    <t>大庆红骥</t>
    <phoneticPr fontId="1" type="noConversion"/>
  </si>
  <si>
    <t>安达农义</t>
    <phoneticPr fontId="1" type="noConversion"/>
  </si>
  <si>
    <t>通宝</t>
    <phoneticPr fontId="1" type="noConversion"/>
  </si>
  <si>
    <t>大庆红骥风力发电有限公司</t>
    <phoneticPr fontId="1" type="noConversion"/>
  </si>
  <si>
    <t>大庆银浪风力发电有限公司</t>
    <phoneticPr fontId="1" type="noConversion"/>
  </si>
  <si>
    <t>安达中广核新能源有限公司</t>
    <phoneticPr fontId="1" type="noConversion"/>
  </si>
  <si>
    <t>ZFMD/SHFW-2024029</t>
    <phoneticPr fontId="1" type="noConversion"/>
  </si>
  <si>
    <t>ZFMD/SHFW-2024028</t>
    <phoneticPr fontId="5" type="noConversion"/>
  </si>
  <si>
    <t>ZFMD/SHFW-2024027</t>
    <phoneticPr fontId="5" type="noConversion"/>
  </si>
  <si>
    <t>ZFMD/SHFW-2024026</t>
    <phoneticPr fontId="5" type="noConversion"/>
  </si>
  <si>
    <t>ZFMD/SHFW-2024023</t>
  </si>
  <si>
    <t>ZFMD/SHFW-2024021</t>
    <phoneticPr fontId="5" type="noConversion"/>
  </si>
  <si>
    <t>ZFMD/SHFW-2024008</t>
    <phoneticPr fontId="5" type="noConversion"/>
  </si>
  <si>
    <t>亚洲风力发电（牡丹江）有限公司</t>
    <phoneticPr fontId="1" type="noConversion"/>
  </si>
  <si>
    <t>2024.10.12</t>
    <phoneticPr fontId="1" type="noConversion"/>
  </si>
  <si>
    <t>ZFMD/SD-24121-SH</t>
    <phoneticPr fontId="1" type="noConversion"/>
  </si>
  <si>
    <t>商品购销合同书</t>
    <phoneticPr fontId="1" type="noConversion"/>
  </si>
  <si>
    <t>宁安老爷岭风力发电有限公司</t>
    <phoneticPr fontId="1" type="noConversion"/>
  </si>
  <si>
    <t>巴彦双鸭山风力发电有限公司</t>
    <phoneticPr fontId="1" type="noConversion"/>
  </si>
  <si>
    <t>中广核新能源明水有限公司</t>
    <phoneticPr fontId="1" type="noConversion"/>
  </si>
  <si>
    <t>黑龙江祥鹤新能源有限公司</t>
    <phoneticPr fontId="1" type="noConversion"/>
  </si>
  <si>
    <t>肇东中广核新能源科技开发有限公司</t>
    <phoneticPr fontId="1" type="noConversion"/>
  </si>
  <si>
    <t>双鸭山/老平岗+杨木岗+锅盔山</t>
    <phoneticPr fontId="1" type="noConversion"/>
  </si>
  <si>
    <t>龙腾/中航龙腾/龙江/红旗+杏山</t>
    <phoneticPr fontId="1" type="noConversion"/>
  </si>
  <si>
    <t>柳毛+蜂蜜山（一、二期）
临河+潘家店（三、四期）
密山兴凯湖</t>
    <phoneticPr fontId="1" type="noConversion"/>
  </si>
  <si>
    <t>大庆银浪一期/大庆银浪+大庆银浪二期/大庆宏伟</t>
    <phoneticPr fontId="1" type="noConversion"/>
  </si>
  <si>
    <t>ZFMD/SD-24122-SH</t>
  </si>
  <si>
    <t>ZFMD/SD-24123-SH</t>
  </si>
  <si>
    <t>ZFMD/SD-24124-SH</t>
  </si>
  <si>
    <t>ZFMD/SD-24125-SH</t>
  </si>
  <si>
    <t>ZFMD/SD-24126-SH</t>
  </si>
  <si>
    <t>ZFMD/SD-24127-SH</t>
  </si>
  <si>
    <t>ZFMD/SD-24079-SH-BG01</t>
    <phoneticPr fontId="1" type="noConversion"/>
  </si>
  <si>
    <t>2024.10.17</t>
    <phoneticPr fontId="1" type="noConversion"/>
  </si>
  <si>
    <t>开票占号</t>
    <phoneticPr fontId="1" type="noConversion"/>
  </si>
  <si>
    <t>ZFMD/KGSQ-24039</t>
  </si>
  <si>
    <t>ZFMD/SD-24128-SH</t>
  </si>
  <si>
    <t>ZFMD/SD-24129-SH</t>
  </si>
  <si>
    <t>2024.10.19</t>
    <phoneticPr fontId="1" type="noConversion"/>
  </si>
  <si>
    <t>深圳市嘉铭新科技有限公司</t>
    <phoneticPr fontId="1" type="noConversion"/>
  </si>
  <si>
    <t>中广核新能源风电孙吴200MW项目风功率预测系统采购合同</t>
    <phoneticPr fontId="1" type="noConversion"/>
  </si>
  <si>
    <t>孙吴200MW项目</t>
    <phoneticPr fontId="1" type="noConversion"/>
  </si>
  <si>
    <t>龙江公司北兴项目远传设备采购合同</t>
    <phoneticPr fontId="1" type="noConversion"/>
  </si>
  <si>
    <t>系统硬件；技术服务</t>
    <phoneticPr fontId="1" type="noConversion"/>
  </si>
  <si>
    <t>哈尔滨公司依兰达连河项目远传设备采购合同</t>
    <phoneticPr fontId="1" type="noConversion"/>
  </si>
  <si>
    <t>中广核新能源吉林区域电场风功率预测系统维护服务采购三标段：山门风电场风功率预测系统维护服务采购合同</t>
    <phoneticPr fontId="22" type="noConversion"/>
  </si>
  <si>
    <t>2024.10.8</t>
    <phoneticPr fontId="1" type="noConversion"/>
  </si>
  <si>
    <t>2025.8.20</t>
    <phoneticPr fontId="1" type="noConversion"/>
  </si>
  <si>
    <t>中广核新能源吉林区域电场风功率预测系统维护服务采购一标段：大岗子风电场风功率预测系统维护服务采购合同</t>
    <phoneticPr fontId="22" type="noConversion"/>
  </si>
  <si>
    <t>中广核新能源吉林区域电场风功率预测系统维护服务采购二标段：来福风电场风功率预测系统维护服务采购合同</t>
    <phoneticPr fontId="22" type="noConversion"/>
  </si>
  <si>
    <t>中广核新能源吉林区域电场风功率预测系统维护服务采购四标段：幸福风电场风功率预测系统维护服务采购合同</t>
    <phoneticPr fontId="22" type="noConversion"/>
  </si>
  <si>
    <t>2024.11.12</t>
    <phoneticPr fontId="1" type="noConversion"/>
  </si>
  <si>
    <t>2025.11.11</t>
    <phoneticPr fontId="1" type="noConversion"/>
  </si>
  <si>
    <t>2024.10.25</t>
    <phoneticPr fontId="1" type="noConversion"/>
  </si>
  <si>
    <t>ZFMD/SD-24130-SH</t>
  </si>
  <si>
    <t>ZFMD/SD-24131-1-SH</t>
    <phoneticPr fontId="1" type="noConversion"/>
  </si>
  <si>
    <t>ZFMD/SD-24131-2-SH</t>
  </si>
  <si>
    <t>ZFMD/SD-24131-3-SH</t>
  </si>
  <si>
    <t>2024.10.23</t>
    <phoneticPr fontId="1" type="noConversion"/>
  </si>
  <si>
    <t>达坂城A区</t>
    <phoneticPr fontId="1" type="noConversion"/>
  </si>
  <si>
    <t>达坂城B区</t>
    <phoneticPr fontId="1" type="noConversion"/>
  </si>
  <si>
    <t>达坂城C区</t>
    <phoneticPr fontId="1" type="noConversion"/>
  </si>
  <si>
    <t>短期软件；超短期软件；系统硬件；预测服务5年；软件升级（自动巡检）</t>
    <phoneticPr fontId="1" type="noConversion"/>
  </si>
  <si>
    <t>ZFMD/SD-24132-SH</t>
    <phoneticPr fontId="1" type="noConversion"/>
  </si>
  <si>
    <t>昌吉吉尔班通古特沙漠基地新能源开发有限公司木垒华电分公司</t>
    <phoneticPr fontId="1" type="noConversion"/>
  </si>
  <si>
    <t>古尔班通古特沙漠基地项目（新疆华电昌吉135万千瓦新能源项目）测风塔服务</t>
    <phoneticPr fontId="1" type="noConversion"/>
  </si>
  <si>
    <t>古尔班通古特沙漠基地项目（新疆华电昌吉135万千瓦新能源项目）</t>
    <phoneticPr fontId="1" type="noConversion"/>
  </si>
  <si>
    <t>2024.10.30</t>
    <phoneticPr fontId="1" type="noConversion"/>
  </si>
  <si>
    <t>ZFMD/SD-24133-1-SH</t>
    <phoneticPr fontId="1" type="noConversion"/>
  </si>
  <si>
    <t>ZFMD/SD-24133-2-SH</t>
  </si>
  <si>
    <t>ZFMD/KGSQ-24037</t>
  </si>
  <si>
    <t>ZFMD/KGSQ-24038</t>
  </si>
  <si>
    <t>一汽弗迪</t>
  </si>
  <si>
    <t>白山市重点边防乡村振兴</t>
    <phoneticPr fontId="1" type="noConversion"/>
  </si>
  <si>
    <t>中广核新能源吉林乾安一汽弗迪自带负荷配置10万千瓦光伏发电项目及中广核白山市重点边境村新能源乡村振兴光伏发电项目设备买卖合同</t>
    <phoneticPr fontId="1" type="noConversion"/>
  </si>
  <si>
    <t>2024.10.31</t>
    <phoneticPr fontId="1" type="noConversion"/>
  </si>
  <si>
    <t>2023年12月1日开票占号。合同金额96.38万元，2024年10月25日，工程变更，减金额1.88万元，结算金额为94.5万元。</t>
    <phoneticPr fontId="1" type="noConversion"/>
  </si>
  <si>
    <t>ZFMD/SD-24054-SH-BG01</t>
    <phoneticPr fontId="1" type="noConversion"/>
  </si>
  <si>
    <t>ZFMD/SD-24050-SH-BG01</t>
    <phoneticPr fontId="1" type="noConversion"/>
  </si>
  <si>
    <t>ZFMD/SHFW-2023023
ZFMD/SHFW-2023004</t>
    <phoneticPr fontId="1" type="noConversion"/>
  </si>
  <si>
    <t>ZFMD/SHFW-2023023
ZFMD/SHFW-2023005</t>
    <phoneticPr fontId="1" type="noConversion"/>
  </si>
  <si>
    <t>ZFMD/SD-24134-SH</t>
    <phoneticPr fontId="1" type="noConversion"/>
  </si>
  <si>
    <t>2024.11.6</t>
    <phoneticPr fontId="1" type="noConversion"/>
  </si>
  <si>
    <t>ZFMD/SD-24135-SH</t>
  </si>
  <si>
    <t>ZFMD/SD-24136-SH</t>
  </si>
  <si>
    <t>ZFMD/SD-24137-SH</t>
  </si>
  <si>
    <t>ZFMD/SD-24138-SH</t>
  </si>
  <si>
    <t>ZFMD/SD-24139-SH</t>
  </si>
  <si>
    <t>中长期软件</t>
    <phoneticPr fontId="1" type="noConversion"/>
  </si>
  <si>
    <t>2024.11.13开票占号</t>
    <phoneticPr fontId="1" type="noConversion"/>
  </si>
  <si>
    <t>福能（漳州）风力发电有限责任公司隆教风电场调度数据网改造合同</t>
    <phoneticPr fontId="1" type="noConversion"/>
  </si>
  <si>
    <t>2024.4.7</t>
    <phoneticPr fontId="1" type="noConversion"/>
  </si>
  <si>
    <t>福能（龙海）风力发电有限责任公司省山风电场调度数据网改造合同</t>
    <phoneticPr fontId="1" type="noConversion"/>
  </si>
  <si>
    <t>福能埭头（莆田）风力发电有限公司</t>
    <phoneticPr fontId="1" type="noConversion"/>
  </si>
  <si>
    <t>福能埭头（莆田）风力发电有限公司顶岩山风电场调度数据网改造合同</t>
    <phoneticPr fontId="1" type="noConversion"/>
  </si>
  <si>
    <t>顶岩山</t>
    <phoneticPr fontId="1" type="noConversion"/>
  </si>
  <si>
    <t>福建惠安风力发电有限责任公司</t>
    <phoneticPr fontId="1" type="noConversion"/>
  </si>
  <si>
    <t>福建惠安风力发电有限责任公司小岞风电场调度数据网改造合同</t>
    <phoneticPr fontId="1" type="noConversion"/>
  </si>
  <si>
    <t>小岞</t>
    <phoneticPr fontId="1" type="noConversion"/>
  </si>
  <si>
    <t>2023年12月1日开票占号。合同金额62.25万元，2024年11月15日，工程变更，减金额0.15万元，结算金额为62.1万元。</t>
    <phoneticPr fontId="1" type="noConversion"/>
  </si>
  <si>
    <t>ZFMD/SD-24140-SH</t>
  </si>
  <si>
    <t>华电新疆乌鲁木齐县能源发展有限公司</t>
    <phoneticPr fontId="1" type="noConversion"/>
  </si>
  <si>
    <t>ZFMD/SD-24141-1-SH</t>
    <phoneticPr fontId="1" type="noConversion"/>
  </si>
  <si>
    <t>ZFMD/SD-24141-2-SH</t>
  </si>
  <si>
    <t>西沟50MW风电三场</t>
    <phoneticPr fontId="1" type="noConversion"/>
  </si>
  <si>
    <t>白杨沟162.1MW风电二场</t>
    <phoneticPr fontId="1" type="noConversion"/>
  </si>
  <si>
    <t>北疆基地90.5MW风电一场</t>
    <phoneticPr fontId="1" type="noConversion"/>
  </si>
  <si>
    <t>北疆基地200MW风电二场</t>
    <phoneticPr fontId="1" type="noConversion"/>
  </si>
  <si>
    <t>北疆基地193.3MW风电三场</t>
    <phoneticPr fontId="1" type="noConversion"/>
  </si>
  <si>
    <t>ZFMD/SD-24142-SH</t>
    <phoneticPr fontId="1" type="noConversion"/>
  </si>
  <si>
    <t>ZFMD/SD-24143-1-SH</t>
    <phoneticPr fontId="1" type="noConversion"/>
  </si>
  <si>
    <t>ZFMD/SD-24143-2-SH</t>
  </si>
  <si>
    <t>ZFMD/SD-24143-3-SH</t>
  </si>
  <si>
    <t>ZFMD/SD-24143-4-SH</t>
  </si>
  <si>
    <t>ZFMD/SD-24143-5-SH</t>
  </si>
  <si>
    <t>ZFMD/SD-24143-6-SH</t>
  </si>
  <si>
    <t>华电达坂城西沟风电二场</t>
    <phoneticPr fontId="1" type="noConversion"/>
  </si>
  <si>
    <t>华电达坂城西沟风电三场</t>
    <phoneticPr fontId="1" type="noConversion"/>
  </si>
  <si>
    <t>ZFMD/SD-24144-1-SH</t>
    <phoneticPr fontId="1" type="noConversion"/>
  </si>
  <si>
    <t>ZFMD/SD-24144-3-SH</t>
  </si>
  <si>
    <t>ZFMD/SD-24145-SH</t>
    <phoneticPr fontId="1" type="noConversion"/>
  </si>
  <si>
    <t>光润焉耆光伏一电站</t>
    <phoneticPr fontId="1" type="noConversion"/>
  </si>
  <si>
    <t>老君庙风场功率预测服务器及核心交换机（含安装调试）采购合同</t>
    <phoneticPr fontId="1" type="noConversion"/>
  </si>
  <si>
    <t>2024.11.20</t>
    <phoneticPr fontId="1" type="noConversion"/>
  </si>
  <si>
    <t>2024.11.1</t>
    <phoneticPr fontId="1" type="noConversion"/>
  </si>
  <si>
    <t>ZFMD/SD-24150-SH</t>
  </si>
  <si>
    <t>ZFMD/SD-24151-SH</t>
  </si>
  <si>
    <t>2023年12月1日开票占号。2024年11月20日工程变更，增加金额7.85万元，结算金额为18.4万元</t>
    <phoneticPr fontId="1" type="noConversion"/>
  </si>
  <si>
    <t>托里乡110KV</t>
    <phoneticPr fontId="5" type="noConversion"/>
  </si>
  <si>
    <t>2024.11.19</t>
    <phoneticPr fontId="1" type="noConversion"/>
  </si>
  <si>
    <t>2024.9.3</t>
    <phoneticPr fontId="1" type="noConversion"/>
  </si>
  <si>
    <t>2025.9.2</t>
    <phoneticPr fontId="1" type="noConversion"/>
  </si>
  <si>
    <t>2024.11.19开票占号</t>
    <phoneticPr fontId="1" type="noConversion"/>
  </si>
  <si>
    <t>丰收</t>
    <phoneticPr fontId="1" type="noConversion"/>
  </si>
  <si>
    <t>黑龙江大唐北兴项目、合山风电场</t>
    <phoneticPr fontId="1" type="noConversion"/>
  </si>
  <si>
    <t>丰安风电场</t>
    <phoneticPr fontId="1" type="noConversion"/>
  </si>
  <si>
    <t>安丰风电场</t>
    <phoneticPr fontId="1" type="noConversion"/>
  </si>
  <si>
    <t>张北曹碾沟</t>
    <phoneticPr fontId="1" type="noConversion"/>
  </si>
  <si>
    <t>彰武王家</t>
    <phoneticPr fontId="1" type="noConversion"/>
  </si>
  <si>
    <t>黑山耿屯</t>
    <phoneticPr fontId="1" type="noConversion"/>
  </si>
  <si>
    <t>大庆双榆</t>
    <phoneticPr fontId="1" type="noConversion"/>
  </si>
  <si>
    <t>大庆和平/大庆绿源</t>
    <phoneticPr fontId="1" type="noConversion"/>
  </si>
  <si>
    <t>同江=街津山+临江江胜</t>
    <phoneticPr fontId="1" type="noConversion"/>
  </si>
  <si>
    <t>肇东德昌</t>
    <phoneticPr fontId="1" type="noConversion"/>
  </si>
  <si>
    <t>2024.11.26</t>
    <phoneticPr fontId="1" type="noConversion"/>
  </si>
  <si>
    <t>ZFMD/KGSQ-24036</t>
  </si>
  <si>
    <t>西沟三期</t>
    <phoneticPr fontId="1" type="noConversion"/>
  </si>
  <si>
    <t>2023.12.16</t>
    <phoneticPr fontId="1" type="noConversion"/>
  </si>
  <si>
    <t>2024.12.15</t>
    <phoneticPr fontId="1" type="noConversion"/>
  </si>
  <si>
    <t>白杨沟二期</t>
    <phoneticPr fontId="1" type="noConversion"/>
  </si>
  <si>
    <t>2025.4.2</t>
    <phoneticPr fontId="1" type="noConversion"/>
  </si>
  <si>
    <t>西山35KV</t>
    <phoneticPr fontId="1" type="noConversion"/>
  </si>
  <si>
    <t>2024.8.26</t>
    <phoneticPr fontId="1" type="noConversion"/>
  </si>
  <si>
    <t>2025.8.25</t>
    <phoneticPr fontId="1" type="noConversion"/>
  </si>
  <si>
    <t>西山100KV</t>
    <phoneticPr fontId="1" type="noConversion"/>
  </si>
  <si>
    <t>华电新疆乌鲁木齐县能源发展有限公司所属托里风电一场功率预测系统升级项目合同</t>
    <phoneticPr fontId="1" type="noConversion"/>
  </si>
  <si>
    <t>新疆华电达坂城新能源有限公司所属6个风电场功率预测系统升级项目合同</t>
    <phoneticPr fontId="1" type="noConversion"/>
  </si>
  <si>
    <t>光润焉耆光伏一电站功率预测系统气象服务器及工作站升级改造项目合同</t>
    <phoneticPr fontId="1" type="noConversion"/>
  </si>
  <si>
    <t>华电小草湖北风电一场功率预测系统气象服务器及工作站升级改造项目合同</t>
    <phoneticPr fontId="1" type="noConversion"/>
  </si>
  <si>
    <t>华电小草湖南风电一场功率预测系统气象服务器及工作站升级改造项目合同</t>
    <phoneticPr fontId="1" type="noConversion"/>
  </si>
  <si>
    <t>新疆华电苦水风电场可用功率系统优化服务合同</t>
    <phoneticPr fontId="1" type="noConversion"/>
  </si>
  <si>
    <t>系统硬件；新疆风电场理论功率上传软件</t>
    <phoneticPr fontId="1" type="noConversion"/>
  </si>
  <si>
    <t>新疆华电淖毛湖一、二期风电场可用功率系统优化服务合同</t>
    <phoneticPr fontId="22" type="noConversion"/>
  </si>
  <si>
    <t>新疆华电伊吾东方民生风电场可用功率系统优化服务合同</t>
    <phoneticPr fontId="22" type="noConversion"/>
  </si>
  <si>
    <t>华电嘉利三场</t>
    <phoneticPr fontId="22" type="noConversion"/>
  </si>
  <si>
    <t>ZFMD/SD-24152-1-SH</t>
    <phoneticPr fontId="1" type="noConversion"/>
  </si>
  <si>
    <t>ZFMD/SD-24152-2-SH</t>
    <phoneticPr fontId="1" type="noConversion"/>
  </si>
  <si>
    <t>新疆华电十三间房嘉利风电一、三场可用功率系统优化服务合同</t>
    <phoneticPr fontId="22" type="noConversion"/>
  </si>
  <si>
    <t>新疆华电东方民生光伏电站可用功率系统优化服务合同</t>
    <phoneticPr fontId="22" type="noConversion"/>
  </si>
  <si>
    <t>系统硬件；新疆光伏电站理论功率上传软件</t>
    <phoneticPr fontId="1" type="noConversion"/>
  </si>
  <si>
    <t>2024.11.18</t>
    <phoneticPr fontId="1" type="noConversion"/>
  </si>
  <si>
    <t>华电新疆乌鲁木齐县能源发展有限公司所属托里154.1MW风电场风电功率预测系统服务合同书</t>
    <phoneticPr fontId="1" type="noConversion"/>
  </si>
  <si>
    <t>新疆华电达坂城新能源有限公司所属风电场风电功率预测系统服务合同书</t>
    <phoneticPr fontId="1" type="noConversion"/>
  </si>
  <si>
    <t>华电达坂城大连湖风电一场</t>
    <phoneticPr fontId="1" type="noConversion"/>
  </si>
  <si>
    <t>华电达坂城西沟风电一场</t>
    <phoneticPr fontId="1" type="noConversion"/>
  </si>
  <si>
    <t>华电达坂城白杨沟风电一场</t>
    <phoneticPr fontId="1" type="noConversion"/>
  </si>
  <si>
    <t>华电达坂城白杨沟风电一场、大连湖风电一场、西沟风电一场功率预测系统升级改造项目合同</t>
    <phoneticPr fontId="1" type="noConversion"/>
  </si>
  <si>
    <t>ZFMD/SHFW-2024033</t>
    <phoneticPr fontId="1" type="noConversion"/>
  </si>
  <si>
    <t>ZFMD/SHFW-2024034</t>
    <phoneticPr fontId="1" type="noConversion"/>
  </si>
  <si>
    <t>ZFMD/SHFW-2024035</t>
    <phoneticPr fontId="1" type="noConversion"/>
  </si>
  <si>
    <t>ZFMD/SHFW-2024036</t>
    <phoneticPr fontId="1" type="noConversion"/>
  </si>
  <si>
    <t>ZFMD/SD-24144-2-SH</t>
    <phoneticPr fontId="1" type="noConversion"/>
  </si>
  <si>
    <t>ZFMD/SHFW-2024037</t>
    <phoneticPr fontId="1" type="noConversion"/>
  </si>
  <si>
    <t>ZFMD/SD-24146-SH</t>
    <phoneticPr fontId="1" type="noConversion"/>
  </si>
  <si>
    <t>ZFMD/SHFW-2024038</t>
    <phoneticPr fontId="1" type="noConversion"/>
  </si>
  <si>
    <t>ZFMD/SD-24147-SH</t>
    <phoneticPr fontId="1" type="noConversion"/>
  </si>
  <si>
    <t>ZFMD/SHFW-2024040</t>
    <phoneticPr fontId="1" type="noConversion"/>
  </si>
  <si>
    <t>ZFMD/SD-24153-SH</t>
    <phoneticPr fontId="1" type="noConversion"/>
  </si>
  <si>
    <t>ZFMD/SHFW-2024041</t>
    <phoneticPr fontId="1" type="noConversion"/>
  </si>
  <si>
    <t>ZFMD/SD-24149-SH</t>
    <phoneticPr fontId="1" type="noConversion"/>
  </si>
  <si>
    <t>ZFMD/SHFW-2024043</t>
    <phoneticPr fontId="1" type="noConversion"/>
  </si>
  <si>
    <t>ZFMD/SD-24141-3-SH</t>
    <phoneticPr fontId="1" type="noConversion"/>
  </si>
  <si>
    <t>ZFMD/SHFW-2024044</t>
    <phoneticPr fontId="1" type="noConversion"/>
  </si>
  <si>
    <t>ZFMD/SD-24141-4-SH</t>
    <phoneticPr fontId="1" type="noConversion"/>
  </si>
  <si>
    <t>ZFMD/SHFW-2024045</t>
    <phoneticPr fontId="1" type="noConversion"/>
  </si>
  <si>
    <t>ZFMD/SD-24141-5-SH</t>
    <phoneticPr fontId="1" type="noConversion"/>
  </si>
  <si>
    <t>ZFMD/SD-24148-SH</t>
    <phoneticPr fontId="1" type="noConversion"/>
  </si>
  <si>
    <t>ZFMD/SD-22159-5-SH</t>
    <phoneticPr fontId="22" type="noConversion"/>
  </si>
  <si>
    <t>ZFMD/KGSQ-24032</t>
  </si>
  <si>
    <t>ZFMD/KGSQ-24027</t>
  </si>
  <si>
    <t>ZFMD/KGSQ-24028</t>
  </si>
  <si>
    <t>ZFMD/KGSQ-24030</t>
  </si>
  <si>
    <t>ZFMD/KGSQ-24031</t>
  </si>
  <si>
    <t>ZFMD/KGSQ-24029</t>
  </si>
  <si>
    <t>ZFMD/KGSQ-24026</t>
  </si>
  <si>
    <t>ZFMD/SD-24154-SH</t>
  </si>
  <si>
    <t>2024.12.6</t>
    <phoneticPr fontId="1" type="noConversion"/>
  </si>
  <si>
    <t>2024.12.6开票占号</t>
    <phoneticPr fontId="1" type="noConversion"/>
  </si>
  <si>
    <t>ZFMD/SD-24115-1-SH-BG01</t>
    <phoneticPr fontId="1" type="noConversion"/>
  </si>
  <si>
    <t>ZFMD/SD-24115-2-SH-BG01</t>
    <phoneticPr fontId="1" type="noConversion"/>
  </si>
  <si>
    <t>ZFMD/SD-24115-15-SH-BG01</t>
    <phoneticPr fontId="1" type="noConversion"/>
  </si>
  <si>
    <t>ZFMD/SD-24115-14-SH-BG01</t>
    <phoneticPr fontId="1" type="noConversion"/>
  </si>
  <si>
    <t>ZFMD/SD-24115-13-SH-BG01</t>
    <phoneticPr fontId="1" type="noConversion"/>
  </si>
  <si>
    <t>ZFMD/SD-24115-12-SH-BG01</t>
    <phoneticPr fontId="1" type="noConversion"/>
  </si>
  <si>
    <t>ZFMD/SD-24115-11-SH-BG01</t>
    <phoneticPr fontId="1" type="noConversion"/>
  </si>
  <si>
    <t>ZFMD/SD-24115-10-SH-BG01</t>
    <phoneticPr fontId="1" type="noConversion"/>
  </si>
  <si>
    <t>ZFMD/SD-24115-9-SH-BG01</t>
    <phoneticPr fontId="1" type="noConversion"/>
  </si>
  <si>
    <t>ZFMD/SD-24115-8-SH-BG01</t>
    <phoneticPr fontId="1" type="noConversion"/>
  </si>
  <si>
    <t>ZFMD/SD-24115-7-SH-BG01</t>
    <phoneticPr fontId="1" type="noConversion"/>
  </si>
  <si>
    <t>ZFMD/SD-24115-6-SH-BG01</t>
    <phoneticPr fontId="1" type="noConversion"/>
  </si>
  <si>
    <t>ZFMD/SD-24115-5-SH-BG01</t>
    <phoneticPr fontId="1" type="noConversion"/>
  </si>
  <si>
    <t>ZFMD/SD-24115-4-SH-BG01</t>
    <phoneticPr fontId="1" type="noConversion"/>
  </si>
  <si>
    <t>ZFMD/SD-24115-3-SH-BG01</t>
    <phoneticPr fontId="1" type="noConversion"/>
  </si>
  <si>
    <t>ZFMD/SD-24155-SH</t>
  </si>
  <si>
    <t>ZFMD/SD-24156-SH</t>
  </si>
  <si>
    <t>2024.12.10</t>
    <phoneticPr fontId="1" type="noConversion"/>
  </si>
  <si>
    <t>2024.12.10开票占号</t>
    <phoneticPr fontId="1" type="noConversion"/>
  </si>
  <si>
    <t>ZFMD/SD-24158-SH</t>
  </si>
  <si>
    <t>ZFMD/SD-24159-SH</t>
  </si>
  <si>
    <t>ZFMD/SD-24160-SH</t>
  </si>
  <si>
    <t>ZFMD/SD-24162-SH</t>
  </si>
  <si>
    <t>2024.12.11开票占号</t>
    <phoneticPr fontId="1" type="noConversion"/>
  </si>
  <si>
    <t>阜新鸿日光伏发电有限公司</t>
    <phoneticPr fontId="1" type="noConversion"/>
  </si>
  <si>
    <t>国华(哈密)新能源有限公司</t>
    <phoneticPr fontId="1" type="noConversion"/>
  </si>
  <si>
    <t>国华（哈密）新能源有限公司三塘湖分公司</t>
    <phoneticPr fontId="1" type="noConversion"/>
  </si>
  <si>
    <t>国华（哈密红星二场）新能源有限公司</t>
    <phoneticPr fontId="1" type="noConversion"/>
  </si>
  <si>
    <t>国华（莫合台）新能源有限公司</t>
    <phoneticPr fontId="1" type="noConversion"/>
  </si>
  <si>
    <t>国能国华（和硕）新能源有限公司</t>
    <phoneticPr fontId="1" type="noConversion"/>
  </si>
  <si>
    <t>2024.12.12</t>
    <phoneticPr fontId="1" type="noConversion"/>
  </si>
  <si>
    <t>ZFMD/SD-24163-1-SH</t>
    <phoneticPr fontId="1" type="noConversion"/>
  </si>
  <si>
    <t>ZFMD/SD-24163-2-SH</t>
  </si>
  <si>
    <t>ZFMD/SD-24163-3-SH</t>
  </si>
  <si>
    <t>ZFMD/SD-24163-4-SH</t>
  </si>
  <si>
    <t>ZFMD/SD-24163-5-SH</t>
  </si>
  <si>
    <t>ZFMD/SD-24163-6-SH</t>
  </si>
  <si>
    <t>ZFMD/SD-24163-7-SH</t>
  </si>
  <si>
    <t>ZFMD/SD-24163-8-SH</t>
    <phoneticPr fontId="1" type="noConversion"/>
  </si>
  <si>
    <t>ZFMD/KGSQ-24042</t>
  </si>
  <si>
    <t>ZFMD/KGSQ-24043</t>
  </si>
  <si>
    <t>ZFMD/KGSQ-24044</t>
  </si>
  <si>
    <t>ZFMD/KGSQ-24045</t>
  </si>
  <si>
    <t>ZFMD/KGSQ-24046</t>
  </si>
  <si>
    <t>ZFMD/KGSQ-24047</t>
    <phoneticPr fontId="1" type="noConversion"/>
  </si>
  <si>
    <t>ZFMD/KGSQ-24048</t>
    <phoneticPr fontId="1" type="noConversion"/>
  </si>
  <si>
    <t>ZFMD/KGSQ-24049</t>
  </si>
  <si>
    <t>华电木垒100万千瓦二氧化碳压缩空气储能综合能源示范项目二次设备及预制舱(40万千瓦光伏部分)</t>
    <phoneticPr fontId="1" type="noConversion"/>
  </si>
  <si>
    <t>华电木垒100万千瓦二氧化碳压缩空气储能综合能源示范项目二次设备及预制舱(60万千瓦风电部分)</t>
    <phoneticPr fontId="1" type="noConversion"/>
  </si>
  <si>
    <t>凯升木垒四十个井子1050MW 风光发电目项(250MW光伏)电气二次部分设备及预制舱</t>
    <phoneticPr fontId="1" type="noConversion"/>
  </si>
  <si>
    <t>古尔班通古特沙漠基地华电135万千瓦新能源项目(木垒80万千瓦风电项目)电气二次设备</t>
    <phoneticPr fontId="1" type="noConversion"/>
  </si>
  <si>
    <t>古尔班通古特沙漠基地华电135万千瓦新能源项目(奇台30万千瓦光伏项目)电气二次设备大井北</t>
    <phoneticPr fontId="1" type="noConversion"/>
  </si>
  <si>
    <t>古尔班通古特沙漠基地华电135万千瓦新能源项目(奇台30万千瓦光伏项目)电气二次设备国投汇集站</t>
    <phoneticPr fontId="1" type="noConversion"/>
  </si>
  <si>
    <t>古尔班通古特沙漠基地华电135万千瓦新能源项(木垒25万千瓦光伏项目)电气二次设备</t>
    <phoneticPr fontId="1" type="noConversion"/>
  </si>
  <si>
    <t>短期软件；超短期软件；系统硬件；光伏气象站；光伏气象站设备；预测服务3年；软件升级（自动巡检）</t>
    <phoneticPr fontId="1" type="noConversion"/>
  </si>
  <si>
    <t>短期软件；超短期软件；系统硬件；测风塔；测风塔设备；预测服务3年；软件升级（自动巡检）</t>
    <phoneticPr fontId="1" type="noConversion"/>
  </si>
  <si>
    <t>短期软件；超短期软件；中长期软件；系统硬件；测风塔；测风塔设备；预测服务3年；软件升级（自动巡检）</t>
    <phoneticPr fontId="1" type="noConversion"/>
  </si>
  <si>
    <t>凯升木垒四十个井子1050MW 风光发电项目(600MW风电)电气二次部分设备及预制舱</t>
    <phoneticPr fontId="1" type="noConversion"/>
  </si>
  <si>
    <t>阜新鸿日光伏电站光功率预测系统反向隔离设备更换项目合同</t>
    <phoneticPr fontId="1" type="noConversion"/>
  </si>
  <si>
    <t>阜新鸿日</t>
    <phoneticPr fontId="1" type="noConversion"/>
  </si>
  <si>
    <t>2024.12.5</t>
    <phoneticPr fontId="1" type="noConversion"/>
  </si>
  <si>
    <t>阜新鸿日光伏电站光功率预测系统、AGC(自动发电控制系统)2024年技术服务合同</t>
    <phoneticPr fontId="1" type="noConversion"/>
  </si>
  <si>
    <t>ZFMD/SD-24081-SH-BG01
ZFMD/SD-24081-SH-BG02</t>
    <phoneticPr fontId="1" type="noConversion"/>
  </si>
  <si>
    <t xml:space="preserve">ZFMD/SD-24063-SH-BG01
ZFMD/SD-24063-SH-BG02  </t>
    <phoneticPr fontId="1" type="noConversion"/>
  </si>
  <si>
    <t>ZFMD/SD-24131-1-SH-BG01</t>
    <phoneticPr fontId="1" type="noConversion"/>
  </si>
  <si>
    <t>ZFMD/SD-24131-3-SH-BG01</t>
    <phoneticPr fontId="1" type="noConversion"/>
  </si>
  <si>
    <t>ZFMD/SHFW-2023026</t>
  </si>
  <si>
    <t>ZFMD/SD-24164-SH</t>
    <phoneticPr fontId="1" type="noConversion"/>
  </si>
  <si>
    <t>2024.12.20</t>
    <phoneticPr fontId="1" type="noConversion"/>
  </si>
  <si>
    <t>ZFMD/KGSQ-24050</t>
  </si>
  <si>
    <t>克州乌恰200MW风电项目</t>
    <phoneticPr fontId="1" type="noConversion"/>
  </si>
  <si>
    <t>新疆华电克州乌恰200MW风电项目测风塔工程合同</t>
  </si>
  <si>
    <t>华电阜康发电有限公司</t>
    <phoneticPr fontId="1" type="noConversion"/>
  </si>
  <si>
    <t>2024.12.18</t>
    <phoneticPr fontId="1" type="noConversion"/>
  </si>
  <si>
    <t>ZFMD/SD-24165-SH</t>
    <phoneticPr fontId="1" type="noConversion"/>
  </si>
  <si>
    <t>华能萝北风力发电有限公司</t>
    <phoneticPr fontId="1" type="noConversion"/>
  </si>
  <si>
    <t>华能萝北风力发电有限公司服务采购订单</t>
    <phoneticPr fontId="1" type="noConversion"/>
  </si>
  <si>
    <t>鹤岗萝北</t>
    <phoneticPr fontId="5" type="noConversion"/>
  </si>
  <si>
    <t>2024.10.15</t>
    <phoneticPr fontId="1" type="noConversion"/>
  </si>
  <si>
    <t>2025.1.1</t>
    <phoneticPr fontId="1" type="noConversion"/>
  </si>
  <si>
    <t>2025.12.31</t>
    <phoneticPr fontId="1" type="noConversion"/>
  </si>
  <si>
    <t>ZFMD/SD-24166-SH</t>
  </si>
  <si>
    <t>ZFMD/SD-24157-1-SH</t>
    <phoneticPr fontId="1" type="noConversion"/>
  </si>
  <si>
    <t>ZFMD/SD-24157-2-SH</t>
  </si>
  <si>
    <t>ZFMD/SD-24157-3-SH</t>
  </si>
  <si>
    <t>ZFMD/SD-24157-4-SH</t>
  </si>
  <si>
    <t>ZFMD/SD-24157-5-SH</t>
  </si>
  <si>
    <t>ZFMD/SD-24157-6-SH</t>
  </si>
  <si>
    <t>国华(哈密)新能源有限公司风（光）功率预测系统软、硬件物资采购合同</t>
    <phoneticPr fontId="1" type="noConversion"/>
  </si>
  <si>
    <t>景峡南风电一场</t>
    <phoneticPr fontId="1" type="noConversion"/>
  </si>
  <si>
    <t>景峡南风电二场</t>
    <phoneticPr fontId="1" type="noConversion"/>
  </si>
  <si>
    <t>景峡北风电一场</t>
    <phoneticPr fontId="1" type="noConversion"/>
  </si>
  <si>
    <t>景峡西风电一场</t>
    <phoneticPr fontId="1" type="noConversion"/>
  </si>
  <si>
    <t>景峡西光伏一电站</t>
    <phoneticPr fontId="1" type="noConversion"/>
  </si>
  <si>
    <t>石城子光伏一电站</t>
    <phoneticPr fontId="1" type="noConversion"/>
  </si>
  <si>
    <t>2024.12.7</t>
    <phoneticPr fontId="1" type="noConversion"/>
  </si>
  <si>
    <t>国华（哈密）新能源有限公司三塘湖分公司风功率预测系统软、硬件物资采购合同</t>
    <phoneticPr fontId="1" type="noConversion"/>
  </si>
  <si>
    <t>望洋台风电一场</t>
    <phoneticPr fontId="1" type="noConversion"/>
  </si>
  <si>
    <t>国华（哈密红星二场）新能源有限公司光功率预测系统软、硬件物资采购合同</t>
    <phoneticPr fontId="1" type="noConversion"/>
  </si>
  <si>
    <t>兴民光伏一电站</t>
    <phoneticPr fontId="1" type="noConversion"/>
  </si>
  <si>
    <t>国华（莫合台）新能源有限公司光功率预测系统软、硬件物资采购合同</t>
    <phoneticPr fontId="1" type="noConversion"/>
  </si>
  <si>
    <t>莫合台光伏一电站</t>
    <phoneticPr fontId="1" type="noConversion"/>
  </si>
  <si>
    <t>ZFMD/SD-24161-1-SH</t>
    <phoneticPr fontId="1" type="noConversion"/>
  </si>
  <si>
    <t>ZFMD/SD-24161-2-SH</t>
    <phoneticPr fontId="1" type="noConversion"/>
  </si>
  <si>
    <t>国能国华（和硕）新能源有限公司光功率预测系统软、硬件物资采购合同</t>
    <phoneticPr fontId="1" type="noConversion"/>
  </si>
  <si>
    <t>和硕光伏一电站</t>
    <phoneticPr fontId="1" type="noConversion"/>
  </si>
  <si>
    <t>和硕光伏二电站</t>
    <phoneticPr fontId="1" type="noConversion"/>
  </si>
  <si>
    <t>ZFMD/SD-24168-SH</t>
  </si>
  <si>
    <t>2024.12.23</t>
    <phoneticPr fontId="1" type="noConversion"/>
  </si>
  <si>
    <t>2024.12.23开票占号</t>
    <phoneticPr fontId="1" type="noConversion"/>
  </si>
  <si>
    <t>ZFMD/KGSQ-24051</t>
  </si>
  <si>
    <t>华能清洁能源有限公司</t>
    <phoneticPr fontId="1" type="noConversion"/>
  </si>
  <si>
    <t>2024.12.25</t>
    <phoneticPr fontId="1" type="noConversion"/>
  </si>
  <si>
    <t>2024.12</t>
    <phoneticPr fontId="1" type="noConversion"/>
  </si>
  <si>
    <t>华能湖南桂东风电有限责任公司</t>
    <phoneticPr fontId="1" type="noConversion"/>
  </si>
  <si>
    <t>华能湖南清洁能源分公司集控中心功率预测系统统计测算高级应用部署项目合同</t>
    <phoneticPr fontId="1" type="noConversion"/>
  </si>
  <si>
    <t>ZFMD/SD-24169-SH</t>
    <phoneticPr fontId="1" type="noConversion"/>
  </si>
  <si>
    <t>ZFMD/SHFW-2024047</t>
  </si>
  <si>
    <t>2025.10.14</t>
    <phoneticPr fontId="1" type="noConversion"/>
  </si>
  <si>
    <t>20242023年12月1日开票占号。2024年12月19日工程变更，增加金额6.17万元，计算金额为68.55万元。</t>
    <phoneticPr fontId="1" type="noConversion"/>
  </si>
  <si>
    <t>ZFMD/SD-24170-SH</t>
  </si>
  <si>
    <t>2024.12.28</t>
    <phoneticPr fontId="1" type="noConversion"/>
  </si>
  <si>
    <t>福建公司宁德公司延亭及马耳山风电功率预测系统国产化改造项目采购合同</t>
    <phoneticPr fontId="1" type="noConversion"/>
  </si>
  <si>
    <t>2024.12.19</t>
    <phoneticPr fontId="1" type="noConversion"/>
  </si>
  <si>
    <t>上堡风电场测风设备采购合同</t>
    <phoneticPr fontId="1" type="noConversion"/>
  </si>
  <si>
    <t>ZFMD/KGSQ-22018</t>
  </si>
  <si>
    <t>国家电投集团广西金紫山风电有限公司金紫山风电场风功率E文件设备采购项目合同</t>
    <phoneticPr fontId="1" type="noConversion"/>
  </si>
  <si>
    <t>2024.11</t>
    <phoneticPr fontId="1" type="noConversion"/>
  </si>
  <si>
    <t>ZFMD/SD-24171-SH</t>
  </si>
  <si>
    <t>ZFMD/SD-24172-SH</t>
  </si>
  <si>
    <t>北京昱飒科技有限公司</t>
    <phoneticPr fontId="1" type="noConversion"/>
  </si>
  <si>
    <t>新疆乌鲁木齐市达坂城B区华电风电场一座测风塔采购合同</t>
    <phoneticPr fontId="1" type="noConversion"/>
  </si>
  <si>
    <t>2025.3.1</t>
    <phoneticPr fontId="1" type="noConversion"/>
  </si>
  <si>
    <t>2026.2.28</t>
    <phoneticPr fontId="1" type="noConversion"/>
  </si>
  <si>
    <r>
      <t xml:space="preserve">销售合同登记台账-2024年
</t>
    </r>
    <r>
      <rPr>
        <sz val="10"/>
        <color theme="1"/>
        <rFont val="宋体"/>
        <family val="3"/>
        <charset val="134"/>
        <scheme val="minor"/>
      </rPr>
      <t>（文件编号：ZFMDZHGLB-HTDJTZ-V1.0）</t>
    </r>
    <phoneticPr fontId="1" type="noConversion"/>
  </si>
  <si>
    <r>
      <t xml:space="preserve">销售合同登记台账-2023年
</t>
    </r>
    <r>
      <rPr>
        <sz val="10"/>
        <color theme="1"/>
        <rFont val="宋体"/>
        <family val="3"/>
        <charset val="134"/>
        <scheme val="minor"/>
      </rPr>
      <t>（文件编号：ZFMDZHGLB-HTDJTZ-V1.0）</t>
    </r>
    <phoneticPr fontId="1" type="noConversion"/>
  </si>
  <si>
    <r>
      <t xml:space="preserve">销售合同登记台账-2025年
</t>
    </r>
    <r>
      <rPr>
        <sz val="10"/>
        <color theme="1"/>
        <rFont val="宋体"/>
        <family val="3"/>
        <charset val="134"/>
        <scheme val="minor"/>
      </rPr>
      <t>（文件编号：ZFMDZHGLB-HTDJTZ-V1.0）</t>
    </r>
    <phoneticPr fontId="1" type="noConversion"/>
  </si>
  <si>
    <t>2025.1.4</t>
    <phoneticPr fontId="22" type="noConversion"/>
  </si>
  <si>
    <t>ZFMD/SD-25001-SH</t>
    <phoneticPr fontId="1" type="noConversion"/>
  </si>
  <si>
    <t>ZFMD/SD-25004-SH</t>
  </si>
  <si>
    <t>2025年1月6日开票占号</t>
    <phoneticPr fontId="22" type="noConversion"/>
  </si>
  <si>
    <t>2024.12.12</t>
    <phoneticPr fontId="22" type="noConversion"/>
  </si>
  <si>
    <t>2025.12.11</t>
    <phoneticPr fontId="22" type="noConversion"/>
  </si>
  <si>
    <t>2024年11月30日开票21.5225万元发票，合同金额变更。</t>
    <phoneticPr fontId="1" type="noConversion"/>
  </si>
  <si>
    <t>2024年11月30日开票22.5274万元发票，合同金额变更。</t>
    <phoneticPr fontId="1" type="noConversion"/>
  </si>
  <si>
    <t>中石油黑龙江大庆林甸500MW风电项目（250MW风电功率预测系统）</t>
    <phoneticPr fontId="22" type="noConversion"/>
  </si>
  <si>
    <t>短期软件；超短期软件；系统硬件；测风塔；测风塔设备；预测服务5年</t>
    <phoneticPr fontId="1" type="noConversion"/>
  </si>
  <si>
    <t>2025.1.3</t>
    <phoneticPr fontId="22" type="noConversion"/>
  </si>
  <si>
    <t>免费五年</t>
    <phoneticPr fontId="22" type="noConversion"/>
  </si>
  <si>
    <t>ZFMD/SHFW-2024048</t>
  </si>
  <si>
    <t>ZFMD/SD-24167-SH</t>
    <phoneticPr fontId="1" type="noConversion"/>
  </si>
  <si>
    <t>ZFMD/SD-25006-SH</t>
  </si>
  <si>
    <t>ZFMD/SD-25007-SH</t>
  </si>
  <si>
    <t>古田中电建新能源发电有限公司古田电厂风功率预测服务项目合同文件</t>
    <phoneticPr fontId="1" type="noConversion"/>
  </si>
  <si>
    <t>2025.1.1</t>
    <phoneticPr fontId="22" type="noConversion"/>
  </si>
  <si>
    <t>2025.12.31</t>
    <phoneticPr fontId="22" type="noConversion"/>
  </si>
  <si>
    <t>ZFMD/SD-25002-1-SH</t>
    <phoneticPr fontId="22" type="noConversion"/>
  </si>
  <si>
    <t>三峡黑龙江富裕友谊20MW电站、三峡黑龙江泰来汤池9.9MW电站光功率预测系统维护服务合同</t>
    <phoneticPr fontId="22" type="noConversion"/>
  </si>
  <si>
    <t>2024.12.23</t>
    <phoneticPr fontId="22" type="noConversion"/>
  </si>
  <si>
    <t>2024.12.1</t>
    <phoneticPr fontId="22" type="noConversion"/>
  </si>
  <si>
    <t>2025.2.28</t>
    <phoneticPr fontId="22" type="noConversion"/>
  </si>
  <si>
    <t>中能建庆安光伏电站</t>
    <phoneticPr fontId="1" type="noConversion"/>
  </si>
  <si>
    <t>中电建西岭光伏电站</t>
    <phoneticPr fontId="1" type="noConversion"/>
  </si>
  <si>
    <t>国家电投长兴光伏电站</t>
    <phoneticPr fontId="1" type="noConversion"/>
  </si>
  <si>
    <t>ZFMD/SD-25003-1-SH</t>
    <phoneticPr fontId="22" type="noConversion"/>
  </si>
  <si>
    <t>ZFMD/SD-25003-2-SH</t>
  </si>
  <si>
    <t>ZFMD/SD-25003-3-SH</t>
  </si>
  <si>
    <t>ZFMD/SD-25003-4-SH</t>
  </si>
  <si>
    <t>吉西基地鲁固直流140万外送项目光伏电站光伏功率预测系统服务合同书</t>
    <phoneticPr fontId="22" type="noConversion"/>
  </si>
  <si>
    <t>2025.1.2</t>
    <phoneticPr fontId="22" type="noConversion"/>
  </si>
  <si>
    <t>博耳能源江苏有限公司</t>
    <phoneticPr fontId="22" type="noConversion"/>
  </si>
  <si>
    <t>五凌布尔津风电一场</t>
    <phoneticPr fontId="1" type="noConversion"/>
  </si>
  <si>
    <t>新疆丝路泰元能源有限责任公司</t>
    <phoneticPr fontId="1" type="noConversion"/>
  </si>
  <si>
    <t>五凌布尔津风电一场2025年风功率预测技术服务合同</t>
    <phoneticPr fontId="1" type="noConversion"/>
  </si>
  <si>
    <t>2025.1.14</t>
    <phoneticPr fontId="22" type="noConversion"/>
  </si>
  <si>
    <t>2025.1.6</t>
    <phoneticPr fontId="1" type="noConversion"/>
  </si>
  <si>
    <t>2024.12.30</t>
    <phoneticPr fontId="22" type="noConversion"/>
  </si>
  <si>
    <t>国源天立布尔津风电一场2025年风功率预测技术服务合同</t>
    <phoneticPr fontId="1" type="noConversion"/>
  </si>
  <si>
    <t>2024.12.20</t>
    <phoneticPr fontId="22" type="noConversion"/>
  </si>
  <si>
    <t>ZFMD/SD-25008-SH</t>
  </si>
  <si>
    <t>2025.2.24</t>
    <phoneticPr fontId="22" type="noConversion"/>
  </si>
  <si>
    <t>ZFMD/SD-25002-2-SH</t>
    <phoneticPr fontId="22" type="noConversion"/>
  </si>
  <si>
    <t>2024.12.6</t>
    <phoneticPr fontId="22" type="noConversion"/>
  </si>
  <si>
    <t>ZFMD/SD-25005-SH</t>
    <phoneticPr fontId="22" type="noConversion"/>
  </si>
  <si>
    <t>ZFMD/SHFW-2024039
ZFMD/SHFW-2024050</t>
    <phoneticPr fontId="1" type="noConversion"/>
  </si>
  <si>
    <t>ZFMD/SD-25009-SH</t>
  </si>
  <si>
    <t>ZFMD/SD-25010-SH</t>
  </si>
  <si>
    <t>ZFMD/SD-25011-SH</t>
  </si>
  <si>
    <t>ZFMD/SD-25012-SH</t>
  </si>
  <si>
    <t>2025.1.17</t>
    <phoneticPr fontId="22" type="noConversion"/>
  </si>
  <si>
    <t>2024.1.1</t>
    <phoneticPr fontId="22" type="noConversion"/>
  </si>
  <si>
    <t>2024.12.31</t>
    <phoneticPr fontId="22" type="noConversion"/>
  </si>
  <si>
    <t>2024.9.15</t>
    <phoneticPr fontId="22" type="noConversion"/>
  </si>
  <si>
    <t>2025.9.14</t>
    <phoneticPr fontId="22" type="noConversion"/>
  </si>
  <si>
    <t>2025.1.10</t>
    <phoneticPr fontId="22" type="noConversion"/>
  </si>
  <si>
    <t>2025年1月17日开票占号</t>
    <phoneticPr fontId="22" type="noConversion"/>
  </si>
  <si>
    <t>2024.5.23开票占号。2025.1.21发票作废。合同作废。</t>
    <phoneticPr fontId="1" type="noConversion"/>
  </si>
  <si>
    <t>ZFMD/SD-24041-SH
（作废）</t>
    <phoneticPr fontId="1" type="noConversion"/>
  </si>
  <si>
    <t>ZFMD/SD-25013-SH</t>
  </si>
  <si>
    <t>2025.1.26</t>
    <phoneticPr fontId="22" type="noConversion"/>
  </si>
  <si>
    <t>ZFMD/SD-25014-SH</t>
  </si>
  <si>
    <t>ZFMD/SD-25015-SH</t>
  </si>
  <si>
    <t>ZFMD/SD-25016-SH</t>
  </si>
  <si>
    <t>ZFMD/SD-25017-SH</t>
  </si>
  <si>
    <t>ZFMD/SD-25018-SH</t>
  </si>
  <si>
    <t>ZFMD/SD-25019-SH</t>
  </si>
  <si>
    <t>ZFMD/SD-25020-SH</t>
  </si>
  <si>
    <t>ZFMD/SD-25021-SH</t>
  </si>
  <si>
    <t>三峡能源辽宁分公司庄河海上风电场站2025年至2026年风功率预测系统维护服务项目技术服务合同</t>
    <phoneticPr fontId="1" type="noConversion"/>
  </si>
  <si>
    <t>2026.12.31</t>
    <phoneticPr fontId="22" type="noConversion"/>
  </si>
  <si>
    <t>三峡能源辽宁省葫芦岛岳家屯风电场2025年至2026年风功率预测系统维护服务采购合同</t>
    <phoneticPr fontId="1" type="noConversion"/>
  </si>
  <si>
    <t>2025.1.20</t>
    <phoneticPr fontId="22" type="noConversion"/>
  </si>
  <si>
    <t>2027.1.19</t>
    <phoneticPr fontId="22" type="noConversion"/>
  </si>
  <si>
    <t>三峡能源辽宁分公司调兵山场站2025年至2026年风功率预测系统维护服务项目技术服务合同</t>
    <phoneticPr fontId="1" type="noConversion"/>
  </si>
  <si>
    <t>2025.1.16</t>
    <phoneticPr fontId="22" type="noConversion"/>
  </si>
  <si>
    <t>2027.1.15</t>
    <phoneticPr fontId="22" type="noConversion"/>
  </si>
  <si>
    <t>三峡能源辽宁分公司开原场站2025年至2026年风功率预测系统维护服务项目技术服务合同</t>
    <phoneticPr fontId="1" type="noConversion"/>
  </si>
  <si>
    <t>2025.1.25</t>
    <phoneticPr fontId="22" type="noConversion"/>
  </si>
  <si>
    <t>2025.2.8</t>
    <phoneticPr fontId="22" type="noConversion"/>
  </si>
  <si>
    <t>ZFMD/SHFW-2024013
ZFMD/SHFW-2024018</t>
    <phoneticPr fontId="5" type="noConversion"/>
  </si>
  <si>
    <t>ZFMD/SHFW-2023008
ZFMD/SHFW-2023009</t>
    <phoneticPr fontId="5" type="noConversion"/>
  </si>
  <si>
    <t>ZFMD/SHFW-2025001</t>
    <phoneticPr fontId="5" type="noConversion"/>
  </si>
  <si>
    <t>ZFMD/SHFW-2025002</t>
    <phoneticPr fontId="5" type="noConversion"/>
  </si>
  <si>
    <t>ZFMD/SHFW-2025003</t>
    <phoneticPr fontId="22" type="noConversion"/>
  </si>
  <si>
    <t>白城市天禹新能源智慧运维有限公司</t>
    <phoneticPr fontId="27" type="noConversion"/>
  </si>
  <si>
    <t>2025.2.14</t>
    <phoneticPr fontId="22" type="noConversion"/>
  </si>
  <si>
    <t>特殊销售合同</t>
    <phoneticPr fontId="1" type="noConversion"/>
  </si>
  <si>
    <t>长岭中电投第二风力发电有限公司</t>
    <phoneticPr fontId="22" type="noConversion"/>
  </si>
  <si>
    <t>东北区域公司长二功率预测系统改造项目合同</t>
    <phoneticPr fontId="22" type="noConversion"/>
  </si>
  <si>
    <t>短期预测；超短期预测；系统硬件；预测服务1年</t>
  </si>
  <si>
    <t>ZFMD/SD-25023-SH</t>
  </si>
  <si>
    <t>长岭中电投第一风力发电有限公司</t>
    <phoneticPr fontId="22" type="noConversion"/>
  </si>
  <si>
    <t>东北区域公司长一功率预测系统改造项目合同</t>
    <phoneticPr fontId="22" type="noConversion"/>
  </si>
  <si>
    <t>ZFMD/SD-25024-SH</t>
  </si>
  <si>
    <t>吉林中电投新能源有限公司</t>
    <phoneticPr fontId="22" type="noConversion"/>
  </si>
  <si>
    <t>东北区域公司中电投功率预测系统改造项目合同</t>
    <phoneticPr fontId="22" type="noConversion"/>
  </si>
  <si>
    <t>镇赉华兴风力发电有限公司</t>
    <phoneticPr fontId="22" type="noConversion"/>
  </si>
  <si>
    <t>东北区域公司华兴功率预测系统改造项目合同</t>
    <phoneticPr fontId="22" type="noConversion"/>
  </si>
  <si>
    <t>黑鱼泡</t>
    <phoneticPr fontId="1" type="noConversion"/>
  </si>
  <si>
    <t>ZFMD/SD-25026-SH</t>
  </si>
  <si>
    <t>蒙东协合镇赉第二风力发电有限公司</t>
    <phoneticPr fontId="22" type="noConversion"/>
  </si>
  <si>
    <t>东北区域公司蒙二功率预测系统改造项目合同</t>
    <phoneticPr fontId="22" type="noConversion"/>
  </si>
  <si>
    <t>扶余市吉瑞风能有限公司</t>
    <phoneticPr fontId="22" type="noConversion"/>
  </si>
  <si>
    <t>东北区域公司扶余吉瑞功率预测系统改造项目合同</t>
    <phoneticPr fontId="22" type="noConversion"/>
  </si>
  <si>
    <t>ZFMD/SD-25028-SH</t>
  </si>
  <si>
    <t>扶余市富汇风能有限公司</t>
    <phoneticPr fontId="22" type="noConversion"/>
  </si>
  <si>
    <t>东北区域公司扶余富汇功率预测系统改造项目合同</t>
    <phoneticPr fontId="22" type="noConversion"/>
  </si>
  <si>
    <t>ZFMD/SD-25029-SH</t>
  </si>
  <si>
    <t>扶余市吉成风能有限公司</t>
    <phoneticPr fontId="22" type="noConversion"/>
  </si>
  <si>
    <t>东北区域公司扶余吉成功率预测系统改造项目合同</t>
    <phoneticPr fontId="22" type="noConversion"/>
  </si>
  <si>
    <t>ZFMD/SD-25030-SH</t>
  </si>
  <si>
    <t>东北区域公司扶余吉电功率预测系统改造项目合同</t>
    <phoneticPr fontId="22" type="noConversion"/>
  </si>
  <si>
    <t>三骏</t>
    <phoneticPr fontId="1" type="noConversion"/>
  </si>
  <si>
    <t>前郭富汇风能有限公司</t>
    <phoneticPr fontId="22" type="noConversion"/>
  </si>
  <si>
    <t>东北区域公司前郭富汇功率预测系统改造项目合同</t>
    <phoneticPr fontId="22" type="noConversion"/>
  </si>
  <si>
    <t>王府</t>
    <phoneticPr fontId="1" type="noConversion"/>
  </si>
  <si>
    <t>ZFMD/SD-25032-SH</t>
  </si>
  <si>
    <t>汪清县振发投资有限公司</t>
    <phoneticPr fontId="22" type="noConversion"/>
  </si>
  <si>
    <t>东北区域公司汪清功率预测系统改造项目合同</t>
    <phoneticPr fontId="22" type="noConversion"/>
  </si>
  <si>
    <t>汪清</t>
    <phoneticPr fontId="22" type="noConversion"/>
  </si>
  <si>
    <t>ZFMD/SD-25033-SH</t>
  </si>
  <si>
    <t>吉林泰合风力发电有限公司</t>
    <phoneticPr fontId="22" type="noConversion"/>
  </si>
  <si>
    <t>吉林里程协合风力发电有限公司</t>
    <phoneticPr fontId="22" type="noConversion"/>
  </si>
  <si>
    <t>东北区域公司里程功率预测系统改造项目合同</t>
    <phoneticPr fontId="22" type="noConversion"/>
  </si>
  <si>
    <t>镇赉</t>
  </si>
  <si>
    <t>ZFMD/KGSQ-25001</t>
    <phoneticPr fontId="1" type="noConversion"/>
  </si>
  <si>
    <t>ZFMD/SD-25022-SH</t>
    <phoneticPr fontId="22" type="noConversion"/>
  </si>
  <si>
    <t>ZFMD/KGSQ-25002</t>
  </si>
  <si>
    <t>ZFMD/SD-25025-SH</t>
    <phoneticPr fontId="22" type="noConversion"/>
  </si>
  <si>
    <t>ZFMD/KGSQ-25003</t>
  </si>
  <si>
    <t>ZFMD/SD-25027-SH</t>
    <phoneticPr fontId="22" type="noConversion"/>
  </si>
  <si>
    <t>ZFMD/KGSQ-25004</t>
  </si>
  <si>
    <t>ZFMD/KGSQ-25005</t>
  </si>
  <si>
    <t>ZFMD/SD-25031-SH</t>
    <phoneticPr fontId="22" type="noConversion"/>
  </si>
  <si>
    <t>ZFMD/KGSQ-25006</t>
  </si>
  <si>
    <t>ZFMD/SD-25034-SH</t>
    <phoneticPr fontId="22" type="noConversion"/>
  </si>
  <si>
    <t>ZFMD/SD-25035-SH</t>
  </si>
  <si>
    <t>上堡风电场2025年度风功率预测系统服务合同书</t>
    <phoneticPr fontId="1" type="noConversion"/>
  </si>
  <si>
    <t>2025.1.23</t>
    <phoneticPr fontId="22" type="noConversion"/>
  </si>
  <si>
    <t>ZFMD/SD-25036-SH</t>
  </si>
  <si>
    <t>2025.2.22</t>
    <phoneticPr fontId="22" type="noConversion"/>
  </si>
  <si>
    <t>2025.2.1</t>
    <phoneticPr fontId="22" type="noConversion"/>
  </si>
  <si>
    <t>2026.1.31</t>
    <phoneticPr fontId="22" type="noConversion"/>
  </si>
  <si>
    <t>ZFMD/SD-25037-SH</t>
  </si>
  <si>
    <t>ZFMD/SD-25038-SH</t>
  </si>
  <si>
    <t>ZFMD/KGSQ-25007</t>
  </si>
  <si>
    <t>白城市天禹新能源智慧运维有限公司</t>
    <phoneticPr fontId="22" type="noConversion"/>
  </si>
  <si>
    <t>富兴光伏电站光伏功率预测系统改造项目合同</t>
    <phoneticPr fontId="22" type="noConversion"/>
  </si>
  <si>
    <t>富兴</t>
  </si>
  <si>
    <t>2025.2.17</t>
    <phoneticPr fontId="22" type="noConversion"/>
  </si>
  <si>
    <t>2025.2.20</t>
    <phoneticPr fontId="22" type="noConversion"/>
  </si>
  <si>
    <t>黑龙江龙能电力集团有限公司</t>
    <phoneticPr fontId="22" type="noConversion"/>
  </si>
  <si>
    <t>光伏气象站设备</t>
    <phoneticPr fontId="22" type="noConversion"/>
  </si>
  <si>
    <t>昌德</t>
  </si>
  <si>
    <t>自兴</t>
    <phoneticPr fontId="22" type="noConversion"/>
  </si>
  <si>
    <t>东北区域公司泰合功率预测系统改造项目合同</t>
    <phoneticPr fontId="22" type="noConversion"/>
  </si>
  <si>
    <t>大唐巴里坤风电开发有限公司</t>
    <phoneticPr fontId="22" type="noConversion"/>
  </si>
  <si>
    <t>大唐巴里坤风电开发有限公司三塘湖风电场AVC试验服务合同</t>
    <phoneticPr fontId="22" type="noConversion"/>
  </si>
  <si>
    <t>ZFMD/SD-24157-1-SH-BG01</t>
    <phoneticPr fontId="1" type="noConversion"/>
  </si>
  <si>
    <t>ZFMD/SD-24157-2-SH-BG01</t>
    <phoneticPr fontId="1" type="noConversion"/>
  </si>
  <si>
    <t>ZFMD/SD-24157-4-SH-BG01</t>
    <phoneticPr fontId="1" type="noConversion"/>
  </si>
  <si>
    <t>ZFMD/SD-24158-SH-BG01</t>
    <phoneticPr fontId="1" type="noConversion"/>
  </si>
  <si>
    <t>ZFMD/SD-22084-SH-BG01</t>
    <phoneticPr fontId="22" type="noConversion"/>
  </si>
  <si>
    <t>ZFMD/SD-24163-1-SH-BG01
ZFMD/SD-24163-1-SH-BG02</t>
    <phoneticPr fontId="1" type="noConversion"/>
  </si>
  <si>
    <t>ZFMD/SD-24163-8-SH-BG01
ZFMD/SD-24163-8-SH-BG02</t>
    <phoneticPr fontId="1" type="noConversion"/>
  </si>
  <si>
    <t>ZFMD/SD-25039-SH</t>
  </si>
  <si>
    <t>2025.3.8</t>
    <phoneticPr fontId="22" type="noConversion"/>
  </si>
  <si>
    <t>ZFMD/SD-25040-SH</t>
  </si>
  <si>
    <t>ZFMD/SD-25041-SH</t>
  </si>
  <si>
    <t>ZFMD/SD-25043-SH</t>
  </si>
  <si>
    <t>ZFMD/SD-25044-SH</t>
  </si>
  <si>
    <t>ZFMD/SD-25045-SH</t>
  </si>
  <si>
    <t>ZFMD/SD-25046-SH</t>
  </si>
  <si>
    <t>ZFMD/SD-25047-SH</t>
  </si>
  <si>
    <t>ZFMD/SD-25048-SH</t>
  </si>
  <si>
    <t>ZFMD/SD-25049-SH</t>
  </si>
  <si>
    <t>ZFMD/SD-25050-SH</t>
  </si>
  <si>
    <t>ZFMD/SD-25051-SH</t>
  </si>
  <si>
    <t>ZFMD/SD-25052-SH</t>
  </si>
  <si>
    <t>ZFMD/SD-25053-SH</t>
  </si>
  <si>
    <t>ZFMD/SD-25056-SH</t>
  </si>
  <si>
    <t>ZFMD/SD-25057-SH</t>
  </si>
  <si>
    <t>ZFMD/SD-25058-SH</t>
  </si>
  <si>
    <t>ZFMD/SD-25059-SH</t>
  </si>
  <si>
    <t>ZFMD/SD-25060-SH</t>
  </si>
  <si>
    <t>ZFMD/SD-25061-SH</t>
  </si>
  <si>
    <t>ZFMD/SD-25062-SH</t>
  </si>
  <si>
    <t>ZFMD/SD-25063-SH</t>
  </si>
  <si>
    <t>ZFMD/SD-25054-1-SH</t>
    <phoneticPr fontId="22" type="noConversion"/>
  </si>
  <si>
    <t>ZFMD/SD-25054-2-SH</t>
  </si>
  <si>
    <t>ZFMD/SD-25055-SH</t>
    <phoneticPr fontId="22" type="noConversion"/>
  </si>
  <si>
    <t>布尔津风电一场测风塔系统更换采购合同</t>
    <phoneticPr fontId="1" type="noConversion"/>
  </si>
  <si>
    <t>东北区域公司三井子风电场预测功能优化服务合同</t>
    <phoneticPr fontId="22" type="noConversion"/>
  </si>
  <si>
    <t>技术服务（电力交易系统转发）</t>
    <phoneticPr fontId="22" type="noConversion"/>
  </si>
  <si>
    <t>2025.2.26</t>
    <phoneticPr fontId="22" type="noConversion"/>
  </si>
  <si>
    <t>东北区域公司北正风电场预测功能优化服务合同</t>
    <phoneticPr fontId="22" type="noConversion"/>
  </si>
  <si>
    <t>东北区域公司镇赉风电场预测功能优化服务合同</t>
    <phoneticPr fontId="22" type="noConversion"/>
  </si>
  <si>
    <t>蒙东协合镇赉第一风力发电有限公司</t>
    <phoneticPr fontId="22" type="noConversion"/>
  </si>
  <si>
    <t>通榆边昭风力发电有限公司</t>
    <phoneticPr fontId="22" type="noConversion"/>
  </si>
  <si>
    <t>东北区域公司宝龙风电场预测功能优化服务合同</t>
    <phoneticPr fontId="22" type="noConversion"/>
  </si>
  <si>
    <t>宝龙</t>
    <phoneticPr fontId="22" type="noConversion"/>
  </si>
  <si>
    <t>通榆开通风力发电有限公司</t>
    <phoneticPr fontId="22" type="noConversion"/>
  </si>
  <si>
    <t>东北区域公司新胜风电场预测功能优化服务合同</t>
    <phoneticPr fontId="22" type="noConversion"/>
  </si>
  <si>
    <t>新胜</t>
    <phoneticPr fontId="22" type="noConversion"/>
  </si>
  <si>
    <t>前郭县成瑞风能有限公司</t>
    <phoneticPr fontId="22" type="noConversion"/>
  </si>
  <si>
    <t>东北区域公司查干湖风电场预测功能优化服务合同</t>
    <phoneticPr fontId="22" type="noConversion"/>
  </si>
  <si>
    <t>ZFMD/SD-25064-1-SH</t>
    <phoneticPr fontId="22" type="noConversion"/>
  </si>
  <si>
    <t>ZFMD/SD-25064-2-SH</t>
  </si>
  <si>
    <t>ZFMD/SD-25064-3-SH</t>
  </si>
  <si>
    <t>ZFMD/SD-25064-4-SH</t>
  </si>
  <si>
    <t>ZFMD/SD-25064-5-SH</t>
  </si>
  <si>
    <t>ZFMD/SD-25064-6-SH</t>
  </si>
  <si>
    <t>山东睿源电力科技有限公司</t>
    <phoneticPr fontId="22" type="noConversion"/>
  </si>
  <si>
    <t>大庆分布式光伏光功率预测系统及AGC/AVC系统设备采购合同</t>
    <phoneticPr fontId="22" type="noConversion"/>
  </si>
  <si>
    <t>大庆分布式一光伏电站</t>
    <phoneticPr fontId="22" type="noConversion"/>
  </si>
  <si>
    <t>大庆分布式二光伏电站</t>
    <phoneticPr fontId="22" type="noConversion"/>
  </si>
  <si>
    <t>大庆分布式三光伏电站</t>
    <phoneticPr fontId="22" type="noConversion"/>
  </si>
  <si>
    <t>大庆分布式四光伏电站</t>
    <phoneticPr fontId="22" type="noConversion"/>
  </si>
  <si>
    <t>光伏AGC软件；光伏AVC软件；系统硬件</t>
    <phoneticPr fontId="5" type="noConversion"/>
  </si>
  <si>
    <t>2025.3.14</t>
    <phoneticPr fontId="22" type="noConversion"/>
  </si>
  <si>
    <t>ZFMD/SD-25065-SH</t>
    <phoneticPr fontId="22" type="noConversion"/>
  </si>
  <si>
    <t>ZFMD/SD-25066-SH</t>
  </si>
  <si>
    <t>2025.3.18</t>
    <phoneticPr fontId="22" type="noConversion"/>
  </si>
  <si>
    <t>ZFMD/SD-25067-1-SH</t>
    <phoneticPr fontId="22" type="noConversion"/>
  </si>
  <si>
    <t>ZFMD/SD-25067-2-SH</t>
  </si>
  <si>
    <t>2025.3.19</t>
    <phoneticPr fontId="22" type="noConversion"/>
  </si>
  <si>
    <t>大唐向阳风电有限公司向阳风电场2025年风功率预测（软硬件）系统维护务合同</t>
    <phoneticPr fontId="1" type="noConversion"/>
  </si>
  <si>
    <t>吉林通榆新唐发电有限公司繁荣风电场2025年风功率预测（软硬件）系统维护合同</t>
    <phoneticPr fontId="1" type="noConversion"/>
  </si>
  <si>
    <t>大唐中电（吉林）发电有限公司洮南大通风电场2025年风功率预测（软硬件）系统维护合同</t>
    <phoneticPr fontId="1" type="noConversion"/>
  </si>
  <si>
    <t>吉林大安新唐发电有限公司新艾里风电场2025年风功率预测（软硬件）系统维护合同</t>
    <phoneticPr fontId="1" type="noConversion"/>
  </si>
  <si>
    <t>大唐中电（吉林）新能源发电有限公司双辽分公司双辽风电场2025年风功率预测（软硬件）系统维护合同</t>
    <phoneticPr fontId="1" type="noConversion"/>
  </si>
  <si>
    <t>国投哈密风电有限公司</t>
    <phoneticPr fontId="22" type="noConversion"/>
  </si>
  <si>
    <t>国投吐鲁番风电有限公司</t>
    <phoneticPr fontId="22" type="noConversion"/>
  </si>
  <si>
    <t>国投新疆新能源有限公司</t>
    <phoneticPr fontId="22" type="noConversion"/>
  </si>
  <si>
    <t>国家开发投资集团有限公司</t>
    <phoneticPr fontId="22" type="noConversion"/>
  </si>
  <si>
    <t>国家开发投资集团有限公司新疆分公司</t>
    <phoneticPr fontId="22" type="noConversion"/>
  </si>
  <si>
    <t>国投新疆新能源有限公司所管理公司风功率预测系统升级改造合同</t>
    <phoneticPr fontId="22" type="noConversion"/>
  </si>
  <si>
    <t>国投</t>
    <phoneticPr fontId="22" type="noConversion"/>
  </si>
  <si>
    <t>哈密烟墩八A风电项目</t>
    <phoneticPr fontId="22" type="noConversion"/>
  </si>
  <si>
    <t>吐鲁番小草湖风电项目</t>
    <phoneticPr fontId="22" type="noConversion"/>
  </si>
  <si>
    <t>2025.3.12</t>
    <phoneticPr fontId="22" type="noConversion"/>
  </si>
  <si>
    <t>短期软件；超短期软件；中长期软件；系统硬件；测风塔；测风塔设备；预测服务3年，软件升级（自动巡检）</t>
    <phoneticPr fontId="1" type="noConversion"/>
  </si>
  <si>
    <t>ZFMD/SD-25068-SH</t>
    <phoneticPr fontId="22" type="noConversion"/>
  </si>
  <si>
    <t>ZFMD/SD-25069-SH</t>
    <phoneticPr fontId="22" type="noConversion"/>
  </si>
  <si>
    <t>2025.3.22</t>
    <phoneticPr fontId="22" type="noConversion"/>
  </si>
  <si>
    <t>ZFMD/SD-25070-SH</t>
  </si>
  <si>
    <t>中国华能集团</t>
    <phoneticPr fontId="22" type="noConversion"/>
  </si>
  <si>
    <t>华能湖南省公司</t>
    <phoneticPr fontId="22" type="noConversion"/>
  </si>
  <si>
    <t>华能清洁能源有限公司</t>
    <phoneticPr fontId="22" type="noConversion"/>
  </si>
  <si>
    <t>预测服务1年；技术服务</t>
    <phoneticPr fontId="22" type="noConversion"/>
  </si>
  <si>
    <t>2024.11.14</t>
    <phoneticPr fontId="22" type="noConversion"/>
  </si>
  <si>
    <t>2025.11.13</t>
    <phoneticPr fontId="22" type="noConversion"/>
  </si>
  <si>
    <t>华能湖南江口风电有限责任公司</t>
    <phoneticPr fontId="22" type="noConversion"/>
  </si>
  <si>
    <t>华能湖南江口风电场2024-2025风功率预测系统高精度气象预报数据及技术维护服务项目合同</t>
    <phoneticPr fontId="22" type="noConversion"/>
  </si>
  <si>
    <t>华能湖南梅桥风电场2024-2025风功率预测系统高精度气象预报数据及技术维护服务项目合同</t>
    <phoneticPr fontId="22" type="noConversion"/>
  </si>
  <si>
    <t>2024.12.28</t>
    <phoneticPr fontId="22" type="noConversion"/>
  </si>
  <si>
    <t>2025.12.27</t>
    <phoneticPr fontId="22" type="noConversion"/>
  </si>
  <si>
    <t>华能黑龙江分公司新能源分公司德昌光伏2025年功率预测服务</t>
    <phoneticPr fontId="22" type="noConversion"/>
  </si>
  <si>
    <t>2025.3.15</t>
    <phoneticPr fontId="22" type="noConversion"/>
  </si>
  <si>
    <t>2026.3.14</t>
    <phoneticPr fontId="22" type="noConversion"/>
  </si>
  <si>
    <t>华能大庆让胡路区清洁能源有限公司</t>
    <phoneticPr fontId="22" type="noConversion"/>
  </si>
  <si>
    <t>华能黑龙江分公司新能源分公司长荣风电、长丰风电2025年功率预测服务</t>
    <phoneticPr fontId="22" type="noConversion"/>
  </si>
  <si>
    <t>华能黑龙江分公司新能源分公司同江风电2025年功率预测服务</t>
    <phoneticPr fontId="22" type="noConversion"/>
  </si>
  <si>
    <t>华能黑龙江分公司新能源分公司长胜光伏2025年功率预测服务</t>
    <phoneticPr fontId="22" type="noConversion"/>
  </si>
  <si>
    <t>阳光智维科技股份有限公司三峡辽宁彰武24MW电站光功率预测系统维护服务合同</t>
    <phoneticPr fontId="22" type="noConversion"/>
  </si>
  <si>
    <t>中国三峡新能源（集团）股份有限公司辽宁分公司</t>
    <phoneticPr fontId="1" type="noConversion"/>
  </si>
  <si>
    <t>中国三峡新能源（集团）股份有限公司</t>
    <phoneticPr fontId="22" type="noConversion"/>
  </si>
  <si>
    <t>2025.3.5</t>
    <phoneticPr fontId="22" type="noConversion"/>
  </si>
  <si>
    <t>2024.11.8</t>
    <phoneticPr fontId="22" type="noConversion"/>
  </si>
  <si>
    <t>2025.11.7</t>
    <phoneticPr fontId="22" type="noConversion"/>
  </si>
  <si>
    <t>吉林省光华风电投资有限公司到保风电场风电功率预测系统</t>
    <phoneticPr fontId="22" type="noConversion"/>
  </si>
  <si>
    <t>2025.3.17</t>
    <phoneticPr fontId="22" type="noConversion"/>
  </si>
  <si>
    <t>2025.3.1</t>
    <phoneticPr fontId="22" type="noConversion"/>
  </si>
  <si>
    <t>2027.2.28</t>
    <phoneticPr fontId="22" type="noConversion"/>
  </si>
  <si>
    <t>2025.3.20</t>
    <phoneticPr fontId="22" type="noConversion"/>
  </si>
  <si>
    <t>ZFMD/SD-25071-1-SH</t>
    <phoneticPr fontId="22" type="noConversion"/>
  </si>
  <si>
    <t>ZFMD/SD-25071-2-SH</t>
  </si>
  <si>
    <t>黑龙江省大庆市林甸县宝升分布式光伏光功率预测系统及AGC/AVC系统设备采购合同</t>
    <phoneticPr fontId="22" type="noConversion"/>
  </si>
  <si>
    <t>大庆宝升分布式光伏电站</t>
    <phoneticPr fontId="22" type="noConversion"/>
  </si>
  <si>
    <t>2025.3.26</t>
    <phoneticPr fontId="22" type="noConversion"/>
  </si>
  <si>
    <t>台安桑林风力发电有限公司集中功率预测接入风电场站功率预测数据技术服务合同</t>
    <phoneticPr fontId="1" type="noConversion"/>
  </si>
  <si>
    <t>华电新能源吉林公司</t>
    <phoneticPr fontId="1" type="noConversion"/>
  </si>
  <si>
    <t>华电伊通满足自治县能源有限公司</t>
    <phoneticPr fontId="1" type="noConversion"/>
  </si>
  <si>
    <t>ZFMD/SD-24159-SH-BG01</t>
    <phoneticPr fontId="1" type="noConversion"/>
  </si>
  <si>
    <t>ZFMD/SD-24128-SH-BG01</t>
    <phoneticPr fontId="1" type="noConversion"/>
  </si>
  <si>
    <t>ZFMD/SD-24129-SH-BG01</t>
    <phoneticPr fontId="1" type="noConversion"/>
  </si>
  <si>
    <t>ZFMD/SD-24157-6-SH-BG01</t>
    <phoneticPr fontId="1" type="noConversion"/>
  </si>
  <si>
    <t>ZFMD/SD-25072-SH</t>
    <phoneticPr fontId="22" type="noConversion"/>
  </si>
  <si>
    <t>ZFMD/KGSQ-25012</t>
  </si>
  <si>
    <t>中电投新疆能源化工集团博州有限责任公司</t>
    <phoneticPr fontId="22" type="noConversion"/>
  </si>
  <si>
    <t>中电投新疆能源化工集团博州有限责任公司规划建设风电项目测风塔采购合同</t>
    <phoneticPr fontId="22" type="noConversion"/>
  </si>
  <si>
    <t>博州公司伊犁特克斯县风电项目</t>
    <phoneticPr fontId="22" type="noConversion"/>
  </si>
  <si>
    <t>2025.3.7</t>
    <phoneticPr fontId="22" type="noConversion"/>
  </si>
  <si>
    <t>2025.3.31</t>
    <phoneticPr fontId="22" type="noConversion"/>
  </si>
  <si>
    <t>ZFMD/SD-25073-SH</t>
  </si>
  <si>
    <t>2025.4.3</t>
    <phoneticPr fontId="22" type="noConversion"/>
  </si>
  <si>
    <t>ZFMD/SD-25074-SH</t>
  </si>
  <si>
    <t>交付部门</t>
    <phoneticPr fontId="22" type="noConversion"/>
  </si>
  <si>
    <t>项目经理</t>
    <phoneticPr fontId="22" type="noConversion"/>
  </si>
  <si>
    <t>ZFMD/SD-24161-2-SH-BG01</t>
    <phoneticPr fontId="1" type="noConversion"/>
  </si>
  <si>
    <t>ZFMD/SD-25075-SH</t>
  </si>
  <si>
    <t>2025.4.7</t>
    <phoneticPr fontId="22" type="noConversion"/>
  </si>
  <si>
    <t>ZFMD/SHFW-2024042
ZFMD/SHFW-2025007</t>
    <phoneticPr fontId="22" type="noConversion"/>
  </si>
  <si>
    <t>短期软件；超短期软件；系统硬件；集控高级应用；预测服务1年</t>
    <phoneticPr fontId="1" type="noConversion"/>
  </si>
  <si>
    <t>ZFMD/SD-24157-5-SH-BG01</t>
    <phoneticPr fontId="1" type="noConversion"/>
  </si>
  <si>
    <t>东北区域公司黑鱼泡风电场预测功能优化服务合同</t>
    <phoneticPr fontId="22" type="noConversion"/>
  </si>
  <si>
    <t>亿科</t>
    <phoneticPr fontId="22" type="noConversion"/>
  </si>
  <si>
    <t>扶余吉电新能源有限公司</t>
    <phoneticPr fontId="22" type="noConversion"/>
  </si>
  <si>
    <t>东北区域公司三骏风电场预测功能优化服务合同</t>
    <phoneticPr fontId="22" type="noConversion"/>
  </si>
  <si>
    <t>三骏</t>
    <phoneticPr fontId="22" type="noConversion"/>
  </si>
  <si>
    <t>能科</t>
    <phoneticPr fontId="22" type="noConversion"/>
  </si>
  <si>
    <t>东北区域公司汪清光伏电站预测功能优化服务合同</t>
    <phoneticPr fontId="22" type="noConversion"/>
  </si>
  <si>
    <t>嘉悦</t>
    <phoneticPr fontId="22" type="noConversion"/>
  </si>
  <si>
    <t>长岭县世景新能源有限公司</t>
    <phoneticPr fontId="22" type="noConversion"/>
  </si>
  <si>
    <t>东北区域公司大兴光伏电站预测功能优化服务合同</t>
    <phoneticPr fontId="22" type="noConversion"/>
  </si>
  <si>
    <t>大兴</t>
    <phoneticPr fontId="22" type="noConversion"/>
  </si>
  <si>
    <t>蛟河吉电绿色能源有限公司</t>
    <phoneticPr fontId="22" type="noConversion"/>
  </si>
  <si>
    <t>东北区域公司蛟河光伏电站预测功能优化服务合同</t>
    <phoneticPr fontId="22" type="noConversion"/>
  </si>
  <si>
    <t>蛟河</t>
    <phoneticPr fontId="22" type="noConversion"/>
  </si>
  <si>
    <t>国能</t>
    <phoneticPr fontId="22" type="noConversion"/>
  </si>
  <si>
    <t>洮南杭泰太阳能发电有限公司</t>
    <phoneticPr fontId="22" type="noConversion"/>
  </si>
  <si>
    <t>东北区域公司正泰光伏电站预测功能优化服务合同</t>
    <phoneticPr fontId="22" type="noConversion"/>
  </si>
  <si>
    <t>正泰</t>
    <phoneticPr fontId="22" type="noConversion"/>
  </si>
  <si>
    <t>松原市上元新能源有限公司</t>
    <phoneticPr fontId="22" type="noConversion"/>
  </si>
  <si>
    <t>东北区域公司富邦光伏电站预测功能优化服务合同</t>
    <phoneticPr fontId="22" type="noConversion"/>
  </si>
  <si>
    <t>富邦</t>
    <phoneticPr fontId="22" type="noConversion"/>
  </si>
  <si>
    <t>东北区域公司王府风电场预测功能优化服务合同</t>
    <phoneticPr fontId="22" type="noConversion"/>
  </si>
  <si>
    <t>王府</t>
    <phoneticPr fontId="22" type="noConversion"/>
  </si>
  <si>
    <t>ZFMD/SHFW-2025009</t>
    <phoneticPr fontId="5" type="noConversion"/>
  </si>
  <si>
    <t>辽宁电力经济开发公司</t>
    <phoneticPr fontId="22" type="noConversion"/>
  </si>
  <si>
    <t>2024.12.26</t>
    <phoneticPr fontId="22" type="noConversion"/>
  </si>
  <si>
    <t>湖北天睿智电科技有限公司</t>
    <phoneticPr fontId="22" type="noConversion"/>
  </si>
  <si>
    <t>辽宁三峡调兵山风电场AGC系统远程配合数据接入调试专项技术服务合同</t>
    <phoneticPr fontId="22" type="noConversion"/>
  </si>
  <si>
    <t>中国三峡新能源（集团）股份有限公司辽宁分公司</t>
    <phoneticPr fontId="22" type="noConversion"/>
  </si>
  <si>
    <t>中国三峡</t>
    <phoneticPr fontId="22" type="noConversion"/>
  </si>
  <si>
    <t>中国三峡辽宁省公司</t>
    <phoneticPr fontId="22" type="noConversion"/>
  </si>
  <si>
    <t>技术服务（数据接入）</t>
    <phoneticPr fontId="22" type="noConversion"/>
  </si>
  <si>
    <t>2025.4.1</t>
    <phoneticPr fontId="22" type="noConversion"/>
  </si>
  <si>
    <t>国能源投资黑龙江分公司</t>
    <phoneticPr fontId="22" type="noConversion"/>
  </si>
  <si>
    <t>国华能源投资有限公司</t>
    <phoneticPr fontId="22" type="noConversion"/>
  </si>
  <si>
    <t>国家能源集团</t>
    <phoneticPr fontId="22" type="noConversion"/>
  </si>
  <si>
    <t>2025.4.8</t>
    <phoneticPr fontId="22" type="noConversion"/>
  </si>
  <si>
    <t>2025.4.8开票占号</t>
    <phoneticPr fontId="22" type="noConversion"/>
  </si>
  <si>
    <t>ZFMD/SHFW-2024049</t>
    <phoneticPr fontId="5" type="noConversion"/>
  </si>
  <si>
    <t>ZFMD/SD-24080-SH-BG01
ZFMD/SD-24080-SH-BG02</t>
    <phoneticPr fontId="1" type="noConversion"/>
  </si>
  <si>
    <t>ZFMD/SD-24161-1-SH-BG01</t>
    <phoneticPr fontId="1" type="noConversion"/>
  </si>
  <si>
    <t>ZFMD/SD-25067-1-SH-BG01</t>
    <phoneticPr fontId="5" type="noConversion"/>
  </si>
  <si>
    <t>ZFMD/SD-25067-2-SH-BG01</t>
    <phoneticPr fontId="22" type="noConversion"/>
  </si>
  <si>
    <t>ZFMD/SD-24157-3-SH-BG01</t>
    <phoneticPr fontId="1" type="noConversion"/>
  </si>
  <si>
    <t>ZFMD/SD-25076-SH</t>
  </si>
  <si>
    <t>2025.4.19</t>
    <phoneticPr fontId="22" type="noConversion"/>
  </si>
  <si>
    <t>ZFMD/SHFW-2024019</t>
    <phoneticPr fontId="1" type="noConversion"/>
  </si>
  <si>
    <t>2025.1.14</t>
    <phoneticPr fontId="1" type="noConversion"/>
  </si>
  <si>
    <t>2025年4月1日，签订合同变更协议，合同服务期变为2024.9.15-2025.1.14.合同金额由5万元变更为1.666667万元</t>
    <phoneticPr fontId="1" type="noConversion"/>
  </si>
  <si>
    <t>2024.11.26开票占号。2025年4月16日，我司决定放弃上述7个场站可用功率优化合同的全部合同款项</t>
    <phoneticPr fontId="1" type="noConversion"/>
  </si>
  <si>
    <t>2024.11.28开票占号。2025年4月16日，我司决定放弃上述7个场站可用功率优化合同的全部合同款项</t>
    <phoneticPr fontId="1" type="noConversion"/>
  </si>
  <si>
    <t>ZFMD/SD-24160-SH-BG01</t>
    <phoneticPr fontId="1" type="noConversion"/>
  </si>
  <si>
    <t>ZFMD/SD-25078-SH</t>
  </si>
  <si>
    <t>2025.4.23</t>
    <phoneticPr fontId="22" type="noConversion"/>
  </si>
  <si>
    <t>2025.4.23开票占号</t>
    <phoneticPr fontId="22" type="noConversion"/>
  </si>
  <si>
    <t>ZFMD/SD-25079-SH</t>
  </si>
  <si>
    <t>2025.4.27</t>
    <phoneticPr fontId="22" type="noConversion"/>
  </si>
  <si>
    <t>ZFMD/SD-25080-SH</t>
  </si>
  <si>
    <t>ZFMD/KGSQ-25046</t>
  </si>
  <si>
    <t>天山北麓基地610万千瓦新能源项目</t>
    <phoneticPr fontId="1" type="noConversion"/>
  </si>
  <si>
    <t>新疆天山发电新能源</t>
    <phoneticPr fontId="22" type="noConversion"/>
  </si>
  <si>
    <t>2025.4.28</t>
    <phoneticPr fontId="22" type="noConversion"/>
  </si>
  <si>
    <t>ZFMD/SD-25081-SH</t>
  </si>
  <si>
    <t>ZFMD/SD-25082-SH</t>
  </si>
  <si>
    <t>ZFMD/KGSQ-25008</t>
    <phoneticPr fontId="1" type="noConversion"/>
  </si>
  <si>
    <t>北京中电聚能新技术有限公司</t>
    <phoneticPr fontId="22" type="noConversion"/>
  </si>
  <si>
    <t>黑龙江通河风电项目二期工程风功率预测系统设备采购合同</t>
    <phoneticPr fontId="22" type="noConversion"/>
  </si>
  <si>
    <t>国能</t>
    <phoneticPr fontId="1" type="noConversion"/>
  </si>
  <si>
    <t>通河二期</t>
    <phoneticPr fontId="1" type="noConversion"/>
  </si>
  <si>
    <t>中国电建集团</t>
    <phoneticPr fontId="22" type="noConversion"/>
  </si>
  <si>
    <t>山东电建</t>
    <phoneticPr fontId="22" type="noConversion"/>
  </si>
  <si>
    <t>山东电建东北公司</t>
    <phoneticPr fontId="22" type="noConversion"/>
  </si>
  <si>
    <t>2025.4</t>
    <phoneticPr fontId="22" type="noConversion"/>
  </si>
  <si>
    <t>ZFMD/SD-25077-1-SH</t>
    <phoneticPr fontId="22" type="noConversion"/>
  </si>
  <si>
    <t>ZFMD/SD-25077-2-SH</t>
  </si>
  <si>
    <t>ZFMD/SD-25077-3-SH</t>
  </si>
  <si>
    <t>ZFMD/SD-25077-4-SH</t>
  </si>
  <si>
    <t>ZFMD/SD-25077-5-SH</t>
  </si>
  <si>
    <t>ZFMD/SD-25077-6-SH</t>
  </si>
  <si>
    <t>ZFMD/SD-25077-7-SH</t>
  </si>
  <si>
    <t>ZFMD/SD-25077-8-SH</t>
  </si>
  <si>
    <t>ZFMD/SD-25077-9-SH</t>
  </si>
  <si>
    <t>ZFMD/SD-25077-10-SH</t>
  </si>
  <si>
    <t>ZFMD/SD-25077-11-SH</t>
  </si>
  <si>
    <t>ZFMD/SD-25077-12-SH</t>
  </si>
  <si>
    <t>ZFMD/SD-25077-13-SH</t>
  </si>
  <si>
    <t>ZFMD/SD-25077-14-SH</t>
  </si>
  <si>
    <t>ZFMD/SD-25077-15-SH</t>
  </si>
  <si>
    <t>ZFMD/SD-25077-16-SH</t>
  </si>
  <si>
    <t>ZFMD/SD-25077-17-SH</t>
  </si>
  <si>
    <t>ZFMD/SD-25077-18-SH</t>
  </si>
  <si>
    <t>ZFMD/SD-25077-19-SH</t>
  </si>
  <si>
    <t>ZFMD/SD-25077-20-SH</t>
  </si>
  <si>
    <t>ZFMD/SD-25077-21-SH</t>
  </si>
  <si>
    <t>ZFMD/SD-25077-22-SH</t>
  </si>
  <si>
    <t>ZFMD/SD-25077-23-SH</t>
  </si>
  <si>
    <t>ZFMD/SD-25077-24-SH</t>
  </si>
  <si>
    <t>ZFMD/SD-25077-25-SH</t>
  </si>
  <si>
    <t>ZFMD/SD-25077-26-SH</t>
  </si>
  <si>
    <t>ZFMD/SD-25077-27-SH</t>
  </si>
  <si>
    <t>ZFMD/SD-25077-28-SH</t>
  </si>
  <si>
    <t>ZFMD/SD-25077-29-SH</t>
  </si>
  <si>
    <t>ZFMD/KGSQ-25013</t>
  </si>
  <si>
    <t>ZFMD/KGSQ-25014</t>
  </si>
  <si>
    <t>ZFMD/KGSQ-25015</t>
  </si>
  <si>
    <t>ZFMD/KGSQ-25016</t>
  </si>
  <si>
    <t>ZFMD/KGSQ-25017</t>
  </si>
  <si>
    <t>ZFMD/KGSQ-25018</t>
  </si>
  <si>
    <t>ZFMD/KGSQ-25019</t>
  </si>
  <si>
    <t>ZFMD/KGSQ-25020</t>
  </si>
  <si>
    <t>ZFMD/KGSQ-25021</t>
  </si>
  <si>
    <t>ZFMD/KGSQ-25022</t>
  </si>
  <si>
    <t>ZFMD/KGSQ-25023</t>
  </si>
  <si>
    <t>ZFMD/KGSQ-25024</t>
  </si>
  <si>
    <t>ZFMD/KGSQ-25025</t>
  </si>
  <si>
    <t>ZFMD/KGSQ-25026</t>
  </si>
  <si>
    <t>ZFMD/KGSQ-25027</t>
  </si>
  <si>
    <t>ZFMD/KGSQ-25028</t>
  </si>
  <si>
    <t>ZFMD/KGSQ-25029</t>
  </si>
  <si>
    <t>ZFMD/KGSQ-25030</t>
  </si>
  <si>
    <t>ZFMD/KGSQ-25031</t>
  </si>
  <si>
    <t>ZFMD/KGSQ-25032</t>
  </si>
  <si>
    <t>ZFMD/KGSQ-25033</t>
  </si>
  <si>
    <t>ZFMD/KGSQ-25034</t>
  </si>
  <si>
    <t>ZFMD/KGSQ-25035</t>
  </si>
  <si>
    <t>ZFMD/KGSQ-25036</t>
  </si>
  <si>
    <t>ZFMD/KGSQ-25037</t>
  </si>
  <si>
    <t>ZFMD/KGSQ-25038</t>
  </si>
  <si>
    <t>ZFMD/KGSQ-25039</t>
  </si>
  <si>
    <t>ZFMD/KGSQ-25040</t>
  </si>
  <si>
    <t>ZFMD/KGSQ-25041</t>
  </si>
  <si>
    <t>南京南自华盾数字技术有限公司</t>
    <phoneticPr fontId="22" type="noConversion"/>
  </si>
  <si>
    <t>服务合同书</t>
    <phoneticPr fontId="22" type="noConversion"/>
  </si>
  <si>
    <t>石青山</t>
    <phoneticPr fontId="1" type="noConversion"/>
  </si>
  <si>
    <t>渠首</t>
    <phoneticPr fontId="1" type="noConversion"/>
  </si>
  <si>
    <t>七里嘎山（七里嘎山+前锋）</t>
    <phoneticPr fontId="1" type="noConversion"/>
  </si>
  <si>
    <t>万龙</t>
    <phoneticPr fontId="1" type="noConversion"/>
  </si>
  <si>
    <t>华电苦水东风电一场</t>
    <phoneticPr fontId="1" type="noConversion"/>
  </si>
  <si>
    <t>华电嘉利二场（十三间房三期）+华电嘉利三场（十三间房四期）</t>
    <phoneticPr fontId="1" type="noConversion"/>
  </si>
  <si>
    <t>力诺石城子光伏一电站</t>
    <phoneticPr fontId="1" type="noConversion"/>
  </si>
  <si>
    <t>华电石城子光伏电站</t>
    <phoneticPr fontId="1" type="noConversion"/>
  </si>
  <si>
    <t>东方民生石城子光伏一电站</t>
    <phoneticPr fontId="1" type="noConversion"/>
  </si>
  <si>
    <t>小草湖一期+小草湖二期</t>
    <phoneticPr fontId="1" type="noConversion"/>
  </si>
  <si>
    <t>东方民生淖毛湖</t>
    <phoneticPr fontId="1" type="noConversion"/>
  </si>
  <si>
    <t>塔城托里</t>
    <phoneticPr fontId="1" type="noConversion"/>
  </si>
  <si>
    <t>哈密一通道40万千瓦风电</t>
    <phoneticPr fontId="1" type="noConversion"/>
  </si>
  <si>
    <t>哈密一通道10万千瓦光伏</t>
    <phoneticPr fontId="1" type="noConversion"/>
  </si>
  <si>
    <t>七里嘎山+前锋</t>
    <phoneticPr fontId="22" type="noConversion"/>
  </si>
  <si>
    <t>软件升级（接口改造）</t>
    <phoneticPr fontId="1" type="noConversion"/>
  </si>
  <si>
    <t>2025.4.11</t>
    <phoneticPr fontId="22" type="noConversion"/>
  </si>
  <si>
    <t>华电嘉利一场</t>
    <phoneticPr fontId="1" type="noConversion"/>
  </si>
  <si>
    <t>十三间房一二期</t>
    <phoneticPr fontId="22" type="noConversion"/>
  </si>
  <si>
    <t>库车轮台火光储多能互补项目（巴州部分）轮台项目</t>
    <phoneticPr fontId="22" type="noConversion"/>
  </si>
  <si>
    <t>40万光伏电站七星光伏</t>
  </si>
  <si>
    <t>呼图壁县蜂巢100MW（400MWh)储能配套400MW光伏项目</t>
    <phoneticPr fontId="22" type="noConversion"/>
  </si>
  <si>
    <t>山门</t>
  </si>
  <si>
    <t>ZFMD/SHFW-2025014</t>
    <phoneticPr fontId="22" type="noConversion"/>
  </si>
  <si>
    <t>北安市上电新能源有限公司</t>
    <phoneticPr fontId="22" type="noConversion"/>
  </si>
  <si>
    <t>框架协议采购订单</t>
    <phoneticPr fontId="22" type="noConversion"/>
  </si>
  <si>
    <t>赵光</t>
    <phoneticPr fontId="22" type="noConversion"/>
  </si>
  <si>
    <t>ZFMD/KGSQ-25045</t>
  </si>
  <si>
    <t>ZFMD/KGSQ-25043</t>
  </si>
  <si>
    <t>ZFMD/KGSQ-25044</t>
  </si>
  <si>
    <t>系统硬件；测风塔；测风塔设备</t>
    <phoneticPr fontId="1" type="noConversion"/>
  </si>
  <si>
    <t>五凌电力托克逊风电场风功率预测系统国产化改造项目合同</t>
    <phoneticPr fontId="22" type="noConversion"/>
  </si>
  <si>
    <t>2025.4.24</t>
    <phoneticPr fontId="22" type="noConversion"/>
  </si>
  <si>
    <t>运算服务中心</t>
    <phoneticPr fontId="1" type="noConversion"/>
  </si>
  <si>
    <t>鞠文强</t>
    <phoneticPr fontId="1" type="noConversion"/>
  </si>
  <si>
    <t>五凌布尔津电力有限公司</t>
    <phoneticPr fontId="22" type="noConversion"/>
  </si>
  <si>
    <t>五凌电力布尔津风电场风功率预测系统国产化改造项目合同</t>
    <phoneticPr fontId="22" type="noConversion"/>
  </si>
  <si>
    <t>ZFMD/SD-25080-SH-BG01</t>
    <phoneticPr fontId="22" type="noConversion"/>
  </si>
  <si>
    <t>华电轮台热电有限公司</t>
    <phoneticPr fontId="1" type="noConversion"/>
  </si>
  <si>
    <t>华电新疆昌吉分公司</t>
    <phoneticPr fontId="1" type="noConversion"/>
  </si>
  <si>
    <t>运算服务中心</t>
    <phoneticPr fontId="5" type="noConversion"/>
  </si>
  <si>
    <t>工程项目部</t>
    <phoneticPr fontId="5" type="noConversion"/>
  </si>
  <si>
    <t>吴世伟</t>
    <phoneticPr fontId="1" type="noConversion"/>
  </si>
  <si>
    <t>佟兆宇</t>
    <phoneticPr fontId="1" type="noConversion"/>
  </si>
  <si>
    <t>李文隆</t>
    <phoneticPr fontId="1" type="noConversion"/>
  </si>
  <si>
    <t>张国万</t>
    <phoneticPr fontId="1" type="noConversion"/>
  </si>
  <si>
    <t>赵国龙</t>
    <phoneticPr fontId="1" type="noConversion"/>
  </si>
  <si>
    <t>鞠云峰</t>
    <phoneticPr fontId="5" type="noConversion"/>
  </si>
  <si>
    <t>鞠文强</t>
    <phoneticPr fontId="5" type="noConversion"/>
  </si>
  <si>
    <t>ZFMD/SHFW-2025015</t>
    <phoneticPr fontId="1" type="noConversion"/>
  </si>
  <si>
    <t>ZFMD/SHFW-2025011</t>
    <phoneticPr fontId="5" type="noConversion"/>
  </si>
  <si>
    <t>ZFMD/SD-25083-SH</t>
  </si>
  <si>
    <t>三峡新能源大安海坨风电场测风塔及风功率预测系统维修采购合同</t>
    <phoneticPr fontId="22" type="noConversion"/>
  </si>
  <si>
    <t>系统硬件；测风塔设备；测风塔维护</t>
    <phoneticPr fontId="22" type="noConversion"/>
  </si>
  <si>
    <t>ZFMD/SHFW-2025006
ZFMD/SHFW-2025008
ZFMD/SHFW-2025010</t>
    <phoneticPr fontId="22" type="noConversion"/>
  </si>
  <si>
    <t>2025.5.10</t>
    <phoneticPr fontId="22" type="noConversion"/>
  </si>
  <si>
    <t>2025.4.14</t>
    <phoneticPr fontId="22" type="noConversion"/>
  </si>
  <si>
    <t>李文隆</t>
    <phoneticPr fontId="22" type="noConversion"/>
  </si>
  <si>
    <t>ZFMD/SD-25084-SH</t>
  </si>
  <si>
    <t>ZFMD/SD-25085-SH</t>
  </si>
  <si>
    <t>2025.5.16</t>
    <phoneticPr fontId="22" type="noConversion"/>
  </si>
  <si>
    <t>ZFMD/SD-25086-SH</t>
  </si>
  <si>
    <t>中铁十五局集团上海新能源发展有限公司</t>
    <phoneticPr fontId="22" type="noConversion"/>
  </si>
  <si>
    <t>综合通讯改造技术服务合同</t>
    <phoneticPr fontId="22" type="noConversion"/>
  </si>
  <si>
    <t>齐齐哈尔永安</t>
    <phoneticPr fontId="22" type="noConversion"/>
  </si>
  <si>
    <t>软件升级（上传数据时间修改）</t>
    <phoneticPr fontId="22" type="noConversion"/>
  </si>
  <si>
    <t>2025.5.13</t>
    <phoneticPr fontId="22" type="noConversion"/>
  </si>
  <si>
    <t>依兰项目综合通讯技术服务合同</t>
    <phoneticPr fontId="22" type="noConversion"/>
  </si>
  <si>
    <t>依兰东升E、F区</t>
    <phoneticPr fontId="22" type="noConversion"/>
  </si>
  <si>
    <t>双发E区、依兰E区、依兰F区、依兰东升</t>
    <phoneticPr fontId="22" type="noConversion"/>
  </si>
  <si>
    <t>2025.5.19</t>
    <phoneticPr fontId="22" type="noConversion"/>
  </si>
  <si>
    <t>宾县协合风力发电有限公司</t>
    <phoneticPr fontId="22" type="noConversion"/>
  </si>
  <si>
    <t>宾县协合</t>
    <phoneticPr fontId="22" type="noConversion"/>
  </si>
  <si>
    <t>宾县兴宾</t>
    <phoneticPr fontId="22" type="noConversion"/>
  </si>
  <si>
    <t>2025.5.22</t>
    <phoneticPr fontId="22" type="noConversion"/>
  </si>
  <si>
    <t>ZFMD/SD-25087-SH</t>
  </si>
  <si>
    <t>2025.5.24</t>
    <phoneticPr fontId="22" type="noConversion"/>
  </si>
  <si>
    <t>ZFMD/SHFW-2025016</t>
    <phoneticPr fontId="22" type="noConversion"/>
  </si>
  <si>
    <t>无锡博耳光伏科技有限公司</t>
    <phoneticPr fontId="22" type="noConversion"/>
  </si>
  <si>
    <t>2025.5.20</t>
    <phoneticPr fontId="22" type="noConversion"/>
  </si>
  <si>
    <t>ZFMD/KGSQ-25050</t>
  </si>
  <si>
    <t>ZFMD/KGSQ-25051</t>
  </si>
  <si>
    <t>2025.5.30</t>
    <phoneticPr fontId="22" type="noConversion"/>
  </si>
  <si>
    <t>2025.5.30.</t>
    <phoneticPr fontId="22" type="noConversion"/>
  </si>
  <si>
    <t>ZFMD/SD-25088-1-SH</t>
    <phoneticPr fontId="22" type="noConversion"/>
  </si>
  <si>
    <t>ZFMD/SD-25088-2-SH</t>
    <phoneticPr fontId="22" type="noConversion"/>
  </si>
  <si>
    <t>ZFMD/SD-25089-SH</t>
    <phoneticPr fontId="22" type="noConversion"/>
  </si>
  <si>
    <t>中广核四海光伏电站及正泰光荣光伏电站光伏功率预测系统改造项目合同</t>
    <phoneticPr fontId="22" type="noConversion"/>
  </si>
  <si>
    <t>正泰光荣</t>
    <phoneticPr fontId="1" type="noConversion"/>
  </si>
  <si>
    <t>四海</t>
    <phoneticPr fontId="1" type="noConversion"/>
  </si>
  <si>
    <t>2025.5.27</t>
    <phoneticPr fontId="22" type="noConversion"/>
  </si>
  <si>
    <t>2025-2028年乌尔古力、五顶山风电场风功率预测系统维护及数值天气预报服务合同</t>
    <phoneticPr fontId="1" type="noConversion"/>
  </si>
  <si>
    <t>2025.5.28</t>
    <phoneticPr fontId="22" type="noConversion"/>
  </si>
  <si>
    <t>2028.5.27</t>
    <phoneticPr fontId="22" type="noConversion"/>
  </si>
  <si>
    <t>ZFMD/SHFW-2025018</t>
    <phoneticPr fontId="5" type="noConversion"/>
  </si>
  <si>
    <t>ZFMD/SHFW-2025004</t>
    <phoneticPr fontId="5" type="noConversion"/>
  </si>
  <si>
    <t>ZFMD/SD-25042-SH</t>
    <phoneticPr fontId="22" type="noConversion"/>
  </si>
  <si>
    <t>ZFMD/KGSQ-24033</t>
    <phoneticPr fontId="5" type="noConversion"/>
  </si>
  <si>
    <t>23168-2025</t>
    <phoneticPr fontId="22" type="noConversion"/>
  </si>
  <si>
    <t>2025.6.10</t>
    <phoneticPr fontId="22" type="noConversion"/>
  </si>
  <si>
    <t>2025.12.14</t>
    <phoneticPr fontId="1" type="noConversion"/>
  </si>
  <si>
    <t>根据合同23168合同条款，自动续签三年，到2027.12.14</t>
    <phoneticPr fontId="22" type="noConversion"/>
  </si>
  <si>
    <t>中船海装风电有限公司</t>
    <phoneticPr fontId="22" type="noConversion"/>
  </si>
  <si>
    <t>ZFMD/KGSQ-25042</t>
  </si>
  <si>
    <t>天山北麓基地</t>
    <phoneticPr fontId="1" type="noConversion"/>
  </si>
  <si>
    <t>短期软件；超短期软件；系统硬件；测风塔1；测风塔1设备；测风塔2；测风塔2设备；预测服务5年</t>
    <phoneticPr fontId="1" type="noConversion"/>
  </si>
  <si>
    <t>中船海装风电有限公司采购合同</t>
    <phoneticPr fontId="22" type="noConversion"/>
  </si>
  <si>
    <t>2025.6.7</t>
    <phoneticPr fontId="22" type="noConversion"/>
  </si>
  <si>
    <t>华电新疆天山绿能</t>
    <phoneticPr fontId="1" type="noConversion"/>
  </si>
  <si>
    <t>伊吾1、2风电场</t>
    <phoneticPr fontId="22" type="noConversion"/>
  </si>
  <si>
    <t>ZFMD/SD-25091-SH</t>
  </si>
  <si>
    <t>ZFMD/SD-25092-SH</t>
  </si>
  <si>
    <t>ZFMD/SD-25093-SH</t>
  </si>
  <si>
    <t>ZFMD/SD-25094-SH</t>
  </si>
  <si>
    <t>福能（漳州）风力发电有限责任公司隆教风电场风功率预测系统服务器主备机改造采购合同</t>
    <phoneticPr fontId="1" type="noConversion"/>
  </si>
  <si>
    <t>软件升级（双击热备）</t>
    <phoneticPr fontId="22" type="noConversion"/>
  </si>
  <si>
    <t>2025.5</t>
    <phoneticPr fontId="22" type="noConversion"/>
  </si>
  <si>
    <t>福能（仙游）风力发电有限责任公司草山风电场风功率预测系统服务器主备机改造采购合同</t>
    <phoneticPr fontId="1" type="noConversion"/>
  </si>
  <si>
    <t>福能（龙海）风力发电有限责任公司省山风电场风功率预测系统服务器主备机改造采购合同</t>
    <phoneticPr fontId="1" type="noConversion"/>
  </si>
  <si>
    <t>福能平海（莆田）风力发电有限公司石塘风电场风功率预测系统服务器主备机改造采购合同</t>
    <phoneticPr fontId="1" type="noConversion"/>
  </si>
  <si>
    <t>ZFMD/SD-25095-SH</t>
  </si>
  <si>
    <t>华电铁岭风电公司镇西堡风场2025年风功率预测服务项目合同</t>
    <phoneticPr fontId="1" type="noConversion"/>
  </si>
  <si>
    <t>2025.6</t>
    <phoneticPr fontId="22" type="noConversion"/>
  </si>
  <si>
    <t>2025.6.5</t>
    <phoneticPr fontId="22" type="noConversion"/>
  </si>
  <si>
    <t>2025.6.30</t>
    <phoneticPr fontId="22" type="noConversion"/>
  </si>
  <si>
    <t>ZFMD/SD-25096-SH</t>
  </si>
  <si>
    <t>ZFMD/SD-25097-SH</t>
  </si>
  <si>
    <t>ZFMD/SD-25098-SH</t>
  </si>
  <si>
    <t>ZFMD/SD-25099-SH</t>
  </si>
  <si>
    <t>朝阳华岩新能源有限公司</t>
    <phoneticPr fontId="22" type="noConversion"/>
  </si>
  <si>
    <t>华岩东大屯光伏光功率预测系统气象服务及维护合同</t>
    <phoneticPr fontId="22" type="noConversion"/>
  </si>
  <si>
    <t>朝阳德光综合能源发展有限公司</t>
    <phoneticPr fontId="22" type="noConversion"/>
  </si>
  <si>
    <t>德光光伏光功率预测系统气象服务及维护合同</t>
    <phoneticPr fontId="22" type="noConversion"/>
  </si>
  <si>
    <t>朝阳丰宇能源发展有限公司</t>
    <phoneticPr fontId="22" type="noConversion"/>
  </si>
  <si>
    <t>南双庙光伏光功率预测系统气象服务及维护合同</t>
    <phoneticPr fontId="22" type="noConversion"/>
  </si>
  <si>
    <t>华岩东大屯</t>
    <phoneticPr fontId="22" type="noConversion"/>
  </si>
  <si>
    <t>德光</t>
    <phoneticPr fontId="22" type="noConversion"/>
  </si>
  <si>
    <t>南双庙</t>
    <phoneticPr fontId="22" type="noConversion"/>
  </si>
  <si>
    <t>ZFMD/SD-24163-3-SH-BG01
ZFMD/SD-24163-3-SH-BG02
ZFMD/SD-24163-3-SH-BG03</t>
    <phoneticPr fontId="1" type="noConversion"/>
  </si>
  <si>
    <t>光伏AGC软件；光伏AVC软件；光伏硬件</t>
    <phoneticPr fontId="1" type="noConversion"/>
  </si>
  <si>
    <t>ZFMD/SD-25100-SH</t>
  </si>
  <si>
    <t>远景能源有限公司</t>
    <phoneticPr fontId="22" type="noConversion"/>
  </si>
  <si>
    <t>远江</t>
    <phoneticPr fontId="22" type="noConversion"/>
  </si>
  <si>
    <t>2025.6.13</t>
    <phoneticPr fontId="22" type="noConversion"/>
  </si>
  <si>
    <t>2025.6.9</t>
    <phoneticPr fontId="22" type="noConversion"/>
  </si>
  <si>
    <t>ZFMD/SD-25101-SH</t>
  </si>
  <si>
    <t>ZFMD/KGSQ-25048</t>
  </si>
  <si>
    <t>中石油</t>
    <phoneticPr fontId="1" type="noConversion"/>
  </si>
  <si>
    <t>昂格</t>
    <phoneticPr fontId="1" type="noConversion"/>
  </si>
  <si>
    <t>吉林油田二期项目</t>
    <phoneticPr fontId="22" type="noConversion"/>
  </si>
  <si>
    <t>中车山东风电有限公司</t>
    <phoneticPr fontId="22" type="noConversion"/>
  </si>
  <si>
    <t>吉林油田二期项目一套风功率预测系统及服务合同</t>
    <phoneticPr fontId="22" type="noConversion"/>
  </si>
  <si>
    <t>2025.6.11</t>
    <phoneticPr fontId="22" type="noConversion"/>
  </si>
  <si>
    <t>ZFMD/SD-25102-SH</t>
  </si>
  <si>
    <t>ZFMD/KGSQ-25049</t>
  </si>
  <si>
    <t>福建省福能海峡发电有限公司</t>
    <phoneticPr fontId="22" type="noConversion"/>
  </si>
  <si>
    <t>风功率预测系统信息安全改造设备采购项目合同</t>
    <phoneticPr fontId="22" type="noConversion"/>
  </si>
  <si>
    <t>系统硬件；软件升级（自动巡检；双击热备；修改超超期预测数据）</t>
    <phoneticPr fontId="1" type="noConversion"/>
  </si>
  <si>
    <t>ZFMD/SD-25103-SH</t>
  </si>
  <si>
    <t>ZFMD/KGSQ-25047</t>
  </si>
  <si>
    <t>保定四方继保工程技术有限公司服务合同</t>
    <phoneticPr fontId="22" type="noConversion"/>
  </si>
  <si>
    <t>安达安众</t>
    <phoneticPr fontId="1" type="noConversion"/>
  </si>
  <si>
    <t>2025.5.26</t>
    <phoneticPr fontId="22" type="noConversion"/>
  </si>
  <si>
    <t>ZFMD/SHFW-2024046</t>
  </si>
  <si>
    <t>ZFMD/KGSQ-23022</t>
  </si>
  <si>
    <t>ZFMD/KGSQ-23047</t>
  </si>
  <si>
    <t>ZFMD/SD-25104-SH</t>
  </si>
  <si>
    <t>ZFMD/SD-25105-SH</t>
  </si>
  <si>
    <t>讷河市东庆新能源有限公司</t>
    <phoneticPr fontId="22" type="noConversion"/>
  </si>
  <si>
    <t>东庆风电场风电功率预测系统服务合同书</t>
    <phoneticPr fontId="22" type="noConversion"/>
  </si>
  <si>
    <t>预测服务14个月</t>
    <phoneticPr fontId="22" type="noConversion"/>
  </si>
  <si>
    <t>2025.7.5</t>
    <phoneticPr fontId="22" type="noConversion"/>
  </si>
  <si>
    <t>2025.6.26</t>
    <phoneticPr fontId="22" type="noConversion"/>
  </si>
  <si>
    <t>2025.6.3</t>
    <phoneticPr fontId="22" type="noConversion"/>
  </si>
  <si>
    <t>2026.8.2</t>
    <phoneticPr fontId="22" type="noConversion"/>
  </si>
  <si>
    <t>ZFMD/KGSQ-25064</t>
  </si>
  <si>
    <t>短期软件；超短期软件；中长期软件；系统硬件；主机加固；预测服务1年；软件升级（自动巡检）；中长期电量预测</t>
    <phoneticPr fontId="1" type="noConversion"/>
  </si>
  <si>
    <t>华电乌鲁木齐市风电有限公司</t>
    <phoneticPr fontId="22" type="noConversion"/>
  </si>
  <si>
    <t>海为达坂城风电一场风功率系统国产化升级改造项目合同</t>
    <phoneticPr fontId="22" type="noConversion"/>
  </si>
  <si>
    <t>海为达坂城风电一场</t>
    <phoneticPr fontId="1" type="noConversion"/>
  </si>
  <si>
    <t>2025.6.24</t>
    <phoneticPr fontId="22" type="noConversion"/>
  </si>
  <si>
    <t>龙源哈密新能源有限公司苦水西风电一场风功率预测网络安全设备（软硬件）换型服务项目合同</t>
    <phoneticPr fontId="22" type="noConversion"/>
  </si>
  <si>
    <t>2025.7.15</t>
    <phoneticPr fontId="22" type="noConversion"/>
  </si>
  <si>
    <t>2025.7.10</t>
    <phoneticPr fontId="22" type="noConversion"/>
  </si>
  <si>
    <t>ZFMD/SD-25106-SH</t>
    <phoneticPr fontId="22" type="noConversion"/>
  </si>
  <si>
    <t>短期预测；超短期预测；系统硬件；预测服务1年</t>
    <phoneticPr fontId="22" type="noConversion"/>
  </si>
  <si>
    <t>ZFMD/SD-24163-5-SH-BG01
ZFMD/SD-24163-5-SH-BG02</t>
    <phoneticPr fontId="1" type="noConversion"/>
  </si>
  <si>
    <t>ZFMD/SD-25107-SH</t>
  </si>
  <si>
    <t>ZFMD/SD-25108-1-SH</t>
    <phoneticPr fontId="22" type="noConversion"/>
  </si>
  <si>
    <t>龙源巴里坤风力发电有限公司</t>
    <phoneticPr fontId="22" type="noConversion"/>
  </si>
  <si>
    <t>龙源巴里坤风力发电有限公司三塘湖风电场、望洋台风电场风功率预测网络安全设备（软硬件）换型服务项目合同</t>
    <phoneticPr fontId="22" type="noConversion"/>
  </si>
  <si>
    <t>三塘湖一二期</t>
    <phoneticPr fontId="22" type="noConversion"/>
  </si>
  <si>
    <t>三塘湖三四期</t>
    <phoneticPr fontId="22" type="noConversion"/>
  </si>
  <si>
    <t>望洋台</t>
    <phoneticPr fontId="22" type="noConversion"/>
  </si>
  <si>
    <t>2025.7.18</t>
    <phoneticPr fontId="22" type="noConversion"/>
  </si>
  <si>
    <t>赤峰晶澳光伏发电有限公司</t>
    <phoneticPr fontId="22" type="noConversion"/>
  </si>
  <si>
    <t>2025.7.16</t>
    <phoneticPr fontId="22" type="noConversion"/>
  </si>
  <si>
    <t>2025.7.16开票占号</t>
    <phoneticPr fontId="22" type="noConversion"/>
  </si>
  <si>
    <t>ZFMD/SD-25109-SH</t>
    <phoneticPr fontId="22" type="noConversion"/>
  </si>
  <si>
    <t>ZFMD/SD-25110-SH</t>
    <phoneticPr fontId="22" type="noConversion"/>
  </si>
  <si>
    <t>新疆龙源新能源有限公司哈巴河分公司</t>
    <phoneticPr fontId="22" type="noConversion"/>
  </si>
  <si>
    <t>新疆龙源新能源有限公司哈巴河分公司萨尔塔木风电场风功率预测网络安全设备（软硬件）换型服务项目合同</t>
    <phoneticPr fontId="22" type="noConversion"/>
  </si>
  <si>
    <t>萨尔塔木</t>
    <phoneticPr fontId="22" type="noConversion"/>
  </si>
  <si>
    <t>2025.7.19</t>
    <phoneticPr fontId="22" type="noConversion"/>
  </si>
  <si>
    <t>2025.7.14</t>
    <phoneticPr fontId="22" type="noConversion"/>
  </si>
  <si>
    <t>龙源阿拉山口风力发电有限公司</t>
    <phoneticPr fontId="22" type="noConversion"/>
  </si>
  <si>
    <t>阿拉山口</t>
    <phoneticPr fontId="22" type="noConversion"/>
  </si>
  <si>
    <t>龙源阿拉山口风力发电有限公司风功率预测网络安全设备（软硬件）换型服务项目合同</t>
    <phoneticPr fontId="22" type="noConversion"/>
  </si>
  <si>
    <t>ZFMD/SD-25111-SH</t>
  </si>
  <si>
    <t>ZFMD/SD-25112-SH</t>
  </si>
  <si>
    <t>ZFMD/SD-25113-SH</t>
  </si>
  <si>
    <t>ZFMD/SD-25114-SH</t>
  </si>
  <si>
    <t>ZFMD/SD-25115-SH</t>
  </si>
  <si>
    <t>ZFMD/KGSQ-25054</t>
  </si>
  <si>
    <t>ZFMD/KGSQ-25055</t>
  </si>
  <si>
    <t>ZFMD/KGSQ-25056</t>
  </si>
  <si>
    <t>ZFMD/KGSQ-25057</t>
  </si>
  <si>
    <t>ZFMD/KGSQ-25058</t>
  </si>
  <si>
    <t>短期预测；超短期预测；系统硬件</t>
    <phoneticPr fontId="1" type="noConversion"/>
  </si>
  <si>
    <t>2025.7.17</t>
    <phoneticPr fontId="22" type="noConversion"/>
  </si>
  <si>
    <t>沈阳嘉越电力科技有限公司</t>
    <phoneticPr fontId="22" type="noConversion"/>
  </si>
  <si>
    <t>东北区域公司北正风电场功率预测系统国产化改造项目合同</t>
    <phoneticPr fontId="22" type="noConversion"/>
  </si>
  <si>
    <t>东北区域公司查干湖风电场功率预测系统国产化改造项目合同</t>
    <phoneticPr fontId="22" type="noConversion"/>
  </si>
  <si>
    <t>东北区域公司黑鱼泡风电场功率预测系统国产化改造项目合同</t>
    <phoneticPr fontId="22" type="noConversion"/>
  </si>
  <si>
    <t>东北区域公司三井子风电场功率预测系统国产化改造项目合同</t>
    <phoneticPr fontId="22" type="noConversion"/>
  </si>
  <si>
    <t>东北区域公司镇赉风电场功率预测系统国产化改造项目合同</t>
    <phoneticPr fontId="22" type="noConversion"/>
  </si>
  <si>
    <t>ZFMD/SD-25116-1-SH</t>
    <phoneticPr fontId="22" type="noConversion"/>
  </si>
  <si>
    <t>ZFMD/SD-25116-2-SH</t>
  </si>
  <si>
    <t>北京天地和兴科技有限公司</t>
    <phoneticPr fontId="22" type="noConversion"/>
  </si>
  <si>
    <t>通榆新发10万千瓦风电项目</t>
    <phoneticPr fontId="22" type="noConversion"/>
  </si>
  <si>
    <t>2025.7.22</t>
    <phoneticPr fontId="22" type="noConversion"/>
  </si>
  <si>
    <t>通榆新兴20万千瓦风电项目</t>
    <phoneticPr fontId="22" type="noConversion"/>
  </si>
  <si>
    <t>ZFMD/SD-25117-SH</t>
    <phoneticPr fontId="22" type="noConversion"/>
  </si>
  <si>
    <t>华电新疆天润托里新能源有限公司塔城50MW风电场测风塔系统换型改造合同</t>
    <phoneticPr fontId="22" type="noConversion"/>
  </si>
  <si>
    <t>塔城托里（老风口）</t>
    <phoneticPr fontId="22" type="noConversion"/>
  </si>
  <si>
    <t>ZFMD/SD-25118-1-SH</t>
    <phoneticPr fontId="22" type="noConversion"/>
  </si>
  <si>
    <t>ZFMD/SD-25118-2-SH</t>
  </si>
  <si>
    <t>ZFMD/SD-25118-3-SH</t>
  </si>
  <si>
    <t>ZFMD/SD-25118-4-SH</t>
  </si>
  <si>
    <t>ZFMD/SD-25118-5-SH</t>
  </si>
  <si>
    <t>ZFMD/SD-25118-6-SH</t>
  </si>
  <si>
    <t>ZFMD/SD-25118-7-SH</t>
  </si>
  <si>
    <t>国华（哈密）新能源有限公司风光功率预测国产化升级改造采购合同</t>
    <phoneticPr fontId="22" type="noConversion"/>
  </si>
  <si>
    <t>国华（哈密）新能源有限公司</t>
  </si>
  <si>
    <t>景峡西风电二场</t>
    <phoneticPr fontId="22" type="noConversion"/>
  </si>
  <si>
    <t>系统硬件；测风塔设备；软件升级（自动巡检）</t>
    <phoneticPr fontId="22" type="noConversion"/>
  </si>
  <si>
    <t>系统硬件；光伏气象站；软件升级（自动巡检）</t>
    <phoneticPr fontId="22" type="noConversion"/>
  </si>
  <si>
    <t>2025.7.23</t>
    <phoneticPr fontId="22" type="noConversion"/>
  </si>
  <si>
    <t>合同流转目前阶段，目前只有7个站的供货范围总数，不知各场站供货明细，所以合同金额和合同项目内容为暂定。综合反馈：郭总说：先暂时流转，供货范围后完善</t>
    <phoneticPr fontId="22" type="noConversion"/>
  </si>
  <si>
    <t>ZFMD/SD-25119-SH</t>
    <phoneticPr fontId="22" type="noConversion"/>
  </si>
  <si>
    <t>ZFMD/SD-25120-SH</t>
  </si>
  <si>
    <t>ZFMD/SD-25121-1-SH</t>
    <phoneticPr fontId="22" type="noConversion"/>
  </si>
  <si>
    <t>ZFMD/SD-25121-2-SH</t>
  </si>
  <si>
    <t>ZFMD/KGSQ-25060</t>
  </si>
  <si>
    <t>ZFMD/KGSQ-25061</t>
  </si>
  <si>
    <t>ZFMD/KGSQ-25062</t>
  </si>
  <si>
    <t>ZFMD/KGSQ-25063</t>
  </si>
  <si>
    <t>国家电投</t>
    <phoneticPr fontId="1" type="noConversion"/>
  </si>
  <si>
    <t>福家田</t>
    <phoneticPr fontId="1" type="noConversion"/>
  </si>
  <si>
    <t>马家</t>
    <phoneticPr fontId="1" type="noConversion"/>
  </si>
  <si>
    <t>古田</t>
    <phoneticPr fontId="1" type="noConversion"/>
  </si>
  <si>
    <t>国电投（灵川）风电有限公司</t>
    <phoneticPr fontId="22" type="noConversion"/>
  </si>
  <si>
    <t>国电投（兴安）风电有限公司</t>
    <phoneticPr fontId="22" type="noConversion"/>
  </si>
  <si>
    <t>国电投（灵川）风电有限公司福家田风电场风功率预测系统升级改造</t>
    <phoneticPr fontId="22" type="noConversion"/>
  </si>
  <si>
    <t>国电投（兴安）风电有限公司月亮山风电场风功率预测系统升级改造</t>
    <phoneticPr fontId="22" type="noConversion"/>
  </si>
  <si>
    <t>国家电投集团广西金紫山风电有限公司古田和马家风电场风功率预测系统升级改造合同</t>
    <phoneticPr fontId="22" type="noConversion"/>
  </si>
  <si>
    <t>2025.7.24</t>
    <phoneticPr fontId="22" type="noConversion"/>
  </si>
  <si>
    <t>ZFMD/SD-25122-SH</t>
    <phoneticPr fontId="22" type="noConversion"/>
  </si>
  <si>
    <t>长岭中电建新能源风力发电有限责任公司风功率预测系统预测服务及系统工作站更换采购合同</t>
    <phoneticPr fontId="22" type="noConversion"/>
  </si>
  <si>
    <t>2025.8.1</t>
    <phoneticPr fontId="22" type="noConversion"/>
  </si>
  <si>
    <t>2025.7.31</t>
    <phoneticPr fontId="22" type="noConversion"/>
  </si>
  <si>
    <t>2026.7.30</t>
    <phoneticPr fontId="22" type="noConversion"/>
  </si>
  <si>
    <t>王星说：按照合同签订日期算服务期，合同签订日期业主没有标注，2025年7月31日为综合部门移交合同时间，由综合标注</t>
    <phoneticPr fontId="22" type="noConversion"/>
  </si>
  <si>
    <t>ZFMD/SD-25123-SH</t>
  </si>
  <si>
    <t>ZFMD/KGSQ-25053</t>
  </si>
  <si>
    <t>陕西上润自动化工程有限公司</t>
    <phoneticPr fontId="22" type="noConversion"/>
  </si>
  <si>
    <t>广东能源克拉玛依30万千瓦光伏算电协同一体化项目光功率预测系统合同</t>
    <phoneticPr fontId="22" type="noConversion"/>
  </si>
  <si>
    <t>广东能源</t>
    <phoneticPr fontId="1" type="noConversion"/>
  </si>
  <si>
    <t>克拉玛依30万千瓦</t>
    <phoneticPr fontId="1" type="noConversion"/>
  </si>
  <si>
    <t>ZFMD/SD-25124-SH</t>
  </si>
  <si>
    <t>绥滨县中金宝宜新能源有限公司</t>
    <phoneticPr fontId="22" type="noConversion"/>
  </si>
  <si>
    <t>宝宜光伏电站光伏功率预测系统服务合同书</t>
    <phoneticPr fontId="22" type="noConversion"/>
  </si>
  <si>
    <t>孙昭</t>
    <phoneticPr fontId="22" type="noConversion"/>
  </si>
  <si>
    <t>2028.3.31</t>
    <phoneticPr fontId="22" type="noConversion"/>
  </si>
  <si>
    <t>ZFMD/SD-25125-SH</t>
  </si>
  <si>
    <t>ZFMD/SD-25126-SH</t>
  </si>
  <si>
    <t>ZFMD/SD-25127-SH</t>
  </si>
  <si>
    <t>新疆天风发电股份有限公司</t>
    <phoneticPr fontId="22" type="noConversion"/>
  </si>
  <si>
    <t>新疆天风公司达坂城二场风功率预测网络安全设备（软硬件）换型服务项目合同</t>
    <phoneticPr fontId="22" type="noConversion"/>
  </si>
  <si>
    <t>达坂城二场</t>
    <phoneticPr fontId="22" type="noConversion"/>
  </si>
  <si>
    <t>新疆天风发电股份有限公司托里风电厂</t>
    <phoneticPr fontId="22" type="noConversion"/>
  </si>
  <si>
    <t>新疆天风公司托里风电厂达坂城三场一二期风功率预测网络安全设备（软硬件）换型服务项目合同</t>
    <phoneticPr fontId="22" type="noConversion"/>
  </si>
  <si>
    <t>达坂城三场一二期</t>
    <phoneticPr fontId="22" type="noConversion"/>
  </si>
  <si>
    <t>新疆龙源新能源有限公司乌鲁木齐分公司</t>
    <phoneticPr fontId="22" type="noConversion"/>
  </si>
  <si>
    <t>新疆龙源乌鲁木齐分公司达坂城三场五期风功率预测网络安全设备（软硬件）换型服务项目合同</t>
    <phoneticPr fontId="22" type="noConversion"/>
  </si>
  <si>
    <t>达坂城三场五期</t>
    <phoneticPr fontId="22" type="noConversion"/>
  </si>
  <si>
    <t>ZFMD/SHFW-2025024</t>
    <phoneticPr fontId="5" type="noConversion"/>
  </si>
  <si>
    <t>ZFMD/SD-24071-SH</t>
    <phoneticPr fontId="1" type="noConversion"/>
  </si>
  <si>
    <t>ZFMD/SD-24071-SH-BG01</t>
    <phoneticPr fontId="1" type="noConversion"/>
  </si>
  <si>
    <t>ZFMD/SD-25090-SH</t>
    <phoneticPr fontId="22" type="noConversion"/>
  </si>
  <si>
    <t>ZFMD/SD-25090-SH-BG01</t>
    <phoneticPr fontId="5" type="noConversion"/>
  </si>
  <si>
    <t>ZFMD/SD-25108-2-SH</t>
    <phoneticPr fontId="22" type="noConversion"/>
  </si>
  <si>
    <t>ZFMD/SD-25108-2-SH-BG01</t>
    <phoneticPr fontId="5" type="noConversion"/>
  </si>
  <si>
    <t>ZFMD/SD-25108-3-SH</t>
    <phoneticPr fontId="22" type="noConversion"/>
  </si>
  <si>
    <t>ZFMD/SD-25128-SH</t>
  </si>
  <si>
    <t>ZFMD/SHFW-2025005</t>
  </si>
  <si>
    <t>三峡能源黑龙江省宾县大个岭49.5MW风电场风功率预测系统二区防火墙维修服务合同</t>
    <phoneticPr fontId="22" type="noConversion"/>
  </si>
  <si>
    <t>2025.8.15</t>
    <phoneticPr fontId="22" type="noConversion"/>
  </si>
  <si>
    <t>2025.8.13</t>
    <phoneticPr fontId="22" type="noConversion"/>
  </si>
  <si>
    <t>ZFMD/SD-25129-1-SH</t>
    <phoneticPr fontId="22" type="noConversion"/>
  </si>
  <si>
    <t>ZFMD/SD-25129-2-SH</t>
  </si>
  <si>
    <t>ZFMD/SD-25129-3-SH</t>
  </si>
  <si>
    <t>ZFMD/SD-25129-4-SH</t>
  </si>
  <si>
    <t>ZFMD/SD-25129-5-SH</t>
  </si>
  <si>
    <t>功率预测系统102协议上传改造服务合同书</t>
    <phoneticPr fontId="22" type="noConversion"/>
  </si>
  <si>
    <t>ZFMD/SD-25129-6-SH</t>
  </si>
  <si>
    <t>ZFMD/SD-25129-7-SH</t>
  </si>
  <si>
    <t>软件升级（102协议上传改造）</t>
    <phoneticPr fontId="22" type="noConversion"/>
  </si>
  <si>
    <t>2025.8.8</t>
    <phoneticPr fontId="22" type="noConversion"/>
  </si>
  <si>
    <t>ZFMD/SD-25130-1-SH</t>
    <phoneticPr fontId="22" type="noConversion"/>
  </si>
  <si>
    <t>ZFMD/SD-25130-2-SH</t>
  </si>
  <si>
    <t>ZFMD/SD-25130-3-SH</t>
  </si>
  <si>
    <t>ZFMD/SD-25130-4-SH</t>
  </si>
  <si>
    <t>ZFMD/SD-25131-SH</t>
    <phoneticPr fontId="22" type="noConversion"/>
  </si>
  <si>
    <t>ZFMD/SD-25132-SH</t>
  </si>
  <si>
    <t>沈阳能投海浪风电场风功率预测服务及超短期预测软件升级服务合同</t>
    <phoneticPr fontId="22" type="noConversion"/>
  </si>
  <si>
    <t>2025.8.15</t>
    <phoneticPr fontId="1" type="noConversion"/>
  </si>
  <si>
    <t>2025.8.5</t>
    <phoneticPr fontId="1" type="noConversion"/>
  </si>
  <si>
    <t>2026.8.4</t>
    <phoneticPr fontId="1" type="noConversion"/>
  </si>
  <si>
    <t>沈阳能投红旗风电场风功率预测服务及超短期预测软件升级服务合同</t>
    <phoneticPr fontId="22" type="noConversion"/>
  </si>
  <si>
    <t>沈阳能投</t>
    <phoneticPr fontId="1" type="noConversion"/>
  </si>
  <si>
    <t>ZFMD/SD-25133-SH</t>
  </si>
  <si>
    <t>中节能风力发电（哈密）有限公司烟墩风场风功率预测系统升级服务合同</t>
    <phoneticPr fontId="22" type="noConversion"/>
  </si>
  <si>
    <t>系统硬件；软件升级</t>
    <phoneticPr fontId="1" type="noConversion"/>
  </si>
  <si>
    <t>2025.8.4</t>
    <phoneticPr fontId="22" type="noConversion"/>
  </si>
  <si>
    <t>ZFMD/SHFW-2025020</t>
    <phoneticPr fontId="5" type="noConversion"/>
  </si>
  <si>
    <t>ZFMD/SD-25134-SH</t>
  </si>
  <si>
    <t>2025.8.12</t>
    <phoneticPr fontId="22" type="noConversion"/>
  </si>
  <si>
    <t>ZFMD/SD-25135-SH</t>
  </si>
  <si>
    <t>ZFMD/SHFW-2024009</t>
    <phoneticPr fontId="22" type="noConversion"/>
  </si>
  <si>
    <t>阳光智维科技股份有限公司三峡黑龙江泰来汤池9.9MW电站总辐射表采购合同</t>
    <phoneticPr fontId="22" type="noConversion"/>
  </si>
  <si>
    <t>2025.8.5</t>
    <phoneticPr fontId="22" type="noConversion"/>
  </si>
  <si>
    <t>ZFMD/SD-24163-4-SH-BG01
ZFMD/SD-24163-4-SH-BG02
ZFMD/SD-24163-4-SH-BG03</t>
    <phoneticPr fontId="1" type="noConversion"/>
  </si>
  <si>
    <t>2027.8.30</t>
    <phoneticPr fontId="1" type="noConversion"/>
  </si>
  <si>
    <t>ZFMD/SD-25136-1-SH</t>
    <phoneticPr fontId="22" type="noConversion"/>
  </si>
  <si>
    <t>ZFMD/SD-25136-2-SH</t>
  </si>
  <si>
    <t>ZFMD/SD-25136-3-SH</t>
  </si>
  <si>
    <t>ZFMD/SD-25136-4-SH</t>
  </si>
  <si>
    <t>福建公司所辖项目风光功率预测系统服务合同</t>
    <phoneticPr fontId="22" type="noConversion"/>
  </si>
  <si>
    <t>测风塔维护；预测服务2年</t>
    <phoneticPr fontId="1" type="noConversion"/>
  </si>
  <si>
    <t>2025.8.22</t>
    <phoneticPr fontId="22" type="noConversion"/>
  </si>
  <si>
    <t>2027.8.7</t>
    <phoneticPr fontId="22" type="noConversion"/>
  </si>
  <si>
    <t>青径</t>
    <phoneticPr fontId="22" type="noConversion"/>
  </si>
  <si>
    <t>云霄县汇发新能源有限公司</t>
    <phoneticPr fontId="22" type="noConversion"/>
  </si>
  <si>
    <t>前江</t>
    <phoneticPr fontId="22" type="noConversion"/>
  </si>
  <si>
    <t>短期软件；超短期软件；光伏气象站设备维护；预测服务2年</t>
    <phoneticPr fontId="22" type="noConversion"/>
  </si>
  <si>
    <t>中核汇能</t>
    <phoneticPr fontId="22" type="noConversion"/>
  </si>
  <si>
    <t>ZFMD/SD-25137-SH</t>
    <phoneticPr fontId="22" type="noConversion"/>
  </si>
  <si>
    <t>ZFMD/KGSQ-25059</t>
  </si>
  <si>
    <t>怀山</t>
    <phoneticPr fontId="1" type="noConversion"/>
  </si>
  <si>
    <t>2025.8</t>
    <phoneticPr fontId="22" type="noConversion"/>
  </si>
  <si>
    <t>广西灵山大怀山新能源有限公司</t>
    <phoneticPr fontId="22" type="noConversion"/>
  </si>
  <si>
    <t>广西灵山大怀山新能源有限公司怀山风电场风功率预测系统升级改造项目合同</t>
    <phoneticPr fontId="22" type="noConversion"/>
  </si>
  <si>
    <t>国家电投集团广西金紫山风电有限公司向“两个细则”考核的金紫山风电场风功率预测技术研究与应用项目（软件部分）项目合同</t>
    <phoneticPr fontId="1" type="noConversion"/>
  </si>
  <si>
    <t>系统硬件；软件升级</t>
    <phoneticPr fontId="22" type="noConversion"/>
  </si>
  <si>
    <t>2025.8.25</t>
    <phoneticPr fontId="22" type="noConversion"/>
  </si>
  <si>
    <t>国电投（兴安）风电有限公司向“两个细则”考核的坵坪风电场风功率预测技术研究与应用项目（软件部分）项目合同</t>
    <phoneticPr fontId="1" type="noConversion"/>
  </si>
  <si>
    <t>2025.8.2</t>
    <phoneticPr fontId="22" type="noConversion"/>
  </si>
  <si>
    <t>ZFMD/SD-25138-SH</t>
    <phoneticPr fontId="22" type="noConversion"/>
  </si>
  <si>
    <t>ZFMD/SD-25139-SH</t>
    <phoneticPr fontId="22" type="noConversion"/>
  </si>
  <si>
    <t>ZFMD/SHFW-2024025</t>
    <phoneticPr fontId="5" type="noConversion"/>
  </si>
  <si>
    <t>ZFMD/SD-25140-SH</t>
  </si>
  <si>
    <t>新疆达坂城新能风力发电有限责任公司</t>
    <phoneticPr fontId="22" type="noConversion"/>
  </si>
  <si>
    <t>新能发展达坂城</t>
    <phoneticPr fontId="22" type="noConversion"/>
  </si>
  <si>
    <t>2025.8.27</t>
    <phoneticPr fontId="22" type="noConversion"/>
  </si>
  <si>
    <t>2025.6.18</t>
    <phoneticPr fontId="22" type="noConversion"/>
  </si>
  <si>
    <t>2025.9.2</t>
    <phoneticPr fontId="22" type="noConversion"/>
  </si>
  <si>
    <t>2025年9月2日开票占号，不签合同</t>
    <phoneticPr fontId="22" type="noConversion"/>
  </si>
  <si>
    <t>ZFMD/SD-25141-1-SH</t>
    <phoneticPr fontId="22" type="noConversion"/>
  </si>
  <si>
    <t>ZFMD/SD-25141-2-SH</t>
    <phoneticPr fontId="22" type="noConversion"/>
  </si>
  <si>
    <t>ZFMD/SD-25142-SH</t>
    <phoneticPr fontId="22" type="noConversion"/>
  </si>
  <si>
    <t>2025.8.26</t>
    <phoneticPr fontId="22" type="noConversion"/>
  </si>
  <si>
    <t>2025.9.5</t>
    <phoneticPr fontId="22" type="noConversion"/>
  </si>
  <si>
    <t>新疆龙源新能源有限公司</t>
    <phoneticPr fontId="22" type="noConversion"/>
  </si>
  <si>
    <t>新疆龙源新能源有限公司融合电力现货交易集中预测在新能源功率预测中的应用研究项目技术开发合同</t>
    <phoneticPr fontId="22" type="noConversion"/>
  </si>
  <si>
    <t>风电场
光伏电站</t>
    <phoneticPr fontId="1" type="noConversion"/>
  </si>
  <si>
    <t>2025.8.20</t>
    <phoneticPr fontId="22" type="noConversion"/>
  </si>
  <si>
    <t>软件部</t>
    <phoneticPr fontId="1" type="noConversion"/>
  </si>
  <si>
    <t>ZFMD/SD-25144-SH</t>
  </si>
  <si>
    <t>2025.9.8</t>
    <phoneticPr fontId="22" type="noConversion"/>
  </si>
  <si>
    <t>框架协议采购订单</t>
    <phoneticPr fontId="1" type="noConversion"/>
  </si>
  <si>
    <t>2025.6.27</t>
    <phoneticPr fontId="1" type="noConversion"/>
  </si>
  <si>
    <t>中广核龙江风力发电有限公司</t>
    <phoneticPr fontId="1" type="noConversion"/>
  </si>
  <si>
    <t>ZFMD/KGSQ-25009</t>
  </si>
  <si>
    <t>ZFMD/KGSQ-25010</t>
  </si>
  <si>
    <t>肇东</t>
    <phoneticPr fontId="1" type="noConversion"/>
  </si>
  <si>
    <t>2025年7月17日，签订变更书，原框架合同有效期至2026.6.27变更为有效期至2025.7.10。实际服务周期以订单为准，最终结算金额以实际执行的订单累计金额为准。</t>
    <phoneticPr fontId="1" type="noConversion"/>
  </si>
  <si>
    <t>24115-8和24115-13是一个订单。2025年7月17日，签订变更书，原框架合同有效期至2026.6.27变更为有效期至2025.7.10。实际服务周期以订单为准，最终结算金额以实际执行的订单累计金额为准。24115-8和24115-13是一个订单</t>
    <phoneticPr fontId="1" type="noConversion"/>
  </si>
  <si>
    <t>24115-8和24115-13是一个订单。2025年7月17日，签订变更书，原框架合同有效期至2026.6.27变更为有效期至2025.7.10。实际服务周期以订单为准，最终结算金额以实际执行的订单累计金额为准。</t>
    <phoneticPr fontId="1" type="noConversion"/>
  </si>
  <si>
    <t>24115-9、24115-11和24115-12是一个订单。2025年7月17日，签订变更书，原框架合同有效期至2026.6.27变更为有效期至2025.7.10。实际服务周期以订单为准，最终结算金额以实际执行的订单累计金额为准。</t>
    <phoneticPr fontId="1" type="noConversion"/>
  </si>
  <si>
    <t>24115-9、24115-11和24115-12是一个订单。.2025年7月17日，签订变更书，原框架合同有效期至2026.6.27变更为有效期至2025.7.10。实际服务周期以订单为准，最终结算金额以实际执行的订单累计金额为准。</t>
    <phoneticPr fontId="1" type="noConversion"/>
  </si>
  <si>
    <t>24115-14和24115-15是一个订单。2025年7月17日，签订变更书，原框架合同有效期至2026.6.27变更为有效期至2025.7.10。实际服务周期以订单为准，最终结算金额以实际执行的订单累计金额为准。</t>
    <phoneticPr fontId="1" type="noConversion"/>
  </si>
  <si>
    <t>ZFMD/SD-25143-SH</t>
    <phoneticPr fontId="22" type="noConversion"/>
  </si>
  <si>
    <t>风电功率预测
光伏功率预测</t>
    <phoneticPr fontId="1" type="noConversion"/>
  </si>
  <si>
    <t>肇东华能热力有限公司</t>
    <phoneticPr fontId="22" type="noConversion"/>
  </si>
  <si>
    <t>2025年8月15日，签订合同主体变更</t>
    <phoneticPr fontId="22" type="noConversion"/>
  </si>
  <si>
    <t>2025.9</t>
    <phoneticPr fontId="22" type="noConversion"/>
  </si>
  <si>
    <t>2025年9月8日开票占号，不签合同</t>
    <phoneticPr fontId="22" type="noConversion"/>
  </si>
  <si>
    <t>运达能源科技集团股份有限公司</t>
    <phoneticPr fontId="22" type="noConversion"/>
  </si>
  <si>
    <t>2025.9.11</t>
    <phoneticPr fontId="22" type="noConversion"/>
  </si>
  <si>
    <t>2025.9.4</t>
    <phoneticPr fontId="22" type="noConversion"/>
  </si>
  <si>
    <t>功率预测系统102规约上传改造服务合同书</t>
    <phoneticPr fontId="22" type="noConversion"/>
  </si>
  <si>
    <t>ZFMD/SD-25145-SH</t>
    <phoneticPr fontId="22" type="noConversion"/>
  </si>
  <si>
    <t>伊吾4</t>
    <phoneticPr fontId="22" type="noConversion"/>
  </si>
  <si>
    <t>ZFMD/KGSQ-25065</t>
    <phoneticPr fontId="22" type="noConversion"/>
  </si>
  <si>
    <r>
      <t>ZFMD/SHFW-20250</t>
    </r>
    <r>
      <rPr>
        <sz val="9"/>
        <color indexed="8"/>
        <rFont val="宋体"/>
        <family val="3"/>
        <charset val="134"/>
      </rPr>
      <t>22</t>
    </r>
    <phoneticPr fontId="5" type="noConversion"/>
  </si>
  <si>
    <t>大唐中电（吉林）发电有限公司洮南大通风电场风功率预测服务器升级合同</t>
    <phoneticPr fontId="1" type="noConversion"/>
  </si>
  <si>
    <t>2025.9.13</t>
    <phoneticPr fontId="22" type="noConversion"/>
  </si>
  <si>
    <t>大唐向阳风电有限公司向阳风电场风功率预测服务器升级合同</t>
    <phoneticPr fontId="22" type="noConversion"/>
  </si>
  <si>
    <t>吉林大安新唐发电有限公司新艾里风电场风功率预测服务器升级合同</t>
    <phoneticPr fontId="22" type="noConversion"/>
  </si>
  <si>
    <t>大唐中电（吉林）新能源发电有限公司双辽分公司双辽风电场风功率预测服务器升级合同</t>
    <phoneticPr fontId="22" type="noConversion"/>
  </si>
  <si>
    <t>ZFMD/SD-25146-SH</t>
    <phoneticPr fontId="22" type="noConversion"/>
  </si>
  <si>
    <t>ZFMD/SD-25147-SH</t>
    <phoneticPr fontId="22" type="noConversion"/>
  </si>
  <si>
    <t>ZFMD/SD-25148-SH</t>
    <phoneticPr fontId="22" type="noConversion"/>
  </si>
  <si>
    <t>ZFMD/SD-25149-SH</t>
    <phoneticPr fontId="22" type="noConversion"/>
  </si>
  <si>
    <r>
      <t>ZFMD/SHFW-2025025</t>
    </r>
    <r>
      <rPr>
        <sz val="9"/>
        <color indexed="8"/>
        <rFont val="宋体"/>
        <family val="3"/>
        <charset val="134"/>
      </rPr>
      <t/>
    </r>
    <phoneticPr fontId="22" type="noConversion"/>
  </si>
  <si>
    <r>
      <t>ZFMD/SHFW-2025027</t>
    </r>
    <r>
      <rPr>
        <sz val="9"/>
        <color indexed="8"/>
        <rFont val="宋体"/>
        <family val="3"/>
        <charset val="134"/>
      </rPr>
      <t/>
    </r>
    <phoneticPr fontId="22" type="noConversion"/>
  </si>
  <si>
    <r>
      <t>ZFMD/SHFW-2025026</t>
    </r>
    <r>
      <rPr>
        <sz val="9"/>
        <color indexed="8"/>
        <rFont val="宋体"/>
        <family val="3"/>
        <charset val="134"/>
      </rPr>
      <t/>
    </r>
    <phoneticPr fontId="22" type="noConversion"/>
  </si>
  <si>
    <t>中国水电建设集团新能源开发有限责任公司长岭风电分公司场站功率预测系统数据上报方式变更服务合同</t>
    <phoneticPr fontId="22" type="noConversion"/>
  </si>
  <si>
    <t>ZFMD/SD-25150-SH</t>
    <phoneticPr fontId="22" type="noConversion"/>
  </si>
  <si>
    <t>北京四方继保工程技术有限公司保定分公司</t>
    <phoneticPr fontId="22" type="noConversion"/>
  </si>
  <si>
    <t>北京四方继保工程技术有限公司保定分公司服务合同</t>
    <phoneticPr fontId="22" type="noConversion"/>
  </si>
  <si>
    <t>华润万福光伏电站</t>
    <phoneticPr fontId="22" type="noConversion"/>
  </si>
  <si>
    <t>箱变测控</t>
    <phoneticPr fontId="5" type="noConversion"/>
  </si>
  <si>
    <t>技术服务（箱变测控装置修改IP地址）</t>
    <phoneticPr fontId="1" type="noConversion"/>
  </si>
  <si>
    <t>2025.9.9</t>
    <phoneticPr fontId="22" type="noConversion"/>
  </si>
  <si>
    <t>产品部</t>
    <phoneticPr fontId="22" type="noConversion"/>
  </si>
  <si>
    <t>ZFMD/SD-25151-SH</t>
    <phoneticPr fontId="22" type="noConversion"/>
  </si>
  <si>
    <t>通榆中广核风力发电有限公司功率预测上传规约改造服务协议</t>
    <phoneticPr fontId="22" type="noConversion"/>
  </si>
  <si>
    <t>ZFMD/SD-25152-SH</t>
    <phoneticPr fontId="22" type="noConversion"/>
  </si>
  <si>
    <t>ZFMD/SD-25153-SH</t>
  </si>
  <si>
    <t>2025.9.18</t>
    <phoneticPr fontId="22" type="noConversion"/>
  </si>
  <si>
    <t>9月18日开票占号</t>
    <phoneticPr fontId="22" type="noConversion"/>
  </si>
  <si>
    <t>吉林中广核风力发电有限公司大安两家子分公司</t>
    <phoneticPr fontId="22" type="noConversion"/>
  </si>
  <si>
    <t>17个风光电场</t>
    <phoneticPr fontId="22" type="noConversion"/>
  </si>
  <si>
    <t>短期软件；超短期软件；系统硬件；集控高级应用；预测服务1年；其他现代服务</t>
    <phoneticPr fontId="22" type="noConversion"/>
  </si>
  <si>
    <t>ZFMD/KGSQ-24014
ZFMD/KGSQ-23014</t>
    <phoneticPr fontId="1" type="noConversion"/>
  </si>
  <si>
    <t>ZFMD/KGSQ-24010
ZFMD/KGSQ-23015</t>
    <phoneticPr fontId="1" type="noConversion"/>
  </si>
  <si>
    <t>ZFMD/SD-24115-5-SH</t>
    <phoneticPr fontId="1" type="noConversion"/>
  </si>
  <si>
    <t>ZFMD/SD-25143-SH-BG01</t>
    <phoneticPr fontId="22" type="noConversion"/>
  </si>
  <si>
    <t>ZFMD/SD-24163-6-SH-BG01</t>
    <phoneticPr fontId="1" type="noConversion"/>
  </si>
  <si>
    <t>ZFMD/SD-24163-7-SH-BG01</t>
    <phoneticPr fontId="1" type="noConversion"/>
  </si>
  <si>
    <t>ZFMD/SD-25154-SH</t>
  </si>
  <si>
    <t>ZFMD/SD-25155-SH</t>
  </si>
  <si>
    <t>ZFMD/SD-25156-SH</t>
  </si>
  <si>
    <t>ZFMD/SD-25157-SH</t>
  </si>
  <si>
    <t>2025.10.9</t>
    <phoneticPr fontId="22" type="noConversion"/>
  </si>
  <si>
    <t>ZFMD/SD-25158-SH</t>
  </si>
  <si>
    <t>2025.10.10</t>
    <phoneticPr fontId="22" type="noConversion"/>
  </si>
  <si>
    <t>华润新能源（安达）有限公司2025-2027年度光功率预测系统天气预报数据及模型维护服务合同</t>
    <phoneticPr fontId="22" type="noConversion"/>
  </si>
  <si>
    <t>2025.9.22</t>
    <phoneticPr fontId="22" type="noConversion"/>
  </si>
  <si>
    <t>2027.9.29</t>
    <phoneticPr fontId="22" type="noConversion"/>
  </si>
  <si>
    <t>华电库车新能源有限公司</t>
    <phoneticPr fontId="22" type="noConversion"/>
  </si>
  <si>
    <t>华电库车新能源有限公司光功率预测维保服务合同</t>
    <phoneticPr fontId="22" type="noConversion"/>
  </si>
  <si>
    <t>库车</t>
    <phoneticPr fontId="22" type="noConversion"/>
  </si>
  <si>
    <t>短期软件；超短期软件；预测服务1年</t>
    <phoneticPr fontId="22" type="noConversion"/>
  </si>
  <si>
    <t>新疆华电雪湖风力发电有限公司</t>
    <phoneticPr fontId="22" type="noConversion"/>
  </si>
  <si>
    <t>新能源分公司23座场站功率预测场控制策略排查项目合同</t>
    <phoneticPr fontId="22" type="noConversion"/>
  </si>
  <si>
    <t>23个风光电场</t>
    <phoneticPr fontId="22" type="noConversion"/>
  </si>
  <si>
    <t>2025年9月30日签订合同变更协议，合同金额由54万元变更为43万元</t>
    <phoneticPr fontId="1" type="noConversion"/>
  </si>
  <si>
    <t>国华新能源（双辽）有限公司</t>
    <phoneticPr fontId="22" type="noConversion"/>
  </si>
  <si>
    <t>10月9日开票占号</t>
    <phoneticPr fontId="22" type="noConversion"/>
  </si>
  <si>
    <t>四平中广核风力发电有限公司梨树分公司</t>
    <phoneticPr fontId="22" type="noConversion"/>
  </si>
  <si>
    <t>10月10日开票占号</t>
    <phoneticPr fontId="22" type="noConversion"/>
  </si>
  <si>
    <t>ZFMD/SD-25159-SH</t>
  </si>
  <si>
    <t>华能湖南苏宝顶风电有限责任公司</t>
    <phoneticPr fontId="22" type="noConversion"/>
  </si>
  <si>
    <t>华能湖南清洁能源分公司集控中心功率预测系统升级优化项目合同</t>
    <phoneticPr fontId="22" type="noConversion"/>
  </si>
  <si>
    <t>软件升级（集控中心功率预测系统升级优化）</t>
    <phoneticPr fontId="22" type="noConversion"/>
  </si>
  <si>
    <t>2025.10.11</t>
    <phoneticPr fontId="22" type="noConversion"/>
  </si>
  <si>
    <t>2025.9.17</t>
    <phoneticPr fontId="22" type="noConversion"/>
  </si>
  <si>
    <t>ZFMD/SHFW-2025029</t>
    <phoneticPr fontId="1" type="noConversion"/>
  </si>
  <si>
    <t>ZFMD/SD-25160-SH</t>
  </si>
  <si>
    <t>2025.10.17</t>
    <phoneticPr fontId="22" type="noConversion"/>
  </si>
  <si>
    <t>ZFMD/SD-25161-SH</t>
  </si>
  <si>
    <t>三峡黑龙江泰来汤池9.9MW电站光功率预测系统维护服务合同</t>
    <phoneticPr fontId="22" type="noConversion"/>
  </si>
  <si>
    <t>2025.8.31</t>
    <phoneticPr fontId="22" type="noConversion"/>
  </si>
  <si>
    <t>ZFMD/SD-25106-SH-BG01
ZFMD/SD-25106-SH-BG02</t>
    <phoneticPr fontId="22" type="noConversion"/>
  </si>
  <si>
    <t>ZFMD/SD-25108-3-SH-BG01
ZFMD/SD-25108-3-SH-BG02</t>
    <phoneticPr fontId="5" type="noConversion"/>
  </si>
  <si>
    <t>ZFMD/SD-25110-SH-BG01</t>
    <phoneticPr fontId="5" type="noConversion"/>
  </si>
  <si>
    <t>ZFMD/SD-25162-SH</t>
  </si>
  <si>
    <t>2025.10.30</t>
    <phoneticPr fontId="22" type="noConversion"/>
  </si>
  <si>
    <t>2025年10月30日开票占号</t>
    <phoneticPr fontId="22" type="noConversion"/>
  </si>
  <si>
    <t>ZFMD/SHFW-2025030</t>
    <phoneticPr fontId="5" type="noConversion"/>
  </si>
  <si>
    <t>黑龙江德幂先创科技有限公司</t>
    <phoneticPr fontId="22" type="noConversion"/>
  </si>
  <si>
    <t>销售合同</t>
    <phoneticPr fontId="22" type="noConversion"/>
  </si>
  <si>
    <t>2025.11.8</t>
    <phoneticPr fontId="22" type="noConversion"/>
  </si>
  <si>
    <t>2025.11.4</t>
    <phoneticPr fontId="22" type="noConversion"/>
  </si>
  <si>
    <t>富田</t>
    <phoneticPr fontId="1" type="noConversion"/>
  </si>
  <si>
    <t>ZFMD/SHFW-2025031</t>
    <phoneticPr fontId="22" type="noConversion"/>
  </si>
  <si>
    <t>大安新开能源有限公司</t>
    <phoneticPr fontId="22" type="noConversion"/>
  </si>
  <si>
    <t>沈阳能投海浪风场测风塔设备升级改造项目采购合同</t>
    <phoneticPr fontId="22" type="noConversion"/>
  </si>
  <si>
    <t>2025.10.16</t>
    <phoneticPr fontId="22" type="noConversion"/>
  </si>
  <si>
    <t>三峡能源河北省尚义石井风电场2025-2027年功率预测系统气象数据服务合同</t>
    <phoneticPr fontId="1" type="noConversion"/>
  </si>
  <si>
    <t>2025.10.28</t>
    <phoneticPr fontId="22" type="noConversion"/>
  </si>
  <si>
    <t>2025.9.15</t>
    <phoneticPr fontId="22" type="noConversion"/>
  </si>
  <si>
    <t>2028.9.14</t>
    <phoneticPr fontId="22" type="noConversion"/>
  </si>
  <si>
    <t>ZFMD/SD-25163-SH</t>
    <phoneticPr fontId="22" type="noConversion"/>
  </si>
  <si>
    <t>ZFMD/SD-25164-SH</t>
    <phoneticPr fontId="22" type="noConversion"/>
  </si>
  <si>
    <t>ZFMD/SD-25165-SH</t>
    <phoneticPr fontId="22" type="noConversion"/>
  </si>
  <si>
    <t>ZFMD/SD-25166-SH</t>
    <phoneticPr fontId="22" type="noConversion"/>
  </si>
  <si>
    <t>ZFMD/SHFW-2025023</t>
    <phoneticPr fontId="5" type="noConversion"/>
  </si>
  <si>
    <t>×</t>
    <phoneticPr fontId="22" type="noConversion"/>
  </si>
  <si>
    <t>众联能源科技（大连）有限公司</t>
    <phoneticPr fontId="22" type="noConversion"/>
  </si>
  <si>
    <t>华电集团黑龙江汤原风电场反向隔离装置采购合同</t>
    <phoneticPr fontId="22" type="noConversion"/>
  </si>
  <si>
    <t>2025.11.11</t>
    <phoneticPr fontId="22" type="noConversion"/>
  </si>
  <si>
    <t>ZFMD/SD-25167-SH</t>
    <phoneticPr fontId="22" type="noConversion"/>
  </si>
  <si>
    <t>ZFMD/SD-25168-SH</t>
  </si>
  <si>
    <t>ZFMD/SD-25169-SH</t>
  </si>
  <si>
    <t>青岛木成林物资有限公司</t>
    <phoneticPr fontId="22" type="noConversion"/>
  </si>
  <si>
    <t>协合新能源集团湖北圣境山风电场功率预测软件服务采购项目合同</t>
    <phoneticPr fontId="22" type="noConversion"/>
  </si>
  <si>
    <t>圣境山</t>
    <phoneticPr fontId="22" type="noConversion"/>
  </si>
  <si>
    <t>2025.11.14</t>
    <phoneticPr fontId="22" type="noConversion"/>
  </si>
  <si>
    <t>2025.10</t>
    <phoneticPr fontId="22" type="noConversion"/>
  </si>
  <si>
    <t>不算销售收入</t>
    <phoneticPr fontId="1" type="noConversion"/>
  </si>
  <si>
    <t>ZFMD/SD-25170-SH</t>
  </si>
  <si>
    <t>2025.11.15</t>
    <phoneticPr fontId="22" type="noConversion"/>
  </si>
  <si>
    <t>2025.11.18</t>
    <phoneticPr fontId="22" type="noConversion"/>
  </si>
  <si>
    <t>华电新疆天润托里新能源有限公司塔城50MW风电场2025-2028年风功率预测技术服务合同</t>
    <phoneticPr fontId="22" type="noConversion"/>
  </si>
  <si>
    <t>2025.10.26</t>
    <phoneticPr fontId="22" type="noConversion"/>
  </si>
  <si>
    <t>2028.7.31</t>
    <phoneticPr fontId="22" type="noConversion"/>
  </si>
  <si>
    <t>2025年度上堡风电场测风设备采购合同</t>
    <phoneticPr fontId="1" type="noConversion"/>
  </si>
  <si>
    <t>2025.11.3</t>
    <phoneticPr fontId="22" type="noConversion"/>
  </si>
  <si>
    <t>ZFMD/SD-25172-1-SH</t>
    <phoneticPr fontId="22" type="noConversion"/>
  </si>
  <si>
    <t>ZFMD/SD-25172-2-SH</t>
  </si>
  <si>
    <t>华能黑龙江分公司新能源分公司长荣风电、长丰风电2026年功率预测服务项目合同</t>
    <phoneticPr fontId="22" type="noConversion"/>
  </si>
  <si>
    <t>2025.11.22</t>
    <phoneticPr fontId="22" type="noConversion"/>
  </si>
  <si>
    <t>2025.11.19</t>
    <phoneticPr fontId="22" type="noConversion"/>
  </si>
  <si>
    <t>2026.2.21</t>
    <phoneticPr fontId="22" type="noConversion"/>
  </si>
  <si>
    <t>2027.2.20</t>
    <phoneticPr fontId="22" type="noConversion"/>
  </si>
  <si>
    <t>ZFMD/SD-25173-SH</t>
    <phoneticPr fontId="22" type="noConversion"/>
  </si>
  <si>
    <t>华能黑龙江分公司新能源分公司同江风电2026年功率预测服务项目询比采购文件</t>
    <phoneticPr fontId="22" type="noConversion"/>
  </si>
  <si>
    <t>ZFMD/SD-25174-SH</t>
  </si>
  <si>
    <t>华能黑龙江分公司新能源分公司长胜光伏2026年功率预测服务项目询比采购文件</t>
    <phoneticPr fontId="22" type="noConversion"/>
  </si>
  <si>
    <t>ZFMD/SD-25175-SH</t>
  </si>
  <si>
    <t>华能安达市清洁能源有限公司</t>
    <phoneticPr fontId="22" type="noConversion"/>
  </si>
  <si>
    <t>华能黑龙江分公司新能源分公司安丰风电2026年功率预测服务项目询比采购文件</t>
    <phoneticPr fontId="22" type="noConversion"/>
  </si>
  <si>
    <t>2025.11.26</t>
    <phoneticPr fontId="22" type="noConversion"/>
  </si>
  <si>
    <t>2026.11.25</t>
    <phoneticPr fontId="22" type="noConversion"/>
  </si>
  <si>
    <t>ZFMD/SD-25176-SH</t>
  </si>
  <si>
    <t>2025.11.26开票占号</t>
    <phoneticPr fontId="22" type="noConversion"/>
  </si>
  <si>
    <t>ZFMD/SD-25177-SH</t>
  </si>
  <si>
    <t>ZFMD/SD-25178-SH</t>
  </si>
  <si>
    <t>ZFMD/SD-25179-SH</t>
  </si>
  <si>
    <t>龙湾风电场2026年风功率预测服务技术服务合同</t>
    <phoneticPr fontId="22" type="noConversion"/>
  </si>
  <si>
    <t>2025.11.27</t>
    <phoneticPr fontId="22" type="noConversion"/>
  </si>
  <si>
    <t>2026.1.1</t>
    <phoneticPr fontId="22" type="noConversion"/>
  </si>
  <si>
    <t>新疆华电光源发电有限公司</t>
    <phoneticPr fontId="22" type="noConversion"/>
  </si>
  <si>
    <t>光源</t>
    <phoneticPr fontId="22" type="noConversion"/>
  </si>
  <si>
    <t>短期软件；超短期软件；系统硬件；预测服务1年；软件升级（自动巡检）</t>
    <phoneticPr fontId="1" type="noConversion"/>
  </si>
  <si>
    <t>中广核新能源乾安有限公司光伏分公司</t>
    <phoneticPr fontId="22" type="noConversion"/>
  </si>
  <si>
    <t>中广核新能源乾安有限公司乾南分公司</t>
    <phoneticPr fontId="22" type="noConversion"/>
  </si>
  <si>
    <t>新能源分公司光源光伏电站功率预测系统更换项目合同</t>
    <phoneticPr fontId="1" type="noConversion"/>
  </si>
  <si>
    <t>ZFMD/SD-25180-SH</t>
  </si>
  <si>
    <t>ZFMD/SD-25181-SH</t>
  </si>
  <si>
    <t>ZFMD/SD-25182-SH</t>
  </si>
  <si>
    <t>ZFMD/SD-25183-SH</t>
  </si>
  <si>
    <t>ZFMD/SD-25171-SH</t>
    <phoneticPr fontId="22" type="noConversion"/>
  </si>
  <si>
    <t>ZFMD/SD-25171-SH-BG01</t>
    <phoneticPr fontId="5" type="noConversion"/>
  </si>
  <si>
    <t>ZFMD/SD-25155-SH-BG01</t>
    <phoneticPr fontId="22" type="noConversion"/>
  </si>
  <si>
    <t>ZFMD/SD-24073-SH</t>
    <phoneticPr fontId="1" type="noConversion"/>
  </si>
  <si>
    <t>ZFMD/SD-25118-1-SH-BG01</t>
    <phoneticPr fontId="22" type="noConversion"/>
  </si>
  <si>
    <t>ZFMD/SD-25118-2-SH-BG01</t>
    <phoneticPr fontId="22" type="noConversion"/>
  </si>
  <si>
    <t>ZFMD/SD-25118-3-SH-BG01</t>
    <phoneticPr fontId="22" type="noConversion"/>
  </si>
  <si>
    <t>ZFMD/SD-25118-4-SH-BG01</t>
    <phoneticPr fontId="22" type="noConversion"/>
  </si>
  <si>
    <t>ZFMD/SD-25118-5-SH-BG01</t>
    <phoneticPr fontId="22" type="noConversion"/>
  </si>
  <si>
    <t>ZFMD/SD-25118-6-SH-BG01</t>
    <phoneticPr fontId="22" type="noConversion"/>
  </si>
  <si>
    <t>ZFMD/SD-25118-7-SH-BG01</t>
    <phoneticPr fontId="22" type="noConversion"/>
  </si>
  <si>
    <t>ZFMD/SD-25184-SH</t>
  </si>
  <si>
    <t>ZFMD/SD-25185-SH</t>
  </si>
  <si>
    <t>ZFMD/SD-25186-SH</t>
  </si>
  <si>
    <t>ZFMD/SD-25187-SH</t>
  </si>
  <si>
    <t>ZFMD/SD-25188-SH</t>
  </si>
  <si>
    <t>ZFMD/SD-25189-SH</t>
    <phoneticPr fontId="22" type="noConversion"/>
  </si>
  <si>
    <t>2025.12.3</t>
    <phoneticPr fontId="22" type="noConversion"/>
  </si>
  <si>
    <t>2025.12.3开票占号</t>
    <phoneticPr fontId="22" type="noConversion"/>
  </si>
  <si>
    <t>2025.11.25</t>
    <phoneticPr fontId="22" type="noConversion"/>
  </si>
  <si>
    <t>2025.7.1</t>
    <phoneticPr fontId="22" type="noConversion"/>
  </si>
  <si>
    <t>2025.12.6</t>
    <phoneticPr fontId="22" type="noConversion"/>
  </si>
  <si>
    <t>2025.12.6开票占号</t>
    <phoneticPr fontId="22" type="noConversion"/>
  </si>
  <si>
    <t>2025.12.9</t>
    <phoneticPr fontId="22" type="noConversion"/>
  </si>
  <si>
    <t>2026.9.14</t>
    <phoneticPr fontId="22" type="noConversion"/>
  </si>
  <si>
    <t>2024.2.10</t>
    <phoneticPr fontId="22" type="noConversion"/>
  </si>
  <si>
    <t>2025.2.9</t>
    <phoneticPr fontId="22" type="noConversion"/>
  </si>
  <si>
    <t>2025.12.13</t>
    <phoneticPr fontId="22" type="noConversion"/>
  </si>
  <si>
    <t>2026.12.12</t>
    <phoneticPr fontId="22" type="noConversion"/>
  </si>
  <si>
    <t>2025.12.9开票占号</t>
    <phoneticPr fontId="22" type="noConversion"/>
  </si>
  <si>
    <t>华电宁安市新能源有限公司</t>
    <phoneticPr fontId="22" type="noConversion"/>
  </si>
  <si>
    <t>ZFMD/SD-25190-SH</t>
  </si>
  <si>
    <t>华能萝北风力发电有限公司</t>
    <phoneticPr fontId="22" type="noConversion"/>
  </si>
  <si>
    <t>萝北风电2026-2028年风功率预测系统维护服务合同</t>
    <phoneticPr fontId="22" type="noConversion"/>
  </si>
  <si>
    <t>2025.12.10</t>
    <phoneticPr fontId="22" type="noConversion"/>
  </si>
  <si>
    <t>2028.12.31</t>
    <phoneticPr fontId="22" type="noConversion"/>
  </si>
  <si>
    <t>ZFMD/SD-25191-SH</t>
  </si>
  <si>
    <t>ZFMD/SD-25192-SH</t>
  </si>
  <si>
    <t>ZFMD/SD-25193-SH</t>
  </si>
  <si>
    <t>ZFMD/SD-25194-SH</t>
  </si>
  <si>
    <t>ZFMD/SD-25195-SH</t>
  </si>
  <si>
    <t>ZFMD/SD-25196-SH</t>
  </si>
  <si>
    <t>中广核新能源吉林山门风电场风功率预测系统维护服务项目采购合同</t>
    <phoneticPr fontId="22" type="noConversion"/>
  </si>
  <si>
    <t>2025.12.5</t>
    <phoneticPr fontId="22" type="noConversion"/>
  </si>
  <si>
    <t>2025.10.1</t>
    <phoneticPr fontId="22" type="noConversion"/>
  </si>
  <si>
    <t>中广核新能源吉林大岗子风电场风功率预测系统维护服务项目采购合同</t>
    <phoneticPr fontId="22" type="noConversion"/>
  </si>
  <si>
    <t>预测服务15个月</t>
    <phoneticPr fontId="22" type="noConversion"/>
  </si>
  <si>
    <t>中广核新能源吉林来福风电场风功率预测系统维护服务项目采购合同</t>
    <phoneticPr fontId="22" type="noConversion"/>
  </si>
  <si>
    <t>中广核新能源吉林幸福风电场风功率预测系统维护服务项目采购合同</t>
    <phoneticPr fontId="22" type="noConversion"/>
  </si>
  <si>
    <t>2025.11.12</t>
    <phoneticPr fontId="22" type="noConversion"/>
  </si>
  <si>
    <t>中广核新能源吉林龙山风电场风功率预测系统维护服务采购项目采购合同</t>
    <phoneticPr fontId="1" type="noConversion"/>
  </si>
  <si>
    <t>系统硬件维护；测风塔维护；预测服务3年</t>
    <phoneticPr fontId="1" type="noConversion"/>
  </si>
  <si>
    <t>ZFMD/SD-25197-SH</t>
  </si>
  <si>
    <t>2025.12.12</t>
    <phoneticPr fontId="22" type="noConversion"/>
  </si>
  <si>
    <t>2025.12</t>
    <phoneticPr fontId="22" type="noConversion"/>
  </si>
  <si>
    <t>预测服务10个月</t>
    <phoneticPr fontId="22" type="noConversion"/>
  </si>
  <si>
    <t>2026.8.31</t>
    <phoneticPr fontId="22" type="noConversion"/>
  </si>
  <si>
    <t>ZFMD/SD-25198-SH</t>
  </si>
  <si>
    <t>ZFMD/KGSQ-25069</t>
  </si>
  <si>
    <t>华能通榆风力发电有限公司</t>
    <phoneticPr fontId="22" type="noConversion"/>
  </si>
  <si>
    <t>华能团结风电场风功率预测系统改造工程合同</t>
    <phoneticPr fontId="22" type="noConversion"/>
  </si>
  <si>
    <t>团结</t>
    <phoneticPr fontId="1" type="noConversion"/>
  </si>
  <si>
    <t>2025.12.1</t>
    <phoneticPr fontId="22" type="noConversion"/>
  </si>
  <si>
    <t>泰来宏浩风电场气象数据及技术服务合同</t>
    <phoneticPr fontId="1" type="noConversion"/>
  </si>
  <si>
    <t>万龙风电场气象数据及技术服务合同</t>
    <phoneticPr fontId="1" type="noConversion"/>
  </si>
  <si>
    <t>宁安风水山风电场气象数据及技术服务合同</t>
    <phoneticPr fontId="1" type="noConversion"/>
  </si>
  <si>
    <t>ZFMD/SD-25199-SH</t>
  </si>
  <si>
    <t>ZFMD/KGSQ-25068</t>
  </si>
  <si>
    <t>北京四方继保工程技术有限公司保定分公司采购合同</t>
    <phoneticPr fontId="22" type="noConversion"/>
  </si>
  <si>
    <t>富裕塔哈</t>
    <phoneticPr fontId="1" type="noConversion"/>
  </si>
  <si>
    <t>ZFMD/SD-25200-SH</t>
  </si>
  <si>
    <t>ZFMD/KGSQ-25052</t>
  </si>
  <si>
    <t>新疆思极信息技术有限公司</t>
    <phoneticPr fontId="22" type="noConversion"/>
  </si>
  <si>
    <t>计算机软件委托开发合同</t>
    <phoneticPr fontId="22" type="noConversion"/>
  </si>
  <si>
    <t>电网公司</t>
    <phoneticPr fontId="1" type="noConversion"/>
  </si>
  <si>
    <t>全部风电场及全部光伏电站</t>
    <phoneticPr fontId="1" type="noConversion"/>
  </si>
  <si>
    <t>全疆各风电场风电功率预测；全疆各光伏电站光伏功率预测；全疆各场站极端天气功率预测</t>
    <phoneticPr fontId="1" type="noConversion"/>
  </si>
  <si>
    <t>2025.12.4</t>
    <phoneticPr fontId="22" type="noConversion"/>
  </si>
  <si>
    <t>软件部</t>
    <phoneticPr fontId="22" type="noConversion"/>
  </si>
  <si>
    <t>ZFMD/SD-25201-1-SH</t>
    <phoneticPr fontId="22" type="noConversion"/>
  </si>
  <si>
    <t>ZFMD/SD-25201-2-SH</t>
  </si>
  <si>
    <t>ZFMD/SD-25201-3-SH</t>
  </si>
  <si>
    <t>ZFMD/SD-25201-4-SH</t>
  </si>
  <si>
    <t>ZFMD/SD-25201-5-SH</t>
  </si>
  <si>
    <t>ZFMD/SD-25201-6-SH</t>
  </si>
  <si>
    <t>ZFMD/SD-25201-7-SH</t>
  </si>
  <si>
    <t>ZFMD/SD-25201-8-SH</t>
  </si>
  <si>
    <t>ZFMD/SD-25201-9-SH</t>
  </si>
  <si>
    <t>ZFMD/SD-25201-10-SH</t>
  </si>
  <si>
    <t>ZFMD/SD-25201-11-SH</t>
  </si>
  <si>
    <t>ZFMD/SD-25201-12-SH</t>
  </si>
  <si>
    <t>ZFMD/SD-25201-13-SH</t>
  </si>
  <si>
    <t>ZFMD/SD-25201-14-SH</t>
  </si>
  <si>
    <t>ZFMD/SD-25201-15-SH</t>
  </si>
  <si>
    <t>ZFMD/SD-25201-16-SH</t>
  </si>
  <si>
    <t>ZFMD/SD-25201-17-SH</t>
  </si>
  <si>
    <t>ZFMD/SD-25201-18-SH</t>
  </si>
  <si>
    <t>ZFMD/SD-25201-19-SH</t>
  </si>
  <si>
    <t>2026.11.14</t>
    <phoneticPr fontId="22" type="noConversion"/>
  </si>
  <si>
    <t>吉电新能源</t>
    <phoneticPr fontId="1" type="noConversion"/>
  </si>
  <si>
    <t>吉林吉电新能源所属风光场站功率预测代维护项目服务框架合同</t>
    <phoneticPr fontId="22" type="noConversion"/>
  </si>
  <si>
    <t>大庆市合庆新能源科技有限公司</t>
    <phoneticPr fontId="22" type="noConversion"/>
  </si>
  <si>
    <t>大庆</t>
    <phoneticPr fontId="22" type="noConversion"/>
  </si>
  <si>
    <t>汪清（一二期）</t>
    <phoneticPr fontId="22" type="noConversion"/>
  </si>
  <si>
    <t>汪清旭蓝新能源有限公司</t>
    <phoneticPr fontId="22" type="noConversion"/>
  </si>
  <si>
    <t>汪清（三期）</t>
    <phoneticPr fontId="22" type="noConversion"/>
  </si>
  <si>
    <t>阜新杭泰太阳能发电有限公司</t>
    <phoneticPr fontId="22" type="noConversion"/>
  </si>
  <si>
    <t>那台</t>
    <phoneticPr fontId="22" type="noConversion"/>
  </si>
  <si>
    <t>天津华信晶能新能源有限公司</t>
    <phoneticPr fontId="22" type="noConversion"/>
  </si>
  <si>
    <t>崔黄口</t>
    <phoneticPr fontId="22" type="noConversion"/>
  </si>
  <si>
    <t>安达市众心新能源有限公司</t>
    <phoneticPr fontId="22" type="noConversion"/>
  </si>
  <si>
    <t>风电场技术服务</t>
    <phoneticPr fontId="22" type="noConversion"/>
  </si>
  <si>
    <t>技术服务（其他现代服务）</t>
  </si>
  <si>
    <t>ZFMD/SD-25202-1-SH</t>
    <phoneticPr fontId="22" type="noConversion"/>
  </si>
  <si>
    <t>ZFMD/SD-25202-2-SH</t>
  </si>
  <si>
    <t>ZFMD/SD-25202-3-SH</t>
  </si>
  <si>
    <t>ZFMD/SD-25202-4-SH</t>
  </si>
  <si>
    <t>ZFMD/SD-25202-5-SH</t>
  </si>
  <si>
    <t>ZFMD/SD-25202-6-SH</t>
  </si>
  <si>
    <t>ZFMD/SD-25202-7-SH</t>
  </si>
  <si>
    <t>ZFMD/SD-25202-8-SH</t>
  </si>
  <si>
    <t>ZFMD/SD-25202-9-SH</t>
  </si>
  <si>
    <t>ZFMD/SD-25202-10-SH</t>
  </si>
  <si>
    <t>ZFMD/SD-25202-11-SH</t>
  </si>
  <si>
    <t>ZFMD/SD-25202-12-SH</t>
  </si>
  <si>
    <t>ZFMD/SD-25202-13-SH</t>
  </si>
  <si>
    <t>ZFMD/SD-25202-14-SH</t>
  </si>
  <si>
    <t>ZFMD/SD-25202-15-SH</t>
  </si>
  <si>
    <t>ZFMD/SD-25202-16-SH</t>
  </si>
  <si>
    <t>中广核新能源黑龙江公司风功率预测系统维护服务框架合同</t>
    <phoneticPr fontId="1" type="noConversion"/>
  </si>
  <si>
    <t>2027.10.29</t>
    <phoneticPr fontId="22" type="noConversion"/>
  </si>
  <si>
    <t>ZFMD/SD-25203-SH</t>
    <phoneticPr fontId="22" type="noConversion"/>
  </si>
  <si>
    <t>ZFMD/SD-25204-1-SH</t>
    <phoneticPr fontId="22" type="noConversion"/>
  </si>
  <si>
    <t>ZFMD/SD-25204-2-SH</t>
  </si>
  <si>
    <t>ZFMD/SD-25204-3-SH</t>
  </si>
  <si>
    <t>ZFMD/SD-25204-4-SH</t>
  </si>
  <si>
    <t>华电新疆乌鲁木齐县能源发展有限公司所属场站功率预测系统维护服务项目</t>
    <phoneticPr fontId="1" type="noConversion"/>
  </si>
  <si>
    <t>2025.11.28</t>
    <phoneticPr fontId="22" type="noConversion"/>
  </si>
  <si>
    <t>2025.9.3</t>
    <phoneticPr fontId="22" type="noConversion"/>
  </si>
  <si>
    <t>2026.9.2</t>
    <phoneticPr fontId="22" type="noConversion"/>
  </si>
  <si>
    <t>新疆华电达坂城新能源有限公司所属5个场站功率预测系统维护服务项目</t>
    <phoneticPr fontId="1" type="noConversion"/>
  </si>
  <si>
    <t>2024.12.16</t>
    <phoneticPr fontId="22" type="noConversion"/>
  </si>
  <si>
    <t>2025.12.15</t>
    <phoneticPr fontId="22" type="noConversion"/>
  </si>
  <si>
    <t>2026.4.2</t>
    <phoneticPr fontId="22" type="noConversion"/>
  </si>
  <si>
    <t>2026.8.25</t>
    <phoneticPr fontId="22" type="noConversion"/>
  </si>
  <si>
    <t>2025.11.27开票占号。发票开红字，合同作废。等待签合同</t>
    <phoneticPr fontId="22" type="noConversion"/>
  </si>
  <si>
    <t>ZFMD/SD-25204-5-SH</t>
    <phoneticPr fontId="22" type="noConversion"/>
  </si>
  <si>
    <t>ZFMD/SD-25205-SH</t>
    <phoneticPr fontId="22" type="noConversion"/>
  </si>
  <si>
    <t>新特红星风电场风功率预测系统服务合同书</t>
    <phoneticPr fontId="22" type="noConversion"/>
  </si>
  <si>
    <t>预测服务4年</t>
    <phoneticPr fontId="22" type="noConversion"/>
  </si>
  <si>
    <t>2025.12.20</t>
    <phoneticPr fontId="22" type="noConversion"/>
  </si>
  <si>
    <t>2023.7.11</t>
    <phoneticPr fontId="22" type="noConversion"/>
  </si>
  <si>
    <t>2027.7.10</t>
    <phoneticPr fontId="22" type="noConversion"/>
  </si>
  <si>
    <t>哈密红星</t>
    <phoneticPr fontId="22" type="noConversion"/>
  </si>
  <si>
    <t>新能源分公司所属哈密红星风电场功率预测系统中长期预测升级项目合同</t>
    <phoneticPr fontId="22" type="noConversion"/>
  </si>
  <si>
    <t>系统硬件；软件升级（自动巡检）；中长期电量预测</t>
    <phoneticPr fontId="22" type="noConversion"/>
  </si>
  <si>
    <t>ZFMD/SD-25206-SH</t>
    <phoneticPr fontId="22" type="noConversion"/>
  </si>
  <si>
    <t>ZFMD/SD-25207-SH</t>
  </si>
  <si>
    <t>2025.12.26</t>
    <phoneticPr fontId="22" type="noConversion"/>
  </si>
  <si>
    <t>ZFMD/SD-25209-SH</t>
  </si>
  <si>
    <t xml:space="preserve">扶余吉电新能源有限公司	</t>
    <phoneticPr fontId="27" type="noConversion"/>
  </si>
  <si>
    <t>黑龙江富龙风力发电有限责任公司风功率防火墙采购合同</t>
    <phoneticPr fontId="1" type="noConversion"/>
  </si>
  <si>
    <t>2025.12.22</t>
    <phoneticPr fontId="22" type="noConversion"/>
  </si>
  <si>
    <t>ZFMD/SD-25208-SH</t>
    <phoneticPr fontId="22" type="noConversion"/>
  </si>
  <si>
    <t>明阳智慧能源集团股份公司采购订单</t>
    <phoneticPr fontId="22" type="noConversion"/>
  </si>
  <si>
    <t>铁岭庆云堡20万项目</t>
    <phoneticPr fontId="22" type="noConversion"/>
  </si>
  <si>
    <t>2025.12.25</t>
    <phoneticPr fontId="22" type="noConversion"/>
  </si>
  <si>
    <t>湖南霖轩镁宏实业有限公司</t>
    <phoneticPr fontId="22" type="noConversion"/>
  </si>
  <si>
    <t>白羊田光伏电站集控中心功率预测系统与场站功率预测系统接口联调合同</t>
    <phoneticPr fontId="22" type="noConversion"/>
  </si>
  <si>
    <t>光伏电站技术服务</t>
    <phoneticPr fontId="1" type="noConversion"/>
  </si>
  <si>
    <t>白羊田</t>
    <phoneticPr fontId="22" type="noConversion"/>
  </si>
  <si>
    <t>ZFMD/SD-25210-SH</t>
  </si>
  <si>
    <t>海伦市冠峰新能源科技有限公司</t>
    <phoneticPr fontId="22" type="noConversion"/>
  </si>
  <si>
    <t>海伦冠峰100MW风电场综合通讯系统上传时间修改项目技术服务合同</t>
    <phoneticPr fontId="22" type="noConversion"/>
  </si>
  <si>
    <t>2025.12.16</t>
    <phoneticPr fontId="22" type="noConversion"/>
  </si>
  <si>
    <t>ZFMD/SD-25211-SH</t>
  </si>
  <si>
    <t>无锡市众瑞光伏科技有限公司</t>
    <phoneticPr fontId="22" type="noConversion"/>
  </si>
  <si>
    <t>2025.12.29</t>
    <phoneticPr fontId="22" type="noConversion"/>
  </si>
  <si>
    <t>2026.12.11</t>
    <phoneticPr fontId="22" type="noConversion"/>
  </si>
  <si>
    <t>ZFMD/SD-25212-SH</t>
  </si>
  <si>
    <t>ZFMD/SD-25202-8-SH-BG01</t>
    <phoneticPr fontId="22" type="noConversion"/>
  </si>
  <si>
    <t>ZFMD/SD-25202-15-SH-BG01
ZFMD/SD-25202-15-SH-BG02</t>
    <phoneticPr fontId="5" type="noConversion"/>
  </si>
  <si>
    <t>ZFMD/SD-25202-13-SH-BG01
ZFMD/SD-25202-13-SH-BG02</t>
    <phoneticPr fontId="22" type="noConversion"/>
  </si>
  <si>
    <t>ZFMD/SHFW-2025019</t>
    <phoneticPr fontId="5" type="noConversion"/>
  </si>
  <si>
    <r>
      <t xml:space="preserve">销售合同登记台账-2026年
</t>
    </r>
    <r>
      <rPr>
        <sz val="10"/>
        <color theme="1"/>
        <rFont val="宋体"/>
        <family val="3"/>
        <charset val="134"/>
        <scheme val="minor"/>
      </rPr>
      <t>（文件编号：ZFMDZHGLB-HTDJTZ-V1.0）</t>
    </r>
    <phoneticPr fontId="1" type="noConversion"/>
  </si>
  <si>
    <t>ZFMD/SD-26001-SH</t>
    <phoneticPr fontId="1" type="noConversion"/>
  </si>
  <si>
    <t>ZFMD/SD-26002-SH</t>
  </si>
  <si>
    <t>ZFMD/SD-26003-SH</t>
  </si>
  <si>
    <t>ZFMD/SD-26004-SH</t>
  </si>
  <si>
    <t>ZFMD/SD-26005-1-SH</t>
    <phoneticPr fontId="1" type="noConversion"/>
  </si>
  <si>
    <t>ZFMD/SD-26005-2-SH</t>
  </si>
  <si>
    <t>ZFMD/SD-26005-3-SH</t>
  </si>
  <si>
    <t>ZFMD/SD-26005-4-SH</t>
  </si>
  <si>
    <t>ZFMD/SD-26006-SH</t>
    <phoneticPr fontId="1" type="noConversion"/>
  </si>
  <si>
    <t>ZFMD/SD-26007-SH</t>
  </si>
  <si>
    <t>ZFMD/SD-26008-1-SH</t>
    <phoneticPr fontId="1" type="noConversion"/>
  </si>
  <si>
    <t>ZFMD/SD-26008-2-SH</t>
  </si>
  <si>
    <t>ZFMD/SD-26009-SH</t>
    <phoneticPr fontId="1" type="noConversion"/>
  </si>
  <si>
    <t>ZFMD/SD-26010-SH</t>
    <phoneticPr fontId="1" type="noConversion"/>
  </si>
  <si>
    <t>福建省福能新能源有限责任公司</t>
    <phoneticPr fontId="1" type="noConversion"/>
  </si>
  <si>
    <t>短期软件；超短期软件；集控高级应用；预测服务1年；其他现代服务</t>
    <phoneticPr fontId="1" type="noConversion"/>
  </si>
  <si>
    <t>22个风电项目和2个光伏项目</t>
    <phoneticPr fontId="1" type="noConversion"/>
  </si>
  <si>
    <t>2026.1.19</t>
    <phoneticPr fontId="1" type="noConversion"/>
  </si>
  <si>
    <t>2026.1.6</t>
    <phoneticPr fontId="1" type="noConversion"/>
  </si>
  <si>
    <t>开口合同，以实际结算金额为准</t>
    <phoneticPr fontId="1" type="noConversion"/>
  </si>
  <si>
    <t>兆方美迪风能工程（上海）有限公司基于多模型融合的新能源风光功率智能预测与择优平台开发采购合同</t>
    <phoneticPr fontId="1" type="noConversion"/>
  </si>
  <si>
    <t>ZFMD/KGSQ-25067</t>
  </si>
  <si>
    <t>克东广通200MW风电项目</t>
    <phoneticPr fontId="1" type="noConversion"/>
  </si>
  <si>
    <t>中铁二十一局集团酒泉鑫能工程有限公司</t>
    <phoneticPr fontId="1" type="noConversion"/>
  </si>
  <si>
    <t>中铁二十一局集团酒泉鑫能工程有限公司克东广通200MW风电项目部物资（设备）采购合同</t>
    <phoneticPr fontId="1" type="noConversion"/>
  </si>
  <si>
    <t>2026.1.10</t>
    <phoneticPr fontId="1" type="noConversion"/>
  </si>
  <si>
    <t>工程项目部</t>
    <phoneticPr fontId="1" type="noConversion"/>
  </si>
  <si>
    <t>ZFMD/SHFW-2026001</t>
    <phoneticPr fontId="1" type="noConversion"/>
  </si>
  <si>
    <t>2026.1.9开票占号</t>
    <phoneticPr fontId="1" type="noConversion"/>
  </si>
  <si>
    <t>一汽弗迪</t>
    <phoneticPr fontId="1" type="noConversion"/>
  </si>
  <si>
    <t>一汽弗迪光伏项目功率预测上传102规约改造服务协议</t>
    <phoneticPr fontId="1" type="noConversion"/>
  </si>
  <si>
    <t>白山光伏项目功率预测上传102规约改造服务协议</t>
    <phoneticPr fontId="1" type="noConversion"/>
  </si>
  <si>
    <t>2026.1.17</t>
    <phoneticPr fontId="1" type="noConversion"/>
  </si>
  <si>
    <t>2025.12.30</t>
    <phoneticPr fontId="1" type="noConversion"/>
  </si>
  <si>
    <t>2026.1.1</t>
    <phoneticPr fontId="1" type="noConversion"/>
  </si>
  <si>
    <t>预测服务15个月</t>
    <phoneticPr fontId="1" type="noConversion"/>
  </si>
  <si>
    <t>2025.9.12</t>
    <phoneticPr fontId="1" type="noConversion"/>
  </si>
  <si>
    <t>2025.10.1</t>
    <phoneticPr fontId="1" type="noConversion"/>
  </si>
  <si>
    <t>大安新开能源有限公司富田风电场风功率预测系统服务合同</t>
    <phoneticPr fontId="1" type="noConversion"/>
  </si>
  <si>
    <t>2027.12.31</t>
    <phoneticPr fontId="1" type="noConversion"/>
  </si>
  <si>
    <t>吉西基地鲁固直流白城140万千瓦外送项目风电场风电功率预测系统服务合同书</t>
    <phoneticPr fontId="22" type="noConversion"/>
  </si>
  <si>
    <t>辽宁北方电力自动化设备有限公司</t>
    <phoneticPr fontId="1" type="noConversion"/>
  </si>
  <si>
    <t>依兰鸡冠山风电场快速频率响应系统改造合同</t>
    <phoneticPr fontId="1" type="noConversion"/>
  </si>
  <si>
    <t>2025.12.5</t>
    <phoneticPr fontId="1" type="noConversion"/>
  </si>
  <si>
    <t>ZFMD/SD-24073-SH-BG01
ZFMD/SD-24073-SH-BG02
ZFMD/SD-24073-SH-BG03
ZFMD/SD-24073-SH-BG04</t>
    <phoneticPr fontId="1" type="noConversion"/>
  </si>
  <si>
    <t>ZFMD/SD-23164-2-SH</t>
    <phoneticPr fontId="1" type="noConversion"/>
  </si>
  <si>
    <t>大唐中电（吉林）发电有限公司洮南大通风电场</t>
    <phoneticPr fontId="1" type="noConversion"/>
  </si>
  <si>
    <t>ZFMD/SD-26011-SH</t>
  </si>
  <si>
    <t>国源天立布尔津风电一场2026年风功率预测技术服务合同</t>
    <phoneticPr fontId="1" type="noConversion"/>
  </si>
  <si>
    <t>ZFMD/SD-26012-SH</t>
    <phoneticPr fontId="1" type="noConversion"/>
  </si>
  <si>
    <t>ZFMD/SD-26013-SH</t>
  </si>
  <si>
    <t>中广核新能源吉林道字光伏电站（一汽弗迪光伏项目）光功率预测系统维护服务项目采购合同</t>
    <phoneticPr fontId="1" type="noConversion"/>
  </si>
  <si>
    <t>2026.1.30</t>
    <phoneticPr fontId="1" type="noConversion"/>
  </si>
  <si>
    <t>中广核新能源吉林道字光伏电站（白山乡村振兴光伏项目）光功率预测系统维护服务项目采购合同</t>
    <phoneticPr fontId="1" type="noConversion"/>
  </si>
  <si>
    <t>ZFMD/SD-26014-SH</t>
  </si>
  <si>
    <t>ZFMD/KGSQ-26001</t>
    <phoneticPr fontId="1" type="noConversion"/>
  </si>
  <si>
    <t>国家能源</t>
    <phoneticPr fontId="1" type="noConversion"/>
  </si>
  <si>
    <t>新安</t>
    <phoneticPr fontId="1" type="noConversion"/>
  </si>
  <si>
    <t>吉林省鼎辰机械设备有限公司</t>
    <phoneticPr fontId="1" type="noConversion"/>
  </si>
  <si>
    <t>新安风电场风电功率预测系统软件及技术服务合同</t>
    <phoneticPr fontId="1" type="noConversion"/>
  </si>
  <si>
    <t>2026.1.23</t>
    <phoneticPr fontId="1" type="noConversion"/>
  </si>
  <si>
    <t>2026.2.5</t>
    <phoneticPr fontId="1" type="noConversion"/>
  </si>
  <si>
    <t>ZFMD/SHFW-2025032</t>
    <phoneticPr fontId="5" type="noConversion"/>
  </si>
  <si>
    <t>ZFMD/SD-26015-SH</t>
    <phoneticPr fontId="1" type="noConversion"/>
  </si>
  <si>
    <t>浙江江能建设有限公司</t>
    <phoneticPr fontId="1" type="noConversion"/>
  </si>
  <si>
    <t>桦川储能项目测风设备采购合同</t>
    <phoneticPr fontId="1" type="noConversion"/>
  </si>
  <si>
    <t>2026.2.13</t>
    <phoneticPr fontId="1" type="noConversion"/>
  </si>
  <si>
    <t>ZFMD/SD-26017-1-SH</t>
    <phoneticPr fontId="1" type="noConversion"/>
  </si>
  <si>
    <t>ZFMD/SD-26017-2-SH</t>
  </si>
  <si>
    <t>华能湖南清洁能源分公司江口及湘乡风电项目2026-2028年功率预测系统高精度气象预报数据服务合同</t>
    <phoneticPr fontId="22" type="noConversion"/>
  </si>
  <si>
    <t>预测服务3年；技术服务</t>
    <phoneticPr fontId="1" type="noConversion"/>
  </si>
  <si>
    <t>2026.2.3</t>
    <phoneticPr fontId="1" type="noConversion"/>
  </si>
  <si>
    <t>2029.2.2</t>
    <phoneticPr fontId="1" type="noConversion"/>
  </si>
  <si>
    <t>ZFMD/SD-26016-SH</t>
    <phoneticPr fontId="1" type="noConversion"/>
  </si>
  <si>
    <t>ZFMD/SD-26018-SH</t>
    <phoneticPr fontId="1" type="noConversion"/>
  </si>
  <si>
    <t>大唐孙吴新能源有限公司</t>
    <phoneticPr fontId="1" type="noConversion"/>
  </si>
  <si>
    <t>新岭</t>
    <phoneticPr fontId="1" type="noConversion"/>
  </si>
  <si>
    <t>系统硬件维护；测风塔维护；预测服务3年</t>
    <phoneticPr fontId="5" type="noConversion"/>
  </si>
  <si>
    <t>2026.2.1</t>
    <phoneticPr fontId="1" type="noConversion"/>
  </si>
  <si>
    <t>2029.1.31</t>
    <phoneticPr fontId="1" type="noConversion"/>
  </si>
  <si>
    <t>ZFMD/SD-26019-SH</t>
  </si>
  <si>
    <t>提成韩志宇</t>
    <phoneticPr fontId="1" type="noConversion"/>
  </si>
  <si>
    <t>ZFMD/SD-26020-SH</t>
  </si>
  <si>
    <t>ZFMD/SD-26021-SH</t>
  </si>
  <si>
    <t>ZFMD/SD-26023-SH</t>
  </si>
  <si>
    <t>ZFMD/SD-26024-SH</t>
  </si>
  <si>
    <t>吉林通榆新唐发电有限公司繁荣风电场2026年风功率预测系统（软硬件）维护服务合同</t>
    <phoneticPr fontId="1" type="noConversion"/>
  </si>
  <si>
    <t>大唐中电（吉林）发电有限公司洮南大通风电场2026年风功率预测系统（软硬件）维护服务合同</t>
    <phoneticPr fontId="1" type="noConversion"/>
  </si>
  <si>
    <t>ZFMD/SD-26022-1-SH</t>
    <phoneticPr fontId="1" type="noConversion"/>
  </si>
  <si>
    <t>ZFMD/SD-26022-2-SH</t>
    <phoneticPr fontId="1" type="noConversion"/>
  </si>
  <si>
    <t>大唐向阳风电有限公司向阳、胜利风电场2026年风功率预测系统（软硬件）维护服务合同</t>
    <phoneticPr fontId="1" type="noConversion"/>
  </si>
  <si>
    <t>吉林大安新唐发电有限公司新艾里风电场2026年风功率预测系统（软硬件）维护服务合同</t>
    <phoneticPr fontId="1" type="noConversion"/>
  </si>
  <si>
    <t>大唐中电（吉林）新能源发电有限公司双辽分公司双辽风电场2026年风功率预测系统（软硬件）维护服务合同</t>
    <phoneticPr fontId="1" type="noConversion"/>
  </si>
  <si>
    <t>ZFMD/SD-26025-SH</t>
  </si>
  <si>
    <t>2026.2.11</t>
    <phoneticPr fontId="1" type="noConversion"/>
  </si>
  <si>
    <t>ZFMD/SD-26026-SH</t>
  </si>
  <si>
    <t>三峡能源黑龙江省乌伊岭阿廷河风电场2026-2027年风功率预测系统维护服务合同</t>
    <phoneticPr fontId="1" type="noConversion"/>
  </si>
  <si>
    <t>ZFMD/SD-26027-SH</t>
  </si>
  <si>
    <t>三峡能源黑龙江富裕友谊50MW风电平价上网项目2026-2027年风功率预测系统维护服务合同</t>
    <phoneticPr fontId="1" type="noConversion"/>
  </si>
  <si>
    <t>中和</t>
    <phoneticPr fontId="1" type="noConversion"/>
  </si>
  <si>
    <t>2026.2.6</t>
    <phoneticPr fontId="1" type="noConversion"/>
  </si>
  <si>
    <t>2028.2.5</t>
    <phoneticPr fontId="1" type="noConversion"/>
  </si>
  <si>
    <t>ZFMD/SD-26028-SH</t>
  </si>
  <si>
    <t>双辽庆达光伏发电有限公司</t>
    <phoneticPr fontId="1" type="noConversion"/>
  </si>
  <si>
    <t>三峡能源吉林省双辽服先190MW光伏电站功率预测更换上报方式服务合同</t>
    <phoneticPr fontId="1" type="noConversion"/>
  </si>
  <si>
    <t>双辽服先190MW光伏电站</t>
    <phoneticPr fontId="1" type="noConversion"/>
  </si>
  <si>
    <t>2026.2.12</t>
    <phoneticPr fontId="1" type="noConversion"/>
  </si>
  <si>
    <t>三峡新能源（双辽）庆达发电有限公司</t>
    <phoneticPr fontId="1" type="noConversion"/>
  </si>
  <si>
    <t>三峡能源吉林省庆达10MW光伏电站功率预测更换上报方式服务合同</t>
    <phoneticPr fontId="1" type="noConversion"/>
  </si>
  <si>
    <t>庆达10MW光伏电站</t>
    <phoneticPr fontId="1" type="noConversion"/>
  </si>
  <si>
    <t>三峡能源黑龙江省伊春老白山风电扬2026-2027年风功率预测系统维护服务合同</t>
    <phoneticPr fontId="1" type="noConversion"/>
  </si>
  <si>
    <t>ZFMD/SD-26030-1-SH</t>
    <phoneticPr fontId="1" type="noConversion"/>
  </si>
  <si>
    <t>ZFMD/SD-26030-2-SH</t>
  </si>
  <si>
    <t>三峡黑龙江泰来汤池9.9MW电站、三峡黑龙江富裕友谊20MW电站光功率预测系统维护服务合同</t>
    <phoneticPr fontId="22" type="noConversion"/>
  </si>
  <si>
    <t>2026.2.25</t>
    <phoneticPr fontId="1" type="noConversion"/>
  </si>
  <si>
    <t>2025.9.1</t>
    <phoneticPr fontId="1" type="noConversion"/>
  </si>
  <si>
    <t>2026.2.5开票占号。2026.2.26暂时作废，因业主流程问题，待业主解决流程问题，重新开具。</t>
    <phoneticPr fontId="1" type="noConversion"/>
  </si>
  <si>
    <t>ZFMD/SD-26031-SH</t>
    <phoneticPr fontId="1" type="noConversion"/>
  </si>
  <si>
    <t>白城市天禹新能源智慧运维有限公司</t>
    <phoneticPr fontId="1" type="noConversion"/>
  </si>
  <si>
    <t>富兴升压站自兴光伏电站光伏功率预测系统服务合同书</t>
    <phoneticPr fontId="1" type="noConversion"/>
  </si>
  <si>
    <t>2026.2.27</t>
    <phoneticPr fontId="1" type="noConversion"/>
  </si>
  <si>
    <t>2026.3.1</t>
    <phoneticPr fontId="1" type="noConversion"/>
  </si>
  <si>
    <t>2027.2.28</t>
    <phoneticPr fontId="1" type="noConversion"/>
  </si>
  <si>
    <t>ZFMD/SD-26028-SH-BG01</t>
    <phoneticPr fontId="1" type="noConversion"/>
  </si>
  <si>
    <t>ZFMD/SD-26029-SH</t>
    <phoneticPr fontId="1" type="noConversion"/>
  </si>
  <si>
    <t>ZFMD/SD-26016-SH-BG01</t>
    <phoneticPr fontId="1" type="noConversion"/>
  </si>
  <si>
    <t>ZFMD/SD-25109-SH-BG01</t>
    <phoneticPr fontId="22" type="noConversion"/>
  </si>
  <si>
    <t>ZFMD/SD-26032-SH</t>
  </si>
  <si>
    <t>大安三峡庆达光伏发电有限公司</t>
    <phoneticPr fontId="1" type="noConversion"/>
  </si>
  <si>
    <t>三峡能源吉林省大安三峡20MWp陆上光伏项目功率预测更换上报方式服务合同</t>
    <phoneticPr fontId="1" type="noConversion"/>
  </si>
  <si>
    <t>2026.3.4</t>
    <phoneticPr fontId="1" type="noConversion"/>
  </si>
  <si>
    <t>2026.2.24</t>
    <phoneticPr fontId="1" type="noConversion"/>
  </si>
  <si>
    <t>大安三峡陆上光伏项目</t>
    <phoneticPr fontId="1" type="noConversion"/>
  </si>
  <si>
    <t>ZFMD/SD-26033-SH</t>
  </si>
  <si>
    <t>三峡能源吉林省大安海坨198MW陆上风电项目功率预测更换上报方式服务合同</t>
    <phoneticPr fontId="1" type="noConversion"/>
  </si>
  <si>
    <t>ZFMD/SD-26034-SH</t>
  </si>
  <si>
    <t>三峡能源吉林省白城查干浩特风电场45MW项目场站功率预测更换上报方式服务合同</t>
    <phoneticPr fontId="1" type="noConversion"/>
  </si>
  <si>
    <t>2027.6.30</t>
    <phoneticPr fontId="1" type="noConversion"/>
  </si>
  <si>
    <t>2027.1.15</t>
    <phoneticPr fontId="1" type="noConversion"/>
  </si>
  <si>
    <t>软件升级（102协议上传改造）；预测服务1年</t>
    <phoneticPr fontId="1" type="noConversion"/>
  </si>
  <si>
    <t>ZFMD/SD-26035-SH</t>
  </si>
  <si>
    <t>ZFMD/SD-26036-SH</t>
  </si>
  <si>
    <t>2026.3.2</t>
    <phoneticPr fontId="1" type="noConversion"/>
  </si>
  <si>
    <t>2027.1.31</t>
    <phoneticPr fontId="1" type="noConversion"/>
  </si>
  <si>
    <t>桦树岭风电场二期功率预测系统数值天气预报技术服务合同</t>
    <phoneticPr fontId="1" type="noConversion"/>
  </si>
  <si>
    <t>双辽光伏</t>
    <phoneticPr fontId="1" type="noConversion"/>
  </si>
  <si>
    <t>大安长富/庆达光伏</t>
    <phoneticPr fontId="1" type="noConversion"/>
  </si>
  <si>
    <t>ZFMD/SD-25111-SH-BG01</t>
    <phoneticPr fontId="22" type="noConversion"/>
  </si>
  <si>
    <t>ZFMD/SD-25114-SH-BG01</t>
    <phoneticPr fontId="22" type="noConversion"/>
  </si>
  <si>
    <t>ZFMD/SD-25115-SH-BG01</t>
    <phoneticPr fontId="22" type="noConversion"/>
  </si>
  <si>
    <t>ZFMD/SD-26033-SH-BG01</t>
    <phoneticPr fontId="1" type="noConversion"/>
  </si>
  <si>
    <t>系统硬件；软件升级；预测服务1年</t>
    <phoneticPr fontId="22" type="noConversion"/>
  </si>
  <si>
    <t>ZFMD/SD-26032-SH-BG01</t>
    <phoneticPr fontId="1" type="noConversion"/>
  </si>
  <si>
    <t>ZFMD/SD-25202-1-SH-BG01</t>
    <phoneticPr fontId="22" type="noConversion"/>
  </si>
  <si>
    <t>ZFMD/SD-25202-2-SH-BG01</t>
    <phoneticPr fontId="22" type="noConversion"/>
  </si>
  <si>
    <t>ZFMD/SD-25202-3-SH-BG01</t>
    <phoneticPr fontId="22" type="noConversion"/>
  </si>
  <si>
    <t>ZFMD/SD-25202-4-SH-BG01</t>
    <phoneticPr fontId="22" type="noConversion"/>
  </si>
  <si>
    <t>ZFMD/SD-25202-5-SH-BG01</t>
    <phoneticPr fontId="22" type="noConversion"/>
  </si>
  <si>
    <t>ZFMD/SD-25202-6-SH-BG01</t>
    <phoneticPr fontId="22" type="noConversion"/>
  </si>
  <si>
    <t>ZFMD/SD-25202-7-SH-BG01</t>
    <phoneticPr fontId="22" type="noConversion"/>
  </si>
  <si>
    <t>ZFMD/SD-25202-9-SH-BG01</t>
    <phoneticPr fontId="22" type="noConversion"/>
  </si>
  <si>
    <t>ZFMD/SD-25202-10-SH-BG01</t>
    <phoneticPr fontId="22" type="noConversion"/>
  </si>
  <si>
    <t>ZFMD/SD-25202-11-SH-BG01</t>
    <phoneticPr fontId="22" type="noConversion"/>
  </si>
  <si>
    <t>ZFMD/SD-25202-12-SH-BG01</t>
    <phoneticPr fontId="22" type="noConversion"/>
  </si>
  <si>
    <t>ZFMD/SD-25202-14-SH-BG01</t>
    <phoneticPr fontId="22" type="noConversion"/>
  </si>
  <si>
    <t>ZFMD/SD-25202-16-SH-BG01</t>
    <phoneticPr fontId="22" type="noConversion"/>
  </si>
  <si>
    <t>ZFMD/SD-26037-SH</t>
  </si>
  <si>
    <t>华电库车发电有限公司厂区智能化升级项目服务合同</t>
    <phoneticPr fontId="1" type="noConversion"/>
  </si>
  <si>
    <t>新疆大兴恒业电子科技有限公司</t>
    <phoneticPr fontId="1" type="noConversion"/>
  </si>
  <si>
    <t>2026.3</t>
    <phoneticPr fontId="1" type="noConversion"/>
  </si>
  <si>
    <t>2026.1.13</t>
    <phoneticPr fontId="1" type="noConversion"/>
  </si>
  <si>
    <t>ZFMD/SD-26038-SH</t>
  </si>
  <si>
    <t>中石油黑龙江大庆林甸1000MW风电项目</t>
    <phoneticPr fontId="22" type="noConversion"/>
  </si>
  <si>
    <t>短期软件；超短期软件；系统硬件；测风塔1；测风塔设备1；测风塔2；测风塔设备2；预测服务5年</t>
    <phoneticPr fontId="1" type="noConversion"/>
  </si>
  <si>
    <t>2026.3.9</t>
    <phoneticPr fontId="1" type="noConversion"/>
  </si>
  <si>
    <t>ZFMD/SD-26039-SH</t>
  </si>
  <si>
    <t>百里荒风电场风功率预测气象服务技术服务合同</t>
    <phoneticPr fontId="1" type="noConversion"/>
  </si>
  <si>
    <t>2025.3.4</t>
    <phoneticPr fontId="1" type="noConversion"/>
  </si>
  <si>
    <t>ZFMD/SD-26040-SH</t>
  </si>
  <si>
    <t>上堡风电场2026年度风功率预测系统服务合同书</t>
    <phoneticPr fontId="1" type="noConversion"/>
  </si>
  <si>
    <t>2026.2.9</t>
    <phoneticPr fontId="22" type="noConversion"/>
  </si>
  <si>
    <t>ZFMD/SD-26041-SH</t>
  </si>
  <si>
    <t>龙源（北京）新能源工程技术有限公司</t>
    <phoneticPr fontId="1" type="noConversion"/>
  </si>
  <si>
    <t>龙源（北京）新能源工程技术有限公司场站功率预测驻场运维服务框架协议（标段2）</t>
    <phoneticPr fontId="1" type="noConversion"/>
  </si>
  <si>
    <t>龙源各场站</t>
    <phoneticPr fontId="1" type="noConversion"/>
  </si>
  <si>
    <t>郭文明
马梦迪</t>
    <phoneticPr fontId="1" type="noConversion"/>
  </si>
  <si>
    <t>综合管理部</t>
    <phoneticPr fontId="1" type="noConversion"/>
  </si>
  <si>
    <t>2026.3.13</t>
    <phoneticPr fontId="1" type="noConversion"/>
  </si>
  <si>
    <t>巴里坤1、2风电场/郎广、郎吟</t>
    <phoneticPr fontId="22" type="noConversion"/>
  </si>
  <si>
    <t>金风科技股份有限公司</t>
    <phoneticPr fontId="1" type="noConversion"/>
  </si>
  <si>
    <t>HN202603110001-B02299新疆哈密天山北麓基地华电风电场一标段（郎广、郎吟）风功率预测系统接入他方智慧运维平台技术服务合同</t>
    <phoneticPr fontId="1" type="noConversion"/>
  </si>
  <si>
    <t>2026.3.17</t>
    <phoneticPr fontId="1" type="noConversion"/>
  </si>
  <si>
    <t>ZFMD/SD-26042-SH</t>
    <phoneticPr fontId="1" type="noConversion"/>
  </si>
  <si>
    <t>三峡新能源农安有限公司</t>
    <phoneticPr fontId="1" type="noConversion"/>
  </si>
  <si>
    <t>三峡能源吉林农安南洼子风电场功率预测更换上报方式服务合同</t>
    <phoneticPr fontId="1" type="noConversion"/>
  </si>
  <si>
    <t>农安南洼子</t>
    <phoneticPr fontId="1" type="noConversion"/>
  </si>
  <si>
    <t>2026.3.21</t>
    <phoneticPr fontId="1" type="noConversion"/>
  </si>
  <si>
    <t>ZFMD/SD-26043-SH</t>
    <phoneticPr fontId="1" type="noConversion"/>
  </si>
  <si>
    <t>短期软件；超短期软件；系统硬件；软件升级（102协议上传改造）；预测服务10个月</t>
    <phoneticPr fontId="1" type="noConversion"/>
  </si>
  <si>
    <t>短期软件；超短期软件；系统硬件；软件升级（102协议上传改造）；预测服务16个月</t>
    <phoneticPr fontId="1" type="noConversion"/>
  </si>
  <si>
    <t>短期软件；超短期软件；系统硬件；软件升级（102协议上传改造）；预测服务12.5个月</t>
    <phoneticPr fontId="1" type="noConversion"/>
  </si>
  <si>
    <t>ZFMD/SD-26043-SH-BG01</t>
    <phoneticPr fontId="1" type="noConversion"/>
  </si>
  <si>
    <t>ZFMD/SD-26044-SH</t>
  </si>
  <si>
    <t>合同作废。因和维美德合同重复。</t>
    <phoneticPr fontId="1" type="noConversion"/>
  </si>
  <si>
    <t>ZFMD/SD-26045-1-SH</t>
    <phoneticPr fontId="1" type="noConversion"/>
  </si>
  <si>
    <t>ZFMD/SD-26045-2-SH</t>
  </si>
  <si>
    <t>ZFMD/SD-26045-3-SH</t>
  </si>
  <si>
    <t>ZFMD/SD-26045-4-SH</t>
  </si>
  <si>
    <t>汇能福建所辖3场站功率预测升级改造及集控预测系统平台建设服务采购项目采购合同</t>
    <phoneticPr fontId="22" type="noConversion"/>
  </si>
  <si>
    <t>福建中核汇能能源有限公司</t>
    <phoneticPr fontId="1" type="noConversion"/>
  </si>
  <si>
    <t>风电场
光伏电站</t>
    <phoneticPr fontId="22" type="noConversion"/>
  </si>
  <si>
    <t>短期软件；超短期软件；系统硬件；预测服务1年；集控预测系统平台</t>
    <phoneticPr fontId="1" type="noConversion"/>
  </si>
  <si>
    <t>2026.3.31</t>
    <phoneticPr fontId="1" type="noConversion"/>
  </si>
  <si>
    <t>2026.3.19</t>
    <phoneticPr fontId="1" type="noConversion"/>
  </si>
  <si>
    <t>2026.3.30</t>
    <phoneticPr fontId="1" type="noConversion"/>
  </si>
  <si>
    <t>2026.1.20销售合同作废</t>
    <phoneticPr fontId="1" type="noConversion"/>
  </si>
  <si>
    <t>ZFMD/SD-23164-5-SH-BG01
ZFMD/SD-23164-5-SH-BG02</t>
    <phoneticPr fontId="1" type="noConversion"/>
  </si>
  <si>
    <t>ZFMD/SD-23164-2-SH-BG01
ZFMD/SD-23164-2-SH-BG02</t>
    <phoneticPr fontId="5" type="noConversion"/>
  </si>
  <si>
    <t>ZFMD/SD-26046-SH</t>
    <phoneticPr fontId="1" type="noConversion"/>
  </si>
  <si>
    <t>2026.4.7</t>
    <phoneticPr fontId="1" type="noConversion"/>
  </si>
  <si>
    <t>肇源县明阳风力发电有限公司</t>
    <phoneticPr fontId="1" type="noConversion"/>
  </si>
  <si>
    <t>短期软件；超短期软件；系统硬件；软件升级；预测服务1年</t>
    <phoneticPr fontId="1" type="noConversion"/>
  </si>
  <si>
    <t>2026.4.11</t>
    <phoneticPr fontId="1" type="noConversion"/>
  </si>
  <si>
    <t>2027.4.6</t>
    <phoneticPr fontId="1" type="noConversion"/>
  </si>
  <si>
    <t>兰西县辰能风力发电有限公司</t>
    <phoneticPr fontId="1" type="noConversion"/>
  </si>
  <si>
    <t>2026.3.23</t>
    <phoneticPr fontId="1" type="noConversion"/>
  </si>
  <si>
    <t>2027.3.23</t>
    <phoneticPr fontId="1" type="noConversion"/>
  </si>
  <si>
    <t>ZFMD/SD-26047-SH</t>
    <phoneticPr fontId="1" type="noConversion"/>
  </si>
  <si>
    <t>ZFMD/SD-26048-SH</t>
    <phoneticPr fontId="1" type="noConversion"/>
  </si>
  <si>
    <t>兰西县辰能风力发电有限公司风功率预测、综合通讯管理系统技术服务合同</t>
    <phoneticPr fontId="1" type="noConversion"/>
  </si>
  <si>
    <t>古兴</t>
    <phoneticPr fontId="1" type="noConversion"/>
  </si>
  <si>
    <t>ZFMD/KGSQ-26002</t>
    <phoneticPr fontId="1" type="noConversion"/>
  </si>
  <si>
    <t>ZFMD/SHFW-2026002</t>
    <phoneticPr fontId="5" type="noConversion"/>
  </si>
  <si>
    <t>ZFMD/SHFW-2024014</t>
    <phoneticPr fontId="1" type="noConversion"/>
  </si>
  <si>
    <t>ZFMD/SHFW-2026003</t>
    <phoneticPr fontId="5" type="noConversion"/>
  </si>
  <si>
    <t>ZFMD/SHFW-2026008</t>
    <phoneticPr fontId="5" type="noConversion"/>
  </si>
  <si>
    <t>华能湖南江口风电有限责任公司风功率预测系统改造合同</t>
    <phoneticPr fontId="1" type="noConversion"/>
  </si>
  <si>
    <t>2026.4.15</t>
    <phoneticPr fontId="1" type="noConversion"/>
  </si>
  <si>
    <t>2026.4.10</t>
    <phoneticPr fontId="1" type="noConversion"/>
  </si>
  <si>
    <t>龙源麻黄沟东风电一场/龙源麻黄沟一二期</t>
    <phoneticPr fontId="22" type="noConversion"/>
  </si>
  <si>
    <t>龙源麻黄沟东风电一场三四期</t>
    <phoneticPr fontId="22" type="noConversion"/>
  </si>
  <si>
    <t>望洋台西风电一场</t>
    <phoneticPr fontId="22" type="noConversion"/>
  </si>
  <si>
    <t>国电天风二场</t>
    <phoneticPr fontId="1" type="noConversion"/>
  </si>
  <si>
    <t>国电天风三场（一二期）</t>
    <phoneticPr fontId="1" type="noConversion"/>
  </si>
  <si>
    <t>国电天风三场（五期）</t>
    <phoneticPr fontId="1" type="noConversion"/>
  </si>
  <si>
    <t>ZFMD/SD-26050-SH</t>
  </si>
  <si>
    <t>北京协合运维风电技术有限公司</t>
    <phoneticPr fontId="1" type="noConversion"/>
  </si>
  <si>
    <t>风功率服务器采购协议</t>
    <phoneticPr fontId="1" type="noConversion"/>
  </si>
  <si>
    <t>2026.4.6</t>
    <phoneticPr fontId="1" type="noConversion"/>
  </si>
  <si>
    <t>ZFMD/SD-26051-SH</t>
  </si>
  <si>
    <t>华电铁岭风电公司镇西堡风场2026年风功率预测服务项目合同</t>
    <phoneticPr fontId="1" type="noConversion"/>
  </si>
  <si>
    <t>2026.3.20</t>
    <phoneticPr fontId="1" type="noConversion"/>
  </si>
  <si>
    <t>不含税合同金额</t>
    <phoneticPr fontId="1" type="noConversion"/>
  </si>
  <si>
    <t>预测服务1年；软件升级</t>
    <phoneticPr fontId="1" type="noConversion"/>
  </si>
  <si>
    <t>ZFMD/SD-26052-SH</t>
  </si>
  <si>
    <t>ZFMD/SD-26053-SH</t>
  </si>
  <si>
    <t>ZFMD/SD-26054-1-SH</t>
    <phoneticPr fontId="1" type="noConversion"/>
  </si>
  <si>
    <t>ZFMD/SD-26054-2-SH</t>
  </si>
  <si>
    <t>ZFMD/SD-26055-SH</t>
    <phoneticPr fontId="1" type="noConversion"/>
  </si>
  <si>
    <t>ZFMD/SD-26056-SH</t>
  </si>
  <si>
    <t>ZFMD/SD-26057-SH</t>
  </si>
  <si>
    <t>吉林通榆新唐发电有限公司繁荣风电场风功率预测变更上报协议服务合同</t>
    <phoneticPr fontId="1" type="noConversion"/>
  </si>
  <si>
    <t>软件升级（102协议上传改造）</t>
    <phoneticPr fontId="1" type="noConversion"/>
  </si>
  <si>
    <t>2026.4.18</t>
    <phoneticPr fontId="1" type="noConversion"/>
  </si>
  <si>
    <t>2026.2.10</t>
    <phoneticPr fontId="1" type="noConversion"/>
  </si>
  <si>
    <t>大唐中电（吉林）发电有限公司洮南大通风电场风功率预测变更上报协议服务合同</t>
    <phoneticPr fontId="1" type="noConversion"/>
  </si>
  <si>
    <t>大唐向阳风电有限公司向阳、胜利风电场风功率预测变更上报协议服务合同</t>
    <phoneticPr fontId="1" type="noConversion"/>
  </si>
  <si>
    <t>吉林大安新唐发电有限公司新艾里风电场风功率预测变更上报协议服务合同</t>
    <phoneticPr fontId="1" type="noConversion"/>
  </si>
  <si>
    <t>大唐中电（吉林）新能源发电有限公司双辽分公司双辽风电场风功率预测变更上报协议服务合同</t>
    <phoneticPr fontId="1" type="noConversion"/>
  </si>
  <si>
    <t>2026.3.24</t>
    <phoneticPr fontId="1" type="noConversion"/>
  </si>
  <si>
    <t>三峡能源黑龙江省宾县大个岭风电场2026-2027年风功率预测系统维护服务合同</t>
    <phoneticPr fontId="1" type="noConversion"/>
  </si>
  <si>
    <t>2026.2.9</t>
    <phoneticPr fontId="1" type="noConversion"/>
  </si>
  <si>
    <t>2026.3.31</t>
    <phoneticPr fontId="22" type="noConversion"/>
  </si>
  <si>
    <t>系统硬件维护；预测服务1年</t>
    <phoneticPr fontId="1" type="noConversion"/>
  </si>
  <si>
    <t>2026.4.14签署合同补充协议，服务期限为2025.2.24-2026.3.31，合同金额由21万元变更为7.628571万元</t>
    <phoneticPr fontId="22" type="noConversion"/>
  </si>
  <si>
    <t>ZFMD/SD-26049-SH</t>
    <phoneticPr fontId="1" type="noConversion"/>
  </si>
  <si>
    <t>ZFMD/SD-26049-SH-BG01</t>
    <phoneticPr fontId="5" type="noConversion"/>
  </si>
  <si>
    <t>大庆油田60万千瓦林甸风光发电项目</t>
    <phoneticPr fontId="1" type="noConversion"/>
  </si>
  <si>
    <t>2026.4.23</t>
    <phoneticPr fontId="1" type="noConversion"/>
  </si>
  <si>
    <t>安达二期400兆瓦</t>
    <phoneticPr fontId="1" type="noConversion"/>
  </si>
  <si>
    <t>安丰二期</t>
    <phoneticPr fontId="1" type="noConversion"/>
  </si>
  <si>
    <t>ZFMD/SD-26058-SH</t>
    <phoneticPr fontId="1" type="noConversion"/>
  </si>
  <si>
    <t>2026.4.24</t>
    <phoneticPr fontId="1" type="noConversion"/>
  </si>
  <si>
    <t>ZFMD/SD-26059-SH</t>
    <phoneticPr fontId="1" type="noConversion"/>
  </si>
  <si>
    <t>ZFMD/SD-26029-SH-BG01
ZFMD/SD-26029-SH-BG02
ZFMD/SD-26029-SH-BG03</t>
    <phoneticPr fontId="5" type="noConversion"/>
  </si>
  <si>
    <t>ZFMD/SD-26059-SH-BG01</t>
    <phoneticPr fontId="5" type="noConversion"/>
  </si>
  <si>
    <t>铁岭镇西堡一期</t>
    <phoneticPr fontId="1" type="noConversion"/>
  </si>
  <si>
    <t>镇西堡/铁岭</t>
    <phoneticPr fontId="1" type="noConversion"/>
  </si>
  <si>
    <t>ZFMD/SHFW-2026010</t>
    <phoneticPr fontId="5" type="noConversion"/>
  </si>
  <si>
    <t>ZFMD/SHFW-2026012</t>
    <phoneticPr fontId="1" type="noConversion"/>
  </si>
  <si>
    <t>2026.5.11元合同作废，重新签合同，税率由13%变更为6%，合同金额由8.315095万元变更为7.8万元</t>
    <phoneticPr fontId="22" type="noConversion"/>
  </si>
  <si>
    <t>ZFMD/SD-26060-SH</t>
  </si>
  <si>
    <t>预测服务2个月</t>
    <phoneticPr fontId="1" type="noConversion"/>
  </si>
  <si>
    <t>2026.5.11</t>
    <phoneticPr fontId="1" type="noConversion"/>
  </si>
  <si>
    <t>2026.3.10</t>
    <phoneticPr fontId="1" type="noConversion"/>
  </si>
  <si>
    <t>2026.4.30</t>
    <phoneticPr fontId="1" type="noConversion"/>
  </si>
  <si>
    <t>2026.5.11开票占号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</si>
</sst>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_);[Red]\(0.00\)"/>
    <numFmt numFmtId="177" formatCode="0.0_);[Red]\(0.0\)"/>
    <numFmt numFmtId="178" formatCode="0.0000_);[Red]\(0.0000\)"/>
    <numFmt numFmtId="179" formatCode="0.0000_ "/>
    <numFmt numFmtId="180" formatCode="0.000000_);[Red]\(0.000000\)"/>
    <numFmt numFmtId="181" formatCode="0.00_ "/>
    <numFmt numFmtId="182" formatCode="0.00000_);[Red]\(0.00000\)"/>
    <numFmt numFmtId="183" formatCode="0.000000_ "/>
    <numFmt numFmtId="184" formatCode="0.0000000_);[Red]\(0.0000000\)"/>
  </numFmts>
  <fonts count="35" x14ac:knownFonts="1">
    <font>
      <sz val="11"/>
      <color theme="1"/>
      <name val="宋体"/>
      <family val="2"/>
      <charset val="134"/>
      <scheme val="minor"/>
    </font>
    <font>
      <sz val="9"/>
      <name val="宋体"/>
      <family val="2"/>
      <charset val="134"/>
      <scheme val="minor"/>
    </font>
    <font>
      <sz val="11"/>
      <color indexed="8"/>
      <name val="宋体"/>
      <family val="3"/>
      <charset val="134"/>
    </font>
    <font>
      <b/>
      <sz val="14"/>
      <color theme="1"/>
      <name val="宋体"/>
      <family val="3"/>
      <charset val="134"/>
      <scheme val="minor"/>
    </font>
    <font>
      <b/>
      <sz val="11"/>
      <color theme="1"/>
      <name val="宋体"/>
      <family val="3"/>
      <charset val="134"/>
      <scheme val="minor"/>
    </font>
    <font>
      <sz val="9"/>
      <name val="宋体"/>
      <family val="3"/>
      <charset val="134"/>
    </font>
    <font>
      <b/>
      <sz val="9"/>
      <color indexed="81"/>
      <name val="Tahoma"/>
      <family val="2"/>
    </font>
    <font>
      <sz val="9"/>
      <color indexed="81"/>
      <name val="Tahoma"/>
      <family val="2"/>
    </font>
    <font>
      <sz val="9"/>
      <color indexed="81"/>
      <name val="宋体"/>
      <family val="3"/>
      <charset val="134"/>
    </font>
    <font>
      <b/>
      <sz val="9"/>
      <color indexed="81"/>
      <name val="宋体"/>
      <family val="3"/>
      <charset val="134"/>
    </font>
    <font>
      <sz val="9"/>
      <name val="宋体"/>
      <family val="3"/>
      <charset val="134"/>
    </font>
    <font>
      <sz val="9"/>
      <color indexed="8"/>
      <name val="宋体"/>
      <family val="3"/>
      <charset val="134"/>
    </font>
    <font>
      <sz val="9"/>
      <color theme="1"/>
      <name val="宋体"/>
      <family val="3"/>
      <charset val="134"/>
      <scheme val="minor"/>
    </font>
    <font>
      <sz val="9"/>
      <name val="宋体"/>
      <family val="3"/>
      <charset val="134"/>
      <scheme val="minor"/>
    </font>
    <font>
      <b/>
      <sz val="9"/>
      <name val="宋体"/>
      <family val="3"/>
      <charset val="134"/>
    </font>
    <font>
      <sz val="11"/>
      <color theme="1"/>
      <name val="宋体"/>
      <family val="3"/>
      <charset val="134"/>
      <scheme val="minor"/>
    </font>
    <font>
      <sz val="10"/>
      <color theme="1"/>
      <name val="宋体"/>
      <family val="3"/>
      <charset val="134"/>
      <scheme val="minor"/>
    </font>
    <font>
      <sz val="9"/>
      <name val="宋体"/>
      <family val="3"/>
      <charset val="134"/>
    </font>
    <font>
      <sz val="9"/>
      <name val="宋体"/>
      <family val="3"/>
      <charset val="134"/>
    </font>
    <font>
      <b/>
      <sz val="11"/>
      <name val="宋体"/>
      <family val="3"/>
      <charset val="134"/>
      <scheme val="minor"/>
    </font>
    <font>
      <sz val="11"/>
      <name val="宋体"/>
      <family val="3"/>
      <charset val="134"/>
      <scheme val="minor"/>
    </font>
    <font>
      <sz val="9"/>
      <name val="宋体"/>
      <family val="3"/>
      <charset val="134"/>
    </font>
    <font>
      <sz val="9"/>
      <name val="宋体"/>
      <family val="3"/>
      <charset val="134"/>
    </font>
    <font>
      <sz val="9"/>
      <color theme="1"/>
      <name val="宋体"/>
      <family val="3"/>
      <charset val="134"/>
    </font>
    <font>
      <sz val="9"/>
      <color rgb="FFFF0000"/>
      <name val="宋体"/>
      <family val="3"/>
      <charset val="134"/>
    </font>
    <font>
      <sz val="9"/>
      <name val="宋体"/>
      <family val="3"/>
      <charset val="134"/>
    </font>
    <font>
      <b/>
      <sz val="9"/>
      <name val="宋体"/>
      <family val="3"/>
      <charset val="134"/>
      <scheme val="minor"/>
    </font>
    <font>
      <sz val="9"/>
      <name val="宋体"/>
      <family val="2"/>
      <charset val="134"/>
    </font>
    <font>
      <sz val="9"/>
      <color rgb="FFFF0000"/>
      <name val="宋体"/>
      <family val="3"/>
      <charset val="134"/>
      <scheme val="minor"/>
    </font>
    <font>
      <b/>
      <sz val="9"/>
      <color theme="1"/>
      <name val="宋体"/>
      <family val="3"/>
      <charset val="134"/>
      <scheme val="minor"/>
    </font>
    <font>
      <sz val="11"/>
      <name val="宋体"/>
      <family val="2"/>
      <charset val="134"/>
      <scheme val="minor"/>
    </font>
    <font>
      <sz val="11"/>
      <color theme="1"/>
      <name val="Calibri"/>
      <family val="2"/>
    </font>
    <font>
      <sz val="10"/>
      <name val="宋体"/>
      <family val="3"/>
      <charset val="134"/>
      <scheme val="minor"/>
    </font>
    <font>
      <sz val="11"/>
      <color theme="1"/>
      <name val="宋体"/>
      <family val="3"/>
      <charset val="134"/>
    </font>
    <font>
      <sz val="9"/>
      <color indexed="8"/>
      <name val="宋体"/>
      <family val="3"/>
      <charset val="134"/>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0" fontId="2" fillId="0" borderId="0">
      <alignment vertical="center"/>
    </xf>
    <xf numFmtId="0" fontId="15" fillId="0" borderId="0"/>
  </cellStyleXfs>
  <cellXfs count="1985">
    <xf numFmtId="0" fontId="0" fillId="0" borderId="0" xfId="0">
      <alignment vertical="center"/>
    </xf>
    <xf numFmtId="177" fontId="11" fillId="0" borderId="1" xfId="1" applyNumberFormat="1" applyFont="1" applyBorder="1" applyAlignment="1">
      <alignment horizontal="center" vertical="center" wrapText="1" shrinkToFit="1"/>
    </xf>
    <xf numFmtId="0" fontId="11"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11" fillId="0" borderId="1" xfId="1" applyFont="1" applyBorder="1" applyAlignment="1">
      <alignment horizontal="left" vertical="center" wrapText="1"/>
    </xf>
    <xf numFmtId="0" fontId="11" fillId="0" borderId="1" xfId="1" applyFont="1" applyBorder="1" applyAlignment="1">
      <alignment horizontal="center" vertical="center" wrapText="1" shrinkToFit="1"/>
    </xf>
    <xf numFmtId="0" fontId="11" fillId="0" borderId="1" xfId="1"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horizontal="center" vertical="center" wrapText="1"/>
    </xf>
    <xf numFmtId="177" fontId="11" fillId="0" borderId="1" xfId="1" applyNumberFormat="1" applyFont="1" applyBorder="1" applyAlignment="1">
      <alignment horizontal="center" vertical="center" wrapText="1"/>
    </xf>
    <xf numFmtId="0" fontId="13" fillId="0" borderId="1" xfId="0" applyFont="1" applyBorder="1" applyAlignment="1">
      <alignment horizontal="left" vertical="center" wrapText="1"/>
    </xf>
    <xf numFmtId="177" fontId="11" fillId="0" borderId="1" xfId="0" applyNumberFormat="1" applyFont="1" applyBorder="1" applyAlignment="1">
      <alignment horizontal="center" vertical="center" wrapText="1"/>
    </xf>
    <xf numFmtId="0" fontId="13" fillId="2" borderId="1" xfId="0" applyFont="1" applyFill="1" applyBorder="1" applyAlignment="1">
      <alignment horizontal="center" vertical="center" wrapText="1"/>
    </xf>
    <xf numFmtId="176" fontId="14" fillId="0" borderId="1" xfId="1" applyNumberFormat="1" applyFont="1" applyBorder="1" applyAlignment="1">
      <alignment horizontal="right" vertical="center"/>
    </xf>
    <xf numFmtId="178" fontId="11" fillId="0" borderId="1" xfId="0" applyNumberFormat="1" applyFont="1" applyBorder="1" applyAlignment="1">
      <alignment horizontal="right" vertical="center"/>
    </xf>
    <xf numFmtId="0" fontId="11" fillId="0" borderId="1" xfId="0" applyFont="1" applyBorder="1" applyAlignment="1">
      <alignment horizontal="center" vertical="center"/>
    </xf>
    <xf numFmtId="0" fontId="12" fillId="0" borderId="1" xfId="2" applyFont="1" applyBorder="1" applyAlignment="1">
      <alignment horizontal="center" vertical="center"/>
    </xf>
    <xf numFmtId="0" fontId="5" fillId="0" borderId="1" xfId="0" applyFont="1" applyBorder="1" applyAlignment="1">
      <alignment horizontal="center" vertical="center" wrapText="1"/>
    </xf>
    <xf numFmtId="177" fontId="5" fillId="0" borderId="1" xfId="1" applyNumberFormat="1" applyFont="1" applyBorder="1" applyAlignment="1">
      <alignment horizontal="center" vertical="center" wrapText="1" shrinkToFit="1"/>
    </xf>
    <xf numFmtId="176" fontId="5" fillId="0" borderId="1" xfId="0" applyNumberFormat="1" applyFont="1" applyBorder="1" applyAlignment="1">
      <alignment horizontal="center" vertical="center" wrapText="1"/>
    </xf>
    <xf numFmtId="177" fontId="5" fillId="0" borderId="1" xfId="1" applyNumberFormat="1" applyFont="1" applyBorder="1" applyAlignment="1">
      <alignment horizontal="center" vertical="center" wrapText="1"/>
    </xf>
    <xf numFmtId="0" fontId="5" fillId="0" borderId="1" xfId="1" applyFont="1" applyBorder="1" applyAlignment="1">
      <alignment horizontal="center" vertical="center"/>
    </xf>
    <xf numFmtId="0" fontId="4" fillId="4" borderId="1" xfId="0" applyFont="1" applyFill="1" applyBorder="1" applyAlignment="1">
      <alignment horizontal="center" vertical="center" wrapText="1"/>
    </xf>
    <xf numFmtId="57" fontId="5" fillId="0" borderId="1" xfId="1" applyNumberFormat="1" applyFont="1" applyBorder="1" applyAlignment="1">
      <alignment horizontal="center" vertical="center" wrapText="1"/>
    </xf>
    <xf numFmtId="177" fontId="5" fillId="0" borderId="1" xfId="0" applyNumberFormat="1" applyFont="1" applyBorder="1" applyAlignment="1">
      <alignment horizontal="center" vertical="center" wrapText="1"/>
    </xf>
    <xf numFmtId="177" fontId="11" fillId="0" borderId="1" xfId="0" applyNumberFormat="1" applyFont="1" applyBorder="1" applyAlignment="1">
      <alignment horizontal="center" vertical="center"/>
    </xf>
    <xf numFmtId="0" fontId="5" fillId="0" borderId="1" xfId="0" applyFont="1" applyBorder="1" applyAlignment="1">
      <alignment horizontal="left" vertical="center" wrapText="1"/>
    </xf>
    <xf numFmtId="178" fontId="5" fillId="0" borderId="1" xfId="1" applyNumberFormat="1" applyFont="1" applyBorder="1" applyAlignment="1">
      <alignment horizontal="right" vertical="center"/>
    </xf>
    <xf numFmtId="177" fontId="11" fillId="0" borderId="3" xfId="0" applyNumberFormat="1" applyFont="1" applyBorder="1" applyAlignment="1">
      <alignment horizontal="center" vertical="center"/>
    </xf>
    <xf numFmtId="0" fontId="19" fillId="4" borderId="1" xfId="0" applyFont="1" applyFill="1" applyBorder="1" applyAlignment="1">
      <alignment horizontal="center" vertical="center" wrapText="1"/>
    </xf>
    <xf numFmtId="0" fontId="20" fillId="0" borderId="0" xfId="0" applyFont="1" applyAlignment="1">
      <alignment horizontal="center" vertical="center" wrapText="1"/>
    </xf>
    <xf numFmtId="57" fontId="5" fillId="0" borderId="1" xfId="0" applyNumberFormat="1" applyFont="1" applyBorder="1" applyAlignment="1">
      <alignment horizontal="center" vertical="center" wrapText="1"/>
    </xf>
    <xf numFmtId="178" fontId="23" fillId="0" borderId="1" xfId="1" applyNumberFormat="1" applyFont="1" applyBorder="1" applyAlignment="1">
      <alignment horizontal="center" vertical="center"/>
    </xf>
    <xf numFmtId="0" fontId="5" fillId="0" borderId="6" xfId="1" applyFont="1" applyBorder="1" applyAlignment="1">
      <alignment horizontal="center" vertical="center"/>
    </xf>
    <xf numFmtId="177" fontId="5" fillId="0" borderId="1" xfId="1" applyNumberFormat="1" applyFont="1" applyBorder="1" applyAlignment="1">
      <alignment horizontal="center" vertical="center" shrinkToFit="1"/>
    </xf>
    <xf numFmtId="0" fontId="0" fillId="0" borderId="0" xfId="0" applyAlignment="1">
      <alignment horizontal="center" vertical="center"/>
    </xf>
    <xf numFmtId="178" fontId="5" fillId="0" borderId="1" xfId="1" applyNumberFormat="1"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1" applyFont="1" applyBorder="1" applyAlignment="1">
      <alignment horizontal="center" vertical="center" wrapText="1" shrinkToFit="1"/>
    </xf>
    <xf numFmtId="177" fontId="5" fillId="0" borderId="2" xfId="0" applyNumberFormat="1" applyFont="1" applyBorder="1" applyAlignment="1">
      <alignment horizontal="center" vertical="center" wrapText="1"/>
    </xf>
    <xf numFmtId="177" fontId="5" fillId="3" borderId="1" xfId="1" applyNumberFormat="1" applyFont="1" applyFill="1" applyBorder="1" applyAlignment="1">
      <alignment horizontal="center" vertical="center" wrapText="1" shrinkToFit="1"/>
    </xf>
    <xf numFmtId="177" fontId="11" fillId="3" borderId="1" xfId="1" applyNumberFormat="1" applyFont="1" applyFill="1" applyBorder="1" applyAlignment="1">
      <alignment horizontal="center" vertical="center" wrapText="1" shrinkToFit="1"/>
    </xf>
    <xf numFmtId="0" fontId="12" fillId="0" borderId="0" xfId="0" applyFont="1" applyAlignment="1">
      <alignment horizontal="center" vertical="center"/>
    </xf>
    <xf numFmtId="177" fontId="5" fillId="0" borderId="1" xfId="1" applyNumberFormat="1" applyFont="1" applyBorder="1" applyAlignment="1">
      <alignment horizontal="left" vertical="center" wrapText="1" shrinkToFit="1"/>
    </xf>
    <xf numFmtId="177" fontId="5" fillId="0" borderId="1" xfId="1" applyNumberFormat="1" applyFont="1" applyBorder="1" applyAlignment="1">
      <alignment vertical="center" wrapText="1"/>
    </xf>
    <xf numFmtId="49" fontId="4" fillId="4"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0" fillId="0" borderId="0" xfId="0" applyNumberFormat="1" applyAlignment="1">
      <alignment horizontal="center" vertical="center"/>
    </xf>
    <xf numFmtId="0" fontId="5" fillId="0" borderId="1" xfId="1" applyFont="1" applyBorder="1" applyAlignment="1">
      <alignment horizontal="left" vertical="center" wrapText="1"/>
    </xf>
    <xf numFmtId="57" fontId="5" fillId="0" borderId="1" xfId="1" applyNumberFormat="1" applyFont="1" applyBorder="1" applyAlignment="1">
      <alignment horizontal="left" vertical="center" wrapText="1"/>
    </xf>
    <xf numFmtId="0" fontId="12" fillId="0" borderId="1" xfId="0" applyFont="1" applyBorder="1" applyAlignment="1">
      <alignment horizontal="left" vertical="center" wrapText="1"/>
    </xf>
    <xf numFmtId="177" fontId="5" fillId="0" borderId="1" xfId="1" applyNumberFormat="1" applyFont="1" applyBorder="1" applyAlignment="1">
      <alignment horizontal="left" vertical="center"/>
    </xf>
    <xf numFmtId="177" fontId="5" fillId="0" borderId="1" xfId="0" applyNumberFormat="1" applyFont="1" applyBorder="1" applyAlignment="1">
      <alignment horizontal="left" vertical="center" wrapText="1"/>
    </xf>
    <xf numFmtId="0" fontId="0" fillId="0" borderId="0" xfId="0" applyAlignment="1">
      <alignment horizontal="left" vertical="center"/>
    </xf>
    <xf numFmtId="0" fontId="11" fillId="0" borderId="1" xfId="0" applyFont="1" applyBorder="1" applyAlignment="1">
      <alignment horizontal="left" vertical="center" wrapText="1"/>
    </xf>
    <xf numFmtId="178" fontId="5" fillId="0" borderId="1" xfId="1" applyNumberFormat="1" applyFont="1" applyBorder="1" applyAlignment="1">
      <alignment horizontal="center" vertical="center"/>
    </xf>
    <xf numFmtId="57" fontId="5" fillId="3" borderId="1" xfId="1" applyNumberFormat="1" applyFont="1" applyFill="1" applyBorder="1" applyAlignment="1">
      <alignment horizontal="center" vertical="center" wrapText="1"/>
    </xf>
    <xf numFmtId="177" fontId="5" fillId="0" borderId="3" xfId="1" applyNumberFormat="1" applyFont="1" applyBorder="1" applyAlignment="1">
      <alignment horizontal="center" vertical="center" wrapText="1" shrinkToFit="1"/>
    </xf>
    <xf numFmtId="0" fontId="26" fillId="0" borderId="1" xfId="0" applyFont="1" applyBorder="1" applyAlignment="1">
      <alignment horizontal="center" vertical="center" wrapText="1"/>
    </xf>
    <xf numFmtId="178" fontId="14" fillId="0" borderId="1" xfId="1" applyNumberFormat="1" applyFont="1" applyBorder="1" applyAlignment="1">
      <alignment horizontal="right" vertical="center"/>
    </xf>
    <xf numFmtId="176" fontId="5" fillId="0" borderId="1" xfId="0" applyNumberFormat="1" applyFont="1" applyBorder="1" applyAlignment="1">
      <alignment horizontal="left" vertical="center" wrapText="1"/>
    </xf>
    <xf numFmtId="177" fontId="11" fillId="0" borderId="1" xfId="1" applyNumberFormat="1" applyFont="1" applyBorder="1" applyAlignment="1">
      <alignment horizontal="left" vertical="center" wrapText="1" shrinkToFit="1"/>
    </xf>
    <xf numFmtId="0" fontId="11" fillId="0" borderId="1" xfId="1" applyFont="1" applyBorder="1" applyAlignment="1">
      <alignment horizontal="left" vertical="center" wrapText="1" shrinkToFit="1"/>
    </xf>
    <xf numFmtId="0" fontId="5" fillId="3" borderId="1" xfId="0" applyFont="1" applyFill="1" applyBorder="1" applyAlignment="1">
      <alignment horizontal="left" vertical="center" wrapText="1"/>
    </xf>
    <xf numFmtId="176" fontId="5" fillId="0" borderId="1" xfId="1" applyNumberFormat="1" applyFont="1" applyBorder="1" applyAlignment="1">
      <alignment horizontal="left" vertical="center" wrapText="1"/>
    </xf>
    <xf numFmtId="0" fontId="0" fillId="0" borderId="0" xfId="0" applyAlignment="1">
      <alignment horizontal="left" vertical="center" wrapText="1"/>
    </xf>
    <xf numFmtId="177" fontId="5" fillId="0" borderId="1" xfId="1" applyNumberFormat="1" applyFont="1" applyBorder="1" applyAlignment="1">
      <alignment horizontal="left" vertical="center" wrapText="1"/>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xf>
    <xf numFmtId="179" fontId="12" fillId="3" borderId="1" xfId="0" applyNumberFormat="1" applyFont="1" applyFill="1" applyBorder="1" applyAlignment="1">
      <alignment horizontal="right" vertical="center" wrapText="1"/>
    </xf>
    <xf numFmtId="0" fontId="12" fillId="3" borderId="3" xfId="0" applyFont="1" applyFill="1" applyBorder="1" applyAlignment="1">
      <alignment horizontal="center" vertical="center" wrapText="1"/>
    </xf>
    <xf numFmtId="179" fontId="12" fillId="3" borderId="3" xfId="0" applyNumberFormat="1" applyFont="1" applyFill="1" applyBorder="1" applyAlignment="1">
      <alignment horizontal="right" vertical="center" wrapText="1"/>
    </xf>
    <xf numFmtId="0" fontId="12" fillId="3" borderId="1" xfId="0" applyFont="1" applyFill="1" applyBorder="1" applyAlignment="1">
      <alignment horizontal="left" vertical="center" wrapText="1"/>
    </xf>
    <xf numFmtId="0" fontId="12" fillId="0" borderId="0" xfId="0" applyFont="1" applyAlignment="1">
      <alignment horizontal="left" vertical="center"/>
    </xf>
    <xf numFmtId="177" fontId="11" fillId="0" borderId="1" xfId="1" applyNumberFormat="1" applyFont="1" applyBorder="1" applyAlignment="1">
      <alignment horizontal="center" vertical="center" shrinkToFit="1"/>
    </xf>
    <xf numFmtId="0" fontId="12" fillId="0" borderId="0" xfId="0" applyFont="1" applyAlignment="1">
      <alignment horizontal="left" vertical="center" wrapText="1"/>
    </xf>
    <xf numFmtId="0" fontId="12" fillId="0" borderId="1" xfId="2" applyFont="1" applyBorder="1" applyAlignment="1">
      <alignment horizontal="center" vertical="center" wrapText="1"/>
    </xf>
    <xf numFmtId="0" fontId="5" fillId="3" borderId="2"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57" fontId="5"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12" fillId="3" borderId="1" xfId="0" applyFont="1" applyFill="1" applyBorder="1" applyAlignment="1">
      <alignment vertical="center" wrapText="1"/>
    </xf>
    <xf numFmtId="0" fontId="12" fillId="0" borderId="1" xfId="0" applyFont="1" applyBorder="1" applyAlignment="1">
      <alignment vertical="center" wrapText="1"/>
    </xf>
    <xf numFmtId="49" fontId="5" fillId="0" borderId="1" xfId="1" applyNumberFormat="1" applyFont="1" applyBorder="1" applyAlignment="1">
      <alignment horizontal="center" vertical="center"/>
    </xf>
    <xf numFmtId="181" fontId="5" fillId="3" borderId="1" xfId="0" applyNumberFormat="1" applyFont="1" applyFill="1" applyBorder="1" applyAlignment="1">
      <alignment horizontal="center" vertical="center" wrapText="1"/>
    </xf>
    <xf numFmtId="0" fontId="28" fillId="0" borderId="1" xfId="0" applyFont="1" applyBorder="1" applyAlignment="1">
      <alignment horizontal="left" vertical="center" wrapText="1"/>
    </xf>
    <xf numFmtId="177" fontId="24" fillId="0" borderId="1" xfId="1" applyNumberFormat="1" applyFont="1" applyBorder="1" applyAlignment="1">
      <alignment horizontal="left" vertical="center" wrapText="1" shrinkToFit="1"/>
    </xf>
    <xf numFmtId="177" fontId="24" fillId="0" borderId="1" xfId="0" applyNumberFormat="1" applyFont="1" applyBorder="1" applyAlignment="1">
      <alignment horizontal="left" vertical="center" wrapText="1"/>
    </xf>
    <xf numFmtId="178" fontId="11" fillId="0" borderId="1" xfId="0" applyNumberFormat="1" applyFont="1" applyBorder="1" applyAlignment="1">
      <alignment horizontal="right" vertical="center" wrapText="1"/>
    </xf>
    <xf numFmtId="178" fontId="5" fillId="3" borderId="1" xfId="1" applyNumberFormat="1" applyFont="1" applyFill="1" applyBorder="1" applyAlignment="1">
      <alignment horizontal="right" vertical="center"/>
    </xf>
    <xf numFmtId="0" fontId="5" fillId="3" borderId="1" xfId="1" applyFont="1" applyFill="1" applyBorder="1" applyAlignment="1">
      <alignment horizontal="left" vertical="center" wrapText="1"/>
    </xf>
    <xf numFmtId="57" fontId="5" fillId="3" borderId="1" xfId="1" applyNumberFormat="1" applyFont="1" applyFill="1" applyBorder="1" applyAlignment="1">
      <alignment horizontal="left" vertical="center" wrapText="1"/>
    </xf>
    <xf numFmtId="57" fontId="5" fillId="2" borderId="1" xfId="1" applyNumberFormat="1" applyFont="1" applyFill="1" applyBorder="1" applyAlignment="1">
      <alignment horizontal="left" vertical="center" wrapText="1"/>
    </xf>
    <xf numFmtId="57" fontId="5"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177" fontId="11" fillId="0" borderId="2" xfId="1" applyNumberFormat="1" applyFont="1" applyBorder="1" applyAlignment="1">
      <alignment horizontal="center" vertical="center" wrapText="1" shrinkToFit="1"/>
    </xf>
    <xf numFmtId="177" fontId="11" fillId="0" borderId="2" xfId="1" applyNumberFormat="1" applyFont="1" applyBorder="1" applyAlignment="1">
      <alignment horizontal="center" vertical="center" wrapText="1"/>
    </xf>
    <xf numFmtId="176" fontId="11" fillId="0" borderId="1" xfId="1" applyNumberFormat="1" applyFont="1" applyBorder="1" applyAlignment="1">
      <alignment horizontal="center" vertical="center" wrapText="1"/>
    </xf>
    <xf numFmtId="177" fontId="5" fillId="0" borderId="2" xfId="1" applyNumberFormat="1" applyFont="1" applyBorder="1" applyAlignment="1">
      <alignment horizontal="center" vertical="center" wrapText="1" shrinkToFit="1"/>
    </xf>
    <xf numFmtId="177" fontId="11" fillId="0" borderId="3" xfId="1" applyNumberFormat="1" applyFont="1" applyBorder="1" applyAlignment="1">
      <alignment horizontal="center" vertical="center" wrapText="1" shrinkToFit="1"/>
    </xf>
    <xf numFmtId="176" fontId="11" fillId="0" borderId="3" xfId="1" applyNumberFormat="1" applyFont="1" applyBorder="1" applyAlignment="1">
      <alignment horizontal="center" vertical="center" wrapText="1"/>
    </xf>
    <xf numFmtId="176" fontId="11" fillId="3" borderId="1" xfId="1" applyNumberFormat="1" applyFont="1" applyFill="1" applyBorder="1" applyAlignment="1">
      <alignment horizontal="center" vertical="center" wrapText="1"/>
    </xf>
    <xf numFmtId="176" fontId="5" fillId="3" borderId="1" xfId="1" applyNumberFormat="1" applyFont="1" applyFill="1" applyBorder="1" applyAlignment="1">
      <alignment horizontal="center" vertical="center" wrapText="1"/>
    </xf>
    <xf numFmtId="177" fontId="5" fillId="3" borderId="1" xfId="1" applyNumberFormat="1" applyFont="1" applyFill="1" applyBorder="1" applyAlignment="1">
      <alignment horizontal="center" vertical="center" shrinkToFit="1"/>
    </xf>
    <xf numFmtId="177" fontId="11" fillId="0" borderId="1" xfId="1" applyNumberFormat="1" applyFont="1" applyBorder="1" applyAlignment="1">
      <alignment horizontal="center" vertical="center"/>
    </xf>
    <xf numFmtId="177" fontId="5" fillId="0" borderId="1" xfId="0" applyNumberFormat="1" applyFont="1" applyBorder="1" applyAlignment="1">
      <alignment horizontal="center" vertical="center"/>
    </xf>
    <xf numFmtId="177" fontId="11" fillId="0" borderId="2" xfId="1" applyNumberFormat="1" applyFont="1" applyBorder="1" applyAlignment="1">
      <alignment horizontal="center" vertical="center"/>
    </xf>
    <xf numFmtId="177" fontId="11" fillId="3" borderId="2" xfId="1" applyNumberFormat="1" applyFont="1" applyFill="1" applyBorder="1" applyAlignment="1">
      <alignment horizontal="center" vertical="center" wrapText="1" shrinkToFit="1"/>
    </xf>
    <xf numFmtId="0" fontId="5" fillId="3" borderId="1" xfId="0" applyFont="1" applyFill="1" applyBorder="1" applyAlignment="1">
      <alignment horizontal="center" vertical="center"/>
    </xf>
    <xf numFmtId="177" fontId="5" fillId="3" borderId="2" xfId="1" applyNumberFormat="1" applyFont="1" applyFill="1" applyBorder="1" applyAlignment="1">
      <alignment horizontal="center" vertical="center" wrapText="1" shrinkToFit="1"/>
    </xf>
    <xf numFmtId="177" fontId="11" fillId="3" borderId="1" xfId="1" applyNumberFormat="1" applyFont="1" applyFill="1" applyBorder="1" applyAlignment="1">
      <alignment horizontal="center" vertical="center" shrinkToFit="1"/>
    </xf>
    <xf numFmtId="177" fontId="11" fillId="3" borderId="7" xfId="1" applyNumberFormat="1" applyFont="1" applyFill="1" applyBorder="1" applyAlignment="1">
      <alignment horizontal="center" vertical="center" shrinkToFit="1"/>
    </xf>
    <xf numFmtId="177" fontId="5" fillId="0" borderId="1" xfId="1" applyNumberFormat="1" applyFont="1" applyBorder="1" applyAlignment="1">
      <alignment horizontal="center" vertical="center"/>
    </xf>
    <xf numFmtId="177" fontId="5" fillId="0" borderId="7" xfId="1" applyNumberFormat="1" applyFont="1" applyBorder="1" applyAlignment="1">
      <alignment horizontal="center" vertical="center" wrapText="1" shrinkToFit="1"/>
    </xf>
    <xf numFmtId="176" fontId="5" fillId="0" borderId="1" xfId="1" applyNumberFormat="1" applyFont="1" applyBorder="1" applyAlignment="1">
      <alignment horizontal="center" vertical="center" wrapText="1"/>
    </xf>
    <xf numFmtId="0" fontId="4" fillId="4" borderId="1" xfId="0" applyFont="1" applyFill="1" applyBorder="1" applyAlignment="1">
      <alignment horizontal="left" vertical="center" wrapText="1"/>
    </xf>
    <xf numFmtId="0" fontId="5" fillId="0" borderId="1" xfId="0" applyFont="1" applyBorder="1" applyAlignment="1">
      <alignment vertical="center" wrapText="1"/>
    </xf>
    <xf numFmtId="57" fontId="5" fillId="0" borderId="1" xfId="0" applyNumberFormat="1" applyFont="1" applyBorder="1" applyAlignment="1">
      <alignment horizontal="left" vertical="center" wrapText="1"/>
    </xf>
    <xf numFmtId="0" fontId="11" fillId="0" borderId="1" xfId="1" applyFont="1" applyBorder="1" applyAlignment="1">
      <alignment horizontal="center" vertical="center"/>
    </xf>
    <xf numFmtId="0" fontId="5" fillId="0" borderId="1" xfId="1" applyFont="1" applyBorder="1" applyAlignment="1">
      <alignment horizontal="center" vertical="center" wrapText="1"/>
    </xf>
    <xf numFmtId="177" fontId="5" fillId="3" borderId="1" xfId="1" applyNumberFormat="1" applyFont="1" applyFill="1" applyBorder="1" applyAlignment="1">
      <alignment horizontal="center" vertical="center"/>
    </xf>
    <xf numFmtId="0" fontId="28" fillId="0" borderId="0" xfId="0" applyFont="1" applyAlignment="1">
      <alignment horizontal="center" vertical="center"/>
    </xf>
    <xf numFmtId="0" fontId="28" fillId="0" borderId="1" xfId="0" applyFont="1" applyBorder="1" applyAlignment="1">
      <alignment horizontal="center" vertical="center"/>
    </xf>
    <xf numFmtId="49" fontId="12" fillId="0" borderId="1" xfId="0" applyNumberFormat="1" applyFont="1" applyBorder="1" applyAlignment="1">
      <alignment horizontal="center" vertical="center"/>
    </xf>
    <xf numFmtId="0" fontId="5" fillId="0" borderId="4" xfId="0" applyFont="1" applyBorder="1" applyAlignment="1">
      <alignment horizontal="center" vertical="center" wrapText="1"/>
    </xf>
    <xf numFmtId="0" fontId="23" fillId="3" borderId="1" xfId="1" applyFont="1" applyFill="1" applyBorder="1" applyAlignment="1">
      <alignment horizontal="left" vertical="center" wrapText="1"/>
    </xf>
    <xf numFmtId="178" fontId="23" fillId="3" borderId="1" xfId="1" applyNumberFormat="1" applyFont="1" applyFill="1" applyBorder="1" applyAlignment="1">
      <alignment horizontal="center" vertical="center"/>
    </xf>
    <xf numFmtId="178" fontId="4" fillId="4" borderId="1" xfId="0" applyNumberFormat="1" applyFont="1" applyFill="1" applyBorder="1" applyAlignment="1">
      <alignment horizontal="center" vertical="center" wrapText="1"/>
    </xf>
    <xf numFmtId="178" fontId="0" fillId="0" borderId="0" xfId="0" applyNumberFormat="1" applyAlignment="1">
      <alignment horizontal="right" vertical="center"/>
    </xf>
    <xf numFmtId="180" fontId="5" fillId="0" borderId="1" xfId="1" applyNumberFormat="1" applyFont="1" applyBorder="1" applyAlignment="1">
      <alignment horizontal="right" vertical="center"/>
    </xf>
    <xf numFmtId="0" fontId="16" fillId="0" borderId="0" xfId="0" applyFont="1" applyAlignment="1">
      <alignment horizontal="right" vertical="center"/>
    </xf>
    <xf numFmtId="0" fontId="11" fillId="0" borderId="2" xfId="1" applyFont="1" applyBorder="1" applyAlignment="1">
      <alignment horizontal="center" vertical="center"/>
    </xf>
    <xf numFmtId="0" fontId="11" fillId="0" borderId="3" xfId="1" applyFont="1" applyBorder="1" applyAlignment="1">
      <alignment horizontal="center" vertical="center"/>
    </xf>
    <xf numFmtId="0" fontId="11" fillId="0" borderId="2" xfId="1" applyFont="1" applyBorder="1" applyAlignment="1">
      <alignment horizontal="center" vertical="center" wrapText="1"/>
    </xf>
    <xf numFmtId="0" fontId="12" fillId="3" borderId="3" xfId="0" applyFont="1" applyFill="1" applyBorder="1" applyAlignment="1">
      <alignment horizontal="left" vertical="center" wrapText="1"/>
    </xf>
    <xf numFmtId="0" fontId="5" fillId="0" borderId="2" xfId="0" applyFont="1" applyBorder="1" applyAlignment="1">
      <alignment horizontal="center" vertical="center" wrapText="1"/>
    </xf>
    <xf numFmtId="0" fontId="13" fillId="0" borderId="0" xfId="0" applyFont="1" applyAlignment="1">
      <alignment horizontal="center" vertical="center"/>
    </xf>
    <xf numFmtId="178" fontId="16" fillId="0" borderId="0" xfId="0" applyNumberFormat="1" applyFont="1" applyAlignment="1">
      <alignment horizontal="right" vertical="center"/>
    </xf>
    <xf numFmtId="177" fontId="5" fillId="0" borderId="1" xfId="1" applyNumberFormat="1" applyFont="1" applyBorder="1" applyAlignment="1">
      <alignment horizontal="left" vertical="center" shrinkToFit="1"/>
    </xf>
    <xf numFmtId="0" fontId="29" fillId="0" borderId="1" xfId="0" applyFont="1" applyBorder="1" applyAlignment="1">
      <alignment horizontal="center" vertical="center"/>
    </xf>
    <xf numFmtId="49" fontId="29" fillId="0" borderId="1" xfId="0" applyNumberFormat="1" applyFont="1" applyBorder="1" applyAlignment="1">
      <alignment horizontal="center" vertical="center"/>
    </xf>
    <xf numFmtId="180" fontId="29" fillId="0" borderId="1" xfId="0" applyNumberFormat="1" applyFont="1" applyBorder="1" applyAlignment="1">
      <alignment horizontal="right" vertical="center"/>
    </xf>
    <xf numFmtId="0" fontId="5" fillId="0" borderId="1" xfId="1" applyFont="1" applyBorder="1" applyAlignment="1">
      <alignment horizontal="left" vertical="center" wrapText="1" shrinkToFit="1"/>
    </xf>
    <xf numFmtId="178" fontId="12" fillId="0" borderId="1" xfId="0" applyNumberFormat="1" applyFont="1" applyBorder="1" applyAlignment="1">
      <alignment horizontal="right" vertical="center"/>
    </xf>
    <xf numFmtId="0" fontId="12" fillId="0" borderId="1" xfId="0" applyFont="1" applyBorder="1" applyAlignment="1">
      <alignment horizontal="left" vertical="center"/>
    </xf>
    <xf numFmtId="0" fontId="12" fillId="0" borderId="1" xfId="0" applyFont="1" applyBorder="1">
      <alignment vertical="center"/>
    </xf>
    <xf numFmtId="0" fontId="13" fillId="3" borderId="1" xfId="0" applyFont="1" applyFill="1" applyBorder="1" applyAlignment="1">
      <alignment horizontal="center" vertical="center"/>
    </xf>
    <xf numFmtId="0" fontId="29" fillId="0" borderId="0" xfId="0" applyFont="1" applyAlignment="1">
      <alignment horizontal="center" vertical="center"/>
    </xf>
    <xf numFmtId="178" fontId="5" fillId="3" borderId="1" xfId="1" applyNumberFormat="1" applyFont="1" applyFill="1" applyBorder="1" applyAlignment="1">
      <alignment horizontal="center" vertical="center"/>
    </xf>
    <xf numFmtId="57" fontId="5" fillId="0" borderId="1" xfId="1" applyNumberFormat="1" applyFont="1" applyBorder="1" applyAlignment="1">
      <alignment horizontal="center" vertical="center"/>
    </xf>
    <xf numFmtId="177" fontId="5" fillId="3" borderId="2" xfId="0" applyNumberFormat="1" applyFont="1" applyFill="1" applyBorder="1" applyAlignment="1">
      <alignment horizontal="left" vertical="center" wrapText="1"/>
    </xf>
    <xf numFmtId="177" fontId="5" fillId="0" borderId="2" xfId="0" applyNumberFormat="1" applyFont="1" applyBorder="1" applyAlignment="1">
      <alignment horizontal="left" vertical="center" wrapText="1"/>
    </xf>
    <xf numFmtId="0" fontId="5" fillId="0" borderId="2" xfId="0" applyFont="1" applyBorder="1" applyAlignment="1">
      <alignment horizontal="left" vertical="center" wrapText="1"/>
    </xf>
    <xf numFmtId="177" fontId="5" fillId="3" borderId="1" xfId="1" applyNumberFormat="1" applyFont="1" applyFill="1" applyBorder="1" applyAlignment="1">
      <alignment horizontal="left" vertical="center" wrapText="1" shrinkToFit="1"/>
    </xf>
    <xf numFmtId="177" fontId="5" fillId="0" borderId="4" xfId="0" applyNumberFormat="1" applyFont="1" applyBorder="1" applyAlignment="1">
      <alignment horizontal="center" vertical="center" wrapText="1"/>
    </xf>
    <xf numFmtId="57" fontId="5" fillId="0" borderId="2" xfId="1" applyNumberFormat="1" applyFont="1" applyBorder="1" applyAlignment="1">
      <alignment horizontal="center" vertical="center" wrapText="1"/>
    </xf>
    <xf numFmtId="177" fontId="5" fillId="0" borderId="2" xfId="1" applyNumberFormat="1" applyFont="1" applyBorder="1" applyAlignment="1">
      <alignment horizontal="left" vertical="center" wrapText="1" shrinkToFit="1"/>
    </xf>
    <xf numFmtId="176" fontId="5" fillId="0" borderId="2" xfId="0" applyNumberFormat="1" applyFont="1" applyBorder="1" applyAlignment="1">
      <alignment horizontal="center" vertical="center" wrapText="1"/>
    </xf>
    <xf numFmtId="0" fontId="5" fillId="0" borderId="1" xfId="1" applyFont="1" applyBorder="1" applyAlignment="1">
      <alignment horizontal="left" vertical="center"/>
    </xf>
    <xf numFmtId="178" fontId="11" fillId="0" borderId="1" xfId="1" applyNumberFormat="1" applyFont="1" applyBorder="1" applyAlignment="1">
      <alignment horizontal="right" vertical="center"/>
    </xf>
    <xf numFmtId="178" fontId="12" fillId="3" borderId="1" xfId="0" applyNumberFormat="1" applyFont="1" applyFill="1" applyBorder="1" applyAlignment="1">
      <alignment horizontal="right" vertical="center" wrapText="1"/>
    </xf>
    <xf numFmtId="178" fontId="13" fillId="3" borderId="1" xfId="0" applyNumberFormat="1" applyFont="1" applyFill="1" applyBorder="1" applyAlignment="1">
      <alignment horizontal="right" vertical="center" wrapText="1"/>
    </xf>
    <xf numFmtId="0" fontId="13" fillId="0" borderId="0" xfId="0" applyFont="1" applyAlignment="1">
      <alignment horizontal="center" vertical="center" wrapText="1"/>
    </xf>
    <xf numFmtId="178" fontId="13" fillId="0" borderId="1" xfId="0" applyNumberFormat="1" applyFont="1" applyBorder="1" applyAlignment="1">
      <alignment horizontal="right" vertical="center"/>
    </xf>
    <xf numFmtId="178" fontId="11" fillId="3" borderId="1" xfId="1" applyNumberFormat="1" applyFont="1" applyFill="1" applyBorder="1" applyAlignment="1">
      <alignment horizontal="right" vertical="center"/>
    </xf>
    <xf numFmtId="179" fontId="13" fillId="3" borderId="1" xfId="0" applyNumberFormat="1" applyFont="1" applyFill="1" applyBorder="1" applyAlignment="1">
      <alignment horizontal="right" vertical="center" wrapText="1"/>
    </xf>
    <xf numFmtId="0" fontId="29" fillId="0" borderId="1" xfId="0" applyFont="1" applyBorder="1" applyAlignment="1">
      <alignment horizontal="left" vertical="center"/>
    </xf>
    <xf numFmtId="0" fontId="29" fillId="0" borderId="1" xfId="0" applyFont="1" applyBorder="1" applyAlignment="1">
      <alignment horizontal="center" vertical="center" wrapText="1"/>
    </xf>
    <xf numFmtId="0" fontId="29" fillId="0" borderId="1" xfId="0" applyFont="1" applyBorder="1" applyAlignment="1">
      <alignment horizontal="left" vertical="center" wrapText="1"/>
    </xf>
    <xf numFmtId="179" fontId="29" fillId="0" borderId="1" xfId="0" applyNumberFormat="1" applyFont="1" applyBorder="1" applyAlignment="1">
      <alignment horizontal="right" vertical="center"/>
    </xf>
    <xf numFmtId="178" fontId="11" fillId="0" borderId="1" xfId="1" applyNumberFormat="1" applyFont="1" applyBorder="1" applyAlignment="1">
      <alignment horizontal="right" vertical="center" wrapText="1"/>
    </xf>
    <xf numFmtId="0" fontId="11" fillId="0" borderId="1" xfId="1" applyFont="1" applyBorder="1" applyAlignment="1">
      <alignment horizontal="left" vertical="center"/>
    </xf>
    <xf numFmtId="178" fontId="5" fillId="0" borderId="1" xfId="1" applyNumberFormat="1" applyFont="1" applyBorder="1" applyAlignment="1">
      <alignment horizontal="right" vertical="center" wrapText="1"/>
    </xf>
    <xf numFmtId="0" fontId="13" fillId="0" borderId="1" xfId="0" applyFont="1" applyBorder="1">
      <alignment vertical="center"/>
    </xf>
    <xf numFmtId="0" fontId="13" fillId="0" borderId="1" xfId="0" applyFont="1" applyBorder="1" applyAlignment="1">
      <alignment horizontal="left" vertical="center"/>
    </xf>
    <xf numFmtId="57" fontId="13" fillId="0" borderId="1" xfId="0" applyNumberFormat="1" applyFont="1" applyBorder="1" applyAlignment="1">
      <alignment horizontal="left" vertical="center"/>
    </xf>
    <xf numFmtId="176" fontId="11" fillId="0" borderId="1" xfId="1" applyNumberFormat="1" applyFont="1" applyBorder="1" applyAlignment="1">
      <alignment horizontal="left" vertical="center" wrapText="1"/>
    </xf>
    <xf numFmtId="178" fontId="29" fillId="0" borderId="1" xfId="0" applyNumberFormat="1" applyFont="1" applyBorder="1" applyAlignment="1">
      <alignment horizontal="right" vertical="center"/>
    </xf>
    <xf numFmtId="0" fontId="5" fillId="0" borderId="2" xfId="0" applyFont="1" applyBorder="1" applyAlignment="1">
      <alignment vertical="center" wrapText="1"/>
    </xf>
    <xf numFmtId="177" fontId="11" fillId="0" borderId="1" xfId="0" applyNumberFormat="1" applyFont="1" applyBorder="1">
      <alignment vertical="center"/>
    </xf>
    <xf numFmtId="177" fontId="11" fillId="0" borderId="1" xfId="1" applyNumberFormat="1" applyFont="1" applyBorder="1" applyAlignment="1">
      <alignment vertical="center" wrapText="1" shrinkToFit="1"/>
    </xf>
    <xf numFmtId="177" fontId="11" fillId="0" borderId="2" xfId="1" applyNumberFormat="1" applyFont="1" applyBorder="1" applyAlignment="1">
      <alignment horizontal="left" vertical="center" wrapText="1" shrinkToFit="1"/>
    </xf>
    <xf numFmtId="177" fontId="11" fillId="0" borderId="2" xfId="1" applyNumberFormat="1" applyFont="1" applyBorder="1" applyAlignment="1">
      <alignment vertical="center" wrapText="1" shrinkToFit="1"/>
    </xf>
    <xf numFmtId="178" fontId="11" fillId="3" borderId="1" xfId="1" applyNumberFormat="1" applyFont="1" applyFill="1" applyBorder="1" applyAlignment="1">
      <alignment horizontal="right" vertical="center" wrapText="1" shrinkToFit="1"/>
    </xf>
    <xf numFmtId="176" fontId="11" fillId="0" borderId="3" xfId="1" applyNumberFormat="1" applyFont="1" applyBorder="1" applyAlignment="1">
      <alignment horizontal="left" vertical="center" wrapText="1"/>
    </xf>
    <xf numFmtId="0" fontId="5" fillId="0" borderId="4" xfId="0" applyFont="1" applyBorder="1" applyAlignment="1">
      <alignment vertical="center" wrapText="1"/>
    </xf>
    <xf numFmtId="178" fontId="11" fillId="3" borderId="3" xfId="1" applyNumberFormat="1" applyFont="1" applyFill="1" applyBorder="1" applyAlignment="1">
      <alignment horizontal="right" vertical="center"/>
    </xf>
    <xf numFmtId="177" fontId="5" fillId="0" borderId="1" xfId="1" applyNumberFormat="1" applyFont="1" applyBorder="1" applyAlignment="1">
      <alignment vertical="center" wrapText="1" shrinkToFit="1"/>
    </xf>
    <xf numFmtId="176" fontId="11" fillId="0" borderId="2" xfId="1" applyNumberFormat="1" applyFont="1" applyBorder="1" applyAlignment="1">
      <alignment horizontal="left" vertical="center" wrapText="1"/>
    </xf>
    <xf numFmtId="49" fontId="13" fillId="0" borderId="1" xfId="0" applyNumberFormat="1" applyFont="1" applyBorder="1">
      <alignment vertical="center"/>
    </xf>
    <xf numFmtId="176" fontId="11" fillId="0" borderId="2" xfId="1" applyNumberFormat="1" applyFont="1" applyBorder="1" applyAlignment="1">
      <alignment horizontal="center" vertical="center" wrapText="1"/>
    </xf>
    <xf numFmtId="178" fontId="11" fillId="3" borderId="2" xfId="1" applyNumberFormat="1" applyFont="1" applyFill="1" applyBorder="1" applyAlignment="1">
      <alignment horizontal="right" vertical="center"/>
    </xf>
    <xf numFmtId="179" fontId="29" fillId="0" borderId="1" xfId="0" applyNumberFormat="1" applyFont="1" applyBorder="1" applyAlignment="1">
      <alignment horizontal="center" vertical="center"/>
    </xf>
    <xf numFmtId="176" fontId="24" fillId="0" borderId="1" xfId="0" applyNumberFormat="1" applyFont="1" applyBorder="1" applyAlignment="1">
      <alignment horizontal="center" vertical="center" wrapText="1"/>
    </xf>
    <xf numFmtId="0" fontId="13" fillId="3" borderId="1" xfId="0" applyFont="1" applyFill="1" applyBorder="1" applyAlignment="1">
      <alignment horizontal="left" vertical="center" wrapText="1"/>
    </xf>
    <xf numFmtId="178" fontId="23" fillId="2" borderId="1" xfId="1" applyNumberFormat="1" applyFont="1" applyFill="1" applyBorder="1" applyAlignment="1">
      <alignment horizontal="center" vertical="center"/>
    </xf>
    <xf numFmtId="182" fontId="5" fillId="0" borderId="1" xfId="1" applyNumberFormat="1" applyFont="1" applyBorder="1" applyAlignment="1">
      <alignment horizontal="right" vertical="center"/>
    </xf>
    <xf numFmtId="182" fontId="12" fillId="3" borderId="1" xfId="0" applyNumberFormat="1" applyFont="1" applyFill="1" applyBorder="1" applyAlignment="1">
      <alignment horizontal="right" vertical="center" wrapText="1"/>
    </xf>
    <xf numFmtId="0" fontId="12" fillId="3" borderId="1" xfId="0" applyFont="1" applyFill="1" applyBorder="1" applyAlignment="1">
      <alignment horizontal="left" vertical="center"/>
    </xf>
    <xf numFmtId="0" fontId="12" fillId="2" borderId="1" xfId="0" applyFont="1" applyFill="1" applyBorder="1" applyAlignment="1">
      <alignment horizontal="center" vertical="center"/>
    </xf>
    <xf numFmtId="49" fontId="12" fillId="2" borderId="1" xfId="0" applyNumberFormat="1" applyFont="1" applyFill="1" applyBorder="1" applyAlignment="1">
      <alignment horizontal="center" vertical="center"/>
    </xf>
    <xf numFmtId="178" fontId="12" fillId="3" borderId="1" xfId="0" applyNumberFormat="1" applyFont="1" applyFill="1" applyBorder="1" applyAlignment="1">
      <alignment horizontal="right" vertical="center"/>
    </xf>
    <xf numFmtId="49" fontId="12" fillId="3" borderId="1" xfId="0" applyNumberFormat="1" applyFont="1" applyFill="1" applyBorder="1" applyAlignment="1">
      <alignment horizontal="center" vertical="center"/>
    </xf>
    <xf numFmtId="183" fontId="12" fillId="3" borderId="1" xfId="0" applyNumberFormat="1" applyFont="1" applyFill="1" applyBorder="1" applyAlignment="1">
      <alignment horizontal="right" vertical="center" wrapText="1"/>
    </xf>
    <xf numFmtId="0" fontId="5" fillId="3" borderId="1" xfId="1" applyFont="1" applyFill="1" applyBorder="1" applyAlignment="1">
      <alignment horizontal="center" vertical="center"/>
    </xf>
    <xf numFmtId="0" fontId="0" fillId="0" borderId="1" xfId="0" applyBorder="1" applyAlignment="1">
      <alignment vertical="center" wrapText="1"/>
    </xf>
    <xf numFmtId="183" fontId="12" fillId="0" borderId="1" xfId="0" applyNumberFormat="1" applyFont="1" applyBorder="1" applyAlignment="1">
      <alignment vertical="center" wrapText="1"/>
    </xf>
    <xf numFmtId="179" fontId="12" fillId="0" borderId="1" xfId="0" applyNumberFormat="1" applyFont="1" applyBorder="1" applyAlignment="1">
      <alignment vertical="center" wrapText="1"/>
    </xf>
    <xf numFmtId="0" fontId="12" fillId="2" borderId="1" xfId="0" applyFont="1" applyFill="1" applyBorder="1" applyAlignment="1">
      <alignment horizontal="left" vertical="center" wrapText="1"/>
    </xf>
    <xf numFmtId="177" fontId="11" fillId="3" borderId="1" xfId="0" applyNumberFormat="1" applyFont="1" applyFill="1" applyBorder="1" applyAlignment="1">
      <alignment horizontal="center" vertical="center"/>
    </xf>
    <xf numFmtId="180" fontId="12" fillId="0" borderId="1" xfId="0" applyNumberFormat="1" applyFont="1" applyBorder="1" applyAlignment="1">
      <alignment horizontal="right" vertical="center"/>
    </xf>
    <xf numFmtId="0" fontId="11" fillId="3" borderId="1" xfId="1" applyFont="1" applyFill="1" applyBorder="1" applyAlignment="1">
      <alignment horizontal="center" vertical="center" wrapText="1"/>
    </xf>
    <xf numFmtId="178" fontId="30" fillId="0" borderId="0" xfId="0" applyNumberFormat="1" applyFont="1" applyAlignment="1">
      <alignment horizontal="right" vertical="center"/>
    </xf>
    <xf numFmtId="177" fontId="11" fillId="3" borderId="1" xfId="0" applyNumberFormat="1" applyFont="1" applyFill="1" applyBorder="1" applyAlignment="1">
      <alignment horizontal="left" vertical="center"/>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5" fillId="0" borderId="1" xfId="1" applyFont="1" applyFill="1" applyBorder="1" applyAlignment="1">
      <alignment horizontal="center" vertical="center"/>
    </xf>
    <xf numFmtId="49" fontId="5" fillId="0"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5"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57" fontId="5" fillId="0" borderId="1" xfId="1" applyNumberFormat="1"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49" fontId="5" fillId="3"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Fill="1" applyBorder="1" applyAlignment="1">
      <alignment horizontal="left" vertical="center" wrapText="1"/>
    </xf>
    <xf numFmtId="177" fontId="11" fillId="0" borderId="1" xfId="1" applyNumberFormat="1" applyFont="1" applyFill="1" applyBorder="1" applyAlignment="1">
      <alignment horizontal="center" vertical="center" wrapText="1" shrinkToFi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Fill="1" applyBorder="1" applyAlignment="1">
      <alignment horizontal="center" vertical="center" wrapText="1"/>
    </xf>
    <xf numFmtId="177" fontId="5" fillId="0" borderId="1" xfId="1" applyNumberFormat="1" applyFont="1" applyFill="1" applyBorder="1" applyAlignment="1">
      <alignment horizontal="center" vertical="center" shrinkToFit="1"/>
    </xf>
    <xf numFmtId="176" fontId="5" fillId="0"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31" fontId="1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5" fillId="3" borderId="1" xfId="1" applyNumberFormat="1" applyFont="1" applyFill="1" applyBorder="1" applyAlignment="1">
      <alignment horizontal="right"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178" fontId="5" fillId="0" borderId="1" xfId="1" applyNumberFormat="1" applyFont="1" applyFill="1" applyBorder="1" applyAlignment="1">
      <alignment horizontal="right" vertical="center"/>
    </xf>
    <xf numFmtId="177" fontId="5" fillId="0" borderId="1" xfId="1" applyNumberFormat="1" applyFont="1" applyFill="1" applyBorder="1" applyAlignment="1">
      <alignment horizontal="center" vertical="center" wrapText="1" shrinkToFit="1"/>
    </xf>
    <xf numFmtId="0" fontId="12" fillId="0"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Fill="1" applyBorder="1" applyAlignment="1">
      <alignment horizontal="left"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1"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2" xfId="0" applyFont="1" applyFill="1" applyBorder="1" applyAlignment="1">
      <alignment horizontal="center" vertical="center" wrapText="1"/>
    </xf>
    <xf numFmtId="0" fontId="5" fillId="3" borderId="1" xfId="1"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6"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177" fontId="11" fillId="0" borderId="3" xfId="0"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5" borderId="1" xfId="1" applyFont="1" applyFill="1" applyBorder="1" applyAlignment="1">
      <alignment horizontal="center" vertical="center"/>
    </xf>
    <xf numFmtId="49" fontId="5" fillId="5"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2" borderId="1" xfId="1" applyFont="1" applyFill="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49" fontId="5" fillId="2"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6" xfId="1"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32" fillId="0" borderId="1" xfId="2"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78" fontId="12" fillId="0" borderId="1" xfId="0" applyNumberFormat="1" applyFont="1" applyBorder="1" applyAlignment="1">
      <alignment horizontal="center" vertical="center"/>
    </xf>
    <xf numFmtId="180" fontId="29"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57" fontId="5" fillId="2" borderId="1" xfId="1"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77" fontId="11" fillId="2" borderId="1" xfId="1" applyNumberFormat="1" applyFont="1" applyFill="1" applyBorder="1" applyAlignment="1">
      <alignment horizontal="center" vertical="center" wrapText="1" shrinkToFit="1"/>
    </xf>
    <xf numFmtId="177" fontId="5" fillId="2" borderId="1" xfId="1" applyNumberFormat="1" applyFont="1" applyFill="1" applyBorder="1" applyAlignment="1">
      <alignment horizontal="center" vertical="center" shrinkToFi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4" fontId="5" fillId="0" borderId="1" xfId="1" applyNumberFormat="1" applyFont="1" applyBorder="1" applyAlignment="1">
      <alignment horizontal="right"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32" fillId="3" borderId="1" xfId="2" applyFont="1" applyFill="1" applyBorder="1" applyAlignment="1">
      <alignment horizontal="left"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177" fontId="11"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11" fillId="0" borderId="1" xfId="0" applyNumberFormat="1" applyFont="1" applyBorder="1" applyAlignment="1">
      <alignment horizontal="right"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5" fillId="0" borderId="1" xfId="1" applyNumberFormat="1"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12" fillId="0" borderId="1" xfId="0" applyFont="1" applyBorder="1" applyAlignment="1">
      <alignment horizontal="center" vertical="center"/>
    </xf>
    <xf numFmtId="57" fontId="5" fillId="0" borderId="6" xfId="1" applyNumberFormat="1" applyFont="1" applyBorder="1" applyAlignment="1">
      <alignment horizontal="center" vertical="center" wrapText="1"/>
    </xf>
    <xf numFmtId="0" fontId="5" fillId="0" borderId="7" xfId="1" applyFont="1" applyBorder="1" applyAlignment="1">
      <alignment horizontal="center" vertical="center"/>
    </xf>
    <xf numFmtId="57" fontId="5" fillId="0" borderId="2" xfId="1" applyNumberFormat="1" applyFont="1" applyBorder="1" applyAlignment="1">
      <alignment horizontal="left" vertical="center" wrapText="1"/>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2" fillId="0" borderId="2" xfId="0" applyFont="1" applyFill="1" applyBorder="1" applyAlignment="1">
      <alignment horizontal="center" vertical="center" wrapText="1"/>
    </xf>
    <xf numFmtId="0" fontId="5" fillId="0" borderId="3" xfId="0" applyFont="1" applyBorder="1" applyAlignment="1">
      <alignment horizontal="left" vertical="center" wrapText="1"/>
    </xf>
    <xf numFmtId="57" fontId="5" fillId="0" borderId="3" xfId="1" applyNumberFormat="1"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34" fillId="0" borderId="1" xfId="0" applyFont="1" applyBorder="1" applyAlignment="1">
      <alignment horizontal="center" vertical="center" wrapText="1"/>
    </xf>
    <xf numFmtId="176" fontId="34" fillId="0" borderId="1" xfId="0" applyNumberFormat="1" applyFont="1" applyBorder="1" applyAlignment="1">
      <alignment horizontal="center" vertical="center" wrapText="1"/>
    </xf>
    <xf numFmtId="177" fontId="34" fillId="0" borderId="1" xfId="1" applyNumberFormat="1" applyFont="1" applyBorder="1" applyAlignment="1">
      <alignment horizontal="left" vertical="center" wrapText="1" shrinkToFi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57" fontId="13" fillId="0" borderId="1" xfId="1" applyNumberFormat="1"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32" fillId="0" borderId="1" xfId="2" applyFont="1" applyBorder="1" applyAlignment="1">
      <alignment horizontal="left"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34" fillId="0" borderId="1" xfId="1"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76" fontId="13"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3" borderId="6" xfId="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4" fillId="4" borderId="1" xfId="0" applyNumberFormat="1" applyFont="1" applyFill="1" applyBorder="1" applyAlignment="1">
      <alignment horizontal="center" vertical="center" wrapText="1"/>
    </xf>
    <xf numFmtId="180" fontId="0" fillId="0" borderId="0" xfId="0" applyNumberFormat="1">
      <alignment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3"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1" fillId="0" borderId="2" xfId="1" applyFont="1" applyBorder="1" applyAlignment="1">
      <alignment horizontal="center" vertical="center"/>
    </xf>
    <xf numFmtId="0" fontId="11" fillId="0" borderId="3" xfId="1"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177" fontId="5" fillId="0" borderId="2" xfId="1" applyNumberFormat="1" applyFont="1" applyBorder="1" applyAlignment="1">
      <alignment horizontal="center" vertical="center" wrapText="1" shrinkToFit="1"/>
    </xf>
    <xf numFmtId="177" fontId="5" fillId="0" borderId="3" xfId="1" applyNumberFormat="1" applyFont="1" applyBorder="1" applyAlignment="1">
      <alignment horizontal="center" vertical="center" wrapText="1" shrinkToFit="1"/>
    </xf>
    <xf numFmtId="177" fontId="5" fillId="0" borderId="2" xfId="1" applyNumberFormat="1" applyFont="1" applyBorder="1" applyAlignment="1">
      <alignment vertical="center" wrapText="1" shrinkToFit="1"/>
    </xf>
    <xf numFmtId="177" fontId="5" fillId="0" borderId="3" xfId="1" applyNumberFormat="1" applyFont="1" applyBorder="1" applyAlignment="1">
      <alignment vertical="center" wrapText="1" shrinkToFi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 xfId="1" applyFont="1" applyBorder="1" applyAlignment="1">
      <alignment horizontal="center" vertical="center" wrapText="1"/>
    </xf>
    <xf numFmtId="0" fontId="11" fillId="0" borderId="3" xfId="1" applyFont="1" applyBorder="1" applyAlignment="1">
      <alignment horizontal="center" vertical="center" wrapText="1"/>
    </xf>
    <xf numFmtId="57" fontId="5" fillId="0" borderId="2" xfId="1" applyNumberFormat="1" applyFont="1" applyBorder="1" applyAlignment="1">
      <alignment horizontal="center" vertical="center"/>
    </xf>
    <xf numFmtId="57" fontId="5" fillId="0" borderId="3" xfId="1" applyNumberFormat="1" applyFont="1" applyBorder="1" applyAlignment="1">
      <alignment horizontal="center" vertical="center"/>
    </xf>
    <xf numFmtId="0" fontId="12" fillId="3" borderId="2"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5" fillId="0" borderId="2" xfId="1" applyFont="1" applyBorder="1" applyAlignment="1">
      <alignment horizontal="center" vertical="center"/>
    </xf>
    <xf numFmtId="0" fontId="5" fillId="0" borderId="3" xfId="1" applyFont="1" applyBorder="1" applyAlignment="1">
      <alignment horizontal="center" vertical="center"/>
    </xf>
    <xf numFmtId="180" fontId="5" fillId="0" borderId="2" xfId="1" applyNumberFormat="1" applyFont="1" applyBorder="1" applyAlignment="1">
      <alignment horizontal="center" vertical="center"/>
    </xf>
    <xf numFmtId="180" fontId="5" fillId="0" borderId="3" xfId="1" applyNumberFormat="1" applyFont="1" applyBorder="1" applyAlignment="1">
      <alignment horizontal="center"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8" fontId="3" fillId="0" borderId="5" xfId="0" applyNumberFormat="1" applyFont="1" applyBorder="1" applyAlignment="1">
      <alignment horizontal="right"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cellXfs>
  <cellStyles count="3">
    <cellStyle name="常规" xfId="0" builtinId="0"/>
    <cellStyle name="常规 2" xfId="1" xr:uid="{00000000-0005-0000-0000-000001000000}"/>
    <cellStyle name="常规 4"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AA40-05A1-4E17-B3F9-EAC2F4F8DACE}">
  <dimension ref="A1:AM343"/>
  <sheetViews>
    <sheetView tabSelected="1" zoomScaleNormal="100" workbookViewId="0">
      <pane xSplit="2" ySplit="2" topLeftCell="Y60" activePane="bottomRight" state="frozen"/>
      <selection pane="topRight" activeCell="C1" sqref="C1"/>
      <selection pane="bottomLeft" activeCell="A3" sqref="A3"/>
      <selection pane="bottomRight" activeCell="A73" sqref="A73:XFD73"/>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1" max="12" width="9" customWidth="1"/>
    <col min="13" max="13" width="12.875" customWidth="1"/>
    <col min="14" max="14" width="13.875" customWidth="1"/>
    <col min="15" max="16" width="9" customWidth="1"/>
    <col min="17" max="17" width="14.625" customWidth="1"/>
    <col min="18" max="18" width="36.625" customWidth="1"/>
    <col min="19" max="19" width="9"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1" width="12.25" style="1949" customWidth="1"/>
    <col min="32" max="33" width="12.25" style="38" customWidth="1"/>
    <col min="34" max="36" width="10.875" customWidth="1"/>
    <col min="37" max="37" width="13.75" customWidth="1"/>
    <col min="38" max="38" width="9" customWidth="1"/>
    <col min="39" max="39" width="37.875" customWidth="1"/>
  </cols>
  <sheetData>
    <row r="1" spans="1:39" s="3" customFormat="1" ht="33" customHeight="1" x14ac:dyDescent="0.15">
      <c r="A1" s="1953" t="s">
        <v>11346</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c r="AG1" s="1953"/>
      <c r="AH1" s="1953"/>
      <c r="AI1" s="1953"/>
      <c r="AJ1" s="1953"/>
      <c r="AK1" s="1953"/>
      <c r="AL1" s="1953"/>
    </row>
    <row r="2" spans="1:39" s="4" customFormat="1" ht="27.95" customHeight="1" x14ac:dyDescent="0.15">
      <c r="A2" s="25" t="s">
        <v>0</v>
      </c>
      <c r="B2" s="25" t="s">
        <v>1</v>
      </c>
      <c r="C2" s="25" t="s">
        <v>2</v>
      </c>
      <c r="D2" s="25" t="s">
        <v>3</v>
      </c>
      <c r="E2" s="25" t="s">
        <v>958</v>
      </c>
      <c r="F2" s="25" t="s">
        <v>4</v>
      </c>
      <c r="G2" s="25" t="s">
        <v>5</v>
      </c>
      <c r="H2" s="25" t="s">
        <v>8651</v>
      </c>
      <c r="I2" s="25" t="s">
        <v>8652</v>
      </c>
      <c r="J2" s="25" t="s">
        <v>8653</v>
      </c>
      <c r="K2" s="25" t="s">
        <v>7</v>
      </c>
      <c r="L2" s="25" t="s">
        <v>6</v>
      </c>
      <c r="M2" s="25" t="s">
        <v>419</v>
      </c>
      <c r="N2" s="25" t="s">
        <v>420</v>
      </c>
      <c r="O2" s="25" t="s">
        <v>1825</v>
      </c>
      <c r="P2" s="25" t="s">
        <v>1857</v>
      </c>
      <c r="Q2" s="25" t="s">
        <v>10</v>
      </c>
      <c r="R2" s="25" t="s">
        <v>8</v>
      </c>
      <c r="S2" s="25" t="s">
        <v>9</v>
      </c>
      <c r="T2" s="25" t="s">
        <v>3342</v>
      </c>
      <c r="U2" s="25" t="s">
        <v>3343</v>
      </c>
      <c r="V2" s="25" t="s">
        <v>2126</v>
      </c>
      <c r="W2" s="49" t="s">
        <v>2127</v>
      </c>
      <c r="X2" s="32" t="s">
        <v>14</v>
      </c>
      <c r="Y2" s="32" t="s">
        <v>13</v>
      </c>
      <c r="Z2" s="25" t="s">
        <v>11</v>
      </c>
      <c r="AA2" s="25" t="s">
        <v>12</v>
      </c>
      <c r="AB2" s="134" t="s">
        <v>429</v>
      </c>
      <c r="AC2" s="134" t="s">
        <v>2183</v>
      </c>
      <c r="AD2" s="134" t="s">
        <v>431</v>
      </c>
      <c r="AE2" s="1948" t="s">
        <v>11599</v>
      </c>
      <c r="AF2" s="134" t="s">
        <v>11119</v>
      </c>
      <c r="AG2" s="134" t="s">
        <v>6456</v>
      </c>
      <c r="AH2" s="25" t="s">
        <v>2124</v>
      </c>
      <c r="AI2" s="25" t="s">
        <v>10455</v>
      </c>
      <c r="AJ2" s="25" t="s">
        <v>10456</v>
      </c>
      <c r="AK2" s="25" t="s">
        <v>2123</v>
      </c>
      <c r="AL2" s="25" t="s">
        <v>2125</v>
      </c>
      <c r="AM2" s="25" t="s">
        <v>3252</v>
      </c>
    </row>
    <row r="3" spans="1:39" s="11" customFormat="1" ht="26.25" customHeight="1" x14ac:dyDescent="0.15">
      <c r="A3" s="218">
        <f t="shared" ref="A3:A25" si="0">ROW()-2</f>
        <v>1</v>
      </c>
      <c r="B3" s="1887" t="s">
        <v>11347</v>
      </c>
      <c r="C3" s="60" t="s">
        <v>11368</v>
      </c>
      <c r="D3" s="60" t="s">
        <v>448</v>
      </c>
      <c r="E3" s="60" t="s">
        <v>448</v>
      </c>
      <c r="F3" s="67" t="s">
        <v>11370</v>
      </c>
      <c r="G3" s="98" t="s">
        <v>11371</v>
      </c>
      <c r="H3" s="60" t="s">
        <v>448</v>
      </c>
      <c r="I3" s="60" t="s">
        <v>448</v>
      </c>
      <c r="J3" s="60" t="s">
        <v>448</v>
      </c>
      <c r="K3" s="1891" t="s">
        <v>4195</v>
      </c>
      <c r="L3" s="1891" t="s">
        <v>4692</v>
      </c>
      <c r="M3" s="1891" t="s">
        <v>11369</v>
      </c>
      <c r="N3" s="84" t="s">
        <v>4780</v>
      </c>
      <c r="O3" s="84" t="s">
        <v>5431</v>
      </c>
      <c r="P3" s="60" t="s">
        <v>448</v>
      </c>
      <c r="Q3" s="1891" t="s">
        <v>1131</v>
      </c>
      <c r="R3" s="54" t="s">
        <v>5708</v>
      </c>
      <c r="S3" s="1892" t="s">
        <v>111</v>
      </c>
      <c r="T3" s="71" t="s">
        <v>1894</v>
      </c>
      <c r="U3" s="71" t="s">
        <v>1894</v>
      </c>
      <c r="V3" s="211" t="s">
        <v>11372</v>
      </c>
      <c r="W3" s="271" t="s">
        <v>10098</v>
      </c>
      <c r="X3" s="211" t="s">
        <v>110</v>
      </c>
      <c r="Y3" s="211">
        <v>1</v>
      </c>
      <c r="Z3" s="211" t="s">
        <v>6843</v>
      </c>
      <c r="AA3" s="60" t="s">
        <v>448</v>
      </c>
      <c r="AB3" s="96">
        <v>47.209000000000003</v>
      </c>
      <c r="AC3" s="96"/>
      <c r="AD3" s="96">
        <v>47.209000000000003</v>
      </c>
      <c r="AE3" s="324">
        <v>41.777875999999999</v>
      </c>
      <c r="AF3" s="155"/>
      <c r="AG3" s="155"/>
      <c r="AH3" s="133"/>
      <c r="AI3" s="133" t="s">
        <v>11373</v>
      </c>
      <c r="AJ3" s="60" t="s">
        <v>448</v>
      </c>
      <c r="AK3" s="202" t="s">
        <v>448</v>
      </c>
      <c r="AL3" s="35" t="s">
        <v>448</v>
      </c>
      <c r="AM3" s="1886"/>
    </row>
    <row r="4" spans="1:39" s="11" customFormat="1" ht="26.25" customHeight="1" x14ac:dyDescent="0.15">
      <c r="A4" s="218">
        <f>ROW()-2</f>
        <v>2</v>
      </c>
      <c r="B4" s="1887" t="s">
        <v>11348</v>
      </c>
      <c r="C4" s="60" t="s">
        <v>11374</v>
      </c>
      <c r="D4" s="60" t="s">
        <v>448</v>
      </c>
      <c r="E4" s="60" t="s">
        <v>448</v>
      </c>
      <c r="F4" s="29" t="s">
        <v>7912</v>
      </c>
      <c r="G4" s="99" t="s">
        <v>8749</v>
      </c>
      <c r="H4" s="26" t="s">
        <v>448</v>
      </c>
      <c r="I4" s="26" t="s">
        <v>448</v>
      </c>
      <c r="J4" s="26" t="s">
        <v>448</v>
      </c>
      <c r="K4" s="1891" t="s">
        <v>4712</v>
      </c>
      <c r="L4" s="1891" t="s">
        <v>4692</v>
      </c>
      <c r="M4" s="1891" t="s">
        <v>6331</v>
      </c>
      <c r="N4" s="1892" t="s">
        <v>4780</v>
      </c>
      <c r="O4" s="1892" t="s">
        <v>1826</v>
      </c>
      <c r="P4" s="1892" t="s">
        <v>111</v>
      </c>
      <c r="Q4" s="1892" t="s">
        <v>1818</v>
      </c>
      <c r="R4" s="76" t="s">
        <v>5500</v>
      </c>
      <c r="S4" s="1892" t="s">
        <v>111</v>
      </c>
      <c r="T4" s="71" t="s">
        <v>5571</v>
      </c>
      <c r="U4" s="71" t="s">
        <v>5571</v>
      </c>
      <c r="V4" s="211" t="s">
        <v>11372</v>
      </c>
      <c r="W4" s="1892" t="s">
        <v>111</v>
      </c>
      <c r="X4" s="1892" t="s">
        <v>111</v>
      </c>
      <c r="Y4" s="1892" t="s">
        <v>111</v>
      </c>
      <c r="Z4" s="1892" t="s">
        <v>111</v>
      </c>
      <c r="AA4" s="1892" t="s">
        <v>111</v>
      </c>
      <c r="AB4" s="96">
        <v>0.98</v>
      </c>
      <c r="AC4" s="96"/>
      <c r="AD4" s="96">
        <v>0.98</v>
      </c>
      <c r="AE4" s="324">
        <v>0.86725699999999994</v>
      </c>
      <c r="AF4" s="155"/>
      <c r="AG4" s="155"/>
      <c r="AH4" s="133"/>
      <c r="AI4" s="1891" t="s">
        <v>10629</v>
      </c>
      <c r="AJ4" s="35" t="s">
        <v>19</v>
      </c>
      <c r="AK4" s="202" t="s">
        <v>19</v>
      </c>
      <c r="AL4" s="35" t="s">
        <v>1880</v>
      </c>
      <c r="AM4" s="1886" t="s">
        <v>11375</v>
      </c>
    </row>
    <row r="5" spans="1:39" s="11" customFormat="1" ht="26.25" customHeight="1" x14ac:dyDescent="0.15">
      <c r="A5" s="218">
        <f t="shared" si="0"/>
        <v>3</v>
      </c>
      <c r="B5" s="1887" t="s">
        <v>11349</v>
      </c>
      <c r="C5" s="60" t="s">
        <v>448</v>
      </c>
      <c r="D5" s="60" t="s">
        <v>448</v>
      </c>
      <c r="E5" s="60" t="s">
        <v>448</v>
      </c>
      <c r="F5" s="29" t="s">
        <v>11155</v>
      </c>
      <c r="G5" s="98" t="s">
        <v>11377</v>
      </c>
      <c r="H5" s="26" t="s">
        <v>448</v>
      </c>
      <c r="I5" s="26" t="s">
        <v>448</v>
      </c>
      <c r="J5" s="26" t="s">
        <v>448</v>
      </c>
      <c r="K5" s="1891" t="s">
        <v>4712</v>
      </c>
      <c r="L5" s="1891" t="s">
        <v>4692</v>
      </c>
      <c r="M5" s="1891" t="s">
        <v>11376</v>
      </c>
      <c r="N5" s="22" t="s">
        <v>4780</v>
      </c>
      <c r="O5" s="22" t="s">
        <v>5478</v>
      </c>
      <c r="P5" s="1892" t="s">
        <v>111</v>
      </c>
      <c r="Q5" s="1891" t="s">
        <v>2422</v>
      </c>
      <c r="R5" s="54" t="s">
        <v>10913</v>
      </c>
      <c r="S5" s="22" t="s">
        <v>1880</v>
      </c>
      <c r="T5" s="1891" t="s">
        <v>3248</v>
      </c>
      <c r="U5" s="1891" t="s">
        <v>3248</v>
      </c>
      <c r="V5" s="211" t="s">
        <v>11372</v>
      </c>
      <c r="W5" s="1892" t="s">
        <v>10696</v>
      </c>
      <c r="X5" s="211" t="s">
        <v>110</v>
      </c>
      <c r="Y5" s="211">
        <v>1</v>
      </c>
      <c r="Z5" s="1892" t="s">
        <v>111</v>
      </c>
      <c r="AA5" s="1892" t="s">
        <v>111</v>
      </c>
      <c r="AB5" s="96">
        <v>1.5</v>
      </c>
      <c r="AC5" s="96"/>
      <c r="AD5" s="96">
        <v>1.5</v>
      </c>
      <c r="AE5" s="324">
        <v>1.4150940000000001</v>
      </c>
      <c r="AF5" s="155"/>
      <c r="AG5" s="155"/>
      <c r="AH5" s="133"/>
      <c r="AI5" s="1891" t="s">
        <v>10629</v>
      </c>
      <c r="AJ5" s="35" t="s">
        <v>19</v>
      </c>
      <c r="AK5" s="202" t="s">
        <v>19</v>
      </c>
      <c r="AL5" s="35" t="s">
        <v>1880</v>
      </c>
      <c r="AM5" s="1886"/>
    </row>
    <row r="6" spans="1:39" s="11" customFormat="1" ht="26.25" customHeight="1" x14ac:dyDescent="0.15">
      <c r="A6" s="218">
        <f t="shared" si="0"/>
        <v>4</v>
      </c>
      <c r="B6" s="1887" t="s">
        <v>11350</v>
      </c>
      <c r="C6" s="60" t="s">
        <v>448</v>
      </c>
      <c r="D6" s="60" t="s">
        <v>448</v>
      </c>
      <c r="E6" s="60" t="s">
        <v>448</v>
      </c>
      <c r="F6" s="29" t="s">
        <v>11156</v>
      </c>
      <c r="G6" s="98" t="s">
        <v>11378</v>
      </c>
      <c r="H6" s="26" t="s">
        <v>448</v>
      </c>
      <c r="I6" s="26" t="s">
        <v>448</v>
      </c>
      <c r="J6" s="26" t="s">
        <v>448</v>
      </c>
      <c r="K6" s="1891" t="s">
        <v>4712</v>
      </c>
      <c r="L6" s="1891" t="s">
        <v>4692</v>
      </c>
      <c r="M6" s="1891" t="s">
        <v>9883</v>
      </c>
      <c r="N6" s="22" t="s">
        <v>4780</v>
      </c>
      <c r="O6" s="22" t="s">
        <v>5478</v>
      </c>
      <c r="P6" s="1892" t="s">
        <v>111</v>
      </c>
      <c r="Q6" s="1891" t="s">
        <v>2422</v>
      </c>
      <c r="R6" s="54" t="s">
        <v>10913</v>
      </c>
      <c r="S6" s="22" t="s">
        <v>1880</v>
      </c>
      <c r="T6" s="1891" t="s">
        <v>3248</v>
      </c>
      <c r="U6" s="1891" t="s">
        <v>3248</v>
      </c>
      <c r="V6" s="211" t="s">
        <v>11372</v>
      </c>
      <c r="W6" s="1892" t="s">
        <v>10696</v>
      </c>
      <c r="X6" s="211" t="s">
        <v>110</v>
      </c>
      <c r="Y6" s="211">
        <v>1</v>
      </c>
      <c r="Z6" s="1892" t="s">
        <v>111</v>
      </c>
      <c r="AA6" s="1892" t="s">
        <v>111</v>
      </c>
      <c r="AB6" s="96">
        <v>1.5</v>
      </c>
      <c r="AC6" s="96"/>
      <c r="AD6" s="96">
        <v>1.5</v>
      </c>
      <c r="AE6" s="324">
        <v>1.4150940000000001</v>
      </c>
      <c r="AF6" s="155"/>
      <c r="AG6" s="155"/>
      <c r="AH6" s="133"/>
      <c r="AI6" s="1891" t="s">
        <v>10629</v>
      </c>
      <c r="AJ6" s="35" t="s">
        <v>19</v>
      </c>
      <c r="AK6" s="202" t="s">
        <v>19</v>
      </c>
      <c r="AL6" s="35" t="s">
        <v>1880</v>
      </c>
      <c r="AM6" s="1891"/>
    </row>
    <row r="7" spans="1:39" s="11" customFormat="1" ht="26.25" customHeight="1" x14ac:dyDescent="0.15">
      <c r="A7" s="218">
        <f t="shared" si="0"/>
        <v>5</v>
      </c>
      <c r="B7" s="1887" t="s">
        <v>11351</v>
      </c>
      <c r="C7" s="60" t="s">
        <v>448</v>
      </c>
      <c r="D7" s="60" t="s">
        <v>448</v>
      </c>
      <c r="E7" s="60" t="s">
        <v>448</v>
      </c>
      <c r="F7" s="123" t="s">
        <v>10242</v>
      </c>
      <c r="G7" s="53" t="s">
        <v>10186</v>
      </c>
      <c r="H7" s="26" t="s">
        <v>448</v>
      </c>
      <c r="I7" s="26" t="s">
        <v>448</v>
      </c>
      <c r="J7" s="26" t="s">
        <v>448</v>
      </c>
      <c r="K7" s="1891" t="s">
        <v>4712</v>
      </c>
      <c r="L7" s="1891" t="s">
        <v>9125</v>
      </c>
      <c r="M7" s="1891" t="s">
        <v>9126</v>
      </c>
      <c r="N7" s="22" t="s">
        <v>9660</v>
      </c>
      <c r="O7" s="1892" t="s">
        <v>2142</v>
      </c>
      <c r="P7" s="1892" t="s">
        <v>1880</v>
      </c>
      <c r="Q7" s="1891" t="s">
        <v>4676</v>
      </c>
      <c r="R7" s="222" t="s">
        <v>116</v>
      </c>
      <c r="S7" s="22" t="s">
        <v>1880</v>
      </c>
      <c r="T7" s="1891" t="s">
        <v>3248</v>
      </c>
      <c r="U7" s="1891" t="s">
        <v>3248</v>
      </c>
      <c r="V7" s="211" t="s">
        <v>11379</v>
      </c>
      <c r="W7" s="271" t="s">
        <v>11380</v>
      </c>
      <c r="X7" s="211" t="s">
        <v>110</v>
      </c>
      <c r="Y7" s="211">
        <v>1</v>
      </c>
      <c r="Z7" s="211" t="s">
        <v>11381</v>
      </c>
      <c r="AA7" s="211" t="s">
        <v>8779</v>
      </c>
      <c r="AB7" s="96"/>
      <c r="AC7" s="96">
        <v>4.5</v>
      </c>
      <c r="AD7" s="96">
        <v>4.5</v>
      </c>
      <c r="AE7" s="324">
        <f>AD7/1.06</f>
        <v>4.2452830188679247</v>
      </c>
      <c r="AF7" s="155"/>
      <c r="AG7" s="155"/>
      <c r="AH7" s="133"/>
      <c r="AI7" s="1891" t="s">
        <v>10629</v>
      </c>
      <c r="AJ7" s="35" t="s">
        <v>19</v>
      </c>
      <c r="AK7" s="202" t="s">
        <v>19</v>
      </c>
      <c r="AL7" s="35" t="s">
        <v>1880</v>
      </c>
      <c r="AM7" s="1891"/>
    </row>
    <row r="8" spans="1:39" s="11" customFormat="1" ht="26.25" customHeight="1" x14ac:dyDescent="0.15">
      <c r="A8" s="218">
        <f t="shared" si="0"/>
        <v>6</v>
      </c>
      <c r="B8" s="1887" t="s">
        <v>11352</v>
      </c>
      <c r="C8" s="60" t="s">
        <v>448</v>
      </c>
      <c r="D8" s="60" t="s">
        <v>448</v>
      </c>
      <c r="E8" s="60" t="s">
        <v>448</v>
      </c>
      <c r="F8" s="123" t="s">
        <v>10242</v>
      </c>
      <c r="G8" s="53" t="s">
        <v>10186</v>
      </c>
      <c r="H8" s="26" t="s">
        <v>448</v>
      </c>
      <c r="I8" s="26" t="s">
        <v>448</v>
      </c>
      <c r="J8" s="26" t="s">
        <v>448</v>
      </c>
      <c r="K8" s="1891" t="s">
        <v>4712</v>
      </c>
      <c r="L8" s="1891" t="s">
        <v>9125</v>
      </c>
      <c r="M8" s="1891" t="s">
        <v>9128</v>
      </c>
      <c r="N8" s="22" t="s">
        <v>10179</v>
      </c>
      <c r="O8" s="1892" t="s">
        <v>2142</v>
      </c>
      <c r="P8" s="1892" t="s">
        <v>1880</v>
      </c>
      <c r="Q8" s="1891" t="s">
        <v>4676</v>
      </c>
      <c r="R8" s="222" t="s">
        <v>116</v>
      </c>
      <c r="S8" s="22" t="s">
        <v>1880</v>
      </c>
      <c r="T8" s="1891" t="s">
        <v>3248</v>
      </c>
      <c r="U8" s="1891" t="s">
        <v>3248</v>
      </c>
      <c r="V8" s="211" t="s">
        <v>11379</v>
      </c>
      <c r="W8" s="271" t="s">
        <v>11380</v>
      </c>
      <c r="X8" s="211" t="s">
        <v>110</v>
      </c>
      <c r="Y8" s="211">
        <v>1</v>
      </c>
      <c r="Z8" s="211" t="s">
        <v>11381</v>
      </c>
      <c r="AA8" s="211" t="s">
        <v>8779</v>
      </c>
      <c r="AB8" s="96"/>
      <c r="AC8" s="96">
        <v>4.5</v>
      </c>
      <c r="AD8" s="96">
        <v>4.5</v>
      </c>
      <c r="AE8" s="324">
        <f t="shared" ref="AE8:AE14" si="1">AD8/1.06</f>
        <v>4.2452830188679247</v>
      </c>
      <c r="AF8" s="155"/>
      <c r="AG8" s="155"/>
      <c r="AH8" s="133"/>
      <c r="AI8" s="1891" t="s">
        <v>10629</v>
      </c>
      <c r="AJ8" s="35" t="s">
        <v>19</v>
      </c>
      <c r="AK8" s="202" t="s">
        <v>19</v>
      </c>
      <c r="AL8" s="35" t="s">
        <v>1880</v>
      </c>
      <c r="AM8" s="1891"/>
    </row>
    <row r="9" spans="1:39" s="11" customFormat="1" ht="26.25" customHeight="1" x14ac:dyDescent="0.15">
      <c r="A9" s="218">
        <f t="shared" si="0"/>
        <v>7</v>
      </c>
      <c r="B9" s="1887" t="s">
        <v>11353</v>
      </c>
      <c r="C9" s="60" t="s">
        <v>448</v>
      </c>
      <c r="D9" s="60" t="s">
        <v>448</v>
      </c>
      <c r="E9" s="60" t="s">
        <v>448</v>
      </c>
      <c r="F9" s="123" t="s">
        <v>10242</v>
      </c>
      <c r="G9" s="53" t="s">
        <v>10186</v>
      </c>
      <c r="H9" s="26" t="s">
        <v>448</v>
      </c>
      <c r="I9" s="26" t="s">
        <v>448</v>
      </c>
      <c r="J9" s="26" t="s">
        <v>448</v>
      </c>
      <c r="K9" s="1891" t="s">
        <v>4712</v>
      </c>
      <c r="L9" s="1891" t="s">
        <v>9125</v>
      </c>
      <c r="M9" s="1891" t="s">
        <v>9131</v>
      </c>
      <c r="N9" s="22" t="s">
        <v>10181</v>
      </c>
      <c r="O9" s="1892" t="s">
        <v>2142</v>
      </c>
      <c r="P9" s="1892" t="s">
        <v>1880</v>
      </c>
      <c r="Q9" s="1891" t="s">
        <v>4676</v>
      </c>
      <c r="R9" s="222" t="s">
        <v>116</v>
      </c>
      <c r="S9" s="22" t="s">
        <v>1880</v>
      </c>
      <c r="T9" s="1891" t="s">
        <v>3248</v>
      </c>
      <c r="U9" s="1891" t="s">
        <v>3248</v>
      </c>
      <c r="V9" s="211" t="s">
        <v>11379</v>
      </c>
      <c r="W9" s="271" t="s">
        <v>11380</v>
      </c>
      <c r="X9" s="211" t="s">
        <v>110</v>
      </c>
      <c r="Y9" s="211">
        <v>1</v>
      </c>
      <c r="Z9" s="211" t="s">
        <v>11381</v>
      </c>
      <c r="AA9" s="211" t="s">
        <v>8779</v>
      </c>
      <c r="AB9" s="96"/>
      <c r="AC9" s="96">
        <v>4.5</v>
      </c>
      <c r="AD9" s="96">
        <v>4.5</v>
      </c>
      <c r="AE9" s="324">
        <f t="shared" si="1"/>
        <v>4.2452830188679247</v>
      </c>
      <c r="AF9" s="155"/>
      <c r="AG9" s="155"/>
      <c r="AH9" s="133"/>
      <c r="AI9" s="1891" t="s">
        <v>10629</v>
      </c>
      <c r="AJ9" s="35" t="s">
        <v>19</v>
      </c>
      <c r="AK9" s="202" t="s">
        <v>19</v>
      </c>
      <c r="AL9" s="35" t="s">
        <v>1880</v>
      </c>
      <c r="AM9" s="1891"/>
    </row>
    <row r="10" spans="1:39" s="11" customFormat="1" ht="26.25" customHeight="1" x14ac:dyDescent="0.15">
      <c r="A10" s="218">
        <f t="shared" si="0"/>
        <v>8</v>
      </c>
      <c r="B10" s="1887" t="s">
        <v>11354</v>
      </c>
      <c r="C10" s="60" t="s">
        <v>448</v>
      </c>
      <c r="D10" s="60" t="s">
        <v>448</v>
      </c>
      <c r="E10" s="60" t="s">
        <v>448</v>
      </c>
      <c r="F10" s="123" t="s">
        <v>10242</v>
      </c>
      <c r="G10" s="53" t="s">
        <v>10186</v>
      </c>
      <c r="H10" s="26" t="s">
        <v>448</v>
      </c>
      <c r="I10" s="26" t="s">
        <v>448</v>
      </c>
      <c r="J10" s="26" t="s">
        <v>448</v>
      </c>
      <c r="K10" s="1891" t="s">
        <v>4712</v>
      </c>
      <c r="L10" s="1891" t="s">
        <v>9125</v>
      </c>
      <c r="M10" s="1891" t="s">
        <v>9132</v>
      </c>
      <c r="N10" s="22" t="s">
        <v>10180</v>
      </c>
      <c r="O10" s="1892" t="s">
        <v>2142</v>
      </c>
      <c r="P10" s="1892" t="s">
        <v>1880</v>
      </c>
      <c r="Q10" s="1891" t="s">
        <v>4676</v>
      </c>
      <c r="R10" s="222" t="s">
        <v>116</v>
      </c>
      <c r="S10" s="22" t="s">
        <v>1880</v>
      </c>
      <c r="T10" s="1891" t="s">
        <v>3248</v>
      </c>
      <c r="U10" s="1891" t="s">
        <v>3248</v>
      </c>
      <c r="V10" s="211" t="s">
        <v>11379</v>
      </c>
      <c r="W10" s="271" t="s">
        <v>11380</v>
      </c>
      <c r="X10" s="211" t="s">
        <v>110</v>
      </c>
      <c r="Y10" s="211">
        <v>1</v>
      </c>
      <c r="Z10" s="211" t="s">
        <v>11381</v>
      </c>
      <c r="AA10" s="211" t="s">
        <v>8779</v>
      </c>
      <c r="AB10" s="96"/>
      <c r="AC10" s="96">
        <v>4.5</v>
      </c>
      <c r="AD10" s="96">
        <v>4.5</v>
      </c>
      <c r="AE10" s="324">
        <f t="shared" si="1"/>
        <v>4.2452830188679247</v>
      </c>
      <c r="AF10" s="155"/>
      <c r="AG10" s="155"/>
      <c r="AH10" s="133"/>
      <c r="AI10" s="1891" t="s">
        <v>10629</v>
      </c>
      <c r="AJ10" s="35" t="s">
        <v>19</v>
      </c>
      <c r="AK10" s="202" t="s">
        <v>19</v>
      </c>
      <c r="AL10" s="35" t="s">
        <v>1880</v>
      </c>
      <c r="AM10" s="1891"/>
    </row>
    <row r="11" spans="1:39" s="11" customFormat="1" ht="26.25" customHeight="1" x14ac:dyDescent="0.15">
      <c r="A11" s="218">
        <f t="shared" si="0"/>
        <v>9</v>
      </c>
      <c r="B11" s="1887" t="s">
        <v>11355</v>
      </c>
      <c r="C11" s="60" t="s">
        <v>448</v>
      </c>
      <c r="D11" s="60" t="s">
        <v>448</v>
      </c>
      <c r="E11" s="60" t="s">
        <v>448</v>
      </c>
      <c r="F11" s="29" t="s">
        <v>6618</v>
      </c>
      <c r="G11" s="53" t="s">
        <v>6624</v>
      </c>
      <c r="H11" s="26" t="s">
        <v>19</v>
      </c>
      <c r="I11" s="26" t="s">
        <v>19</v>
      </c>
      <c r="J11" s="26" t="s">
        <v>19</v>
      </c>
      <c r="K11" s="1890" t="s">
        <v>2135</v>
      </c>
      <c r="L11" s="1890" t="s">
        <v>2327</v>
      </c>
      <c r="M11" s="1891" t="s">
        <v>6619</v>
      </c>
      <c r="N11" s="22" t="s">
        <v>3651</v>
      </c>
      <c r="O11" s="22" t="s">
        <v>5431</v>
      </c>
      <c r="P11" s="22" t="s">
        <v>1880</v>
      </c>
      <c r="Q11" s="1891" t="s">
        <v>1131</v>
      </c>
      <c r="R11" s="76" t="s">
        <v>11382</v>
      </c>
      <c r="S11" s="22" t="s">
        <v>1880</v>
      </c>
      <c r="T11" s="71" t="s">
        <v>5487</v>
      </c>
      <c r="U11" s="71" t="s">
        <v>5487</v>
      </c>
      <c r="V11" s="211" t="s">
        <v>11379</v>
      </c>
      <c r="W11" s="271" t="s">
        <v>11383</v>
      </c>
      <c r="X11" s="211" t="s">
        <v>110</v>
      </c>
      <c r="Y11" s="211">
        <v>1</v>
      </c>
      <c r="Z11" s="211" t="s">
        <v>11384</v>
      </c>
      <c r="AA11" s="211" t="s">
        <v>8779</v>
      </c>
      <c r="AB11" s="96"/>
      <c r="AC11" s="96">
        <v>7.5</v>
      </c>
      <c r="AD11" s="96">
        <v>7.5</v>
      </c>
      <c r="AE11" s="324">
        <f t="shared" si="1"/>
        <v>7.0754716981132075</v>
      </c>
      <c r="AF11" s="155"/>
      <c r="AG11" s="155"/>
      <c r="AH11" s="133"/>
      <c r="AI11" s="1891" t="s">
        <v>10629</v>
      </c>
      <c r="AJ11" s="35" t="s">
        <v>19</v>
      </c>
      <c r="AK11" s="202" t="s">
        <v>19</v>
      </c>
      <c r="AL11" s="35" t="s">
        <v>1880</v>
      </c>
      <c r="AM11" s="1886"/>
    </row>
    <row r="12" spans="1:39" s="11" customFormat="1" ht="26.25" customHeight="1" x14ac:dyDescent="0.15">
      <c r="A12" s="218">
        <f t="shared" si="0"/>
        <v>10</v>
      </c>
      <c r="B12" s="1887" t="s">
        <v>11356</v>
      </c>
      <c r="C12" s="60" t="s">
        <v>448</v>
      </c>
      <c r="D12" s="60" t="s">
        <v>448</v>
      </c>
      <c r="E12" s="60" t="s">
        <v>448</v>
      </c>
      <c r="F12" s="29" t="s">
        <v>11095</v>
      </c>
      <c r="G12" s="53" t="s">
        <v>11385</v>
      </c>
      <c r="H12" s="26" t="s">
        <v>448</v>
      </c>
      <c r="I12" s="26" t="s">
        <v>8654</v>
      </c>
      <c r="J12" s="53" t="s">
        <v>8655</v>
      </c>
      <c r="K12" s="1890" t="s">
        <v>4712</v>
      </c>
      <c r="L12" s="26" t="s">
        <v>448</v>
      </c>
      <c r="M12" s="1890" t="s">
        <v>8642</v>
      </c>
      <c r="N12" s="1890" t="s">
        <v>11093</v>
      </c>
      <c r="O12" s="1892" t="s">
        <v>5431</v>
      </c>
      <c r="P12" s="1892" t="s">
        <v>111</v>
      </c>
      <c r="Q12" s="1891" t="s">
        <v>1131</v>
      </c>
      <c r="R12" s="76" t="s">
        <v>1122</v>
      </c>
      <c r="S12" s="22" t="s">
        <v>1880</v>
      </c>
      <c r="T12" s="1891" t="s">
        <v>3248</v>
      </c>
      <c r="U12" s="1891" t="s">
        <v>3248</v>
      </c>
      <c r="V12" s="211" t="s">
        <v>11379</v>
      </c>
      <c r="W12" s="271" t="s">
        <v>10098</v>
      </c>
      <c r="X12" s="211" t="s">
        <v>110</v>
      </c>
      <c r="Y12" s="211">
        <v>1</v>
      </c>
      <c r="Z12" s="211" t="s">
        <v>11381</v>
      </c>
      <c r="AA12" s="211" t="s">
        <v>11386</v>
      </c>
      <c r="AB12" s="96"/>
      <c r="AC12" s="96">
        <v>14</v>
      </c>
      <c r="AD12" s="96">
        <v>14</v>
      </c>
      <c r="AE12" s="324">
        <f t="shared" si="1"/>
        <v>13.20754716981132</v>
      </c>
      <c r="AF12" s="155"/>
      <c r="AG12" s="155"/>
      <c r="AH12" s="133"/>
      <c r="AI12" s="1891" t="s">
        <v>10629</v>
      </c>
      <c r="AJ12" s="35" t="s">
        <v>19</v>
      </c>
      <c r="AK12" s="202" t="s">
        <v>19</v>
      </c>
      <c r="AL12" s="35" t="s">
        <v>1880</v>
      </c>
      <c r="AM12" s="1886"/>
    </row>
    <row r="13" spans="1:39" s="11" customFormat="1" ht="26.25" customHeight="1" x14ac:dyDescent="0.15">
      <c r="A13" s="218">
        <f t="shared" si="0"/>
        <v>11</v>
      </c>
      <c r="B13" s="1887" t="s">
        <v>11357</v>
      </c>
      <c r="C13" s="26" t="s">
        <v>19</v>
      </c>
      <c r="D13" s="26" t="s">
        <v>19</v>
      </c>
      <c r="E13" s="26" t="s">
        <v>19</v>
      </c>
      <c r="F13" s="29" t="s">
        <v>10304</v>
      </c>
      <c r="G13" s="53" t="s">
        <v>11387</v>
      </c>
      <c r="H13" s="26" t="s">
        <v>448</v>
      </c>
      <c r="I13" s="26" t="s">
        <v>448</v>
      </c>
      <c r="J13" s="26" t="s">
        <v>448</v>
      </c>
      <c r="K13" s="1891" t="s">
        <v>4712</v>
      </c>
      <c r="L13" s="1891" t="s">
        <v>9125</v>
      </c>
      <c r="M13" s="1891" t="s">
        <v>9126</v>
      </c>
      <c r="N13" s="22" t="s">
        <v>9290</v>
      </c>
      <c r="O13" s="22" t="s">
        <v>5431</v>
      </c>
      <c r="P13" s="1892" t="s">
        <v>111</v>
      </c>
      <c r="Q13" s="1891" t="s">
        <v>1131</v>
      </c>
      <c r="R13" s="222" t="s">
        <v>116</v>
      </c>
      <c r="S13" s="22" t="s">
        <v>1880</v>
      </c>
      <c r="T13" s="1891" t="s">
        <v>3248</v>
      </c>
      <c r="U13" s="1891" t="s">
        <v>3248</v>
      </c>
      <c r="V13" s="211" t="s">
        <v>11379</v>
      </c>
      <c r="W13" s="271" t="s">
        <v>11365</v>
      </c>
      <c r="X13" s="211" t="s">
        <v>110</v>
      </c>
      <c r="Y13" s="211">
        <v>1</v>
      </c>
      <c r="Z13" s="211" t="s">
        <v>11381</v>
      </c>
      <c r="AA13" s="211" t="s">
        <v>8779</v>
      </c>
      <c r="AB13" s="96"/>
      <c r="AC13" s="96">
        <v>6.5</v>
      </c>
      <c r="AD13" s="96">
        <v>6.5</v>
      </c>
      <c r="AE13" s="324">
        <f t="shared" si="1"/>
        <v>6.132075471698113</v>
      </c>
      <c r="AF13" s="155"/>
      <c r="AG13" s="155"/>
      <c r="AH13" s="133"/>
      <c r="AI13" s="1891" t="s">
        <v>10629</v>
      </c>
      <c r="AJ13" s="35" t="s">
        <v>19</v>
      </c>
      <c r="AK13" s="202" t="s">
        <v>19</v>
      </c>
      <c r="AL13" s="35" t="s">
        <v>1880</v>
      </c>
      <c r="AM13" s="1891"/>
    </row>
    <row r="14" spans="1:39" s="11" customFormat="1" ht="26.25" customHeight="1" x14ac:dyDescent="0.15">
      <c r="A14" s="218">
        <f t="shared" si="0"/>
        <v>12</v>
      </c>
      <c r="B14" s="1887" t="s">
        <v>11358</v>
      </c>
      <c r="C14" s="26" t="s">
        <v>19</v>
      </c>
      <c r="D14" s="26" t="s">
        <v>19</v>
      </c>
      <c r="E14" s="26" t="s">
        <v>19</v>
      </c>
      <c r="F14" s="29" t="s">
        <v>10304</v>
      </c>
      <c r="G14" s="53" t="s">
        <v>11387</v>
      </c>
      <c r="H14" s="26" t="s">
        <v>448</v>
      </c>
      <c r="I14" s="26" t="s">
        <v>448</v>
      </c>
      <c r="J14" s="26" t="s">
        <v>448</v>
      </c>
      <c r="K14" s="1891" t="s">
        <v>4712</v>
      </c>
      <c r="L14" s="71" t="s">
        <v>9125</v>
      </c>
      <c r="M14" s="1891" t="s">
        <v>9132</v>
      </c>
      <c r="N14" s="22" t="s">
        <v>9291</v>
      </c>
      <c r="O14" s="22" t="s">
        <v>5431</v>
      </c>
      <c r="P14" s="1892" t="s">
        <v>111</v>
      </c>
      <c r="Q14" s="1891" t="s">
        <v>1131</v>
      </c>
      <c r="R14" s="222" t="s">
        <v>116</v>
      </c>
      <c r="S14" s="22" t="s">
        <v>1880</v>
      </c>
      <c r="T14" s="1891" t="s">
        <v>3248</v>
      </c>
      <c r="U14" s="1891" t="s">
        <v>3248</v>
      </c>
      <c r="V14" s="211" t="s">
        <v>11379</v>
      </c>
      <c r="W14" s="271" t="s">
        <v>11365</v>
      </c>
      <c r="X14" s="211" t="s">
        <v>110</v>
      </c>
      <c r="Y14" s="211">
        <v>1</v>
      </c>
      <c r="Z14" s="211" t="s">
        <v>11381</v>
      </c>
      <c r="AA14" s="211" t="s">
        <v>8779</v>
      </c>
      <c r="AB14" s="96"/>
      <c r="AC14" s="96">
        <v>6.5</v>
      </c>
      <c r="AD14" s="96">
        <v>6.5</v>
      </c>
      <c r="AE14" s="324">
        <f t="shared" si="1"/>
        <v>6.132075471698113</v>
      </c>
      <c r="AF14" s="155"/>
      <c r="AG14" s="155"/>
      <c r="AH14" s="133"/>
      <c r="AI14" s="1891" t="s">
        <v>10629</v>
      </c>
      <c r="AJ14" s="35" t="s">
        <v>19</v>
      </c>
      <c r="AK14" s="202" t="s">
        <v>19</v>
      </c>
      <c r="AL14" s="35" t="s">
        <v>1880</v>
      </c>
      <c r="AM14" s="1891"/>
    </row>
    <row r="15" spans="1:39" s="11" customFormat="1" ht="26.25" customHeight="1" x14ac:dyDescent="0.15">
      <c r="A15" s="218">
        <f t="shared" si="0"/>
        <v>13</v>
      </c>
      <c r="B15" s="1887" t="s">
        <v>11359</v>
      </c>
      <c r="C15" s="26" t="s">
        <v>19</v>
      </c>
      <c r="D15" s="26" t="s">
        <v>19</v>
      </c>
      <c r="E15" s="26" t="s">
        <v>19</v>
      </c>
      <c r="F15" s="67" t="s">
        <v>11388</v>
      </c>
      <c r="G15" s="98" t="s">
        <v>11389</v>
      </c>
      <c r="H15" s="26" t="s">
        <v>448</v>
      </c>
      <c r="I15" s="26" t="s">
        <v>448</v>
      </c>
      <c r="J15" s="26" t="s">
        <v>448</v>
      </c>
      <c r="K15" s="1892" t="s">
        <v>4195</v>
      </c>
      <c r="L15" s="1892" t="s">
        <v>4750</v>
      </c>
      <c r="M15" s="37" t="s">
        <v>6447</v>
      </c>
      <c r="N15" s="1892" t="s">
        <v>4780</v>
      </c>
      <c r="O15" s="22" t="s">
        <v>1826</v>
      </c>
      <c r="P15" s="1892" t="s">
        <v>111</v>
      </c>
      <c r="Q15" s="1891" t="s">
        <v>2848</v>
      </c>
      <c r="R15" s="54" t="s">
        <v>1739</v>
      </c>
      <c r="S15" s="22" t="s">
        <v>1880</v>
      </c>
      <c r="T15" s="71" t="s">
        <v>414</v>
      </c>
      <c r="U15" s="71" t="s">
        <v>414</v>
      </c>
      <c r="V15" s="211" t="s">
        <v>11364</v>
      </c>
      <c r="W15" s="1892" t="s">
        <v>11390</v>
      </c>
      <c r="X15" s="1892" t="s">
        <v>108</v>
      </c>
      <c r="Y15" s="1892">
        <v>1</v>
      </c>
      <c r="Z15" s="1892" t="s">
        <v>111</v>
      </c>
      <c r="AA15" s="1892" t="s">
        <v>111</v>
      </c>
      <c r="AB15" s="96">
        <v>31.6</v>
      </c>
      <c r="AC15" s="96"/>
      <c r="AD15" s="96">
        <v>31.6</v>
      </c>
      <c r="AE15" s="324">
        <v>28.934714</v>
      </c>
      <c r="AF15" s="155" t="s">
        <v>6457</v>
      </c>
      <c r="AG15" s="155" t="s">
        <v>6457</v>
      </c>
      <c r="AH15" s="133"/>
      <c r="AI15" s="133" t="s">
        <v>3101</v>
      </c>
      <c r="AJ15" s="35" t="s">
        <v>19</v>
      </c>
      <c r="AK15" s="202" t="s">
        <v>19</v>
      </c>
      <c r="AL15" s="35" t="s">
        <v>1880</v>
      </c>
      <c r="AM15" s="1886"/>
    </row>
    <row r="16" spans="1:39" s="11" customFormat="1" ht="26.25" customHeight="1" x14ac:dyDescent="0.15">
      <c r="A16" s="218">
        <f t="shared" si="0"/>
        <v>14</v>
      </c>
      <c r="B16" s="1887" t="s">
        <v>11360</v>
      </c>
      <c r="C16" s="60" t="s">
        <v>448</v>
      </c>
      <c r="D16" s="60" t="s">
        <v>448</v>
      </c>
      <c r="E16" s="60" t="s">
        <v>448</v>
      </c>
      <c r="F16" s="67" t="s">
        <v>11361</v>
      </c>
      <c r="G16" s="98" t="s">
        <v>11367</v>
      </c>
      <c r="H16" s="60" t="s">
        <v>448</v>
      </c>
      <c r="I16" s="60" t="s">
        <v>448</v>
      </c>
      <c r="J16" s="60" t="s">
        <v>448</v>
      </c>
      <c r="K16" s="45" t="s">
        <v>4791</v>
      </c>
      <c r="L16" s="81" t="s">
        <v>4792</v>
      </c>
      <c r="M16" s="45" t="s">
        <v>11363</v>
      </c>
      <c r="N16" s="1888" t="s">
        <v>4780</v>
      </c>
      <c r="O16" s="1888" t="s">
        <v>10981</v>
      </c>
      <c r="P16" s="1889" t="s">
        <v>111</v>
      </c>
      <c r="Q16" s="1888" t="s">
        <v>10999</v>
      </c>
      <c r="R16" s="54" t="s">
        <v>11362</v>
      </c>
      <c r="S16" s="1889" t="s">
        <v>111</v>
      </c>
      <c r="T16" s="71" t="s">
        <v>446</v>
      </c>
      <c r="U16" s="71" t="s">
        <v>446</v>
      </c>
      <c r="V16" s="211" t="s">
        <v>11364</v>
      </c>
      <c r="W16" s="271" t="s">
        <v>11365</v>
      </c>
      <c r="X16" s="211" t="s">
        <v>110</v>
      </c>
      <c r="Y16" s="211">
        <v>1</v>
      </c>
      <c r="Z16" s="60" t="s">
        <v>448</v>
      </c>
      <c r="AA16" s="60" t="s">
        <v>448</v>
      </c>
      <c r="AB16" s="96">
        <v>0</v>
      </c>
      <c r="AC16" s="96"/>
      <c r="AD16" s="96">
        <v>0</v>
      </c>
      <c r="AE16" s="324">
        <v>0</v>
      </c>
      <c r="AF16" s="155"/>
      <c r="AG16" s="155"/>
      <c r="AH16" s="133"/>
      <c r="AI16" s="133" t="s">
        <v>10983</v>
      </c>
      <c r="AJ16" s="60" t="s">
        <v>448</v>
      </c>
      <c r="AK16" s="202" t="s">
        <v>448</v>
      </c>
      <c r="AL16" s="35" t="s">
        <v>448</v>
      </c>
      <c r="AM16" s="1886" t="s">
        <v>11366</v>
      </c>
    </row>
    <row r="17" spans="1:39" s="11" customFormat="1" ht="26.25" customHeight="1" x14ac:dyDescent="0.15">
      <c r="A17" s="218">
        <f t="shared" si="0"/>
        <v>15</v>
      </c>
      <c r="B17" s="1887" t="s">
        <v>11394</v>
      </c>
      <c r="C17" s="26" t="s">
        <v>19</v>
      </c>
      <c r="D17" s="26" t="s">
        <v>19</v>
      </c>
      <c r="E17" s="26" t="s">
        <v>19</v>
      </c>
      <c r="F17" s="29" t="s">
        <v>6031</v>
      </c>
      <c r="G17" s="53" t="s">
        <v>11395</v>
      </c>
      <c r="H17" s="26" t="s">
        <v>448</v>
      </c>
      <c r="I17" s="26" t="s">
        <v>448</v>
      </c>
      <c r="J17" s="26" t="s">
        <v>448</v>
      </c>
      <c r="K17" s="1894" t="s">
        <v>2135</v>
      </c>
      <c r="L17" s="1894" t="s">
        <v>2327</v>
      </c>
      <c r="M17" s="1894" t="s">
        <v>7641</v>
      </c>
      <c r="N17" s="22" t="s">
        <v>4780</v>
      </c>
      <c r="O17" s="22" t="s">
        <v>1826</v>
      </c>
      <c r="P17" s="1894" t="s">
        <v>111</v>
      </c>
      <c r="Q17" s="1893" t="s">
        <v>1818</v>
      </c>
      <c r="R17" s="54" t="s">
        <v>1819</v>
      </c>
      <c r="S17" s="26" t="s">
        <v>19</v>
      </c>
      <c r="T17" s="1893" t="s">
        <v>2072</v>
      </c>
      <c r="U17" s="1893" t="s">
        <v>2072</v>
      </c>
      <c r="V17" s="26" t="s">
        <v>8621</v>
      </c>
      <c r="W17" s="1893" t="s">
        <v>11381</v>
      </c>
      <c r="X17" s="211" t="s">
        <v>110</v>
      </c>
      <c r="Y17" s="211">
        <v>1</v>
      </c>
      <c r="Z17" s="211" t="s">
        <v>11381</v>
      </c>
      <c r="AA17" s="211" t="s">
        <v>8779</v>
      </c>
      <c r="AB17" s="96"/>
      <c r="AC17" s="96">
        <v>6</v>
      </c>
      <c r="AD17" s="96">
        <v>6</v>
      </c>
      <c r="AE17" s="324">
        <f>AD17/1.06</f>
        <v>5.6603773584905657</v>
      </c>
      <c r="AF17" s="155"/>
      <c r="AG17" s="155"/>
      <c r="AH17" s="133"/>
      <c r="AI17" s="1893" t="s">
        <v>10629</v>
      </c>
      <c r="AJ17" s="35" t="s">
        <v>19</v>
      </c>
      <c r="AK17" s="202" t="s">
        <v>19</v>
      </c>
      <c r="AL17" s="35" t="s">
        <v>1880</v>
      </c>
      <c r="AM17" s="1893"/>
    </row>
    <row r="18" spans="1:39" s="11" customFormat="1" ht="26.25" customHeight="1" x14ac:dyDescent="0.15">
      <c r="A18" s="218">
        <f t="shared" si="0"/>
        <v>16</v>
      </c>
      <c r="B18" s="1887" t="s">
        <v>11396</v>
      </c>
      <c r="C18" s="26" t="s">
        <v>19</v>
      </c>
      <c r="D18" s="26" t="s">
        <v>19</v>
      </c>
      <c r="E18" s="26" t="s">
        <v>19</v>
      </c>
      <c r="F18" s="29" t="s">
        <v>11155</v>
      </c>
      <c r="G18" s="98" t="s">
        <v>11398</v>
      </c>
      <c r="H18" s="26" t="s">
        <v>448</v>
      </c>
      <c r="I18" s="26" t="s">
        <v>448</v>
      </c>
      <c r="J18" s="26" t="s">
        <v>448</v>
      </c>
      <c r="K18" s="1893" t="s">
        <v>4712</v>
      </c>
      <c r="L18" s="1893" t="s">
        <v>4692</v>
      </c>
      <c r="M18" s="1893" t="s">
        <v>11376</v>
      </c>
      <c r="N18" s="22" t="s">
        <v>4780</v>
      </c>
      <c r="O18" s="22" t="s">
        <v>5478</v>
      </c>
      <c r="P18" s="1894" t="s">
        <v>111</v>
      </c>
      <c r="Q18" s="1893" t="s">
        <v>2422</v>
      </c>
      <c r="R18" s="54" t="s">
        <v>1819</v>
      </c>
      <c r="S18" s="26" t="s">
        <v>19</v>
      </c>
      <c r="T18" s="71" t="s">
        <v>5571</v>
      </c>
      <c r="U18" s="71" t="s">
        <v>5571</v>
      </c>
      <c r="V18" s="211" t="s">
        <v>8621</v>
      </c>
      <c r="W18" s="271" t="s">
        <v>11399</v>
      </c>
      <c r="X18" s="1894" t="s">
        <v>108</v>
      </c>
      <c r="Y18" s="1894">
        <v>1</v>
      </c>
      <c r="Z18" s="211" t="s">
        <v>11381</v>
      </c>
      <c r="AA18" s="211" t="s">
        <v>8779</v>
      </c>
      <c r="AB18" s="96"/>
      <c r="AC18" s="96">
        <v>6</v>
      </c>
      <c r="AD18" s="96">
        <v>6</v>
      </c>
      <c r="AE18" s="324">
        <f>AD18/1.06</f>
        <v>5.6603773584905657</v>
      </c>
      <c r="AF18" s="155"/>
      <c r="AG18" s="155"/>
      <c r="AH18" s="133"/>
      <c r="AI18" s="1893" t="s">
        <v>10629</v>
      </c>
      <c r="AJ18" s="35" t="s">
        <v>19</v>
      </c>
      <c r="AK18" s="202" t="s">
        <v>19</v>
      </c>
      <c r="AL18" s="35" t="s">
        <v>1880</v>
      </c>
      <c r="AM18" s="1886"/>
    </row>
    <row r="19" spans="1:39" s="11" customFormat="1" ht="26.25" customHeight="1" x14ac:dyDescent="0.15">
      <c r="A19" s="218">
        <f t="shared" si="0"/>
        <v>17</v>
      </c>
      <c r="B19" s="1887" t="s">
        <v>11397</v>
      </c>
      <c r="C19" s="26" t="s">
        <v>19</v>
      </c>
      <c r="D19" s="26" t="s">
        <v>19</v>
      </c>
      <c r="E19" s="26" t="s">
        <v>19</v>
      </c>
      <c r="F19" s="29" t="s">
        <v>11156</v>
      </c>
      <c r="G19" s="98" t="s">
        <v>11400</v>
      </c>
      <c r="H19" s="26" t="s">
        <v>448</v>
      </c>
      <c r="I19" s="26" t="s">
        <v>448</v>
      </c>
      <c r="J19" s="26" t="s">
        <v>448</v>
      </c>
      <c r="K19" s="1893" t="s">
        <v>4712</v>
      </c>
      <c r="L19" s="1893" t="s">
        <v>4692</v>
      </c>
      <c r="M19" s="1893" t="s">
        <v>9883</v>
      </c>
      <c r="N19" s="22" t="s">
        <v>4780</v>
      </c>
      <c r="O19" s="22" t="s">
        <v>5478</v>
      </c>
      <c r="P19" s="1894" t="s">
        <v>111</v>
      </c>
      <c r="Q19" s="1893" t="s">
        <v>2422</v>
      </c>
      <c r="R19" s="54" t="s">
        <v>1819</v>
      </c>
      <c r="S19" s="26" t="s">
        <v>19</v>
      </c>
      <c r="T19" s="71" t="s">
        <v>5571</v>
      </c>
      <c r="U19" s="71" t="s">
        <v>5571</v>
      </c>
      <c r="V19" s="211" t="s">
        <v>8621</v>
      </c>
      <c r="W19" s="271" t="s">
        <v>11399</v>
      </c>
      <c r="X19" s="1894" t="s">
        <v>108</v>
      </c>
      <c r="Y19" s="1894">
        <v>1</v>
      </c>
      <c r="Z19" s="211" t="s">
        <v>11381</v>
      </c>
      <c r="AA19" s="211" t="s">
        <v>8779</v>
      </c>
      <c r="AB19" s="96"/>
      <c r="AC19" s="96">
        <v>6</v>
      </c>
      <c r="AD19" s="96">
        <v>6</v>
      </c>
      <c r="AE19" s="324">
        <f>AD19/1.06</f>
        <v>5.6603773584905657</v>
      </c>
      <c r="AF19" s="155"/>
      <c r="AG19" s="155"/>
      <c r="AH19" s="133"/>
      <c r="AI19" s="1893" t="s">
        <v>10629</v>
      </c>
      <c r="AJ19" s="35" t="s">
        <v>19</v>
      </c>
      <c r="AK19" s="202" t="s">
        <v>19</v>
      </c>
      <c r="AL19" s="35" t="s">
        <v>1880</v>
      </c>
      <c r="AM19" s="1893"/>
    </row>
    <row r="20" spans="1:39" s="11" customFormat="1" ht="26.25" customHeight="1" x14ac:dyDescent="0.15">
      <c r="A20" s="218">
        <f t="shared" si="0"/>
        <v>18</v>
      </c>
      <c r="B20" s="1887" t="s">
        <v>11401</v>
      </c>
      <c r="C20" s="71" t="s">
        <v>11402</v>
      </c>
      <c r="D20" s="26" t="s">
        <v>19</v>
      </c>
      <c r="E20" s="26" t="s">
        <v>19</v>
      </c>
      <c r="F20" s="67" t="s">
        <v>11405</v>
      </c>
      <c r="G20" s="98" t="s">
        <v>11406</v>
      </c>
      <c r="H20" s="26" t="s">
        <v>448</v>
      </c>
      <c r="I20" s="26" t="s">
        <v>448</v>
      </c>
      <c r="J20" s="26" t="s">
        <v>448</v>
      </c>
      <c r="K20" s="1895" t="s">
        <v>4712</v>
      </c>
      <c r="L20" s="1895" t="s">
        <v>11403</v>
      </c>
      <c r="M20" s="1895" t="s">
        <v>11404</v>
      </c>
      <c r="N20" s="22" t="s">
        <v>4780</v>
      </c>
      <c r="O20" s="22" t="s">
        <v>1826</v>
      </c>
      <c r="P20" s="1896" t="s">
        <v>111</v>
      </c>
      <c r="Q20" s="1895" t="s">
        <v>1131</v>
      </c>
      <c r="R20" s="54" t="s">
        <v>2238</v>
      </c>
      <c r="S20" s="26" t="s">
        <v>19</v>
      </c>
      <c r="T20" s="71" t="s">
        <v>5571</v>
      </c>
      <c r="U20" s="71" t="s">
        <v>5571</v>
      </c>
      <c r="V20" s="211" t="s">
        <v>8621</v>
      </c>
      <c r="W20" s="271" t="s">
        <v>11407</v>
      </c>
      <c r="X20" s="211" t="s">
        <v>110</v>
      </c>
      <c r="Y20" s="211">
        <v>1</v>
      </c>
      <c r="Z20" s="211" t="s">
        <v>6843</v>
      </c>
      <c r="AA20" s="60" t="s">
        <v>448</v>
      </c>
      <c r="AB20" s="96">
        <v>3</v>
      </c>
      <c r="AC20" s="96"/>
      <c r="AD20" s="96">
        <v>3</v>
      </c>
      <c r="AE20" s="324">
        <f>AD20/1.13</f>
        <v>2.6548672566371683</v>
      </c>
      <c r="AF20" s="155"/>
      <c r="AG20" s="155"/>
      <c r="AH20" s="133"/>
      <c r="AI20" s="133" t="s">
        <v>11373</v>
      </c>
      <c r="AJ20" s="60" t="s">
        <v>448</v>
      </c>
      <c r="AK20" s="202" t="s">
        <v>448</v>
      </c>
      <c r="AL20" s="35" t="s">
        <v>448</v>
      </c>
      <c r="AM20" s="1886"/>
    </row>
    <row r="21" spans="1:39" s="11" customFormat="1" ht="26.25" customHeight="1" x14ac:dyDescent="0.15">
      <c r="A21" s="218">
        <f t="shared" si="0"/>
        <v>19</v>
      </c>
      <c r="B21" s="1887" t="s">
        <v>11410</v>
      </c>
      <c r="C21" s="26" t="s">
        <v>19</v>
      </c>
      <c r="D21" s="26" t="s">
        <v>11409</v>
      </c>
      <c r="E21" s="26" t="s">
        <v>19</v>
      </c>
      <c r="F21" s="67" t="s">
        <v>6048</v>
      </c>
      <c r="G21" s="99" t="s">
        <v>8749</v>
      </c>
      <c r="H21" s="26" t="s">
        <v>448</v>
      </c>
      <c r="I21" s="26" t="s">
        <v>448</v>
      </c>
      <c r="J21" s="26" t="s">
        <v>448</v>
      </c>
      <c r="K21" s="1898" t="s">
        <v>4712</v>
      </c>
      <c r="L21" s="1898" t="s">
        <v>4692</v>
      </c>
      <c r="M21" s="1898" t="s">
        <v>6050</v>
      </c>
      <c r="N21" s="1899" t="s">
        <v>7038</v>
      </c>
      <c r="O21" s="1899" t="s">
        <v>1826</v>
      </c>
      <c r="P21" s="1899" t="s">
        <v>111</v>
      </c>
      <c r="Q21" s="1899" t="s">
        <v>1818</v>
      </c>
      <c r="R21" s="76" t="s">
        <v>4753</v>
      </c>
      <c r="S21" s="26" t="s">
        <v>19</v>
      </c>
      <c r="T21" s="71" t="s">
        <v>5571</v>
      </c>
      <c r="U21" s="71" t="s">
        <v>5571</v>
      </c>
      <c r="V21" s="211" t="s">
        <v>11408</v>
      </c>
      <c r="W21" s="26" t="s">
        <v>19</v>
      </c>
      <c r="X21" s="26" t="s">
        <v>19</v>
      </c>
      <c r="Y21" s="26" t="s">
        <v>19</v>
      </c>
      <c r="Z21" s="60" t="s">
        <v>448</v>
      </c>
      <c r="AA21" s="60" t="s">
        <v>448</v>
      </c>
      <c r="AB21" s="96">
        <v>1.4743999999999999</v>
      </c>
      <c r="AC21" s="96"/>
      <c r="AD21" s="96">
        <v>1.4743999999999999</v>
      </c>
      <c r="AE21" s="324">
        <f>AD21/1.13</f>
        <v>1.304778761061947</v>
      </c>
      <c r="AF21" s="155"/>
      <c r="AG21" s="155"/>
      <c r="AH21" s="133"/>
      <c r="AI21" s="1898" t="s">
        <v>10629</v>
      </c>
      <c r="AJ21" s="35" t="s">
        <v>19</v>
      </c>
      <c r="AK21" s="202" t="s">
        <v>19</v>
      </c>
      <c r="AL21" s="35" t="s">
        <v>1880</v>
      </c>
      <c r="AM21" s="1886" t="s">
        <v>11463</v>
      </c>
    </row>
    <row r="22" spans="1:39" s="11" customFormat="1" ht="26.25" customHeight="1" x14ac:dyDescent="0.15">
      <c r="A22" s="218">
        <f t="shared" si="0"/>
        <v>20</v>
      </c>
      <c r="B22" s="1887" t="s">
        <v>11420</v>
      </c>
      <c r="C22" s="26" t="s">
        <v>19</v>
      </c>
      <c r="D22" s="26" t="s">
        <v>19</v>
      </c>
      <c r="E22" s="1887" t="s">
        <v>11472</v>
      </c>
      <c r="F22" s="67" t="s">
        <v>11411</v>
      </c>
      <c r="G22" s="98" t="s">
        <v>11412</v>
      </c>
      <c r="H22" s="26" t="s">
        <v>448</v>
      </c>
      <c r="I22" s="26" t="s">
        <v>448</v>
      </c>
      <c r="J22" s="26" t="s">
        <v>448</v>
      </c>
      <c r="K22" s="1897" t="s">
        <v>4195</v>
      </c>
      <c r="L22" s="1897" t="s">
        <v>9574</v>
      </c>
      <c r="M22" s="1897" t="s">
        <v>9575</v>
      </c>
      <c r="N22" s="22" t="s">
        <v>4780</v>
      </c>
      <c r="O22" s="1899" t="s">
        <v>1826</v>
      </c>
      <c r="P22" s="1899" t="s">
        <v>111</v>
      </c>
      <c r="Q22" s="71" t="s">
        <v>1131</v>
      </c>
      <c r="R22" s="76" t="s">
        <v>5500</v>
      </c>
      <c r="S22" s="26" t="s">
        <v>19</v>
      </c>
      <c r="T22" s="71" t="s">
        <v>5489</v>
      </c>
      <c r="U22" s="71" t="s">
        <v>5489</v>
      </c>
      <c r="V22" s="211" t="s">
        <v>11413</v>
      </c>
      <c r="W22" s="271" t="s">
        <v>11413</v>
      </c>
      <c r="X22" s="211" t="s">
        <v>110</v>
      </c>
      <c r="Y22" s="211">
        <v>1</v>
      </c>
      <c r="Z22" s="60" t="s">
        <v>448</v>
      </c>
      <c r="AA22" s="60" t="s">
        <v>448</v>
      </c>
      <c r="AB22" s="96">
        <v>1.45</v>
      </c>
      <c r="AC22" s="96"/>
      <c r="AD22" s="96">
        <v>1.45</v>
      </c>
      <c r="AE22" s="324">
        <f>AD22/1.13</f>
        <v>1.2831858407079646</v>
      </c>
      <c r="AF22" s="155"/>
      <c r="AG22" s="155"/>
      <c r="AH22" s="133"/>
      <c r="AI22" s="133" t="s">
        <v>11373</v>
      </c>
      <c r="AJ22" s="60" t="s">
        <v>448</v>
      </c>
      <c r="AK22" s="202" t="s">
        <v>448</v>
      </c>
      <c r="AL22" s="35" t="s">
        <v>448</v>
      </c>
      <c r="AM22" s="1898"/>
    </row>
    <row r="23" spans="1:39" s="11" customFormat="1" ht="26.25" customHeight="1" x14ac:dyDescent="0.15">
      <c r="A23" s="218">
        <f t="shared" si="0"/>
        <v>21</v>
      </c>
      <c r="B23" s="1887" t="s">
        <v>11414</v>
      </c>
      <c r="C23" s="26" t="s">
        <v>19</v>
      </c>
      <c r="D23" s="26" t="s">
        <v>19</v>
      </c>
      <c r="E23" s="26" t="s">
        <v>19</v>
      </c>
      <c r="F23" s="29" t="s">
        <v>3898</v>
      </c>
      <c r="G23" s="53" t="s">
        <v>11416</v>
      </c>
      <c r="H23" s="26" t="s">
        <v>10404</v>
      </c>
      <c r="I23" s="26" t="s">
        <v>10405</v>
      </c>
      <c r="J23" s="26" t="s">
        <v>10406</v>
      </c>
      <c r="K23" s="1897" t="s">
        <v>2475</v>
      </c>
      <c r="L23" s="302" t="s">
        <v>1789</v>
      </c>
      <c r="M23" s="1897" t="s">
        <v>3902</v>
      </c>
      <c r="N23" s="1899" t="s">
        <v>4780</v>
      </c>
      <c r="O23" s="22" t="s">
        <v>5431</v>
      </c>
      <c r="P23" s="1899" t="s">
        <v>1880</v>
      </c>
      <c r="Q23" s="1898" t="s">
        <v>1131</v>
      </c>
      <c r="R23" s="76" t="s">
        <v>11417</v>
      </c>
      <c r="S23" s="26" t="s">
        <v>19</v>
      </c>
      <c r="T23" s="71" t="s">
        <v>446</v>
      </c>
      <c r="U23" s="71" t="s">
        <v>446</v>
      </c>
      <c r="V23" s="211" t="s">
        <v>11413</v>
      </c>
      <c r="W23" s="271" t="s">
        <v>11418</v>
      </c>
      <c r="X23" s="211" t="s">
        <v>110</v>
      </c>
      <c r="Y23" s="211">
        <v>1</v>
      </c>
      <c r="Z23" s="211" t="s">
        <v>11418</v>
      </c>
      <c r="AA23" s="211" t="s">
        <v>11419</v>
      </c>
      <c r="AB23" s="96"/>
      <c r="AC23" s="96">
        <v>25.5</v>
      </c>
      <c r="AD23" s="96">
        <v>25.5</v>
      </c>
      <c r="AE23" s="324">
        <f t="shared" ref="AE23:AE28" si="2">AD23/1.06</f>
        <v>24.056603773584904</v>
      </c>
      <c r="AF23" s="155"/>
      <c r="AG23" s="155"/>
      <c r="AH23" s="133"/>
      <c r="AI23" s="1898" t="s">
        <v>10629</v>
      </c>
      <c r="AJ23" s="35" t="s">
        <v>19</v>
      </c>
      <c r="AK23" s="202" t="s">
        <v>19</v>
      </c>
      <c r="AL23" s="35" t="s">
        <v>1880</v>
      </c>
      <c r="AM23" s="1898"/>
    </row>
    <row r="24" spans="1:39" s="11" customFormat="1" ht="26.25" customHeight="1" x14ac:dyDescent="0.15">
      <c r="A24" s="218">
        <f t="shared" si="0"/>
        <v>22</v>
      </c>
      <c r="B24" s="1887" t="s">
        <v>11415</v>
      </c>
      <c r="C24" s="26" t="s">
        <v>19</v>
      </c>
      <c r="D24" s="26" t="s">
        <v>19</v>
      </c>
      <c r="E24" s="26" t="s">
        <v>19</v>
      </c>
      <c r="F24" s="29" t="s">
        <v>10410</v>
      </c>
      <c r="G24" s="53" t="s">
        <v>11416</v>
      </c>
      <c r="H24" s="26" t="s">
        <v>10404</v>
      </c>
      <c r="I24" s="26" t="s">
        <v>10405</v>
      </c>
      <c r="J24" s="26" t="s">
        <v>10406</v>
      </c>
      <c r="K24" s="1898" t="s">
        <v>5374</v>
      </c>
      <c r="L24" s="1898" t="s">
        <v>5419</v>
      </c>
      <c r="M24" s="1898" t="s">
        <v>9017</v>
      </c>
      <c r="N24" s="22" t="s">
        <v>4780</v>
      </c>
      <c r="O24" s="1898" t="s">
        <v>5431</v>
      </c>
      <c r="P24" s="1899" t="s">
        <v>111</v>
      </c>
      <c r="Q24" s="1898" t="s">
        <v>1131</v>
      </c>
      <c r="R24" s="76" t="s">
        <v>11417</v>
      </c>
      <c r="S24" s="26" t="s">
        <v>19</v>
      </c>
      <c r="T24" s="71" t="s">
        <v>446</v>
      </c>
      <c r="U24" s="71" t="s">
        <v>446</v>
      </c>
      <c r="V24" s="211" t="s">
        <v>11413</v>
      </c>
      <c r="W24" s="271" t="s">
        <v>11418</v>
      </c>
      <c r="X24" s="211" t="s">
        <v>110</v>
      </c>
      <c r="Y24" s="211">
        <v>1</v>
      </c>
      <c r="Z24" s="211" t="s">
        <v>11418</v>
      </c>
      <c r="AA24" s="211" t="s">
        <v>11419</v>
      </c>
      <c r="AB24" s="96"/>
      <c r="AC24" s="96">
        <v>25.5</v>
      </c>
      <c r="AD24" s="96">
        <v>25.5</v>
      </c>
      <c r="AE24" s="324">
        <f t="shared" si="2"/>
        <v>24.056603773584904</v>
      </c>
      <c r="AF24" s="155"/>
      <c r="AG24" s="155"/>
      <c r="AH24" s="133"/>
      <c r="AI24" s="1898" t="s">
        <v>10629</v>
      </c>
      <c r="AJ24" s="35" t="s">
        <v>19</v>
      </c>
      <c r="AK24" s="202" t="s">
        <v>19</v>
      </c>
      <c r="AL24" s="35" t="s">
        <v>1880</v>
      </c>
      <c r="AM24" s="1898"/>
    </row>
    <row r="25" spans="1:39" s="11" customFormat="1" ht="26.25" customHeight="1" x14ac:dyDescent="0.15">
      <c r="A25" s="218">
        <f t="shared" si="0"/>
        <v>23</v>
      </c>
      <c r="B25" s="1887" t="s">
        <v>11421</v>
      </c>
      <c r="C25" s="26" t="s">
        <v>19</v>
      </c>
      <c r="D25" s="26" t="s">
        <v>19</v>
      </c>
      <c r="E25" s="26" t="s">
        <v>19</v>
      </c>
      <c r="F25" s="67" t="s">
        <v>11422</v>
      </c>
      <c r="G25" s="98" t="s">
        <v>7178</v>
      </c>
      <c r="H25" s="26" t="s">
        <v>448</v>
      </c>
      <c r="I25" s="26" t="s">
        <v>448</v>
      </c>
      <c r="J25" s="26" t="s">
        <v>448</v>
      </c>
      <c r="K25" s="1898" t="s">
        <v>4195</v>
      </c>
      <c r="L25" s="1898" t="s">
        <v>4196</v>
      </c>
      <c r="M25" s="1898" t="s">
        <v>5912</v>
      </c>
      <c r="N25" s="84" t="s">
        <v>11423</v>
      </c>
      <c r="O25" s="1898" t="s">
        <v>5431</v>
      </c>
      <c r="P25" s="1899" t="s">
        <v>111</v>
      </c>
      <c r="Q25" s="1898" t="s">
        <v>1131</v>
      </c>
      <c r="R25" s="54" t="s">
        <v>11424</v>
      </c>
      <c r="S25" s="26" t="s">
        <v>19</v>
      </c>
      <c r="T25" s="71" t="s">
        <v>1894</v>
      </c>
      <c r="U25" s="71" t="s">
        <v>1894</v>
      </c>
      <c r="V25" s="211" t="s">
        <v>11413</v>
      </c>
      <c r="W25" s="271" t="s">
        <v>11425</v>
      </c>
      <c r="X25" s="211" t="s">
        <v>110</v>
      </c>
      <c r="Y25" s="211">
        <v>1</v>
      </c>
      <c r="Z25" s="211" t="s">
        <v>11425</v>
      </c>
      <c r="AA25" s="211" t="s">
        <v>11426</v>
      </c>
      <c r="AB25" s="96"/>
      <c r="AC25" s="96">
        <v>40.481999999999999</v>
      </c>
      <c r="AD25" s="96">
        <v>40.481999999999999</v>
      </c>
      <c r="AE25" s="324">
        <f t="shared" si="2"/>
        <v>38.190566037735849</v>
      </c>
      <c r="AF25" s="155"/>
      <c r="AG25" s="155"/>
      <c r="AH25" s="133"/>
      <c r="AI25" s="1898" t="s">
        <v>10629</v>
      </c>
      <c r="AJ25" s="35" t="s">
        <v>19</v>
      </c>
      <c r="AK25" s="202" t="s">
        <v>19</v>
      </c>
      <c r="AL25" s="35" t="s">
        <v>1880</v>
      </c>
      <c r="AM25" s="1898" t="s">
        <v>11428</v>
      </c>
    </row>
    <row r="26" spans="1:39" s="11" customFormat="1" ht="26.25" customHeight="1" x14ac:dyDescent="0.15">
      <c r="A26" s="218">
        <f t="shared" ref="A26:A78" si="3">ROW()-2</f>
        <v>24</v>
      </c>
      <c r="B26" s="1887" t="s">
        <v>11427</v>
      </c>
      <c r="C26" s="26" t="s">
        <v>19</v>
      </c>
      <c r="D26" s="26" t="s">
        <v>19</v>
      </c>
      <c r="E26" s="26" t="s">
        <v>19</v>
      </c>
      <c r="F26" s="29" t="s">
        <v>3082</v>
      </c>
      <c r="G26" s="53" t="s">
        <v>5647</v>
      </c>
      <c r="H26" s="26" t="s">
        <v>448</v>
      </c>
      <c r="I26" s="26" t="s">
        <v>448</v>
      </c>
      <c r="J26" s="26" t="s">
        <v>448</v>
      </c>
      <c r="K26" s="1897" t="s">
        <v>4195</v>
      </c>
      <c r="L26" s="1897" t="s">
        <v>2007</v>
      </c>
      <c r="M26" s="1897" t="s">
        <v>5633</v>
      </c>
      <c r="N26" s="22" t="s">
        <v>4780</v>
      </c>
      <c r="O26" s="22" t="s">
        <v>5431</v>
      </c>
      <c r="P26" s="1899" t="s">
        <v>111</v>
      </c>
      <c r="Q26" s="1898" t="s">
        <v>1131</v>
      </c>
      <c r="R26" s="54" t="s">
        <v>116</v>
      </c>
      <c r="S26" s="26" t="s">
        <v>19</v>
      </c>
      <c r="T26" s="71" t="s">
        <v>1894</v>
      </c>
      <c r="U26" s="71" t="s">
        <v>1894</v>
      </c>
      <c r="V26" s="211" t="s">
        <v>11413</v>
      </c>
      <c r="W26" s="271" t="s">
        <v>8621</v>
      </c>
      <c r="X26" s="211" t="s">
        <v>110</v>
      </c>
      <c r="Y26" s="211">
        <v>1</v>
      </c>
      <c r="Z26" s="211" t="s">
        <v>11381</v>
      </c>
      <c r="AA26" s="211" t="s">
        <v>8779</v>
      </c>
      <c r="AB26" s="96"/>
      <c r="AC26" s="96">
        <v>9.1999999999999993</v>
      </c>
      <c r="AD26" s="96">
        <v>9.1999999999999993</v>
      </c>
      <c r="AE26" s="324">
        <f t="shared" si="2"/>
        <v>8.6792452830188669</v>
      </c>
      <c r="AF26" s="155"/>
      <c r="AG26" s="155"/>
      <c r="AH26" s="133"/>
      <c r="AI26" s="1898" t="s">
        <v>10629</v>
      </c>
      <c r="AJ26" s="35" t="s">
        <v>19</v>
      </c>
      <c r="AK26" s="202" t="s">
        <v>19</v>
      </c>
      <c r="AL26" s="35" t="s">
        <v>1880</v>
      </c>
      <c r="AM26" s="1898"/>
    </row>
    <row r="27" spans="1:39" s="11" customFormat="1" ht="26.25" customHeight="1" x14ac:dyDescent="0.15">
      <c r="A27" s="218">
        <f t="shared" si="3"/>
        <v>25</v>
      </c>
      <c r="B27" s="1887" t="s">
        <v>11429</v>
      </c>
      <c r="C27" s="26" t="s">
        <v>19</v>
      </c>
      <c r="D27" s="26" t="s">
        <v>19</v>
      </c>
      <c r="E27" s="26" t="s">
        <v>19</v>
      </c>
      <c r="F27" s="29" t="s">
        <v>9235</v>
      </c>
      <c r="G27" s="29" t="s">
        <v>11433</v>
      </c>
      <c r="H27" s="26" t="s">
        <v>8679</v>
      </c>
      <c r="I27" s="26" t="s">
        <v>9514</v>
      </c>
      <c r="J27" s="26" t="s">
        <v>9515</v>
      </c>
      <c r="K27" s="1897" t="s">
        <v>2012</v>
      </c>
      <c r="L27" s="1897" t="s">
        <v>2067</v>
      </c>
      <c r="M27" s="1897" t="s">
        <v>8139</v>
      </c>
      <c r="N27" s="22" t="s">
        <v>9236</v>
      </c>
      <c r="O27" s="22" t="s">
        <v>1826</v>
      </c>
      <c r="P27" s="1899" t="s">
        <v>1880</v>
      </c>
      <c r="Q27" s="1898" t="s">
        <v>1131</v>
      </c>
      <c r="R27" s="54" t="s">
        <v>9595</v>
      </c>
      <c r="S27" s="22" t="s">
        <v>1880</v>
      </c>
      <c r="T27" s="1898" t="s">
        <v>3248</v>
      </c>
      <c r="U27" s="1898" t="s">
        <v>3248</v>
      </c>
      <c r="V27" s="211" t="s">
        <v>11413</v>
      </c>
      <c r="W27" s="271" t="s">
        <v>11364</v>
      </c>
      <c r="X27" s="1899" t="s">
        <v>108</v>
      </c>
      <c r="Y27" s="1899">
        <v>1</v>
      </c>
      <c r="Z27" s="211" t="s">
        <v>11381</v>
      </c>
      <c r="AA27" s="211" t="s">
        <v>8779</v>
      </c>
      <c r="AB27" s="96"/>
      <c r="AC27" s="96">
        <v>11</v>
      </c>
      <c r="AD27" s="96">
        <v>11</v>
      </c>
      <c r="AE27" s="324">
        <f t="shared" si="2"/>
        <v>10.377358490566037</v>
      </c>
      <c r="AF27" s="155"/>
      <c r="AG27" s="155"/>
      <c r="AH27" s="133"/>
      <c r="AI27" s="1898" t="s">
        <v>10629</v>
      </c>
      <c r="AJ27" s="35" t="s">
        <v>19</v>
      </c>
      <c r="AK27" s="202" t="s">
        <v>19</v>
      </c>
      <c r="AL27" s="35" t="s">
        <v>1880</v>
      </c>
      <c r="AM27" s="1898"/>
    </row>
    <row r="28" spans="1:39" s="11" customFormat="1" ht="26.25" customHeight="1" x14ac:dyDescent="0.15">
      <c r="A28" s="218">
        <f t="shared" si="3"/>
        <v>26</v>
      </c>
      <c r="B28" s="1887" t="s">
        <v>11430</v>
      </c>
      <c r="C28" s="26" t="s">
        <v>19</v>
      </c>
      <c r="D28" s="26" t="s">
        <v>19</v>
      </c>
      <c r="E28" s="26" t="s">
        <v>19</v>
      </c>
      <c r="F28" s="29" t="s">
        <v>11393</v>
      </c>
      <c r="G28" s="53" t="s">
        <v>11434</v>
      </c>
      <c r="H28" s="26" t="s">
        <v>8679</v>
      </c>
      <c r="I28" s="26" t="s">
        <v>9514</v>
      </c>
      <c r="J28" s="26" t="s">
        <v>9515</v>
      </c>
      <c r="K28" s="1897" t="s">
        <v>4712</v>
      </c>
      <c r="L28" s="1897" t="s">
        <v>4196</v>
      </c>
      <c r="M28" s="1897" t="s">
        <v>5637</v>
      </c>
      <c r="N28" s="22" t="s">
        <v>4780</v>
      </c>
      <c r="O28" s="22" t="s">
        <v>5431</v>
      </c>
      <c r="P28" s="1899" t="s">
        <v>111</v>
      </c>
      <c r="Q28" s="1898" t="s">
        <v>1131</v>
      </c>
      <c r="R28" s="54" t="s">
        <v>9595</v>
      </c>
      <c r="S28" s="22" t="s">
        <v>1880</v>
      </c>
      <c r="T28" s="1898" t="s">
        <v>3248</v>
      </c>
      <c r="U28" s="1898" t="s">
        <v>3248</v>
      </c>
      <c r="V28" s="211" t="s">
        <v>11413</v>
      </c>
      <c r="W28" s="271" t="s">
        <v>11364</v>
      </c>
      <c r="X28" s="1899" t="s">
        <v>108</v>
      </c>
      <c r="Y28" s="1899">
        <v>1</v>
      </c>
      <c r="Z28" s="211" t="s">
        <v>11381</v>
      </c>
      <c r="AA28" s="211" t="s">
        <v>8779</v>
      </c>
      <c r="AB28" s="96"/>
      <c r="AC28" s="96">
        <v>14</v>
      </c>
      <c r="AD28" s="96">
        <v>14</v>
      </c>
      <c r="AE28" s="324">
        <f t="shared" si="2"/>
        <v>13.20754716981132</v>
      </c>
      <c r="AF28" s="155"/>
      <c r="AG28" s="155"/>
      <c r="AH28" s="133"/>
      <c r="AI28" s="1898" t="s">
        <v>10629</v>
      </c>
      <c r="AJ28" s="35" t="s">
        <v>19</v>
      </c>
      <c r="AK28" s="202" t="s">
        <v>19</v>
      </c>
      <c r="AL28" s="35" t="s">
        <v>1880</v>
      </c>
      <c r="AM28" s="1898"/>
    </row>
    <row r="29" spans="1:39" s="11" customFormat="1" ht="26.25" customHeight="1" x14ac:dyDescent="0.15">
      <c r="A29" s="218">
        <f t="shared" si="3"/>
        <v>27</v>
      </c>
      <c r="B29" s="1887" t="s">
        <v>11435</v>
      </c>
      <c r="C29" s="26" t="s">
        <v>19</v>
      </c>
      <c r="D29" s="26" t="s">
        <v>11579</v>
      </c>
      <c r="E29" s="26" t="s">
        <v>19</v>
      </c>
      <c r="F29" s="29" t="s">
        <v>5640</v>
      </c>
      <c r="G29" s="53" t="s">
        <v>11437</v>
      </c>
      <c r="H29" s="26" t="s">
        <v>8679</v>
      </c>
      <c r="I29" s="26" t="s">
        <v>9514</v>
      </c>
      <c r="J29" s="26" t="s">
        <v>9515</v>
      </c>
      <c r="K29" s="1897" t="s">
        <v>4712</v>
      </c>
      <c r="L29" s="1897" t="s">
        <v>4196</v>
      </c>
      <c r="M29" s="1897" t="s">
        <v>5430</v>
      </c>
      <c r="N29" s="22" t="s">
        <v>4780</v>
      </c>
      <c r="O29" s="22" t="s">
        <v>5431</v>
      </c>
      <c r="P29" s="1899" t="s">
        <v>111</v>
      </c>
      <c r="Q29" s="1898" t="s">
        <v>1131</v>
      </c>
      <c r="R29" s="54" t="s">
        <v>9595</v>
      </c>
      <c r="S29" s="22" t="s">
        <v>1880</v>
      </c>
      <c r="T29" s="1898" t="s">
        <v>3248</v>
      </c>
      <c r="U29" s="1898" t="s">
        <v>3248</v>
      </c>
      <c r="V29" s="211" t="s">
        <v>11413</v>
      </c>
      <c r="W29" s="271" t="s">
        <v>11364</v>
      </c>
      <c r="X29" s="1899" t="s">
        <v>108</v>
      </c>
      <c r="Y29" s="1899">
        <v>1</v>
      </c>
      <c r="Z29" s="211" t="s">
        <v>11381</v>
      </c>
      <c r="AA29" s="211" t="s">
        <v>8779</v>
      </c>
      <c r="AB29" s="96"/>
      <c r="AC29" s="96">
        <v>15.5</v>
      </c>
      <c r="AD29" s="96">
        <v>15.5</v>
      </c>
      <c r="AE29" s="324">
        <f t="shared" ref="AE29:AE46" si="4">AD29/1.06</f>
        <v>14.622641509433961</v>
      </c>
      <c r="AF29" s="155"/>
      <c r="AG29" s="155"/>
      <c r="AH29" s="133"/>
      <c r="AI29" s="1898" t="s">
        <v>10629</v>
      </c>
      <c r="AJ29" s="35" t="s">
        <v>19</v>
      </c>
      <c r="AK29" s="202" t="s">
        <v>19</v>
      </c>
      <c r="AL29" s="35" t="s">
        <v>1880</v>
      </c>
      <c r="AM29" s="1898"/>
    </row>
    <row r="30" spans="1:39" s="11" customFormat="1" ht="26.25" customHeight="1" x14ac:dyDescent="0.15">
      <c r="A30" s="218">
        <f t="shared" si="3"/>
        <v>28</v>
      </c>
      <c r="B30" s="1887" t="s">
        <v>11436</v>
      </c>
      <c r="C30" s="26" t="s">
        <v>19</v>
      </c>
      <c r="D30" s="26" t="s">
        <v>19</v>
      </c>
      <c r="E30" s="26" t="s">
        <v>19</v>
      </c>
      <c r="F30" s="29" t="s">
        <v>5640</v>
      </c>
      <c r="G30" s="53" t="s">
        <v>11437</v>
      </c>
      <c r="H30" s="26" t="s">
        <v>8679</v>
      </c>
      <c r="I30" s="26" t="s">
        <v>9514</v>
      </c>
      <c r="J30" s="26" t="s">
        <v>9515</v>
      </c>
      <c r="K30" s="1898" t="s">
        <v>4712</v>
      </c>
      <c r="L30" s="1898" t="s">
        <v>4196</v>
      </c>
      <c r="M30" s="1898" t="s">
        <v>9558</v>
      </c>
      <c r="N30" s="22" t="s">
        <v>4780</v>
      </c>
      <c r="O30" s="22" t="s">
        <v>5431</v>
      </c>
      <c r="P30" s="1899" t="s">
        <v>111</v>
      </c>
      <c r="Q30" s="1898" t="s">
        <v>1131</v>
      </c>
      <c r="R30" s="54" t="s">
        <v>9595</v>
      </c>
      <c r="S30" s="22" t="s">
        <v>1880</v>
      </c>
      <c r="T30" s="1898" t="s">
        <v>3248</v>
      </c>
      <c r="U30" s="1898" t="s">
        <v>3248</v>
      </c>
      <c r="V30" s="211" t="s">
        <v>11413</v>
      </c>
      <c r="W30" s="271" t="s">
        <v>11364</v>
      </c>
      <c r="X30" s="1899" t="s">
        <v>108</v>
      </c>
      <c r="Y30" s="1899">
        <v>1</v>
      </c>
      <c r="Z30" s="211" t="s">
        <v>11381</v>
      </c>
      <c r="AA30" s="211" t="s">
        <v>8779</v>
      </c>
      <c r="AB30" s="96"/>
      <c r="AC30" s="96">
        <v>11</v>
      </c>
      <c r="AD30" s="96">
        <v>11</v>
      </c>
      <c r="AE30" s="324">
        <f t="shared" si="4"/>
        <v>10.377358490566037</v>
      </c>
      <c r="AF30" s="155"/>
      <c r="AG30" s="155"/>
      <c r="AH30" s="133"/>
      <c r="AI30" s="1898" t="s">
        <v>10629</v>
      </c>
      <c r="AJ30" s="35" t="s">
        <v>19</v>
      </c>
      <c r="AK30" s="202" t="s">
        <v>19</v>
      </c>
      <c r="AL30" s="35" t="s">
        <v>1880</v>
      </c>
      <c r="AM30" s="1898"/>
    </row>
    <row r="31" spans="1:39" s="11" customFormat="1" ht="26.25" customHeight="1" x14ac:dyDescent="0.15">
      <c r="A31" s="218">
        <f t="shared" si="3"/>
        <v>29</v>
      </c>
      <c r="B31" s="1887" t="s">
        <v>11431</v>
      </c>
      <c r="C31" s="26" t="s">
        <v>19</v>
      </c>
      <c r="D31" s="26" t="s">
        <v>19</v>
      </c>
      <c r="E31" s="26" t="s">
        <v>19</v>
      </c>
      <c r="F31" s="29" t="s">
        <v>5642</v>
      </c>
      <c r="G31" s="53" t="s">
        <v>11438</v>
      </c>
      <c r="H31" s="26" t="s">
        <v>8679</v>
      </c>
      <c r="I31" s="26" t="s">
        <v>9514</v>
      </c>
      <c r="J31" s="26" t="s">
        <v>9515</v>
      </c>
      <c r="K31" s="1897" t="s">
        <v>4712</v>
      </c>
      <c r="L31" s="1897" t="s">
        <v>4196</v>
      </c>
      <c r="M31" s="1897" t="s">
        <v>5395</v>
      </c>
      <c r="N31" s="22" t="s">
        <v>4780</v>
      </c>
      <c r="O31" s="22" t="s">
        <v>5431</v>
      </c>
      <c r="P31" s="1899" t="s">
        <v>111</v>
      </c>
      <c r="Q31" s="1898" t="s">
        <v>1131</v>
      </c>
      <c r="R31" s="54" t="s">
        <v>9595</v>
      </c>
      <c r="S31" s="22" t="s">
        <v>1880</v>
      </c>
      <c r="T31" s="1898" t="s">
        <v>3248</v>
      </c>
      <c r="U31" s="1898" t="s">
        <v>3248</v>
      </c>
      <c r="V31" s="211" t="s">
        <v>11413</v>
      </c>
      <c r="W31" s="271" t="s">
        <v>11364</v>
      </c>
      <c r="X31" s="1899" t="s">
        <v>108</v>
      </c>
      <c r="Y31" s="1899">
        <v>1</v>
      </c>
      <c r="Z31" s="211" t="s">
        <v>11381</v>
      </c>
      <c r="AA31" s="211" t="s">
        <v>8779</v>
      </c>
      <c r="AB31" s="96"/>
      <c r="AC31" s="96">
        <v>14</v>
      </c>
      <c r="AD31" s="96">
        <v>14</v>
      </c>
      <c r="AE31" s="324">
        <f t="shared" si="4"/>
        <v>13.20754716981132</v>
      </c>
      <c r="AF31" s="155"/>
      <c r="AG31" s="155"/>
      <c r="AH31" s="133"/>
      <c r="AI31" s="1898" t="s">
        <v>10629</v>
      </c>
      <c r="AJ31" s="35" t="s">
        <v>19</v>
      </c>
      <c r="AK31" s="202" t="s">
        <v>19</v>
      </c>
      <c r="AL31" s="35" t="s">
        <v>1880</v>
      </c>
      <c r="AM31" s="1898"/>
    </row>
    <row r="32" spans="1:39" s="11" customFormat="1" ht="26.25" customHeight="1" x14ac:dyDescent="0.15">
      <c r="A32" s="218">
        <f t="shared" si="3"/>
        <v>30</v>
      </c>
      <c r="B32" s="1887" t="s">
        <v>11432</v>
      </c>
      <c r="C32" s="26" t="s">
        <v>19</v>
      </c>
      <c r="D32" s="26" t="s">
        <v>19</v>
      </c>
      <c r="E32" s="26" t="s">
        <v>19</v>
      </c>
      <c r="F32" s="29" t="s">
        <v>5644</v>
      </c>
      <c r="G32" s="53" t="s">
        <v>11439</v>
      </c>
      <c r="H32" s="26" t="s">
        <v>8679</v>
      </c>
      <c r="I32" s="26" t="s">
        <v>9514</v>
      </c>
      <c r="J32" s="26" t="s">
        <v>9515</v>
      </c>
      <c r="K32" s="1897" t="s">
        <v>4712</v>
      </c>
      <c r="L32" s="1897" t="s">
        <v>4196</v>
      </c>
      <c r="M32" s="1897" t="s">
        <v>5646</v>
      </c>
      <c r="N32" s="22" t="s">
        <v>4780</v>
      </c>
      <c r="O32" s="22" t="s">
        <v>5431</v>
      </c>
      <c r="P32" s="1899" t="s">
        <v>111</v>
      </c>
      <c r="Q32" s="1898" t="s">
        <v>1131</v>
      </c>
      <c r="R32" s="54" t="s">
        <v>9595</v>
      </c>
      <c r="S32" s="22" t="s">
        <v>1880</v>
      </c>
      <c r="T32" s="1898" t="s">
        <v>3248</v>
      </c>
      <c r="U32" s="1898" t="s">
        <v>3248</v>
      </c>
      <c r="V32" s="211" t="s">
        <v>11413</v>
      </c>
      <c r="W32" s="271" t="s">
        <v>11364</v>
      </c>
      <c r="X32" s="1899" t="s">
        <v>108</v>
      </c>
      <c r="Y32" s="1899">
        <v>1</v>
      </c>
      <c r="Z32" s="211" t="s">
        <v>11381</v>
      </c>
      <c r="AA32" s="211" t="s">
        <v>8779</v>
      </c>
      <c r="AB32" s="96"/>
      <c r="AC32" s="96">
        <v>14</v>
      </c>
      <c r="AD32" s="96">
        <v>14</v>
      </c>
      <c r="AE32" s="324">
        <f t="shared" si="4"/>
        <v>13.20754716981132</v>
      </c>
      <c r="AF32" s="155"/>
      <c r="AG32" s="155"/>
      <c r="AH32" s="133"/>
      <c r="AI32" s="1898" t="s">
        <v>10629</v>
      </c>
      <c r="AJ32" s="35" t="s">
        <v>19</v>
      </c>
      <c r="AK32" s="202" t="s">
        <v>19</v>
      </c>
      <c r="AL32" s="35" t="s">
        <v>1880</v>
      </c>
      <c r="AM32" s="1898"/>
    </row>
    <row r="33" spans="1:39" s="11" customFormat="1" ht="26.25" customHeight="1" x14ac:dyDescent="0.15">
      <c r="A33" s="218">
        <f t="shared" si="3"/>
        <v>31</v>
      </c>
      <c r="B33" s="1887" t="s">
        <v>11440</v>
      </c>
      <c r="C33" s="26" t="s">
        <v>19</v>
      </c>
      <c r="D33" s="26" t="s">
        <v>19</v>
      </c>
      <c r="E33" s="26" t="s">
        <v>19</v>
      </c>
      <c r="F33" s="29" t="s">
        <v>6231</v>
      </c>
      <c r="G33" s="53" t="s">
        <v>11457</v>
      </c>
      <c r="H33" s="26" t="s">
        <v>448</v>
      </c>
      <c r="I33" s="26" t="s">
        <v>448</v>
      </c>
      <c r="J33" s="26" t="s">
        <v>448</v>
      </c>
      <c r="K33" s="1897" t="s">
        <v>4195</v>
      </c>
      <c r="L33" s="1898" t="s">
        <v>4728</v>
      </c>
      <c r="M33" s="1897" t="s">
        <v>6233</v>
      </c>
      <c r="N33" s="22" t="s">
        <v>6236</v>
      </c>
      <c r="O33" s="22" t="s">
        <v>5431</v>
      </c>
      <c r="P33" s="1899" t="s">
        <v>1880</v>
      </c>
      <c r="Q33" s="216" t="s">
        <v>25</v>
      </c>
      <c r="R33" s="54" t="s">
        <v>1122</v>
      </c>
      <c r="S33" s="22" t="s">
        <v>1880</v>
      </c>
      <c r="T33" s="1898" t="s">
        <v>1894</v>
      </c>
      <c r="U33" s="1898" t="s">
        <v>1894</v>
      </c>
      <c r="V33" s="211" t="s">
        <v>11413</v>
      </c>
      <c r="W33" s="271" t="s">
        <v>11441</v>
      </c>
      <c r="X33" s="211" t="s">
        <v>110</v>
      </c>
      <c r="Y33" s="211">
        <v>1</v>
      </c>
      <c r="Z33" s="211" t="s">
        <v>11381</v>
      </c>
      <c r="AA33" s="211" t="s">
        <v>11386</v>
      </c>
      <c r="AB33" s="96"/>
      <c r="AC33" s="96">
        <v>14</v>
      </c>
      <c r="AD33" s="96">
        <v>14</v>
      </c>
      <c r="AE33" s="324">
        <f t="shared" si="4"/>
        <v>13.20754716981132</v>
      </c>
      <c r="AF33" s="155"/>
      <c r="AG33" s="155"/>
      <c r="AH33" s="133"/>
      <c r="AI33" s="1898" t="s">
        <v>10629</v>
      </c>
      <c r="AJ33" s="35" t="s">
        <v>19</v>
      </c>
      <c r="AK33" s="202" t="s">
        <v>19</v>
      </c>
      <c r="AL33" s="35" t="s">
        <v>1880</v>
      </c>
      <c r="AM33" s="1898"/>
    </row>
    <row r="34" spans="1:39" s="11" customFormat="1" ht="26.25" customHeight="1" x14ac:dyDescent="0.15">
      <c r="A34" s="218">
        <f t="shared" si="3"/>
        <v>32</v>
      </c>
      <c r="B34" s="1887" t="s">
        <v>11442</v>
      </c>
      <c r="C34" s="26" t="s">
        <v>19</v>
      </c>
      <c r="D34" s="26" t="s">
        <v>19</v>
      </c>
      <c r="E34" s="26" t="s">
        <v>19</v>
      </c>
      <c r="F34" s="29" t="s">
        <v>6248</v>
      </c>
      <c r="G34" s="53" t="s">
        <v>11443</v>
      </c>
      <c r="H34" s="26" t="s">
        <v>448</v>
      </c>
      <c r="I34" s="26" t="s">
        <v>448</v>
      </c>
      <c r="J34" s="26" t="s">
        <v>448</v>
      </c>
      <c r="K34" s="1897" t="s">
        <v>4195</v>
      </c>
      <c r="L34" s="1897" t="s">
        <v>4728</v>
      </c>
      <c r="M34" s="1897" t="s">
        <v>5399</v>
      </c>
      <c r="N34" s="22" t="s">
        <v>6250</v>
      </c>
      <c r="O34" s="22" t="s">
        <v>5431</v>
      </c>
      <c r="P34" s="1899" t="s">
        <v>1880</v>
      </c>
      <c r="Q34" s="1898" t="s">
        <v>1131</v>
      </c>
      <c r="R34" s="54" t="s">
        <v>1122</v>
      </c>
      <c r="S34" s="22" t="s">
        <v>1880</v>
      </c>
      <c r="T34" s="1898" t="s">
        <v>1894</v>
      </c>
      <c r="U34" s="1898" t="s">
        <v>1894</v>
      </c>
      <c r="V34" s="211" t="s">
        <v>11413</v>
      </c>
      <c r="W34" s="271" t="s">
        <v>11441</v>
      </c>
      <c r="X34" s="211" t="s">
        <v>110</v>
      </c>
      <c r="Y34" s="211">
        <v>1</v>
      </c>
      <c r="Z34" s="211" t="s">
        <v>11381</v>
      </c>
      <c r="AA34" s="211" t="s">
        <v>11386</v>
      </c>
      <c r="AB34" s="96"/>
      <c r="AC34" s="96">
        <v>14</v>
      </c>
      <c r="AD34" s="96">
        <v>14</v>
      </c>
      <c r="AE34" s="324">
        <f t="shared" si="4"/>
        <v>13.20754716981132</v>
      </c>
      <c r="AF34" s="155"/>
      <c r="AG34" s="155"/>
      <c r="AH34" s="133"/>
      <c r="AI34" s="1898" t="s">
        <v>10629</v>
      </c>
      <c r="AJ34" s="35" t="s">
        <v>19</v>
      </c>
      <c r="AK34" s="202" t="s">
        <v>19</v>
      </c>
      <c r="AL34" s="35" t="s">
        <v>1880</v>
      </c>
      <c r="AM34" s="1898"/>
    </row>
    <row r="35" spans="1:39" s="11" customFormat="1" ht="26.25" customHeight="1" x14ac:dyDescent="0.15">
      <c r="A35" s="218">
        <f t="shared" si="3"/>
        <v>33</v>
      </c>
      <c r="B35" s="1887" t="s">
        <v>11444</v>
      </c>
      <c r="C35" s="26" t="s">
        <v>19</v>
      </c>
      <c r="D35" s="26" t="s">
        <v>19</v>
      </c>
      <c r="E35" s="26" t="s">
        <v>19</v>
      </c>
      <c r="F35" s="29" t="s">
        <v>3979</v>
      </c>
      <c r="G35" s="98" t="s">
        <v>11445</v>
      </c>
      <c r="H35" s="26" t="s">
        <v>448</v>
      </c>
      <c r="I35" s="26" t="s">
        <v>448</v>
      </c>
      <c r="J35" s="26" t="s">
        <v>448</v>
      </c>
      <c r="K35" s="1898" t="s">
        <v>4195</v>
      </c>
      <c r="L35" s="1898" t="s">
        <v>4728</v>
      </c>
      <c r="M35" s="1898" t="s">
        <v>7603</v>
      </c>
      <c r="N35" s="84" t="s">
        <v>11446</v>
      </c>
      <c r="O35" s="22" t="s">
        <v>5431</v>
      </c>
      <c r="P35" s="1899" t="s">
        <v>1880</v>
      </c>
      <c r="Q35" s="1898" t="s">
        <v>1131</v>
      </c>
      <c r="R35" s="54" t="s">
        <v>1122</v>
      </c>
      <c r="S35" s="22" t="s">
        <v>1880</v>
      </c>
      <c r="T35" s="1898" t="s">
        <v>1894</v>
      </c>
      <c r="U35" s="1898" t="s">
        <v>1894</v>
      </c>
      <c r="V35" s="211" t="s">
        <v>11413</v>
      </c>
      <c r="W35" s="271" t="s">
        <v>11441</v>
      </c>
      <c r="X35" s="211" t="s">
        <v>110</v>
      </c>
      <c r="Y35" s="211">
        <v>1</v>
      </c>
      <c r="Z35" s="211" t="s">
        <v>11447</v>
      </c>
      <c r="AA35" s="211" t="s">
        <v>11448</v>
      </c>
      <c r="AB35" s="96"/>
      <c r="AC35" s="96">
        <v>14</v>
      </c>
      <c r="AD35" s="96">
        <v>14</v>
      </c>
      <c r="AE35" s="324">
        <f t="shared" si="4"/>
        <v>13.20754716981132</v>
      </c>
      <c r="AF35" s="155"/>
      <c r="AG35" s="155"/>
      <c r="AH35" s="133"/>
      <c r="AI35" s="1898" t="s">
        <v>10629</v>
      </c>
      <c r="AJ35" s="35" t="s">
        <v>19</v>
      </c>
      <c r="AK35" s="202" t="s">
        <v>19</v>
      </c>
      <c r="AL35" s="35" t="s">
        <v>1880</v>
      </c>
      <c r="AM35" s="1898"/>
    </row>
    <row r="36" spans="1:39" s="11" customFormat="1" ht="26.25" customHeight="1" x14ac:dyDescent="0.15">
      <c r="A36" s="218">
        <f t="shared" si="3"/>
        <v>34</v>
      </c>
      <c r="B36" s="1887" t="s">
        <v>11449</v>
      </c>
      <c r="C36" s="26" t="s">
        <v>19</v>
      </c>
      <c r="D36" s="26" t="s">
        <v>19</v>
      </c>
      <c r="E36" s="1887" t="s">
        <v>11470</v>
      </c>
      <c r="F36" s="67" t="s">
        <v>11450</v>
      </c>
      <c r="G36" s="98" t="s">
        <v>11451</v>
      </c>
      <c r="H36" s="26" t="s">
        <v>448</v>
      </c>
      <c r="I36" s="26" t="s">
        <v>448</v>
      </c>
      <c r="J36" s="26" t="s">
        <v>448</v>
      </c>
      <c r="K36" s="83" t="s">
        <v>4712</v>
      </c>
      <c r="L36" s="83" t="s">
        <v>4728</v>
      </c>
      <c r="M36" s="83" t="s">
        <v>11452</v>
      </c>
      <c r="N36" s="22" t="s">
        <v>4780</v>
      </c>
      <c r="O36" s="84" t="s">
        <v>5478</v>
      </c>
      <c r="P36" s="1901" t="s">
        <v>1880</v>
      </c>
      <c r="Q36" s="71" t="s">
        <v>4676</v>
      </c>
      <c r="R36" s="76" t="s">
        <v>11546</v>
      </c>
      <c r="S36" s="22" t="s">
        <v>1880</v>
      </c>
      <c r="T36" s="1900" t="s">
        <v>1894</v>
      </c>
      <c r="U36" s="1900" t="s">
        <v>1894</v>
      </c>
      <c r="V36" s="211" t="s">
        <v>11413</v>
      </c>
      <c r="W36" s="271" t="s">
        <v>11453</v>
      </c>
      <c r="X36" s="211" t="s">
        <v>110</v>
      </c>
      <c r="Y36" s="211">
        <v>1</v>
      </c>
      <c r="Z36" s="60" t="s">
        <v>11468</v>
      </c>
      <c r="AA36" s="60" t="s">
        <v>11484</v>
      </c>
      <c r="AB36" s="96">
        <v>6.57</v>
      </c>
      <c r="AC36" s="96"/>
      <c r="AD36" s="96">
        <v>6.57</v>
      </c>
      <c r="AE36" s="324">
        <f t="shared" si="4"/>
        <v>6.1981132075471699</v>
      </c>
      <c r="AF36" s="155"/>
      <c r="AG36" s="155"/>
      <c r="AH36" s="133"/>
      <c r="AI36" s="133" t="s">
        <v>11373</v>
      </c>
      <c r="AJ36" s="60" t="s">
        <v>448</v>
      </c>
      <c r="AK36" s="202" t="s">
        <v>448</v>
      </c>
      <c r="AL36" s="35" t="s">
        <v>448</v>
      </c>
      <c r="AM36" s="1898"/>
    </row>
    <row r="37" spans="1:39" s="11" customFormat="1" ht="37.5" customHeight="1" x14ac:dyDescent="0.15">
      <c r="A37" s="218">
        <f t="shared" si="3"/>
        <v>35</v>
      </c>
      <c r="B37" s="1887" t="s">
        <v>11471</v>
      </c>
      <c r="C37" s="26" t="s">
        <v>19</v>
      </c>
      <c r="D37" s="26" t="s">
        <v>19</v>
      </c>
      <c r="E37" s="26" t="s">
        <v>11631</v>
      </c>
      <c r="F37" s="67" t="s">
        <v>11454</v>
      </c>
      <c r="G37" s="98" t="s">
        <v>11455</v>
      </c>
      <c r="H37" s="26" t="s">
        <v>448</v>
      </c>
      <c r="I37" s="26" t="s">
        <v>448</v>
      </c>
      <c r="J37" s="26" t="s">
        <v>448</v>
      </c>
      <c r="K37" s="83" t="s">
        <v>4712</v>
      </c>
      <c r="L37" s="83" t="s">
        <v>4728</v>
      </c>
      <c r="M37" s="83" t="s">
        <v>11456</v>
      </c>
      <c r="N37" s="22" t="s">
        <v>11492</v>
      </c>
      <c r="O37" s="84" t="s">
        <v>5478</v>
      </c>
      <c r="P37" s="1901" t="s">
        <v>1880</v>
      </c>
      <c r="Q37" s="71" t="s">
        <v>4676</v>
      </c>
      <c r="R37" s="76" t="s">
        <v>11546</v>
      </c>
      <c r="S37" s="22" t="s">
        <v>1880</v>
      </c>
      <c r="T37" s="1900" t="s">
        <v>1894</v>
      </c>
      <c r="U37" s="1900" t="s">
        <v>1894</v>
      </c>
      <c r="V37" s="211" t="s">
        <v>11413</v>
      </c>
      <c r="W37" s="271" t="s">
        <v>11453</v>
      </c>
      <c r="X37" s="211" t="s">
        <v>110</v>
      </c>
      <c r="Y37" s="211">
        <v>1</v>
      </c>
      <c r="Z37" s="60" t="s">
        <v>11468</v>
      </c>
      <c r="AA37" s="60" t="s">
        <v>11484</v>
      </c>
      <c r="AB37" s="96">
        <v>6.57</v>
      </c>
      <c r="AC37" s="96"/>
      <c r="AD37" s="96">
        <v>6.57</v>
      </c>
      <c r="AE37" s="324">
        <f t="shared" si="4"/>
        <v>6.1981132075471699</v>
      </c>
      <c r="AF37" s="155"/>
      <c r="AG37" s="155"/>
      <c r="AH37" s="133"/>
      <c r="AI37" s="133" t="s">
        <v>11373</v>
      </c>
      <c r="AJ37" s="60" t="s">
        <v>448</v>
      </c>
      <c r="AK37" s="202" t="s">
        <v>448</v>
      </c>
      <c r="AL37" s="35" t="s">
        <v>448</v>
      </c>
      <c r="AM37" s="1898"/>
    </row>
    <row r="38" spans="1:39" s="11" customFormat="1" ht="26.25" customHeight="1" x14ac:dyDescent="0.15">
      <c r="A38" s="218">
        <f t="shared" si="3"/>
        <v>36</v>
      </c>
      <c r="B38" s="1887" t="s">
        <v>11458</v>
      </c>
      <c r="C38" s="26" t="s">
        <v>19</v>
      </c>
      <c r="D38" s="26" t="s">
        <v>19</v>
      </c>
      <c r="E38" s="26" t="s">
        <v>19</v>
      </c>
      <c r="F38" s="29" t="s">
        <v>9314</v>
      </c>
      <c r="G38" s="53" t="s">
        <v>11460</v>
      </c>
      <c r="H38" s="26" t="s">
        <v>448</v>
      </c>
      <c r="I38" s="26" t="s">
        <v>448</v>
      </c>
      <c r="J38" s="26" t="s">
        <v>448</v>
      </c>
      <c r="K38" s="1902" t="s">
        <v>4195</v>
      </c>
      <c r="L38" s="1903" t="s">
        <v>4728</v>
      </c>
      <c r="M38" s="1902" t="s">
        <v>5406</v>
      </c>
      <c r="N38" s="22" t="s">
        <v>3984</v>
      </c>
      <c r="O38" s="22" t="s">
        <v>5478</v>
      </c>
      <c r="P38" s="1904" t="s">
        <v>1880</v>
      </c>
      <c r="Q38" s="1903" t="s">
        <v>4676</v>
      </c>
      <c r="R38" s="54" t="s">
        <v>6971</v>
      </c>
      <c r="S38" s="22" t="s">
        <v>1880</v>
      </c>
      <c r="T38" s="1903" t="s">
        <v>1894</v>
      </c>
      <c r="U38" s="1903" t="s">
        <v>1894</v>
      </c>
      <c r="V38" s="211" t="s">
        <v>11461</v>
      </c>
      <c r="W38" s="271" t="s">
        <v>11413</v>
      </c>
      <c r="X38" s="1904" t="s">
        <v>108</v>
      </c>
      <c r="Y38" s="1904">
        <v>1</v>
      </c>
      <c r="Z38" s="211" t="s">
        <v>10150</v>
      </c>
      <c r="AA38" s="211" t="s">
        <v>9667</v>
      </c>
      <c r="AB38" s="96"/>
      <c r="AC38" s="96">
        <v>9.4</v>
      </c>
      <c r="AD38" s="96">
        <v>9.4</v>
      </c>
      <c r="AE38" s="324">
        <f t="shared" si="4"/>
        <v>8.8679245283018862</v>
      </c>
      <c r="AF38" s="155"/>
      <c r="AG38" s="155"/>
      <c r="AH38" s="133"/>
      <c r="AI38" s="1903" t="s">
        <v>10629</v>
      </c>
      <c r="AJ38" s="35" t="s">
        <v>19</v>
      </c>
      <c r="AK38" s="202" t="s">
        <v>19</v>
      </c>
      <c r="AL38" s="35" t="s">
        <v>1880</v>
      </c>
      <c r="AM38" s="1903"/>
    </row>
    <row r="39" spans="1:39" s="11" customFormat="1" ht="26.25" customHeight="1" x14ac:dyDescent="0.15">
      <c r="A39" s="218">
        <f t="shared" si="3"/>
        <v>37</v>
      </c>
      <c r="B39" s="1887" t="s">
        <v>11459</v>
      </c>
      <c r="C39" s="26" t="s">
        <v>19</v>
      </c>
      <c r="D39" s="26" t="s">
        <v>19</v>
      </c>
      <c r="E39" s="26" t="s">
        <v>19</v>
      </c>
      <c r="F39" s="29" t="s">
        <v>9314</v>
      </c>
      <c r="G39" s="53" t="s">
        <v>11460</v>
      </c>
      <c r="H39" s="26" t="s">
        <v>448</v>
      </c>
      <c r="I39" s="26" t="s">
        <v>448</v>
      </c>
      <c r="J39" s="26" t="s">
        <v>448</v>
      </c>
      <c r="K39" s="1903" t="s">
        <v>4195</v>
      </c>
      <c r="L39" s="1903" t="s">
        <v>4728</v>
      </c>
      <c r="M39" s="1903" t="s">
        <v>5673</v>
      </c>
      <c r="N39" s="22" t="s">
        <v>5674</v>
      </c>
      <c r="O39" s="22" t="s">
        <v>5478</v>
      </c>
      <c r="P39" s="1904" t="s">
        <v>1880</v>
      </c>
      <c r="Q39" s="1903" t="s">
        <v>4676</v>
      </c>
      <c r="R39" s="54" t="s">
        <v>116</v>
      </c>
      <c r="S39" s="22" t="s">
        <v>1880</v>
      </c>
      <c r="T39" s="1903" t="s">
        <v>1894</v>
      </c>
      <c r="U39" s="1903" t="s">
        <v>1894</v>
      </c>
      <c r="V39" s="211" t="s">
        <v>11461</v>
      </c>
      <c r="W39" s="271" t="s">
        <v>11413</v>
      </c>
      <c r="X39" s="1904" t="s">
        <v>108</v>
      </c>
      <c r="Y39" s="1904">
        <v>1</v>
      </c>
      <c r="Z39" s="211" t="s">
        <v>11462</v>
      </c>
      <c r="AA39" s="211" t="s">
        <v>9667</v>
      </c>
      <c r="AB39" s="96"/>
      <c r="AC39" s="96">
        <v>6.3</v>
      </c>
      <c r="AD39" s="96">
        <v>6.3</v>
      </c>
      <c r="AE39" s="324">
        <f t="shared" si="4"/>
        <v>5.9433962264150937</v>
      </c>
      <c r="AF39" s="155"/>
      <c r="AG39" s="155"/>
      <c r="AH39" s="133"/>
      <c r="AI39" s="1903" t="s">
        <v>10629</v>
      </c>
      <c r="AJ39" s="35" t="s">
        <v>19</v>
      </c>
      <c r="AK39" s="202" t="s">
        <v>19</v>
      </c>
      <c r="AL39" s="35" t="s">
        <v>1880</v>
      </c>
      <c r="AM39" s="1903"/>
    </row>
    <row r="40" spans="1:39" s="11" customFormat="1" ht="26.25" customHeight="1" x14ac:dyDescent="0.15">
      <c r="A40" s="218">
        <f t="shared" si="3"/>
        <v>38</v>
      </c>
      <c r="B40" s="1887" t="s">
        <v>11464</v>
      </c>
      <c r="C40" s="26" t="s">
        <v>19</v>
      </c>
      <c r="D40" s="26" t="s">
        <v>19</v>
      </c>
      <c r="E40" s="26" t="s">
        <v>19</v>
      </c>
      <c r="F40" s="67" t="s">
        <v>11465</v>
      </c>
      <c r="G40" s="98" t="s">
        <v>11466</v>
      </c>
      <c r="H40" s="26" t="s">
        <v>448</v>
      </c>
      <c r="I40" s="26" t="s">
        <v>448</v>
      </c>
      <c r="J40" s="26" t="s">
        <v>448</v>
      </c>
      <c r="K40" s="1905" t="s">
        <v>4712</v>
      </c>
      <c r="L40" s="1905" t="s">
        <v>4692</v>
      </c>
      <c r="M40" s="1905" t="s">
        <v>10306</v>
      </c>
      <c r="N40" s="22" t="s">
        <v>10312</v>
      </c>
      <c r="O40" s="22" t="s">
        <v>2142</v>
      </c>
      <c r="P40" s="1906" t="s">
        <v>111</v>
      </c>
      <c r="Q40" s="1905" t="s">
        <v>4676</v>
      </c>
      <c r="R40" s="76" t="s">
        <v>116</v>
      </c>
      <c r="S40" s="22" t="s">
        <v>1880</v>
      </c>
      <c r="T40" s="71" t="s">
        <v>5571</v>
      </c>
      <c r="U40" s="71" t="s">
        <v>5571</v>
      </c>
      <c r="V40" s="211" t="s">
        <v>10151</v>
      </c>
      <c r="W40" s="271" t="s">
        <v>11467</v>
      </c>
      <c r="X40" s="211" t="s">
        <v>110</v>
      </c>
      <c r="Y40" s="211">
        <v>1</v>
      </c>
      <c r="Z40" s="211" t="s">
        <v>11468</v>
      </c>
      <c r="AA40" s="211" t="s">
        <v>11469</v>
      </c>
      <c r="AB40" s="96"/>
      <c r="AC40" s="96">
        <v>4.5</v>
      </c>
      <c r="AD40" s="96">
        <v>4.5</v>
      </c>
      <c r="AE40" s="324">
        <f t="shared" si="4"/>
        <v>4.2452830188679247</v>
      </c>
      <c r="AF40" s="155"/>
      <c r="AG40" s="155"/>
      <c r="AH40" s="133"/>
      <c r="AI40" s="1905" t="s">
        <v>10629</v>
      </c>
      <c r="AJ40" s="35" t="s">
        <v>19</v>
      </c>
      <c r="AK40" s="202" t="s">
        <v>19</v>
      </c>
      <c r="AL40" s="35" t="s">
        <v>1880</v>
      </c>
      <c r="AM40" s="1905"/>
    </row>
    <row r="41" spans="1:39" s="11" customFormat="1" ht="26.25" customHeight="1" x14ac:dyDescent="0.15">
      <c r="A41" s="218">
        <f t="shared" si="3"/>
        <v>39</v>
      </c>
      <c r="B41" s="1887" t="s">
        <v>11474</v>
      </c>
      <c r="C41" s="26" t="s">
        <v>19</v>
      </c>
      <c r="D41" s="26" t="s">
        <v>19</v>
      </c>
      <c r="E41" s="1887" t="s">
        <v>11499</v>
      </c>
      <c r="F41" s="67" t="s">
        <v>11475</v>
      </c>
      <c r="G41" s="98" t="s">
        <v>11476</v>
      </c>
      <c r="H41" s="26" t="s">
        <v>448</v>
      </c>
      <c r="I41" s="26" t="s">
        <v>448</v>
      </c>
      <c r="J41" s="26" t="s">
        <v>448</v>
      </c>
      <c r="K41" s="83" t="s">
        <v>4712</v>
      </c>
      <c r="L41" s="83" t="s">
        <v>4728</v>
      </c>
      <c r="M41" s="83" t="s">
        <v>11479</v>
      </c>
      <c r="N41" s="84" t="s">
        <v>11493</v>
      </c>
      <c r="O41" s="22" t="s">
        <v>2142</v>
      </c>
      <c r="P41" s="1908" t="s">
        <v>111</v>
      </c>
      <c r="Q41" s="1907" t="s">
        <v>4676</v>
      </c>
      <c r="R41" s="76" t="s">
        <v>11547</v>
      </c>
      <c r="S41" s="22" t="s">
        <v>1880</v>
      </c>
      <c r="T41" s="1907" t="s">
        <v>1894</v>
      </c>
      <c r="U41" s="1907" t="s">
        <v>1894</v>
      </c>
      <c r="V41" s="211" t="s">
        <v>11477</v>
      </c>
      <c r="W41" s="271" t="s">
        <v>11478</v>
      </c>
      <c r="X41" s="1908" t="s">
        <v>108</v>
      </c>
      <c r="Y41" s="1908">
        <v>1</v>
      </c>
      <c r="Z41" s="60" t="s">
        <v>11381</v>
      </c>
      <c r="AA41" s="60" t="s">
        <v>11485</v>
      </c>
      <c r="AB41" s="96">
        <v>6.57</v>
      </c>
      <c r="AC41" s="96"/>
      <c r="AD41" s="96">
        <v>6.57</v>
      </c>
      <c r="AE41" s="324">
        <f t="shared" si="4"/>
        <v>6.1981132075471699</v>
      </c>
      <c r="AF41" s="155"/>
      <c r="AG41" s="155"/>
      <c r="AH41" s="133"/>
      <c r="AI41" s="133" t="s">
        <v>11373</v>
      </c>
      <c r="AJ41" s="60" t="s">
        <v>448</v>
      </c>
      <c r="AK41" s="202" t="s">
        <v>448</v>
      </c>
      <c r="AL41" s="35" t="s">
        <v>448</v>
      </c>
      <c r="AM41" s="1910"/>
    </row>
    <row r="42" spans="1:39" s="11" customFormat="1" ht="26.25" customHeight="1" x14ac:dyDescent="0.15">
      <c r="A42" s="218">
        <f t="shared" si="3"/>
        <v>40</v>
      </c>
      <c r="B42" s="1887" t="s">
        <v>11480</v>
      </c>
      <c r="C42" s="26" t="s">
        <v>19</v>
      </c>
      <c r="D42" s="26" t="s">
        <v>19</v>
      </c>
      <c r="E42" s="1887" t="s">
        <v>11497</v>
      </c>
      <c r="F42" s="67" t="s">
        <v>6227</v>
      </c>
      <c r="G42" s="98" t="s">
        <v>11481</v>
      </c>
      <c r="H42" s="26" t="s">
        <v>448</v>
      </c>
      <c r="I42" s="26" t="s">
        <v>448</v>
      </c>
      <c r="J42" s="26" t="s">
        <v>448</v>
      </c>
      <c r="K42" s="1910" t="s">
        <v>4712</v>
      </c>
      <c r="L42" s="1910" t="s">
        <v>4728</v>
      </c>
      <c r="M42" s="1910" t="s">
        <v>5458</v>
      </c>
      <c r="N42" s="22" t="s">
        <v>4780</v>
      </c>
      <c r="O42" s="22" t="s">
        <v>5431</v>
      </c>
      <c r="P42" s="1908" t="s">
        <v>111</v>
      </c>
      <c r="Q42" s="71" t="s">
        <v>1131</v>
      </c>
      <c r="R42" s="76" t="s">
        <v>11486</v>
      </c>
      <c r="S42" s="22" t="s">
        <v>1880</v>
      </c>
      <c r="T42" s="1907" t="s">
        <v>1894</v>
      </c>
      <c r="U42" s="1907" t="s">
        <v>1894</v>
      </c>
      <c r="V42" s="211" t="s">
        <v>11477</v>
      </c>
      <c r="W42" s="271" t="s">
        <v>11478</v>
      </c>
      <c r="X42" s="211" t="s">
        <v>110</v>
      </c>
      <c r="Y42" s="211">
        <v>1</v>
      </c>
      <c r="Z42" s="60" t="s">
        <v>11381</v>
      </c>
      <c r="AA42" s="60" t="s">
        <v>8779</v>
      </c>
      <c r="AB42" s="96">
        <v>6.57</v>
      </c>
      <c r="AC42" s="96"/>
      <c r="AD42" s="96">
        <v>6.57</v>
      </c>
      <c r="AE42" s="324">
        <f t="shared" si="4"/>
        <v>6.1981132075471699</v>
      </c>
      <c r="AF42" s="155"/>
      <c r="AG42" s="155"/>
      <c r="AH42" s="133"/>
      <c r="AI42" s="1907" t="s">
        <v>10629</v>
      </c>
      <c r="AJ42" s="35" t="s">
        <v>19</v>
      </c>
      <c r="AK42" s="202" t="s">
        <v>19</v>
      </c>
      <c r="AL42" s="35" t="s">
        <v>1880</v>
      </c>
      <c r="AM42" s="1907"/>
    </row>
    <row r="43" spans="1:39" s="11" customFormat="1" ht="26.25" customHeight="1" x14ac:dyDescent="0.15">
      <c r="A43" s="218">
        <f t="shared" si="3"/>
        <v>41</v>
      </c>
      <c r="B43" s="1887" t="s">
        <v>11482</v>
      </c>
      <c r="C43" s="26" t="s">
        <v>19</v>
      </c>
      <c r="D43" s="26" t="s">
        <v>19</v>
      </c>
      <c r="E43" s="26" t="s">
        <v>19</v>
      </c>
      <c r="F43" s="29" t="s">
        <v>6061</v>
      </c>
      <c r="G43" s="98" t="s">
        <v>11483</v>
      </c>
      <c r="H43" s="26" t="s">
        <v>448</v>
      </c>
      <c r="I43" s="26" t="s">
        <v>448</v>
      </c>
      <c r="J43" s="26" t="s">
        <v>448</v>
      </c>
      <c r="K43" s="1910" t="s">
        <v>4712</v>
      </c>
      <c r="L43" s="1910" t="s">
        <v>4728</v>
      </c>
      <c r="M43" s="1910" t="s">
        <v>6062</v>
      </c>
      <c r="N43" s="22" t="s">
        <v>4780</v>
      </c>
      <c r="O43" s="22" t="s">
        <v>5431</v>
      </c>
      <c r="P43" s="1911" t="s">
        <v>1880</v>
      </c>
      <c r="Q43" s="216" t="s">
        <v>25</v>
      </c>
      <c r="R43" s="76" t="s">
        <v>11486</v>
      </c>
      <c r="S43" s="22" t="s">
        <v>1880</v>
      </c>
      <c r="T43" s="1910" t="s">
        <v>1894</v>
      </c>
      <c r="U43" s="1910" t="s">
        <v>1894</v>
      </c>
      <c r="V43" s="211" t="s">
        <v>11477</v>
      </c>
      <c r="W43" s="271" t="s">
        <v>11453</v>
      </c>
      <c r="X43" s="211" t="s">
        <v>110</v>
      </c>
      <c r="Y43" s="211">
        <v>1</v>
      </c>
      <c r="Z43" s="60" t="s">
        <v>11381</v>
      </c>
      <c r="AA43" s="60" t="s">
        <v>8779</v>
      </c>
      <c r="AB43" s="96">
        <v>6.57</v>
      </c>
      <c r="AC43" s="96"/>
      <c r="AD43" s="96">
        <v>6.57</v>
      </c>
      <c r="AE43" s="324">
        <f t="shared" si="4"/>
        <v>6.1981132075471699</v>
      </c>
      <c r="AF43" s="155"/>
      <c r="AG43" s="155"/>
      <c r="AH43" s="133"/>
      <c r="AI43" s="1910" t="s">
        <v>10629</v>
      </c>
      <c r="AJ43" s="35" t="s">
        <v>19</v>
      </c>
      <c r="AK43" s="202" t="s">
        <v>19</v>
      </c>
      <c r="AL43" s="35" t="s">
        <v>1880</v>
      </c>
      <c r="AM43" s="1910"/>
    </row>
    <row r="44" spans="1:39" s="11" customFormat="1" ht="26.25" customHeight="1" x14ac:dyDescent="0.15">
      <c r="A44" s="218">
        <f t="shared" si="3"/>
        <v>42</v>
      </c>
      <c r="B44" s="1887" t="s">
        <v>11487</v>
      </c>
      <c r="C44" s="26" t="s">
        <v>19</v>
      </c>
      <c r="D44" s="26" t="s">
        <v>19</v>
      </c>
      <c r="E44" s="26" t="s">
        <v>19</v>
      </c>
      <c r="F44" s="29" t="s">
        <v>6670</v>
      </c>
      <c r="G44" s="53" t="s">
        <v>6671</v>
      </c>
      <c r="H44" s="26" t="s">
        <v>448</v>
      </c>
      <c r="I44" s="26" t="s">
        <v>448</v>
      </c>
      <c r="J44" s="26" t="s">
        <v>448</v>
      </c>
      <c r="K44" s="1909" t="s">
        <v>2113</v>
      </c>
      <c r="L44" s="1909" t="s">
        <v>1779</v>
      </c>
      <c r="M44" s="1909" t="s">
        <v>1778</v>
      </c>
      <c r="N44" s="22" t="s">
        <v>9947</v>
      </c>
      <c r="O44" s="1911" t="s">
        <v>1826</v>
      </c>
      <c r="P44" s="1911" t="s">
        <v>111</v>
      </c>
      <c r="Q44" s="1910" t="s">
        <v>1131</v>
      </c>
      <c r="R44" s="54" t="s">
        <v>116</v>
      </c>
      <c r="S44" s="22" t="s">
        <v>1880</v>
      </c>
      <c r="T44" s="71" t="s">
        <v>5489</v>
      </c>
      <c r="U44" s="71" t="s">
        <v>5489</v>
      </c>
      <c r="V44" s="211" t="s">
        <v>11477</v>
      </c>
      <c r="W44" s="271" t="s">
        <v>11489</v>
      </c>
      <c r="X44" s="211" t="s">
        <v>110</v>
      </c>
      <c r="Y44" s="211">
        <v>1</v>
      </c>
      <c r="Z44" s="211" t="s">
        <v>11425</v>
      </c>
      <c r="AA44" s="211" t="s">
        <v>11490</v>
      </c>
      <c r="AB44" s="96"/>
      <c r="AC44" s="96">
        <v>8</v>
      </c>
      <c r="AD44" s="96">
        <v>8</v>
      </c>
      <c r="AE44" s="324">
        <f t="shared" si="4"/>
        <v>7.5471698113207539</v>
      </c>
      <c r="AF44" s="155"/>
      <c r="AG44" s="155"/>
      <c r="AH44" s="133"/>
      <c r="AI44" s="1910" t="s">
        <v>10629</v>
      </c>
      <c r="AJ44" s="35" t="s">
        <v>19</v>
      </c>
      <c r="AK44" s="202" t="s">
        <v>19</v>
      </c>
      <c r="AL44" s="35" t="s">
        <v>1880</v>
      </c>
      <c r="AM44" s="1910"/>
    </row>
    <row r="45" spans="1:39" s="11" customFormat="1" ht="26.25" customHeight="1" x14ac:dyDescent="0.15">
      <c r="A45" s="218">
        <f t="shared" si="3"/>
        <v>43</v>
      </c>
      <c r="B45" s="1887" t="s">
        <v>11488</v>
      </c>
      <c r="C45" s="26" t="s">
        <v>19</v>
      </c>
      <c r="D45" s="26" t="s">
        <v>19</v>
      </c>
      <c r="E45" s="26" t="s">
        <v>19</v>
      </c>
      <c r="F45" s="29" t="s">
        <v>6670</v>
      </c>
      <c r="G45" s="53" t="s">
        <v>11491</v>
      </c>
      <c r="H45" s="26" t="s">
        <v>448</v>
      </c>
      <c r="I45" s="26" t="s">
        <v>448</v>
      </c>
      <c r="J45" s="26" t="s">
        <v>448</v>
      </c>
      <c r="K45" s="1910" t="s">
        <v>5003</v>
      </c>
      <c r="L45" s="1910" t="s">
        <v>6836</v>
      </c>
      <c r="M45" s="1910" t="s">
        <v>6837</v>
      </c>
      <c r="N45" s="22" t="s">
        <v>9757</v>
      </c>
      <c r="O45" s="1911" t="s">
        <v>5431</v>
      </c>
      <c r="P45" s="1911" t="s">
        <v>1880</v>
      </c>
      <c r="Q45" s="1910" t="s">
        <v>1131</v>
      </c>
      <c r="R45" s="54" t="s">
        <v>116</v>
      </c>
      <c r="S45" s="22" t="s">
        <v>1880</v>
      </c>
      <c r="T45" s="71" t="s">
        <v>5489</v>
      </c>
      <c r="U45" s="71" t="s">
        <v>5489</v>
      </c>
      <c r="V45" s="211" t="s">
        <v>11477</v>
      </c>
      <c r="W45" s="271" t="s">
        <v>11489</v>
      </c>
      <c r="X45" s="211" t="s">
        <v>110</v>
      </c>
      <c r="Y45" s="211">
        <v>1</v>
      </c>
      <c r="Z45" s="211" t="s">
        <v>11425</v>
      </c>
      <c r="AA45" s="211" t="s">
        <v>11490</v>
      </c>
      <c r="AB45" s="96"/>
      <c r="AC45" s="96">
        <v>8</v>
      </c>
      <c r="AD45" s="96">
        <v>8</v>
      </c>
      <c r="AE45" s="324">
        <f t="shared" si="4"/>
        <v>7.5471698113207539</v>
      </c>
      <c r="AF45" s="155"/>
      <c r="AG45" s="155"/>
      <c r="AH45" s="133"/>
      <c r="AI45" s="1910" t="s">
        <v>10629</v>
      </c>
      <c r="AJ45" s="35" t="s">
        <v>19</v>
      </c>
      <c r="AK45" s="202" t="s">
        <v>19</v>
      </c>
      <c r="AL45" s="35" t="s">
        <v>1880</v>
      </c>
      <c r="AM45" s="1910"/>
    </row>
    <row r="46" spans="1:39" s="11" customFormat="1" ht="26.25" customHeight="1" x14ac:dyDescent="0.15">
      <c r="A46" s="218">
        <f t="shared" si="3"/>
        <v>44</v>
      </c>
      <c r="B46" s="1887" t="s">
        <v>11513</v>
      </c>
      <c r="C46" s="26" t="s">
        <v>19</v>
      </c>
      <c r="D46" s="26" t="s">
        <v>19</v>
      </c>
      <c r="E46" s="26" t="s">
        <v>19</v>
      </c>
      <c r="F46" s="67" t="s">
        <v>11515</v>
      </c>
      <c r="G46" s="98" t="s">
        <v>11514</v>
      </c>
      <c r="H46" s="26" t="s">
        <v>448</v>
      </c>
      <c r="I46" s="26" t="s">
        <v>448</v>
      </c>
      <c r="J46" s="26" t="s">
        <v>448</v>
      </c>
      <c r="K46" s="1912" t="s">
        <v>3649</v>
      </c>
      <c r="L46" s="1912" t="s">
        <v>4750</v>
      </c>
      <c r="M46" s="1912" t="s">
        <v>9479</v>
      </c>
      <c r="N46" s="22" t="s">
        <v>10615</v>
      </c>
      <c r="O46" s="1912" t="s">
        <v>5478</v>
      </c>
      <c r="P46" s="1913" t="s">
        <v>111</v>
      </c>
      <c r="Q46" s="1912" t="s">
        <v>4676</v>
      </c>
      <c r="R46" s="64" t="s">
        <v>11208</v>
      </c>
      <c r="S46" s="22" t="s">
        <v>1880</v>
      </c>
      <c r="T46" s="71" t="s">
        <v>5487</v>
      </c>
      <c r="U46" s="71" t="s">
        <v>5487</v>
      </c>
      <c r="V46" s="211" t="s">
        <v>11534</v>
      </c>
      <c r="W46" s="271" t="s">
        <v>11516</v>
      </c>
      <c r="X46" s="1913" t="s">
        <v>108</v>
      </c>
      <c r="Y46" s="1913">
        <v>1</v>
      </c>
      <c r="Z46" s="211" t="s">
        <v>9010</v>
      </c>
      <c r="AA46" s="211" t="s">
        <v>11517</v>
      </c>
      <c r="AB46" s="96"/>
      <c r="AC46" s="96">
        <v>7</v>
      </c>
      <c r="AD46" s="96">
        <v>7</v>
      </c>
      <c r="AE46" s="324">
        <f t="shared" si="4"/>
        <v>6.6037735849056602</v>
      </c>
      <c r="AF46" s="155"/>
      <c r="AG46" s="155"/>
      <c r="AH46" s="133"/>
      <c r="AI46" s="1912" t="s">
        <v>10629</v>
      </c>
      <c r="AJ46" s="35" t="s">
        <v>19</v>
      </c>
      <c r="AK46" s="202" t="s">
        <v>19</v>
      </c>
      <c r="AL46" s="35" t="s">
        <v>1880</v>
      </c>
      <c r="AM46" s="1912"/>
    </row>
    <row r="47" spans="1:39" s="11" customFormat="1" ht="26.25" customHeight="1" x14ac:dyDescent="0.15">
      <c r="A47" s="218">
        <f t="shared" si="3"/>
        <v>45</v>
      </c>
      <c r="B47" s="1887" t="s">
        <v>11518</v>
      </c>
      <c r="C47" s="26" t="s">
        <v>19</v>
      </c>
      <c r="D47" s="26" t="s">
        <v>19</v>
      </c>
      <c r="E47" s="26" t="s">
        <v>19</v>
      </c>
      <c r="F47" s="67" t="s">
        <v>9186</v>
      </c>
      <c r="G47" s="98" t="s">
        <v>9469</v>
      </c>
      <c r="H47" s="26" t="s">
        <v>448</v>
      </c>
      <c r="I47" s="26" t="s">
        <v>448</v>
      </c>
      <c r="J47" s="26" t="s">
        <v>448</v>
      </c>
      <c r="K47" s="1914" t="s">
        <v>1147</v>
      </c>
      <c r="L47" s="1914" t="s">
        <v>2437</v>
      </c>
      <c r="M47" s="1914" t="s">
        <v>11519</v>
      </c>
      <c r="N47" s="22" t="s">
        <v>1138</v>
      </c>
      <c r="O47" s="22" t="s">
        <v>1826</v>
      </c>
      <c r="P47" s="1916" t="s">
        <v>111</v>
      </c>
      <c r="Q47" s="1915" t="s">
        <v>1818</v>
      </c>
      <c r="R47" s="54" t="s">
        <v>11520</v>
      </c>
      <c r="S47" s="22" t="s">
        <v>1880</v>
      </c>
      <c r="T47" s="1915" t="s">
        <v>1894</v>
      </c>
      <c r="U47" s="1915" t="s">
        <v>1894</v>
      </c>
      <c r="V47" s="211" t="s">
        <v>11534</v>
      </c>
      <c r="W47" s="271" t="s">
        <v>11521</v>
      </c>
      <c r="X47" s="211" t="s">
        <v>110</v>
      </c>
      <c r="Y47" s="211">
        <v>1</v>
      </c>
      <c r="Z47" s="211" t="s">
        <v>9468</v>
      </c>
      <c r="AA47" s="211" t="s">
        <v>448</v>
      </c>
      <c r="AB47" s="96">
        <v>75</v>
      </c>
      <c r="AC47" s="96"/>
      <c r="AD47" s="96">
        <v>75</v>
      </c>
      <c r="AE47" s="324">
        <f>AD47/1.13</f>
        <v>66.371681415929203</v>
      </c>
      <c r="AF47" s="155"/>
      <c r="AG47" s="155"/>
      <c r="AH47" s="133"/>
      <c r="AI47" s="133" t="s">
        <v>11373</v>
      </c>
      <c r="AJ47" s="60" t="s">
        <v>448</v>
      </c>
      <c r="AK47" s="202" t="s">
        <v>448</v>
      </c>
      <c r="AL47" s="35" t="s">
        <v>448</v>
      </c>
      <c r="AM47" s="1915"/>
    </row>
    <row r="48" spans="1:39" s="11" customFormat="1" ht="26.25" customHeight="1" x14ac:dyDescent="0.15">
      <c r="A48" s="218">
        <f t="shared" si="3"/>
        <v>46</v>
      </c>
      <c r="B48" s="1887" t="s">
        <v>11522</v>
      </c>
      <c r="C48" s="26" t="s">
        <v>19</v>
      </c>
      <c r="D48" s="26" t="s">
        <v>19</v>
      </c>
      <c r="E48" s="26" t="s">
        <v>19</v>
      </c>
      <c r="F48" s="29" t="s">
        <v>6046</v>
      </c>
      <c r="G48" s="98" t="s">
        <v>11523</v>
      </c>
      <c r="H48" s="26" t="s">
        <v>448</v>
      </c>
      <c r="I48" s="26" t="s">
        <v>448</v>
      </c>
      <c r="J48" s="26" t="s">
        <v>448</v>
      </c>
      <c r="K48" s="1916" t="s">
        <v>6963</v>
      </c>
      <c r="L48" s="1916" t="s">
        <v>2327</v>
      </c>
      <c r="M48" s="1916" t="s">
        <v>6964</v>
      </c>
      <c r="N48" s="1916" t="s">
        <v>4780</v>
      </c>
      <c r="O48" s="1916" t="s">
        <v>1826</v>
      </c>
      <c r="P48" s="1916" t="s">
        <v>111</v>
      </c>
      <c r="Q48" s="22" t="s">
        <v>454</v>
      </c>
      <c r="R48" s="76" t="s">
        <v>116</v>
      </c>
      <c r="S48" s="22" t="s">
        <v>1880</v>
      </c>
      <c r="T48" s="71" t="s">
        <v>5489</v>
      </c>
      <c r="U48" s="71" t="s">
        <v>5489</v>
      </c>
      <c r="V48" s="211" t="s">
        <v>11534</v>
      </c>
      <c r="W48" s="271" t="s">
        <v>11524</v>
      </c>
      <c r="X48" s="211" t="s">
        <v>110</v>
      </c>
      <c r="Y48" s="211">
        <v>1</v>
      </c>
      <c r="Z48" s="211" t="s">
        <v>11381</v>
      </c>
      <c r="AA48" s="211" t="s">
        <v>8779</v>
      </c>
      <c r="AB48" s="96"/>
      <c r="AC48" s="96">
        <v>9.4499999999999993</v>
      </c>
      <c r="AD48" s="96">
        <v>9.4499999999999993</v>
      </c>
      <c r="AE48" s="324">
        <f>AD48/1.06</f>
        <v>8.915094339622641</v>
      </c>
      <c r="AF48" s="155"/>
      <c r="AG48" s="155"/>
      <c r="AH48" s="133"/>
      <c r="AI48" s="1915" t="s">
        <v>10629</v>
      </c>
      <c r="AJ48" s="35" t="s">
        <v>19</v>
      </c>
      <c r="AK48" s="202" t="s">
        <v>19</v>
      </c>
      <c r="AL48" s="35" t="s">
        <v>1880</v>
      </c>
      <c r="AM48" s="1912"/>
    </row>
    <row r="49" spans="1:39" s="11" customFormat="1" ht="26.25" customHeight="1" x14ac:dyDescent="0.15">
      <c r="A49" s="218">
        <f t="shared" si="3"/>
        <v>47</v>
      </c>
      <c r="B49" s="1887" t="s">
        <v>11525</v>
      </c>
      <c r="C49" s="26" t="s">
        <v>19</v>
      </c>
      <c r="D49" s="26" t="s">
        <v>19</v>
      </c>
      <c r="E49" s="26" t="s">
        <v>19</v>
      </c>
      <c r="F49" s="29" t="s">
        <v>6639</v>
      </c>
      <c r="G49" s="53" t="s">
        <v>11526</v>
      </c>
      <c r="H49" s="26" t="s">
        <v>448</v>
      </c>
      <c r="I49" s="26" t="s">
        <v>448</v>
      </c>
      <c r="J49" s="26" t="s">
        <v>448</v>
      </c>
      <c r="K49" s="1914" t="s">
        <v>4791</v>
      </c>
      <c r="L49" s="1914" t="s">
        <v>3101</v>
      </c>
      <c r="M49" s="1914" t="s">
        <v>6641</v>
      </c>
      <c r="N49" s="22" t="s">
        <v>7829</v>
      </c>
      <c r="O49" s="1915" t="s">
        <v>5431</v>
      </c>
      <c r="P49" s="1916" t="s">
        <v>111</v>
      </c>
      <c r="Q49" s="1915" t="s">
        <v>1131</v>
      </c>
      <c r="R49" s="54" t="s">
        <v>116</v>
      </c>
      <c r="S49" s="22" t="s">
        <v>1880</v>
      </c>
      <c r="T49" s="1915" t="s">
        <v>446</v>
      </c>
      <c r="U49" s="1915" t="s">
        <v>446</v>
      </c>
      <c r="V49" s="211" t="s">
        <v>11534</v>
      </c>
      <c r="W49" s="90" t="s">
        <v>11527</v>
      </c>
      <c r="X49" s="24" t="s">
        <v>2359</v>
      </c>
      <c r="Y49" s="24">
        <v>2</v>
      </c>
      <c r="Z49" s="24" t="s">
        <v>11151</v>
      </c>
      <c r="AA49" s="24" t="s">
        <v>10227</v>
      </c>
      <c r="AB49" s="96"/>
      <c r="AC49" s="96">
        <v>8</v>
      </c>
      <c r="AD49" s="96">
        <v>8</v>
      </c>
      <c r="AE49" s="324">
        <f>AD49/1.06</f>
        <v>7.5471698113207539</v>
      </c>
      <c r="AF49" s="155"/>
      <c r="AG49" s="155"/>
      <c r="AH49" s="133"/>
      <c r="AI49" s="1915" t="s">
        <v>10629</v>
      </c>
      <c r="AJ49" s="35" t="s">
        <v>19</v>
      </c>
      <c r="AK49" s="202" t="s">
        <v>19</v>
      </c>
      <c r="AL49" s="35" t="s">
        <v>1880</v>
      </c>
      <c r="AM49" s="1907"/>
    </row>
    <row r="50" spans="1:39" s="11" customFormat="1" ht="26.25" customHeight="1" x14ac:dyDescent="0.15">
      <c r="A50" s="218">
        <f t="shared" si="3"/>
        <v>48</v>
      </c>
      <c r="B50" s="1887" t="s">
        <v>11528</v>
      </c>
      <c r="C50" s="26" t="s">
        <v>19</v>
      </c>
      <c r="D50" s="26" t="s">
        <v>19</v>
      </c>
      <c r="E50" s="26" t="s">
        <v>19</v>
      </c>
      <c r="F50" s="67" t="s">
        <v>11529</v>
      </c>
      <c r="G50" s="98" t="s">
        <v>11530</v>
      </c>
      <c r="H50" s="26" t="s">
        <v>448</v>
      </c>
      <c r="I50" s="26" t="s">
        <v>448</v>
      </c>
      <c r="J50" s="26" t="s">
        <v>448</v>
      </c>
      <c r="K50" s="26" t="s">
        <v>448</v>
      </c>
      <c r="L50" s="83" t="s">
        <v>4701</v>
      </c>
      <c r="M50" s="83" t="s">
        <v>11531</v>
      </c>
      <c r="N50" s="1918" t="s">
        <v>4780</v>
      </c>
      <c r="O50" s="1917" t="s">
        <v>5431</v>
      </c>
      <c r="P50" s="1918" t="s">
        <v>111</v>
      </c>
      <c r="Q50" s="71" t="s">
        <v>6692</v>
      </c>
      <c r="R50" s="76" t="s">
        <v>6692</v>
      </c>
      <c r="S50" s="22" t="s">
        <v>1880</v>
      </c>
      <c r="T50" s="71" t="s">
        <v>11532</v>
      </c>
      <c r="U50" s="71" t="s">
        <v>5480</v>
      </c>
      <c r="V50" s="211" t="s">
        <v>11534</v>
      </c>
      <c r="W50" s="271" t="s">
        <v>11413</v>
      </c>
      <c r="X50" s="211" t="s">
        <v>110</v>
      </c>
      <c r="Y50" s="211">
        <v>1</v>
      </c>
      <c r="Z50" s="211" t="s">
        <v>448</v>
      </c>
      <c r="AA50" s="211" t="s">
        <v>448</v>
      </c>
      <c r="AB50" s="96">
        <v>364.5</v>
      </c>
      <c r="AC50" s="96"/>
      <c r="AD50" s="96">
        <v>364.5</v>
      </c>
      <c r="AE50" s="324">
        <f>AD50/1.06</f>
        <v>343.86792452830184</v>
      </c>
      <c r="AF50" s="155"/>
      <c r="AG50" s="155"/>
      <c r="AH50" s="133"/>
      <c r="AI50" s="133" t="s">
        <v>11533</v>
      </c>
      <c r="AJ50" s="35" t="s">
        <v>19</v>
      </c>
      <c r="AK50" s="202" t="s">
        <v>19</v>
      </c>
      <c r="AL50" s="35" t="s">
        <v>1880</v>
      </c>
      <c r="AM50" s="1915"/>
    </row>
    <row r="51" spans="1:39" s="11" customFormat="1" ht="26.25" customHeight="1" x14ac:dyDescent="0.15">
      <c r="A51" s="218">
        <f t="shared" si="3"/>
        <v>49</v>
      </c>
      <c r="B51" s="1887" t="s">
        <v>11539</v>
      </c>
      <c r="C51" s="26" t="s">
        <v>19</v>
      </c>
      <c r="D51" s="26" t="s">
        <v>19</v>
      </c>
      <c r="E51" s="26" t="s">
        <v>19</v>
      </c>
      <c r="F51" s="67" t="s">
        <v>11536</v>
      </c>
      <c r="G51" s="98" t="s">
        <v>11537</v>
      </c>
      <c r="H51" s="26" t="s">
        <v>448</v>
      </c>
      <c r="I51" s="26" t="s">
        <v>448</v>
      </c>
      <c r="J51" s="26" t="s">
        <v>448</v>
      </c>
      <c r="K51" s="1919" t="s">
        <v>3649</v>
      </c>
      <c r="L51" s="1919" t="s">
        <v>4750</v>
      </c>
      <c r="M51" s="1919" t="s">
        <v>10522</v>
      </c>
      <c r="N51" s="22" t="s">
        <v>11535</v>
      </c>
      <c r="O51" s="1920" t="s">
        <v>1826</v>
      </c>
      <c r="P51" s="1920" t="s">
        <v>111</v>
      </c>
      <c r="Q51" s="1919" t="s">
        <v>1131</v>
      </c>
      <c r="R51" s="54" t="s">
        <v>10611</v>
      </c>
      <c r="S51" s="22" t="s">
        <v>1880</v>
      </c>
      <c r="T51" s="71" t="s">
        <v>5487</v>
      </c>
      <c r="U51" s="71" t="s">
        <v>5487</v>
      </c>
      <c r="V51" s="211" t="s">
        <v>11538</v>
      </c>
      <c r="W51" s="271" t="s">
        <v>11538</v>
      </c>
      <c r="X51" s="211" t="s">
        <v>110</v>
      </c>
      <c r="Y51" s="211">
        <v>1</v>
      </c>
      <c r="Z51" s="211" t="s">
        <v>448</v>
      </c>
      <c r="AA51" s="211" t="s">
        <v>448</v>
      </c>
      <c r="AB51" s="324">
        <v>4.690264</v>
      </c>
      <c r="AC51" s="96"/>
      <c r="AD51" s="324">
        <v>4.690264</v>
      </c>
      <c r="AE51" s="324">
        <f>AD51/1.06</f>
        <v>4.4247773584905659</v>
      </c>
      <c r="AF51" s="155"/>
      <c r="AG51" s="155"/>
      <c r="AH51" s="133"/>
      <c r="AI51" s="133" t="s">
        <v>11373</v>
      </c>
      <c r="AJ51" s="60" t="s">
        <v>448</v>
      </c>
      <c r="AK51" s="202" t="s">
        <v>448</v>
      </c>
      <c r="AL51" s="35" t="s">
        <v>448</v>
      </c>
      <c r="AM51" s="1915"/>
    </row>
    <row r="52" spans="1:39" s="11" customFormat="1" ht="26.25" customHeight="1" x14ac:dyDescent="0.15">
      <c r="A52" s="218">
        <f t="shared" si="3"/>
        <v>50</v>
      </c>
      <c r="B52" s="1887" t="s">
        <v>11544</v>
      </c>
      <c r="C52" s="26" t="s">
        <v>19</v>
      </c>
      <c r="D52" s="26" t="s">
        <v>19</v>
      </c>
      <c r="E52" s="1887" t="s">
        <v>11548</v>
      </c>
      <c r="F52" s="67" t="s">
        <v>11540</v>
      </c>
      <c r="G52" s="98" t="s">
        <v>11541</v>
      </c>
      <c r="H52" s="26" t="s">
        <v>448</v>
      </c>
      <c r="I52" s="26" t="s">
        <v>448</v>
      </c>
      <c r="J52" s="26" t="s">
        <v>448</v>
      </c>
      <c r="K52" s="83" t="s">
        <v>4712</v>
      </c>
      <c r="L52" s="83" t="s">
        <v>4728</v>
      </c>
      <c r="M52" s="83" t="s">
        <v>11542</v>
      </c>
      <c r="N52" s="84" t="s">
        <v>4780</v>
      </c>
      <c r="O52" s="84" t="s">
        <v>5431</v>
      </c>
      <c r="P52" s="1922" t="s">
        <v>111</v>
      </c>
      <c r="Q52" s="1921" t="s">
        <v>1131</v>
      </c>
      <c r="R52" s="76" t="s">
        <v>11545</v>
      </c>
      <c r="S52" s="22" t="s">
        <v>1880</v>
      </c>
      <c r="T52" s="71" t="s">
        <v>1894</v>
      </c>
      <c r="U52" s="71" t="s">
        <v>1894</v>
      </c>
      <c r="V52" s="211" t="s">
        <v>11543</v>
      </c>
      <c r="W52" s="271" t="s">
        <v>11413</v>
      </c>
      <c r="X52" s="211" t="s">
        <v>110</v>
      </c>
      <c r="Y52" s="211">
        <v>1</v>
      </c>
      <c r="Z52" s="211" t="s">
        <v>11468</v>
      </c>
      <c r="AA52" s="211" t="s">
        <v>8779</v>
      </c>
      <c r="AB52" s="96">
        <v>6.57</v>
      </c>
      <c r="AC52" s="96"/>
      <c r="AD52" s="96">
        <v>6.57</v>
      </c>
      <c r="AE52" s="324">
        <f t="shared" ref="AE52:AE53" si="5">AD52/1.06</f>
        <v>6.1981132075471699</v>
      </c>
      <c r="AF52" s="155"/>
      <c r="AG52" s="155"/>
      <c r="AH52" s="133"/>
      <c r="AI52" s="133" t="s">
        <v>11373</v>
      </c>
      <c r="AJ52" s="60" t="s">
        <v>448</v>
      </c>
      <c r="AK52" s="202" t="s">
        <v>448</v>
      </c>
      <c r="AL52" s="35" t="s">
        <v>448</v>
      </c>
      <c r="AM52" s="1921"/>
    </row>
    <row r="53" spans="1:39" s="11" customFormat="1" ht="26.25" customHeight="1" x14ac:dyDescent="0.15">
      <c r="A53" s="218">
        <f t="shared" si="3"/>
        <v>51</v>
      </c>
      <c r="B53" s="1887" t="s">
        <v>11549</v>
      </c>
      <c r="C53" s="26" t="s">
        <v>19</v>
      </c>
      <c r="D53" s="26" t="s">
        <v>19</v>
      </c>
      <c r="E53" s="26" t="s">
        <v>19</v>
      </c>
      <c r="F53" s="67" t="s">
        <v>9346</v>
      </c>
      <c r="G53" s="98" t="s">
        <v>9410</v>
      </c>
      <c r="H53" s="26" t="s">
        <v>448</v>
      </c>
      <c r="I53" s="26" t="s">
        <v>6836</v>
      </c>
      <c r="J53" s="26" t="s">
        <v>9346</v>
      </c>
      <c r="K53" s="1928" t="s">
        <v>4691</v>
      </c>
      <c r="L53" s="1928" t="s">
        <v>6836</v>
      </c>
      <c r="M53" s="1928" t="s">
        <v>7227</v>
      </c>
      <c r="N53" s="1930" t="s">
        <v>4780</v>
      </c>
      <c r="O53" s="22" t="s">
        <v>5431</v>
      </c>
      <c r="P53" s="1930" t="s">
        <v>1880</v>
      </c>
      <c r="Q53" s="1929" t="s">
        <v>1818</v>
      </c>
      <c r="R53" s="54" t="s">
        <v>116</v>
      </c>
      <c r="S53" s="164" t="s">
        <v>1880</v>
      </c>
      <c r="T53" s="1929" t="s">
        <v>3248</v>
      </c>
      <c r="U53" s="1929" t="s">
        <v>3248</v>
      </c>
      <c r="V53" s="211" t="s">
        <v>11561</v>
      </c>
      <c r="W53" s="271" t="s">
        <v>11616</v>
      </c>
      <c r="X53" s="211" t="s">
        <v>110</v>
      </c>
      <c r="Y53" s="211">
        <v>1</v>
      </c>
      <c r="Z53" s="211" t="s">
        <v>11381</v>
      </c>
      <c r="AA53" s="211" t="s">
        <v>8779</v>
      </c>
      <c r="AB53" s="96"/>
      <c r="AC53" s="96">
        <v>8</v>
      </c>
      <c r="AD53" s="96">
        <v>8</v>
      </c>
      <c r="AE53" s="324">
        <f t="shared" si="5"/>
        <v>7.5471698113207539</v>
      </c>
      <c r="AF53" s="155"/>
      <c r="AG53" s="155"/>
      <c r="AH53" s="133"/>
      <c r="AI53" s="1927" t="s">
        <v>10629</v>
      </c>
      <c r="AJ53" s="35" t="s">
        <v>19</v>
      </c>
      <c r="AK53" s="202" t="s">
        <v>19</v>
      </c>
      <c r="AL53" s="35" t="s">
        <v>1880</v>
      </c>
      <c r="AM53" s="1923"/>
    </row>
    <row r="54" spans="1:39" s="11" customFormat="1" ht="26.25" customHeight="1" x14ac:dyDescent="0.15">
      <c r="A54" s="218">
        <f t="shared" si="3"/>
        <v>52</v>
      </c>
      <c r="B54" s="1887" t="s">
        <v>11551</v>
      </c>
      <c r="C54" s="26" t="s">
        <v>19</v>
      </c>
      <c r="D54" s="26" t="s">
        <v>19</v>
      </c>
      <c r="E54" s="26" t="s">
        <v>19</v>
      </c>
      <c r="F54" s="13" t="s">
        <v>5762</v>
      </c>
      <c r="G54" s="53" t="s">
        <v>11555</v>
      </c>
      <c r="H54" s="26" t="s">
        <v>448</v>
      </c>
      <c r="I54" s="26" t="s">
        <v>448</v>
      </c>
      <c r="J54" s="26" t="s">
        <v>448</v>
      </c>
      <c r="K54" s="1924" t="s">
        <v>4791</v>
      </c>
      <c r="L54" s="1926" t="s">
        <v>10952</v>
      </c>
      <c r="M54" s="1924" t="s">
        <v>5764</v>
      </c>
      <c r="N54" s="22" t="s">
        <v>4780</v>
      </c>
      <c r="O54" s="22" t="s">
        <v>5431</v>
      </c>
      <c r="P54" s="22" t="s">
        <v>8401</v>
      </c>
      <c r="Q54" s="1925" t="s">
        <v>1131</v>
      </c>
      <c r="R54" s="76" t="s">
        <v>10929</v>
      </c>
      <c r="S54" s="22" t="s">
        <v>1880</v>
      </c>
      <c r="T54" s="71" t="s">
        <v>446</v>
      </c>
      <c r="U54" s="71" t="s">
        <v>446</v>
      </c>
      <c r="V54" s="211" t="s">
        <v>11559</v>
      </c>
      <c r="W54" s="271" t="s">
        <v>11560</v>
      </c>
      <c r="X54" s="1926" t="s">
        <v>108</v>
      </c>
      <c r="Y54" s="1926">
        <v>1</v>
      </c>
      <c r="Z54" s="211" t="s">
        <v>448</v>
      </c>
      <c r="AA54" s="211" t="s">
        <v>448</v>
      </c>
      <c r="AB54" s="96">
        <v>3.35</v>
      </c>
      <c r="AC54" s="96"/>
      <c r="AD54" s="96">
        <v>3.35</v>
      </c>
      <c r="AE54" s="324">
        <f>AD54/1.13</f>
        <v>2.9646017699115048</v>
      </c>
      <c r="AF54" s="155"/>
      <c r="AG54" s="155"/>
      <c r="AH54" s="133"/>
      <c r="AI54" s="133" t="s">
        <v>11373</v>
      </c>
      <c r="AJ54" s="60" t="s">
        <v>448</v>
      </c>
      <c r="AK54" s="202" t="s">
        <v>448</v>
      </c>
      <c r="AL54" s="35" t="s">
        <v>448</v>
      </c>
      <c r="AM54" s="1925"/>
    </row>
    <row r="55" spans="1:39" s="11" customFormat="1" ht="26.25" customHeight="1" x14ac:dyDescent="0.15">
      <c r="A55" s="218">
        <f t="shared" si="3"/>
        <v>53</v>
      </c>
      <c r="B55" s="1887" t="s">
        <v>11552</v>
      </c>
      <c r="C55" s="26" t="s">
        <v>19</v>
      </c>
      <c r="D55" s="26" t="s">
        <v>19</v>
      </c>
      <c r="E55" s="26" t="s">
        <v>19</v>
      </c>
      <c r="F55" s="13" t="s">
        <v>5765</v>
      </c>
      <c r="G55" s="53" t="s">
        <v>11555</v>
      </c>
      <c r="H55" s="26" t="s">
        <v>448</v>
      </c>
      <c r="I55" s="26" t="s">
        <v>448</v>
      </c>
      <c r="J55" s="26" t="s">
        <v>448</v>
      </c>
      <c r="K55" s="1926" t="s">
        <v>2032</v>
      </c>
      <c r="L55" s="1926" t="s">
        <v>10952</v>
      </c>
      <c r="M55" s="1926" t="s">
        <v>3807</v>
      </c>
      <c r="N55" s="1926" t="s">
        <v>4780</v>
      </c>
      <c r="O55" s="1926" t="s">
        <v>1826</v>
      </c>
      <c r="P55" s="1926" t="s">
        <v>8402</v>
      </c>
      <c r="Q55" s="22" t="s">
        <v>454</v>
      </c>
      <c r="R55" s="76" t="s">
        <v>10929</v>
      </c>
      <c r="S55" s="22" t="s">
        <v>1880</v>
      </c>
      <c r="T55" s="71" t="s">
        <v>446</v>
      </c>
      <c r="U55" s="71" t="s">
        <v>446</v>
      </c>
      <c r="V55" s="211" t="s">
        <v>11559</v>
      </c>
      <c r="W55" s="271" t="s">
        <v>11560</v>
      </c>
      <c r="X55" s="1926" t="s">
        <v>108</v>
      </c>
      <c r="Y55" s="1926">
        <v>1</v>
      </c>
      <c r="Z55" s="211" t="s">
        <v>448</v>
      </c>
      <c r="AA55" s="211" t="s">
        <v>448</v>
      </c>
      <c r="AB55" s="96">
        <v>4.2</v>
      </c>
      <c r="AC55" s="96"/>
      <c r="AD55" s="96">
        <v>4.2</v>
      </c>
      <c r="AE55" s="324">
        <f t="shared" ref="AE55:AE57" si="6">AD55/1.13</f>
        <v>3.7168141592920358</v>
      </c>
      <c r="AF55" s="155"/>
      <c r="AG55" s="155"/>
      <c r="AH55" s="133"/>
      <c r="AI55" s="133" t="s">
        <v>11373</v>
      </c>
      <c r="AJ55" s="60" t="s">
        <v>448</v>
      </c>
      <c r="AK55" s="202" t="s">
        <v>448</v>
      </c>
      <c r="AL55" s="35" t="s">
        <v>448</v>
      </c>
      <c r="AM55" s="1925"/>
    </row>
    <row r="56" spans="1:39" s="11" customFormat="1" ht="26.25" customHeight="1" x14ac:dyDescent="0.15">
      <c r="A56" s="218">
        <f t="shared" si="3"/>
        <v>54</v>
      </c>
      <c r="B56" s="1887" t="s">
        <v>11553</v>
      </c>
      <c r="C56" s="26" t="s">
        <v>19</v>
      </c>
      <c r="D56" s="26" t="s">
        <v>19</v>
      </c>
      <c r="E56" s="26" t="s">
        <v>19</v>
      </c>
      <c r="F56" s="13" t="s">
        <v>5765</v>
      </c>
      <c r="G56" s="53" t="s">
        <v>11555</v>
      </c>
      <c r="H56" s="26" t="s">
        <v>448</v>
      </c>
      <c r="I56" s="26" t="s">
        <v>448</v>
      </c>
      <c r="J56" s="26" t="s">
        <v>448</v>
      </c>
      <c r="K56" s="1926" t="s">
        <v>2032</v>
      </c>
      <c r="L56" s="1926" t="s">
        <v>10952</v>
      </c>
      <c r="M56" s="1924" t="s">
        <v>10948</v>
      </c>
      <c r="N56" s="1926" t="s">
        <v>4780</v>
      </c>
      <c r="O56" s="1926" t="s">
        <v>1826</v>
      </c>
      <c r="P56" s="1926" t="s">
        <v>1880</v>
      </c>
      <c r="Q56" s="22" t="s">
        <v>454</v>
      </c>
      <c r="R56" s="76" t="s">
        <v>4753</v>
      </c>
      <c r="S56" s="22" t="s">
        <v>1880</v>
      </c>
      <c r="T56" s="71" t="s">
        <v>446</v>
      </c>
      <c r="U56" s="71" t="s">
        <v>446</v>
      </c>
      <c r="V56" s="211" t="s">
        <v>11559</v>
      </c>
      <c r="W56" s="271" t="s">
        <v>11560</v>
      </c>
      <c r="X56" s="1926" t="s">
        <v>108</v>
      </c>
      <c r="Y56" s="1926">
        <v>1</v>
      </c>
      <c r="Z56" s="211" t="s">
        <v>448</v>
      </c>
      <c r="AA56" s="211" t="s">
        <v>448</v>
      </c>
      <c r="AB56" s="96">
        <v>3.35</v>
      </c>
      <c r="AC56" s="96"/>
      <c r="AD56" s="96">
        <v>3.35</v>
      </c>
      <c r="AE56" s="324">
        <f t="shared" si="6"/>
        <v>2.9646017699115048</v>
      </c>
      <c r="AF56" s="155"/>
      <c r="AG56" s="155"/>
      <c r="AH56" s="133"/>
      <c r="AI56" s="133" t="s">
        <v>11373</v>
      </c>
      <c r="AJ56" s="60" t="s">
        <v>448</v>
      </c>
      <c r="AK56" s="202" t="s">
        <v>448</v>
      </c>
      <c r="AL56" s="35" t="s">
        <v>448</v>
      </c>
      <c r="AM56" s="1925"/>
    </row>
    <row r="57" spans="1:39" s="11" customFormat="1" ht="26.25" customHeight="1" x14ac:dyDescent="0.15">
      <c r="A57" s="218">
        <f t="shared" si="3"/>
        <v>55</v>
      </c>
      <c r="B57" s="1887" t="s">
        <v>11554</v>
      </c>
      <c r="C57" s="26" t="s">
        <v>19</v>
      </c>
      <c r="D57" s="26" t="s">
        <v>19</v>
      </c>
      <c r="E57" s="26" t="s">
        <v>19</v>
      </c>
      <c r="F57" s="67" t="s">
        <v>11556</v>
      </c>
      <c r="G57" s="53" t="s">
        <v>11555</v>
      </c>
      <c r="H57" s="26" t="s">
        <v>448</v>
      </c>
      <c r="I57" s="26" t="s">
        <v>448</v>
      </c>
      <c r="J57" s="26" t="s">
        <v>448</v>
      </c>
      <c r="K57" s="1926" t="s">
        <v>2032</v>
      </c>
      <c r="L57" s="1926" t="s">
        <v>10952</v>
      </c>
      <c r="M57" s="83" t="s">
        <v>11556</v>
      </c>
      <c r="N57" s="1926" t="s">
        <v>4780</v>
      </c>
      <c r="O57" s="1925" t="s">
        <v>11557</v>
      </c>
      <c r="P57" s="1926" t="s">
        <v>1880</v>
      </c>
      <c r="Q57" s="22" t="s">
        <v>10999</v>
      </c>
      <c r="R57" s="76" t="s">
        <v>11558</v>
      </c>
      <c r="S57" s="22" t="s">
        <v>1880</v>
      </c>
      <c r="T57" s="71" t="s">
        <v>446</v>
      </c>
      <c r="U57" s="71" t="s">
        <v>446</v>
      </c>
      <c r="V57" s="211" t="s">
        <v>11559</v>
      </c>
      <c r="W57" s="271" t="s">
        <v>11560</v>
      </c>
      <c r="X57" s="1926" t="s">
        <v>108</v>
      </c>
      <c r="Y57" s="1926">
        <v>1</v>
      </c>
      <c r="Z57" s="211" t="s">
        <v>5710</v>
      </c>
      <c r="AA57" s="211" t="s">
        <v>448</v>
      </c>
      <c r="AB57" s="96">
        <v>22.35</v>
      </c>
      <c r="AC57" s="96"/>
      <c r="AD57" s="96">
        <v>22.35</v>
      </c>
      <c r="AE57" s="324">
        <f t="shared" si="6"/>
        <v>19.778761061946906</v>
      </c>
      <c r="AF57" s="155"/>
      <c r="AG57" s="155"/>
      <c r="AH57" s="133"/>
      <c r="AI57" s="133" t="s">
        <v>11373</v>
      </c>
      <c r="AJ57" s="60" t="s">
        <v>448</v>
      </c>
      <c r="AK57" s="202" t="s">
        <v>448</v>
      </c>
      <c r="AL57" s="35" t="s">
        <v>448</v>
      </c>
      <c r="AM57" s="1925"/>
    </row>
    <row r="58" spans="1:39" s="11" customFormat="1" ht="26.25" customHeight="1" x14ac:dyDescent="0.15">
      <c r="A58" s="218">
        <f t="shared" si="3"/>
        <v>56</v>
      </c>
      <c r="B58" s="1887" t="s">
        <v>11565</v>
      </c>
      <c r="C58" s="26" t="s">
        <v>19</v>
      </c>
      <c r="D58" s="26" t="s">
        <v>11581</v>
      </c>
      <c r="E58" s="26" t="s">
        <v>19</v>
      </c>
      <c r="F58" s="67" t="s">
        <v>9346</v>
      </c>
      <c r="G58" s="99" t="s">
        <v>8749</v>
      </c>
      <c r="H58" s="26" t="s">
        <v>448</v>
      </c>
      <c r="I58" s="26" t="s">
        <v>6836</v>
      </c>
      <c r="J58" s="26" t="s">
        <v>9346</v>
      </c>
      <c r="K58" s="1932" t="s">
        <v>4691</v>
      </c>
      <c r="L58" s="1932" t="s">
        <v>6836</v>
      </c>
      <c r="M58" s="1932" t="s">
        <v>7227</v>
      </c>
      <c r="N58" s="1934" t="s">
        <v>4780</v>
      </c>
      <c r="O58" s="22" t="s">
        <v>5431</v>
      </c>
      <c r="P58" s="1934" t="s">
        <v>1880</v>
      </c>
      <c r="Q58" s="1933" t="s">
        <v>1818</v>
      </c>
      <c r="R58" s="76" t="s">
        <v>4099</v>
      </c>
      <c r="S58" s="22" t="s">
        <v>1880</v>
      </c>
      <c r="T58" s="71" t="s">
        <v>5571</v>
      </c>
      <c r="U58" s="71" t="s">
        <v>5571</v>
      </c>
      <c r="V58" s="211" t="s">
        <v>11566</v>
      </c>
      <c r="W58" s="271" t="s">
        <v>448</v>
      </c>
      <c r="X58" s="211" t="s">
        <v>448</v>
      </c>
      <c r="Y58" s="211" t="s">
        <v>448</v>
      </c>
      <c r="Z58" s="211" t="s">
        <v>448</v>
      </c>
      <c r="AA58" s="211" t="s">
        <v>448</v>
      </c>
      <c r="AB58" s="96">
        <v>2</v>
      </c>
      <c r="AC58" s="96"/>
      <c r="AD58" s="96">
        <v>2</v>
      </c>
      <c r="AE58" s="324">
        <f>AD58/1.06</f>
        <v>1.8867924528301885</v>
      </c>
      <c r="AF58" s="155"/>
      <c r="AG58" s="155"/>
      <c r="AH58" s="133"/>
      <c r="AI58" s="1933" t="s">
        <v>10629</v>
      </c>
      <c r="AJ58" s="35" t="s">
        <v>19</v>
      </c>
      <c r="AK58" s="202" t="s">
        <v>19</v>
      </c>
      <c r="AL58" s="35" t="s">
        <v>1880</v>
      </c>
      <c r="AM58" s="1925"/>
    </row>
    <row r="59" spans="1:39" s="11" customFormat="1" ht="26.25" customHeight="1" x14ac:dyDescent="0.15">
      <c r="A59" s="218">
        <f t="shared" si="3"/>
        <v>57</v>
      </c>
      <c r="B59" s="1887" t="s">
        <v>11574</v>
      </c>
      <c r="C59" s="71" t="s">
        <v>11578</v>
      </c>
      <c r="D59" s="26" t="s">
        <v>19</v>
      </c>
      <c r="E59" s="26" t="s">
        <v>19</v>
      </c>
      <c r="F59" s="67" t="s">
        <v>11567</v>
      </c>
      <c r="G59" s="98" t="s">
        <v>10986</v>
      </c>
      <c r="H59" s="26" t="s">
        <v>448</v>
      </c>
      <c r="I59" s="26" t="s">
        <v>448</v>
      </c>
      <c r="J59" s="26" t="s">
        <v>448</v>
      </c>
      <c r="K59" s="83" t="s">
        <v>94</v>
      </c>
      <c r="L59" s="83" t="s">
        <v>1416</v>
      </c>
      <c r="M59" s="83" t="s">
        <v>11577</v>
      </c>
      <c r="N59" s="84" t="s">
        <v>4780</v>
      </c>
      <c r="O59" s="22" t="s">
        <v>5431</v>
      </c>
      <c r="P59" s="1936" t="s">
        <v>1880</v>
      </c>
      <c r="Q59" s="1935" t="s">
        <v>1131</v>
      </c>
      <c r="R59" s="54" t="s">
        <v>11568</v>
      </c>
      <c r="S59" s="22" t="s">
        <v>1880</v>
      </c>
      <c r="T59" s="71" t="s">
        <v>1894</v>
      </c>
      <c r="U59" s="71" t="s">
        <v>1894</v>
      </c>
      <c r="V59" s="211" t="s">
        <v>11569</v>
      </c>
      <c r="W59" s="271" t="s">
        <v>11566</v>
      </c>
      <c r="X59" s="1936" t="s">
        <v>108</v>
      </c>
      <c r="Y59" s="1936">
        <v>1</v>
      </c>
      <c r="Z59" s="211" t="s">
        <v>11566</v>
      </c>
      <c r="AA59" s="211" t="s">
        <v>11570</v>
      </c>
      <c r="AB59" s="96">
        <v>11.1204</v>
      </c>
      <c r="AC59" s="96"/>
      <c r="AD59" s="96">
        <v>11.1204</v>
      </c>
      <c r="AE59" s="324">
        <f>AD59/1.06</f>
        <v>10.490943396226415</v>
      </c>
      <c r="AF59" s="155"/>
      <c r="AG59" s="155"/>
      <c r="AH59" s="133"/>
      <c r="AI59" s="133" t="s">
        <v>11373</v>
      </c>
      <c r="AJ59" s="60" t="s">
        <v>448</v>
      </c>
      <c r="AK59" s="202" t="s">
        <v>448</v>
      </c>
      <c r="AL59" s="35" t="s">
        <v>448</v>
      </c>
      <c r="AM59" s="1935"/>
    </row>
    <row r="60" spans="1:39" s="11" customFormat="1" ht="26.25" customHeight="1" x14ac:dyDescent="0.15">
      <c r="A60" s="218">
        <f t="shared" si="3"/>
        <v>58</v>
      </c>
      <c r="B60" s="1887" t="s">
        <v>11575</v>
      </c>
      <c r="C60" s="26" t="s">
        <v>19</v>
      </c>
      <c r="D60" s="26" t="s">
        <v>19</v>
      </c>
      <c r="E60" s="26" t="s">
        <v>19</v>
      </c>
      <c r="F60" s="67" t="s">
        <v>11571</v>
      </c>
      <c r="G60" s="98" t="s">
        <v>11576</v>
      </c>
      <c r="H60" s="26" t="s">
        <v>448</v>
      </c>
      <c r="I60" s="26" t="s">
        <v>448</v>
      </c>
      <c r="J60" s="26" t="s">
        <v>448</v>
      </c>
      <c r="K60" s="1937" t="s">
        <v>4195</v>
      </c>
      <c r="L60" s="1937" t="s">
        <v>3101</v>
      </c>
      <c r="M60" s="1937" t="s">
        <v>6995</v>
      </c>
      <c r="N60" s="84" t="s">
        <v>9079</v>
      </c>
      <c r="O60" s="22" t="s">
        <v>5431</v>
      </c>
      <c r="P60" s="1938" t="s">
        <v>1880</v>
      </c>
      <c r="Q60" s="1937" t="s">
        <v>1131</v>
      </c>
      <c r="R60" s="76" t="s">
        <v>116</v>
      </c>
      <c r="S60" s="22" t="s">
        <v>1880</v>
      </c>
      <c r="T60" s="71" t="s">
        <v>5480</v>
      </c>
      <c r="U60" s="71" t="s">
        <v>5480</v>
      </c>
      <c r="V60" s="211" t="s">
        <v>11569</v>
      </c>
      <c r="W60" s="271" t="s">
        <v>11572</v>
      </c>
      <c r="X60" s="211" t="s">
        <v>110</v>
      </c>
      <c r="Y60" s="211">
        <v>1</v>
      </c>
      <c r="Z60" s="211" t="s">
        <v>11572</v>
      </c>
      <c r="AA60" s="211" t="s">
        <v>11573</v>
      </c>
      <c r="AB60" s="96"/>
      <c r="AC60" s="96">
        <v>9.8000000000000007</v>
      </c>
      <c r="AD60" s="96">
        <v>9.8000000000000007</v>
      </c>
      <c r="AE60" s="324">
        <f>AD60/1.06</f>
        <v>9.2452830188679247</v>
      </c>
      <c r="AF60" s="155"/>
      <c r="AG60" s="155"/>
      <c r="AH60" s="133"/>
      <c r="AI60" s="1937" t="s">
        <v>10629</v>
      </c>
      <c r="AJ60" s="35" t="s">
        <v>19</v>
      </c>
      <c r="AK60" s="202" t="s">
        <v>19</v>
      </c>
      <c r="AL60" s="35" t="s">
        <v>1880</v>
      </c>
      <c r="AM60" s="1937"/>
    </row>
    <row r="61" spans="1:39" s="11" customFormat="1" ht="26.25" customHeight="1" x14ac:dyDescent="0.15">
      <c r="A61" s="218">
        <f t="shared" si="3"/>
        <v>59</v>
      </c>
      <c r="B61" s="1887" t="s">
        <v>11622</v>
      </c>
      <c r="C61" s="26" t="s">
        <v>19</v>
      </c>
      <c r="D61" s="26" t="s">
        <v>11582</v>
      </c>
      <c r="E61" s="26" t="s">
        <v>11623</v>
      </c>
      <c r="F61" s="67" t="s">
        <v>10410</v>
      </c>
      <c r="G61" s="98" t="s">
        <v>11583</v>
      </c>
      <c r="H61" s="26" t="s">
        <v>10404</v>
      </c>
      <c r="I61" s="26" t="s">
        <v>10405</v>
      </c>
      <c r="J61" s="26" t="s">
        <v>10406</v>
      </c>
      <c r="K61" s="1941" t="s">
        <v>5374</v>
      </c>
      <c r="L61" s="1941" t="s">
        <v>5419</v>
      </c>
      <c r="M61" s="1941" t="s">
        <v>9017</v>
      </c>
      <c r="N61" s="22" t="s">
        <v>4780</v>
      </c>
      <c r="O61" s="1941" t="s">
        <v>5431</v>
      </c>
      <c r="P61" s="1942" t="s">
        <v>111</v>
      </c>
      <c r="Q61" s="1941" t="s">
        <v>1131</v>
      </c>
      <c r="R61" s="76" t="s">
        <v>10929</v>
      </c>
      <c r="S61" s="22" t="s">
        <v>1880</v>
      </c>
      <c r="T61" s="71" t="s">
        <v>446</v>
      </c>
      <c r="U61" s="71" t="s">
        <v>446</v>
      </c>
      <c r="V61" s="211" t="s">
        <v>11584</v>
      </c>
      <c r="W61" s="271" t="s">
        <v>11585</v>
      </c>
      <c r="X61" s="211" t="s">
        <v>110</v>
      </c>
      <c r="Y61" s="211">
        <v>1</v>
      </c>
      <c r="Z61" s="211" t="s">
        <v>448</v>
      </c>
      <c r="AA61" s="211" t="s">
        <v>448</v>
      </c>
      <c r="AB61" s="96">
        <v>15.5</v>
      </c>
      <c r="AC61" s="96"/>
      <c r="AD61" s="96">
        <v>15.5</v>
      </c>
      <c r="AE61" s="324">
        <f>AD61/1.13</f>
        <v>13.716814159292037</v>
      </c>
      <c r="AF61" s="155"/>
      <c r="AG61" s="155"/>
      <c r="AH61" s="133"/>
      <c r="AI61" s="1941" t="s">
        <v>10629</v>
      </c>
      <c r="AJ61" s="35" t="s">
        <v>19</v>
      </c>
      <c r="AK61" s="202" t="s">
        <v>19</v>
      </c>
      <c r="AL61" s="35" t="s">
        <v>1880</v>
      </c>
      <c r="AM61" s="1939"/>
    </row>
    <row r="62" spans="1:39" s="11" customFormat="1" ht="26.25" customHeight="1" x14ac:dyDescent="0.15">
      <c r="A62" s="218">
        <f t="shared" si="3"/>
        <v>60</v>
      </c>
      <c r="B62" s="1887" t="s">
        <v>11592</v>
      </c>
      <c r="C62" s="26" t="s">
        <v>19</v>
      </c>
      <c r="D62" s="26" t="s">
        <v>19</v>
      </c>
      <c r="E62" s="26" t="s">
        <v>19</v>
      </c>
      <c r="F62" s="67" t="s">
        <v>11593</v>
      </c>
      <c r="G62" s="98" t="s">
        <v>11594</v>
      </c>
      <c r="H62" s="26" t="s">
        <v>448</v>
      </c>
      <c r="I62" s="26" t="s">
        <v>448</v>
      </c>
      <c r="J62" s="26" t="s">
        <v>448</v>
      </c>
      <c r="K62" s="1940" t="s">
        <v>2135</v>
      </c>
      <c r="L62" s="1940" t="s">
        <v>3215</v>
      </c>
      <c r="M62" s="1940" t="s">
        <v>10787</v>
      </c>
      <c r="N62" s="22" t="s">
        <v>11586</v>
      </c>
      <c r="O62" s="1941" t="s">
        <v>5431</v>
      </c>
      <c r="P62" s="1942" t="s">
        <v>111</v>
      </c>
      <c r="Q62" s="1941" t="s">
        <v>1131</v>
      </c>
      <c r="R62" s="76" t="s">
        <v>4753</v>
      </c>
      <c r="S62" s="22" t="s">
        <v>1880</v>
      </c>
      <c r="T62" s="71" t="s">
        <v>5487</v>
      </c>
      <c r="U62" s="71" t="s">
        <v>5487</v>
      </c>
      <c r="V62" s="211" t="s">
        <v>11584</v>
      </c>
      <c r="W62" s="271" t="s">
        <v>11595</v>
      </c>
      <c r="X62" s="211" t="s">
        <v>110</v>
      </c>
      <c r="Y62" s="211">
        <v>1</v>
      </c>
      <c r="Z62" s="211" t="s">
        <v>448</v>
      </c>
      <c r="AA62" s="211" t="s">
        <v>448</v>
      </c>
      <c r="AB62" s="96">
        <v>2.7170000000000001</v>
      </c>
      <c r="AC62" s="96"/>
      <c r="AD62" s="96">
        <v>2.7170000000000001</v>
      </c>
      <c r="AE62" s="324">
        <f>AD62/1.13</f>
        <v>2.4044247787610624</v>
      </c>
      <c r="AF62" s="155"/>
      <c r="AG62" s="155"/>
      <c r="AH62" s="133"/>
      <c r="AI62" s="1941" t="s">
        <v>10629</v>
      </c>
      <c r="AJ62" s="35" t="s">
        <v>19</v>
      </c>
      <c r="AK62" s="202" t="s">
        <v>19</v>
      </c>
      <c r="AL62" s="35" t="s">
        <v>1880</v>
      </c>
      <c r="AM62" s="1939"/>
    </row>
    <row r="63" spans="1:39" s="11" customFormat="1" ht="26.25" customHeight="1" x14ac:dyDescent="0.15">
      <c r="A63" s="218">
        <f t="shared" si="3"/>
        <v>61</v>
      </c>
      <c r="B63" s="1887" t="s">
        <v>11596</v>
      </c>
      <c r="C63" s="26" t="s">
        <v>19</v>
      </c>
      <c r="D63" s="26" t="s">
        <v>19</v>
      </c>
      <c r="E63" s="26" t="s">
        <v>19</v>
      </c>
      <c r="F63" s="67" t="s">
        <v>7001</v>
      </c>
      <c r="G63" s="29" t="s">
        <v>11597</v>
      </c>
      <c r="H63" s="26" t="s">
        <v>448</v>
      </c>
      <c r="I63" s="26" t="s">
        <v>448</v>
      </c>
      <c r="J63" s="26" t="s">
        <v>448</v>
      </c>
      <c r="K63" s="1940" t="s">
        <v>4691</v>
      </c>
      <c r="L63" s="1940" t="s">
        <v>4750</v>
      </c>
      <c r="M63" s="1940" t="s">
        <v>11633</v>
      </c>
      <c r="N63" s="22" t="s">
        <v>11634</v>
      </c>
      <c r="O63" s="22" t="s">
        <v>5431</v>
      </c>
      <c r="P63" s="1942" t="s">
        <v>111</v>
      </c>
      <c r="Q63" s="1941" t="s">
        <v>1131</v>
      </c>
      <c r="R63" s="76" t="s">
        <v>11600</v>
      </c>
      <c r="S63" s="22" t="s">
        <v>1880</v>
      </c>
      <c r="T63" s="71" t="s">
        <v>5571</v>
      </c>
      <c r="U63" s="71" t="s">
        <v>5571</v>
      </c>
      <c r="V63" s="211" t="s">
        <v>11584</v>
      </c>
      <c r="W63" s="271" t="s">
        <v>11598</v>
      </c>
      <c r="X63" s="1942" t="s">
        <v>108</v>
      </c>
      <c r="Y63" s="1942">
        <v>1</v>
      </c>
      <c r="Z63" s="211" t="s">
        <v>11381</v>
      </c>
      <c r="AA63" s="211" t="s">
        <v>8779</v>
      </c>
      <c r="AB63" s="96"/>
      <c r="AC63" s="96">
        <v>7</v>
      </c>
      <c r="AD63" s="96">
        <v>7</v>
      </c>
      <c r="AE63" s="324">
        <f>AD63/1.06</f>
        <v>6.6037735849056602</v>
      </c>
      <c r="AF63" s="155"/>
      <c r="AG63" s="155"/>
      <c r="AH63" s="133"/>
      <c r="AI63" s="1941" t="s">
        <v>10629</v>
      </c>
      <c r="AJ63" s="35" t="s">
        <v>19</v>
      </c>
      <c r="AK63" s="202" t="s">
        <v>19</v>
      </c>
      <c r="AL63" s="35" t="s">
        <v>1880</v>
      </c>
      <c r="AM63" s="1941"/>
    </row>
    <row r="64" spans="1:39" s="11" customFormat="1" ht="26.25" customHeight="1" x14ac:dyDescent="0.15">
      <c r="A64" s="218">
        <f t="shared" si="3"/>
        <v>62</v>
      </c>
      <c r="B64" s="1887" t="s">
        <v>11601</v>
      </c>
      <c r="C64" s="26" t="s">
        <v>19</v>
      </c>
      <c r="D64" s="26" t="s">
        <v>19</v>
      </c>
      <c r="E64" s="26" t="s">
        <v>19</v>
      </c>
      <c r="F64" s="29" t="s">
        <v>9235</v>
      </c>
      <c r="G64" s="29" t="s">
        <v>11608</v>
      </c>
      <c r="H64" s="26" t="s">
        <v>8679</v>
      </c>
      <c r="I64" s="26" t="s">
        <v>9514</v>
      </c>
      <c r="J64" s="26" t="s">
        <v>9515</v>
      </c>
      <c r="K64" s="1943" t="s">
        <v>2012</v>
      </c>
      <c r="L64" s="1943" t="s">
        <v>2067</v>
      </c>
      <c r="M64" s="1943" t="s">
        <v>8139</v>
      </c>
      <c r="N64" s="22" t="s">
        <v>9236</v>
      </c>
      <c r="O64" s="22" t="s">
        <v>1826</v>
      </c>
      <c r="P64" s="1945" t="s">
        <v>1880</v>
      </c>
      <c r="Q64" s="1944" t="s">
        <v>1131</v>
      </c>
      <c r="R64" s="76" t="s">
        <v>11609</v>
      </c>
      <c r="S64" s="22" t="s">
        <v>1880</v>
      </c>
      <c r="T64" s="71" t="s">
        <v>5571</v>
      </c>
      <c r="U64" s="71" t="s">
        <v>5571</v>
      </c>
      <c r="V64" s="211" t="s">
        <v>11610</v>
      </c>
      <c r="W64" s="271" t="s">
        <v>11611</v>
      </c>
      <c r="X64" s="1945" t="s">
        <v>108</v>
      </c>
      <c r="Y64" s="1945">
        <v>1</v>
      </c>
      <c r="Z64" s="211" t="s">
        <v>448</v>
      </c>
      <c r="AA64" s="211" t="s">
        <v>448</v>
      </c>
      <c r="AB64" s="96">
        <v>2.8</v>
      </c>
      <c r="AC64" s="96"/>
      <c r="AD64" s="96">
        <v>2.8</v>
      </c>
      <c r="AE64" s="324">
        <f t="shared" ref="AE64:AE70" si="7">AD64/1.06</f>
        <v>2.641509433962264</v>
      </c>
      <c r="AF64" s="155"/>
      <c r="AG64" s="155"/>
      <c r="AH64" s="133"/>
      <c r="AI64" s="1944" t="s">
        <v>10629</v>
      </c>
      <c r="AJ64" s="35" t="s">
        <v>19</v>
      </c>
      <c r="AK64" s="202" t="s">
        <v>19</v>
      </c>
      <c r="AL64" s="35" t="s">
        <v>1880</v>
      </c>
      <c r="AM64" s="1944"/>
    </row>
    <row r="65" spans="1:39" s="11" customFormat="1" ht="26.25" customHeight="1" x14ac:dyDescent="0.15">
      <c r="A65" s="218">
        <f t="shared" si="3"/>
        <v>63</v>
      </c>
      <c r="B65" s="1887" t="s">
        <v>11602</v>
      </c>
      <c r="C65" s="26" t="s">
        <v>19</v>
      </c>
      <c r="D65" s="26" t="s">
        <v>19</v>
      </c>
      <c r="E65" s="26" t="s">
        <v>19</v>
      </c>
      <c r="F65" s="29" t="s">
        <v>11393</v>
      </c>
      <c r="G65" s="53" t="s">
        <v>11612</v>
      </c>
      <c r="H65" s="26" t="s">
        <v>8679</v>
      </c>
      <c r="I65" s="26" t="s">
        <v>9514</v>
      </c>
      <c r="J65" s="26" t="s">
        <v>9515</v>
      </c>
      <c r="K65" s="1943" t="s">
        <v>4712</v>
      </c>
      <c r="L65" s="1943" t="s">
        <v>4196</v>
      </c>
      <c r="M65" s="1943" t="s">
        <v>5637</v>
      </c>
      <c r="N65" s="22" t="s">
        <v>4780</v>
      </c>
      <c r="O65" s="22" t="s">
        <v>5431</v>
      </c>
      <c r="P65" s="1945" t="s">
        <v>111</v>
      </c>
      <c r="Q65" s="1944" t="s">
        <v>1131</v>
      </c>
      <c r="R65" s="76" t="s">
        <v>11609</v>
      </c>
      <c r="S65" s="22" t="s">
        <v>1880</v>
      </c>
      <c r="T65" s="71" t="s">
        <v>5571</v>
      </c>
      <c r="U65" s="71" t="s">
        <v>5571</v>
      </c>
      <c r="V65" s="211" t="s">
        <v>11610</v>
      </c>
      <c r="W65" s="271" t="s">
        <v>11611</v>
      </c>
      <c r="X65" s="1945" t="s">
        <v>108</v>
      </c>
      <c r="Y65" s="1945">
        <v>1</v>
      </c>
      <c r="Z65" s="211" t="s">
        <v>448</v>
      </c>
      <c r="AA65" s="211" t="s">
        <v>448</v>
      </c>
      <c r="AB65" s="96">
        <v>2.8</v>
      </c>
      <c r="AC65" s="96"/>
      <c r="AD65" s="96">
        <v>2.8</v>
      </c>
      <c r="AE65" s="324">
        <f t="shared" si="7"/>
        <v>2.641509433962264</v>
      </c>
      <c r="AF65" s="155"/>
      <c r="AG65" s="155"/>
      <c r="AH65" s="133"/>
      <c r="AI65" s="1944" t="s">
        <v>10629</v>
      </c>
      <c r="AJ65" s="35" t="s">
        <v>19</v>
      </c>
      <c r="AK65" s="202" t="s">
        <v>19</v>
      </c>
      <c r="AL65" s="35" t="s">
        <v>1880</v>
      </c>
      <c r="AM65" s="1944"/>
    </row>
    <row r="66" spans="1:39" s="11" customFormat="1" ht="26.25" customHeight="1" x14ac:dyDescent="0.15">
      <c r="A66" s="218">
        <f t="shared" si="3"/>
        <v>64</v>
      </c>
      <c r="B66" s="1887" t="s">
        <v>11603</v>
      </c>
      <c r="C66" s="26" t="s">
        <v>19</v>
      </c>
      <c r="D66" s="26" t="s">
        <v>19</v>
      </c>
      <c r="E66" s="26" t="s">
        <v>19</v>
      </c>
      <c r="F66" s="29" t="s">
        <v>5640</v>
      </c>
      <c r="G66" s="53" t="s">
        <v>11613</v>
      </c>
      <c r="H66" s="26" t="s">
        <v>8679</v>
      </c>
      <c r="I66" s="26" t="s">
        <v>9514</v>
      </c>
      <c r="J66" s="26" t="s">
        <v>9515</v>
      </c>
      <c r="K66" s="1943" t="s">
        <v>4712</v>
      </c>
      <c r="L66" s="1943" t="s">
        <v>4196</v>
      </c>
      <c r="M66" s="1943" t="s">
        <v>5430</v>
      </c>
      <c r="N66" s="22" t="s">
        <v>4780</v>
      </c>
      <c r="O66" s="22" t="s">
        <v>5431</v>
      </c>
      <c r="P66" s="1945" t="s">
        <v>111</v>
      </c>
      <c r="Q66" s="1944" t="s">
        <v>1131</v>
      </c>
      <c r="R66" s="76" t="s">
        <v>11609</v>
      </c>
      <c r="S66" s="22" t="s">
        <v>1880</v>
      </c>
      <c r="T66" s="71" t="s">
        <v>5571</v>
      </c>
      <c r="U66" s="71" t="s">
        <v>5571</v>
      </c>
      <c r="V66" s="211" t="s">
        <v>11610</v>
      </c>
      <c r="W66" s="271" t="s">
        <v>11611</v>
      </c>
      <c r="X66" s="1945" t="s">
        <v>108</v>
      </c>
      <c r="Y66" s="1945">
        <v>1</v>
      </c>
      <c r="Z66" s="211" t="s">
        <v>448</v>
      </c>
      <c r="AA66" s="211" t="s">
        <v>448</v>
      </c>
      <c r="AB66" s="96">
        <v>2.8</v>
      </c>
      <c r="AC66" s="96"/>
      <c r="AD66" s="96">
        <v>2.8</v>
      </c>
      <c r="AE66" s="324">
        <f t="shared" si="7"/>
        <v>2.641509433962264</v>
      </c>
      <c r="AF66" s="155"/>
      <c r="AG66" s="155"/>
      <c r="AH66" s="133"/>
      <c r="AI66" s="1944" t="s">
        <v>10629</v>
      </c>
      <c r="AJ66" s="35" t="s">
        <v>19</v>
      </c>
      <c r="AK66" s="202" t="s">
        <v>19</v>
      </c>
      <c r="AL66" s="35" t="s">
        <v>1880</v>
      </c>
      <c r="AM66" s="1944"/>
    </row>
    <row r="67" spans="1:39" s="11" customFormat="1" ht="26.25" customHeight="1" x14ac:dyDescent="0.15">
      <c r="A67" s="218">
        <f t="shared" si="3"/>
        <v>65</v>
      </c>
      <c r="B67" s="1887" t="s">
        <v>11604</v>
      </c>
      <c r="C67" s="26" t="s">
        <v>19</v>
      </c>
      <c r="D67" s="26" t="s">
        <v>19</v>
      </c>
      <c r="E67" s="26" t="s">
        <v>19</v>
      </c>
      <c r="F67" s="29" t="s">
        <v>5640</v>
      </c>
      <c r="G67" s="53" t="s">
        <v>11613</v>
      </c>
      <c r="H67" s="26" t="s">
        <v>8679</v>
      </c>
      <c r="I67" s="26" t="s">
        <v>9514</v>
      </c>
      <c r="J67" s="26" t="s">
        <v>9515</v>
      </c>
      <c r="K67" s="1944" t="s">
        <v>4712</v>
      </c>
      <c r="L67" s="1944" t="s">
        <v>4196</v>
      </c>
      <c r="M67" s="1944" t="s">
        <v>9558</v>
      </c>
      <c r="N67" s="22" t="s">
        <v>4780</v>
      </c>
      <c r="O67" s="22" t="s">
        <v>5431</v>
      </c>
      <c r="P67" s="1945" t="s">
        <v>111</v>
      </c>
      <c r="Q67" s="1944" t="s">
        <v>1131</v>
      </c>
      <c r="R67" s="76" t="s">
        <v>11609</v>
      </c>
      <c r="S67" s="22" t="s">
        <v>1880</v>
      </c>
      <c r="T67" s="71" t="s">
        <v>5571</v>
      </c>
      <c r="U67" s="71" t="s">
        <v>5571</v>
      </c>
      <c r="V67" s="211" t="s">
        <v>11610</v>
      </c>
      <c r="W67" s="271" t="s">
        <v>11611</v>
      </c>
      <c r="X67" s="1945" t="s">
        <v>108</v>
      </c>
      <c r="Y67" s="1945">
        <v>1</v>
      </c>
      <c r="Z67" s="211" t="s">
        <v>448</v>
      </c>
      <c r="AA67" s="211" t="s">
        <v>448</v>
      </c>
      <c r="AB67" s="96">
        <v>2.8</v>
      </c>
      <c r="AC67" s="96"/>
      <c r="AD67" s="96">
        <v>2.8</v>
      </c>
      <c r="AE67" s="324">
        <f t="shared" si="7"/>
        <v>2.641509433962264</v>
      </c>
      <c r="AF67" s="155"/>
      <c r="AG67" s="155"/>
      <c r="AH67" s="133"/>
      <c r="AI67" s="1944" t="s">
        <v>10629</v>
      </c>
      <c r="AJ67" s="35" t="s">
        <v>19</v>
      </c>
      <c r="AK67" s="202" t="s">
        <v>19</v>
      </c>
      <c r="AL67" s="35" t="s">
        <v>1880</v>
      </c>
      <c r="AM67" s="1944"/>
    </row>
    <row r="68" spans="1:39" s="11" customFormat="1" ht="26.25" customHeight="1" x14ac:dyDescent="0.15">
      <c r="A68" s="218">
        <f t="shared" si="3"/>
        <v>66</v>
      </c>
      <c r="B68" s="1887" t="s">
        <v>11605</v>
      </c>
      <c r="C68" s="26" t="s">
        <v>19</v>
      </c>
      <c r="D68" s="26" t="s">
        <v>19</v>
      </c>
      <c r="E68" s="26" t="s">
        <v>19</v>
      </c>
      <c r="F68" s="29" t="s">
        <v>5642</v>
      </c>
      <c r="G68" s="53" t="s">
        <v>11614</v>
      </c>
      <c r="H68" s="26" t="s">
        <v>8679</v>
      </c>
      <c r="I68" s="26" t="s">
        <v>9514</v>
      </c>
      <c r="J68" s="26" t="s">
        <v>9515</v>
      </c>
      <c r="K68" s="1943" t="s">
        <v>4712</v>
      </c>
      <c r="L68" s="1943" t="s">
        <v>4196</v>
      </c>
      <c r="M68" s="1943" t="s">
        <v>5395</v>
      </c>
      <c r="N68" s="22" t="s">
        <v>4780</v>
      </c>
      <c r="O68" s="22" t="s">
        <v>5431</v>
      </c>
      <c r="P68" s="1945" t="s">
        <v>111</v>
      </c>
      <c r="Q68" s="1944" t="s">
        <v>1131</v>
      </c>
      <c r="R68" s="76" t="s">
        <v>11609</v>
      </c>
      <c r="S68" s="22" t="s">
        <v>1880</v>
      </c>
      <c r="T68" s="71" t="s">
        <v>5571</v>
      </c>
      <c r="U68" s="71" t="s">
        <v>5571</v>
      </c>
      <c r="V68" s="211" t="s">
        <v>11610</v>
      </c>
      <c r="W68" s="271" t="s">
        <v>11611</v>
      </c>
      <c r="X68" s="1945" t="s">
        <v>108</v>
      </c>
      <c r="Y68" s="1945">
        <v>1</v>
      </c>
      <c r="Z68" s="211" t="s">
        <v>448</v>
      </c>
      <c r="AA68" s="211" t="s">
        <v>448</v>
      </c>
      <c r="AB68" s="96">
        <v>2.8</v>
      </c>
      <c r="AC68" s="96"/>
      <c r="AD68" s="96">
        <v>2.8</v>
      </c>
      <c r="AE68" s="324">
        <f t="shared" si="7"/>
        <v>2.641509433962264</v>
      </c>
      <c r="AF68" s="155"/>
      <c r="AG68" s="155"/>
      <c r="AH68" s="133"/>
      <c r="AI68" s="1944" t="s">
        <v>10629</v>
      </c>
      <c r="AJ68" s="35" t="s">
        <v>19</v>
      </c>
      <c r="AK68" s="202" t="s">
        <v>19</v>
      </c>
      <c r="AL68" s="35" t="s">
        <v>1880</v>
      </c>
      <c r="AM68" s="1944"/>
    </row>
    <row r="69" spans="1:39" s="11" customFormat="1" ht="26.25" customHeight="1" x14ac:dyDescent="0.15">
      <c r="A69" s="218">
        <f t="shared" si="3"/>
        <v>67</v>
      </c>
      <c r="B69" s="1887" t="s">
        <v>11606</v>
      </c>
      <c r="C69" s="26" t="s">
        <v>19</v>
      </c>
      <c r="D69" s="26" t="s">
        <v>19</v>
      </c>
      <c r="E69" s="26" t="s">
        <v>19</v>
      </c>
      <c r="F69" s="29" t="s">
        <v>5644</v>
      </c>
      <c r="G69" s="53" t="s">
        <v>11615</v>
      </c>
      <c r="H69" s="26" t="s">
        <v>8679</v>
      </c>
      <c r="I69" s="26" t="s">
        <v>9514</v>
      </c>
      <c r="J69" s="26" t="s">
        <v>9515</v>
      </c>
      <c r="K69" s="1943" t="s">
        <v>4712</v>
      </c>
      <c r="L69" s="1943" t="s">
        <v>4196</v>
      </c>
      <c r="M69" s="1943" t="s">
        <v>5646</v>
      </c>
      <c r="N69" s="22" t="s">
        <v>4780</v>
      </c>
      <c r="O69" s="22" t="s">
        <v>5431</v>
      </c>
      <c r="P69" s="1945" t="s">
        <v>111</v>
      </c>
      <c r="Q69" s="1944" t="s">
        <v>1131</v>
      </c>
      <c r="R69" s="76" t="s">
        <v>11609</v>
      </c>
      <c r="S69" s="22" t="s">
        <v>1880</v>
      </c>
      <c r="T69" s="71" t="s">
        <v>5571</v>
      </c>
      <c r="U69" s="71" t="s">
        <v>5571</v>
      </c>
      <c r="V69" s="211" t="s">
        <v>11610</v>
      </c>
      <c r="W69" s="271" t="s">
        <v>11611</v>
      </c>
      <c r="X69" s="1945" t="s">
        <v>108</v>
      </c>
      <c r="Y69" s="1945">
        <v>1</v>
      </c>
      <c r="Z69" s="211" t="s">
        <v>448</v>
      </c>
      <c r="AA69" s="211" t="s">
        <v>448</v>
      </c>
      <c r="AB69" s="96">
        <v>2.8</v>
      </c>
      <c r="AC69" s="96"/>
      <c r="AD69" s="96">
        <v>2.8</v>
      </c>
      <c r="AE69" s="324">
        <f t="shared" si="7"/>
        <v>2.641509433962264</v>
      </c>
      <c r="AF69" s="155"/>
      <c r="AG69" s="155"/>
      <c r="AH69" s="133"/>
      <c r="AI69" s="1944" t="s">
        <v>10629</v>
      </c>
      <c r="AJ69" s="35" t="s">
        <v>19</v>
      </c>
      <c r="AK69" s="202" t="s">
        <v>19</v>
      </c>
      <c r="AL69" s="35" t="s">
        <v>1880</v>
      </c>
      <c r="AM69" s="1944"/>
    </row>
    <row r="70" spans="1:39" s="11" customFormat="1" ht="26.25" customHeight="1" x14ac:dyDescent="0.15">
      <c r="A70" s="218">
        <f t="shared" si="3"/>
        <v>68</v>
      </c>
      <c r="B70" s="1887" t="s">
        <v>11607</v>
      </c>
      <c r="C70" s="26" t="s">
        <v>19</v>
      </c>
      <c r="D70" s="26" t="s">
        <v>19</v>
      </c>
      <c r="E70" s="26" t="s">
        <v>19</v>
      </c>
      <c r="F70" s="29" t="s">
        <v>6213</v>
      </c>
      <c r="G70" s="53" t="s">
        <v>11617</v>
      </c>
      <c r="H70" s="26" t="s">
        <v>448</v>
      </c>
      <c r="I70" s="26" t="s">
        <v>448</v>
      </c>
      <c r="J70" s="26" t="s">
        <v>448</v>
      </c>
      <c r="K70" s="1944" t="s">
        <v>4195</v>
      </c>
      <c r="L70" s="1944" t="s">
        <v>4728</v>
      </c>
      <c r="M70" s="1944" t="s">
        <v>6215</v>
      </c>
      <c r="N70" s="22" t="s">
        <v>6216</v>
      </c>
      <c r="O70" s="22" t="s">
        <v>5431</v>
      </c>
      <c r="P70" s="1945" t="s">
        <v>1880</v>
      </c>
      <c r="Q70" s="216" t="s">
        <v>25</v>
      </c>
      <c r="R70" s="54" t="s">
        <v>1122</v>
      </c>
      <c r="S70" s="22" t="s">
        <v>1880</v>
      </c>
      <c r="T70" s="71" t="s">
        <v>1894</v>
      </c>
      <c r="U70" s="71" t="s">
        <v>1894</v>
      </c>
      <c r="V70" s="211" t="s">
        <v>11610</v>
      </c>
      <c r="W70" s="271" t="s">
        <v>11618</v>
      </c>
      <c r="X70" s="211" t="s">
        <v>110</v>
      </c>
      <c r="Y70" s="211">
        <v>1</v>
      </c>
      <c r="Z70" s="211" t="s">
        <v>11381</v>
      </c>
      <c r="AA70" s="211" t="s">
        <v>11386</v>
      </c>
      <c r="AB70" s="96"/>
      <c r="AC70" s="96">
        <v>14</v>
      </c>
      <c r="AD70" s="96">
        <v>14</v>
      </c>
      <c r="AE70" s="324">
        <f t="shared" si="7"/>
        <v>13.20754716981132</v>
      </c>
      <c r="AF70" s="155"/>
      <c r="AG70" s="155"/>
      <c r="AH70" s="133"/>
      <c r="AI70" s="1944" t="s">
        <v>10629</v>
      </c>
      <c r="AJ70" s="35" t="s">
        <v>19</v>
      </c>
      <c r="AK70" s="202" t="s">
        <v>19</v>
      </c>
      <c r="AL70" s="35" t="s">
        <v>1880</v>
      </c>
      <c r="AM70" s="1944"/>
    </row>
    <row r="71" spans="1:39" s="11" customFormat="1" ht="26.25" customHeight="1" x14ac:dyDescent="0.15">
      <c r="A71" s="218">
        <f t="shared" si="3"/>
        <v>69</v>
      </c>
      <c r="B71" s="1887" t="s">
        <v>11628</v>
      </c>
      <c r="C71" s="26" t="s">
        <v>19</v>
      </c>
      <c r="D71" s="26" t="s">
        <v>19</v>
      </c>
      <c r="E71" s="26" t="s">
        <v>19</v>
      </c>
      <c r="F71" s="67" t="s">
        <v>7384</v>
      </c>
      <c r="G71" s="98" t="s">
        <v>7385</v>
      </c>
      <c r="H71" s="26" t="s">
        <v>448</v>
      </c>
      <c r="I71" s="26" t="s">
        <v>448</v>
      </c>
      <c r="J71" s="26" t="s">
        <v>448</v>
      </c>
      <c r="K71" s="83" t="s">
        <v>4195</v>
      </c>
      <c r="L71" s="83" t="s">
        <v>3101</v>
      </c>
      <c r="M71" s="83" t="s">
        <v>11624</v>
      </c>
      <c r="N71" s="22" t="s">
        <v>4780</v>
      </c>
      <c r="O71" s="84" t="s">
        <v>5478</v>
      </c>
      <c r="P71" s="1947" t="s">
        <v>1880</v>
      </c>
      <c r="Q71" s="71" t="s">
        <v>2422</v>
      </c>
      <c r="R71" s="76" t="s">
        <v>9481</v>
      </c>
      <c r="S71" s="22" t="s">
        <v>1880</v>
      </c>
      <c r="T71" s="71" t="s">
        <v>1894</v>
      </c>
      <c r="U71" s="71" t="s">
        <v>1894</v>
      </c>
      <c r="V71" s="211" t="s">
        <v>11629</v>
      </c>
      <c r="W71" s="271" t="s">
        <v>11625</v>
      </c>
      <c r="X71" s="211" t="s">
        <v>110</v>
      </c>
      <c r="Y71" s="211">
        <v>1</v>
      </c>
      <c r="Z71" s="211" t="s">
        <v>6842</v>
      </c>
      <c r="AA71" s="211" t="s">
        <v>448</v>
      </c>
      <c r="AB71" s="96">
        <v>35</v>
      </c>
      <c r="AC71" s="96"/>
      <c r="AD71" s="96">
        <v>35</v>
      </c>
      <c r="AE71" s="324">
        <v>30.973451000000001</v>
      </c>
      <c r="AF71" s="155"/>
      <c r="AG71" s="155"/>
      <c r="AH71" s="133"/>
      <c r="AI71" s="133" t="s">
        <v>11373</v>
      </c>
      <c r="AJ71" s="60" t="s">
        <v>448</v>
      </c>
      <c r="AK71" s="202" t="s">
        <v>448</v>
      </c>
      <c r="AL71" s="35" t="s">
        <v>448</v>
      </c>
      <c r="AM71" s="1946"/>
    </row>
    <row r="72" spans="1:39" s="11" customFormat="1" ht="26.25" customHeight="1" x14ac:dyDescent="0.15">
      <c r="A72" s="218">
        <f t="shared" si="3"/>
        <v>70</v>
      </c>
      <c r="B72" s="1887" t="s">
        <v>11630</v>
      </c>
      <c r="C72" s="26" t="s">
        <v>19</v>
      </c>
      <c r="D72" s="26" t="s">
        <v>19</v>
      </c>
      <c r="E72" s="26" t="s">
        <v>11632</v>
      </c>
      <c r="F72" s="67" t="s">
        <v>5475</v>
      </c>
      <c r="G72" s="98" t="s">
        <v>5476</v>
      </c>
      <c r="H72" s="26" t="s">
        <v>448</v>
      </c>
      <c r="I72" s="26" t="s">
        <v>448</v>
      </c>
      <c r="J72" s="26" t="s">
        <v>448</v>
      </c>
      <c r="K72" s="1461" t="s">
        <v>94</v>
      </c>
      <c r="L72" s="1461" t="s">
        <v>5419</v>
      </c>
      <c r="M72" s="83" t="s">
        <v>11626</v>
      </c>
      <c r="N72" s="84" t="s">
        <v>11627</v>
      </c>
      <c r="O72" s="22" t="s">
        <v>5431</v>
      </c>
      <c r="P72" s="1947" t="s">
        <v>1880</v>
      </c>
      <c r="Q72" s="216" t="s">
        <v>25</v>
      </c>
      <c r="R72" s="76" t="s">
        <v>2224</v>
      </c>
      <c r="S72" s="22" t="s">
        <v>1880</v>
      </c>
      <c r="T72" s="71" t="s">
        <v>5480</v>
      </c>
      <c r="U72" s="71" t="s">
        <v>5480</v>
      </c>
      <c r="V72" s="211" t="s">
        <v>11629</v>
      </c>
      <c r="W72" s="271" t="s">
        <v>11625</v>
      </c>
      <c r="X72" s="211" t="s">
        <v>110</v>
      </c>
      <c r="Y72" s="211">
        <v>1</v>
      </c>
      <c r="Z72" s="211" t="s">
        <v>5710</v>
      </c>
      <c r="AA72" s="211" t="s">
        <v>448</v>
      </c>
      <c r="AB72" s="324">
        <v>22.000001000000001</v>
      </c>
      <c r="AC72" s="96"/>
      <c r="AD72" s="324">
        <v>22.000001000000001</v>
      </c>
      <c r="AE72" s="324">
        <v>19.469027000000001</v>
      </c>
      <c r="AF72" s="155"/>
      <c r="AG72" s="155"/>
      <c r="AH72" s="133"/>
      <c r="AI72" s="133" t="s">
        <v>11373</v>
      </c>
      <c r="AJ72" s="60" t="s">
        <v>448</v>
      </c>
      <c r="AK72" s="202" t="s">
        <v>448</v>
      </c>
      <c r="AL72" s="35" t="s">
        <v>448</v>
      </c>
      <c r="AM72" s="1946"/>
    </row>
    <row r="73" spans="1:39" s="11" customFormat="1" ht="26.25" customHeight="1" x14ac:dyDescent="0.15">
      <c r="A73" s="218">
        <f t="shared" si="3"/>
        <v>71</v>
      </c>
      <c r="B73" s="1887" t="s">
        <v>11638</v>
      </c>
      <c r="C73" s="26" t="s">
        <v>19</v>
      </c>
      <c r="D73" s="26" t="s">
        <v>19</v>
      </c>
      <c r="E73" s="26" t="s">
        <v>19</v>
      </c>
      <c r="F73" s="29" t="s">
        <v>5746</v>
      </c>
      <c r="G73" s="99" t="s">
        <v>8961</v>
      </c>
      <c r="H73" s="26" t="s">
        <v>448</v>
      </c>
      <c r="I73" s="26" t="s">
        <v>448</v>
      </c>
      <c r="J73" s="26" t="s">
        <v>448</v>
      </c>
      <c r="K73" s="1950" t="s">
        <v>4208</v>
      </c>
      <c r="L73" s="1950" t="s">
        <v>6751</v>
      </c>
      <c r="M73" s="1950" t="s">
        <v>6752</v>
      </c>
      <c r="N73" s="22" t="s">
        <v>6753</v>
      </c>
      <c r="O73" s="22" t="s">
        <v>5478</v>
      </c>
      <c r="P73" s="1952" t="s">
        <v>111</v>
      </c>
      <c r="Q73" s="1951" t="s">
        <v>4676</v>
      </c>
      <c r="R73" s="76" t="s">
        <v>11639</v>
      </c>
      <c r="S73" s="22" t="s">
        <v>1880</v>
      </c>
      <c r="T73" s="71" t="s">
        <v>5487</v>
      </c>
      <c r="U73" s="71" t="s">
        <v>5487</v>
      </c>
      <c r="V73" s="211" t="s">
        <v>11640</v>
      </c>
      <c r="W73" s="499"/>
      <c r="X73" s="484"/>
      <c r="Y73" s="484"/>
      <c r="Z73" s="211" t="s">
        <v>11641</v>
      </c>
      <c r="AA73" s="211" t="s">
        <v>11642</v>
      </c>
      <c r="AB73" s="96"/>
      <c r="AC73" s="96">
        <v>4.5</v>
      </c>
      <c r="AD73" s="96">
        <v>4.5</v>
      </c>
      <c r="AE73" s="324">
        <v>4.2452829999999997</v>
      </c>
      <c r="AF73" s="155"/>
      <c r="AG73" s="155"/>
      <c r="AH73" s="133"/>
      <c r="AI73" s="1951" t="s">
        <v>10629</v>
      </c>
      <c r="AJ73" s="35" t="s">
        <v>19</v>
      </c>
      <c r="AK73" s="202" t="s">
        <v>19</v>
      </c>
      <c r="AL73" s="35" t="s">
        <v>1880</v>
      </c>
      <c r="AM73" s="1944" t="s">
        <v>11643</v>
      </c>
    </row>
    <row r="74" spans="1:39" s="11" customFormat="1" ht="26.25" customHeight="1" x14ac:dyDescent="0.15">
      <c r="A74" s="218">
        <f t="shared" si="3"/>
        <v>72</v>
      </c>
      <c r="B74" s="1887"/>
      <c r="C74" s="60"/>
      <c r="D74" s="60"/>
      <c r="E74" s="60"/>
      <c r="F74" s="67"/>
      <c r="G74" s="98"/>
      <c r="H74" s="60"/>
      <c r="I74" s="60"/>
      <c r="J74" s="60"/>
      <c r="K74" s="83"/>
      <c r="L74" s="83"/>
      <c r="M74" s="83"/>
      <c r="N74" s="84"/>
      <c r="O74" s="84"/>
      <c r="P74" s="82"/>
      <c r="Q74" s="71"/>
      <c r="R74" s="76"/>
      <c r="S74" s="84"/>
      <c r="T74" s="71"/>
      <c r="U74" s="71"/>
      <c r="V74" s="211"/>
      <c r="W74" s="271"/>
      <c r="X74" s="211"/>
      <c r="Y74" s="211"/>
      <c r="Z74" s="211"/>
      <c r="AA74" s="211"/>
      <c r="AB74" s="96"/>
      <c r="AC74" s="96"/>
      <c r="AD74" s="96"/>
      <c r="AE74" s="324"/>
      <c r="AF74" s="155"/>
      <c r="AG74" s="155"/>
      <c r="AH74" s="133"/>
      <c r="AI74" s="133"/>
      <c r="AJ74" s="133"/>
      <c r="AK74" s="202"/>
      <c r="AL74" s="35"/>
      <c r="AM74" s="1944"/>
    </row>
    <row r="75" spans="1:39" s="11" customFormat="1" ht="26.25" customHeight="1" x14ac:dyDescent="0.15">
      <c r="A75" s="218">
        <f t="shared" si="3"/>
        <v>73</v>
      </c>
      <c r="B75" s="1887"/>
      <c r="C75" s="60"/>
      <c r="D75" s="60"/>
      <c r="E75" s="60"/>
      <c r="F75" s="67"/>
      <c r="G75" s="98"/>
      <c r="H75" s="60"/>
      <c r="I75" s="60"/>
      <c r="J75" s="60"/>
      <c r="K75" s="83"/>
      <c r="L75" s="83"/>
      <c r="M75" s="83"/>
      <c r="N75" s="84"/>
      <c r="O75" s="84"/>
      <c r="P75" s="82"/>
      <c r="Q75" s="71"/>
      <c r="R75" s="76"/>
      <c r="S75" s="84"/>
      <c r="T75" s="71"/>
      <c r="U75" s="71"/>
      <c r="V75" s="211"/>
      <c r="W75" s="271"/>
      <c r="X75" s="211"/>
      <c r="Y75" s="211"/>
      <c r="Z75" s="211"/>
      <c r="AA75" s="211"/>
      <c r="AB75" s="96"/>
      <c r="AC75" s="96"/>
      <c r="AD75" s="96"/>
      <c r="AE75" s="324"/>
      <c r="AF75" s="155"/>
      <c r="AG75" s="155"/>
      <c r="AH75" s="133"/>
      <c r="AI75" s="133"/>
      <c r="AJ75" s="133"/>
      <c r="AK75" s="202"/>
      <c r="AL75" s="35"/>
      <c r="AM75" s="1925"/>
    </row>
    <row r="76" spans="1:39" s="11" customFormat="1" ht="26.25" customHeight="1" x14ac:dyDescent="0.15">
      <c r="A76" s="218">
        <f t="shared" si="3"/>
        <v>74</v>
      </c>
      <c r="B76" s="1887"/>
      <c r="C76" s="60"/>
      <c r="D76" s="60"/>
      <c r="E76" s="60"/>
      <c r="F76" s="67"/>
      <c r="G76" s="98"/>
      <c r="H76" s="60"/>
      <c r="I76" s="60"/>
      <c r="J76" s="60"/>
      <c r="K76" s="83"/>
      <c r="L76" s="83"/>
      <c r="M76" s="83"/>
      <c r="N76" s="84"/>
      <c r="O76" s="84"/>
      <c r="P76" s="82"/>
      <c r="Q76" s="71"/>
      <c r="R76" s="76"/>
      <c r="S76" s="84"/>
      <c r="T76" s="71"/>
      <c r="U76" s="71"/>
      <c r="V76" s="211"/>
      <c r="W76" s="271"/>
      <c r="X76" s="211"/>
      <c r="Y76" s="211"/>
      <c r="Z76" s="211"/>
      <c r="AA76" s="211"/>
      <c r="AB76" s="96"/>
      <c r="AC76" s="96"/>
      <c r="AD76" s="96"/>
      <c r="AE76" s="324"/>
      <c r="AF76" s="155"/>
      <c r="AG76" s="155"/>
      <c r="AH76" s="133"/>
      <c r="AI76" s="133"/>
      <c r="AJ76" s="133"/>
      <c r="AK76" s="202"/>
      <c r="AL76" s="35"/>
      <c r="AM76" s="1898"/>
    </row>
    <row r="77" spans="1:39" s="11" customFormat="1" ht="26.25" customHeight="1" x14ac:dyDescent="0.15">
      <c r="A77" s="218">
        <f t="shared" si="3"/>
        <v>75</v>
      </c>
      <c r="B77" s="1887"/>
      <c r="C77" s="60"/>
      <c r="D77" s="60"/>
      <c r="E77" s="60"/>
      <c r="F77" s="67"/>
      <c r="G77" s="98"/>
      <c r="H77" s="60"/>
      <c r="I77" s="60"/>
      <c r="J77" s="60"/>
      <c r="K77" s="83"/>
      <c r="L77" s="83"/>
      <c r="M77" s="83"/>
      <c r="N77" s="84"/>
      <c r="O77" s="84"/>
      <c r="P77" s="82"/>
      <c r="Q77" s="71"/>
      <c r="R77" s="76"/>
      <c r="S77" s="84"/>
      <c r="T77" s="71"/>
      <c r="U77" s="71"/>
      <c r="V77" s="211"/>
      <c r="W77" s="271"/>
      <c r="X77" s="211"/>
      <c r="Y77" s="211"/>
      <c r="Z77" s="211"/>
      <c r="AA77" s="211"/>
      <c r="AB77" s="96"/>
      <c r="AC77" s="96"/>
      <c r="AD77" s="96"/>
      <c r="AE77" s="324"/>
      <c r="AF77" s="155"/>
      <c r="AG77" s="155"/>
      <c r="AH77" s="133"/>
      <c r="AI77" s="133"/>
      <c r="AJ77" s="133"/>
      <c r="AK77" s="202"/>
      <c r="AL77" s="35"/>
      <c r="AM77" s="1886"/>
    </row>
    <row r="78" spans="1:39" s="11" customFormat="1" ht="26.25" customHeight="1" x14ac:dyDescent="0.15">
      <c r="A78" s="218">
        <f t="shared" si="3"/>
        <v>76</v>
      </c>
      <c r="B78" s="1887"/>
      <c r="C78" s="60"/>
      <c r="D78" s="60"/>
      <c r="E78" s="60"/>
      <c r="F78" s="67"/>
      <c r="G78" s="98"/>
      <c r="H78" s="60"/>
      <c r="I78" s="60"/>
      <c r="J78" s="60"/>
      <c r="K78" s="83"/>
      <c r="L78" s="83"/>
      <c r="M78" s="83"/>
      <c r="N78" s="84"/>
      <c r="O78" s="84"/>
      <c r="P78" s="82"/>
      <c r="Q78" s="71"/>
      <c r="R78" s="76"/>
      <c r="S78" s="84"/>
      <c r="T78" s="71"/>
      <c r="U78" s="71"/>
      <c r="V78" s="211"/>
      <c r="W78" s="271"/>
      <c r="X78" s="211"/>
      <c r="Y78" s="211"/>
      <c r="Z78" s="211"/>
      <c r="AA78" s="211"/>
      <c r="AB78" s="96"/>
      <c r="AC78" s="96"/>
      <c r="AD78" s="96"/>
      <c r="AE78" s="324"/>
      <c r="AF78" s="155"/>
      <c r="AG78" s="155"/>
      <c r="AH78" s="133"/>
      <c r="AI78" s="133"/>
      <c r="AJ78" s="133"/>
      <c r="AK78" s="202"/>
      <c r="AL78" s="35"/>
      <c r="AM78" s="1886"/>
    </row>
    <row r="79" spans="1:39" s="11" customFormat="1" ht="26.25" customHeight="1" x14ac:dyDescent="0.15">
      <c r="A79" s="8"/>
      <c r="B79" s="36"/>
      <c r="C79" s="26"/>
      <c r="D79" s="26"/>
      <c r="E79" s="26"/>
      <c r="F79" s="29"/>
      <c r="G79" s="53"/>
      <c r="H79" s="53"/>
      <c r="I79" s="53"/>
      <c r="J79" s="53"/>
      <c r="K79" s="1885"/>
      <c r="L79" s="1"/>
      <c r="M79" s="37"/>
      <c r="N79" s="22"/>
      <c r="O79" s="22"/>
      <c r="P79" s="22"/>
      <c r="Q79" s="1886"/>
      <c r="R79" s="54"/>
      <c r="S79" s="22"/>
      <c r="T79" s="1886"/>
      <c r="U79" s="1886"/>
      <c r="V79" s="24"/>
      <c r="W79" s="90"/>
      <c r="X79" s="146" t="s">
        <v>3144</v>
      </c>
      <c r="Y79" s="146"/>
      <c r="Z79" s="146"/>
      <c r="AA79" s="146"/>
      <c r="AB79" s="148">
        <f>SUM(AB3:AB78)</f>
        <v>710.71106499999985</v>
      </c>
      <c r="AC79" s="148">
        <f t="shared" ref="AC79:AD79" si="8">SUM(AC3:AC78)</f>
        <v>396.63200000000001</v>
      </c>
      <c r="AD79" s="148">
        <f t="shared" si="8"/>
        <v>1107.343065</v>
      </c>
      <c r="AE79" s="148"/>
      <c r="AF79" s="702"/>
      <c r="AG79" s="702"/>
      <c r="AH79" s="35"/>
      <c r="AI79" s="35"/>
      <c r="AJ79" s="35"/>
      <c r="AK79" s="35"/>
      <c r="AL79" s="35"/>
      <c r="AM79" s="1886"/>
    </row>
    <row r="80" spans="1:39" x14ac:dyDescent="0.15">
      <c r="C80" t="s">
        <v>4680</v>
      </c>
    </row>
    <row r="341" spans="26:26" x14ac:dyDescent="0.15">
      <c r="Z341" t="s">
        <v>7027</v>
      </c>
    </row>
    <row r="342" spans="26:26" x14ac:dyDescent="0.15">
      <c r="Z342" t="s">
        <v>7028</v>
      </c>
    </row>
    <row r="343" spans="26:26" x14ac:dyDescent="0.15">
      <c r="Z343" t="s">
        <v>7029</v>
      </c>
    </row>
  </sheetData>
  <autoFilter ref="A2:AM80" xr:uid="{00000000-0009-0000-0000-000000000000}"/>
  <mergeCells count="1">
    <mergeCell ref="A1:AL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56DF-194E-417E-B1E3-D85C98294AEB}">
  <dimension ref="A1:AL584"/>
  <sheetViews>
    <sheetView zoomScaleNormal="100" workbookViewId="0">
      <pane xSplit="2" ySplit="2" topLeftCell="F308" activePane="bottomRight" state="frozen"/>
      <selection pane="topRight" activeCell="C1" sqref="C1"/>
      <selection pane="bottomLeft" activeCell="A3" sqref="A3"/>
      <selection pane="bottomRight" activeCell="F317" sqref="F317:Q317"/>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1" max="12" width="9" customWidth="1"/>
    <col min="13" max="13" width="12.875" customWidth="1"/>
    <col min="14" max="14" width="13.875" customWidth="1"/>
    <col min="17" max="17" width="14.625" customWidth="1"/>
    <col min="18" max="18" width="35.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2" width="12.25" style="38" customWidth="1"/>
    <col min="33" max="35" width="10.875" customWidth="1"/>
    <col min="36" max="36" width="13.75" customWidth="1"/>
    <col min="38" max="38" width="37.875" customWidth="1"/>
  </cols>
  <sheetData>
    <row r="1" spans="1:38" s="3" customFormat="1" ht="33" customHeight="1" x14ac:dyDescent="0.15">
      <c r="A1" s="1953" t="s">
        <v>10154</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c r="AG1" s="1953"/>
      <c r="AH1" s="1953"/>
      <c r="AI1" s="1953"/>
      <c r="AJ1" s="1953"/>
      <c r="AK1" s="1953"/>
    </row>
    <row r="2" spans="1:38" s="4" customFormat="1" ht="27.95" customHeight="1" x14ac:dyDescent="0.15">
      <c r="A2" s="25" t="s">
        <v>0</v>
      </c>
      <c r="B2" s="25" t="s">
        <v>1</v>
      </c>
      <c r="C2" s="25" t="s">
        <v>2</v>
      </c>
      <c r="D2" s="25" t="s">
        <v>3</v>
      </c>
      <c r="E2" s="25" t="s">
        <v>958</v>
      </c>
      <c r="F2" s="25" t="s">
        <v>4</v>
      </c>
      <c r="G2" s="25" t="s">
        <v>5</v>
      </c>
      <c r="H2" s="25" t="s">
        <v>8651</v>
      </c>
      <c r="I2" s="25" t="s">
        <v>8652</v>
      </c>
      <c r="J2" s="25" t="s">
        <v>8653</v>
      </c>
      <c r="K2" s="25" t="s">
        <v>7</v>
      </c>
      <c r="L2" s="25" t="s">
        <v>6</v>
      </c>
      <c r="M2" s="25" t="s">
        <v>419</v>
      </c>
      <c r="N2" s="25" t="s">
        <v>420</v>
      </c>
      <c r="O2" s="25" t="s">
        <v>1825</v>
      </c>
      <c r="P2" s="25" t="s">
        <v>1857</v>
      </c>
      <c r="Q2" s="25" t="s">
        <v>10</v>
      </c>
      <c r="R2" s="25" t="s">
        <v>8</v>
      </c>
      <c r="S2" s="25" t="s">
        <v>9</v>
      </c>
      <c r="T2" s="25" t="s">
        <v>3342</v>
      </c>
      <c r="U2" s="25" t="s">
        <v>3343</v>
      </c>
      <c r="V2" s="25" t="s">
        <v>2126</v>
      </c>
      <c r="W2" s="49" t="s">
        <v>2127</v>
      </c>
      <c r="X2" s="32" t="s">
        <v>14</v>
      </c>
      <c r="Y2" s="32" t="s">
        <v>13</v>
      </c>
      <c r="Z2" s="25" t="s">
        <v>11</v>
      </c>
      <c r="AA2" s="25" t="s">
        <v>12</v>
      </c>
      <c r="AB2" s="134" t="s">
        <v>429</v>
      </c>
      <c r="AC2" s="134" t="s">
        <v>2183</v>
      </c>
      <c r="AD2" s="134" t="s">
        <v>431</v>
      </c>
      <c r="AE2" s="134" t="s">
        <v>11119</v>
      </c>
      <c r="AF2" s="134" t="s">
        <v>6456</v>
      </c>
      <c r="AG2" s="25" t="s">
        <v>2124</v>
      </c>
      <c r="AH2" s="25" t="s">
        <v>10455</v>
      </c>
      <c r="AI2" s="25" t="s">
        <v>10456</v>
      </c>
      <c r="AJ2" s="25" t="s">
        <v>2123</v>
      </c>
      <c r="AK2" s="25" t="s">
        <v>2125</v>
      </c>
      <c r="AL2" s="25" t="s">
        <v>3252</v>
      </c>
    </row>
    <row r="3" spans="1:38" s="11" customFormat="1" ht="26.25" customHeight="1" x14ac:dyDescent="0.15">
      <c r="A3" s="8">
        <f t="shared" ref="A3:A319" si="0">ROW()-2</f>
        <v>1</v>
      </c>
      <c r="B3" s="36" t="s">
        <v>10694</v>
      </c>
      <c r="C3" s="26" t="s">
        <v>19</v>
      </c>
      <c r="D3" s="26" t="s">
        <v>19</v>
      </c>
      <c r="E3" s="26" t="s">
        <v>19</v>
      </c>
      <c r="F3" s="29" t="s">
        <v>6128</v>
      </c>
      <c r="G3" s="53" t="s">
        <v>9148</v>
      </c>
      <c r="H3" s="26" t="s">
        <v>448</v>
      </c>
      <c r="I3" s="26" t="s">
        <v>448</v>
      </c>
      <c r="J3" s="26" t="s">
        <v>448</v>
      </c>
      <c r="K3" s="1735" t="s">
        <v>4712</v>
      </c>
      <c r="L3" s="1735" t="s">
        <v>1124</v>
      </c>
      <c r="M3" s="1735" t="s">
        <v>6130</v>
      </c>
      <c r="N3" s="22" t="s">
        <v>4780</v>
      </c>
      <c r="O3" s="22" t="s">
        <v>5478</v>
      </c>
      <c r="P3" s="1737" t="s">
        <v>111</v>
      </c>
      <c r="Q3" s="1736" t="s">
        <v>4676</v>
      </c>
      <c r="R3" s="54" t="s">
        <v>116</v>
      </c>
      <c r="S3" s="22" t="s">
        <v>1880</v>
      </c>
      <c r="T3" s="1736" t="s">
        <v>5489</v>
      </c>
      <c r="U3" s="1736" t="s">
        <v>5489</v>
      </c>
      <c r="V3" s="24" t="s">
        <v>10695</v>
      </c>
      <c r="W3" s="90" t="s">
        <v>9103</v>
      </c>
      <c r="X3" s="24" t="s">
        <v>110</v>
      </c>
      <c r="Y3" s="24">
        <v>2</v>
      </c>
      <c r="Z3" s="24" t="s">
        <v>9958</v>
      </c>
      <c r="AA3" s="24" t="s">
        <v>10696</v>
      </c>
      <c r="AB3" s="30"/>
      <c r="AC3" s="30">
        <v>7</v>
      </c>
      <c r="AD3" s="30">
        <v>7</v>
      </c>
      <c r="AE3" s="59"/>
      <c r="AF3" s="59"/>
      <c r="AG3" s="35" t="s">
        <v>1104</v>
      </c>
      <c r="AH3" s="35" t="s">
        <v>10636</v>
      </c>
      <c r="AI3" s="1695" t="s">
        <v>19</v>
      </c>
      <c r="AJ3" s="202" t="s">
        <v>19</v>
      </c>
      <c r="AK3" s="35" t="s">
        <v>1880</v>
      </c>
      <c r="AL3" s="1736" t="s">
        <v>10697</v>
      </c>
    </row>
    <row r="4" spans="1:38" s="11" customFormat="1" ht="26.25" customHeight="1" x14ac:dyDescent="0.15">
      <c r="A4" s="8">
        <f>ROW()-2</f>
        <v>2</v>
      </c>
      <c r="B4" s="36" t="s">
        <v>10156</v>
      </c>
      <c r="C4" s="26" t="s">
        <v>19</v>
      </c>
      <c r="D4" s="26" t="s">
        <v>19</v>
      </c>
      <c r="E4" s="26" t="s">
        <v>19</v>
      </c>
      <c r="F4" s="29" t="s">
        <v>8454</v>
      </c>
      <c r="G4" s="53" t="s">
        <v>10171</v>
      </c>
      <c r="H4" s="26" t="s">
        <v>19</v>
      </c>
      <c r="I4" s="26" t="s">
        <v>19</v>
      </c>
      <c r="J4" s="26" t="s">
        <v>19</v>
      </c>
      <c r="K4" s="1656" t="s">
        <v>4791</v>
      </c>
      <c r="L4" s="1656" t="s">
        <v>6451</v>
      </c>
      <c r="M4" s="1656" t="s">
        <v>8452</v>
      </c>
      <c r="N4" s="26" t="s">
        <v>9221</v>
      </c>
      <c r="O4" s="22" t="s">
        <v>5431</v>
      </c>
      <c r="P4" s="1657" t="s">
        <v>1880</v>
      </c>
      <c r="Q4" s="1656" t="s">
        <v>1131</v>
      </c>
      <c r="R4" s="222" t="s">
        <v>116</v>
      </c>
      <c r="S4" s="22" t="s">
        <v>1880</v>
      </c>
      <c r="T4" s="1656" t="s">
        <v>446</v>
      </c>
      <c r="U4" s="1656" t="s">
        <v>446</v>
      </c>
      <c r="V4" s="24" t="s">
        <v>10155</v>
      </c>
      <c r="W4" s="90" t="s">
        <v>10159</v>
      </c>
      <c r="X4" s="24" t="s">
        <v>2359</v>
      </c>
      <c r="Y4" s="24">
        <v>1</v>
      </c>
      <c r="Z4" s="24" t="s">
        <v>10172</v>
      </c>
      <c r="AA4" s="24" t="s">
        <v>10173</v>
      </c>
      <c r="AB4" s="30"/>
      <c r="AC4" s="30">
        <v>5</v>
      </c>
      <c r="AD4" s="30">
        <v>5</v>
      </c>
      <c r="AE4" s="59"/>
      <c r="AF4" s="59"/>
      <c r="AG4" s="35" t="s">
        <v>1104</v>
      </c>
      <c r="AH4" s="35" t="s">
        <v>10636</v>
      </c>
      <c r="AI4" s="1695" t="s">
        <v>19</v>
      </c>
      <c r="AJ4" s="202" t="s">
        <v>19</v>
      </c>
      <c r="AK4" s="35" t="s">
        <v>1880</v>
      </c>
      <c r="AL4" s="1648"/>
    </row>
    <row r="5" spans="1:38" s="11" customFormat="1" ht="26.25" customHeight="1" x14ac:dyDescent="0.15">
      <c r="A5" s="8">
        <f t="shared" si="0"/>
        <v>3</v>
      </c>
      <c r="B5" s="36" t="s">
        <v>10174</v>
      </c>
      <c r="C5" s="26" t="s">
        <v>19</v>
      </c>
      <c r="D5" s="26" t="s">
        <v>19</v>
      </c>
      <c r="E5" s="26" t="s">
        <v>19</v>
      </c>
      <c r="F5" s="29" t="s">
        <v>9314</v>
      </c>
      <c r="G5" s="53" t="s">
        <v>10175</v>
      </c>
      <c r="H5" s="26" t="s">
        <v>448</v>
      </c>
      <c r="I5" s="26" t="s">
        <v>448</v>
      </c>
      <c r="J5" s="26" t="s">
        <v>448</v>
      </c>
      <c r="K5" s="1655" t="s">
        <v>4195</v>
      </c>
      <c r="L5" s="1656" t="s">
        <v>4728</v>
      </c>
      <c r="M5" s="1655" t="s">
        <v>5406</v>
      </c>
      <c r="N5" s="22" t="s">
        <v>3984</v>
      </c>
      <c r="O5" s="22" t="s">
        <v>5478</v>
      </c>
      <c r="P5" s="1657" t="s">
        <v>1880</v>
      </c>
      <c r="Q5" s="1656" t="s">
        <v>4676</v>
      </c>
      <c r="R5" s="54" t="s">
        <v>9409</v>
      </c>
      <c r="S5" s="22" t="s">
        <v>1880</v>
      </c>
      <c r="T5" s="1656" t="s">
        <v>1894</v>
      </c>
      <c r="U5" s="1656" t="s">
        <v>1894</v>
      </c>
      <c r="V5" s="24" t="s">
        <v>10155</v>
      </c>
      <c r="W5" s="90" t="s">
        <v>10176</v>
      </c>
      <c r="X5" s="24" t="s">
        <v>2359</v>
      </c>
      <c r="Y5" s="24">
        <v>1</v>
      </c>
      <c r="Z5" s="24" t="s">
        <v>10177</v>
      </c>
      <c r="AA5" s="24" t="s">
        <v>10178</v>
      </c>
      <c r="AB5" s="30"/>
      <c r="AC5" s="30">
        <v>1.5667</v>
      </c>
      <c r="AD5" s="30">
        <v>1.5667</v>
      </c>
      <c r="AE5" s="59"/>
      <c r="AF5" s="59"/>
      <c r="AG5" s="35" t="s">
        <v>1104</v>
      </c>
      <c r="AH5" s="35" t="s">
        <v>10636</v>
      </c>
      <c r="AI5" s="1695" t="s">
        <v>19</v>
      </c>
      <c r="AJ5" s="202" t="s">
        <v>19</v>
      </c>
      <c r="AK5" s="35" t="s">
        <v>1880</v>
      </c>
      <c r="AL5" s="1648"/>
    </row>
    <row r="6" spans="1:38" s="11" customFormat="1" ht="26.25" customHeight="1" x14ac:dyDescent="0.15">
      <c r="A6" s="8">
        <f t="shared" si="0"/>
        <v>4</v>
      </c>
      <c r="B6" s="36" t="s">
        <v>10199</v>
      </c>
      <c r="C6" s="26" t="s">
        <v>19</v>
      </c>
      <c r="D6" s="26" t="s">
        <v>19</v>
      </c>
      <c r="E6" s="26" t="s">
        <v>19</v>
      </c>
      <c r="F6" s="29" t="s">
        <v>9314</v>
      </c>
      <c r="G6" s="53" t="s">
        <v>10175</v>
      </c>
      <c r="H6" s="26" t="s">
        <v>448</v>
      </c>
      <c r="I6" s="26" t="s">
        <v>448</v>
      </c>
      <c r="J6" s="26" t="s">
        <v>448</v>
      </c>
      <c r="K6" s="1656" t="s">
        <v>4195</v>
      </c>
      <c r="L6" s="1656" t="s">
        <v>4728</v>
      </c>
      <c r="M6" s="1656" t="s">
        <v>5673</v>
      </c>
      <c r="N6" s="22" t="s">
        <v>5674</v>
      </c>
      <c r="O6" s="22" t="s">
        <v>5478</v>
      </c>
      <c r="P6" s="1657" t="s">
        <v>1880</v>
      </c>
      <c r="Q6" s="1656" t="s">
        <v>4676</v>
      </c>
      <c r="R6" s="54" t="s">
        <v>9409</v>
      </c>
      <c r="S6" s="22" t="s">
        <v>1880</v>
      </c>
      <c r="T6" s="1656" t="s">
        <v>1894</v>
      </c>
      <c r="U6" s="1656" t="s">
        <v>1894</v>
      </c>
      <c r="V6" s="24" t="s">
        <v>10155</v>
      </c>
      <c r="W6" s="90" t="s">
        <v>10176</v>
      </c>
      <c r="X6" s="24" t="s">
        <v>2359</v>
      </c>
      <c r="Y6" s="24">
        <v>1</v>
      </c>
      <c r="Z6" s="24" t="s">
        <v>10177</v>
      </c>
      <c r="AA6" s="24" t="s">
        <v>10178</v>
      </c>
      <c r="AB6" s="30"/>
      <c r="AC6" s="30">
        <v>1.5667</v>
      </c>
      <c r="AD6" s="30">
        <v>1.5667</v>
      </c>
      <c r="AE6" s="59"/>
      <c r="AF6" s="59"/>
      <c r="AG6" s="35" t="s">
        <v>1104</v>
      </c>
      <c r="AH6" s="35" t="s">
        <v>10636</v>
      </c>
      <c r="AI6" s="1695" t="s">
        <v>19</v>
      </c>
      <c r="AJ6" s="202" t="s">
        <v>19</v>
      </c>
      <c r="AK6" s="35" t="s">
        <v>1880</v>
      </c>
      <c r="AL6" s="1656"/>
    </row>
    <row r="7" spans="1:38" s="11" customFormat="1" ht="26.25" customHeight="1" x14ac:dyDescent="0.15">
      <c r="A7" s="8">
        <f t="shared" si="0"/>
        <v>5</v>
      </c>
      <c r="B7" s="36" t="s">
        <v>10182</v>
      </c>
      <c r="C7" s="26" t="s">
        <v>19</v>
      </c>
      <c r="D7" s="26" t="s">
        <v>19</v>
      </c>
      <c r="E7" s="26" t="s">
        <v>19</v>
      </c>
      <c r="F7" s="123" t="s">
        <v>10242</v>
      </c>
      <c r="G7" s="53" t="s">
        <v>10186</v>
      </c>
      <c r="H7" s="26" t="s">
        <v>448</v>
      </c>
      <c r="I7" s="26" t="s">
        <v>448</v>
      </c>
      <c r="J7" s="26" t="s">
        <v>448</v>
      </c>
      <c r="K7" s="1656" t="s">
        <v>4712</v>
      </c>
      <c r="L7" s="1656" t="s">
        <v>9125</v>
      </c>
      <c r="M7" s="1656" t="s">
        <v>9126</v>
      </c>
      <c r="N7" s="22" t="s">
        <v>9660</v>
      </c>
      <c r="O7" s="1657" t="s">
        <v>2142</v>
      </c>
      <c r="P7" s="1657" t="s">
        <v>1880</v>
      </c>
      <c r="Q7" s="1656" t="s">
        <v>4676</v>
      </c>
      <c r="R7" s="222" t="s">
        <v>116</v>
      </c>
      <c r="S7" s="22" t="s">
        <v>1880</v>
      </c>
      <c r="T7" s="1648" t="s">
        <v>3248</v>
      </c>
      <c r="U7" s="1648" t="s">
        <v>3248</v>
      </c>
      <c r="V7" s="24" t="s">
        <v>10155</v>
      </c>
      <c r="W7" s="90" t="s">
        <v>10187</v>
      </c>
      <c r="X7" s="24" t="s">
        <v>2359</v>
      </c>
      <c r="Y7" s="24">
        <v>1</v>
      </c>
      <c r="Z7" s="24" t="s">
        <v>10172</v>
      </c>
      <c r="AA7" s="24" t="s">
        <v>10173</v>
      </c>
      <c r="AB7" s="30"/>
      <c r="AC7" s="30">
        <v>4.5</v>
      </c>
      <c r="AD7" s="30">
        <v>4.5</v>
      </c>
      <c r="AE7" s="59"/>
      <c r="AF7" s="59"/>
      <c r="AG7" s="35" t="s">
        <v>1104</v>
      </c>
      <c r="AH7" s="35" t="s">
        <v>10636</v>
      </c>
      <c r="AI7" s="1695" t="s">
        <v>19</v>
      </c>
      <c r="AJ7" s="202" t="s">
        <v>19</v>
      </c>
      <c r="AK7" s="35" t="s">
        <v>1880</v>
      </c>
      <c r="AL7" s="1648"/>
    </row>
    <row r="8" spans="1:38" s="11" customFormat="1" ht="26.25" customHeight="1" x14ac:dyDescent="0.15">
      <c r="A8" s="8">
        <f t="shared" si="0"/>
        <v>6</v>
      </c>
      <c r="B8" s="36" t="s">
        <v>10183</v>
      </c>
      <c r="C8" s="26" t="s">
        <v>19</v>
      </c>
      <c r="D8" s="26" t="s">
        <v>19</v>
      </c>
      <c r="E8" s="26" t="s">
        <v>19</v>
      </c>
      <c r="F8" s="123" t="s">
        <v>10242</v>
      </c>
      <c r="G8" s="53" t="s">
        <v>10186</v>
      </c>
      <c r="H8" s="26" t="s">
        <v>448</v>
      </c>
      <c r="I8" s="26" t="s">
        <v>448</v>
      </c>
      <c r="J8" s="26" t="s">
        <v>448</v>
      </c>
      <c r="K8" s="1656" t="s">
        <v>4712</v>
      </c>
      <c r="L8" s="1656" t="s">
        <v>9125</v>
      </c>
      <c r="M8" s="1656" t="s">
        <v>9128</v>
      </c>
      <c r="N8" s="22" t="s">
        <v>10179</v>
      </c>
      <c r="O8" s="1657" t="s">
        <v>2142</v>
      </c>
      <c r="P8" s="1657" t="s">
        <v>1880</v>
      </c>
      <c r="Q8" s="1656" t="s">
        <v>4676</v>
      </c>
      <c r="R8" s="222" t="s">
        <v>116</v>
      </c>
      <c r="S8" s="22" t="s">
        <v>1880</v>
      </c>
      <c r="T8" s="1656" t="s">
        <v>3248</v>
      </c>
      <c r="U8" s="1656" t="s">
        <v>3248</v>
      </c>
      <c r="V8" s="24" t="s">
        <v>10155</v>
      </c>
      <c r="W8" s="90" t="s">
        <v>10187</v>
      </c>
      <c r="X8" s="24" t="s">
        <v>2359</v>
      </c>
      <c r="Y8" s="24">
        <v>1</v>
      </c>
      <c r="Z8" s="24" t="s">
        <v>10172</v>
      </c>
      <c r="AA8" s="24" t="s">
        <v>10173</v>
      </c>
      <c r="AB8" s="30"/>
      <c r="AC8" s="30">
        <v>4.5</v>
      </c>
      <c r="AD8" s="30">
        <v>4.5</v>
      </c>
      <c r="AE8" s="59"/>
      <c r="AF8" s="59"/>
      <c r="AG8" s="35" t="s">
        <v>1104</v>
      </c>
      <c r="AH8" s="35" t="s">
        <v>10636</v>
      </c>
      <c r="AI8" s="1695" t="s">
        <v>19</v>
      </c>
      <c r="AJ8" s="202" t="s">
        <v>19</v>
      </c>
      <c r="AK8" s="35" t="s">
        <v>1880</v>
      </c>
      <c r="AL8" s="1656"/>
    </row>
    <row r="9" spans="1:38" s="11" customFormat="1" ht="26.25" customHeight="1" x14ac:dyDescent="0.15">
      <c r="A9" s="8">
        <f t="shared" si="0"/>
        <v>7</v>
      </c>
      <c r="B9" s="36" t="s">
        <v>10184</v>
      </c>
      <c r="C9" s="26" t="s">
        <v>19</v>
      </c>
      <c r="D9" s="26" t="s">
        <v>19</v>
      </c>
      <c r="E9" s="26" t="s">
        <v>19</v>
      </c>
      <c r="F9" s="123" t="s">
        <v>10242</v>
      </c>
      <c r="G9" s="53" t="s">
        <v>10186</v>
      </c>
      <c r="H9" s="26" t="s">
        <v>448</v>
      </c>
      <c r="I9" s="26" t="s">
        <v>448</v>
      </c>
      <c r="J9" s="26" t="s">
        <v>448</v>
      </c>
      <c r="K9" s="1656" t="s">
        <v>4712</v>
      </c>
      <c r="L9" s="1656" t="s">
        <v>9125</v>
      </c>
      <c r="M9" s="1656" t="s">
        <v>9131</v>
      </c>
      <c r="N9" s="22" t="s">
        <v>10181</v>
      </c>
      <c r="O9" s="1657" t="s">
        <v>2142</v>
      </c>
      <c r="P9" s="1657" t="s">
        <v>1880</v>
      </c>
      <c r="Q9" s="1656" t="s">
        <v>4676</v>
      </c>
      <c r="R9" s="222" t="s">
        <v>116</v>
      </c>
      <c r="S9" s="22" t="s">
        <v>1880</v>
      </c>
      <c r="T9" s="1656" t="s">
        <v>3248</v>
      </c>
      <c r="U9" s="1656" t="s">
        <v>3248</v>
      </c>
      <c r="V9" s="24" t="s">
        <v>10155</v>
      </c>
      <c r="W9" s="90" t="s">
        <v>10187</v>
      </c>
      <c r="X9" s="24" t="s">
        <v>2359</v>
      </c>
      <c r="Y9" s="24">
        <v>1</v>
      </c>
      <c r="Z9" s="24" t="s">
        <v>10172</v>
      </c>
      <c r="AA9" s="24" t="s">
        <v>10173</v>
      </c>
      <c r="AB9" s="30"/>
      <c r="AC9" s="30">
        <v>4.5</v>
      </c>
      <c r="AD9" s="30">
        <v>4.5</v>
      </c>
      <c r="AE9" s="59"/>
      <c r="AF9" s="59"/>
      <c r="AG9" s="35" t="s">
        <v>1104</v>
      </c>
      <c r="AH9" s="35" t="s">
        <v>10636</v>
      </c>
      <c r="AI9" s="1695" t="s">
        <v>19</v>
      </c>
      <c r="AJ9" s="202" t="s">
        <v>19</v>
      </c>
      <c r="AK9" s="35" t="s">
        <v>1880</v>
      </c>
      <c r="AL9" s="1656"/>
    </row>
    <row r="10" spans="1:38" s="11" customFormat="1" ht="26.25" customHeight="1" x14ac:dyDescent="0.15">
      <c r="A10" s="8">
        <f t="shared" si="0"/>
        <v>8</v>
      </c>
      <c r="B10" s="36" t="s">
        <v>10185</v>
      </c>
      <c r="C10" s="26" t="s">
        <v>19</v>
      </c>
      <c r="D10" s="26" t="s">
        <v>19</v>
      </c>
      <c r="E10" s="26" t="s">
        <v>19</v>
      </c>
      <c r="F10" s="123" t="s">
        <v>10242</v>
      </c>
      <c r="G10" s="53" t="s">
        <v>10186</v>
      </c>
      <c r="H10" s="26" t="s">
        <v>448</v>
      </c>
      <c r="I10" s="26" t="s">
        <v>448</v>
      </c>
      <c r="J10" s="26" t="s">
        <v>448</v>
      </c>
      <c r="K10" s="1656" t="s">
        <v>4712</v>
      </c>
      <c r="L10" s="1656" t="s">
        <v>9125</v>
      </c>
      <c r="M10" s="1656" t="s">
        <v>9132</v>
      </c>
      <c r="N10" s="22" t="s">
        <v>10180</v>
      </c>
      <c r="O10" s="1657" t="s">
        <v>2142</v>
      </c>
      <c r="P10" s="1657" t="s">
        <v>1880</v>
      </c>
      <c r="Q10" s="1656" t="s">
        <v>4676</v>
      </c>
      <c r="R10" s="222" t="s">
        <v>116</v>
      </c>
      <c r="S10" s="22" t="s">
        <v>1880</v>
      </c>
      <c r="T10" s="1656" t="s">
        <v>3248</v>
      </c>
      <c r="U10" s="1656" t="s">
        <v>3248</v>
      </c>
      <c r="V10" s="24" t="s">
        <v>10155</v>
      </c>
      <c r="W10" s="90" t="s">
        <v>10187</v>
      </c>
      <c r="X10" s="24" t="s">
        <v>2359</v>
      </c>
      <c r="Y10" s="24">
        <v>1</v>
      </c>
      <c r="Z10" s="24" t="s">
        <v>10172</v>
      </c>
      <c r="AA10" s="24" t="s">
        <v>10173</v>
      </c>
      <c r="AB10" s="30"/>
      <c r="AC10" s="30">
        <v>4.5</v>
      </c>
      <c r="AD10" s="30">
        <v>4.5</v>
      </c>
      <c r="AE10" s="59"/>
      <c r="AF10" s="59"/>
      <c r="AG10" s="35" t="s">
        <v>1104</v>
      </c>
      <c r="AH10" s="35" t="s">
        <v>10636</v>
      </c>
      <c r="AI10" s="1695" t="s">
        <v>19</v>
      </c>
      <c r="AJ10" s="202" t="s">
        <v>19</v>
      </c>
      <c r="AK10" s="35" t="s">
        <v>1880</v>
      </c>
      <c r="AL10" s="1656"/>
    </row>
    <row r="11" spans="1:38" s="11" customFormat="1" ht="26.25" customHeight="1" x14ac:dyDescent="0.15">
      <c r="A11" s="8">
        <f t="shared" si="0"/>
        <v>9</v>
      </c>
      <c r="B11" s="36" t="s">
        <v>10157</v>
      </c>
      <c r="C11" s="26" t="s">
        <v>19</v>
      </c>
      <c r="D11" s="26" t="s">
        <v>19</v>
      </c>
      <c r="E11" s="26" t="s">
        <v>19</v>
      </c>
      <c r="F11" s="29" t="s">
        <v>4606</v>
      </c>
      <c r="G11" s="53" t="s">
        <v>2070</v>
      </c>
      <c r="H11" s="26" t="s">
        <v>19</v>
      </c>
      <c r="I11" s="26" t="s">
        <v>19</v>
      </c>
      <c r="J11" s="26" t="s">
        <v>19</v>
      </c>
      <c r="K11" s="1647" t="s">
        <v>1147</v>
      </c>
      <c r="L11" s="1647" t="s">
        <v>2437</v>
      </c>
      <c r="M11" s="1647" t="s">
        <v>10163</v>
      </c>
      <c r="N11" s="22" t="s">
        <v>1138</v>
      </c>
      <c r="O11" s="22" t="s">
        <v>1826</v>
      </c>
      <c r="P11" s="1653" t="s">
        <v>111</v>
      </c>
      <c r="Q11" s="1648" t="s">
        <v>1818</v>
      </c>
      <c r="R11" s="54" t="s">
        <v>10164</v>
      </c>
      <c r="S11" s="26" t="s">
        <v>19</v>
      </c>
      <c r="T11" s="1648" t="s">
        <v>1151</v>
      </c>
      <c r="U11" s="1648" t="s">
        <v>1151</v>
      </c>
      <c r="V11" s="24" t="s">
        <v>10155</v>
      </c>
      <c r="W11" s="90" t="s">
        <v>10165</v>
      </c>
      <c r="X11" s="24" t="s">
        <v>2359</v>
      </c>
      <c r="Y11" s="24">
        <v>1</v>
      </c>
      <c r="Z11" s="24" t="s">
        <v>10166</v>
      </c>
      <c r="AA11" s="24" t="s">
        <v>1880</v>
      </c>
      <c r="AB11" s="30">
        <v>40</v>
      </c>
      <c r="AC11" s="30"/>
      <c r="AD11" s="30">
        <v>40</v>
      </c>
      <c r="AE11" s="59"/>
      <c r="AF11" s="59"/>
      <c r="AG11" s="35" t="s">
        <v>1104</v>
      </c>
      <c r="AH11" s="35" t="s">
        <v>10637</v>
      </c>
      <c r="AI11" s="35" t="s">
        <v>10638</v>
      </c>
      <c r="AJ11" s="202" t="s">
        <v>19</v>
      </c>
      <c r="AK11" s="35" t="s">
        <v>1880</v>
      </c>
      <c r="AL11" s="1648"/>
    </row>
    <row r="12" spans="1:38" s="11" customFormat="1" ht="26.25" customHeight="1" x14ac:dyDescent="0.15">
      <c r="A12" s="8">
        <f t="shared" si="0"/>
        <v>10</v>
      </c>
      <c r="B12" s="36" t="s">
        <v>10201</v>
      </c>
      <c r="C12" s="26" t="s">
        <v>19</v>
      </c>
      <c r="D12" s="26" t="s">
        <v>19</v>
      </c>
      <c r="E12" s="26" t="s">
        <v>19</v>
      </c>
      <c r="F12" s="54" t="s">
        <v>10188</v>
      </c>
      <c r="G12" s="98" t="s">
        <v>9028</v>
      </c>
      <c r="H12" s="26" t="s">
        <v>19</v>
      </c>
      <c r="I12" s="26" t="s">
        <v>19</v>
      </c>
      <c r="J12" s="26" t="s">
        <v>19</v>
      </c>
      <c r="K12" s="1650" t="s">
        <v>4195</v>
      </c>
      <c r="L12" s="1650" t="s">
        <v>9065</v>
      </c>
      <c r="M12" s="1650" t="s">
        <v>5360</v>
      </c>
      <c r="N12" s="22" t="s">
        <v>9032</v>
      </c>
      <c r="O12" s="1651" t="s">
        <v>5478</v>
      </c>
      <c r="P12" s="1651" t="s">
        <v>111</v>
      </c>
      <c r="Q12" s="1650" t="s">
        <v>4676</v>
      </c>
      <c r="R12" s="54" t="s">
        <v>116</v>
      </c>
      <c r="S12" s="26" t="s">
        <v>19</v>
      </c>
      <c r="T12" s="1650" t="s">
        <v>5489</v>
      </c>
      <c r="U12" s="1650" t="s">
        <v>5489</v>
      </c>
      <c r="V12" s="24" t="s">
        <v>10193</v>
      </c>
      <c r="W12" s="271" t="s">
        <v>10200</v>
      </c>
      <c r="X12" s="24" t="s">
        <v>2359</v>
      </c>
      <c r="Y12" s="24">
        <v>1</v>
      </c>
      <c r="Z12" s="24" t="s">
        <v>10159</v>
      </c>
      <c r="AA12" s="24" t="s">
        <v>10160</v>
      </c>
      <c r="AB12" s="30"/>
      <c r="AC12" s="30">
        <v>5</v>
      </c>
      <c r="AD12" s="30">
        <v>5</v>
      </c>
      <c r="AE12" s="59"/>
      <c r="AF12" s="59"/>
      <c r="AG12" s="35" t="s">
        <v>1104</v>
      </c>
      <c r="AH12" s="35" t="s">
        <v>10636</v>
      </c>
      <c r="AI12" s="1695" t="s">
        <v>19</v>
      </c>
      <c r="AJ12" s="202" t="s">
        <v>19</v>
      </c>
      <c r="AK12" s="35" t="s">
        <v>1880</v>
      </c>
      <c r="AL12" s="1648" t="s">
        <v>10158</v>
      </c>
    </row>
    <row r="13" spans="1:38" s="11" customFormat="1" ht="26.25" customHeight="1" x14ac:dyDescent="0.15">
      <c r="A13" s="8">
        <f t="shared" si="0"/>
        <v>11</v>
      </c>
      <c r="B13" s="36" t="s">
        <v>10169</v>
      </c>
      <c r="C13" s="26" t="s">
        <v>19</v>
      </c>
      <c r="D13" s="26" t="s">
        <v>19</v>
      </c>
      <c r="E13" s="26" t="s">
        <v>19</v>
      </c>
      <c r="F13" s="29" t="s">
        <v>10190</v>
      </c>
      <c r="G13" s="53" t="s">
        <v>10191</v>
      </c>
      <c r="H13" s="26" t="s">
        <v>448</v>
      </c>
      <c r="I13" s="26" t="s">
        <v>448</v>
      </c>
      <c r="J13" s="26" t="s">
        <v>448</v>
      </c>
      <c r="K13" s="1657" t="s">
        <v>2135</v>
      </c>
      <c r="L13" s="1657" t="s">
        <v>2327</v>
      </c>
      <c r="M13" s="1657" t="s">
        <v>7640</v>
      </c>
      <c r="N13" s="22" t="s">
        <v>10189</v>
      </c>
      <c r="O13" s="22" t="s">
        <v>1826</v>
      </c>
      <c r="P13" s="1657" t="s">
        <v>111</v>
      </c>
      <c r="Q13" s="1656" t="s">
        <v>1818</v>
      </c>
      <c r="R13" s="54" t="s">
        <v>1819</v>
      </c>
      <c r="S13" s="26" t="s">
        <v>19</v>
      </c>
      <c r="T13" s="1654" t="s">
        <v>2072</v>
      </c>
      <c r="U13" s="1654" t="s">
        <v>2072</v>
      </c>
      <c r="V13" s="24" t="s">
        <v>10212</v>
      </c>
      <c r="W13" s="90" t="s">
        <v>10194</v>
      </c>
      <c r="X13" s="24" t="s">
        <v>2359</v>
      </c>
      <c r="Y13" s="24">
        <v>1</v>
      </c>
      <c r="Z13" s="24" t="s">
        <v>10172</v>
      </c>
      <c r="AA13" s="24" t="s">
        <v>10173</v>
      </c>
      <c r="AB13" s="30"/>
      <c r="AC13" s="30">
        <v>6</v>
      </c>
      <c r="AD13" s="30">
        <v>6</v>
      </c>
      <c r="AE13" s="59"/>
      <c r="AF13" s="59"/>
      <c r="AG13" s="35" t="s">
        <v>1104</v>
      </c>
      <c r="AH13" s="35" t="s">
        <v>10636</v>
      </c>
      <c r="AI13" s="1695" t="s">
        <v>19</v>
      </c>
      <c r="AJ13" s="202" t="s">
        <v>19</v>
      </c>
      <c r="AK13" s="35" t="s">
        <v>1880</v>
      </c>
      <c r="AL13" s="1654"/>
    </row>
    <row r="14" spans="1:38" s="11" customFormat="1" ht="26.25" customHeight="1" x14ac:dyDescent="0.15">
      <c r="A14" s="8">
        <f t="shared" si="0"/>
        <v>12</v>
      </c>
      <c r="B14" s="36" t="s">
        <v>10170</v>
      </c>
      <c r="C14" s="26" t="s">
        <v>19</v>
      </c>
      <c r="D14" s="26" t="s">
        <v>19</v>
      </c>
      <c r="E14" s="26" t="s">
        <v>19</v>
      </c>
      <c r="F14" s="29" t="s">
        <v>10190</v>
      </c>
      <c r="G14" s="53" t="s">
        <v>10195</v>
      </c>
      <c r="H14" s="26" t="s">
        <v>448</v>
      </c>
      <c r="I14" s="26" t="s">
        <v>448</v>
      </c>
      <c r="J14" s="26" t="s">
        <v>448</v>
      </c>
      <c r="K14" s="1657" t="s">
        <v>2135</v>
      </c>
      <c r="L14" s="1657" t="s">
        <v>2327</v>
      </c>
      <c r="M14" s="1657" t="s">
        <v>7641</v>
      </c>
      <c r="N14" s="22" t="s">
        <v>4780</v>
      </c>
      <c r="O14" s="22" t="s">
        <v>1826</v>
      </c>
      <c r="P14" s="1657" t="s">
        <v>111</v>
      </c>
      <c r="Q14" s="1656" t="s">
        <v>1818</v>
      </c>
      <c r="R14" s="54" t="s">
        <v>1819</v>
      </c>
      <c r="S14" s="26" t="s">
        <v>19</v>
      </c>
      <c r="T14" s="1656" t="s">
        <v>2072</v>
      </c>
      <c r="U14" s="1656" t="s">
        <v>2072</v>
      </c>
      <c r="V14" s="24" t="s">
        <v>10212</v>
      </c>
      <c r="W14" s="90" t="s">
        <v>10196</v>
      </c>
      <c r="X14" s="24" t="s">
        <v>2359</v>
      </c>
      <c r="Y14" s="24">
        <v>1</v>
      </c>
      <c r="Z14" s="24" t="s">
        <v>10172</v>
      </c>
      <c r="AA14" s="24" t="s">
        <v>10173</v>
      </c>
      <c r="AB14" s="30"/>
      <c r="AC14" s="30">
        <v>6</v>
      </c>
      <c r="AD14" s="30">
        <v>6</v>
      </c>
      <c r="AE14" s="59"/>
      <c r="AF14" s="59"/>
      <c r="AG14" s="35" t="s">
        <v>1104</v>
      </c>
      <c r="AH14" s="35" t="s">
        <v>10636</v>
      </c>
      <c r="AI14" s="1695" t="s">
        <v>19</v>
      </c>
      <c r="AJ14" s="202" t="s">
        <v>19</v>
      </c>
      <c r="AK14" s="35" t="s">
        <v>1880</v>
      </c>
      <c r="AL14" s="1654"/>
    </row>
    <row r="15" spans="1:38" s="11" customFormat="1" ht="26.25" customHeight="1" x14ac:dyDescent="0.15">
      <c r="A15" s="8">
        <f t="shared" si="0"/>
        <v>13</v>
      </c>
      <c r="B15" s="36" t="s">
        <v>10197</v>
      </c>
      <c r="C15" s="26" t="s">
        <v>19</v>
      </c>
      <c r="D15" s="26" t="s">
        <v>19</v>
      </c>
      <c r="E15" s="26" t="s">
        <v>19</v>
      </c>
      <c r="F15" s="29" t="s">
        <v>6078</v>
      </c>
      <c r="G15" s="53" t="s">
        <v>6725</v>
      </c>
      <c r="H15" s="26" t="s">
        <v>448</v>
      </c>
      <c r="I15" s="26" t="s">
        <v>448</v>
      </c>
      <c r="J15" s="26" t="s">
        <v>448</v>
      </c>
      <c r="K15" s="1655" t="s">
        <v>3649</v>
      </c>
      <c r="L15" s="1655" t="s">
        <v>6079</v>
      </c>
      <c r="M15" s="1655" t="s">
        <v>6080</v>
      </c>
      <c r="N15" s="22" t="s">
        <v>4780</v>
      </c>
      <c r="O15" s="1657" t="s">
        <v>1826</v>
      </c>
      <c r="P15" s="1657" t="s">
        <v>111</v>
      </c>
      <c r="Q15" s="28" t="s">
        <v>25</v>
      </c>
      <c r="R15" s="54" t="s">
        <v>11620</v>
      </c>
      <c r="S15" s="1657" t="s">
        <v>111</v>
      </c>
      <c r="T15" s="1656" t="s">
        <v>5487</v>
      </c>
      <c r="U15" s="1656" t="s">
        <v>5487</v>
      </c>
      <c r="V15" s="24" t="s">
        <v>10192</v>
      </c>
      <c r="W15" s="90" t="s">
        <v>10194</v>
      </c>
      <c r="X15" s="24" t="s">
        <v>2359</v>
      </c>
      <c r="Y15" s="24">
        <v>1</v>
      </c>
      <c r="Z15" s="24" t="s">
        <v>10198</v>
      </c>
      <c r="AA15" s="24" t="s">
        <v>11619</v>
      </c>
      <c r="AB15" s="30"/>
      <c r="AC15" s="136">
        <v>7.628571</v>
      </c>
      <c r="AD15" s="136">
        <v>7.628571</v>
      </c>
      <c r="AE15" s="59"/>
      <c r="AF15" s="59"/>
      <c r="AG15" s="35" t="s">
        <v>1104</v>
      </c>
      <c r="AH15" s="35" t="s">
        <v>10636</v>
      </c>
      <c r="AI15" s="1695" t="s">
        <v>19</v>
      </c>
      <c r="AJ15" s="202" t="s">
        <v>19</v>
      </c>
      <c r="AK15" s="35" t="s">
        <v>1880</v>
      </c>
      <c r="AL15" s="1654" t="s">
        <v>11621</v>
      </c>
    </row>
    <row r="16" spans="1:38" s="11" customFormat="1" ht="26.25" customHeight="1" x14ac:dyDescent="0.15">
      <c r="A16" s="8">
        <f t="shared" si="0"/>
        <v>14</v>
      </c>
      <c r="B16" s="36" t="s">
        <v>10203</v>
      </c>
      <c r="C16" s="26" t="s">
        <v>19</v>
      </c>
      <c r="D16" s="26" t="s">
        <v>19</v>
      </c>
      <c r="E16" s="26" t="s">
        <v>19</v>
      </c>
      <c r="F16" s="29" t="s">
        <v>9088</v>
      </c>
      <c r="G16" s="99" t="s">
        <v>8961</v>
      </c>
      <c r="H16" s="26" t="s">
        <v>448</v>
      </c>
      <c r="I16" s="26" t="s">
        <v>448</v>
      </c>
      <c r="J16" s="26" t="s">
        <v>448</v>
      </c>
      <c r="K16" s="1" t="s">
        <v>23</v>
      </c>
      <c r="L16" s="142" t="s">
        <v>177</v>
      </c>
      <c r="M16" s="1" t="s">
        <v>5008</v>
      </c>
      <c r="N16" s="1" t="s">
        <v>5009</v>
      </c>
      <c r="O16" s="22" t="s">
        <v>1826</v>
      </c>
      <c r="P16" s="22" t="s">
        <v>1880</v>
      </c>
      <c r="Q16" s="1659" t="s">
        <v>102</v>
      </c>
      <c r="R16" s="54" t="s">
        <v>116</v>
      </c>
      <c r="S16" s="22" t="s">
        <v>1880</v>
      </c>
      <c r="T16" s="1659" t="s">
        <v>1894</v>
      </c>
      <c r="U16" s="1659" t="s">
        <v>1894</v>
      </c>
      <c r="V16" s="24" t="s">
        <v>10207</v>
      </c>
      <c r="W16" s="499"/>
      <c r="X16" s="484"/>
      <c r="Y16" s="484"/>
      <c r="Z16" s="24" t="s">
        <v>10208</v>
      </c>
      <c r="AA16" s="24" t="s">
        <v>10209</v>
      </c>
      <c r="AB16" s="30"/>
      <c r="AC16" s="30">
        <v>9.1</v>
      </c>
      <c r="AD16" s="30">
        <v>9.1</v>
      </c>
      <c r="AE16" s="59"/>
      <c r="AF16" s="59"/>
      <c r="AG16" s="35" t="s">
        <v>1104</v>
      </c>
      <c r="AH16" s="35" t="s">
        <v>10636</v>
      </c>
      <c r="AI16" s="1695" t="s">
        <v>19</v>
      </c>
      <c r="AJ16" s="202" t="s">
        <v>19</v>
      </c>
      <c r="AK16" s="35" t="s">
        <v>1880</v>
      </c>
      <c r="AL16" s="1659" t="s">
        <v>10213</v>
      </c>
    </row>
    <row r="17" spans="1:38" s="11" customFormat="1" ht="26.25" customHeight="1" x14ac:dyDescent="0.15">
      <c r="A17" s="8">
        <f t="shared" si="0"/>
        <v>15</v>
      </c>
      <c r="B17" s="36" t="s">
        <v>10204</v>
      </c>
      <c r="C17" s="26" t="s">
        <v>19</v>
      </c>
      <c r="D17" s="26" t="s">
        <v>19</v>
      </c>
      <c r="E17" s="26" t="s">
        <v>19</v>
      </c>
      <c r="F17" s="29" t="s">
        <v>9089</v>
      </c>
      <c r="G17" s="99" t="s">
        <v>8961</v>
      </c>
      <c r="H17" s="26" t="s">
        <v>448</v>
      </c>
      <c r="I17" s="26" t="s">
        <v>448</v>
      </c>
      <c r="J17" s="26" t="s">
        <v>448</v>
      </c>
      <c r="K17" s="1" t="s">
        <v>23</v>
      </c>
      <c r="L17" s="1" t="s">
        <v>177</v>
      </c>
      <c r="M17" s="1" t="s">
        <v>4966</v>
      </c>
      <c r="N17" s="22" t="s">
        <v>3545</v>
      </c>
      <c r="O17" s="22" t="s">
        <v>1826</v>
      </c>
      <c r="P17" s="22" t="s">
        <v>1880</v>
      </c>
      <c r="Q17" s="1659" t="s">
        <v>102</v>
      </c>
      <c r="R17" s="54" t="s">
        <v>116</v>
      </c>
      <c r="S17" s="22" t="s">
        <v>1880</v>
      </c>
      <c r="T17" s="1659" t="s">
        <v>1894</v>
      </c>
      <c r="U17" s="1659" t="s">
        <v>1894</v>
      </c>
      <c r="V17" s="24" t="s">
        <v>10207</v>
      </c>
      <c r="W17" s="499"/>
      <c r="X17" s="484"/>
      <c r="Y17" s="484"/>
      <c r="Z17" s="24" t="s">
        <v>10208</v>
      </c>
      <c r="AA17" s="24" t="s">
        <v>10209</v>
      </c>
      <c r="AB17" s="30"/>
      <c r="AC17" s="30">
        <v>9.1</v>
      </c>
      <c r="AD17" s="30">
        <v>9.1</v>
      </c>
      <c r="AE17" s="59"/>
      <c r="AF17" s="59"/>
      <c r="AG17" s="35" t="s">
        <v>1104</v>
      </c>
      <c r="AH17" s="35" t="s">
        <v>10636</v>
      </c>
      <c r="AI17" s="1695" t="s">
        <v>19</v>
      </c>
      <c r="AJ17" s="202" t="s">
        <v>19</v>
      </c>
      <c r="AK17" s="35" t="s">
        <v>1880</v>
      </c>
      <c r="AL17" s="1661" t="s">
        <v>10213</v>
      </c>
    </row>
    <row r="18" spans="1:38" s="11" customFormat="1" ht="26.25" customHeight="1" x14ac:dyDescent="0.15">
      <c r="A18" s="8">
        <f t="shared" si="0"/>
        <v>16</v>
      </c>
      <c r="B18" s="36" t="s">
        <v>10205</v>
      </c>
      <c r="C18" s="26" t="s">
        <v>19</v>
      </c>
      <c r="D18" s="26" t="s">
        <v>19</v>
      </c>
      <c r="E18" s="26" t="s">
        <v>19</v>
      </c>
      <c r="F18" s="29" t="s">
        <v>9090</v>
      </c>
      <c r="G18" s="99" t="s">
        <v>8961</v>
      </c>
      <c r="H18" s="26" t="s">
        <v>448</v>
      </c>
      <c r="I18" s="26" t="s">
        <v>448</v>
      </c>
      <c r="J18" s="26" t="s">
        <v>448</v>
      </c>
      <c r="K18" s="1" t="s">
        <v>23</v>
      </c>
      <c r="L18" s="1" t="s">
        <v>177</v>
      </c>
      <c r="M18" s="1" t="s">
        <v>4969</v>
      </c>
      <c r="N18" s="22" t="s">
        <v>3550</v>
      </c>
      <c r="O18" s="22" t="s">
        <v>1826</v>
      </c>
      <c r="P18" s="22" t="s">
        <v>1880</v>
      </c>
      <c r="Q18" s="1659" t="s">
        <v>102</v>
      </c>
      <c r="R18" s="54" t="s">
        <v>116</v>
      </c>
      <c r="S18" s="22" t="s">
        <v>1880</v>
      </c>
      <c r="T18" s="1659" t="s">
        <v>1894</v>
      </c>
      <c r="U18" s="1659" t="s">
        <v>1894</v>
      </c>
      <c r="V18" s="24" t="s">
        <v>10207</v>
      </c>
      <c r="W18" s="499"/>
      <c r="X18" s="484"/>
      <c r="Y18" s="484"/>
      <c r="Z18" s="24" t="s">
        <v>10208</v>
      </c>
      <c r="AA18" s="24" t="s">
        <v>10209</v>
      </c>
      <c r="AB18" s="30"/>
      <c r="AC18" s="30">
        <v>9.1</v>
      </c>
      <c r="AD18" s="30">
        <v>9.1</v>
      </c>
      <c r="AE18" s="59"/>
      <c r="AF18" s="59"/>
      <c r="AG18" s="35" t="s">
        <v>1104</v>
      </c>
      <c r="AH18" s="35" t="s">
        <v>10636</v>
      </c>
      <c r="AI18" s="1695" t="s">
        <v>19</v>
      </c>
      <c r="AJ18" s="202" t="s">
        <v>19</v>
      </c>
      <c r="AK18" s="35" t="s">
        <v>1880</v>
      </c>
      <c r="AL18" s="1661" t="s">
        <v>10213</v>
      </c>
    </row>
    <row r="19" spans="1:38" s="11" customFormat="1" ht="26.25" customHeight="1" x14ac:dyDescent="0.15">
      <c r="A19" s="8">
        <f t="shared" si="0"/>
        <v>17</v>
      </c>
      <c r="B19" s="36" t="s">
        <v>10206</v>
      </c>
      <c r="C19" s="26" t="s">
        <v>19</v>
      </c>
      <c r="D19" s="26" t="s">
        <v>10892</v>
      </c>
      <c r="E19" s="26" t="s">
        <v>19</v>
      </c>
      <c r="F19" s="29" t="s">
        <v>9210</v>
      </c>
      <c r="G19" s="99" t="s">
        <v>8961</v>
      </c>
      <c r="H19" s="26" t="s">
        <v>19</v>
      </c>
      <c r="I19" s="26" t="s">
        <v>19</v>
      </c>
      <c r="J19" s="26" t="s">
        <v>19</v>
      </c>
      <c r="K19" s="1659" t="s">
        <v>4195</v>
      </c>
      <c r="L19" s="1659" t="s">
        <v>4750</v>
      </c>
      <c r="M19" s="1659" t="s">
        <v>9211</v>
      </c>
      <c r="N19" s="1660" t="s">
        <v>9212</v>
      </c>
      <c r="O19" s="22" t="s">
        <v>1826</v>
      </c>
      <c r="P19" s="22" t="s">
        <v>1880</v>
      </c>
      <c r="Q19" s="1659" t="s">
        <v>102</v>
      </c>
      <c r="R19" s="54" t="s">
        <v>116</v>
      </c>
      <c r="S19" s="22" t="s">
        <v>1880</v>
      </c>
      <c r="T19" s="1659" t="s">
        <v>1894</v>
      </c>
      <c r="U19" s="1659" t="s">
        <v>1894</v>
      </c>
      <c r="V19" s="24" t="s">
        <v>10207</v>
      </c>
      <c r="W19" s="499"/>
      <c r="X19" s="484"/>
      <c r="Y19" s="484"/>
      <c r="Z19" s="24" t="s">
        <v>10210</v>
      </c>
      <c r="AA19" s="24" t="s">
        <v>10211</v>
      </c>
      <c r="AB19" s="30"/>
      <c r="AC19" s="30">
        <v>9.1</v>
      </c>
      <c r="AD19" s="30">
        <v>9.1</v>
      </c>
      <c r="AE19" s="59"/>
      <c r="AF19" s="59"/>
      <c r="AG19" s="35" t="s">
        <v>1104</v>
      </c>
      <c r="AH19" s="35" t="s">
        <v>10636</v>
      </c>
      <c r="AI19" s="1695" t="s">
        <v>19</v>
      </c>
      <c r="AJ19" s="202" t="s">
        <v>19</v>
      </c>
      <c r="AK19" s="35" t="s">
        <v>1880</v>
      </c>
      <c r="AL19" s="1661" t="s">
        <v>10213</v>
      </c>
    </row>
    <row r="20" spans="1:38" s="11" customFormat="1" ht="26.25" customHeight="1" x14ac:dyDescent="0.15">
      <c r="A20" s="8">
        <f t="shared" si="0"/>
        <v>18</v>
      </c>
      <c r="B20" s="36" t="s">
        <v>10216</v>
      </c>
      <c r="C20" s="26" t="s">
        <v>19</v>
      </c>
      <c r="D20" s="26" t="s">
        <v>19</v>
      </c>
      <c r="E20" s="26" t="s">
        <v>19</v>
      </c>
      <c r="F20" s="29" t="s">
        <v>6773</v>
      </c>
      <c r="G20" s="53" t="s">
        <v>10226</v>
      </c>
      <c r="H20" s="26" t="s">
        <v>448</v>
      </c>
      <c r="I20" s="26" t="s">
        <v>448</v>
      </c>
      <c r="J20" s="26" t="s">
        <v>448</v>
      </c>
      <c r="K20" s="1664" t="s">
        <v>4691</v>
      </c>
      <c r="L20" s="1664" t="s">
        <v>4728</v>
      </c>
      <c r="M20" s="1664" t="s">
        <v>8271</v>
      </c>
      <c r="N20" s="22" t="s">
        <v>4780</v>
      </c>
      <c r="O20" s="22" t="s">
        <v>5431</v>
      </c>
      <c r="P20" s="1665" t="s">
        <v>111</v>
      </c>
      <c r="Q20" s="1664" t="s">
        <v>1131</v>
      </c>
      <c r="R20" s="54" t="s">
        <v>1122</v>
      </c>
      <c r="S20" s="1665" t="s">
        <v>111</v>
      </c>
      <c r="T20" s="1664" t="s">
        <v>1894</v>
      </c>
      <c r="U20" s="1664" t="s">
        <v>1894</v>
      </c>
      <c r="V20" s="24" t="s">
        <v>10217</v>
      </c>
      <c r="W20" s="90" t="s">
        <v>10172</v>
      </c>
      <c r="X20" s="24" t="s">
        <v>2359</v>
      </c>
      <c r="Y20" s="24">
        <v>1</v>
      </c>
      <c r="Z20" s="24" t="s">
        <v>10172</v>
      </c>
      <c r="AA20" s="24" t="s">
        <v>10227</v>
      </c>
      <c r="AB20" s="30"/>
      <c r="AC20" s="30">
        <v>50</v>
      </c>
      <c r="AD20" s="30">
        <v>50</v>
      </c>
      <c r="AE20" s="59"/>
      <c r="AF20" s="59"/>
      <c r="AG20" s="35" t="s">
        <v>1104</v>
      </c>
      <c r="AH20" s="35" t="s">
        <v>10636</v>
      </c>
      <c r="AI20" s="1695" t="s">
        <v>19</v>
      </c>
      <c r="AJ20" s="202" t="s">
        <v>19</v>
      </c>
      <c r="AK20" s="35" t="s">
        <v>1880</v>
      </c>
      <c r="AL20" s="1662"/>
    </row>
    <row r="21" spans="1:38" s="11" customFormat="1" ht="26.25" customHeight="1" x14ac:dyDescent="0.15">
      <c r="A21" s="8">
        <f t="shared" si="0"/>
        <v>19</v>
      </c>
      <c r="B21" s="36" t="s">
        <v>10218</v>
      </c>
      <c r="C21" s="1665" t="s">
        <v>111</v>
      </c>
      <c r="D21" s="1665" t="s">
        <v>111</v>
      </c>
      <c r="E21" s="1665" t="s">
        <v>111</v>
      </c>
      <c r="F21" s="29" t="s">
        <v>5664</v>
      </c>
      <c r="G21" s="53" t="s">
        <v>10228</v>
      </c>
      <c r="H21" s="26" t="s">
        <v>448</v>
      </c>
      <c r="I21" s="26" t="s">
        <v>448</v>
      </c>
      <c r="J21" s="26" t="s">
        <v>448</v>
      </c>
      <c r="K21" s="1663" t="s">
        <v>4691</v>
      </c>
      <c r="L21" s="1663" t="s">
        <v>4728</v>
      </c>
      <c r="M21" s="1663" t="s">
        <v>5666</v>
      </c>
      <c r="N21" s="22" t="s">
        <v>4780</v>
      </c>
      <c r="O21" s="22" t="s">
        <v>5431</v>
      </c>
      <c r="P21" s="1665" t="s">
        <v>111</v>
      </c>
      <c r="Q21" s="1664" t="s">
        <v>1131</v>
      </c>
      <c r="R21" s="54" t="s">
        <v>1122</v>
      </c>
      <c r="S21" s="1665" t="s">
        <v>111</v>
      </c>
      <c r="T21" s="1662" t="s">
        <v>1894</v>
      </c>
      <c r="U21" s="1662" t="s">
        <v>1894</v>
      </c>
      <c r="V21" s="24" t="s">
        <v>10217</v>
      </c>
      <c r="W21" s="90" t="s">
        <v>10229</v>
      </c>
      <c r="X21" s="24" t="s">
        <v>2359</v>
      </c>
      <c r="Y21" s="24">
        <v>3</v>
      </c>
      <c r="Z21" s="24" t="s">
        <v>10229</v>
      </c>
      <c r="AA21" s="24" t="s">
        <v>10230</v>
      </c>
      <c r="AB21" s="30"/>
      <c r="AC21" s="30">
        <v>18.399999999999999</v>
      </c>
      <c r="AD21" s="30">
        <v>18.399999999999999</v>
      </c>
      <c r="AE21" s="59"/>
      <c r="AF21" s="59"/>
      <c r="AG21" s="35" t="s">
        <v>1104</v>
      </c>
      <c r="AH21" s="35" t="s">
        <v>10636</v>
      </c>
      <c r="AI21" s="1695" t="s">
        <v>19</v>
      </c>
      <c r="AJ21" s="202" t="s">
        <v>19</v>
      </c>
      <c r="AK21" s="35" t="s">
        <v>1880</v>
      </c>
      <c r="AL21" s="1662"/>
    </row>
    <row r="22" spans="1:38" s="11" customFormat="1" ht="26.25" customHeight="1" x14ac:dyDescent="0.15">
      <c r="A22" s="8">
        <f t="shared" si="0"/>
        <v>20</v>
      </c>
      <c r="B22" s="36" t="s">
        <v>10219</v>
      </c>
      <c r="C22" s="1665" t="s">
        <v>111</v>
      </c>
      <c r="D22" s="1665" t="s">
        <v>111</v>
      </c>
      <c r="E22" s="1665" t="s">
        <v>111</v>
      </c>
      <c r="F22" s="29" t="s">
        <v>5656</v>
      </c>
      <c r="G22" s="53" t="s">
        <v>10231</v>
      </c>
      <c r="H22" s="26" t="s">
        <v>19</v>
      </c>
      <c r="I22" s="26" t="s">
        <v>19</v>
      </c>
      <c r="J22" s="26" t="s">
        <v>19</v>
      </c>
      <c r="K22" s="1663" t="s">
        <v>4691</v>
      </c>
      <c r="L22" s="1663" t="s">
        <v>4728</v>
      </c>
      <c r="M22" s="1663" t="s">
        <v>5658</v>
      </c>
      <c r="N22" s="22" t="s">
        <v>5659</v>
      </c>
      <c r="O22" s="22" t="s">
        <v>5431</v>
      </c>
      <c r="P22" s="1665" t="s">
        <v>1880</v>
      </c>
      <c r="Q22" s="1664" t="s">
        <v>1131</v>
      </c>
      <c r="R22" s="54" t="s">
        <v>1122</v>
      </c>
      <c r="S22" s="1665" t="s">
        <v>111</v>
      </c>
      <c r="T22" s="1664" t="s">
        <v>1894</v>
      </c>
      <c r="U22" s="1664" t="s">
        <v>1894</v>
      </c>
      <c r="V22" s="24" t="s">
        <v>10217</v>
      </c>
      <c r="W22" s="90" t="s">
        <v>10232</v>
      </c>
      <c r="X22" s="24" t="s">
        <v>2359</v>
      </c>
      <c r="Y22" s="24">
        <v>1</v>
      </c>
      <c r="Z22" s="24" t="s">
        <v>10232</v>
      </c>
      <c r="AA22" s="24" t="s">
        <v>10233</v>
      </c>
      <c r="AB22" s="30"/>
      <c r="AC22" s="30">
        <v>18.399999999999999</v>
      </c>
      <c r="AD22" s="30">
        <v>18.399999999999999</v>
      </c>
      <c r="AE22" s="59"/>
      <c r="AF22" s="59"/>
      <c r="AG22" s="35" t="s">
        <v>1104</v>
      </c>
      <c r="AH22" s="35" t="s">
        <v>10636</v>
      </c>
      <c r="AI22" s="1695" t="s">
        <v>19</v>
      </c>
      <c r="AJ22" s="202" t="s">
        <v>19</v>
      </c>
      <c r="AK22" s="35" t="s">
        <v>1880</v>
      </c>
      <c r="AL22" s="1662"/>
    </row>
    <row r="23" spans="1:38" s="11" customFormat="1" ht="26.25" customHeight="1" x14ac:dyDescent="0.15">
      <c r="A23" s="8">
        <f t="shared" si="0"/>
        <v>21</v>
      </c>
      <c r="B23" s="36" t="s">
        <v>10220</v>
      </c>
      <c r="C23" s="1665" t="s">
        <v>111</v>
      </c>
      <c r="D23" s="1665" t="s">
        <v>111</v>
      </c>
      <c r="E23" s="1665" t="s">
        <v>111</v>
      </c>
      <c r="F23" s="29" t="s">
        <v>1792</v>
      </c>
      <c r="G23" s="53" t="s">
        <v>10234</v>
      </c>
      <c r="H23" s="26" t="s">
        <v>19</v>
      </c>
      <c r="I23" s="26" t="s">
        <v>19</v>
      </c>
      <c r="J23" s="26" t="s">
        <v>19</v>
      </c>
      <c r="K23" s="1663" t="s">
        <v>4691</v>
      </c>
      <c r="L23" s="1664" t="s">
        <v>4728</v>
      </c>
      <c r="M23" s="1663" t="s">
        <v>5784</v>
      </c>
      <c r="N23" s="22" t="s">
        <v>8163</v>
      </c>
      <c r="O23" s="22" t="s">
        <v>5431</v>
      </c>
      <c r="P23" s="1665" t="s">
        <v>1880</v>
      </c>
      <c r="Q23" s="1664" t="s">
        <v>25</v>
      </c>
      <c r="R23" s="54" t="s">
        <v>1122</v>
      </c>
      <c r="S23" s="1665" t="s">
        <v>111</v>
      </c>
      <c r="T23" s="1662" t="s">
        <v>1894</v>
      </c>
      <c r="U23" s="1662" t="s">
        <v>1894</v>
      </c>
      <c r="V23" s="24" t="s">
        <v>10217</v>
      </c>
      <c r="W23" s="90" t="s">
        <v>10232</v>
      </c>
      <c r="X23" s="24" t="s">
        <v>2359</v>
      </c>
      <c r="Y23" s="24">
        <v>1</v>
      </c>
      <c r="Z23" s="24" t="s">
        <v>10232</v>
      </c>
      <c r="AA23" s="24" t="s">
        <v>10233</v>
      </c>
      <c r="AB23" s="30"/>
      <c r="AC23" s="30">
        <v>18.399999999999999</v>
      </c>
      <c r="AD23" s="30">
        <v>18.399999999999999</v>
      </c>
      <c r="AE23" s="59"/>
      <c r="AF23" s="59"/>
      <c r="AG23" s="35" t="s">
        <v>1104</v>
      </c>
      <c r="AH23" s="35" t="s">
        <v>10636</v>
      </c>
      <c r="AI23" s="1695" t="s">
        <v>19</v>
      </c>
      <c r="AJ23" s="202" t="s">
        <v>19</v>
      </c>
      <c r="AK23" s="35" t="s">
        <v>1880</v>
      </c>
      <c r="AL23" s="1662"/>
    </row>
    <row r="24" spans="1:38" s="11" customFormat="1" ht="26.25" customHeight="1" x14ac:dyDescent="0.15">
      <c r="A24" s="8">
        <f t="shared" si="0"/>
        <v>22</v>
      </c>
      <c r="B24" s="36" t="s">
        <v>10221</v>
      </c>
      <c r="C24" s="1665" t="s">
        <v>111</v>
      </c>
      <c r="D24" s="1665" t="s">
        <v>111</v>
      </c>
      <c r="E24" s="1665" t="s">
        <v>111</v>
      </c>
      <c r="F24" s="29" t="s">
        <v>3082</v>
      </c>
      <c r="G24" s="53" t="s">
        <v>5647</v>
      </c>
      <c r="H24" s="26" t="s">
        <v>448</v>
      </c>
      <c r="I24" s="26" t="s">
        <v>448</v>
      </c>
      <c r="J24" s="26" t="s">
        <v>448</v>
      </c>
      <c r="K24" s="1663" t="s">
        <v>4195</v>
      </c>
      <c r="L24" s="1663" t="s">
        <v>2007</v>
      </c>
      <c r="M24" s="1663" t="s">
        <v>5633</v>
      </c>
      <c r="N24" s="22" t="s">
        <v>4780</v>
      </c>
      <c r="O24" s="22" t="s">
        <v>5431</v>
      </c>
      <c r="P24" s="1665" t="s">
        <v>111</v>
      </c>
      <c r="Q24" s="1664" t="s">
        <v>1131</v>
      </c>
      <c r="R24" s="54" t="s">
        <v>116</v>
      </c>
      <c r="S24" s="22" t="s">
        <v>1880</v>
      </c>
      <c r="T24" s="1664" t="s">
        <v>1894</v>
      </c>
      <c r="U24" s="1664" t="s">
        <v>1894</v>
      </c>
      <c r="V24" s="24" t="s">
        <v>10217</v>
      </c>
      <c r="W24" s="90" t="s">
        <v>10209</v>
      </c>
      <c r="X24" s="24" t="s">
        <v>2359</v>
      </c>
      <c r="Y24" s="24">
        <v>2</v>
      </c>
      <c r="Z24" s="24" t="s">
        <v>10172</v>
      </c>
      <c r="AA24" s="24" t="s">
        <v>10173</v>
      </c>
      <c r="AB24" s="30"/>
      <c r="AC24" s="30">
        <v>9.3000000000000007</v>
      </c>
      <c r="AD24" s="30">
        <v>9.3000000000000007</v>
      </c>
      <c r="AE24" s="59"/>
      <c r="AF24" s="59"/>
      <c r="AG24" s="35" t="s">
        <v>1104</v>
      </c>
      <c r="AH24" s="35" t="s">
        <v>10636</v>
      </c>
      <c r="AI24" s="1695" t="s">
        <v>19</v>
      </c>
      <c r="AJ24" s="202" t="s">
        <v>19</v>
      </c>
      <c r="AK24" s="35" t="s">
        <v>1880</v>
      </c>
      <c r="AL24" s="1654"/>
    </row>
    <row r="25" spans="1:38" s="11" customFormat="1" ht="26.25" customHeight="1" x14ac:dyDescent="0.15">
      <c r="A25" s="8">
        <f t="shared" si="0"/>
        <v>23</v>
      </c>
      <c r="B25" s="36" t="s">
        <v>10222</v>
      </c>
      <c r="C25" s="26" t="s">
        <v>19</v>
      </c>
      <c r="D25" s="26" t="s">
        <v>19</v>
      </c>
      <c r="E25" s="26" t="s">
        <v>19</v>
      </c>
      <c r="F25" s="29" t="s">
        <v>6688</v>
      </c>
      <c r="G25" s="53" t="s">
        <v>9200</v>
      </c>
      <c r="H25" s="1478" t="s">
        <v>448</v>
      </c>
      <c r="I25" s="1478" t="s">
        <v>8702</v>
      </c>
      <c r="J25" s="1478" t="s">
        <v>8703</v>
      </c>
      <c r="K25" s="1663" t="s">
        <v>2032</v>
      </c>
      <c r="L25" s="102" t="s">
        <v>819</v>
      </c>
      <c r="M25" s="37" t="s">
        <v>1129</v>
      </c>
      <c r="N25" s="22" t="s">
        <v>856</v>
      </c>
      <c r="O25" s="22" t="s">
        <v>1826</v>
      </c>
      <c r="P25" s="22" t="s">
        <v>1880</v>
      </c>
      <c r="Q25" s="1664" t="s">
        <v>102</v>
      </c>
      <c r="R25" s="54" t="s">
        <v>4114</v>
      </c>
      <c r="S25" s="22" t="s">
        <v>1880</v>
      </c>
      <c r="T25" s="1664" t="s">
        <v>446</v>
      </c>
      <c r="U25" s="1664" t="s">
        <v>446</v>
      </c>
      <c r="V25" s="24" t="s">
        <v>10217</v>
      </c>
      <c r="W25" s="90" t="s">
        <v>10235</v>
      </c>
      <c r="X25" s="24" t="s">
        <v>2359</v>
      </c>
      <c r="Y25" s="24">
        <v>1</v>
      </c>
      <c r="Z25" s="24" t="s">
        <v>10172</v>
      </c>
      <c r="AA25" s="24" t="s">
        <v>10227</v>
      </c>
      <c r="AB25" s="30"/>
      <c r="AC25" s="30">
        <v>14</v>
      </c>
      <c r="AD25" s="30">
        <v>14</v>
      </c>
      <c r="AE25" s="59"/>
      <c r="AF25" s="59"/>
      <c r="AG25" s="35" t="s">
        <v>1104</v>
      </c>
      <c r="AH25" s="35" t="s">
        <v>10636</v>
      </c>
      <c r="AI25" s="1695" t="s">
        <v>19</v>
      </c>
      <c r="AJ25" s="202" t="s">
        <v>19</v>
      </c>
      <c r="AK25" s="35" t="s">
        <v>1880</v>
      </c>
      <c r="AL25" s="1662"/>
    </row>
    <row r="26" spans="1:38" s="11" customFormat="1" ht="26.25" customHeight="1" x14ac:dyDescent="0.15">
      <c r="A26" s="8">
        <f t="shared" si="0"/>
        <v>24</v>
      </c>
      <c r="B26" s="36" t="s">
        <v>10223</v>
      </c>
      <c r="C26" s="26" t="s">
        <v>19</v>
      </c>
      <c r="D26" s="26" t="s">
        <v>19</v>
      </c>
      <c r="E26" s="26" t="s">
        <v>19</v>
      </c>
      <c r="F26" s="29" t="s">
        <v>268</v>
      </c>
      <c r="G26" s="53" t="s">
        <v>9201</v>
      </c>
      <c r="H26" s="1478" t="s">
        <v>448</v>
      </c>
      <c r="I26" s="1478" t="s">
        <v>8702</v>
      </c>
      <c r="J26" s="1478" t="s">
        <v>8703</v>
      </c>
      <c r="K26" s="1663" t="s">
        <v>2032</v>
      </c>
      <c r="L26" s="1663" t="s">
        <v>270</v>
      </c>
      <c r="M26" s="21" t="s">
        <v>610</v>
      </c>
      <c r="N26" s="21" t="s">
        <v>609</v>
      </c>
      <c r="O26" s="22" t="s">
        <v>1826</v>
      </c>
      <c r="P26" s="22" t="s">
        <v>1880</v>
      </c>
      <c r="Q26" s="1664" t="s">
        <v>102</v>
      </c>
      <c r="R26" s="54" t="s">
        <v>4114</v>
      </c>
      <c r="S26" s="22" t="s">
        <v>1880</v>
      </c>
      <c r="T26" s="21" t="s">
        <v>226</v>
      </c>
      <c r="U26" s="21" t="s">
        <v>226</v>
      </c>
      <c r="V26" s="24" t="s">
        <v>10217</v>
      </c>
      <c r="W26" s="90" t="s">
        <v>10235</v>
      </c>
      <c r="X26" s="24" t="s">
        <v>2359</v>
      </c>
      <c r="Y26" s="24">
        <v>1</v>
      </c>
      <c r="Z26" s="24" t="s">
        <v>10172</v>
      </c>
      <c r="AA26" s="24" t="s">
        <v>10227</v>
      </c>
      <c r="AB26" s="30"/>
      <c r="AC26" s="30">
        <v>14</v>
      </c>
      <c r="AD26" s="30">
        <v>14</v>
      </c>
      <c r="AE26" s="59"/>
      <c r="AF26" s="59"/>
      <c r="AG26" s="35" t="s">
        <v>1104</v>
      </c>
      <c r="AH26" s="35" t="s">
        <v>10636</v>
      </c>
      <c r="AI26" s="1695" t="s">
        <v>19</v>
      </c>
      <c r="AJ26" s="202" t="s">
        <v>19</v>
      </c>
      <c r="AK26" s="35" t="s">
        <v>1880</v>
      </c>
      <c r="AL26" s="1662"/>
    </row>
    <row r="27" spans="1:38" s="11" customFormat="1" ht="26.25" customHeight="1" x14ac:dyDescent="0.15">
      <c r="A27" s="8">
        <f t="shared" si="0"/>
        <v>25</v>
      </c>
      <c r="B27" s="36" t="s">
        <v>10224</v>
      </c>
      <c r="C27" s="26" t="s">
        <v>19</v>
      </c>
      <c r="D27" s="26" t="s">
        <v>19</v>
      </c>
      <c r="E27" s="26" t="s">
        <v>19</v>
      </c>
      <c r="F27" s="54" t="s">
        <v>3113</v>
      </c>
      <c r="G27" s="53" t="s">
        <v>9202</v>
      </c>
      <c r="H27" s="1478" t="s">
        <v>448</v>
      </c>
      <c r="I27" s="1478" t="s">
        <v>8702</v>
      </c>
      <c r="J27" s="1478" t="s">
        <v>8703</v>
      </c>
      <c r="K27" s="1663" t="s">
        <v>2032</v>
      </c>
      <c r="L27" s="1663" t="s">
        <v>2031</v>
      </c>
      <c r="M27" s="1664" t="s">
        <v>2039</v>
      </c>
      <c r="N27" s="1664" t="s">
        <v>2038</v>
      </c>
      <c r="O27" s="22" t="s">
        <v>1826</v>
      </c>
      <c r="P27" s="22" t="s">
        <v>1880</v>
      </c>
      <c r="Q27" s="1664" t="s">
        <v>102</v>
      </c>
      <c r="R27" s="54" t="s">
        <v>4114</v>
      </c>
      <c r="S27" s="22" t="s">
        <v>1880</v>
      </c>
      <c r="T27" s="21" t="s">
        <v>226</v>
      </c>
      <c r="U27" s="21" t="s">
        <v>226</v>
      </c>
      <c r="V27" s="24" t="s">
        <v>10217</v>
      </c>
      <c r="W27" s="90" t="s">
        <v>10235</v>
      </c>
      <c r="X27" s="24" t="s">
        <v>2359</v>
      </c>
      <c r="Y27" s="24">
        <v>1</v>
      </c>
      <c r="Z27" s="24" t="s">
        <v>10172</v>
      </c>
      <c r="AA27" s="24" t="s">
        <v>10227</v>
      </c>
      <c r="AB27" s="30"/>
      <c r="AC27" s="30">
        <v>14</v>
      </c>
      <c r="AD27" s="30">
        <v>14</v>
      </c>
      <c r="AE27" s="59"/>
      <c r="AF27" s="59"/>
      <c r="AG27" s="35" t="s">
        <v>1104</v>
      </c>
      <c r="AH27" s="35" t="s">
        <v>10636</v>
      </c>
      <c r="AI27" s="1695" t="s">
        <v>19</v>
      </c>
      <c r="AJ27" s="202" t="s">
        <v>19</v>
      </c>
      <c r="AK27" s="35" t="s">
        <v>1880</v>
      </c>
      <c r="AL27" s="1662"/>
    </row>
    <row r="28" spans="1:38" s="11" customFormat="1" ht="26.25" customHeight="1" x14ac:dyDescent="0.15">
      <c r="A28" s="8">
        <f t="shared" si="0"/>
        <v>26</v>
      </c>
      <c r="B28" s="36" t="s">
        <v>10225</v>
      </c>
      <c r="C28" s="26" t="s">
        <v>19</v>
      </c>
      <c r="D28" s="26" t="s">
        <v>19</v>
      </c>
      <c r="E28" s="26" t="s">
        <v>19</v>
      </c>
      <c r="F28" s="54" t="s">
        <v>2037</v>
      </c>
      <c r="G28" s="53" t="s">
        <v>9203</v>
      </c>
      <c r="H28" s="1478" t="s">
        <v>448</v>
      </c>
      <c r="I28" s="1478" t="s">
        <v>8702</v>
      </c>
      <c r="J28" s="1478" t="s">
        <v>8703</v>
      </c>
      <c r="K28" s="1663" t="s">
        <v>2032</v>
      </c>
      <c r="L28" s="1663" t="s">
        <v>2031</v>
      </c>
      <c r="M28" s="1664" t="s">
        <v>2041</v>
      </c>
      <c r="N28" s="1664" t="s">
        <v>2040</v>
      </c>
      <c r="O28" s="22" t="s">
        <v>1826</v>
      </c>
      <c r="P28" s="22" t="s">
        <v>1880</v>
      </c>
      <c r="Q28" s="1664" t="s">
        <v>102</v>
      </c>
      <c r="R28" s="54" t="s">
        <v>4114</v>
      </c>
      <c r="S28" s="22" t="s">
        <v>1880</v>
      </c>
      <c r="T28" s="21" t="s">
        <v>226</v>
      </c>
      <c r="U28" s="21" t="s">
        <v>226</v>
      </c>
      <c r="V28" s="24" t="s">
        <v>10217</v>
      </c>
      <c r="W28" s="90" t="s">
        <v>10235</v>
      </c>
      <c r="X28" s="24" t="s">
        <v>2359</v>
      </c>
      <c r="Y28" s="24">
        <v>1</v>
      </c>
      <c r="Z28" s="24" t="s">
        <v>10172</v>
      </c>
      <c r="AA28" s="24" t="s">
        <v>10227</v>
      </c>
      <c r="AB28" s="30"/>
      <c r="AC28" s="30">
        <v>14</v>
      </c>
      <c r="AD28" s="30">
        <v>14</v>
      </c>
      <c r="AE28" s="59"/>
      <c r="AF28" s="59"/>
      <c r="AG28" s="35" t="s">
        <v>1104</v>
      </c>
      <c r="AH28" s="35" t="s">
        <v>10636</v>
      </c>
      <c r="AI28" s="1695" t="s">
        <v>19</v>
      </c>
      <c r="AJ28" s="202" t="s">
        <v>19</v>
      </c>
      <c r="AK28" s="35" t="s">
        <v>1880</v>
      </c>
      <c r="AL28" s="1654"/>
    </row>
    <row r="29" spans="1:38" s="11" customFormat="1" ht="26.25" customHeight="1" x14ac:dyDescent="0.15">
      <c r="A29" s="8">
        <f t="shared" si="0"/>
        <v>27</v>
      </c>
      <c r="B29" s="36" t="s">
        <v>10284</v>
      </c>
      <c r="C29" s="71" t="s">
        <v>10283</v>
      </c>
      <c r="D29" s="26" t="s">
        <v>19</v>
      </c>
      <c r="E29" s="26" t="s">
        <v>19</v>
      </c>
      <c r="F29" s="29" t="s">
        <v>10245</v>
      </c>
      <c r="G29" s="53" t="s">
        <v>10246</v>
      </c>
      <c r="H29" s="1478" t="s">
        <v>448</v>
      </c>
      <c r="I29" s="1478" t="s">
        <v>448</v>
      </c>
      <c r="J29" s="1478" t="s">
        <v>448</v>
      </c>
      <c r="K29" s="1669" t="s">
        <v>4712</v>
      </c>
      <c r="L29" s="1669" t="s">
        <v>1124</v>
      </c>
      <c r="M29" s="1669" t="s">
        <v>9026</v>
      </c>
      <c r="N29" s="1669" t="s">
        <v>4780</v>
      </c>
      <c r="O29" s="1669" t="s">
        <v>5431</v>
      </c>
      <c r="P29" s="22" t="s">
        <v>1880</v>
      </c>
      <c r="Q29" s="1669" t="s">
        <v>1131</v>
      </c>
      <c r="R29" s="54" t="s">
        <v>10247</v>
      </c>
      <c r="S29" s="22" t="s">
        <v>1880</v>
      </c>
      <c r="T29" s="1666" t="s">
        <v>3248</v>
      </c>
      <c r="U29" s="1666" t="s">
        <v>3248</v>
      </c>
      <c r="V29" s="24" t="s">
        <v>10236</v>
      </c>
      <c r="W29" s="90" t="s">
        <v>10235</v>
      </c>
      <c r="X29" s="24" t="s">
        <v>2359</v>
      </c>
      <c r="Y29" s="24">
        <v>1</v>
      </c>
      <c r="Z29" s="24" t="s">
        <v>2512</v>
      </c>
      <c r="AA29" s="24" t="s">
        <v>1880</v>
      </c>
      <c r="AB29" s="30">
        <v>14.635</v>
      </c>
      <c r="AC29" s="30"/>
      <c r="AD29" s="30">
        <v>14.635</v>
      </c>
      <c r="AE29" s="59"/>
      <c r="AF29" s="59"/>
      <c r="AG29" s="35" t="s">
        <v>1104</v>
      </c>
      <c r="AH29" s="35" t="s">
        <v>10637</v>
      </c>
      <c r="AI29" s="35" t="s">
        <v>10639</v>
      </c>
      <c r="AJ29" s="202" t="s">
        <v>19</v>
      </c>
      <c r="AK29" s="35" t="s">
        <v>1880</v>
      </c>
      <c r="AL29" s="1666"/>
    </row>
    <row r="30" spans="1:38" s="11" customFormat="1" ht="26.25" customHeight="1" x14ac:dyDescent="0.15">
      <c r="A30" s="8">
        <f t="shared" si="0"/>
        <v>28</v>
      </c>
      <c r="B30" s="36" t="s">
        <v>10248</v>
      </c>
      <c r="C30" s="71" t="s">
        <v>10283</v>
      </c>
      <c r="D30" s="26" t="s">
        <v>19</v>
      </c>
      <c r="E30" s="26" t="s">
        <v>19</v>
      </c>
      <c r="F30" s="29" t="s">
        <v>10249</v>
      </c>
      <c r="G30" s="53" t="s">
        <v>10250</v>
      </c>
      <c r="H30" s="1478" t="s">
        <v>448</v>
      </c>
      <c r="I30" s="1478" t="s">
        <v>448</v>
      </c>
      <c r="J30" s="1478" t="s">
        <v>448</v>
      </c>
      <c r="K30" s="1669" t="s">
        <v>4712</v>
      </c>
      <c r="L30" s="1669" t="s">
        <v>1124</v>
      </c>
      <c r="M30" s="1669" t="s">
        <v>9026</v>
      </c>
      <c r="N30" s="1669" t="s">
        <v>4780</v>
      </c>
      <c r="O30" s="1669" t="s">
        <v>5431</v>
      </c>
      <c r="P30" s="22" t="s">
        <v>1880</v>
      </c>
      <c r="Q30" s="1669" t="s">
        <v>1131</v>
      </c>
      <c r="R30" s="54" t="s">
        <v>10247</v>
      </c>
      <c r="S30" s="22" t="s">
        <v>1880</v>
      </c>
      <c r="T30" s="1666" t="s">
        <v>3248</v>
      </c>
      <c r="U30" s="1666" t="s">
        <v>3248</v>
      </c>
      <c r="V30" s="24" t="s">
        <v>10236</v>
      </c>
      <c r="W30" s="90" t="s">
        <v>10235</v>
      </c>
      <c r="X30" s="24" t="s">
        <v>2359</v>
      </c>
      <c r="Y30" s="24">
        <v>1</v>
      </c>
      <c r="Z30" s="24" t="s">
        <v>2512</v>
      </c>
      <c r="AA30" s="24" t="s">
        <v>1880</v>
      </c>
      <c r="AB30" s="30">
        <v>14.635</v>
      </c>
      <c r="AC30" s="30"/>
      <c r="AD30" s="30">
        <v>14.635</v>
      </c>
      <c r="AE30" s="59"/>
      <c r="AF30" s="59"/>
      <c r="AG30" s="35" t="s">
        <v>1104</v>
      </c>
      <c r="AH30" s="35" t="s">
        <v>10637</v>
      </c>
      <c r="AI30" s="35" t="s">
        <v>10639</v>
      </c>
      <c r="AJ30" s="202" t="s">
        <v>19</v>
      </c>
      <c r="AK30" s="35" t="s">
        <v>1880</v>
      </c>
      <c r="AL30" s="1666"/>
    </row>
    <row r="31" spans="1:38" s="11" customFormat="1" ht="26.25" customHeight="1" x14ac:dyDescent="0.15">
      <c r="A31" s="8">
        <f t="shared" si="0"/>
        <v>29</v>
      </c>
      <c r="B31" s="36" t="s">
        <v>10251</v>
      </c>
      <c r="C31" s="71" t="s">
        <v>10283</v>
      </c>
      <c r="D31" s="26" t="s">
        <v>19</v>
      </c>
      <c r="E31" s="26" t="s">
        <v>19</v>
      </c>
      <c r="F31" s="29" t="s">
        <v>10252</v>
      </c>
      <c r="G31" s="53" t="s">
        <v>10253</v>
      </c>
      <c r="H31" s="1478" t="s">
        <v>448</v>
      </c>
      <c r="I31" s="1478" t="s">
        <v>448</v>
      </c>
      <c r="J31" s="1478" t="s">
        <v>448</v>
      </c>
      <c r="K31" s="1669" t="s">
        <v>4712</v>
      </c>
      <c r="L31" s="1669" t="s">
        <v>1124</v>
      </c>
      <c r="M31" s="1669" t="s">
        <v>9026</v>
      </c>
      <c r="N31" s="1669" t="s">
        <v>4780</v>
      </c>
      <c r="O31" s="1669" t="s">
        <v>5431</v>
      </c>
      <c r="P31" s="22" t="s">
        <v>1880</v>
      </c>
      <c r="Q31" s="1669" t="s">
        <v>1131</v>
      </c>
      <c r="R31" s="54" t="s">
        <v>10247</v>
      </c>
      <c r="S31" s="22" t="s">
        <v>1880</v>
      </c>
      <c r="T31" s="1666" t="s">
        <v>3248</v>
      </c>
      <c r="U31" s="1666" t="s">
        <v>3248</v>
      </c>
      <c r="V31" s="24" t="s">
        <v>10236</v>
      </c>
      <c r="W31" s="90" t="s">
        <v>10235</v>
      </c>
      <c r="X31" s="24" t="s">
        <v>2359</v>
      </c>
      <c r="Y31" s="24">
        <v>1</v>
      </c>
      <c r="Z31" s="24" t="s">
        <v>2512</v>
      </c>
      <c r="AA31" s="24" t="s">
        <v>1880</v>
      </c>
      <c r="AB31" s="30">
        <v>25.385000000000002</v>
      </c>
      <c r="AC31" s="30"/>
      <c r="AD31" s="30">
        <v>25.385000000000002</v>
      </c>
      <c r="AE31" s="59"/>
      <c r="AF31" s="59"/>
      <c r="AG31" s="35" t="s">
        <v>1104</v>
      </c>
      <c r="AH31" s="35" t="s">
        <v>10637</v>
      </c>
      <c r="AI31" s="35" t="s">
        <v>10639</v>
      </c>
      <c r="AJ31" s="202" t="s">
        <v>19</v>
      </c>
      <c r="AK31" s="35" t="s">
        <v>1880</v>
      </c>
      <c r="AL31" s="1666"/>
    </row>
    <row r="32" spans="1:38" s="11" customFormat="1" ht="26.25" customHeight="1" x14ac:dyDescent="0.15">
      <c r="A32" s="8">
        <f t="shared" si="0"/>
        <v>30</v>
      </c>
      <c r="B32" s="36" t="s">
        <v>10286</v>
      </c>
      <c r="C32" s="71" t="s">
        <v>10285</v>
      </c>
      <c r="D32" s="26" t="s">
        <v>19</v>
      </c>
      <c r="E32" s="26" t="s">
        <v>19</v>
      </c>
      <c r="F32" s="29" t="s">
        <v>10254</v>
      </c>
      <c r="G32" s="53" t="s">
        <v>10255</v>
      </c>
      <c r="H32" s="1478" t="s">
        <v>448</v>
      </c>
      <c r="I32" s="1478" t="s">
        <v>448</v>
      </c>
      <c r="J32" s="1478" t="s">
        <v>448</v>
      </c>
      <c r="K32" s="1669" t="s">
        <v>4712</v>
      </c>
      <c r="L32" s="1669" t="s">
        <v>1124</v>
      </c>
      <c r="M32" s="1669" t="s">
        <v>10256</v>
      </c>
      <c r="N32" s="1669" t="s">
        <v>4780</v>
      </c>
      <c r="O32" s="1669" t="s">
        <v>5431</v>
      </c>
      <c r="P32" s="22" t="s">
        <v>1880</v>
      </c>
      <c r="Q32" s="1669" t="s">
        <v>1131</v>
      </c>
      <c r="R32" s="54" t="s">
        <v>10247</v>
      </c>
      <c r="S32" s="22" t="s">
        <v>1880</v>
      </c>
      <c r="T32" s="1666" t="s">
        <v>3248</v>
      </c>
      <c r="U32" s="1666" t="s">
        <v>3248</v>
      </c>
      <c r="V32" s="24" t="s">
        <v>10236</v>
      </c>
      <c r="W32" s="90" t="s">
        <v>10235</v>
      </c>
      <c r="X32" s="24" t="s">
        <v>2359</v>
      </c>
      <c r="Y32" s="24">
        <v>1</v>
      </c>
      <c r="Z32" s="24" t="s">
        <v>2512</v>
      </c>
      <c r="AA32" s="24" t="s">
        <v>1880</v>
      </c>
      <c r="AB32" s="30">
        <v>26.494</v>
      </c>
      <c r="AC32" s="30"/>
      <c r="AD32" s="30">
        <v>26.494</v>
      </c>
      <c r="AE32" s="59"/>
      <c r="AF32" s="59"/>
      <c r="AG32" s="35" t="s">
        <v>1104</v>
      </c>
      <c r="AH32" s="35" t="s">
        <v>10637</v>
      </c>
      <c r="AI32" s="35" t="s">
        <v>10639</v>
      </c>
      <c r="AJ32" s="202" t="s">
        <v>19</v>
      </c>
      <c r="AK32" s="35" t="s">
        <v>1880</v>
      </c>
      <c r="AL32" s="1666"/>
    </row>
    <row r="33" spans="1:38" s="11" customFormat="1" ht="26.25" customHeight="1" x14ac:dyDescent="0.15">
      <c r="A33" s="8">
        <f t="shared" si="0"/>
        <v>31</v>
      </c>
      <c r="B33" s="36" t="s">
        <v>10257</v>
      </c>
      <c r="C33" s="71" t="s">
        <v>10285</v>
      </c>
      <c r="D33" s="26" t="s">
        <v>19</v>
      </c>
      <c r="E33" s="26" t="s">
        <v>19</v>
      </c>
      <c r="F33" s="29" t="s">
        <v>10258</v>
      </c>
      <c r="G33" s="53" t="s">
        <v>10259</v>
      </c>
      <c r="H33" s="1478" t="s">
        <v>448</v>
      </c>
      <c r="I33" s="1478" t="s">
        <v>448</v>
      </c>
      <c r="J33" s="1478" t="s">
        <v>448</v>
      </c>
      <c r="K33" s="1669" t="s">
        <v>4712</v>
      </c>
      <c r="L33" s="1669" t="s">
        <v>1124</v>
      </c>
      <c r="M33" s="1669" t="s">
        <v>10256</v>
      </c>
      <c r="N33" s="1669" t="s">
        <v>4780</v>
      </c>
      <c r="O33" s="1669" t="s">
        <v>5431</v>
      </c>
      <c r="P33" s="22" t="s">
        <v>1880</v>
      </c>
      <c r="Q33" s="1669" t="s">
        <v>1131</v>
      </c>
      <c r="R33" s="54" t="s">
        <v>10247</v>
      </c>
      <c r="S33" s="22" t="s">
        <v>1880</v>
      </c>
      <c r="T33" s="1666" t="s">
        <v>3248</v>
      </c>
      <c r="U33" s="1666" t="s">
        <v>3248</v>
      </c>
      <c r="V33" s="24" t="s">
        <v>10236</v>
      </c>
      <c r="W33" s="90" t="s">
        <v>10235</v>
      </c>
      <c r="X33" s="24" t="s">
        <v>2359</v>
      </c>
      <c r="Y33" s="24">
        <v>1</v>
      </c>
      <c r="Z33" s="24" t="s">
        <v>2512</v>
      </c>
      <c r="AA33" s="24" t="s">
        <v>1880</v>
      </c>
      <c r="AB33" s="30">
        <v>14.635</v>
      </c>
      <c r="AC33" s="30"/>
      <c r="AD33" s="30">
        <v>14.635</v>
      </c>
      <c r="AE33" s="59"/>
      <c r="AF33" s="59"/>
      <c r="AG33" s="35" t="s">
        <v>1104</v>
      </c>
      <c r="AH33" s="35" t="s">
        <v>10637</v>
      </c>
      <c r="AI33" s="35" t="s">
        <v>10639</v>
      </c>
      <c r="AJ33" s="202" t="s">
        <v>19</v>
      </c>
      <c r="AK33" s="35" t="s">
        <v>1880</v>
      </c>
      <c r="AL33" s="1666"/>
    </row>
    <row r="34" spans="1:38" s="11" customFormat="1" ht="26.25" customHeight="1" x14ac:dyDescent="0.15">
      <c r="A34" s="8">
        <f t="shared" si="0"/>
        <v>32</v>
      </c>
      <c r="B34" s="36" t="s">
        <v>10288</v>
      </c>
      <c r="C34" s="71" t="s">
        <v>10287</v>
      </c>
      <c r="D34" s="26" t="s">
        <v>19</v>
      </c>
      <c r="E34" s="26" t="s">
        <v>19</v>
      </c>
      <c r="F34" s="29" t="s">
        <v>10260</v>
      </c>
      <c r="G34" s="53" t="s">
        <v>10261</v>
      </c>
      <c r="H34" s="1478" t="s">
        <v>448</v>
      </c>
      <c r="I34" s="1478" t="s">
        <v>448</v>
      </c>
      <c r="J34" s="1478" t="s">
        <v>448</v>
      </c>
      <c r="K34" s="1669" t="s">
        <v>4712</v>
      </c>
      <c r="L34" s="1669" t="s">
        <v>1124</v>
      </c>
      <c r="M34" s="1669" t="s">
        <v>7260</v>
      </c>
      <c r="N34" s="1669" t="s">
        <v>4780</v>
      </c>
      <c r="O34" s="1669" t="s">
        <v>5431</v>
      </c>
      <c r="P34" s="22" t="s">
        <v>1880</v>
      </c>
      <c r="Q34" s="1669" t="s">
        <v>1131</v>
      </c>
      <c r="R34" s="54" t="s">
        <v>10247</v>
      </c>
      <c r="S34" s="22" t="s">
        <v>1880</v>
      </c>
      <c r="T34" s="1666" t="s">
        <v>3248</v>
      </c>
      <c r="U34" s="1666" t="s">
        <v>3248</v>
      </c>
      <c r="V34" s="24" t="s">
        <v>10236</v>
      </c>
      <c r="W34" s="90" t="s">
        <v>10235</v>
      </c>
      <c r="X34" s="24" t="s">
        <v>2359</v>
      </c>
      <c r="Y34" s="24">
        <v>1</v>
      </c>
      <c r="Z34" s="24" t="s">
        <v>2512</v>
      </c>
      <c r="AA34" s="24" t="s">
        <v>1880</v>
      </c>
      <c r="AB34" s="30">
        <v>14.635</v>
      </c>
      <c r="AC34" s="30"/>
      <c r="AD34" s="30">
        <v>14.635</v>
      </c>
      <c r="AE34" s="59"/>
      <c r="AF34" s="59"/>
      <c r="AG34" s="35" t="s">
        <v>1104</v>
      </c>
      <c r="AH34" s="35" t="s">
        <v>10637</v>
      </c>
      <c r="AI34" s="35" t="s">
        <v>10639</v>
      </c>
      <c r="AJ34" s="202" t="s">
        <v>19</v>
      </c>
      <c r="AK34" s="35" t="s">
        <v>1880</v>
      </c>
      <c r="AL34" s="1666"/>
    </row>
    <row r="35" spans="1:38" s="11" customFormat="1" ht="26.25" customHeight="1" x14ac:dyDescent="0.15">
      <c r="A35" s="8">
        <f t="shared" si="0"/>
        <v>33</v>
      </c>
      <c r="B35" s="36" t="s">
        <v>10262</v>
      </c>
      <c r="C35" s="71" t="s">
        <v>10287</v>
      </c>
      <c r="D35" s="26" t="s">
        <v>19</v>
      </c>
      <c r="E35" s="26" t="s">
        <v>19</v>
      </c>
      <c r="F35" s="29" t="s">
        <v>10263</v>
      </c>
      <c r="G35" s="53" t="s">
        <v>10264</v>
      </c>
      <c r="H35" s="1478" t="s">
        <v>448</v>
      </c>
      <c r="I35" s="1478" t="s">
        <v>448</v>
      </c>
      <c r="J35" s="1478" t="s">
        <v>448</v>
      </c>
      <c r="K35" s="1669" t="s">
        <v>4712</v>
      </c>
      <c r="L35" s="1669" t="s">
        <v>1124</v>
      </c>
      <c r="M35" s="1669" t="s">
        <v>7260</v>
      </c>
      <c r="N35" s="1669" t="s">
        <v>4780</v>
      </c>
      <c r="O35" s="1669" t="s">
        <v>5431</v>
      </c>
      <c r="P35" s="22" t="s">
        <v>1880</v>
      </c>
      <c r="Q35" s="1669" t="s">
        <v>1131</v>
      </c>
      <c r="R35" s="54" t="s">
        <v>10247</v>
      </c>
      <c r="S35" s="22" t="s">
        <v>1880</v>
      </c>
      <c r="T35" s="1666" t="s">
        <v>3248</v>
      </c>
      <c r="U35" s="1666" t="s">
        <v>3248</v>
      </c>
      <c r="V35" s="24" t="s">
        <v>10236</v>
      </c>
      <c r="W35" s="90" t="s">
        <v>10235</v>
      </c>
      <c r="X35" s="24" t="s">
        <v>2359</v>
      </c>
      <c r="Y35" s="24">
        <v>1</v>
      </c>
      <c r="Z35" s="24" t="s">
        <v>2512</v>
      </c>
      <c r="AA35" s="24" t="s">
        <v>1880</v>
      </c>
      <c r="AB35" s="30">
        <v>14.635</v>
      </c>
      <c r="AC35" s="30"/>
      <c r="AD35" s="30">
        <v>14.635</v>
      </c>
      <c r="AE35" s="59"/>
      <c r="AF35" s="59"/>
      <c r="AG35" s="35" t="s">
        <v>1104</v>
      </c>
      <c r="AH35" s="35" t="s">
        <v>10637</v>
      </c>
      <c r="AI35" s="35" t="s">
        <v>10639</v>
      </c>
      <c r="AJ35" s="202" t="s">
        <v>19</v>
      </c>
      <c r="AK35" s="35" t="s">
        <v>1880</v>
      </c>
      <c r="AL35" s="1666"/>
    </row>
    <row r="36" spans="1:38" s="11" customFormat="1" ht="26.25" customHeight="1" x14ac:dyDescent="0.15">
      <c r="A36" s="8">
        <f t="shared" si="0"/>
        <v>34</v>
      </c>
      <c r="B36" s="36" t="s">
        <v>10265</v>
      </c>
      <c r="C36" s="71" t="s">
        <v>10287</v>
      </c>
      <c r="D36" s="26" t="s">
        <v>19</v>
      </c>
      <c r="E36" s="26" t="s">
        <v>19</v>
      </c>
      <c r="F36" s="29" t="s">
        <v>10266</v>
      </c>
      <c r="G36" s="53" t="s">
        <v>10267</v>
      </c>
      <c r="H36" s="1478" t="s">
        <v>448</v>
      </c>
      <c r="I36" s="1478" t="s">
        <v>448</v>
      </c>
      <c r="J36" s="1478" t="s">
        <v>448</v>
      </c>
      <c r="K36" s="1669" t="s">
        <v>4712</v>
      </c>
      <c r="L36" s="1669" t="s">
        <v>1124</v>
      </c>
      <c r="M36" s="1669" t="s">
        <v>7260</v>
      </c>
      <c r="N36" s="1669" t="s">
        <v>4780</v>
      </c>
      <c r="O36" s="1669" t="s">
        <v>5431</v>
      </c>
      <c r="P36" s="22" t="s">
        <v>1880</v>
      </c>
      <c r="Q36" s="1669" t="s">
        <v>1131</v>
      </c>
      <c r="R36" s="54" t="s">
        <v>10247</v>
      </c>
      <c r="S36" s="22" t="s">
        <v>1880</v>
      </c>
      <c r="T36" s="1666" t="s">
        <v>3248</v>
      </c>
      <c r="U36" s="1666" t="s">
        <v>3248</v>
      </c>
      <c r="V36" s="24" t="s">
        <v>10236</v>
      </c>
      <c r="W36" s="90" t="s">
        <v>10235</v>
      </c>
      <c r="X36" s="24" t="s">
        <v>2359</v>
      </c>
      <c r="Y36" s="24">
        <v>1</v>
      </c>
      <c r="Z36" s="24" t="s">
        <v>2512</v>
      </c>
      <c r="AA36" s="24" t="s">
        <v>1880</v>
      </c>
      <c r="AB36" s="30">
        <v>25.385000000000002</v>
      </c>
      <c r="AC36" s="30"/>
      <c r="AD36" s="30">
        <v>25.385000000000002</v>
      </c>
      <c r="AE36" s="59"/>
      <c r="AF36" s="59"/>
      <c r="AG36" s="35" t="s">
        <v>1104</v>
      </c>
      <c r="AH36" s="35" t="s">
        <v>10637</v>
      </c>
      <c r="AI36" s="35" t="s">
        <v>10639</v>
      </c>
      <c r="AJ36" s="202" t="s">
        <v>19</v>
      </c>
      <c r="AK36" s="35" t="s">
        <v>1880</v>
      </c>
      <c r="AL36" s="1666"/>
    </row>
    <row r="37" spans="1:38" s="11" customFormat="1" ht="26.25" customHeight="1" x14ac:dyDescent="0.15">
      <c r="A37" s="8">
        <f t="shared" si="0"/>
        <v>35</v>
      </c>
      <c r="B37" s="36" t="s">
        <v>10268</v>
      </c>
      <c r="C37" s="71" t="s">
        <v>10289</v>
      </c>
      <c r="D37" s="26" t="s">
        <v>19</v>
      </c>
      <c r="E37" s="26" t="s">
        <v>19</v>
      </c>
      <c r="F37" s="123" t="s">
        <v>11322</v>
      </c>
      <c r="G37" s="53" t="s">
        <v>10269</v>
      </c>
      <c r="H37" s="1478" t="s">
        <v>448</v>
      </c>
      <c r="I37" s="1478" t="s">
        <v>448</v>
      </c>
      <c r="J37" s="1478" t="s">
        <v>448</v>
      </c>
      <c r="K37" s="1669" t="s">
        <v>4712</v>
      </c>
      <c r="L37" s="1669" t="s">
        <v>1124</v>
      </c>
      <c r="M37" s="1669" t="s">
        <v>10270</v>
      </c>
      <c r="N37" s="1669" t="s">
        <v>4780</v>
      </c>
      <c r="O37" s="1669" t="s">
        <v>5431</v>
      </c>
      <c r="P37" s="22" t="s">
        <v>1880</v>
      </c>
      <c r="Q37" s="1669" t="s">
        <v>1131</v>
      </c>
      <c r="R37" s="54" t="s">
        <v>10247</v>
      </c>
      <c r="S37" s="22" t="s">
        <v>1880</v>
      </c>
      <c r="T37" s="1666" t="s">
        <v>3248</v>
      </c>
      <c r="U37" s="1666" t="s">
        <v>3248</v>
      </c>
      <c r="V37" s="24" t="s">
        <v>10236</v>
      </c>
      <c r="W37" s="90" t="s">
        <v>10235</v>
      </c>
      <c r="X37" s="24" t="s">
        <v>2359</v>
      </c>
      <c r="Y37" s="24">
        <v>1</v>
      </c>
      <c r="Z37" s="24" t="s">
        <v>2512</v>
      </c>
      <c r="AA37" s="24" t="s">
        <v>1880</v>
      </c>
      <c r="AB37" s="30">
        <v>26.494</v>
      </c>
      <c r="AC37" s="30"/>
      <c r="AD37" s="30">
        <v>26.494</v>
      </c>
      <c r="AE37" s="59"/>
      <c r="AF37" s="59"/>
      <c r="AG37" s="35" t="s">
        <v>1104</v>
      </c>
      <c r="AH37" s="35" t="s">
        <v>10637</v>
      </c>
      <c r="AI37" s="35" t="s">
        <v>10639</v>
      </c>
      <c r="AJ37" s="202" t="s">
        <v>19</v>
      </c>
      <c r="AK37" s="35" t="s">
        <v>1880</v>
      </c>
      <c r="AL37" s="1666"/>
    </row>
    <row r="38" spans="1:38" s="11" customFormat="1" ht="26.25" customHeight="1" x14ac:dyDescent="0.15">
      <c r="A38" s="8">
        <f t="shared" si="0"/>
        <v>36</v>
      </c>
      <c r="B38" s="36" t="s">
        <v>10291</v>
      </c>
      <c r="C38" s="71" t="s">
        <v>10290</v>
      </c>
      <c r="D38" s="26" t="s">
        <v>19</v>
      </c>
      <c r="E38" s="26" t="s">
        <v>19</v>
      </c>
      <c r="F38" s="29" t="s">
        <v>10271</v>
      </c>
      <c r="G38" s="53" t="s">
        <v>10272</v>
      </c>
      <c r="H38" s="1478" t="s">
        <v>448</v>
      </c>
      <c r="I38" s="1478" t="s">
        <v>448</v>
      </c>
      <c r="J38" s="1478" t="s">
        <v>448</v>
      </c>
      <c r="K38" s="1669" t="s">
        <v>4712</v>
      </c>
      <c r="L38" s="1669" t="s">
        <v>1124</v>
      </c>
      <c r="M38" s="1669" t="s">
        <v>10273</v>
      </c>
      <c r="N38" s="1669" t="s">
        <v>4780</v>
      </c>
      <c r="O38" s="1669" t="s">
        <v>5431</v>
      </c>
      <c r="P38" s="22" t="s">
        <v>1880</v>
      </c>
      <c r="Q38" s="1669" t="s">
        <v>1131</v>
      </c>
      <c r="R38" s="54" t="s">
        <v>10247</v>
      </c>
      <c r="S38" s="22" t="s">
        <v>1880</v>
      </c>
      <c r="T38" s="1669" t="s">
        <v>3248</v>
      </c>
      <c r="U38" s="1669" t="s">
        <v>3248</v>
      </c>
      <c r="V38" s="24" t="s">
        <v>10236</v>
      </c>
      <c r="W38" s="90" t="s">
        <v>10235</v>
      </c>
      <c r="X38" s="24" t="s">
        <v>2359</v>
      </c>
      <c r="Y38" s="24">
        <v>1</v>
      </c>
      <c r="Z38" s="24" t="s">
        <v>2512</v>
      </c>
      <c r="AA38" s="24" t="s">
        <v>1880</v>
      </c>
      <c r="AB38" s="30">
        <v>26.494</v>
      </c>
      <c r="AC38" s="30"/>
      <c r="AD38" s="30">
        <v>26.494</v>
      </c>
      <c r="AE38" s="59"/>
      <c r="AF38" s="59"/>
      <c r="AG38" s="35" t="s">
        <v>1104</v>
      </c>
      <c r="AH38" s="35" t="s">
        <v>10637</v>
      </c>
      <c r="AI38" s="35" t="s">
        <v>10639</v>
      </c>
      <c r="AJ38" s="202" t="s">
        <v>19</v>
      </c>
      <c r="AK38" s="35" t="s">
        <v>1880</v>
      </c>
      <c r="AL38" s="1669"/>
    </row>
    <row r="39" spans="1:38" s="11" customFormat="1" ht="26.25" customHeight="1" x14ac:dyDescent="0.15">
      <c r="A39" s="8">
        <f t="shared" si="0"/>
        <v>37</v>
      </c>
      <c r="B39" s="36" t="s">
        <v>10274</v>
      </c>
      <c r="C39" s="26" t="s">
        <v>19</v>
      </c>
      <c r="D39" s="26" t="s">
        <v>19</v>
      </c>
      <c r="E39" s="26" t="s">
        <v>19</v>
      </c>
      <c r="F39" s="29" t="s">
        <v>10275</v>
      </c>
      <c r="G39" s="53" t="s">
        <v>10276</v>
      </c>
      <c r="H39" s="1478" t="s">
        <v>448</v>
      </c>
      <c r="I39" s="1478" t="s">
        <v>448</v>
      </c>
      <c r="J39" s="1478" t="s">
        <v>448</v>
      </c>
      <c r="K39" s="1669" t="s">
        <v>4712</v>
      </c>
      <c r="L39" s="1669" t="s">
        <v>1124</v>
      </c>
      <c r="M39" s="1668" t="s">
        <v>10277</v>
      </c>
      <c r="N39" s="1669" t="s">
        <v>4780</v>
      </c>
      <c r="O39" s="22" t="s">
        <v>2142</v>
      </c>
      <c r="P39" s="22" t="s">
        <v>1880</v>
      </c>
      <c r="Q39" s="1669" t="s">
        <v>2422</v>
      </c>
      <c r="R39" s="54" t="s">
        <v>3917</v>
      </c>
      <c r="S39" s="22" t="s">
        <v>1880</v>
      </c>
      <c r="T39" s="1669" t="s">
        <v>3248</v>
      </c>
      <c r="U39" s="1669" t="s">
        <v>3248</v>
      </c>
      <c r="V39" s="24" t="s">
        <v>10236</v>
      </c>
      <c r="W39" s="90" t="s">
        <v>10235</v>
      </c>
      <c r="X39" s="24" t="s">
        <v>2359</v>
      </c>
      <c r="Y39" s="24">
        <v>1</v>
      </c>
      <c r="Z39" s="24" t="s">
        <v>1880</v>
      </c>
      <c r="AA39" s="24" t="s">
        <v>1880</v>
      </c>
      <c r="AB39" s="30">
        <v>26.494</v>
      </c>
      <c r="AC39" s="30"/>
      <c r="AD39" s="30">
        <v>26.494</v>
      </c>
      <c r="AE39" s="59" t="s">
        <v>11107</v>
      </c>
      <c r="AF39" s="59"/>
      <c r="AG39" s="35" t="s">
        <v>1104</v>
      </c>
      <c r="AH39" s="24" t="s">
        <v>1448</v>
      </c>
      <c r="AI39" s="1695" t="s">
        <v>19</v>
      </c>
      <c r="AJ39" s="202" t="s">
        <v>19</v>
      </c>
      <c r="AK39" s="35" t="s">
        <v>1880</v>
      </c>
      <c r="AL39" s="1669"/>
    </row>
    <row r="40" spans="1:38" s="11" customFormat="1" ht="26.25" customHeight="1" x14ac:dyDescent="0.15">
      <c r="A40" s="8">
        <f t="shared" si="0"/>
        <v>38</v>
      </c>
      <c r="B40" s="36" t="s">
        <v>10278</v>
      </c>
      <c r="C40" s="71" t="s">
        <v>10285</v>
      </c>
      <c r="D40" s="26" t="s">
        <v>19</v>
      </c>
      <c r="E40" s="26" t="s">
        <v>19</v>
      </c>
      <c r="F40" s="29" t="s">
        <v>10279</v>
      </c>
      <c r="G40" s="53" t="s">
        <v>10313</v>
      </c>
      <c r="H40" s="1478" t="s">
        <v>448</v>
      </c>
      <c r="I40" s="1478" t="s">
        <v>448</v>
      </c>
      <c r="J40" s="1478" t="s">
        <v>448</v>
      </c>
      <c r="K40" s="1669" t="s">
        <v>4712</v>
      </c>
      <c r="L40" s="1669" t="s">
        <v>1124</v>
      </c>
      <c r="M40" s="1669" t="s">
        <v>10256</v>
      </c>
      <c r="N40" s="1669" t="s">
        <v>4780</v>
      </c>
      <c r="O40" s="1669" t="s">
        <v>5431</v>
      </c>
      <c r="P40" s="22" t="s">
        <v>1880</v>
      </c>
      <c r="Q40" s="1669" t="s">
        <v>1131</v>
      </c>
      <c r="R40" s="54" t="s">
        <v>10247</v>
      </c>
      <c r="S40" s="22" t="s">
        <v>1880</v>
      </c>
      <c r="T40" s="1669" t="s">
        <v>3248</v>
      </c>
      <c r="U40" s="1669" t="s">
        <v>3248</v>
      </c>
      <c r="V40" s="24" t="s">
        <v>10243</v>
      </c>
      <c r="W40" s="90" t="s">
        <v>10235</v>
      </c>
      <c r="X40" s="24" t="s">
        <v>2359</v>
      </c>
      <c r="Y40" s="24">
        <v>1</v>
      </c>
      <c r="Z40" s="24" t="s">
        <v>2512</v>
      </c>
      <c r="AA40" s="24" t="s">
        <v>1880</v>
      </c>
      <c r="AB40" s="30">
        <v>24.385000000000002</v>
      </c>
      <c r="AC40" s="30"/>
      <c r="AD40" s="30">
        <v>24.385000000000002</v>
      </c>
      <c r="AE40" s="59"/>
      <c r="AF40" s="59"/>
      <c r="AG40" s="35" t="s">
        <v>1104</v>
      </c>
      <c r="AH40" s="35" t="s">
        <v>10637</v>
      </c>
      <c r="AI40" s="35" t="s">
        <v>10639</v>
      </c>
      <c r="AJ40" s="202" t="s">
        <v>19</v>
      </c>
      <c r="AK40" s="35" t="s">
        <v>1880</v>
      </c>
      <c r="AL40" s="1669"/>
    </row>
    <row r="41" spans="1:38" s="11" customFormat="1" ht="26.25" customHeight="1" x14ac:dyDescent="0.15">
      <c r="A41" s="8">
        <f t="shared" si="0"/>
        <v>39</v>
      </c>
      <c r="B41" s="36" t="s">
        <v>10293</v>
      </c>
      <c r="C41" s="71" t="s">
        <v>10292</v>
      </c>
      <c r="D41" s="26" t="s">
        <v>19</v>
      </c>
      <c r="E41" s="26" t="s">
        <v>19</v>
      </c>
      <c r="F41" s="29" t="s">
        <v>10280</v>
      </c>
      <c r="G41" s="53" t="s">
        <v>10281</v>
      </c>
      <c r="H41" s="1478" t="s">
        <v>448</v>
      </c>
      <c r="I41" s="1478" t="s">
        <v>448</v>
      </c>
      <c r="J41" s="1478" t="s">
        <v>448</v>
      </c>
      <c r="K41" s="1669" t="s">
        <v>4712</v>
      </c>
      <c r="L41" s="1669" t="s">
        <v>1124</v>
      </c>
      <c r="M41" s="1669" t="s">
        <v>10282</v>
      </c>
      <c r="N41" s="1669" t="s">
        <v>4780</v>
      </c>
      <c r="O41" s="1669" t="s">
        <v>5431</v>
      </c>
      <c r="P41" s="22" t="s">
        <v>1880</v>
      </c>
      <c r="Q41" s="1669" t="s">
        <v>1131</v>
      </c>
      <c r="R41" s="54" t="s">
        <v>10247</v>
      </c>
      <c r="S41" s="22" t="s">
        <v>1880</v>
      </c>
      <c r="T41" s="1669" t="s">
        <v>3248</v>
      </c>
      <c r="U41" s="1669" t="s">
        <v>3248</v>
      </c>
      <c r="V41" s="24" t="s">
        <v>10243</v>
      </c>
      <c r="W41" s="90" t="s">
        <v>10235</v>
      </c>
      <c r="X41" s="24" t="s">
        <v>2359</v>
      </c>
      <c r="Y41" s="24">
        <v>1</v>
      </c>
      <c r="Z41" s="24" t="s">
        <v>2512</v>
      </c>
      <c r="AA41" s="24" t="s">
        <v>1880</v>
      </c>
      <c r="AB41" s="30">
        <v>30.794</v>
      </c>
      <c r="AC41" s="30"/>
      <c r="AD41" s="30">
        <v>30.794</v>
      </c>
      <c r="AE41" s="59"/>
      <c r="AF41" s="59"/>
      <c r="AG41" s="35" t="s">
        <v>1104</v>
      </c>
      <c r="AH41" s="35" t="s">
        <v>10637</v>
      </c>
      <c r="AI41" s="35" t="s">
        <v>10639</v>
      </c>
      <c r="AJ41" s="202" t="s">
        <v>19</v>
      </c>
      <c r="AK41" s="35" t="s">
        <v>1880</v>
      </c>
      <c r="AL41" s="1669"/>
    </row>
    <row r="42" spans="1:38" s="11" customFormat="1" ht="26.25" customHeight="1" x14ac:dyDescent="0.15">
      <c r="A42" s="8">
        <f t="shared" si="0"/>
        <v>40</v>
      </c>
      <c r="B42" s="36" t="s">
        <v>10294</v>
      </c>
      <c r="C42" s="26" t="s">
        <v>19</v>
      </c>
      <c r="D42" s="26" t="s">
        <v>19</v>
      </c>
      <c r="E42" s="26" t="s">
        <v>19</v>
      </c>
      <c r="F42" s="29" t="s">
        <v>6639</v>
      </c>
      <c r="G42" s="53" t="s">
        <v>10295</v>
      </c>
      <c r="H42" s="26" t="s">
        <v>448</v>
      </c>
      <c r="I42" s="26" t="s">
        <v>448</v>
      </c>
      <c r="J42" s="26" t="s">
        <v>448</v>
      </c>
      <c r="K42" s="1668" t="s">
        <v>4791</v>
      </c>
      <c r="L42" s="1668" t="s">
        <v>3101</v>
      </c>
      <c r="M42" s="1668" t="s">
        <v>6641</v>
      </c>
      <c r="N42" s="22" t="s">
        <v>7829</v>
      </c>
      <c r="O42" s="1669" t="s">
        <v>5431</v>
      </c>
      <c r="P42" s="1670" t="s">
        <v>111</v>
      </c>
      <c r="Q42" s="1669" t="s">
        <v>1131</v>
      </c>
      <c r="R42" s="54" t="s">
        <v>116</v>
      </c>
      <c r="S42" s="22" t="s">
        <v>1880</v>
      </c>
      <c r="T42" s="1669" t="s">
        <v>446</v>
      </c>
      <c r="U42" s="1669" t="s">
        <v>446</v>
      </c>
      <c r="V42" s="24" t="s">
        <v>10243</v>
      </c>
      <c r="W42" s="90" t="s">
        <v>10296</v>
      </c>
      <c r="X42" s="24" t="s">
        <v>2359</v>
      </c>
      <c r="Y42" s="24">
        <v>1</v>
      </c>
      <c r="Z42" s="24" t="s">
        <v>10172</v>
      </c>
      <c r="AA42" s="24" t="s">
        <v>10173</v>
      </c>
      <c r="AB42" s="30"/>
      <c r="AC42" s="30">
        <v>8</v>
      </c>
      <c r="AD42" s="30">
        <v>8</v>
      </c>
      <c r="AE42" s="59"/>
      <c r="AF42" s="59"/>
      <c r="AG42" s="35" t="s">
        <v>1104</v>
      </c>
      <c r="AH42" s="35" t="s">
        <v>10636</v>
      </c>
      <c r="AI42" s="1695" t="s">
        <v>19</v>
      </c>
      <c r="AJ42" s="202" t="s">
        <v>19</v>
      </c>
      <c r="AK42" s="35" t="s">
        <v>1880</v>
      </c>
      <c r="AL42" s="1667"/>
    </row>
    <row r="43" spans="1:38" s="11" customFormat="1" ht="26.25" customHeight="1" x14ac:dyDescent="0.15">
      <c r="A43" s="8">
        <f t="shared" si="0"/>
        <v>41</v>
      </c>
      <c r="B43" s="36" t="s">
        <v>10297</v>
      </c>
      <c r="C43" s="26" t="s">
        <v>19</v>
      </c>
      <c r="D43" s="26" t="s">
        <v>19</v>
      </c>
      <c r="E43" s="26" t="s">
        <v>19</v>
      </c>
      <c r="F43" s="29" t="s">
        <v>6670</v>
      </c>
      <c r="G43" s="53" t="s">
        <v>6671</v>
      </c>
      <c r="H43" s="26" t="s">
        <v>448</v>
      </c>
      <c r="I43" s="26" t="s">
        <v>448</v>
      </c>
      <c r="J43" s="26" t="s">
        <v>448</v>
      </c>
      <c r="K43" s="1668" t="s">
        <v>2113</v>
      </c>
      <c r="L43" s="1668" t="s">
        <v>1779</v>
      </c>
      <c r="M43" s="1668" t="s">
        <v>1778</v>
      </c>
      <c r="N43" s="22" t="s">
        <v>9947</v>
      </c>
      <c r="O43" s="1670" t="s">
        <v>1826</v>
      </c>
      <c r="P43" s="1670" t="s">
        <v>111</v>
      </c>
      <c r="Q43" s="1669" t="s">
        <v>1131</v>
      </c>
      <c r="R43" s="54" t="s">
        <v>116</v>
      </c>
      <c r="S43" s="1670" t="s">
        <v>111</v>
      </c>
      <c r="T43" s="1669" t="s">
        <v>5489</v>
      </c>
      <c r="U43" s="1669" t="s">
        <v>5489</v>
      </c>
      <c r="V43" s="24" t="s">
        <v>10298</v>
      </c>
      <c r="W43" s="90" t="s">
        <v>10307</v>
      </c>
      <c r="X43" s="24" t="s">
        <v>2359</v>
      </c>
      <c r="Y43" s="24">
        <v>1</v>
      </c>
      <c r="Z43" s="24" t="s">
        <v>10299</v>
      </c>
      <c r="AA43" s="24" t="s">
        <v>10300</v>
      </c>
      <c r="AB43" s="30"/>
      <c r="AC43" s="30">
        <v>8</v>
      </c>
      <c r="AD43" s="30">
        <v>8</v>
      </c>
      <c r="AE43" s="59"/>
      <c r="AF43" s="59"/>
      <c r="AG43" s="35" t="s">
        <v>1104</v>
      </c>
      <c r="AH43" s="35" t="s">
        <v>10636</v>
      </c>
      <c r="AI43" s="1695" t="s">
        <v>19</v>
      </c>
      <c r="AJ43" s="202" t="s">
        <v>19</v>
      </c>
      <c r="AK43" s="35" t="s">
        <v>1880</v>
      </c>
      <c r="AL43" s="1669"/>
    </row>
    <row r="44" spans="1:38" s="11" customFormat="1" ht="26.25" customHeight="1" x14ac:dyDescent="0.15">
      <c r="A44" s="8">
        <f t="shared" si="0"/>
        <v>42</v>
      </c>
      <c r="B44" s="36" t="s">
        <v>10301</v>
      </c>
      <c r="C44" s="71" t="s">
        <v>10303</v>
      </c>
      <c r="D44" s="26" t="s">
        <v>19</v>
      </c>
      <c r="E44" s="26" t="s">
        <v>19</v>
      </c>
      <c r="F44" s="29" t="s">
        <v>10304</v>
      </c>
      <c r="G44" s="53" t="s">
        <v>10305</v>
      </c>
      <c r="H44" s="26" t="s">
        <v>448</v>
      </c>
      <c r="I44" s="26" t="s">
        <v>448</v>
      </c>
      <c r="J44" s="26" t="s">
        <v>448</v>
      </c>
      <c r="K44" s="1669" t="s">
        <v>4712</v>
      </c>
      <c r="L44" s="1669" t="s">
        <v>4692</v>
      </c>
      <c r="M44" s="1669" t="s">
        <v>10306</v>
      </c>
      <c r="N44" s="22" t="s">
        <v>10312</v>
      </c>
      <c r="O44" s="22" t="s">
        <v>2142</v>
      </c>
      <c r="P44" s="1670" t="s">
        <v>111</v>
      </c>
      <c r="Q44" s="1669" t="s">
        <v>4676</v>
      </c>
      <c r="R44" s="54" t="s">
        <v>7343</v>
      </c>
      <c r="S44" s="1670" t="s">
        <v>111</v>
      </c>
      <c r="T44" s="1669" t="s">
        <v>3248</v>
      </c>
      <c r="U44" s="1669" t="s">
        <v>3248</v>
      </c>
      <c r="V44" s="24" t="s">
        <v>10298</v>
      </c>
      <c r="W44" s="90" t="s">
        <v>10308</v>
      </c>
      <c r="X44" s="24" t="s">
        <v>2359</v>
      </c>
      <c r="Y44" s="24">
        <v>2</v>
      </c>
      <c r="Z44" s="24" t="s">
        <v>2512</v>
      </c>
      <c r="AA44" s="24" t="s">
        <v>1880</v>
      </c>
      <c r="AB44" s="30">
        <v>10.614000000000001</v>
      </c>
      <c r="AC44" s="30"/>
      <c r="AD44" s="30">
        <v>10.614000000000001</v>
      </c>
      <c r="AE44" s="59"/>
      <c r="AF44" s="59"/>
      <c r="AG44" s="35" t="s">
        <v>1104</v>
      </c>
      <c r="AH44" s="35" t="s">
        <v>10637</v>
      </c>
      <c r="AI44" s="35" t="s">
        <v>10638</v>
      </c>
      <c r="AJ44" s="202" t="s">
        <v>19</v>
      </c>
      <c r="AK44" s="35" t="s">
        <v>1880</v>
      </c>
      <c r="AL44" s="1669"/>
    </row>
    <row r="45" spans="1:38" s="11" customFormat="1" ht="26.25" customHeight="1" x14ac:dyDescent="0.15">
      <c r="A45" s="8">
        <f t="shared" si="0"/>
        <v>43</v>
      </c>
      <c r="B45" s="36" t="s">
        <v>10302</v>
      </c>
      <c r="C45" s="26" t="s">
        <v>19</v>
      </c>
      <c r="D45" s="26" t="s">
        <v>10501</v>
      </c>
      <c r="E45" s="26" t="s">
        <v>19</v>
      </c>
      <c r="F45" s="29" t="s">
        <v>10309</v>
      </c>
      <c r="G45" s="99" t="s">
        <v>8961</v>
      </c>
      <c r="H45" s="26" t="s">
        <v>448</v>
      </c>
      <c r="I45" s="26" t="s">
        <v>448</v>
      </c>
      <c r="J45" s="26" t="s">
        <v>448</v>
      </c>
      <c r="K45" s="1669" t="s">
        <v>4195</v>
      </c>
      <c r="L45" s="1669" t="s">
        <v>3101</v>
      </c>
      <c r="M45" s="1669" t="s">
        <v>10311</v>
      </c>
      <c r="N45" s="22" t="s">
        <v>2466</v>
      </c>
      <c r="O45" s="22" t="s">
        <v>2142</v>
      </c>
      <c r="P45" s="1670" t="s">
        <v>111</v>
      </c>
      <c r="Q45" s="1669" t="s">
        <v>4676</v>
      </c>
      <c r="R45" s="54" t="s">
        <v>10310</v>
      </c>
      <c r="S45" s="1670" t="s">
        <v>111</v>
      </c>
      <c r="T45" s="1669" t="s">
        <v>1152</v>
      </c>
      <c r="U45" s="1669" t="s">
        <v>1152</v>
      </c>
      <c r="V45" s="24" t="s">
        <v>10298</v>
      </c>
      <c r="W45" s="499"/>
      <c r="X45" s="484"/>
      <c r="Y45" s="484"/>
      <c r="Z45" s="24" t="s">
        <v>1880</v>
      </c>
      <c r="AA45" s="24" t="s">
        <v>1880</v>
      </c>
      <c r="AB45" s="30">
        <v>0.49</v>
      </c>
      <c r="AC45" s="30"/>
      <c r="AD45" s="30">
        <v>0.49</v>
      </c>
      <c r="AE45" s="59"/>
      <c r="AF45" s="59"/>
      <c r="AG45" s="35" t="s">
        <v>1104</v>
      </c>
      <c r="AH45" s="35" t="s">
        <v>10636</v>
      </c>
      <c r="AI45" s="35" t="s">
        <v>10640</v>
      </c>
      <c r="AJ45" s="202" t="s">
        <v>19</v>
      </c>
      <c r="AK45" s="35" t="s">
        <v>1880</v>
      </c>
      <c r="AL45" s="1669"/>
    </row>
    <row r="46" spans="1:38" s="11" customFormat="1" ht="26.25" customHeight="1" x14ac:dyDescent="0.15">
      <c r="A46" s="8">
        <f t="shared" si="0"/>
        <v>44</v>
      </c>
      <c r="B46" s="36" t="s">
        <v>10323</v>
      </c>
      <c r="C46" s="26" t="s">
        <v>19</v>
      </c>
      <c r="D46" s="26" t="s">
        <v>19</v>
      </c>
      <c r="E46" s="26" t="s">
        <v>19</v>
      </c>
      <c r="F46" s="29" t="s">
        <v>6031</v>
      </c>
      <c r="G46" s="53" t="s">
        <v>10349</v>
      </c>
      <c r="H46" s="26" t="s">
        <v>448</v>
      </c>
      <c r="I46" s="26" t="s">
        <v>448</v>
      </c>
      <c r="J46" s="26" t="s">
        <v>448</v>
      </c>
      <c r="K46" s="1675" t="s">
        <v>2135</v>
      </c>
      <c r="L46" s="1675" t="s">
        <v>2327</v>
      </c>
      <c r="M46" s="1675" t="s">
        <v>7641</v>
      </c>
      <c r="N46" s="22" t="s">
        <v>4780</v>
      </c>
      <c r="O46" s="1675" t="s">
        <v>1826</v>
      </c>
      <c r="P46" s="1675" t="s">
        <v>111</v>
      </c>
      <c r="Q46" s="22" t="s">
        <v>454</v>
      </c>
      <c r="R46" s="54" t="s">
        <v>2210</v>
      </c>
      <c r="S46" s="164" t="s">
        <v>1880</v>
      </c>
      <c r="T46" s="1674" t="s">
        <v>5487</v>
      </c>
      <c r="U46" s="1674" t="s">
        <v>5487</v>
      </c>
      <c r="V46" s="24" t="s">
        <v>10324</v>
      </c>
      <c r="W46" s="90" t="s">
        <v>10308</v>
      </c>
      <c r="X46" s="24" t="s">
        <v>2359</v>
      </c>
      <c r="Y46" s="24">
        <v>2</v>
      </c>
      <c r="Z46" s="24" t="s">
        <v>1880</v>
      </c>
      <c r="AA46" s="24" t="s">
        <v>1880</v>
      </c>
      <c r="AB46" s="30">
        <v>28.5</v>
      </c>
      <c r="AC46" s="30"/>
      <c r="AD46" s="30">
        <v>28.5</v>
      </c>
      <c r="AE46" s="59"/>
      <c r="AF46" s="59"/>
      <c r="AG46" s="35" t="s">
        <v>1104</v>
      </c>
      <c r="AH46" s="35" t="s">
        <v>10637</v>
      </c>
      <c r="AI46" s="35" t="s">
        <v>10641</v>
      </c>
      <c r="AJ46" s="202" t="s">
        <v>19</v>
      </c>
      <c r="AK46" s="35" t="s">
        <v>1880</v>
      </c>
      <c r="AL46" s="1673"/>
    </row>
    <row r="47" spans="1:38" s="11" customFormat="1" ht="26.25" customHeight="1" x14ac:dyDescent="0.15">
      <c r="A47" s="8">
        <f t="shared" si="0"/>
        <v>45</v>
      </c>
      <c r="B47" s="36" t="s">
        <v>10325</v>
      </c>
      <c r="C47" s="26" t="s">
        <v>19</v>
      </c>
      <c r="D47" s="26" t="s">
        <v>19</v>
      </c>
      <c r="E47" s="26" t="s">
        <v>19</v>
      </c>
      <c r="F47" s="29" t="s">
        <v>10266</v>
      </c>
      <c r="G47" s="53" t="s">
        <v>10350</v>
      </c>
      <c r="H47" s="26" t="s">
        <v>448</v>
      </c>
      <c r="I47" s="26" t="s">
        <v>448</v>
      </c>
      <c r="J47" s="26" t="s">
        <v>448</v>
      </c>
      <c r="K47" s="1677" t="s">
        <v>4712</v>
      </c>
      <c r="L47" s="1677" t="s">
        <v>1124</v>
      </c>
      <c r="M47" s="1677" t="s">
        <v>7260</v>
      </c>
      <c r="N47" s="1677" t="s">
        <v>4780</v>
      </c>
      <c r="O47" s="1677" t="s">
        <v>5431</v>
      </c>
      <c r="P47" s="22" t="s">
        <v>1880</v>
      </c>
      <c r="Q47" s="1677" t="s">
        <v>1131</v>
      </c>
      <c r="R47" s="54" t="s">
        <v>10351</v>
      </c>
      <c r="S47" s="164" t="s">
        <v>1880</v>
      </c>
      <c r="T47" s="1673" t="s">
        <v>3248</v>
      </c>
      <c r="U47" s="1673" t="s">
        <v>3248</v>
      </c>
      <c r="V47" s="24" t="s">
        <v>10324</v>
      </c>
      <c r="W47" s="90" t="s">
        <v>10352</v>
      </c>
      <c r="X47" s="24" t="s">
        <v>2359</v>
      </c>
      <c r="Y47" s="24">
        <v>1</v>
      </c>
      <c r="Z47" s="24" t="s">
        <v>1880</v>
      </c>
      <c r="AA47" s="24" t="s">
        <v>1880</v>
      </c>
      <c r="AB47" s="30">
        <v>3</v>
      </c>
      <c r="AC47" s="30"/>
      <c r="AD47" s="30">
        <v>3</v>
      </c>
      <c r="AE47" s="59"/>
      <c r="AF47" s="59"/>
      <c r="AG47" s="35" t="s">
        <v>1104</v>
      </c>
      <c r="AH47" s="35" t="s">
        <v>10636</v>
      </c>
      <c r="AI47" s="35" t="s">
        <v>10640</v>
      </c>
      <c r="AJ47" s="202" t="s">
        <v>19</v>
      </c>
      <c r="AK47" s="35" t="s">
        <v>1880</v>
      </c>
      <c r="AL47" s="1673"/>
    </row>
    <row r="48" spans="1:38" s="11" customFormat="1" ht="26.25" customHeight="1" x14ac:dyDescent="0.15">
      <c r="A48" s="8">
        <f t="shared" si="0"/>
        <v>46</v>
      </c>
      <c r="B48" s="36" t="s">
        <v>10326</v>
      </c>
      <c r="C48" s="26" t="s">
        <v>19</v>
      </c>
      <c r="D48" s="26" t="s">
        <v>19</v>
      </c>
      <c r="E48" s="26" t="s">
        <v>19</v>
      </c>
      <c r="F48" s="29" t="s">
        <v>10245</v>
      </c>
      <c r="G48" s="53" t="s">
        <v>10353</v>
      </c>
      <c r="H48" s="1478" t="s">
        <v>448</v>
      </c>
      <c r="I48" s="1478" t="s">
        <v>448</v>
      </c>
      <c r="J48" s="1478" t="s">
        <v>448</v>
      </c>
      <c r="K48" s="1677" t="s">
        <v>4712</v>
      </c>
      <c r="L48" s="1677" t="s">
        <v>1124</v>
      </c>
      <c r="M48" s="1677" t="s">
        <v>9026</v>
      </c>
      <c r="N48" s="1677" t="s">
        <v>4780</v>
      </c>
      <c r="O48" s="1677" t="s">
        <v>5431</v>
      </c>
      <c r="P48" s="22" t="s">
        <v>1880</v>
      </c>
      <c r="Q48" s="1677" t="s">
        <v>1131</v>
      </c>
      <c r="R48" s="54" t="s">
        <v>10351</v>
      </c>
      <c r="S48" s="164" t="s">
        <v>1880</v>
      </c>
      <c r="T48" s="1673" t="s">
        <v>3248</v>
      </c>
      <c r="U48" s="1673" t="s">
        <v>3248</v>
      </c>
      <c r="V48" s="24" t="s">
        <v>10324</v>
      </c>
      <c r="W48" s="90" t="s">
        <v>10352</v>
      </c>
      <c r="X48" s="24" t="s">
        <v>2359</v>
      </c>
      <c r="Y48" s="24">
        <v>1</v>
      </c>
      <c r="Z48" s="24" t="s">
        <v>1880</v>
      </c>
      <c r="AA48" s="24" t="s">
        <v>1880</v>
      </c>
      <c r="AB48" s="30">
        <v>3</v>
      </c>
      <c r="AC48" s="30"/>
      <c r="AD48" s="30">
        <v>3</v>
      </c>
      <c r="AE48" s="59"/>
      <c r="AF48" s="59"/>
      <c r="AG48" s="35" t="s">
        <v>1104</v>
      </c>
      <c r="AH48" s="35" t="s">
        <v>10636</v>
      </c>
      <c r="AI48" s="35" t="s">
        <v>10640</v>
      </c>
      <c r="AJ48" s="202" t="s">
        <v>19</v>
      </c>
      <c r="AK48" s="35" t="s">
        <v>1880</v>
      </c>
      <c r="AL48" s="1673"/>
    </row>
    <row r="49" spans="1:38" s="11" customFormat="1" ht="26.25" customHeight="1" x14ac:dyDescent="0.15">
      <c r="A49" s="8">
        <f t="shared" si="0"/>
        <v>47</v>
      </c>
      <c r="B49" s="36" t="s">
        <v>10692</v>
      </c>
      <c r="C49" s="26" t="s">
        <v>10693</v>
      </c>
      <c r="D49" s="26" t="s">
        <v>19</v>
      </c>
      <c r="E49" s="26" t="s">
        <v>19</v>
      </c>
      <c r="F49" s="29" t="s">
        <v>10355</v>
      </c>
      <c r="G49" s="53" t="s">
        <v>10354</v>
      </c>
      <c r="H49" s="1478" t="s">
        <v>448</v>
      </c>
      <c r="I49" s="1478" t="s">
        <v>448</v>
      </c>
      <c r="J49" s="1478" t="s">
        <v>448</v>
      </c>
      <c r="K49" s="1677" t="s">
        <v>4712</v>
      </c>
      <c r="L49" s="1677" t="s">
        <v>1124</v>
      </c>
      <c r="M49" s="1677" t="s">
        <v>10282</v>
      </c>
      <c r="N49" s="1677" t="s">
        <v>4780</v>
      </c>
      <c r="O49" s="1677" t="s">
        <v>5431</v>
      </c>
      <c r="P49" s="22" t="s">
        <v>1880</v>
      </c>
      <c r="Q49" s="1677" t="s">
        <v>1131</v>
      </c>
      <c r="R49" s="54" t="s">
        <v>10351</v>
      </c>
      <c r="S49" s="164" t="s">
        <v>1880</v>
      </c>
      <c r="T49" s="1673" t="s">
        <v>3248</v>
      </c>
      <c r="U49" s="1673" t="s">
        <v>3248</v>
      </c>
      <c r="V49" s="24" t="s">
        <v>10324</v>
      </c>
      <c r="W49" s="90" t="s">
        <v>10352</v>
      </c>
      <c r="X49" s="24" t="s">
        <v>2359</v>
      </c>
      <c r="Y49" s="24">
        <v>1</v>
      </c>
      <c r="Z49" s="24" t="s">
        <v>1880</v>
      </c>
      <c r="AA49" s="24" t="s">
        <v>1880</v>
      </c>
      <c r="AB49" s="30">
        <v>3</v>
      </c>
      <c r="AC49" s="30"/>
      <c r="AD49" s="30">
        <v>3</v>
      </c>
      <c r="AE49" s="59"/>
      <c r="AF49" s="59"/>
      <c r="AG49" s="35" t="s">
        <v>1104</v>
      </c>
      <c r="AH49" s="35" t="s">
        <v>10636</v>
      </c>
      <c r="AI49" s="35" t="s">
        <v>10640</v>
      </c>
      <c r="AJ49" s="202" t="s">
        <v>19</v>
      </c>
      <c r="AK49" s="35" t="s">
        <v>1880</v>
      </c>
      <c r="AL49" s="1673"/>
    </row>
    <row r="50" spans="1:38" s="11" customFormat="1" ht="26.25" customHeight="1" x14ac:dyDescent="0.15">
      <c r="A50" s="8">
        <f t="shared" si="0"/>
        <v>48</v>
      </c>
      <c r="B50" s="36" t="s">
        <v>10327</v>
      </c>
      <c r="C50" s="26" t="s">
        <v>19</v>
      </c>
      <c r="D50" s="26" t="s">
        <v>19</v>
      </c>
      <c r="E50" s="26" t="s">
        <v>19</v>
      </c>
      <c r="F50" s="29" t="s">
        <v>10356</v>
      </c>
      <c r="G50" s="53" t="s">
        <v>10357</v>
      </c>
      <c r="H50" s="1478" t="s">
        <v>448</v>
      </c>
      <c r="I50" s="1478" t="s">
        <v>448</v>
      </c>
      <c r="J50" s="1478" t="s">
        <v>448</v>
      </c>
      <c r="K50" s="1677" t="s">
        <v>4712</v>
      </c>
      <c r="L50" s="1677" t="s">
        <v>1124</v>
      </c>
      <c r="M50" s="1672" t="s">
        <v>10358</v>
      </c>
      <c r="N50" s="1677" t="s">
        <v>4780</v>
      </c>
      <c r="O50" s="1677" t="s">
        <v>5431</v>
      </c>
      <c r="P50" s="22" t="s">
        <v>1880</v>
      </c>
      <c r="Q50" s="1677" t="s">
        <v>1131</v>
      </c>
      <c r="R50" s="54" t="s">
        <v>10351</v>
      </c>
      <c r="S50" s="164" t="s">
        <v>1880</v>
      </c>
      <c r="T50" s="1673" t="s">
        <v>3248</v>
      </c>
      <c r="U50" s="1673" t="s">
        <v>3248</v>
      </c>
      <c r="V50" s="24" t="s">
        <v>10324</v>
      </c>
      <c r="W50" s="90" t="s">
        <v>10352</v>
      </c>
      <c r="X50" s="24" t="s">
        <v>2359</v>
      </c>
      <c r="Y50" s="24">
        <v>1</v>
      </c>
      <c r="Z50" s="24" t="s">
        <v>1880</v>
      </c>
      <c r="AA50" s="24" t="s">
        <v>1880</v>
      </c>
      <c r="AB50" s="30">
        <v>3</v>
      </c>
      <c r="AC50" s="30"/>
      <c r="AD50" s="30">
        <v>3</v>
      </c>
      <c r="AE50" s="59"/>
      <c r="AF50" s="59"/>
      <c r="AG50" s="35" t="s">
        <v>1104</v>
      </c>
      <c r="AH50" s="35" t="s">
        <v>10636</v>
      </c>
      <c r="AI50" s="35" t="s">
        <v>10640</v>
      </c>
      <c r="AJ50" s="202" t="s">
        <v>19</v>
      </c>
      <c r="AK50" s="35" t="s">
        <v>1880</v>
      </c>
      <c r="AL50" s="1673"/>
    </row>
    <row r="51" spans="1:38" s="11" customFormat="1" ht="26.25" customHeight="1" x14ac:dyDescent="0.15">
      <c r="A51" s="8">
        <f t="shared" si="0"/>
        <v>49</v>
      </c>
      <c r="B51" s="36" t="s">
        <v>10328</v>
      </c>
      <c r="C51" s="26" t="s">
        <v>19</v>
      </c>
      <c r="D51" s="26" t="s">
        <v>19</v>
      </c>
      <c r="E51" s="26" t="s">
        <v>19</v>
      </c>
      <c r="F51" s="29" t="s">
        <v>10359</v>
      </c>
      <c r="G51" s="53" t="s">
        <v>10360</v>
      </c>
      <c r="H51" s="1478" t="s">
        <v>448</v>
      </c>
      <c r="I51" s="1478" t="s">
        <v>448</v>
      </c>
      <c r="J51" s="1478" t="s">
        <v>448</v>
      </c>
      <c r="K51" s="1677" t="s">
        <v>4712</v>
      </c>
      <c r="L51" s="1677" t="s">
        <v>1124</v>
      </c>
      <c r="M51" s="1676" t="s">
        <v>10361</v>
      </c>
      <c r="N51" s="1677" t="s">
        <v>4780</v>
      </c>
      <c r="O51" s="1677" t="s">
        <v>5431</v>
      </c>
      <c r="P51" s="22" t="s">
        <v>1880</v>
      </c>
      <c r="Q51" s="1677" t="s">
        <v>1131</v>
      </c>
      <c r="R51" s="54" t="s">
        <v>10351</v>
      </c>
      <c r="S51" s="164" t="s">
        <v>1880</v>
      </c>
      <c r="T51" s="1673" t="s">
        <v>3248</v>
      </c>
      <c r="U51" s="1673" t="s">
        <v>3248</v>
      </c>
      <c r="V51" s="24" t="s">
        <v>10324</v>
      </c>
      <c r="W51" s="90" t="s">
        <v>10352</v>
      </c>
      <c r="X51" s="24" t="s">
        <v>2359</v>
      </c>
      <c r="Y51" s="24">
        <v>1</v>
      </c>
      <c r="Z51" s="24" t="s">
        <v>1880</v>
      </c>
      <c r="AA51" s="24" t="s">
        <v>1880</v>
      </c>
      <c r="AB51" s="30">
        <v>3</v>
      </c>
      <c r="AC51" s="30"/>
      <c r="AD51" s="30">
        <v>3</v>
      </c>
      <c r="AE51" s="59"/>
      <c r="AF51" s="59"/>
      <c r="AG51" s="35" t="s">
        <v>1104</v>
      </c>
      <c r="AH51" s="35" t="s">
        <v>10636</v>
      </c>
      <c r="AI51" s="35" t="s">
        <v>10640</v>
      </c>
      <c r="AJ51" s="202" t="s">
        <v>19</v>
      </c>
      <c r="AK51" s="35" t="s">
        <v>1880</v>
      </c>
      <c r="AL51" s="1673"/>
    </row>
    <row r="52" spans="1:38" s="11" customFormat="1" ht="26.25" customHeight="1" x14ac:dyDescent="0.15">
      <c r="A52" s="8">
        <f t="shared" si="0"/>
        <v>50</v>
      </c>
      <c r="B52" s="36" t="s">
        <v>10329</v>
      </c>
      <c r="C52" s="26" t="s">
        <v>19</v>
      </c>
      <c r="D52" s="26" t="s">
        <v>19</v>
      </c>
      <c r="E52" s="26" t="s">
        <v>19</v>
      </c>
      <c r="F52" s="29" t="s">
        <v>10362</v>
      </c>
      <c r="G52" s="53" t="s">
        <v>10363</v>
      </c>
      <c r="H52" s="1478" t="s">
        <v>448</v>
      </c>
      <c r="I52" s="1478" t="s">
        <v>448</v>
      </c>
      <c r="J52" s="1478" t="s">
        <v>448</v>
      </c>
      <c r="K52" s="1677" t="s">
        <v>4712</v>
      </c>
      <c r="L52" s="1677" t="s">
        <v>1124</v>
      </c>
      <c r="M52" s="1677" t="s">
        <v>9500</v>
      </c>
      <c r="N52" s="1677" t="s">
        <v>4780</v>
      </c>
      <c r="O52" s="1677" t="s">
        <v>5431</v>
      </c>
      <c r="P52" s="22" t="s">
        <v>1880</v>
      </c>
      <c r="Q52" s="1677" t="s">
        <v>1131</v>
      </c>
      <c r="R52" s="54" t="s">
        <v>10351</v>
      </c>
      <c r="S52" s="164" t="s">
        <v>1880</v>
      </c>
      <c r="T52" s="1673" t="s">
        <v>3248</v>
      </c>
      <c r="U52" s="1673" t="s">
        <v>3248</v>
      </c>
      <c r="V52" s="24" t="s">
        <v>10324</v>
      </c>
      <c r="W52" s="90" t="s">
        <v>10352</v>
      </c>
      <c r="X52" s="24" t="s">
        <v>2359</v>
      </c>
      <c r="Y52" s="24">
        <v>1</v>
      </c>
      <c r="Z52" s="24" t="s">
        <v>1880</v>
      </c>
      <c r="AA52" s="24" t="s">
        <v>1880</v>
      </c>
      <c r="AB52" s="30">
        <v>3</v>
      </c>
      <c r="AC52" s="30"/>
      <c r="AD52" s="30">
        <v>3</v>
      </c>
      <c r="AE52" s="59"/>
      <c r="AF52" s="59"/>
      <c r="AG52" s="35" t="s">
        <v>1104</v>
      </c>
      <c r="AH52" s="35" t="s">
        <v>10636</v>
      </c>
      <c r="AI52" s="35" t="s">
        <v>10640</v>
      </c>
      <c r="AJ52" s="202" t="s">
        <v>19</v>
      </c>
      <c r="AK52" s="35" t="s">
        <v>1880</v>
      </c>
      <c r="AL52" s="1673"/>
    </row>
    <row r="53" spans="1:38" s="11" customFormat="1" ht="26.25" customHeight="1" x14ac:dyDescent="0.15">
      <c r="A53" s="8">
        <f t="shared" si="0"/>
        <v>51</v>
      </c>
      <c r="B53" s="36" t="s">
        <v>10330</v>
      </c>
      <c r="C53" s="26" t="s">
        <v>19</v>
      </c>
      <c r="D53" s="26" t="s">
        <v>19</v>
      </c>
      <c r="E53" s="26" t="s">
        <v>19</v>
      </c>
      <c r="F53" s="29" t="s">
        <v>9235</v>
      </c>
      <c r="G53" s="29" t="s">
        <v>10385</v>
      </c>
      <c r="H53" s="26" t="s">
        <v>8679</v>
      </c>
      <c r="I53" s="26" t="s">
        <v>9514</v>
      </c>
      <c r="J53" s="26" t="s">
        <v>9515</v>
      </c>
      <c r="K53" s="1683" t="s">
        <v>2012</v>
      </c>
      <c r="L53" s="1683" t="s">
        <v>2067</v>
      </c>
      <c r="M53" s="1683" t="s">
        <v>8139</v>
      </c>
      <c r="N53" s="22" t="s">
        <v>9236</v>
      </c>
      <c r="O53" s="22" t="s">
        <v>1826</v>
      </c>
      <c r="P53" s="1685" t="s">
        <v>1880</v>
      </c>
      <c r="Q53" s="1684" t="s">
        <v>1131</v>
      </c>
      <c r="R53" s="54" t="s">
        <v>9595</v>
      </c>
      <c r="S53" s="22" t="s">
        <v>1880</v>
      </c>
      <c r="T53" s="1673" t="s">
        <v>3248</v>
      </c>
      <c r="U53" s="1673" t="s">
        <v>3248</v>
      </c>
      <c r="V53" s="24" t="s">
        <v>10324</v>
      </c>
      <c r="W53" s="90" t="s">
        <v>10243</v>
      </c>
      <c r="X53" s="24" t="s">
        <v>2359</v>
      </c>
      <c r="Y53" s="24">
        <v>1</v>
      </c>
      <c r="Z53" s="24" t="s">
        <v>10172</v>
      </c>
      <c r="AA53" s="24" t="s">
        <v>10173</v>
      </c>
      <c r="AB53" s="30"/>
      <c r="AC53" s="30">
        <v>16.5</v>
      </c>
      <c r="AD53" s="30">
        <v>16.5</v>
      </c>
      <c r="AE53" s="59"/>
      <c r="AF53" s="59"/>
      <c r="AG53" s="35" t="s">
        <v>1104</v>
      </c>
      <c r="AH53" s="35" t="s">
        <v>10636</v>
      </c>
      <c r="AI53" s="35" t="s">
        <v>19</v>
      </c>
      <c r="AJ53" s="202" t="s">
        <v>19</v>
      </c>
      <c r="AK53" s="35" t="s">
        <v>1880</v>
      </c>
      <c r="AL53" s="1673"/>
    </row>
    <row r="54" spans="1:38" s="11" customFormat="1" ht="26.25" customHeight="1" x14ac:dyDescent="0.15">
      <c r="A54" s="8">
        <f t="shared" si="0"/>
        <v>52</v>
      </c>
      <c r="B54" s="36" t="s">
        <v>10331</v>
      </c>
      <c r="C54" s="26" t="s">
        <v>19</v>
      </c>
      <c r="D54" s="26" t="s">
        <v>19</v>
      </c>
      <c r="E54" s="26" t="s">
        <v>19</v>
      </c>
      <c r="F54" s="29" t="s">
        <v>6458</v>
      </c>
      <c r="G54" s="53" t="s">
        <v>10386</v>
      </c>
      <c r="H54" s="26" t="s">
        <v>8679</v>
      </c>
      <c r="I54" s="26" t="s">
        <v>9514</v>
      </c>
      <c r="J54" s="26" t="s">
        <v>9515</v>
      </c>
      <c r="K54" s="1683" t="s">
        <v>4712</v>
      </c>
      <c r="L54" s="1683" t="s">
        <v>4196</v>
      </c>
      <c r="M54" s="1683" t="s">
        <v>5637</v>
      </c>
      <c r="N54" s="22" t="s">
        <v>4780</v>
      </c>
      <c r="O54" s="22" t="s">
        <v>5431</v>
      </c>
      <c r="P54" s="1685" t="s">
        <v>111</v>
      </c>
      <c r="Q54" s="1684" t="s">
        <v>1131</v>
      </c>
      <c r="R54" s="54" t="s">
        <v>9595</v>
      </c>
      <c r="S54" s="22" t="s">
        <v>1880</v>
      </c>
      <c r="T54" s="1673" t="s">
        <v>3248</v>
      </c>
      <c r="U54" s="1673" t="s">
        <v>3248</v>
      </c>
      <c r="V54" s="24" t="s">
        <v>10324</v>
      </c>
      <c r="W54" s="90" t="s">
        <v>10243</v>
      </c>
      <c r="X54" s="24" t="s">
        <v>2359</v>
      </c>
      <c r="Y54" s="24">
        <v>1</v>
      </c>
      <c r="Z54" s="24" t="s">
        <v>10172</v>
      </c>
      <c r="AA54" s="24" t="s">
        <v>10173</v>
      </c>
      <c r="AB54" s="30"/>
      <c r="AC54" s="30">
        <v>16.5</v>
      </c>
      <c r="AD54" s="30">
        <v>16.5</v>
      </c>
      <c r="AE54" s="59"/>
      <c r="AF54" s="59"/>
      <c r="AG54" s="35" t="s">
        <v>1104</v>
      </c>
      <c r="AH54" s="35" t="s">
        <v>10636</v>
      </c>
      <c r="AI54" s="35" t="s">
        <v>19</v>
      </c>
      <c r="AJ54" s="202" t="s">
        <v>19</v>
      </c>
      <c r="AK54" s="35" t="s">
        <v>1880</v>
      </c>
      <c r="AL54" s="1673"/>
    </row>
    <row r="55" spans="1:38" s="11" customFormat="1" ht="26.25" customHeight="1" x14ac:dyDescent="0.15">
      <c r="A55" s="8">
        <f t="shared" si="0"/>
        <v>53</v>
      </c>
      <c r="B55" s="36" t="s">
        <v>10332</v>
      </c>
      <c r="C55" s="26" t="s">
        <v>19</v>
      </c>
      <c r="D55" s="26" t="s">
        <v>19</v>
      </c>
      <c r="E55" s="26" t="s">
        <v>19</v>
      </c>
      <c r="F55" s="29" t="s">
        <v>5640</v>
      </c>
      <c r="G55" s="53" t="s">
        <v>10384</v>
      </c>
      <c r="H55" s="26" t="s">
        <v>8679</v>
      </c>
      <c r="I55" s="26" t="s">
        <v>9514</v>
      </c>
      <c r="J55" s="26" t="s">
        <v>9515</v>
      </c>
      <c r="K55" s="1683" t="s">
        <v>4712</v>
      </c>
      <c r="L55" s="1683" t="s">
        <v>4196</v>
      </c>
      <c r="M55" s="1683" t="s">
        <v>5430</v>
      </c>
      <c r="N55" s="22" t="s">
        <v>4780</v>
      </c>
      <c r="O55" s="22" t="s">
        <v>5431</v>
      </c>
      <c r="P55" s="1685" t="s">
        <v>111</v>
      </c>
      <c r="Q55" s="1684" t="s">
        <v>1131</v>
      </c>
      <c r="R55" s="54" t="s">
        <v>9595</v>
      </c>
      <c r="S55" s="22" t="s">
        <v>1880</v>
      </c>
      <c r="T55" s="1673" t="s">
        <v>3248</v>
      </c>
      <c r="U55" s="1673" t="s">
        <v>3248</v>
      </c>
      <c r="V55" s="24" t="s">
        <v>10324</v>
      </c>
      <c r="W55" s="90" t="s">
        <v>10243</v>
      </c>
      <c r="X55" s="24" t="s">
        <v>2359</v>
      </c>
      <c r="Y55" s="24">
        <v>1</v>
      </c>
      <c r="Z55" s="24" t="s">
        <v>10172</v>
      </c>
      <c r="AA55" s="24" t="s">
        <v>10173</v>
      </c>
      <c r="AB55" s="30"/>
      <c r="AC55" s="30">
        <v>18.5</v>
      </c>
      <c r="AD55" s="30">
        <v>18.5</v>
      </c>
      <c r="AE55" s="59"/>
      <c r="AF55" s="59"/>
      <c r="AG55" s="35" t="s">
        <v>1104</v>
      </c>
      <c r="AH55" s="35" t="s">
        <v>10636</v>
      </c>
      <c r="AI55" s="35" t="s">
        <v>19</v>
      </c>
      <c r="AJ55" s="202" t="s">
        <v>19</v>
      </c>
      <c r="AK55" s="35" t="s">
        <v>1880</v>
      </c>
      <c r="AL55" s="1673"/>
    </row>
    <row r="56" spans="1:38" s="11" customFormat="1" ht="26.25" customHeight="1" x14ac:dyDescent="0.15">
      <c r="A56" s="8">
        <f t="shared" si="0"/>
        <v>54</v>
      </c>
      <c r="B56" s="36" t="s">
        <v>10333</v>
      </c>
      <c r="C56" s="26" t="s">
        <v>19</v>
      </c>
      <c r="D56" s="26" t="s">
        <v>19</v>
      </c>
      <c r="E56" s="26" t="s">
        <v>19</v>
      </c>
      <c r="F56" s="29" t="s">
        <v>5642</v>
      </c>
      <c r="G56" s="53" t="s">
        <v>10387</v>
      </c>
      <c r="H56" s="26" t="s">
        <v>8679</v>
      </c>
      <c r="I56" s="26" t="s">
        <v>9514</v>
      </c>
      <c r="J56" s="26" t="s">
        <v>9515</v>
      </c>
      <c r="K56" s="1683" t="s">
        <v>4712</v>
      </c>
      <c r="L56" s="1683" t="s">
        <v>4196</v>
      </c>
      <c r="M56" s="1683" t="s">
        <v>5395</v>
      </c>
      <c r="N56" s="22" t="s">
        <v>4780</v>
      </c>
      <c r="O56" s="22" t="s">
        <v>5431</v>
      </c>
      <c r="P56" s="1685" t="s">
        <v>111</v>
      </c>
      <c r="Q56" s="1684" t="s">
        <v>1131</v>
      </c>
      <c r="R56" s="54" t="s">
        <v>9595</v>
      </c>
      <c r="S56" s="22" t="s">
        <v>1880</v>
      </c>
      <c r="T56" s="1673" t="s">
        <v>3248</v>
      </c>
      <c r="U56" s="1673" t="s">
        <v>3248</v>
      </c>
      <c r="V56" s="24" t="s">
        <v>10324</v>
      </c>
      <c r="W56" s="90" t="s">
        <v>10243</v>
      </c>
      <c r="X56" s="24" t="s">
        <v>2359</v>
      </c>
      <c r="Y56" s="24">
        <v>1</v>
      </c>
      <c r="Z56" s="24" t="s">
        <v>10172</v>
      </c>
      <c r="AA56" s="24" t="s">
        <v>10173</v>
      </c>
      <c r="AB56" s="30"/>
      <c r="AC56" s="30">
        <v>16.5</v>
      </c>
      <c r="AD56" s="30">
        <v>16.5</v>
      </c>
      <c r="AE56" s="59"/>
      <c r="AF56" s="59"/>
      <c r="AG56" s="35" t="s">
        <v>1104</v>
      </c>
      <c r="AH56" s="35" t="s">
        <v>10636</v>
      </c>
      <c r="AI56" s="35" t="s">
        <v>19</v>
      </c>
      <c r="AJ56" s="202" t="s">
        <v>19</v>
      </c>
      <c r="AK56" s="35" t="s">
        <v>1880</v>
      </c>
      <c r="AL56" s="1673"/>
    </row>
    <row r="57" spans="1:38" s="11" customFormat="1" ht="26.25" customHeight="1" x14ac:dyDescent="0.15">
      <c r="A57" s="8">
        <f t="shared" si="0"/>
        <v>55</v>
      </c>
      <c r="B57" s="36" t="s">
        <v>10334</v>
      </c>
      <c r="C57" s="26" t="s">
        <v>19</v>
      </c>
      <c r="D57" s="26" t="s">
        <v>19</v>
      </c>
      <c r="E57" s="26" t="s">
        <v>19</v>
      </c>
      <c r="F57" s="29" t="s">
        <v>5644</v>
      </c>
      <c r="G57" s="53" t="s">
        <v>10388</v>
      </c>
      <c r="H57" s="26" t="s">
        <v>8679</v>
      </c>
      <c r="I57" s="26" t="s">
        <v>9514</v>
      </c>
      <c r="J57" s="26" t="s">
        <v>9515</v>
      </c>
      <c r="K57" s="1683" t="s">
        <v>4712</v>
      </c>
      <c r="L57" s="1683" t="s">
        <v>4196</v>
      </c>
      <c r="M57" s="1683" t="s">
        <v>5646</v>
      </c>
      <c r="N57" s="22" t="s">
        <v>4780</v>
      </c>
      <c r="O57" s="22" t="s">
        <v>5431</v>
      </c>
      <c r="P57" s="1685" t="s">
        <v>111</v>
      </c>
      <c r="Q57" s="1684" t="s">
        <v>1131</v>
      </c>
      <c r="R57" s="54" t="s">
        <v>9595</v>
      </c>
      <c r="S57" s="22" t="s">
        <v>1880</v>
      </c>
      <c r="T57" s="1673" t="s">
        <v>3248</v>
      </c>
      <c r="U57" s="1673" t="s">
        <v>3248</v>
      </c>
      <c r="V57" s="24" t="s">
        <v>10324</v>
      </c>
      <c r="W57" s="90" t="s">
        <v>10243</v>
      </c>
      <c r="X57" s="24" t="s">
        <v>2359</v>
      </c>
      <c r="Y57" s="24">
        <v>1</v>
      </c>
      <c r="Z57" s="24" t="s">
        <v>10172</v>
      </c>
      <c r="AA57" s="24" t="s">
        <v>10173</v>
      </c>
      <c r="AB57" s="30"/>
      <c r="AC57" s="30">
        <v>16.5</v>
      </c>
      <c r="AD57" s="30">
        <v>16.5</v>
      </c>
      <c r="AE57" s="59"/>
      <c r="AF57" s="59"/>
      <c r="AG57" s="35" t="s">
        <v>1104</v>
      </c>
      <c r="AH57" s="35" t="s">
        <v>10636</v>
      </c>
      <c r="AI57" s="35" t="s">
        <v>19</v>
      </c>
      <c r="AJ57" s="202" t="s">
        <v>19</v>
      </c>
      <c r="AK57" s="35" t="s">
        <v>1880</v>
      </c>
      <c r="AL57" s="1673"/>
    </row>
    <row r="58" spans="1:38" s="11" customFormat="1" ht="26.25" customHeight="1" x14ac:dyDescent="0.15">
      <c r="A58" s="8">
        <f t="shared" si="0"/>
        <v>56</v>
      </c>
      <c r="B58" s="36" t="s">
        <v>10335</v>
      </c>
      <c r="C58" s="26" t="s">
        <v>19</v>
      </c>
      <c r="D58" s="26" t="s">
        <v>19</v>
      </c>
      <c r="E58" s="26" t="s">
        <v>19</v>
      </c>
      <c r="F58" s="29" t="s">
        <v>3898</v>
      </c>
      <c r="G58" s="53" t="s">
        <v>10412</v>
      </c>
      <c r="H58" s="26" t="s">
        <v>10404</v>
      </c>
      <c r="I58" s="26" t="s">
        <v>10405</v>
      </c>
      <c r="J58" s="26" t="s">
        <v>10406</v>
      </c>
      <c r="K58" s="1689" t="s">
        <v>2475</v>
      </c>
      <c r="L58" s="302" t="s">
        <v>1789</v>
      </c>
      <c r="M58" s="1689" t="s">
        <v>3902</v>
      </c>
      <c r="N58" s="1691" t="s">
        <v>4780</v>
      </c>
      <c r="O58" s="22" t="s">
        <v>5431</v>
      </c>
      <c r="P58" s="1691" t="s">
        <v>1880</v>
      </c>
      <c r="Q58" s="1690" t="s">
        <v>1131</v>
      </c>
      <c r="R58" s="54" t="s">
        <v>10407</v>
      </c>
      <c r="S58" s="22" t="s">
        <v>1880</v>
      </c>
      <c r="T58" s="1690" t="s">
        <v>446</v>
      </c>
      <c r="U58" s="1690" t="s">
        <v>446</v>
      </c>
      <c r="V58" s="24" t="s">
        <v>10324</v>
      </c>
      <c r="W58" s="90" t="s">
        <v>10209</v>
      </c>
      <c r="X58" s="24" t="s">
        <v>2359</v>
      </c>
      <c r="Y58" s="24">
        <v>1</v>
      </c>
      <c r="Z58" s="24" t="s">
        <v>10408</v>
      </c>
      <c r="AA58" s="24" t="s">
        <v>10409</v>
      </c>
      <c r="AB58" s="30"/>
      <c r="AC58" s="30">
        <v>8.6999999999999993</v>
      </c>
      <c r="AD58" s="30">
        <v>8.6999999999999993</v>
      </c>
      <c r="AE58" s="59"/>
      <c r="AF58" s="59"/>
      <c r="AG58" s="35" t="s">
        <v>1104</v>
      </c>
      <c r="AH58" s="35" t="s">
        <v>10636</v>
      </c>
      <c r="AI58" s="35" t="s">
        <v>19</v>
      </c>
      <c r="AJ58" s="202" t="s">
        <v>19</v>
      </c>
      <c r="AK58" s="35" t="s">
        <v>1880</v>
      </c>
      <c r="AL58" s="1673"/>
    </row>
    <row r="59" spans="1:38" s="11" customFormat="1" ht="26.25" customHeight="1" x14ac:dyDescent="0.15">
      <c r="A59" s="8">
        <f t="shared" si="0"/>
        <v>57</v>
      </c>
      <c r="B59" s="36" t="s">
        <v>10336</v>
      </c>
      <c r="C59" s="26" t="s">
        <v>19</v>
      </c>
      <c r="D59" s="26" t="s">
        <v>19</v>
      </c>
      <c r="E59" s="26" t="s">
        <v>19</v>
      </c>
      <c r="F59" s="29" t="s">
        <v>10410</v>
      </c>
      <c r="G59" s="53" t="s">
        <v>10411</v>
      </c>
      <c r="H59" s="26" t="s">
        <v>10404</v>
      </c>
      <c r="I59" s="26" t="s">
        <v>10405</v>
      </c>
      <c r="J59" s="26" t="s">
        <v>10406</v>
      </c>
      <c r="K59" s="1690" t="s">
        <v>5374</v>
      </c>
      <c r="L59" s="1690" t="s">
        <v>5419</v>
      </c>
      <c r="M59" s="1690" t="s">
        <v>9017</v>
      </c>
      <c r="N59" s="22" t="s">
        <v>4780</v>
      </c>
      <c r="O59" s="1690" t="s">
        <v>5431</v>
      </c>
      <c r="P59" s="1691" t="s">
        <v>111</v>
      </c>
      <c r="Q59" s="1690" t="s">
        <v>1131</v>
      </c>
      <c r="R59" s="54" t="s">
        <v>10407</v>
      </c>
      <c r="S59" s="22" t="s">
        <v>1880</v>
      </c>
      <c r="T59" s="1673" t="s">
        <v>1785</v>
      </c>
      <c r="U59" s="1673" t="s">
        <v>1785</v>
      </c>
      <c r="V59" s="24" t="s">
        <v>10324</v>
      </c>
      <c r="W59" s="90" t="s">
        <v>10209</v>
      </c>
      <c r="X59" s="24" t="s">
        <v>2359</v>
      </c>
      <c r="Y59" s="24">
        <v>1</v>
      </c>
      <c r="Z59" s="1695" t="s">
        <v>10413</v>
      </c>
      <c r="AA59" s="1695" t="s">
        <v>10414</v>
      </c>
      <c r="AB59" s="30"/>
      <c r="AC59" s="30">
        <v>8.6999999999999993</v>
      </c>
      <c r="AD59" s="30">
        <v>8.6999999999999993</v>
      </c>
      <c r="AE59" s="59"/>
      <c r="AF59" s="59"/>
      <c r="AG59" s="35" t="s">
        <v>1104</v>
      </c>
      <c r="AH59" s="35" t="s">
        <v>10636</v>
      </c>
      <c r="AI59" s="35" t="s">
        <v>19</v>
      </c>
      <c r="AJ59" s="202" t="s">
        <v>19</v>
      </c>
      <c r="AK59" s="35" t="s">
        <v>1880</v>
      </c>
      <c r="AL59" s="1673"/>
    </row>
    <row r="60" spans="1:38" s="11" customFormat="1" ht="26.25" customHeight="1" x14ac:dyDescent="0.15">
      <c r="A60" s="8">
        <f t="shared" si="0"/>
        <v>58</v>
      </c>
      <c r="B60" s="36" t="s">
        <v>10337</v>
      </c>
      <c r="C60" s="26" t="s">
        <v>19</v>
      </c>
      <c r="D60" s="26" t="s">
        <v>19</v>
      </c>
      <c r="E60" s="26" t="s">
        <v>19</v>
      </c>
      <c r="F60" s="29" t="s">
        <v>11000</v>
      </c>
      <c r="G60" s="53" t="s">
        <v>10415</v>
      </c>
      <c r="H60" s="26" t="s">
        <v>8765</v>
      </c>
      <c r="I60" s="26" t="s">
        <v>9585</v>
      </c>
      <c r="J60" s="26" t="s">
        <v>9586</v>
      </c>
      <c r="K60" s="1689" t="s">
        <v>1147</v>
      </c>
      <c r="L60" s="1689" t="s">
        <v>1789</v>
      </c>
      <c r="M60" s="1690" t="s">
        <v>3486</v>
      </c>
      <c r="N60" s="22" t="s">
        <v>9953</v>
      </c>
      <c r="O60" s="22" t="s">
        <v>2142</v>
      </c>
      <c r="P60" s="1691" t="s">
        <v>111</v>
      </c>
      <c r="Q60" s="1669" t="s">
        <v>2422</v>
      </c>
      <c r="R60" s="54" t="s">
        <v>1819</v>
      </c>
      <c r="S60" s="22" t="s">
        <v>1880</v>
      </c>
      <c r="T60" s="1673" t="s">
        <v>1811</v>
      </c>
      <c r="U60" s="1669" t="s">
        <v>1152</v>
      </c>
      <c r="V60" s="24" t="s">
        <v>10324</v>
      </c>
      <c r="W60" s="90" t="s">
        <v>10308</v>
      </c>
      <c r="X60" s="24" t="s">
        <v>108</v>
      </c>
      <c r="Y60" s="10">
        <v>1</v>
      </c>
      <c r="Z60" s="24" t="s">
        <v>10416</v>
      </c>
      <c r="AA60" s="24" t="s">
        <v>10417</v>
      </c>
      <c r="AB60" s="30"/>
      <c r="AC60" s="30">
        <v>5.46</v>
      </c>
      <c r="AD60" s="30">
        <v>5.46</v>
      </c>
      <c r="AE60" s="59"/>
      <c r="AF60" s="59"/>
      <c r="AG60" s="35" t="s">
        <v>1104</v>
      </c>
      <c r="AH60" s="35" t="s">
        <v>10636</v>
      </c>
      <c r="AI60" s="35" t="s">
        <v>19</v>
      </c>
      <c r="AJ60" s="202" t="s">
        <v>19</v>
      </c>
      <c r="AK60" s="35" t="s">
        <v>1880</v>
      </c>
      <c r="AL60" s="1669" t="s">
        <v>11001</v>
      </c>
    </row>
    <row r="61" spans="1:38" s="11" customFormat="1" ht="26.25" customHeight="1" x14ac:dyDescent="0.15">
      <c r="A61" s="8">
        <f t="shared" si="0"/>
        <v>59</v>
      </c>
      <c r="B61" s="36" t="s">
        <v>10346</v>
      </c>
      <c r="C61" s="26" t="s">
        <v>19</v>
      </c>
      <c r="D61" s="26" t="s">
        <v>19</v>
      </c>
      <c r="E61" s="26" t="s">
        <v>19</v>
      </c>
      <c r="F61" s="29" t="s">
        <v>10418</v>
      </c>
      <c r="G61" s="53" t="s">
        <v>10419</v>
      </c>
      <c r="H61" s="26" t="s">
        <v>8765</v>
      </c>
      <c r="I61" s="26" t="s">
        <v>9585</v>
      </c>
      <c r="J61" s="26" t="s">
        <v>9586</v>
      </c>
      <c r="K61" s="1689" t="s">
        <v>1147</v>
      </c>
      <c r="L61" s="1689" t="s">
        <v>1789</v>
      </c>
      <c r="M61" s="1689" t="s">
        <v>9587</v>
      </c>
      <c r="N61" s="22" t="s">
        <v>4780</v>
      </c>
      <c r="O61" s="22" t="s">
        <v>1826</v>
      </c>
      <c r="P61" s="22" t="s">
        <v>1880</v>
      </c>
      <c r="Q61" s="1690" t="s">
        <v>1131</v>
      </c>
      <c r="R61" s="54" t="s">
        <v>9595</v>
      </c>
      <c r="S61" s="22" t="s">
        <v>1880</v>
      </c>
      <c r="T61" s="1673" t="s">
        <v>1811</v>
      </c>
      <c r="U61" s="1673" t="s">
        <v>1152</v>
      </c>
      <c r="V61" s="24" t="s">
        <v>10324</v>
      </c>
      <c r="W61" s="90" t="s">
        <v>10308</v>
      </c>
      <c r="X61" s="24" t="s">
        <v>108</v>
      </c>
      <c r="Y61" s="10">
        <v>1</v>
      </c>
      <c r="Z61" s="24" t="s">
        <v>10416</v>
      </c>
      <c r="AA61" s="24" t="s">
        <v>10417</v>
      </c>
      <c r="AB61" s="30"/>
      <c r="AC61" s="30">
        <v>5.46</v>
      </c>
      <c r="AD61" s="30">
        <v>5.46</v>
      </c>
      <c r="AE61" s="59"/>
      <c r="AF61" s="59"/>
      <c r="AG61" s="35" t="s">
        <v>1104</v>
      </c>
      <c r="AH61" s="35" t="s">
        <v>10636</v>
      </c>
      <c r="AI61" s="35" t="s">
        <v>19</v>
      </c>
      <c r="AJ61" s="202" t="s">
        <v>19</v>
      </c>
      <c r="AK61" s="35" t="s">
        <v>1880</v>
      </c>
      <c r="AL61" s="1673"/>
    </row>
    <row r="62" spans="1:38" s="11" customFormat="1" ht="26.25" customHeight="1" x14ac:dyDescent="0.15">
      <c r="A62" s="8">
        <f t="shared" si="0"/>
        <v>60</v>
      </c>
      <c r="B62" s="36" t="s">
        <v>10347</v>
      </c>
      <c r="C62" s="26" t="s">
        <v>19</v>
      </c>
      <c r="D62" s="26" t="s">
        <v>19</v>
      </c>
      <c r="E62" s="26" t="s">
        <v>19</v>
      </c>
      <c r="F62" s="29" t="s">
        <v>10418</v>
      </c>
      <c r="G62" s="53" t="s">
        <v>10419</v>
      </c>
      <c r="H62" s="26" t="s">
        <v>8765</v>
      </c>
      <c r="I62" s="26" t="s">
        <v>9585</v>
      </c>
      <c r="J62" s="26" t="s">
        <v>9586</v>
      </c>
      <c r="K62" s="1689" t="s">
        <v>1147</v>
      </c>
      <c r="L62" s="1689" t="s">
        <v>1789</v>
      </c>
      <c r="M62" s="1689" t="s">
        <v>9588</v>
      </c>
      <c r="N62" s="22" t="s">
        <v>4780</v>
      </c>
      <c r="O62" s="22" t="s">
        <v>1826</v>
      </c>
      <c r="P62" s="22" t="s">
        <v>1880</v>
      </c>
      <c r="Q62" s="1690" t="s">
        <v>1131</v>
      </c>
      <c r="R62" s="54" t="s">
        <v>9595</v>
      </c>
      <c r="S62" s="22" t="s">
        <v>1880</v>
      </c>
      <c r="T62" s="1673" t="s">
        <v>1811</v>
      </c>
      <c r="U62" s="1673" t="s">
        <v>1152</v>
      </c>
      <c r="V62" s="24" t="s">
        <v>10324</v>
      </c>
      <c r="W62" s="90" t="s">
        <v>10308</v>
      </c>
      <c r="X62" s="24" t="s">
        <v>108</v>
      </c>
      <c r="Y62" s="10">
        <v>1</v>
      </c>
      <c r="Z62" s="24" t="s">
        <v>10416</v>
      </c>
      <c r="AA62" s="24" t="s">
        <v>10417</v>
      </c>
      <c r="AB62" s="30"/>
      <c r="AC62" s="30">
        <v>5.46</v>
      </c>
      <c r="AD62" s="30">
        <v>5.46</v>
      </c>
      <c r="AE62" s="59"/>
      <c r="AF62" s="59"/>
      <c r="AG62" s="35" t="s">
        <v>1104</v>
      </c>
      <c r="AH62" s="35" t="s">
        <v>10636</v>
      </c>
      <c r="AI62" s="35" t="s">
        <v>19</v>
      </c>
      <c r="AJ62" s="202" t="s">
        <v>19</v>
      </c>
      <c r="AK62" s="35" t="s">
        <v>1880</v>
      </c>
      <c r="AL62" s="1673"/>
    </row>
    <row r="63" spans="1:38" s="11" customFormat="1" ht="26.25" customHeight="1" x14ac:dyDescent="0.15">
      <c r="A63" s="8">
        <f t="shared" si="0"/>
        <v>61</v>
      </c>
      <c r="B63" s="36" t="s">
        <v>10348</v>
      </c>
      <c r="C63" s="26" t="s">
        <v>19</v>
      </c>
      <c r="D63" s="26" t="s">
        <v>19</v>
      </c>
      <c r="E63" s="26" t="s">
        <v>19</v>
      </c>
      <c r="F63" s="29" t="s">
        <v>2481</v>
      </c>
      <c r="G63" s="53" t="s">
        <v>10420</v>
      </c>
      <c r="H63" s="26" t="s">
        <v>8765</v>
      </c>
      <c r="I63" s="26" t="s">
        <v>9585</v>
      </c>
      <c r="J63" s="26" t="s">
        <v>9586</v>
      </c>
      <c r="K63" s="1689" t="s">
        <v>1147</v>
      </c>
      <c r="L63" s="1689" t="s">
        <v>1789</v>
      </c>
      <c r="M63" s="37" t="s">
        <v>2484</v>
      </c>
      <c r="N63" s="22" t="s">
        <v>9952</v>
      </c>
      <c r="O63" s="22" t="s">
        <v>1826</v>
      </c>
      <c r="P63" s="1691" t="s">
        <v>111</v>
      </c>
      <c r="Q63" s="1690" t="s">
        <v>1131</v>
      </c>
      <c r="R63" s="54" t="s">
        <v>9595</v>
      </c>
      <c r="S63" s="22" t="s">
        <v>1880</v>
      </c>
      <c r="T63" s="1673" t="s">
        <v>1811</v>
      </c>
      <c r="U63" s="1673" t="s">
        <v>1152</v>
      </c>
      <c r="V63" s="24" t="s">
        <v>10324</v>
      </c>
      <c r="W63" s="90" t="s">
        <v>10308</v>
      </c>
      <c r="X63" s="24" t="s">
        <v>108</v>
      </c>
      <c r="Y63" s="10">
        <v>1</v>
      </c>
      <c r="Z63" s="24" t="s">
        <v>10416</v>
      </c>
      <c r="AA63" s="24" t="s">
        <v>10417</v>
      </c>
      <c r="AB63" s="30"/>
      <c r="AC63" s="30">
        <v>5.46</v>
      </c>
      <c r="AD63" s="30">
        <v>5.46</v>
      </c>
      <c r="AE63" s="59"/>
      <c r="AF63" s="59"/>
      <c r="AG63" s="35" t="s">
        <v>1104</v>
      </c>
      <c r="AH63" s="35" t="s">
        <v>10636</v>
      </c>
      <c r="AI63" s="35" t="s">
        <v>19</v>
      </c>
      <c r="AJ63" s="202" t="s">
        <v>19</v>
      </c>
      <c r="AK63" s="35" t="s">
        <v>1880</v>
      </c>
      <c r="AL63" s="1673"/>
    </row>
    <row r="64" spans="1:38" s="11" customFormat="1" ht="26.25" customHeight="1" x14ac:dyDescent="0.15">
      <c r="A64" s="8">
        <f t="shared" si="0"/>
        <v>62</v>
      </c>
      <c r="B64" s="36" t="s">
        <v>10338</v>
      </c>
      <c r="C64" s="26" t="s">
        <v>19</v>
      </c>
      <c r="D64" s="26" t="s">
        <v>10690</v>
      </c>
      <c r="E64" s="26" t="s">
        <v>19</v>
      </c>
      <c r="F64" s="29" t="s">
        <v>8050</v>
      </c>
      <c r="G64" s="53" t="s">
        <v>10421</v>
      </c>
      <c r="H64" s="26" t="s">
        <v>8765</v>
      </c>
      <c r="I64" s="26" t="s">
        <v>9585</v>
      </c>
      <c r="J64" s="26" t="s">
        <v>9586</v>
      </c>
      <c r="K64" s="1689" t="s">
        <v>4195</v>
      </c>
      <c r="L64" s="1689" t="s">
        <v>5419</v>
      </c>
      <c r="M64" s="1689" t="s">
        <v>7675</v>
      </c>
      <c r="N64" s="22" t="s">
        <v>4780</v>
      </c>
      <c r="O64" s="1691" t="s">
        <v>5478</v>
      </c>
      <c r="P64" s="1691" t="s">
        <v>111</v>
      </c>
      <c r="Q64" s="1690" t="s">
        <v>2422</v>
      </c>
      <c r="R64" s="54" t="s">
        <v>1819</v>
      </c>
      <c r="S64" s="22" t="s">
        <v>1880</v>
      </c>
      <c r="T64" s="1673" t="s">
        <v>1811</v>
      </c>
      <c r="U64" s="1673" t="s">
        <v>1152</v>
      </c>
      <c r="V64" s="24" t="s">
        <v>10324</v>
      </c>
      <c r="W64" s="90" t="s">
        <v>10308</v>
      </c>
      <c r="X64" s="24" t="s">
        <v>108</v>
      </c>
      <c r="Y64" s="10">
        <v>1</v>
      </c>
      <c r="Z64" s="24" t="s">
        <v>10416</v>
      </c>
      <c r="AA64" s="24" t="s">
        <v>10417</v>
      </c>
      <c r="AB64" s="30"/>
      <c r="AC64" s="30">
        <v>5.46</v>
      </c>
      <c r="AD64" s="30">
        <v>5.46</v>
      </c>
      <c r="AE64" s="59"/>
      <c r="AF64" s="59"/>
      <c r="AG64" s="35" t="s">
        <v>1104</v>
      </c>
      <c r="AH64" s="35" t="s">
        <v>10636</v>
      </c>
      <c r="AI64" s="35" t="s">
        <v>19</v>
      </c>
      <c r="AJ64" s="202" t="s">
        <v>19</v>
      </c>
      <c r="AK64" s="35" t="s">
        <v>1880</v>
      </c>
      <c r="AL64" s="1669"/>
    </row>
    <row r="65" spans="1:38" s="11" customFormat="1" ht="26.25" customHeight="1" x14ac:dyDescent="0.15">
      <c r="A65" s="8">
        <f t="shared" si="0"/>
        <v>63</v>
      </c>
      <c r="B65" s="36" t="s">
        <v>10339</v>
      </c>
      <c r="C65" s="26" t="s">
        <v>19</v>
      </c>
      <c r="D65" s="26" t="s">
        <v>19</v>
      </c>
      <c r="E65" s="26" t="s">
        <v>19</v>
      </c>
      <c r="F65" s="29" t="s">
        <v>10258</v>
      </c>
      <c r="G65" s="53" t="s">
        <v>10463</v>
      </c>
      <c r="H65" s="1478" t="s">
        <v>448</v>
      </c>
      <c r="I65" s="1478" t="s">
        <v>448</v>
      </c>
      <c r="J65" s="1478" t="s">
        <v>448</v>
      </c>
      <c r="K65" s="1699" t="s">
        <v>4712</v>
      </c>
      <c r="L65" s="1699" t="s">
        <v>1124</v>
      </c>
      <c r="M65" s="1699" t="s">
        <v>10256</v>
      </c>
      <c r="N65" s="1699" t="s">
        <v>4780</v>
      </c>
      <c r="O65" s="1699" t="s">
        <v>5431</v>
      </c>
      <c r="P65" s="22" t="s">
        <v>1880</v>
      </c>
      <c r="Q65" s="1699" t="s">
        <v>1131</v>
      </c>
      <c r="R65" s="54" t="s">
        <v>10351</v>
      </c>
      <c r="S65" s="22" t="s">
        <v>1880</v>
      </c>
      <c r="T65" s="1673" t="s">
        <v>3248</v>
      </c>
      <c r="U65" s="1679" t="s">
        <v>3248</v>
      </c>
      <c r="V65" s="24" t="s">
        <v>10324</v>
      </c>
      <c r="W65" s="90" t="s">
        <v>10352</v>
      </c>
      <c r="X65" s="24" t="s">
        <v>2359</v>
      </c>
      <c r="Y65" s="24">
        <v>1</v>
      </c>
      <c r="Z65" s="24" t="s">
        <v>1880</v>
      </c>
      <c r="AA65" s="24" t="s">
        <v>1880</v>
      </c>
      <c r="AB65" s="30">
        <v>2</v>
      </c>
      <c r="AC65" s="30"/>
      <c r="AD65" s="30">
        <v>2</v>
      </c>
      <c r="AE65" s="59" t="s">
        <v>11107</v>
      </c>
      <c r="AF65" s="59"/>
      <c r="AG65" s="35" t="s">
        <v>1104</v>
      </c>
      <c r="AH65" s="35" t="s">
        <v>1448</v>
      </c>
      <c r="AI65" s="35" t="s">
        <v>19</v>
      </c>
      <c r="AJ65" s="202" t="s">
        <v>19</v>
      </c>
      <c r="AK65" s="35" t="s">
        <v>1880</v>
      </c>
      <c r="AL65" s="1673" t="s">
        <v>10464</v>
      </c>
    </row>
    <row r="66" spans="1:38" s="11" customFormat="1" ht="26.25" customHeight="1" x14ac:dyDescent="0.15">
      <c r="A66" s="8">
        <f t="shared" si="0"/>
        <v>64</v>
      </c>
      <c r="B66" s="36" t="s">
        <v>10340</v>
      </c>
      <c r="C66" s="26" t="s">
        <v>19</v>
      </c>
      <c r="D66" s="26" t="s">
        <v>19</v>
      </c>
      <c r="E66" s="26" t="s">
        <v>19</v>
      </c>
      <c r="F66" s="29" t="s">
        <v>10465</v>
      </c>
      <c r="G66" s="53" t="s">
        <v>10466</v>
      </c>
      <c r="H66" s="1478" t="s">
        <v>448</v>
      </c>
      <c r="I66" s="1478" t="s">
        <v>448</v>
      </c>
      <c r="J66" s="1478" t="s">
        <v>448</v>
      </c>
      <c r="K66" s="1699" t="s">
        <v>4712</v>
      </c>
      <c r="L66" s="1699" t="s">
        <v>1124</v>
      </c>
      <c r="M66" s="1672" t="s">
        <v>10467</v>
      </c>
      <c r="N66" s="1699" t="s">
        <v>4780</v>
      </c>
      <c r="O66" s="1699" t="s">
        <v>5431</v>
      </c>
      <c r="P66" s="22" t="s">
        <v>1880</v>
      </c>
      <c r="Q66" s="1699" t="s">
        <v>1131</v>
      </c>
      <c r="R66" s="54" t="s">
        <v>10351</v>
      </c>
      <c r="S66" s="22" t="s">
        <v>1880</v>
      </c>
      <c r="T66" s="1673" t="s">
        <v>3248</v>
      </c>
      <c r="U66" s="1679" t="s">
        <v>3248</v>
      </c>
      <c r="V66" s="24" t="s">
        <v>10324</v>
      </c>
      <c r="W66" s="90" t="s">
        <v>10352</v>
      </c>
      <c r="X66" s="24" t="s">
        <v>2359</v>
      </c>
      <c r="Y66" s="24">
        <v>1</v>
      </c>
      <c r="Z66" s="24" t="s">
        <v>1880</v>
      </c>
      <c r="AA66" s="24" t="s">
        <v>1880</v>
      </c>
      <c r="AB66" s="30">
        <v>3</v>
      </c>
      <c r="AC66" s="30"/>
      <c r="AD66" s="30">
        <v>3</v>
      </c>
      <c r="AE66" s="59" t="s">
        <v>11107</v>
      </c>
      <c r="AF66" s="59"/>
      <c r="AG66" s="35" t="s">
        <v>1104</v>
      </c>
      <c r="AH66" s="35" t="s">
        <v>1448</v>
      </c>
      <c r="AI66" s="35" t="s">
        <v>19</v>
      </c>
      <c r="AJ66" s="202" t="s">
        <v>19</v>
      </c>
      <c r="AK66" s="35" t="s">
        <v>1880</v>
      </c>
      <c r="AL66" s="1673" t="s">
        <v>10468</v>
      </c>
    </row>
    <row r="67" spans="1:38" s="11" customFormat="1" ht="26.25" customHeight="1" x14ac:dyDescent="0.15">
      <c r="A67" s="8">
        <f t="shared" si="0"/>
        <v>65</v>
      </c>
      <c r="B67" s="36" t="s">
        <v>10341</v>
      </c>
      <c r="C67" s="26" t="s">
        <v>19</v>
      </c>
      <c r="D67" s="26" t="s">
        <v>19</v>
      </c>
      <c r="E67" s="26" t="s">
        <v>19</v>
      </c>
      <c r="F67" s="29" t="s">
        <v>10275</v>
      </c>
      <c r="G67" s="53" t="s">
        <v>10469</v>
      </c>
      <c r="H67" s="1478" t="s">
        <v>448</v>
      </c>
      <c r="I67" s="1478" t="s">
        <v>448</v>
      </c>
      <c r="J67" s="1478" t="s">
        <v>448</v>
      </c>
      <c r="K67" s="1699" t="s">
        <v>4712</v>
      </c>
      <c r="L67" s="1699" t="s">
        <v>1124</v>
      </c>
      <c r="M67" s="1672" t="s">
        <v>10277</v>
      </c>
      <c r="N67" s="1699" t="s">
        <v>4780</v>
      </c>
      <c r="O67" s="1700" t="s">
        <v>5478</v>
      </c>
      <c r="P67" s="1700" t="s">
        <v>111</v>
      </c>
      <c r="Q67" s="1699" t="s">
        <v>2422</v>
      </c>
      <c r="R67" s="54" t="s">
        <v>10351</v>
      </c>
      <c r="S67" s="22" t="s">
        <v>1880</v>
      </c>
      <c r="T67" s="1673" t="s">
        <v>3248</v>
      </c>
      <c r="U67" s="1679" t="s">
        <v>3248</v>
      </c>
      <c r="V67" s="24" t="s">
        <v>10324</v>
      </c>
      <c r="W67" s="90" t="s">
        <v>10352</v>
      </c>
      <c r="X67" s="24" t="s">
        <v>2359</v>
      </c>
      <c r="Y67" s="24">
        <v>1</v>
      </c>
      <c r="Z67" s="24" t="s">
        <v>1880</v>
      </c>
      <c r="AA67" s="24" t="s">
        <v>1880</v>
      </c>
      <c r="AB67" s="30">
        <v>3</v>
      </c>
      <c r="AC67" s="30"/>
      <c r="AD67" s="30">
        <v>3</v>
      </c>
      <c r="AE67" s="59" t="s">
        <v>11107</v>
      </c>
      <c r="AF67" s="59"/>
      <c r="AG67" s="35" t="s">
        <v>1104</v>
      </c>
      <c r="AH67" s="35" t="s">
        <v>1448</v>
      </c>
      <c r="AI67" s="35" t="s">
        <v>19</v>
      </c>
      <c r="AJ67" s="202" t="s">
        <v>19</v>
      </c>
      <c r="AK67" s="35" t="s">
        <v>1880</v>
      </c>
      <c r="AL67" s="1673" t="s">
        <v>10470</v>
      </c>
    </row>
    <row r="68" spans="1:38" s="11" customFormat="1" ht="26.25" customHeight="1" x14ac:dyDescent="0.15">
      <c r="A68" s="8">
        <f t="shared" si="0"/>
        <v>66</v>
      </c>
      <c r="B68" s="36" t="s">
        <v>10342</v>
      </c>
      <c r="C68" s="26" t="s">
        <v>19</v>
      </c>
      <c r="D68" s="26" t="s">
        <v>19</v>
      </c>
      <c r="E68" s="26" t="s">
        <v>19</v>
      </c>
      <c r="F68" s="29" t="s">
        <v>10471</v>
      </c>
      <c r="G68" s="53" t="s">
        <v>10472</v>
      </c>
      <c r="H68" s="1478" t="s">
        <v>448</v>
      </c>
      <c r="I68" s="1478" t="s">
        <v>448</v>
      </c>
      <c r="J68" s="1478" t="s">
        <v>448</v>
      </c>
      <c r="K68" s="1699" t="s">
        <v>4712</v>
      </c>
      <c r="L68" s="1699" t="s">
        <v>1124</v>
      </c>
      <c r="M68" s="1672" t="s">
        <v>10473</v>
      </c>
      <c r="N68" s="1699" t="s">
        <v>4780</v>
      </c>
      <c r="O68" s="1700" t="s">
        <v>5478</v>
      </c>
      <c r="P68" s="1700" t="s">
        <v>111</v>
      </c>
      <c r="Q68" s="1699" t="s">
        <v>2422</v>
      </c>
      <c r="R68" s="54" t="s">
        <v>10351</v>
      </c>
      <c r="S68" s="22" t="s">
        <v>1880</v>
      </c>
      <c r="T68" s="1673" t="s">
        <v>3248</v>
      </c>
      <c r="U68" s="1679" t="s">
        <v>3248</v>
      </c>
      <c r="V68" s="24" t="s">
        <v>10324</v>
      </c>
      <c r="W68" s="90" t="s">
        <v>10352</v>
      </c>
      <c r="X68" s="24" t="s">
        <v>2359</v>
      </c>
      <c r="Y68" s="24">
        <v>1</v>
      </c>
      <c r="Z68" s="24" t="s">
        <v>1880</v>
      </c>
      <c r="AA68" s="24" t="s">
        <v>1880</v>
      </c>
      <c r="AB68" s="30">
        <v>3</v>
      </c>
      <c r="AC68" s="30"/>
      <c r="AD68" s="30">
        <v>3</v>
      </c>
      <c r="AE68" s="59" t="s">
        <v>11107</v>
      </c>
      <c r="AF68" s="59"/>
      <c r="AG68" s="35" t="s">
        <v>1104</v>
      </c>
      <c r="AH68" s="35" t="s">
        <v>1448</v>
      </c>
      <c r="AI68" s="35" t="s">
        <v>19</v>
      </c>
      <c r="AJ68" s="202" t="s">
        <v>19</v>
      </c>
      <c r="AK68" s="35" t="s">
        <v>1880</v>
      </c>
      <c r="AL68" s="1699" t="s">
        <v>10470</v>
      </c>
    </row>
    <row r="69" spans="1:38" s="11" customFormat="1" ht="26.25" customHeight="1" x14ac:dyDescent="0.15">
      <c r="A69" s="8">
        <f t="shared" si="0"/>
        <v>67</v>
      </c>
      <c r="B69" s="36" t="s">
        <v>10343</v>
      </c>
      <c r="C69" s="26" t="s">
        <v>19</v>
      </c>
      <c r="D69" s="26" t="s">
        <v>19</v>
      </c>
      <c r="E69" s="26" t="s">
        <v>19</v>
      </c>
      <c r="F69" s="29" t="s">
        <v>10474</v>
      </c>
      <c r="G69" s="53" t="s">
        <v>10475</v>
      </c>
      <c r="H69" s="1478" t="s">
        <v>448</v>
      </c>
      <c r="I69" s="1478" t="s">
        <v>448</v>
      </c>
      <c r="J69" s="1478" t="s">
        <v>448</v>
      </c>
      <c r="K69" s="1699" t="s">
        <v>4712</v>
      </c>
      <c r="L69" s="1699" t="s">
        <v>1124</v>
      </c>
      <c r="M69" s="1672" t="s">
        <v>10476</v>
      </c>
      <c r="N69" s="1699" t="s">
        <v>4780</v>
      </c>
      <c r="O69" s="1700" t="s">
        <v>5478</v>
      </c>
      <c r="P69" s="1700" t="s">
        <v>111</v>
      </c>
      <c r="Q69" s="1699" t="s">
        <v>2422</v>
      </c>
      <c r="R69" s="54" t="s">
        <v>10351</v>
      </c>
      <c r="S69" s="22" t="s">
        <v>1880</v>
      </c>
      <c r="T69" s="1673" t="s">
        <v>3248</v>
      </c>
      <c r="U69" s="1679" t="s">
        <v>3248</v>
      </c>
      <c r="V69" s="24" t="s">
        <v>10324</v>
      </c>
      <c r="W69" s="90" t="s">
        <v>10352</v>
      </c>
      <c r="X69" s="24" t="s">
        <v>2359</v>
      </c>
      <c r="Y69" s="24">
        <v>1</v>
      </c>
      <c r="Z69" s="24" t="s">
        <v>1880</v>
      </c>
      <c r="AA69" s="24" t="s">
        <v>1880</v>
      </c>
      <c r="AB69" s="30">
        <v>2.75</v>
      </c>
      <c r="AC69" s="30"/>
      <c r="AD69" s="30">
        <v>2.75</v>
      </c>
      <c r="AE69" s="59" t="s">
        <v>11107</v>
      </c>
      <c r="AF69" s="59"/>
      <c r="AG69" s="35" t="s">
        <v>1104</v>
      </c>
      <c r="AH69" s="35" t="s">
        <v>1448</v>
      </c>
      <c r="AI69" s="35" t="s">
        <v>19</v>
      </c>
      <c r="AJ69" s="202" t="s">
        <v>19</v>
      </c>
      <c r="AK69" s="35" t="s">
        <v>1880</v>
      </c>
      <c r="AL69" s="1673" t="s">
        <v>10477</v>
      </c>
    </row>
    <row r="70" spans="1:38" s="11" customFormat="1" ht="26.25" customHeight="1" x14ac:dyDescent="0.15">
      <c r="A70" s="8">
        <f t="shared" si="0"/>
        <v>68</v>
      </c>
      <c r="B70" s="36" t="s">
        <v>10344</v>
      </c>
      <c r="C70" s="26" t="s">
        <v>19</v>
      </c>
      <c r="D70" s="26" t="s">
        <v>19</v>
      </c>
      <c r="E70" s="26" t="s">
        <v>19</v>
      </c>
      <c r="F70" s="29" t="s">
        <v>10478</v>
      </c>
      <c r="G70" s="53" t="s">
        <v>10479</v>
      </c>
      <c r="H70" s="1478" t="s">
        <v>448</v>
      </c>
      <c r="I70" s="1478" t="s">
        <v>448</v>
      </c>
      <c r="J70" s="1478" t="s">
        <v>448</v>
      </c>
      <c r="K70" s="1699" t="s">
        <v>4712</v>
      </c>
      <c r="L70" s="1699" t="s">
        <v>1124</v>
      </c>
      <c r="M70" s="1672" t="s">
        <v>10480</v>
      </c>
      <c r="N70" s="1699" t="s">
        <v>4780</v>
      </c>
      <c r="O70" s="1700" t="s">
        <v>5478</v>
      </c>
      <c r="P70" s="1700" t="s">
        <v>111</v>
      </c>
      <c r="Q70" s="1699" t="s">
        <v>2422</v>
      </c>
      <c r="R70" s="54" t="s">
        <v>10351</v>
      </c>
      <c r="S70" s="22" t="s">
        <v>1880</v>
      </c>
      <c r="T70" s="1673" t="s">
        <v>3248</v>
      </c>
      <c r="U70" s="1679" t="s">
        <v>3248</v>
      </c>
      <c r="V70" s="24" t="s">
        <v>10324</v>
      </c>
      <c r="W70" s="90" t="s">
        <v>10352</v>
      </c>
      <c r="X70" s="24" t="s">
        <v>2359</v>
      </c>
      <c r="Y70" s="24">
        <v>1</v>
      </c>
      <c r="Z70" s="24" t="s">
        <v>1880</v>
      </c>
      <c r="AA70" s="24" t="s">
        <v>1880</v>
      </c>
      <c r="AB70" s="30">
        <v>2.75</v>
      </c>
      <c r="AC70" s="30"/>
      <c r="AD70" s="30">
        <v>2.75</v>
      </c>
      <c r="AE70" s="59" t="s">
        <v>11107</v>
      </c>
      <c r="AF70" s="59"/>
      <c r="AG70" s="35" t="s">
        <v>1104</v>
      </c>
      <c r="AH70" s="35" t="s">
        <v>1448</v>
      </c>
      <c r="AI70" s="35" t="s">
        <v>19</v>
      </c>
      <c r="AJ70" s="202" t="s">
        <v>19</v>
      </c>
      <c r="AK70" s="35" t="s">
        <v>1880</v>
      </c>
      <c r="AL70" s="1699" t="s">
        <v>10477</v>
      </c>
    </row>
    <row r="71" spans="1:38" s="11" customFormat="1" ht="26.25" customHeight="1" x14ac:dyDescent="0.15">
      <c r="A71" s="8">
        <f t="shared" si="0"/>
        <v>69</v>
      </c>
      <c r="B71" s="36" t="s">
        <v>10345</v>
      </c>
      <c r="C71" s="26" t="s">
        <v>19</v>
      </c>
      <c r="D71" s="26" t="s">
        <v>19</v>
      </c>
      <c r="E71" s="26" t="s">
        <v>19</v>
      </c>
      <c r="F71" s="29" t="s">
        <v>10481</v>
      </c>
      <c r="G71" s="53" t="s">
        <v>10482</v>
      </c>
      <c r="H71" s="1478" t="s">
        <v>448</v>
      </c>
      <c r="I71" s="1478" t="s">
        <v>448</v>
      </c>
      <c r="J71" s="1478" t="s">
        <v>448</v>
      </c>
      <c r="K71" s="1699" t="s">
        <v>4712</v>
      </c>
      <c r="L71" s="1699" t="s">
        <v>1124</v>
      </c>
      <c r="M71" s="1672" t="s">
        <v>10483</v>
      </c>
      <c r="N71" s="1699" t="s">
        <v>4780</v>
      </c>
      <c r="O71" s="1700" t="s">
        <v>5478</v>
      </c>
      <c r="P71" s="1700" t="s">
        <v>111</v>
      </c>
      <c r="Q71" s="1699" t="s">
        <v>2422</v>
      </c>
      <c r="R71" s="54" t="s">
        <v>10351</v>
      </c>
      <c r="S71" s="22" t="s">
        <v>1880</v>
      </c>
      <c r="T71" s="1673" t="s">
        <v>3248</v>
      </c>
      <c r="U71" s="1679" t="s">
        <v>3248</v>
      </c>
      <c r="V71" s="24" t="s">
        <v>10324</v>
      </c>
      <c r="W71" s="90" t="s">
        <v>10352</v>
      </c>
      <c r="X71" s="24" t="s">
        <v>2359</v>
      </c>
      <c r="Y71" s="24">
        <v>1</v>
      </c>
      <c r="Z71" s="24" t="s">
        <v>1880</v>
      </c>
      <c r="AA71" s="24" t="s">
        <v>1880</v>
      </c>
      <c r="AB71" s="30">
        <v>3</v>
      </c>
      <c r="AC71" s="30"/>
      <c r="AD71" s="30">
        <v>3</v>
      </c>
      <c r="AE71" s="59" t="s">
        <v>11107</v>
      </c>
      <c r="AF71" s="59"/>
      <c r="AG71" s="35" t="s">
        <v>1104</v>
      </c>
      <c r="AH71" s="35" t="s">
        <v>1448</v>
      </c>
      <c r="AI71" s="35" t="s">
        <v>19</v>
      </c>
      <c r="AJ71" s="202" t="s">
        <v>19</v>
      </c>
      <c r="AK71" s="35" t="s">
        <v>1880</v>
      </c>
      <c r="AL71" s="1699" t="s">
        <v>10470</v>
      </c>
    </row>
    <row r="72" spans="1:38" s="11" customFormat="1" ht="26.25" customHeight="1" x14ac:dyDescent="0.15">
      <c r="A72" s="8">
        <f t="shared" si="0"/>
        <v>70</v>
      </c>
      <c r="B72" s="36" t="s">
        <v>10364</v>
      </c>
      <c r="C72" s="26" t="s">
        <v>19</v>
      </c>
      <c r="D72" s="26" t="s">
        <v>19</v>
      </c>
      <c r="E72" s="26" t="s">
        <v>19</v>
      </c>
      <c r="F72" s="29" t="s">
        <v>10370</v>
      </c>
      <c r="G72" s="53" t="s">
        <v>10371</v>
      </c>
      <c r="H72" s="1478" t="s">
        <v>448</v>
      </c>
      <c r="I72" s="1478" t="s">
        <v>448</v>
      </c>
      <c r="J72" s="1478" t="s">
        <v>448</v>
      </c>
      <c r="K72" s="1678" t="s">
        <v>1147</v>
      </c>
      <c r="L72" s="1678" t="s">
        <v>2437</v>
      </c>
      <c r="M72" s="1678" t="s">
        <v>10372</v>
      </c>
      <c r="N72" s="22" t="s">
        <v>1880</v>
      </c>
      <c r="O72" s="22" t="s">
        <v>5478</v>
      </c>
      <c r="P72" s="22" t="s">
        <v>1880</v>
      </c>
      <c r="Q72" s="1679" t="s">
        <v>2422</v>
      </c>
      <c r="R72" s="54" t="s">
        <v>3917</v>
      </c>
      <c r="S72" s="164" t="s">
        <v>1880</v>
      </c>
      <c r="T72" s="1679" t="s">
        <v>1152</v>
      </c>
      <c r="U72" s="1679" t="s">
        <v>1152</v>
      </c>
      <c r="V72" s="24" t="s">
        <v>10377</v>
      </c>
      <c r="W72" s="90" t="s">
        <v>10352</v>
      </c>
      <c r="X72" s="24" t="s">
        <v>2359</v>
      </c>
      <c r="Y72" s="24">
        <v>1</v>
      </c>
      <c r="Z72" s="24" t="s">
        <v>1880</v>
      </c>
      <c r="AA72" s="24" t="s">
        <v>1880</v>
      </c>
      <c r="AB72" s="30">
        <v>9.82</v>
      </c>
      <c r="AC72" s="30"/>
      <c r="AD72" s="30">
        <v>9.82</v>
      </c>
      <c r="AE72" s="59"/>
      <c r="AF72" s="59"/>
      <c r="AG72" s="35" t="s">
        <v>1104</v>
      </c>
      <c r="AH72" s="35" t="s">
        <v>10637</v>
      </c>
      <c r="AI72" s="35" t="s">
        <v>10642</v>
      </c>
      <c r="AJ72" s="202" t="s">
        <v>19</v>
      </c>
      <c r="AK72" s="35" t="s">
        <v>1880</v>
      </c>
      <c r="AL72" s="1679"/>
    </row>
    <row r="73" spans="1:38" s="11" customFormat="1" ht="26.25" customHeight="1" x14ac:dyDescent="0.15">
      <c r="A73" s="8">
        <f t="shared" si="0"/>
        <v>71</v>
      </c>
      <c r="B73" s="36" t="s">
        <v>10365</v>
      </c>
      <c r="C73" s="26" t="s">
        <v>19</v>
      </c>
      <c r="D73" s="26" t="s">
        <v>19</v>
      </c>
      <c r="E73" s="26" t="s">
        <v>19</v>
      </c>
      <c r="F73" s="29" t="s">
        <v>10370</v>
      </c>
      <c r="G73" s="53" t="s">
        <v>10371</v>
      </c>
      <c r="H73" s="1478" t="s">
        <v>448</v>
      </c>
      <c r="I73" s="1478" t="s">
        <v>448</v>
      </c>
      <c r="J73" s="1478" t="s">
        <v>448</v>
      </c>
      <c r="K73" s="1678" t="s">
        <v>1147</v>
      </c>
      <c r="L73" s="1678" t="s">
        <v>2437</v>
      </c>
      <c r="M73" s="1678" t="s">
        <v>10372</v>
      </c>
      <c r="N73" s="22" t="s">
        <v>1880</v>
      </c>
      <c r="O73" s="22" t="s">
        <v>5478</v>
      </c>
      <c r="P73" s="22" t="s">
        <v>1880</v>
      </c>
      <c r="Q73" s="1679" t="s">
        <v>2429</v>
      </c>
      <c r="R73" s="1680" t="s">
        <v>10376</v>
      </c>
      <c r="S73" s="164" t="s">
        <v>1880</v>
      </c>
      <c r="T73" s="1679" t="s">
        <v>1152</v>
      </c>
      <c r="U73" s="1679" t="s">
        <v>1152</v>
      </c>
      <c r="V73" s="24" t="s">
        <v>10377</v>
      </c>
      <c r="W73" s="90" t="s">
        <v>10352</v>
      </c>
      <c r="X73" s="24" t="s">
        <v>2359</v>
      </c>
      <c r="Y73" s="24">
        <v>1</v>
      </c>
      <c r="Z73" s="24" t="s">
        <v>1880</v>
      </c>
      <c r="AA73" s="24" t="s">
        <v>1880</v>
      </c>
      <c r="AB73" s="30">
        <v>3.84</v>
      </c>
      <c r="AC73" s="30"/>
      <c r="AD73" s="30">
        <v>3.84</v>
      </c>
      <c r="AE73" s="59"/>
      <c r="AF73" s="59"/>
      <c r="AG73" s="35" t="s">
        <v>1104</v>
      </c>
      <c r="AH73" s="35" t="s">
        <v>10637</v>
      </c>
      <c r="AI73" s="35" t="s">
        <v>10642</v>
      </c>
      <c r="AJ73" s="202" t="s">
        <v>19</v>
      </c>
      <c r="AK73" s="35" t="s">
        <v>1880</v>
      </c>
      <c r="AL73" s="1679"/>
    </row>
    <row r="74" spans="1:38" s="11" customFormat="1" ht="26.25" customHeight="1" x14ac:dyDescent="0.15">
      <c r="A74" s="8">
        <f t="shared" si="0"/>
        <v>72</v>
      </c>
      <c r="B74" s="36" t="s">
        <v>10366</v>
      </c>
      <c r="C74" s="26" t="s">
        <v>19</v>
      </c>
      <c r="D74" s="26" t="s">
        <v>19</v>
      </c>
      <c r="E74" s="26" t="s">
        <v>19</v>
      </c>
      <c r="F74" s="29" t="s">
        <v>10370</v>
      </c>
      <c r="G74" s="53" t="s">
        <v>10371</v>
      </c>
      <c r="H74" s="1478" t="s">
        <v>448</v>
      </c>
      <c r="I74" s="1478" t="s">
        <v>448</v>
      </c>
      <c r="J74" s="1478" t="s">
        <v>448</v>
      </c>
      <c r="K74" s="1678" t="s">
        <v>1147</v>
      </c>
      <c r="L74" s="1678" t="s">
        <v>2437</v>
      </c>
      <c r="M74" s="1678" t="s">
        <v>10373</v>
      </c>
      <c r="N74" s="22" t="s">
        <v>1880</v>
      </c>
      <c r="O74" s="22" t="s">
        <v>5478</v>
      </c>
      <c r="P74" s="22" t="s">
        <v>1880</v>
      </c>
      <c r="Q74" s="1679" t="s">
        <v>2422</v>
      </c>
      <c r="R74" s="54" t="s">
        <v>3917</v>
      </c>
      <c r="S74" s="164" t="s">
        <v>1880</v>
      </c>
      <c r="T74" s="1679" t="s">
        <v>1152</v>
      </c>
      <c r="U74" s="1679" t="s">
        <v>1152</v>
      </c>
      <c r="V74" s="24" t="s">
        <v>10377</v>
      </c>
      <c r="W74" s="90" t="s">
        <v>10352</v>
      </c>
      <c r="X74" s="24" t="s">
        <v>2359</v>
      </c>
      <c r="Y74" s="24">
        <v>1</v>
      </c>
      <c r="Z74" s="24" t="s">
        <v>1880</v>
      </c>
      <c r="AA74" s="24" t="s">
        <v>1880</v>
      </c>
      <c r="AB74" s="30">
        <v>9.82</v>
      </c>
      <c r="AC74" s="30"/>
      <c r="AD74" s="30">
        <v>9.82</v>
      </c>
      <c r="AE74" s="59"/>
      <c r="AF74" s="59"/>
      <c r="AG74" s="35" t="s">
        <v>1104</v>
      </c>
      <c r="AH74" s="35" t="s">
        <v>10637</v>
      </c>
      <c r="AI74" s="35" t="s">
        <v>10642</v>
      </c>
      <c r="AJ74" s="202" t="s">
        <v>19</v>
      </c>
      <c r="AK74" s="35" t="s">
        <v>1880</v>
      </c>
      <c r="AL74" s="1679"/>
    </row>
    <row r="75" spans="1:38" s="11" customFormat="1" ht="26.25" customHeight="1" x14ac:dyDescent="0.15">
      <c r="A75" s="8">
        <f t="shared" si="0"/>
        <v>73</v>
      </c>
      <c r="B75" s="36" t="s">
        <v>10367</v>
      </c>
      <c r="C75" s="26" t="s">
        <v>19</v>
      </c>
      <c r="D75" s="26" t="s">
        <v>19</v>
      </c>
      <c r="E75" s="26" t="s">
        <v>19</v>
      </c>
      <c r="F75" s="29" t="s">
        <v>10370</v>
      </c>
      <c r="G75" s="53" t="s">
        <v>10371</v>
      </c>
      <c r="H75" s="1478" t="s">
        <v>448</v>
      </c>
      <c r="I75" s="1478" t="s">
        <v>448</v>
      </c>
      <c r="J75" s="1478" t="s">
        <v>448</v>
      </c>
      <c r="K75" s="1678" t="s">
        <v>1147</v>
      </c>
      <c r="L75" s="1678" t="s">
        <v>2437</v>
      </c>
      <c r="M75" s="1678" t="s">
        <v>10373</v>
      </c>
      <c r="N75" s="22" t="s">
        <v>1880</v>
      </c>
      <c r="O75" s="22" t="s">
        <v>5478</v>
      </c>
      <c r="P75" s="22" t="s">
        <v>1880</v>
      </c>
      <c r="Q75" s="1679" t="s">
        <v>2429</v>
      </c>
      <c r="R75" s="1680" t="s">
        <v>10376</v>
      </c>
      <c r="S75" s="164" t="s">
        <v>1880</v>
      </c>
      <c r="T75" s="1679" t="s">
        <v>1152</v>
      </c>
      <c r="U75" s="1679" t="s">
        <v>1152</v>
      </c>
      <c r="V75" s="24" t="s">
        <v>10377</v>
      </c>
      <c r="W75" s="90" t="s">
        <v>10352</v>
      </c>
      <c r="X75" s="24" t="s">
        <v>2359</v>
      </c>
      <c r="Y75" s="24">
        <v>1</v>
      </c>
      <c r="Z75" s="24" t="s">
        <v>1880</v>
      </c>
      <c r="AA75" s="24" t="s">
        <v>1880</v>
      </c>
      <c r="AB75" s="30">
        <v>3.84</v>
      </c>
      <c r="AC75" s="30"/>
      <c r="AD75" s="30">
        <v>3.84</v>
      </c>
      <c r="AE75" s="59"/>
      <c r="AF75" s="59"/>
      <c r="AG75" s="35" t="s">
        <v>1104</v>
      </c>
      <c r="AH75" s="35" t="s">
        <v>10637</v>
      </c>
      <c r="AI75" s="35" t="s">
        <v>10642</v>
      </c>
      <c r="AJ75" s="202" t="s">
        <v>19</v>
      </c>
      <c r="AK75" s="35" t="s">
        <v>1880</v>
      </c>
      <c r="AL75" s="1679"/>
    </row>
    <row r="76" spans="1:38" s="11" customFormat="1" ht="26.25" customHeight="1" x14ac:dyDescent="0.15">
      <c r="A76" s="8">
        <f t="shared" si="0"/>
        <v>74</v>
      </c>
      <c r="B76" s="36" t="s">
        <v>10368</v>
      </c>
      <c r="C76" s="26" t="s">
        <v>19</v>
      </c>
      <c r="D76" s="26" t="s">
        <v>19</v>
      </c>
      <c r="E76" s="26" t="s">
        <v>19</v>
      </c>
      <c r="F76" s="29" t="s">
        <v>10370</v>
      </c>
      <c r="G76" s="53" t="s">
        <v>10371</v>
      </c>
      <c r="H76" s="1478" t="s">
        <v>448</v>
      </c>
      <c r="I76" s="1478" t="s">
        <v>448</v>
      </c>
      <c r="J76" s="1478" t="s">
        <v>448</v>
      </c>
      <c r="K76" s="1678" t="s">
        <v>1147</v>
      </c>
      <c r="L76" s="1678" t="s">
        <v>2437</v>
      </c>
      <c r="M76" s="1678" t="s">
        <v>10374</v>
      </c>
      <c r="N76" s="22" t="s">
        <v>1880</v>
      </c>
      <c r="O76" s="22" t="s">
        <v>5478</v>
      </c>
      <c r="P76" s="22" t="s">
        <v>1880</v>
      </c>
      <c r="Q76" s="1679" t="s">
        <v>2429</v>
      </c>
      <c r="R76" s="1680" t="s">
        <v>10376</v>
      </c>
      <c r="S76" s="164" t="s">
        <v>1880</v>
      </c>
      <c r="T76" s="1679" t="s">
        <v>1152</v>
      </c>
      <c r="U76" s="1679" t="s">
        <v>1152</v>
      </c>
      <c r="V76" s="24" t="s">
        <v>10377</v>
      </c>
      <c r="W76" s="90" t="s">
        <v>10352</v>
      </c>
      <c r="X76" s="24" t="s">
        <v>2359</v>
      </c>
      <c r="Y76" s="24">
        <v>1</v>
      </c>
      <c r="Z76" s="24" t="s">
        <v>1880</v>
      </c>
      <c r="AA76" s="24" t="s">
        <v>1880</v>
      </c>
      <c r="AB76" s="30">
        <v>3.84</v>
      </c>
      <c r="AC76" s="30"/>
      <c r="AD76" s="30">
        <v>3.84</v>
      </c>
      <c r="AE76" s="59"/>
      <c r="AF76" s="59"/>
      <c r="AG76" s="35" t="s">
        <v>1104</v>
      </c>
      <c r="AH76" s="35" t="s">
        <v>10637</v>
      </c>
      <c r="AI76" s="35" t="s">
        <v>10642</v>
      </c>
      <c r="AJ76" s="202" t="s">
        <v>19</v>
      </c>
      <c r="AK76" s="35" t="s">
        <v>1880</v>
      </c>
      <c r="AL76" s="1679"/>
    </row>
    <row r="77" spans="1:38" s="11" customFormat="1" ht="26.25" customHeight="1" x14ac:dyDescent="0.15">
      <c r="A77" s="8">
        <f t="shared" si="0"/>
        <v>75</v>
      </c>
      <c r="B77" s="36" t="s">
        <v>10369</v>
      </c>
      <c r="C77" s="26" t="s">
        <v>19</v>
      </c>
      <c r="D77" s="26" t="s">
        <v>19</v>
      </c>
      <c r="E77" s="26" t="s">
        <v>19</v>
      </c>
      <c r="F77" s="29" t="s">
        <v>10370</v>
      </c>
      <c r="G77" s="53" t="s">
        <v>10371</v>
      </c>
      <c r="H77" s="1478" t="s">
        <v>448</v>
      </c>
      <c r="I77" s="1478" t="s">
        <v>448</v>
      </c>
      <c r="J77" s="1478" t="s">
        <v>448</v>
      </c>
      <c r="K77" s="1678" t="s">
        <v>1147</v>
      </c>
      <c r="L77" s="1678" t="s">
        <v>2437</v>
      </c>
      <c r="M77" s="1678" t="s">
        <v>10375</v>
      </c>
      <c r="N77" s="22" t="s">
        <v>1880</v>
      </c>
      <c r="O77" s="22" t="s">
        <v>5478</v>
      </c>
      <c r="P77" s="22" t="s">
        <v>1880</v>
      </c>
      <c r="Q77" s="1679" t="s">
        <v>2429</v>
      </c>
      <c r="R77" s="1680" t="s">
        <v>10376</v>
      </c>
      <c r="S77" s="164" t="s">
        <v>1880</v>
      </c>
      <c r="T77" s="1679" t="s">
        <v>1152</v>
      </c>
      <c r="U77" s="1679" t="s">
        <v>1152</v>
      </c>
      <c r="V77" s="24" t="s">
        <v>10377</v>
      </c>
      <c r="W77" s="90" t="s">
        <v>10352</v>
      </c>
      <c r="X77" s="24" t="s">
        <v>2359</v>
      </c>
      <c r="Y77" s="24">
        <v>1</v>
      </c>
      <c r="Z77" s="24" t="s">
        <v>1880</v>
      </c>
      <c r="AA77" s="24" t="s">
        <v>1880</v>
      </c>
      <c r="AB77" s="30">
        <v>3.84</v>
      </c>
      <c r="AC77" s="30"/>
      <c r="AD77" s="30">
        <v>3.84</v>
      </c>
      <c r="AE77" s="59"/>
      <c r="AF77" s="59"/>
      <c r="AG77" s="35" t="s">
        <v>1104</v>
      </c>
      <c r="AH77" s="35" t="s">
        <v>10637</v>
      </c>
      <c r="AI77" s="35" t="s">
        <v>10642</v>
      </c>
      <c r="AJ77" s="202" t="s">
        <v>19</v>
      </c>
      <c r="AK77" s="35" t="s">
        <v>1880</v>
      </c>
      <c r="AL77" s="1679"/>
    </row>
    <row r="78" spans="1:38" s="11" customFormat="1" ht="26.25" customHeight="1" x14ac:dyDescent="0.15">
      <c r="A78" s="8">
        <f t="shared" si="0"/>
        <v>76</v>
      </c>
      <c r="B78" s="36" t="s">
        <v>10378</v>
      </c>
      <c r="C78" s="26" t="s">
        <v>19</v>
      </c>
      <c r="D78" s="26" t="s">
        <v>19</v>
      </c>
      <c r="E78" s="26" t="s">
        <v>19</v>
      </c>
      <c r="F78" s="29" t="s">
        <v>9314</v>
      </c>
      <c r="G78" s="29" t="s">
        <v>10422</v>
      </c>
      <c r="H78" s="26" t="s">
        <v>10424</v>
      </c>
      <c r="I78" s="1478" t="s">
        <v>448</v>
      </c>
      <c r="J78" s="1478" t="s">
        <v>10423</v>
      </c>
      <c r="K78" s="1691" t="s">
        <v>1881</v>
      </c>
      <c r="L78" s="1691" t="s">
        <v>1146</v>
      </c>
      <c r="M78" s="21" t="s">
        <v>3554</v>
      </c>
      <c r="N78" s="1691" t="s">
        <v>3555</v>
      </c>
      <c r="O78" s="1691" t="s">
        <v>2142</v>
      </c>
      <c r="P78" s="1691" t="s">
        <v>1880</v>
      </c>
      <c r="Q78" s="1691" t="s">
        <v>2422</v>
      </c>
      <c r="R78" s="54" t="s">
        <v>116</v>
      </c>
      <c r="S78" s="164" t="s">
        <v>1880</v>
      </c>
      <c r="T78" s="1682" t="s">
        <v>1151</v>
      </c>
      <c r="U78" s="1682" t="s">
        <v>1151</v>
      </c>
      <c r="V78" s="24" t="s">
        <v>10380</v>
      </c>
      <c r="W78" s="90" t="s">
        <v>10425</v>
      </c>
      <c r="X78" s="24" t="s">
        <v>108</v>
      </c>
      <c r="Y78" s="10">
        <v>1</v>
      </c>
      <c r="Z78" s="24" t="s">
        <v>10426</v>
      </c>
      <c r="AA78" s="24" t="s">
        <v>10427</v>
      </c>
      <c r="AB78" s="30"/>
      <c r="AC78" s="30">
        <v>6.2667000000000002</v>
      </c>
      <c r="AD78" s="30">
        <v>6.2667000000000002</v>
      </c>
      <c r="AE78" s="59"/>
      <c r="AF78" s="59"/>
      <c r="AG78" s="35" t="s">
        <v>1104</v>
      </c>
      <c r="AH78" s="35" t="s">
        <v>10636</v>
      </c>
      <c r="AI78" s="35" t="s">
        <v>19</v>
      </c>
      <c r="AJ78" s="202" t="s">
        <v>19</v>
      </c>
      <c r="AK78" s="35" t="s">
        <v>1880</v>
      </c>
      <c r="AL78" s="1682"/>
    </row>
    <row r="79" spans="1:38" s="11" customFormat="1" ht="26.25" customHeight="1" x14ac:dyDescent="0.15">
      <c r="A79" s="8">
        <f t="shared" si="0"/>
        <v>77</v>
      </c>
      <c r="B79" s="36" t="s">
        <v>10379</v>
      </c>
      <c r="C79" s="26" t="s">
        <v>19</v>
      </c>
      <c r="D79" s="26" t="s">
        <v>19</v>
      </c>
      <c r="E79" s="26" t="s">
        <v>19</v>
      </c>
      <c r="F79" s="29" t="s">
        <v>8107</v>
      </c>
      <c r="G79" s="29" t="s">
        <v>10428</v>
      </c>
      <c r="H79" s="1478" t="s">
        <v>448</v>
      </c>
      <c r="I79" s="1478" t="s">
        <v>448</v>
      </c>
      <c r="J79" s="26" t="s">
        <v>8107</v>
      </c>
      <c r="K79" s="1691" t="s">
        <v>2012</v>
      </c>
      <c r="L79" s="1691" t="s">
        <v>2437</v>
      </c>
      <c r="M79" s="1691" t="s">
        <v>6658</v>
      </c>
      <c r="N79" s="22" t="s">
        <v>4780</v>
      </c>
      <c r="O79" s="1691" t="s">
        <v>1826</v>
      </c>
      <c r="P79" s="1691" t="s">
        <v>111</v>
      </c>
      <c r="Q79" s="22" t="s">
        <v>454</v>
      </c>
      <c r="R79" s="54" t="s">
        <v>1122</v>
      </c>
      <c r="S79" s="164" t="s">
        <v>1880</v>
      </c>
      <c r="T79" s="1682" t="s">
        <v>3248</v>
      </c>
      <c r="U79" s="1682" t="s">
        <v>3248</v>
      </c>
      <c r="V79" s="24" t="s">
        <v>10380</v>
      </c>
      <c r="W79" s="90" t="s">
        <v>10429</v>
      </c>
      <c r="X79" s="24" t="s">
        <v>2359</v>
      </c>
      <c r="Y79" s="24">
        <v>1</v>
      </c>
      <c r="Z79" s="24" t="s">
        <v>10430</v>
      </c>
      <c r="AA79" s="24" t="s">
        <v>10431</v>
      </c>
      <c r="AB79" s="30"/>
      <c r="AC79" s="30">
        <v>18</v>
      </c>
      <c r="AD79" s="30">
        <v>18</v>
      </c>
      <c r="AE79" s="59"/>
      <c r="AF79" s="59"/>
      <c r="AG79" s="35" t="s">
        <v>1104</v>
      </c>
      <c r="AH79" s="35" t="s">
        <v>10636</v>
      </c>
      <c r="AI79" s="35" t="s">
        <v>19</v>
      </c>
      <c r="AJ79" s="202" t="s">
        <v>19</v>
      </c>
      <c r="AK79" s="35" t="s">
        <v>1880</v>
      </c>
      <c r="AL79" s="1682"/>
    </row>
    <row r="80" spans="1:38" s="11" customFormat="1" ht="26.25" customHeight="1" x14ac:dyDescent="0.15">
      <c r="A80" s="8">
        <f t="shared" si="0"/>
        <v>78</v>
      </c>
      <c r="B80" s="36" t="s">
        <v>10381</v>
      </c>
      <c r="C80" s="26" t="s">
        <v>19</v>
      </c>
      <c r="D80" s="26" t="s">
        <v>19</v>
      </c>
      <c r="E80" s="26" t="s">
        <v>10504</v>
      </c>
      <c r="F80" s="29" t="s">
        <v>10389</v>
      </c>
      <c r="G80" s="53" t="s">
        <v>10394</v>
      </c>
      <c r="H80" s="26" t="s">
        <v>10392</v>
      </c>
      <c r="I80" s="26" t="s">
        <v>10393</v>
      </c>
      <c r="J80" s="53" t="s">
        <v>10391</v>
      </c>
      <c r="K80" s="1681" t="s">
        <v>2135</v>
      </c>
      <c r="L80" s="1681" t="s">
        <v>10395</v>
      </c>
      <c r="M80" s="1681" t="s">
        <v>10396</v>
      </c>
      <c r="N80" s="22" t="s">
        <v>1880</v>
      </c>
      <c r="O80" s="22" t="s">
        <v>1826</v>
      </c>
      <c r="P80" s="22" t="s">
        <v>1880</v>
      </c>
      <c r="Q80" s="1682" t="s">
        <v>1818</v>
      </c>
      <c r="R80" s="54" t="s">
        <v>2218</v>
      </c>
      <c r="S80" s="164" t="s">
        <v>1880</v>
      </c>
      <c r="T80" s="1682" t="s">
        <v>2072</v>
      </c>
      <c r="U80" s="1682" t="s">
        <v>2072</v>
      </c>
      <c r="V80" s="24" t="s">
        <v>10383</v>
      </c>
      <c r="W80" s="90" t="s">
        <v>10398</v>
      </c>
      <c r="X80" s="24" t="s">
        <v>2359</v>
      </c>
      <c r="Y80" s="24">
        <v>1</v>
      </c>
      <c r="Z80" s="24" t="s">
        <v>2512</v>
      </c>
      <c r="AA80" s="24" t="s">
        <v>1880</v>
      </c>
      <c r="AB80" s="30">
        <v>26.8</v>
      </c>
      <c r="AC80" s="30"/>
      <c r="AD80" s="30">
        <v>26.8</v>
      </c>
      <c r="AE80" s="59"/>
      <c r="AF80" s="59"/>
      <c r="AG80" s="35" t="s">
        <v>1104</v>
      </c>
      <c r="AH80" s="35" t="s">
        <v>10637</v>
      </c>
      <c r="AI80" s="35" t="s">
        <v>10641</v>
      </c>
      <c r="AJ80" s="202" t="s">
        <v>19</v>
      </c>
      <c r="AK80" s="35" t="s">
        <v>1880</v>
      </c>
      <c r="AL80" s="1682"/>
    </row>
    <row r="81" spans="1:38" s="11" customFormat="1" ht="26.25" customHeight="1" x14ac:dyDescent="0.15">
      <c r="A81" s="8">
        <f t="shared" si="0"/>
        <v>79</v>
      </c>
      <c r="B81" s="36" t="s">
        <v>10382</v>
      </c>
      <c r="C81" s="26" t="s">
        <v>19</v>
      </c>
      <c r="D81" s="26" t="s">
        <v>19</v>
      </c>
      <c r="E81" s="36" t="s">
        <v>10505</v>
      </c>
      <c r="F81" s="29" t="s">
        <v>10390</v>
      </c>
      <c r="G81" s="53" t="s">
        <v>10394</v>
      </c>
      <c r="H81" s="26" t="s">
        <v>10392</v>
      </c>
      <c r="I81" s="26" t="s">
        <v>10393</v>
      </c>
      <c r="J81" s="53" t="s">
        <v>10391</v>
      </c>
      <c r="K81" s="1686" t="s">
        <v>2135</v>
      </c>
      <c r="L81" s="1686" t="s">
        <v>10395</v>
      </c>
      <c r="M81" s="1678" t="s">
        <v>10397</v>
      </c>
      <c r="N81" s="22" t="s">
        <v>1880</v>
      </c>
      <c r="O81" s="22" t="s">
        <v>1826</v>
      </c>
      <c r="P81" s="22" t="s">
        <v>1880</v>
      </c>
      <c r="Q81" s="1687" t="s">
        <v>1818</v>
      </c>
      <c r="R81" s="54" t="s">
        <v>2192</v>
      </c>
      <c r="S81" s="164" t="s">
        <v>1880</v>
      </c>
      <c r="T81" s="1679" t="s">
        <v>2072</v>
      </c>
      <c r="U81" s="1682" t="s">
        <v>2072</v>
      </c>
      <c r="V81" s="24" t="s">
        <v>10383</v>
      </c>
      <c r="W81" s="90" t="s">
        <v>10398</v>
      </c>
      <c r="X81" s="24" t="s">
        <v>2359</v>
      </c>
      <c r="Y81" s="24">
        <v>1</v>
      </c>
      <c r="Z81" s="24" t="s">
        <v>2512</v>
      </c>
      <c r="AA81" s="24" t="s">
        <v>1880</v>
      </c>
      <c r="AB81" s="30">
        <v>39.53</v>
      </c>
      <c r="AC81" s="30"/>
      <c r="AD81" s="30">
        <v>39.53</v>
      </c>
      <c r="AE81" s="59"/>
      <c r="AF81" s="59"/>
      <c r="AG81" s="35" t="s">
        <v>1104</v>
      </c>
      <c r="AH81" s="35" t="s">
        <v>10637</v>
      </c>
      <c r="AI81" s="35" t="s">
        <v>10641</v>
      </c>
      <c r="AJ81" s="202" t="s">
        <v>19</v>
      </c>
      <c r="AK81" s="35" t="s">
        <v>1880</v>
      </c>
      <c r="AL81" s="1679"/>
    </row>
    <row r="82" spans="1:38" s="11" customFormat="1" ht="26.25" customHeight="1" x14ac:dyDescent="0.15">
      <c r="A82" s="8">
        <f t="shared" si="0"/>
        <v>80</v>
      </c>
      <c r="B82" s="36" t="s">
        <v>10400</v>
      </c>
      <c r="C82" s="26" t="s">
        <v>19</v>
      </c>
      <c r="D82" s="26" t="s">
        <v>19</v>
      </c>
      <c r="E82" s="26" t="s">
        <v>19</v>
      </c>
      <c r="F82" s="29" t="s">
        <v>9346</v>
      </c>
      <c r="G82" s="53" t="s">
        <v>9410</v>
      </c>
      <c r="H82" s="26" t="s">
        <v>448</v>
      </c>
      <c r="I82" s="26" t="s">
        <v>6836</v>
      </c>
      <c r="J82" s="26" t="s">
        <v>9346</v>
      </c>
      <c r="K82" s="1692" t="s">
        <v>4691</v>
      </c>
      <c r="L82" s="1692" t="s">
        <v>6836</v>
      </c>
      <c r="M82" s="1692" t="s">
        <v>7227</v>
      </c>
      <c r="N82" s="1694" t="s">
        <v>4780</v>
      </c>
      <c r="O82" s="22" t="s">
        <v>5431</v>
      </c>
      <c r="P82" s="1694" t="s">
        <v>1880</v>
      </c>
      <c r="Q82" s="1693" t="s">
        <v>1818</v>
      </c>
      <c r="R82" s="54" t="s">
        <v>116</v>
      </c>
      <c r="S82" s="164" t="s">
        <v>1880</v>
      </c>
      <c r="T82" s="1688" t="s">
        <v>3248</v>
      </c>
      <c r="U82" s="1688" t="s">
        <v>3248</v>
      </c>
      <c r="V82" s="24" t="s">
        <v>10402</v>
      </c>
      <c r="W82" s="90" t="s">
        <v>10432</v>
      </c>
      <c r="X82" s="24" t="s">
        <v>2359</v>
      </c>
      <c r="Y82" s="24">
        <v>1</v>
      </c>
      <c r="Z82" s="24" t="s">
        <v>10172</v>
      </c>
      <c r="AA82" s="24" t="s">
        <v>10173</v>
      </c>
      <c r="AB82" s="30"/>
      <c r="AC82" s="30">
        <v>8</v>
      </c>
      <c r="AD82" s="30">
        <v>8</v>
      </c>
      <c r="AE82" s="59"/>
      <c r="AF82" s="59"/>
      <c r="AG82" s="35" t="s">
        <v>1104</v>
      </c>
      <c r="AH82" s="35" t="s">
        <v>10636</v>
      </c>
      <c r="AI82" s="35" t="s">
        <v>19</v>
      </c>
      <c r="AJ82" s="202" t="s">
        <v>19</v>
      </c>
      <c r="AK82" s="35" t="s">
        <v>1880</v>
      </c>
      <c r="AL82" s="1688"/>
    </row>
    <row r="83" spans="1:38" s="11" customFormat="1" ht="26.25" customHeight="1" x14ac:dyDescent="0.15">
      <c r="A83" s="8">
        <f t="shared" si="0"/>
        <v>81</v>
      </c>
      <c r="B83" s="36" t="s">
        <v>10401</v>
      </c>
      <c r="C83" s="26" t="s">
        <v>19</v>
      </c>
      <c r="D83" s="26" t="s">
        <v>10691</v>
      </c>
      <c r="E83" s="26" t="s">
        <v>19</v>
      </c>
      <c r="F83" s="29" t="s">
        <v>9346</v>
      </c>
      <c r="G83" s="53" t="s">
        <v>10438</v>
      </c>
      <c r="H83" s="26" t="s">
        <v>448</v>
      </c>
      <c r="I83" s="26" t="s">
        <v>6836</v>
      </c>
      <c r="J83" s="26" t="s">
        <v>9346</v>
      </c>
      <c r="K83" s="1692" t="s">
        <v>4691</v>
      </c>
      <c r="L83" s="1692" t="s">
        <v>6836</v>
      </c>
      <c r="M83" s="1692" t="s">
        <v>7227</v>
      </c>
      <c r="N83" s="1694" t="s">
        <v>4780</v>
      </c>
      <c r="O83" s="22" t="s">
        <v>5431</v>
      </c>
      <c r="P83" s="1694" t="s">
        <v>1880</v>
      </c>
      <c r="Q83" s="1693" t="s">
        <v>1818</v>
      </c>
      <c r="R83" s="54" t="s">
        <v>5794</v>
      </c>
      <c r="S83" s="164" t="s">
        <v>1880</v>
      </c>
      <c r="T83" s="1688" t="s">
        <v>3248</v>
      </c>
      <c r="U83" s="1688" t="s">
        <v>3248</v>
      </c>
      <c r="V83" s="24" t="s">
        <v>10402</v>
      </c>
      <c r="W83" s="90" t="s">
        <v>10432</v>
      </c>
      <c r="X83" s="24" t="s">
        <v>2359</v>
      </c>
      <c r="Y83" s="24">
        <v>1</v>
      </c>
      <c r="Z83" s="24" t="s">
        <v>1880</v>
      </c>
      <c r="AA83" s="24" t="s">
        <v>1880</v>
      </c>
      <c r="AB83" s="30">
        <v>1.5</v>
      </c>
      <c r="AC83" s="30"/>
      <c r="AD83" s="30">
        <v>1.5</v>
      </c>
      <c r="AE83" s="59"/>
      <c r="AF83" s="59"/>
      <c r="AG83" s="35" t="s">
        <v>1104</v>
      </c>
      <c r="AH83" s="35" t="s">
        <v>10636</v>
      </c>
      <c r="AI83" s="35" t="s">
        <v>10640</v>
      </c>
      <c r="AJ83" s="202" t="s">
        <v>19</v>
      </c>
      <c r="AK83" s="35" t="s">
        <v>1880</v>
      </c>
      <c r="AL83" s="1688"/>
    </row>
    <row r="84" spans="1:38" s="11" customFormat="1" ht="26.25" customHeight="1" x14ac:dyDescent="0.15">
      <c r="A84" s="8">
        <f t="shared" si="0"/>
        <v>82</v>
      </c>
      <c r="B84" s="36" t="s">
        <v>10403</v>
      </c>
      <c r="C84" s="26"/>
      <c r="D84" s="26"/>
      <c r="E84" s="26"/>
      <c r="F84" s="29" t="s">
        <v>10271</v>
      </c>
      <c r="G84" s="53" t="s">
        <v>10484</v>
      </c>
      <c r="H84" s="1478" t="s">
        <v>448</v>
      </c>
      <c r="I84" s="1478" t="s">
        <v>448</v>
      </c>
      <c r="J84" s="1478" t="s">
        <v>448</v>
      </c>
      <c r="K84" s="1699" t="s">
        <v>4712</v>
      </c>
      <c r="L84" s="1699" t="s">
        <v>1124</v>
      </c>
      <c r="M84" s="1672" t="s">
        <v>10485</v>
      </c>
      <c r="N84" s="1700" t="s">
        <v>4780</v>
      </c>
      <c r="O84" s="22" t="s">
        <v>5431</v>
      </c>
      <c r="P84" s="1700" t="s">
        <v>1880</v>
      </c>
      <c r="Q84" s="1699" t="s">
        <v>1818</v>
      </c>
      <c r="R84" s="54" t="s">
        <v>10351</v>
      </c>
      <c r="S84" s="164" t="s">
        <v>1880</v>
      </c>
      <c r="T84" s="1688" t="s">
        <v>3248</v>
      </c>
      <c r="U84" s="1688" t="s">
        <v>3248</v>
      </c>
      <c r="V84" s="24" t="s">
        <v>10402</v>
      </c>
      <c r="W84" s="90" t="s">
        <v>10352</v>
      </c>
      <c r="X84" s="24" t="s">
        <v>2359</v>
      </c>
      <c r="Y84" s="24">
        <v>1</v>
      </c>
      <c r="Z84" s="24" t="s">
        <v>1880</v>
      </c>
      <c r="AA84" s="24" t="s">
        <v>1880</v>
      </c>
      <c r="AB84" s="30">
        <v>2</v>
      </c>
      <c r="AC84" s="30"/>
      <c r="AD84" s="30">
        <v>2</v>
      </c>
      <c r="AE84" s="59" t="s">
        <v>11107</v>
      </c>
      <c r="AF84" s="59"/>
      <c r="AG84" s="35" t="s">
        <v>1104</v>
      </c>
      <c r="AH84" s="35" t="s">
        <v>1448</v>
      </c>
      <c r="AI84" s="35" t="s">
        <v>19</v>
      </c>
      <c r="AJ84" s="202" t="s">
        <v>19</v>
      </c>
      <c r="AK84" s="35" t="s">
        <v>1880</v>
      </c>
      <c r="AL84" s="1699" t="s">
        <v>10464</v>
      </c>
    </row>
    <row r="85" spans="1:38" s="11" customFormat="1" ht="26.25" customHeight="1" x14ac:dyDescent="0.15">
      <c r="A85" s="8">
        <f t="shared" si="0"/>
        <v>83</v>
      </c>
      <c r="B85" s="36" t="s">
        <v>10433</v>
      </c>
      <c r="C85" s="26" t="s">
        <v>19</v>
      </c>
      <c r="D85" s="26" t="s">
        <v>19</v>
      </c>
      <c r="E85" s="26" t="s">
        <v>19</v>
      </c>
      <c r="F85" s="29" t="s">
        <v>10370</v>
      </c>
      <c r="G85" s="53" t="s">
        <v>10435</v>
      </c>
      <c r="H85" s="1478" t="s">
        <v>448</v>
      </c>
      <c r="I85" s="1478" t="s">
        <v>448</v>
      </c>
      <c r="J85" s="1478" t="s">
        <v>448</v>
      </c>
      <c r="K85" s="1692" t="s">
        <v>1147</v>
      </c>
      <c r="L85" s="1692" t="s">
        <v>2437</v>
      </c>
      <c r="M85" s="1692" t="s">
        <v>10436</v>
      </c>
      <c r="N85" s="1694" t="s">
        <v>4780</v>
      </c>
      <c r="O85" s="22" t="s">
        <v>5478</v>
      </c>
      <c r="P85" s="22" t="s">
        <v>1880</v>
      </c>
      <c r="Q85" s="1693" t="s">
        <v>2422</v>
      </c>
      <c r="R85" s="54" t="s">
        <v>3917</v>
      </c>
      <c r="S85" s="164" t="s">
        <v>1880</v>
      </c>
      <c r="T85" s="1693" t="s">
        <v>1152</v>
      </c>
      <c r="U85" s="1693" t="s">
        <v>1152</v>
      </c>
      <c r="V85" s="24" t="s">
        <v>10437</v>
      </c>
      <c r="W85" s="90" t="s">
        <v>10437</v>
      </c>
      <c r="X85" s="24" t="s">
        <v>2359</v>
      </c>
      <c r="Y85" s="24">
        <v>1</v>
      </c>
      <c r="Z85" s="24" t="s">
        <v>1880</v>
      </c>
      <c r="AA85" s="24" t="s">
        <v>1880</v>
      </c>
      <c r="AB85" s="30">
        <v>7.5</v>
      </c>
      <c r="AC85" s="30"/>
      <c r="AD85" s="30">
        <v>7.5</v>
      </c>
      <c r="AE85" s="59"/>
      <c r="AF85" s="59"/>
      <c r="AG85" s="35" t="s">
        <v>1104</v>
      </c>
      <c r="AH85" s="35" t="s">
        <v>10637</v>
      </c>
      <c r="AI85" s="35" t="s">
        <v>10642</v>
      </c>
      <c r="AJ85" s="202" t="s">
        <v>19</v>
      </c>
      <c r="AK85" s="35" t="s">
        <v>1880</v>
      </c>
      <c r="AL85" s="1693"/>
    </row>
    <row r="86" spans="1:38" s="11" customFormat="1" ht="26.25" customHeight="1" x14ac:dyDescent="0.15">
      <c r="A86" s="8">
        <f t="shared" si="0"/>
        <v>84</v>
      </c>
      <c r="B86" s="36" t="s">
        <v>10434</v>
      </c>
      <c r="C86" s="26" t="s">
        <v>19</v>
      </c>
      <c r="D86" s="26" t="s">
        <v>19</v>
      </c>
      <c r="E86" s="26" t="s">
        <v>19</v>
      </c>
      <c r="F86" s="29" t="s">
        <v>10370</v>
      </c>
      <c r="G86" s="53" t="s">
        <v>10435</v>
      </c>
      <c r="H86" s="1478" t="s">
        <v>448</v>
      </c>
      <c r="I86" s="1478" t="s">
        <v>448</v>
      </c>
      <c r="J86" s="1478" t="s">
        <v>448</v>
      </c>
      <c r="K86" s="1692" t="s">
        <v>1147</v>
      </c>
      <c r="L86" s="1692" t="s">
        <v>2437</v>
      </c>
      <c r="M86" s="1692" t="s">
        <v>10436</v>
      </c>
      <c r="N86" s="1694" t="s">
        <v>4780</v>
      </c>
      <c r="O86" s="22" t="s">
        <v>5478</v>
      </c>
      <c r="P86" s="22" t="s">
        <v>1880</v>
      </c>
      <c r="Q86" s="1693" t="s">
        <v>2429</v>
      </c>
      <c r="R86" s="1680" t="s">
        <v>10376</v>
      </c>
      <c r="S86" s="164" t="s">
        <v>1880</v>
      </c>
      <c r="T86" s="1693" t="s">
        <v>1152</v>
      </c>
      <c r="U86" s="1693" t="s">
        <v>1152</v>
      </c>
      <c r="V86" s="24" t="s">
        <v>10437</v>
      </c>
      <c r="W86" s="90" t="s">
        <v>10437</v>
      </c>
      <c r="X86" s="24" t="s">
        <v>2359</v>
      </c>
      <c r="Y86" s="24">
        <v>1</v>
      </c>
      <c r="Z86" s="24" t="s">
        <v>1880</v>
      </c>
      <c r="AA86" s="24" t="s">
        <v>1880</v>
      </c>
      <c r="AB86" s="30">
        <v>2.5</v>
      </c>
      <c r="AC86" s="30"/>
      <c r="AD86" s="30">
        <v>2.5</v>
      </c>
      <c r="AE86" s="59"/>
      <c r="AF86" s="59"/>
      <c r="AG86" s="35" t="s">
        <v>1104</v>
      </c>
      <c r="AH86" s="35" t="s">
        <v>10637</v>
      </c>
      <c r="AI86" s="35" t="s">
        <v>10642</v>
      </c>
      <c r="AJ86" s="202" t="s">
        <v>19</v>
      </c>
      <c r="AK86" s="35" t="s">
        <v>1880</v>
      </c>
      <c r="AL86" s="1693"/>
    </row>
    <row r="87" spans="1:38" s="11" customFormat="1" ht="26.25" customHeight="1" x14ac:dyDescent="0.15">
      <c r="A87" s="8">
        <f t="shared" si="0"/>
        <v>85</v>
      </c>
      <c r="B87" s="36" t="s">
        <v>10445</v>
      </c>
      <c r="C87" s="71" t="s">
        <v>10446</v>
      </c>
      <c r="D87" s="26" t="s">
        <v>19</v>
      </c>
      <c r="E87" s="26" t="s">
        <v>19</v>
      </c>
      <c r="F87" s="29" t="s">
        <v>10447</v>
      </c>
      <c r="G87" s="53" t="s">
        <v>10448</v>
      </c>
      <c r="H87" s="1478" t="s">
        <v>448</v>
      </c>
      <c r="I87" s="1478" t="s">
        <v>448</v>
      </c>
      <c r="J87" s="1478" t="s">
        <v>448</v>
      </c>
      <c r="K87" s="1696" t="s">
        <v>2135</v>
      </c>
      <c r="L87" s="1696" t="s">
        <v>2327</v>
      </c>
      <c r="M87" s="1696" t="s">
        <v>10449</v>
      </c>
      <c r="N87" s="1698" t="s">
        <v>4780</v>
      </c>
      <c r="O87" s="22" t="s">
        <v>1826</v>
      </c>
      <c r="P87" s="22" t="s">
        <v>1880</v>
      </c>
      <c r="Q87" s="1697" t="s">
        <v>1818</v>
      </c>
      <c r="R87" s="54" t="s">
        <v>4980</v>
      </c>
      <c r="S87" s="164" t="s">
        <v>1880</v>
      </c>
      <c r="T87" s="1697" t="s">
        <v>2072</v>
      </c>
      <c r="U87" s="1697" t="s">
        <v>2072</v>
      </c>
      <c r="V87" s="24" t="s">
        <v>10451</v>
      </c>
      <c r="W87" s="90" t="s">
        <v>10450</v>
      </c>
      <c r="X87" s="24" t="s">
        <v>2359</v>
      </c>
      <c r="Y87" s="24">
        <v>2</v>
      </c>
      <c r="Z87" s="24" t="s">
        <v>1880</v>
      </c>
      <c r="AA87" s="24" t="s">
        <v>1880</v>
      </c>
      <c r="AB87" s="30">
        <v>28.8</v>
      </c>
      <c r="AC87" s="30"/>
      <c r="AD87" s="30">
        <v>28.8</v>
      </c>
      <c r="AE87" s="59"/>
      <c r="AF87" s="59"/>
      <c r="AG87" s="35" t="s">
        <v>1104</v>
      </c>
      <c r="AH87" s="35" t="s">
        <v>10637</v>
      </c>
      <c r="AI87" s="35" t="s">
        <v>10641</v>
      </c>
      <c r="AJ87" s="202" t="s">
        <v>19</v>
      </c>
      <c r="AK87" s="35" t="s">
        <v>1880</v>
      </c>
      <c r="AL87" s="1697"/>
    </row>
    <row r="88" spans="1:38" s="11" customFormat="1" ht="26.25" customHeight="1" x14ac:dyDescent="0.15">
      <c r="A88" s="8">
        <f t="shared" si="0"/>
        <v>86</v>
      </c>
      <c r="B88" s="36" t="s">
        <v>10452</v>
      </c>
      <c r="C88" s="26" t="s">
        <v>19</v>
      </c>
      <c r="D88" s="26" t="s">
        <v>19</v>
      </c>
      <c r="E88" s="26" t="s">
        <v>19</v>
      </c>
      <c r="F88" s="29" t="s">
        <v>1878</v>
      </c>
      <c r="G88" s="53" t="s">
        <v>5092</v>
      </c>
      <c r="H88" s="1478" t="s">
        <v>448</v>
      </c>
      <c r="I88" s="1478" t="s">
        <v>448</v>
      </c>
      <c r="J88" s="26" t="s">
        <v>10487</v>
      </c>
      <c r="K88" s="1213" t="s">
        <v>1881</v>
      </c>
      <c r="L88" s="1213" t="s">
        <v>2437</v>
      </c>
      <c r="M88" s="164" t="s">
        <v>1951</v>
      </c>
      <c r="N88" s="1213" t="s">
        <v>9949</v>
      </c>
      <c r="O88" s="1213" t="s">
        <v>1826</v>
      </c>
      <c r="P88" s="1213" t="s">
        <v>111</v>
      </c>
      <c r="Q88" s="1213" t="s">
        <v>1818</v>
      </c>
      <c r="R88" s="1214" t="s">
        <v>1819</v>
      </c>
      <c r="S88" s="164" t="s">
        <v>1880</v>
      </c>
      <c r="T88" s="1697" t="s">
        <v>3248</v>
      </c>
      <c r="U88" s="1702" t="s">
        <v>3248</v>
      </c>
      <c r="V88" s="24" t="s">
        <v>10453</v>
      </c>
      <c r="W88" s="90" t="s">
        <v>10488</v>
      </c>
      <c r="X88" s="24" t="s">
        <v>2359</v>
      </c>
      <c r="Y88" s="24">
        <v>1</v>
      </c>
      <c r="Z88" s="24" t="s">
        <v>10172</v>
      </c>
      <c r="AA88" s="24" t="s">
        <v>10173</v>
      </c>
      <c r="AB88" s="30"/>
      <c r="AC88" s="30">
        <v>5.25</v>
      </c>
      <c r="AD88" s="30">
        <v>5.25</v>
      </c>
      <c r="AE88" s="59"/>
      <c r="AF88" s="59"/>
      <c r="AG88" s="35" t="s">
        <v>1104</v>
      </c>
      <c r="AH88" s="35" t="s">
        <v>10636</v>
      </c>
      <c r="AI88" s="35" t="s">
        <v>19</v>
      </c>
      <c r="AJ88" s="202" t="s">
        <v>19</v>
      </c>
      <c r="AK88" s="35" t="s">
        <v>1880</v>
      </c>
      <c r="AL88" s="1697"/>
    </row>
    <row r="89" spans="1:38" s="11" customFormat="1" ht="26.25" customHeight="1" x14ac:dyDescent="0.15">
      <c r="A89" s="8">
        <f t="shared" si="0"/>
        <v>87</v>
      </c>
      <c r="B89" s="36" t="s">
        <v>10454</v>
      </c>
      <c r="C89" s="26" t="s">
        <v>19</v>
      </c>
      <c r="D89" s="26" t="s">
        <v>19</v>
      </c>
      <c r="E89" s="26" t="s">
        <v>19</v>
      </c>
      <c r="F89" s="29" t="s">
        <v>10489</v>
      </c>
      <c r="G89" s="53" t="s">
        <v>10490</v>
      </c>
      <c r="H89" s="26" t="s">
        <v>10492</v>
      </c>
      <c r="I89" s="26" t="s">
        <v>10493</v>
      </c>
      <c r="J89" s="26" t="s">
        <v>10491</v>
      </c>
      <c r="K89" s="1701" t="s">
        <v>4691</v>
      </c>
      <c r="L89" s="1701" t="s">
        <v>4728</v>
      </c>
      <c r="M89" s="1701" t="s">
        <v>5658</v>
      </c>
      <c r="N89" s="22" t="s">
        <v>5659</v>
      </c>
      <c r="O89" s="22" t="s">
        <v>5431</v>
      </c>
      <c r="P89" s="1703" t="s">
        <v>1880</v>
      </c>
      <c r="Q89" s="1702" t="s">
        <v>5730</v>
      </c>
      <c r="R89" s="54" t="s">
        <v>10494</v>
      </c>
      <c r="S89" s="164" t="s">
        <v>1880</v>
      </c>
      <c r="T89" s="1697" t="s">
        <v>1151</v>
      </c>
      <c r="U89" s="1702" t="s">
        <v>1151</v>
      </c>
      <c r="V89" s="24" t="s">
        <v>10453</v>
      </c>
      <c r="W89" s="90" t="s">
        <v>10495</v>
      </c>
      <c r="X89" s="24" t="s">
        <v>108</v>
      </c>
      <c r="Y89" s="10">
        <v>1</v>
      </c>
      <c r="Z89" s="24" t="s">
        <v>1880</v>
      </c>
      <c r="AA89" s="24" t="s">
        <v>1880</v>
      </c>
      <c r="AB89" s="30">
        <v>6</v>
      </c>
      <c r="AC89" s="30"/>
      <c r="AD89" s="30">
        <v>6</v>
      </c>
      <c r="AE89" s="59" t="s">
        <v>11107</v>
      </c>
      <c r="AF89" s="59"/>
      <c r="AG89" s="35" t="s">
        <v>1104</v>
      </c>
      <c r="AH89" s="35" t="s">
        <v>1448</v>
      </c>
      <c r="AI89" s="35" t="s">
        <v>10643</v>
      </c>
      <c r="AJ89" s="202" t="s">
        <v>19</v>
      </c>
      <c r="AK89" s="35" t="s">
        <v>1880</v>
      </c>
      <c r="AL89" s="1697"/>
    </row>
    <row r="90" spans="1:38" s="11" customFormat="1" ht="26.25" customHeight="1" x14ac:dyDescent="0.15">
      <c r="A90" s="8">
        <f t="shared" si="0"/>
        <v>88</v>
      </c>
      <c r="B90" s="36" t="s">
        <v>10458</v>
      </c>
      <c r="C90" s="26" t="s">
        <v>19</v>
      </c>
      <c r="D90" s="26" t="s">
        <v>10460</v>
      </c>
      <c r="E90" s="26" t="s">
        <v>19</v>
      </c>
      <c r="F90" s="29" t="s">
        <v>2150</v>
      </c>
      <c r="G90" s="99" t="s">
        <v>8749</v>
      </c>
      <c r="H90" s="26" t="s">
        <v>10498</v>
      </c>
      <c r="I90" s="26" t="s">
        <v>10497</v>
      </c>
      <c r="J90" s="26" t="s">
        <v>10496</v>
      </c>
      <c r="K90" s="694" t="s">
        <v>94</v>
      </c>
      <c r="L90" s="694" t="s">
        <v>1952</v>
      </c>
      <c r="M90" s="694" t="s">
        <v>2907</v>
      </c>
      <c r="N90" s="1703" t="s">
        <v>5986</v>
      </c>
      <c r="O90" s="1703" t="s">
        <v>1826</v>
      </c>
      <c r="P90" s="1703" t="s">
        <v>111</v>
      </c>
      <c r="Q90" s="1702" t="s">
        <v>1131</v>
      </c>
      <c r="R90" s="54" t="s">
        <v>1796</v>
      </c>
      <c r="S90" s="164" t="s">
        <v>1880</v>
      </c>
      <c r="T90" s="1697" t="s">
        <v>3591</v>
      </c>
      <c r="U90" s="1702" t="s">
        <v>3591</v>
      </c>
      <c r="V90" s="24" t="s">
        <v>10459</v>
      </c>
      <c r="W90" s="90" t="s">
        <v>10499</v>
      </c>
      <c r="X90" s="24" t="s">
        <v>1880</v>
      </c>
      <c r="Y90" s="24" t="s">
        <v>1880</v>
      </c>
      <c r="Z90" s="24" t="s">
        <v>1880</v>
      </c>
      <c r="AA90" s="24" t="s">
        <v>1880</v>
      </c>
      <c r="AB90" s="30">
        <v>2.9</v>
      </c>
      <c r="AC90" s="30"/>
      <c r="AD90" s="30">
        <v>2.9</v>
      </c>
      <c r="AE90" s="59"/>
      <c r="AF90" s="59"/>
      <c r="AG90" s="35" t="s">
        <v>1104</v>
      </c>
      <c r="AH90" s="35" t="s">
        <v>10636</v>
      </c>
      <c r="AI90" s="35" t="s">
        <v>19</v>
      </c>
      <c r="AJ90" s="202" t="s">
        <v>19</v>
      </c>
      <c r="AK90" s="35" t="s">
        <v>1880</v>
      </c>
      <c r="AL90" s="1697" t="s">
        <v>10500</v>
      </c>
    </row>
    <row r="91" spans="1:38" s="11" customFormat="1" ht="26.25" customHeight="1" x14ac:dyDescent="0.15">
      <c r="A91" s="8">
        <f t="shared" si="0"/>
        <v>89</v>
      </c>
      <c r="B91" s="36" t="s">
        <v>10507</v>
      </c>
      <c r="C91" s="71" t="s">
        <v>10527</v>
      </c>
      <c r="D91" s="26" t="s">
        <v>19</v>
      </c>
      <c r="E91" s="26" t="s">
        <v>19</v>
      </c>
      <c r="F91" s="29" t="s">
        <v>10528</v>
      </c>
      <c r="G91" s="53" t="s">
        <v>10529</v>
      </c>
      <c r="H91" s="26" t="s">
        <v>10532</v>
      </c>
      <c r="I91" s="26" t="s">
        <v>10533</v>
      </c>
      <c r="J91" s="26" t="s">
        <v>10534</v>
      </c>
      <c r="K91" s="1710" t="s">
        <v>4195</v>
      </c>
      <c r="L91" s="1710" t="s">
        <v>10530</v>
      </c>
      <c r="M91" s="1710" t="s">
        <v>10531</v>
      </c>
      <c r="N91" s="1711" t="s">
        <v>4780</v>
      </c>
      <c r="O91" s="1711" t="s">
        <v>1826</v>
      </c>
      <c r="P91" s="1711" t="s">
        <v>111</v>
      </c>
      <c r="Q91" s="1710" t="s">
        <v>1131</v>
      </c>
      <c r="R91" s="54" t="s">
        <v>2210</v>
      </c>
      <c r="S91" s="164" t="s">
        <v>1880</v>
      </c>
      <c r="T91" s="1704" t="s">
        <v>3248</v>
      </c>
      <c r="U91" s="1704" t="s">
        <v>3248</v>
      </c>
      <c r="V91" s="24" t="s">
        <v>10508</v>
      </c>
      <c r="W91" s="90" t="s">
        <v>10535</v>
      </c>
      <c r="X91" s="24" t="s">
        <v>2359</v>
      </c>
      <c r="Y91" s="24">
        <v>3</v>
      </c>
      <c r="Z91" s="24" t="s">
        <v>1880</v>
      </c>
      <c r="AA91" s="24" t="s">
        <v>1880</v>
      </c>
      <c r="AB91" s="30">
        <v>30.647600000000001</v>
      </c>
      <c r="AC91" s="30"/>
      <c r="AD91" s="30">
        <v>30.647600000000001</v>
      </c>
      <c r="AE91" s="59"/>
      <c r="AF91" s="59"/>
      <c r="AG91" s="35" t="s">
        <v>1104</v>
      </c>
      <c r="AH91" s="35" t="s">
        <v>10637</v>
      </c>
      <c r="AI91" s="35" t="s">
        <v>19</v>
      </c>
      <c r="AJ91" s="202" t="s">
        <v>19</v>
      </c>
      <c r="AK91" s="35" t="s">
        <v>1880</v>
      </c>
      <c r="AL91" s="1704"/>
    </row>
    <row r="92" spans="1:38" s="11" customFormat="1" ht="26.25" customHeight="1" x14ac:dyDescent="0.15">
      <c r="A92" s="8">
        <f t="shared" si="0"/>
        <v>90</v>
      </c>
      <c r="B92" s="36" t="s">
        <v>10536</v>
      </c>
      <c r="C92" s="71" t="s">
        <v>10565</v>
      </c>
      <c r="D92" s="26" t="s">
        <v>19</v>
      </c>
      <c r="E92" s="26" t="s">
        <v>19</v>
      </c>
      <c r="F92" s="29" t="s">
        <v>10594</v>
      </c>
      <c r="G92" s="53" t="s">
        <v>10595</v>
      </c>
      <c r="H92" s="1478" t="s">
        <v>448</v>
      </c>
      <c r="I92" s="1478" t="s">
        <v>448</v>
      </c>
      <c r="J92" s="1478" t="s">
        <v>448</v>
      </c>
      <c r="K92" s="1710" t="s">
        <v>4195</v>
      </c>
      <c r="L92" s="1710" t="s">
        <v>4750</v>
      </c>
      <c r="M92" s="1710" t="s">
        <v>9211</v>
      </c>
      <c r="N92" s="1711" t="s">
        <v>9212</v>
      </c>
      <c r="O92" s="1710" t="s">
        <v>5431</v>
      </c>
      <c r="P92" s="1711" t="s">
        <v>111</v>
      </c>
      <c r="Q92" s="1710" t="s">
        <v>1131</v>
      </c>
      <c r="R92" s="54" t="s">
        <v>10611</v>
      </c>
      <c r="S92" s="164" t="s">
        <v>1880</v>
      </c>
      <c r="T92" s="1704" t="s">
        <v>1151</v>
      </c>
      <c r="U92" s="1704" t="s">
        <v>1151</v>
      </c>
      <c r="V92" s="24" t="s">
        <v>10508</v>
      </c>
      <c r="W92" s="90" t="s">
        <v>10612</v>
      </c>
      <c r="X92" s="24" t="s">
        <v>108</v>
      </c>
      <c r="Y92" s="10">
        <v>1</v>
      </c>
      <c r="Z92" s="24" t="s">
        <v>1880</v>
      </c>
      <c r="AA92" s="24" t="s">
        <v>1880</v>
      </c>
      <c r="AB92" s="95">
        <v>2.7</v>
      </c>
      <c r="AC92" s="30"/>
      <c r="AD92" s="95">
        <v>2.7</v>
      </c>
      <c r="AE92" s="59"/>
      <c r="AF92" s="59"/>
      <c r="AG92" s="35" t="s">
        <v>1104</v>
      </c>
      <c r="AH92" s="35" t="s">
        <v>10636</v>
      </c>
      <c r="AI92" s="35" t="s">
        <v>10644</v>
      </c>
      <c r="AJ92" s="202" t="s">
        <v>1103</v>
      </c>
      <c r="AK92" s="35" t="s">
        <v>1880</v>
      </c>
      <c r="AL92" s="1704"/>
    </row>
    <row r="93" spans="1:38" s="11" customFormat="1" ht="26.25" customHeight="1" x14ac:dyDescent="0.15">
      <c r="A93" s="8">
        <f t="shared" si="0"/>
        <v>91</v>
      </c>
      <c r="B93" s="36" t="s">
        <v>10537</v>
      </c>
      <c r="C93" s="71" t="s">
        <v>10566</v>
      </c>
      <c r="D93" s="26" t="s">
        <v>19</v>
      </c>
      <c r="E93" s="26" t="s">
        <v>19</v>
      </c>
      <c r="F93" s="29" t="s">
        <v>10594</v>
      </c>
      <c r="G93" s="53" t="s">
        <v>10595</v>
      </c>
      <c r="H93" s="1478" t="s">
        <v>448</v>
      </c>
      <c r="I93" s="1478" t="s">
        <v>448</v>
      </c>
      <c r="J93" s="1478" t="s">
        <v>448</v>
      </c>
      <c r="K93" s="1710" t="s">
        <v>4195</v>
      </c>
      <c r="L93" s="1710" t="s">
        <v>4750</v>
      </c>
      <c r="M93" s="1710" t="s">
        <v>10596</v>
      </c>
      <c r="N93" s="1" t="s">
        <v>631</v>
      </c>
      <c r="O93" s="1710" t="s">
        <v>5431</v>
      </c>
      <c r="P93" s="1711" t="s">
        <v>111</v>
      </c>
      <c r="Q93" s="1710" t="s">
        <v>1131</v>
      </c>
      <c r="R93" s="54" t="s">
        <v>10611</v>
      </c>
      <c r="S93" s="164" t="s">
        <v>1880</v>
      </c>
      <c r="T93" s="1710" t="s">
        <v>1151</v>
      </c>
      <c r="U93" s="1710" t="s">
        <v>1151</v>
      </c>
      <c r="V93" s="24" t="s">
        <v>10508</v>
      </c>
      <c r="W93" s="90" t="s">
        <v>10612</v>
      </c>
      <c r="X93" s="24" t="s">
        <v>108</v>
      </c>
      <c r="Y93" s="10">
        <v>1</v>
      </c>
      <c r="Z93" s="24" t="s">
        <v>1880</v>
      </c>
      <c r="AA93" s="24" t="s">
        <v>1880</v>
      </c>
      <c r="AB93" s="95">
        <v>2.7</v>
      </c>
      <c r="AC93" s="30"/>
      <c r="AD93" s="95">
        <v>2.7</v>
      </c>
      <c r="AE93" s="59"/>
      <c r="AF93" s="59"/>
      <c r="AG93" s="35" t="s">
        <v>1104</v>
      </c>
      <c r="AH93" s="35" t="s">
        <v>10636</v>
      </c>
      <c r="AI93" s="35" t="s">
        <v>10644</v>
      </c>
      <c r="AJ93" s="202" t="s">
        <v>1103</v>
      </c>
      <c r="AK93" s="35" t="s">
        <v>1880</v>
      </c>
      <c r="AL93" s="1710"/>
    </row>
    <row r="94" spans="1:38" s="11" customFormat="1" ht="26.25" customHeight="1" x14ac:dyDescent="0.15">
      <c r="A94" s="8">
        <f t="shared" si="0"/>
        <v>92</v>
      </c>
      <c r="B94" s="36" t="s">
        <v>10538</v>
      </c>
      <c r="C94" s="71" t="s">
        <v>10567</v>
      </c>
      <c r="D94" s="26" t="s">
        <v>19</v>
      </c>
      <c r="E94" s="26" t="s">
        <v>19</v>
      </c>
      <c r="F94" s="29" t="s">
        <v>10594</v>
      </c>
      <c r="G94" s="53" t="s">
        <v>10595</v>
      </c>
      <c r="H94" s="1478" t="s">
        <v>448</v>
      </c>
      <c r="I94" s="1478" t="s">
        <v>448</v>
      </c>
      <c r="J94" s="1478" t="s">
        <v>448</v>
      </c>
      <c r="K94" s="1710" t="s">
        <v>4195</v>
      </c>
      <c r="L94" s="1710" t="s">
        <v>4750</v>
      </c>
      <c r="M94" s="1710" t="s">
        <v>10597</v>
      </c>
      <c r="N94" s="22" t="s">
        <v>3545</v>
      </c>
      <c r="O94" s="1710" t="s">
        <v>5431</v>
      </c>
      <c r="P94" s="1711" t="s">
        <v>111</v>
      </c>
      <c r="Q94" s="1710" t="s">
        <v>1131</v>
      </c>
      <c r="R94" s="54" t="s">
        <v>10611</v>
      </c>
      <c r="S94" s="164" t="s">
        <v>1880</v>
      </c>
      <c r="T94" s="1710" t="s">
        <v>1151</v>
      </c>
      <c r="U94" s="1710" t="s">
        <v>1151</v>
      </c>
      <c r="V94" s="24" t="s">
        <v>10508</v>
      </c>
      <c r="W94" s="90" t="s">
        <v>10612</v>
      </c>
      <c r="X94" s="24" t="s">
        <v>108</v>
      </c>
      <c r="Y94" s="10">
        <v>1</v>
      </c>
      <c r="Z94" s="24" t="s">
        <v>1880</v>
      </c>
      <c r="AA94" s="24" t="s">
        <v>1880</v>
      </c>
      <c r="AB94" s="95">
        <v>2.7</v>
      </c>
      <c r="AC94" s="30"/>
      <c r="AD94" s="95">
        <v>2.7</v>
      </c>
      <c r="AE94" s="59"/>
      <c r="AF94" s="59"/>
      <c r="AG94" s="35" t="s">
        <v>1104</v>
      </c>
      <c r="AH94" s="35" t="s">
        <v>10636</v>
      </c>
      <c r="AI94" s="35" t="s">
        <v>10644</v>
      </c>
      <c r="AJ94" s="202" t="s">
        <v>1103</v>
      </c>
      <c r="AK94" s="35" t="s">
        <v>1880</v>
      </c>
      <c r="AL94" s="1710"/>
    </row>
    <row r="95" spans="1:38" s="11" customFormat="1" ht="26.25" customHeight="1" x14ac:dyDescent="0.15">
      <c r="A95" s="8">
        <f t="shared" si="0"/>
        <v>93</v>
      </c>
      <c r="B95" s="36" t="s">
        <v>10539</v>
      </c>
      <c r="C95" s="71" t="s">
        <v>10568</v>
      </c>
      <c r="D95" s="26" t="s">
        <v>19</v>
      </c>
      <c r="E95" s="26" t="s">
        <v>19</v>
      </c>
      <c r="F95" s="29" t="s">
        <v>10594</v>
      </c>
      <c r="G95" s="53" t="s">
        <v>10595</v>
      </c>
      <c r="H95" s="1478" t="s">
        <v>448</v>
      </c>
      <c r="I95" s="1478" t="s">
        <v>448</v>
      </c>
      <c r="J95" s="1478" t="s">
        <v>448</v>
      </c>
      <c r="K95" s="1710" t="s">
        <v>4195</v>
      </c>
      <c r="L95" s="1710" t="s">
        <v>4750</v>
      </c>
      <c r="M95" s="1710" t="s">
        <v>10598</v>
      </c>
      <c r="N95" s="22" t="s">
        <v>10610</v>
      </c>
      <c r="O95" s="1710" t="s">
        <v>5431</v>
      </c>
      <c r="P95" s="1711" t="s">
        <v>111</v>
      </c>
      <c r="Q95" s="1710" t="s">
        <v>1131</v>
      </c>
      <c r="R95" s="54" t="s">
        <v>10611</v>
      </c>
      <c r="S95" s="164" t="s">
        <v>1880</v>
      </c>
      <c r="T95" s="1710" t="s">
        <v>1151</v>
      </c>
      <c r="U95" s="1710" t="s">
        <v>1151</v>
      </c>
      <c r="V95" s="24" t="s">
        <v>10508</v>
      </c>
      <c r="W95" s="90" t="s">
        <v>10612</v>
      </c>
      <c r="X95" s="24" t="s">
        <v>108</v>
      </c>
      <c r="Y95" s="10">
        <v>1</v>
      </c>
      <c r="Z95" s="24" t="s">
        <v>1880</v>
      </c>
      <c r="AA95" s="24" t="s">
        <v>1880</v>
      </c>
      <c r="AB95" s="95">
        <v>2.7</v>
      </c>
      <c r="AC95" s="30"/>
      <c r="AD95" s="95">
        <v>2.7</v>
      </c>
      <c r="AE95" s="59"/>
      <c r="AF95" s="59"/>
      <c r="AG95" s="35" t="s">
        <v>1104</v>
      </c>
      <c r="AH95" s="35" t="s">
        <v>10636</v>
      </c>
      <c r="AI95" s="35" t="s">
        <v>10644</v>
      </c>
      <c r="AJ95" s="202" t="s">
        <v>1103</v>
      </c>
      <c r="AK95" s="35" t="s">
        <v>1880</v>
      </c>
      <c r="AL95" s="1710"/>
    </row>
    <row r="96" spans="1:38" s="11" customFormat="1" ht="26.25" customHeight="1" x14ac:dyDescent="0.15">
      <c r="A96" s="8">
        <f t="shared" si="0"/>
        <v>94</v>
      </c>
      <c r="B96" s="36" t="s">
        <v>10540</v>
      </c>
      <c r="C96" s="71" t="s">
        <v>10569</v>
      </c>
      <c r="D96" s="26" t="s">
        <v>19</v>
      </c>
      <c r="E96" s="26" t="s">
        <v>19</v>
      </c>
      <c r="F96" s="29" t="s">
        <v>10594</v>
      </c>
      <c r="G96" s="53" t="s">
        <v>10595</v>
      </c>
      <c r="H96" s="1478" t="s">
        <v>448</v>
      </c>
      <c r="I96" s="1478" t="s">
        <v>448</v>
      </c>
      <c r="J96" s="1478" t="s">
        <v>448</v>
      </c>
      <c r="K96" s="1710" t="s">
        <v>4195</v>
      </c>
      <c r="L96" s="1710" t="s">
        <v>4750</v>
      </c>
      <c r="M96" s="1710" t="s">
        <v>10599</v>
      </c>
      <c r="N96" s="22" t="s">
        <v>1138</v>
      </c>
      <c r="O96" s="1710" t="s">
        <v>5431</v>
      </c>
      <c r="P96" s="1711" t="s">
        <v>111</v>
      </c>
      <c r="Q96" s="1710" t="s">
        <v>1131</v>
      </c>
      <c r="R96" s="54" t="s">
        <v>10611</v>
      </c>
      <c r="S96" s="164" t="s">
        <v>1880</v>
      </c>
      <c r="T96" s="1710" t="s">
        <v>1151</v>
      </c>
      <c r="U96" s="1710" t="s">
        <v>1151</v>
      </c>
      <c r="V96" s="24" t="s">
        <v>10508</v>
      </c>
      <c r="W96" s="90" t="s">
        <v>10612</v>
      </c>
      <c r="X96" s="24" t="s">
        <v>108</v>
      </c>
      <c r="Y96" s="10">
        <v>1</v>
      </c>
      <c r="Z96" s="24" t="s">
        <v>1880</v>
      </c>
      <c r="AA96" s="24" t="s">
        <v>1880</v>
      </c>
      <c r="AB96" s="95">
        <v>2.7</v>
      </c>
      <c r="AC96" s="30"/>
      <c r="AD96" s="95">
        <v>2.7</v>
      </c>
      <c r="AE96" s="59"/>
      <c r="AF96" s="59"/>
      <c r="AG96" s="35" t="s">
        <v>1104</v>
      </c>
      <c r="AH96" s="35" t="s">
        <v>10636</v>
      </c>
      <c r="AI96" s="35" t="s">
        <v>10644</v>
      </c>
      <c r="AJ96" s="202" t="s">
        <v>1103</v>
      </c>
      <c r="AK96" s="35" t="s">
        <v>1880</v>
      </c>
      <c r="AL96" s="1710"/>
    </row>
    <row r="97" spans="1:38" s="11" customFormat="1" ht="26.25" customHeight="1" x14ac:dyDescent="0.15">
      <c r="A97" s="8">
        <f t="shared" si="0"/>
        <v>95</v>
      </c>
      <c r="B97" s="36" t="s">
        <v>10541</v>
      </c>
      <c r="C97" s="71" t="s">
        <v>10570</v>
      </c>
      <c r="D97" s="26" t="s">
        <v>19</v>
      </c>
      <c r="E97" s="26" t="s">
        <v>19</v>
      </c>
      <c r="F97" s="29" t="s">
        <v>10594</v>
      </c>
      <c r="G97" s="53" t="s">
        <v>10595</v>
      </c>
      <c r="H97" s="1478" t="s">
        <v>448</v>
      </c>
      <c r="I97" s="1478" t="s">
        <v>448</v>
      </c>
      <c r="J97" s="1478" t="s">
        <v>448</v>
      </c>
      <c r="K97" s="1710" t="s">
        <v>3649</v>
      </c>
      <c r="L97" s="1710" t="s">
        <v>4750</v>
      </c>
      <c r="M97" s="1710" t="s">
        <v>9931</v>
      </c>
      <c r="N97" s="22" t="s">
        <v>1138</v>
      </c>
      <c r="O97" s="1710" t="s">
        <v>5478</v>
      </c>
      <c r="P97" s="1711" t="s">
        <v>111</v>
      </c>
      <c r="Q97" s="1710" t="s">
        <v>4676</v>
      </c>
      <c r="R97" s="54" t="s">
        <v>10611</v>
      </c>
      <c r="S97" s="164" t="s">
        <v>1880</v>
      </c>
      <c r="T97" s="1710" t="s">
        <v>2072</v>
      </c>
      <c r="U97" s="1710" t="s">
        <v>2072</v>
      </c>
      <c r="V97" s="24" t="s">
        <v>10508</v>
      </c>
      <c r="W97" s="90" t="s">
        <v>10612</v>
      </c>
      <c r="X97" s="24" t="s">
        <v>108</v>
      </c>
      <c r="Y97" s="10">
        <v>1</v>
      </c>
      <c r="Z97" s="24" t="s">
        <v>1880</v>
      </c>
      <c r="AA97" s="24" t="s">
        <v>1880</v>
      </c>
      <c r="AB97" s="95">
        <v>2.7</v>
      </c>
      <c r="AC97" s="30"/>
      <c r="AD97" s="95">
        <v>2.7</v>
      </c>
      <c r="AE97" s="59"/>
      <c r="AF97" s="59"/>
      <c r="AG97" s="35" t="s">
        <v>1104</v>
      </c>
      <c r="AH97" s="35" t="s">
        <v>10636</v>
      </c>
      <c r="AI97" s="35" t="s">
        <v>10644</v>
      </c>
      <c r="AJ97" s="202" t="s">
        <v>1103</v>
      </c>
      <c r="AK97" s="35" t="s">
        <v>1880</v>
      </c>
      <c r="AL97" s="1710"/>
    </row>
    <row r="98" spans="1:38" s="11" customFormat="1" ht="26.25" customHeight="1" x14ac:dyDescent="0.15">
      <c r="A98" s="8">
        <f t="shared" si="0"/>
        <v>96</v>
      </c>
      <c r="B98" s="36" t="s">
        <v>10542</v>
      </c>
      <c r="C98" s="71" t="s">
        <v>10571</v>
      </c>
      <c r="D98" s="26" t="s">
        <v>19</v>
      </c>
      <c r="E98" s="26" t="s">
        <v>19</v>
      </c>
      <c r="F98" s="29" t="s">
        <v>10594</v>
      </c>
      <c r="G98" s="53" t="s">
        <v>10595</v>
      </c>
      <c r="H98" s="1478" t="s">
        <v>448</v>
      </c>
      <c r="I98" s="1478" t="s">
        <v>448</v>
      </c>
      <c r="J98" s="1478" t="s">
        <v>448</v>
      </c>
      <c r="K98" s="1710" t="s">
        <v>3649</v>
      </c>
      <c r="L98" s="1710" t="s">
        <v>4750</v>
      </c>
      <c r="M98" s="1710" t="s">
        <v>8039</v>
      </c>
      <c r="N98" s="22" t="s">
        <v>8052</v>
      </c>
      <c r="O98" s="1710" t="s">
        <v>5431</v>
      </c>
      <c r="P98" s="1711" t="s">
        <v>111</v>
      </c>
      <c r="Q98" s="1710" t="s">
        <v>1131</v>
      </c>
      <c r="R98" s="54" t="s">
        <v>10611</v>
      </c>
      <c r="S98" s="164" t="s">
        <v>1880</v>
      </c>
      <c r="T98" s="1710" t="s">
        <v>2072</v>
      </c>
      <c r="U98" s="1710" t="s">
        <v>2072</v>
      </c>
      <c r="V98" s="24" t="s">
        <v>10508</v>
      </c>
      <c r="W98" s="90" t="s">
        <v>10612</v>
      </c>
      <c r="X98" s="24" t="s">
        <v>108</v>
      </c>
      <c r="Y98" s="10">
        <v>1</v>
      </c>
      <c r="Z98" s="24" t="s">
        <v>1880</v>
      </c>
      <c r="AA98" s="24" t="s">
        <v>1880</v>
      </c>
      <c r="AB98" s="95">
        <v>2.7</v>
      </c>
      <c r="AC98" s="30"/>
      <c r="AD98" s="95">
        <v>2.7</v>
      </c>
      <c r="AE98" s="59"/>
      <c r="AF98" s="59"/>
      <c r="AG98" s="35" t="s">
        <v>1104</v>
      </c>
      <c r="AH98" s="35" t="s">
        <v>10636</v>
      </c>
      <c r="AI98" s="35" t="s">
        <v>10644</v>
      </c>
      <c r="AJ98" s="202" t="s">
        <v>1103</v>
      </c>
      <c r="AK98" s="35" t="s">
        <v>1880</v>
      </c>
      <c r="AL98" s="1710"/>
    </row>
    <row r="99" spans="1:38" s="11" customFormat="1" ht="26.25" customHeight="1" x14ac:dyDescent="0.15">
      <c r="A99" s="8">
        <f t="shared" si="0"/>
        <v>97</v>
      </c>
      <c r="B99" s="36" t="s">
        <v>10543</v>
      </c>
      <c r="C99" s="71" t="s">
        <v>10572</v>
      </c>
      <c r="D99" s="26" t="s">
        <v>19</v>
      </c>
      <c r="E99" s="26" t="s">
        <v>19</v>
      </c>
      <c r="F99" s="29" t="s">
        <v>10594</v>
      </c>
      <c r="G99" s="53" t="s">
        <v>10595</v>
      </c>
      <c r="H99" s="1478" t="s">
        <v>448</v>
      </c>
      <c r="I99" s="1478" t="s">
        <v>448</v>
      </c>
      <c r="J99" s="1478" t="s">
        <v>448</v>
      </c>
      <c r="K99" s="1710" t="s">
        <v>3649</v>
      </c>
      <c r="L99" s="1710" t="s">
        <v>4750</v>
      </c>
      <c r="M99" s="1710" t="s">
        <v>10600</v>
      </c>
      <c r="N99" s="1711" t="s">
        <v>3635</v>
      </c>
      <c r="O99" s="1710" t="s">
        <v>5431</v>
      </c>
      <c r="P99" s="1711" t="s">
        <v>111</v>
      </c>
      <c r="Q99" s="1710" t="s">
        <v>1131</v>
      </c>
      <c r="R99" s="54" t="s">
        <v>10611</v>
      </c>
      <c r="S99" s="164" t="s">
        <v>1880</v>
      </c>
      <c r="T99" s="1710" t="s">
        <v>2072</v>
      </c>
      <c r="U99" s="1710" t="s">
        <v>2072</v>
      </c>
      <c r="V99" s="24" t="s">
        <v>10508</v>
      </c>
      <c r="W99" s="90" t="s">
        <v>10612</v>
      </c>
      <c r="X99" s="24" t="s">
        <v>108</v>
      </c>
      <c r="Y99" s="10">
        <v>1</v>
      </c>
      <c r="Z99" s="24" t="s">
        <v>1880</v>
      </c>
      <c r="AA99" s="24" t="s">
        <v>1880</v>
      </c>
      <c r="AB99" s="95">
        <v>2.7</v>
      </c>
      <c r="AC99" s="30"/>
      <c r="AD99" s="95">
        <v>2.7</v>
      </c>
      <c r="AE99" s="59"/>
      <c r="AF99" s="59"/>
      <c r="AG99" s="35" t="s">
        <v>1104</v>
      </c>
      <c r="AH99" s="35" t="s">
        <v>10636</v>
      </c>
      <c r="AI99" s="35" t="s">
        <v>10644</v>
      </c>
      <c r="AJ99" s="202" t="s">
        <v>1103</v>
      </c>
      <c r="AK99" s="35" t="s">
        <v>1880</v>
      </c>
      <c r="AL99" s="1710"/>
    </row>
    <row r="100" spans="1:38" s="11" customFormat="1" ht="26.25" customHeight="1" x14ac:dyDescent="0.15">
      <c r="A100" s="8">
        <f t="shared" si="0"/>
        <v>98</v>
      </c>
      <c r="B100" s="36" t="s">
        <v>10544</v>
      </c>
      <c r="C100" s="71" t="s">
        <v>10573</v>
      </c>
      <c r="D100" s="26" t="s">
        <v>19</v>
      </c>
      <c r="E100" s="26" t="s">
        <v>19</v>
      </c>
      <c r="F100" s="29" t="s">
        <v>10594</v>
      </c>
      <c r="G100" s="53" t="s">
        <v>10595</v>
      </c>
      <c r="H100" s="1478" t="s">
        <v>448</v>
      </c>
      <c r="I100" s="1478" t="s">
        <v>448</v>
      </c>
      <c r="J100" s="1478" t="s">
        <v>448</v>
      </c>
      <c r="K100" s="1710" t="s">
        <v>3649</v>
      </c>
      <c r="L100" s="1710" t="s">
        <v>4750</v>
      </c>
      <c r="M100" s="1710" t="s">
        <v>7054</v>
      </c>
      <c r="N100" s="22" t="s">
        <v>1138</v>
      </c>
      <c r="O100" s="1710" t="s">
        <v>5431</v>
      </c>
      <c r="P100" s="1711" t="s">
        <v>111</v>
      </c>
      <c r="Q100" s="1710" t="s">
        <v>1131</v>
      </c>
      <c r="R100" s="54" t="s">
        <v>10611</v>
      </c>
      <c r="S100" s="164" t="s">
        <v>1880</v>
      </c>
      <c r="T100" s="1710" t="s">
        <v>2072</v>
      </c>
      <c r="U100" s="1710" t="s">
        <v>2072</v>
      </c>
      <c r="V100" s="24" t="s">
        <v>10508</v>
      </c>
      <c r="W100" s="90" t="s">
        <v>10612</v>
      </c>
      <c r="X100" s="24" t="s">
        <v>108</v>
      </c>
      <c r="Y100" s="10">
        <v>1</v>
      </c>
      <c r="Z100" s="24" t="s">
        <v>1880</v>
      </c>
      <c r="AA100" s="24" t="s">
        <v>1880</v>
      </c>
      <c r="AB100" s="95">
        <v>2.7</v>
      </c>
      <c r="AC100" s="30"/>
      <c r="AD100" s="95">
        <v>2.7</v>
      </c>
      <c r="AE100" s="59"/>
      <c r="AF100" s="59"/>
      <c r="AG100" s="35" t="s">
        <v>1104</v>
      </c>
      <c r="AH100" s="35" t="s">
        <v>10636</v>
      </c>
      <c r="AI100" s="35" t="s">
        <v>10644</v>
      </c>
      <c r="AJ100" s="202" t="s">
        <v>1103</v>
      </c>
      <c r="AK100" s="35" t="s">
        <v>1880</v>
      </c>
      <c r="AL100" s="1710"/>
    </row>
    <row r="101" spans="1:38" s="11" customFormat="1" ht="26.25" customHeight="1" x14ac:dyDescent="0.15">
      <c r="A101" s="8">
        <f t="shared" si="0"/>
        <v>99</v>
      </c>
      <c r="B101" s="36" t="s">
        <v>10545</v>
      </c>
      <c r="C101" s="71" t="s">
        <v>10574</v>
      </c>
      <c r="D101" s="26" t="s">
        <v>19</v>
      </c>
      <c r="E101" s="26" t="s">
        <v>19</v>
      </c>
      <c r="F101" s="29" t="s">
        <v>10594</v>
      </c>
      <c r="G101" s="53" t="s">
        <v>10595</v>
      </c>
      <c r="H101" s="1478" t="s">
        <v>448</v>
      </c>
      <c r="I101" s="1478" t="s">
        <v>448</v>
      </c>
      <c r="J101" s="1478" t="s">
        <v>448</v>
      </c>
      <c r="K101" s="1710" t="s">
        <v>3649</v>
      </c>
      <c r="L101" s="1710" t="s">
        <v>4750</v>
      </c>
      <c r="M101" s="44" t="s">
        <v>3644</v>
      </c>
      <c r="N101" s="71" t="s">
        <v>3633</v>
      </c>
      <c r="O101" s="1710" t="s">
        <v>5431</v>
      </c>
      <c r="P101" s="1711" t="s">
        <v>111</v>
      </c>
      <c r="Q101" s="1710" t="s">
        <v>1131</v>
      </c>
      <c r="R101" s="54" t="s">
        <v>10611</v>
      </c>
      <c r="S101" s="164" t="s">
        <v>1880</v>
      </c>
      <c r="T101" s="1710" t="s">
        <v>2072</v>
      </c>
      <c r="U101" s="1710" t="s">
        <v>2072</v>
      </c>
      <c r="V101" s="24" t="s">
        <v>10508</v>
      </c>
      <c r="W101" s="90" t="s">
        <v>10612</v>
      </c>
      <c r="X101" s="24" t="s">
        <v>108</v>
      </c>
      <c r="Y101" s="10">
        <v>1</v>
      </c>
      <c r="Z101" s="24" t="s">
        <v>1880</v>
      </c>
      <c r="AA101" s="24" t="s">
        <v>1880</v>
      </c>
      <c r="AB101" s="95">
        <v>5.4</v>
      </c>
      <c r="AC101" s="30"/>
      <c r="AD101" s="95">
        <v>5.4</v>
      </c>
      <c r="AE101" s="59"/>
      <c r="AF101" s="59"/>
      <c r="AG101" s="35" t="s">
        <v>1104</v>
      </c>
      <c r="AH101" s="35" t="s">
        <v>10636</v>
      </c>
      <c r="AI101" s="35" t="s">
        <v>10644</v>
      </c>
      <c r="AJ101" s="202" t="s">
        <v>1103</v>
      </c>
      <c r="AK101" s="35" t="s">
        <v>1880</v>
      </c>
      <c r="AL101" s="1710"/>
    </row>
    <row r="102" spans="1:38" s="11" customFormat="1" ht="26.25" customHeight="1" x14ac:dyDescent="0.15">
      <c r="A102" s="8">
        <f t="shared" si="0"/>
        <v>100</v>
      </c>
      <c r="B102" s="36" t="s">
        <v>10546</v>
      </c>
      <c r="C102" s="71" t="s">
        <v>10575</v>
      </c>
      <c r="D102" s="26" t="s">
        <v>19</v>
      </c>
      <c r="E102" s="26" t="s">
        <v>19</v>
      </c>
      <c r="F102" s="29" t="s">
        <v>10594</v>
      </c>
      <c r="G102" s="53" t="s">
        <v>10595</v>
      </c>
      <c r="H102" s="1478" t="s">
        <v>448</v>
      </c>
      <c r="I102" s="1478" t="s">
        <v>448</v>
      </c>
      <c r="J102" s="1478" t="s">
        <v>448</v>
      </c>
      <c r="K102" s="1710" t="s">
        <v>3649</v>
      </c>
      <c r="L102" s="1710" t="s">
        <v>4750</v>
      </c>
      <c r="M102" s="21" t="s">
        <v>3667</v>
      </c>
      <c r="N102" s="1710" t="s">
        <v>3668</v>
      </c>
      <c r="O102" s="1710" t="s">
        <v>5431</v>
      </c>
      <c r="P102" s="1711" t="s">
        <v>111</v>
      </c>
      <c r="Q102" s="1710" t="s">
        <v>1131</v>
      </c>
      <c r="R102" s="54" t="s">
        <v>10611</v>
      </c>
      <c r="S102" s="164" t="s">
        <v>1880</v>
      </c>
      <c r="T102" s="1710" t="s">
        <v>2072</v>
      </c>
      <c r="U102" s="1710" t="s">
        <v>2072</v>
      </c>
      <c r="V102" s="24" t="s">
        <v>10508</v>
      </c>
      <c r="W102" s="90" t="s">
        <v>10612</v>
      </c>
      <c r="X102" s="24" t="s">
        <v>108</v>
      </c>
      <c r="Y102" s="10">
        <v>1</v>
      </c>
      <c r="Z102" s="24" t="s">
        <v>1880</v>
      </c>
      <c r="AA102" s="24" t="s">
        <v>1880</v>
      </c>
      <c r="AB102" s="95">
        <v>5.4</v>
      </c>
      <c r="AC102" s="30"/>
      <c r="AD102" s="95">
        <v>5.4</v>
      </c>
      <c r="AE102" s="59"/>
      <c r="AF102" s="59"/>
      <c r="AG102" s="35" t="s">
        <v>1104</v>
      </c>
      <c r="AH102" s="35" t="s">
        <v>10636</v>
      </c>
      <c r="AI102" s="35" t="s">
        <v>10644</v>
      </c>
      <c r="AJ102" s="202" t="s">
        <v>1103</v>
      </c>
      <c r="AK102" s="35" t="s">
        <v>1880</v>
      </c>
      <c r="AL102" s="1710"/>
    </row>
    <row r="103" spans="1:38" s="11" customFormat="1" ht="26.25" customHeight="1" x14ac:dyDescent="0.15">
      <c r="A103" s="8">
        <f t="shared" si="0"/>
        <v>101</v>
      </c>
      <c r="B103" s="36" t="s">
        <v>10547</v>
      </c>
      <c r="C103" s="71" t="s">
        <v>10576</v>
      </c>
      <c r="D103" s="26" t="s">
        <v>19</v>
      </c>
      <c r="E103" s="26" t="s">
        <v>19</v>
      </c>
      <c r="F103" s="29" t="s">
        <v>10594</v>
      </c>
      <c r="G103" s="53" t="s">
        <v>10595</v>
      </c>
      <c r="H103" s="1478" t="s">
        <v>448</v>
      </c>
      <c r="I103" s="1478" t="s">
        <v>448</v>
      </c>
      <c r="J103" s="1478" t="s">
        <v>448</v>
      </c>
      <c r="K103" s="1710" t="s">
        <v>3649</v>
      </c>
      <c r="L103" s="1710" t="s">
        <v>4750</v>
      </c>
      <c r="M103" s="1710" t="s">
        <v>10601</v>
      </c>
      <c r="N103" s="22" t="s">
        <v>1138</v>
      </c>
      <c r="O103" s="1710" t="s">
        <v>5431</v>
      </c>
      <c r="P103" s="1711" t="s">
        <v>111</v>
      </c>
      <c r="Q103" s="1710" t="s">
        <v>1131</v>
      </c>
      <c r="R103" s="54" t="s">
        <v>10611</v>
      </c>
      <c r="S103" s="164" t="s">
        <v>1880</v>
      </c>
      <c r="T103" s="1710" t="s">
        <v>2072</v>
      </c>
      <c r="U103" s="1710" t="s">
        <v>2072</v>
      </c>
      <c r="V103" s="24" t="s">
        <v>10508</v>
      </c>
      <c r="W103" s="90" t="s">
        <v>10612</v>
      </c>
      <c r="X103" s="24" t="s">
        <v>108</v>
      </c>
      <c r="Y103" s="10">
        <v>1</v>
      </c>
      <c r="Z103" s="24" t="s">
        <v>1880</v>
      </c>
      <c r="AA103" s="24" t="s">
        <v>1880</v>
      </c>
      <c r="AB103" s="95">
        <v>5.4</v>
      </c>
      <c r="AC103" s="30"/>
      <c r="AD103" s="95">
        <v>5.4</v>
      </c>
      <c r="AE103" s="59"/>
      <c r="AF103" s="59"/>
      <c r="AG103" s="35" t="s">
        <v>1104</v>
      </c>
      <c r="AH103" s="35" t="s">
        <v>10636</v>
      </c>
      <c r="AI103" s="35" t="s">
        <v>10644</v>
      </c>
      <c r="AJ103" s="202" t="s">
        <v>1103</v>
      </c>
      <c r="AK103" s="35" t="s">
        <v>1880</v>
      </c>
      <c r="AL103" s="1710"/>
    </row>
    <row r="104" spans="1:38" s="11" customFormat="1" ht="26.25" customHeight="1" x14ac:dyDescent="0.15">
      <c r="A104" s="8">
        <f t="shared" si="0"/>
        <v>102</v>
      </c>
      <c r="B104" s="36" t="s">
        <v>10548</v>
      </c>
      <c r="C104" s="71" t="s">
        <v>10577</v>
      </c>
      <c r="D104" s="26" t="s">
        <v>19</v>
      </c>
      <c r="E104" s="26" t="s">
        <v>19</v>
      </c>
      <c r="F104" s="29" t="s">
        <v>10594</v>
      </c>
      <c r="G104" s="53" t="s">
        <v>10595</v>
      </c>
      <c r="H104" s="1478" t="s">
        <v>448</v>
      </c>
      <c r="I104" s="1478" t="s">
        <v>448</v>
      </c>
      <c r="J104" s="1478" t="s">
        <v>448</v>
      </c>
      <c r="K104" s="1710" t="s">
        <v>3649</v>
      </c>
      <c r="L104" s="1710" t="s">
        <v>4750</v>
      </c>
      <c r="M104" s="1710" t="s">
        <v>10613</v>
      </c>
      <c r="N104" s="22" t="s">
        <v>10614</v>
      </c>
      <c r="O104" s="1710" t="s">
        <v>5431</v>
      </c>
      <c r="P104" s="1711" t="s">
        <v>111</v>
      </c>
      <c r="Q104" s="1710" t="s">
        <v>1131</v>
      </c>
      <c r="R104" s="54" t="s">
        <v>10611</v>
      </c>
      <c r="S104" s="164" t="s">
        <v>1880</v>
      </c>
      <c r="T104" s="1710" t="s">
        <v>2072</v>
      </c>
      <c r="U104" s="1710" t="s">
        <v>2072</v>
      </c>
      <c r="V104" s="24" t="s">
        <v>10508</v>
      </c>
      <c r="W104" s="90" t="s">
        <v>10612</v>
      </c>
      <c r="X104" s="24" t="s">
        <v>108</v>
      </c>
      <c r="Y104" s="10">
        <v>1</v>
      </c>
      <c r="Z104" s="24" t="s">
        <v>1880</v>
      </c>
      <c r="AA104" s="24" t="s">
        <v>1880</v>
      </c>
      <c r="AB104" s="95">
        <v>2.7</v>
      </c>
      <c r="AC104" s="30"/>
      <c r="AD104" s="95">
        <v>2.7</v>
      </c>
      <c r="AE104" s="59"/>
      <c r="AF104" s="59"/>
      <c r="AG104" s="35" t="s">
        <v>1104</v>
      </c>
      <c r="AH104" s="35" t="s">
        <v>10636</v>
      </c>
      <c r="AI104" s="35" t="s">
        <v>10644</v>
      </c>
      <c r="AJ104" s="202" t="s">
        <v>1103</v>
      </c>
      <c r="AK104" s="35" t="s">
        <v>1880</v>
      </c>
      <c r="AL104" s="1710"/>
    </row>
    <row r="105" spans="1:38" s="11" customFormat="1" ht="26.25" customHeight="1" x14ac:dyDescent="0.15">
      <c r="A105" s="8">
        <f t="shared" si="0"/>
        <v>103</v>
      </c>
      <c r="B105" s="36" t="s">
        <v>10549</v>
      </c>
      <c r="C105" s="71" t="s">
        <v>10578</v>
      </c>
      <c r="D105" s="26" t="s">
        <v>19</v>
      </c>
      <c r="E105" s="26" t="s">
        <v>19</v>
      </c>
      <c r="F105" s="29" t="s">
        <v>10594</v>
      </c>
      <c r="G105" s="53" t="s">
        <v>10595</v>
      </c>
      <c r="H105" s="1478" t="s">
        <v>448</v>
      </c>
      <c r="I105" s="1478" t="s">
        <v>448</v>
      </c>
      <c r="J105" s="1478" t="s">
        <v>448</v>
      </c>
      <c r="K105" s="1710" t="s">
        <v>3649</v>
      </c>
      <c r="L105" s="1710" t="s">
        <v>4750</v>
      </c>
      <c r="M105" s="1710" t="s">
        <v>10602</v>
      </c>
      <c r="N105" s="71" t="s">
        <v>3645</v>
      </c>
      <c r="O105" s="1710" t="s">
        <v>5478</v>
      </c>
      <c r="P105" s="1711" t="s">
        <v>111</v>
      </c>
      <c r="Q105" s="1710" t="s">
        <v>4676</v>
      </c>
      <c r="R105" s="54" t="s">
        <v>10611</v>
      </c>
      <c r="S105" s="164" t="s">
        <v>1880</v>
      </c>
      <c r="T105" s="1710" t="s">
        <v>2072</v>
      </c>
      <c r="U105" s="1710" t="s">
        <v>2072</v>
      </c>
      <c r="V105" s="24" t="s">
        <v>10508</v>
      </c>
      <c r="W105" s="90" t="s">
        <v>10612</v>
      </c>
      <c r="X105" s="24" t="s">
        <v>108</v>
      </c>
      <c r="Y105" s="10">
        <v>1</v>
      </c>
      <c r="Z105" s="24" t="s">
        <v>1880</v>
      </c>
      <c r="AA105" s="24" t="s">
        <v>1880</v>
      </c>
      <c r="AB105" s="95">
        <v>2.7</v>
      </c>
      <c r="AC105" s="30"/>
      <c r="AD105" s="95">
        <v>2.7</v>
      </c>
      <c r="AE105" s="59"/>
      <c r="AF105" s="59"/>
      <c r="AG105" s="35" t="s">
        <v>1104</v>
      </c>
      <c r="AH105" s="35" t="s">
        <v>10636</v>
      </c>
      <c r="AI105" s="35" t="s">
        <v>10644</v>
      </c>
      <c r="AJ105" s="202" t="s">
        <v>1103</v>
      </c>
      <c r="AK105" s="35" t="s">
        <v>1880</v>
      </c>
      <c r="AL105" s="1710"/>
    </row>
    <row r="106" spans="1:38" s="11" customFormat="1" ht="26.25" customHeight="1" x14ac:dyDescent="0.15">
      <c r="A106" s="8">
        <f t="shared" si="0"/>
        <v>104</v>
      </c>
      <c r="B106" s="36" t="s">
        <v>10550</v>
      </c>
      <c r="C106" s="71" t="s">
        <v>10579</v>
      </c>
      <c r="D106" s="26" t="s">
        <v>19</v>
      </c>
      <c r="E106" s="26" t="s">
        <v>19</v>
      </c>
      <c r="F106" s="29" t="s">
        <v>10594</v>
      </c>
      <c r="G106" s="53" t="s">
        <v>10595</v>
      </c>
      <c r="H106" s="1478" t="s">
        <v>448</v>
      </c>
      <c r="I106" s="1478" t="s">
        <v>448</v>
      </c>
      <c r="J106" s="1478" t="s">
        <v>448</v>
      </c>
      <c r="K106" s="1710" t="s">
        <v>3649</v>
      </c>
      <c r="L106" s="1710" t="s">
        <v>4750</v>
      </c>
      <c r="M106" s="1710" t="s">
        <v>7194</v>
      </c>
      <c r="N106" s="1711" t="s">
        <v>3632</v>
      </c>
      <c r="O106" s="1710" t="s">
        <v>5478</v>
      </c>
      <c r="P106" s="1711" t="s">
        <v>111</v>
      </c>
      <c r="Q106" s="1710" t="s">
        <v>4676</v>
      </c>
      <c r="R106" s="54" t="s">
        <v>10611</v>
      </c>
      <c r="S106" s="164" t="s">
        <v>1880</v>
      </c>
      <c r="T106" s="1710" t="s">
        <v>2072</v>
      </c>
      <c r="U106" s="1710" t="s">
        <v>2072</v>
      </c>
      <c r="V106" s="24" t="s">
        <v>10508</v>
      </c>
      <c r="W106" s="90" t="s">
        <v>10612</v>
      </c>
      <c r="X106" s="24" t="s">
        <v>108</v>
      </c>
      <c r="Y106" s="10">
        <v>1</v>
      </c>
      <c r="Z106" s="24" t="s">
        <v>1880</v>
      </c>
      <c r="AA106" s="24" t="s">
        <v>1880</v>
      </c>
      <c r="AB106" s="95">
        <v>2.7</v>
      </c>
      <c r="AC106" s="30"/>
      <c r="AD106" s="95">
        <v>2.7</v>
      </c>
      <c r="AE106" s="59"/>
      <c r="AF106" s="59"/>
      <c r="AG106" s="35" t="s">
        <v>1104</v>
      </c>
      <c r="AH106" s="35" t="s">
        <v>10636</v>
      </c>
      <c r="AI106" s="35" t="s">
        <v>10644</v>
      </c>
      <c r="AJ106" s="202" t="s">
        <v>1103</v>
      </c>
      <c r="AK106" s="35" t="s">
        <v>1880</v>
      </c>
      <c r="AL106" s="1710"/>
    </row>
    <row r="107" spans="1:38" s="11" customFormat="1" ht="26.25" customHeight="1" x14ac:dyDescent="0.15">
      <c r="A107" s="8">
        <f t="shared" si="0"/>
        <v>105</v>
      </c>
      <c r="B107" s="36" t="s">
        <v>10551</v>
      </c>
      <c r="C107" s="71" t="s">
        <v>10580</v>
      </c>
      <c r="D107" s="26" t="s">
        <v>19</v>
      </c>
      <c r="E107" s="26" t="s">
        <v>19</v>
      </c>
      <c r="F107" s="29" t="s">
        <v>10594</v>
      </c>
      <c r="G107" s="53" t="s">
        <v>10595</v>
      </c>
      <c r="H107" s="1478" t="s">
        <v>448</v>
      </c>
      <c r="I107" s="1478" t="s">
        <v>448</v>
      </c>
      <c r="J107" s="1478" t="s">
        <v>448</v>
      </c>
      <c r="K107" s="1710" t="s">
        <v>3649</v>
      </c>
      <c r="L107" s="1710" t="s">
        <v>4750</v>
      </c>
      <c r="M107" s="1710" t="s">
        <v>10603</v>
      </c>
      <c r="N107" s="2" t="s">
        <v>1018</v>
      </c>
      <c r="O107" s="1710" t="s">
        <v>5478</v>
      </c>
      <c r="P107" s="1711" t="s">
        <v>111</v>
      </c>
      <c r="Q107" s="1710" t="s">
        <v>4676</v>
      </c>
      <c r="R107" s="54" t="s">
        <v>10611</v>
      </c>
      <c r="S107" s="164" t="s">
        <v>1880</v>
      </c>
      <c r="T107" s="1710" t="s">
        <v>2072</v>
      </c>
      <c r="U107" s="1710" t="s">
        <v>2072</v>
      </c>
      <c r="V107" s="24" t="s">
        <v>10508</v>
      </c>
      <c r="W107" s="90" t="s">
        <v>10612</v>
      </c>
      <c r="X107" s="24" t="s">
        <v>108</v>
      </c>
      <c r="Y107" s="10">
        <v>1</v>
      </c>
      <c r="Z107" s="24" t="s">
        <v>1880</v>
      </c>
      <c r="AA107" s="24" t="s">
        <v>1880</v>
      </c>
      <c r="AB107" s="95">
        <v>2.7</v>
      </c>
      <c r="AC107" s="30"/>
      <c r="AD107" s="95">
        <v>2.7</v>
      </c>
      <c r="AE107" s="59"/>
      <c r="AF107" s="59"/>
      <c r="AG107" s="35" t="s">
        <v>1104</v>
      </c>
      <c r="AH107" s="35" t="s">
        <v>10636</v>
      </c>
      <c r="AI107" s="35" t="s">
        <v>10644</v>
      </c>
      <c r="AJ107" s="202" t="s">
        <v>1103</v>
      </c>
      <c r="AK107" s="35" t="s">
        <v>1880</v>
      </c>
      <c r="AL107" s="1710"/>
    </row>
    <row r="108" spans="1:38" s="11" customFormat="1" ht="26.25" customHeight="1" x14ac:dyDescent="0.15">
      <c r="A108" s="8">
        <f t="shared" si="0"/>
        <v>106</v>
      </c>
      <c r="B108" s="36" t="s">
        <v>10552</v>
      </c>
      <c r="C108" s="71" t="s">
        <v>10581</v>
      </c>
      <c r="D108" s="26" t="s">
        <v>19</v>
      </c>
      <c r="E108" s="26" t="s">
        <v>19</v>
      </c>
      <c r="F108" s="29" t="s">
        <v>10594</v>
      </c>
      <c r="G108" s="53" t="s">
        <v>10595</v>
      </c>
      <c r="H108" s="1478" t="s">
        <v>448</v>
      </c>
      <c r="I108" s="1478" t="s">
        <v>448</v>
      </c>
      <c r="J108" s="1478" t="s">
        <v>448</v>
      </c>
      <c r="K108" s="1710" t="s">
        <v>3649</v>
      </c>
      <c r="L108" s="1710" t="s">
        <v>4750</v>
      </c>
      <c r="M108" s="1710" t="s">
        <v>10604</v>
      </c>
      <c r="N108" s="1711" t="s">
        <v>3637</v>
      </c>
      <c r="O108" s="1710" t="s">
        <v>5478</v>
      </c>
      <c r="P108" s="1711" t="s">
        <v>111</v>
      </c>
      <c r="Q108" s="1710" t="s">
        <v>4676</v>
      </c>
      <c r="R108" s="54" t="s">
        <v>10611</v>
      </c>
      <c r="S108" s="164" t="s">
        <v>1880</v>
      </c>
      <c r="T108" s="1710" t="s">
        <v>2072</v>
      </c>
      <c r="U108" s="1710" t="s">
        <v>2072</v>
      </c>
      <c r="V108" s="24" t="s">
        <v>10508</v>
      </c>
      <c r="W108" s="90" t="s">
        <v>10612</v>
      </c>
      <c r="X108" s="24" t="s">
        <v>108</v>
      </c>
      <c r="Y108" s="10">
        <v>1</v>
      </c>
      <c r="Z108" s="24" t="s">
        <v>1880</v>
      </c>
      <c r="AA108" s="24" t="s">
        <v>1880</v>
      </c>
      <c r="AB108" s="95">
        <v>2.7</v>
      </c>
      <c r="AC108" s="30"/>
      <c r="AD108" s="95">
        <v>2.7</v>
      </c>
      <c r="AE108" s="59"/>
      <c r="AF108" s="59"/>
      <c r="AG108" s="35" t="s">
        <v>1104</v>
      </c>
      <c r="AH108" s="35" t="s">
        <v>10636</v>
      </c>
      <c r="AI108" s="35" t="s">
        <v>10644</v>
      </c>
      <c r="AJ108" s="202" t="s">
        <v>1103</v>
      </c>
      <c r="AK108" s="35" t="s">
        <v>1880</v>
      </c>
      <c r="AL108" s="1710"/>
    </row>
    <row r="109" spans="1:38" s="11" customFormat="1" ht="26.25" customHeight="1" x14ac:dyDescent="0.15">
      <c r="A109" s="8">
        <f t="shared" si="0"/>
        <v>107</v>
      </c>
      <c r="B109" s="36" t="s">
        <v>10553</v>
      </c>
      <c r="C109" s="71" t="s">
        <v>10582</v>
      </c>
      <c r="D109" s="26" t="s">
        <v>19</v>
      </c>
      <c r="E109" s="26" t="s">
        <v>19</v>
      </c>
      <c r="F109" s="29" t="s">
        <v>10594</v>
      </c>
      <c r="G109" s="53" t="s">
        <v>10595</v>
      </c>
      <c r="H109" s="1478" t="s">
        <v>448</v>
      </c>
      <c r="I109" s="1478" t="s">
        <v>448</v>
      </c>
      <c r="J109" s="1478" t="s">
        <v>448</v>
      </c>
      <c r="K109" s="1710" t="s">
        <v>3649</v>
      </c>
      <c r="L109" s="1710" t="s">
        <v>4750</v>
      </c>
      <c r="M109" s="1710" t="s">
        <v>8040</v>
      </c>
      <c r="N109" s="22" t="s">
        <v>8053</v>
      </c>
      <c r="O109" s="1710" t="s">
        <v>5431</v>
      </c>
      <c r="P109" s="1711" t="s">
        <v>111</v>
      </c>
      <c r="Q109" s="1710" t="s">
        <v>1131</v>
      </c>
      <c r="R109" s="54" t="s">
        <v>10611</v>
      </c>
      <c r="S109" s="164" t="s">
        <v>1880</v>
      </c>
      <c r="T109" s="1710" t="s">
        <v>2072</v>
      </c>
      <c r="U109" s="1710" t="s">
        <v>2072</v>
      </c>
      <c r="V109" s="24" t="s">
        <v>10508</v>
      </c>
      <c r="W109" s="90" t="s">
        <v>10612</v>
      </c>
      <c r="X109" s="24" t="s">
        <v>108</v>
      </c>
      <c r="Y109" s="10">
        <v>1</v>
      </c>
      <c r="Z109" s="24" t="s">
        <v>1880</v>
      </c>
      <c r="AA109" s="24" t="s">
        <v>1880</v>
      </c>
      <c r="AB109" s="95">
        <v>2.7</v>
      </c>
      <c r="AC109" s="30"/>
      <c r="AD109" s="95">
        <v>2.7</v>
      </c>
      <c r="AE109" s="59"/>
      <c r="AF109" s="59"/>
      <c r="AG109" s="35" t="s">
        <v>1104</v>
      </c>
      <c r="AH109" s="35" t="s">
        <v>10636</v>
      </c>
      <c r="AI109" s="35" t="s">
        <v>10644</v>
      </c>
      <c r="AJ109" s="202" t="s">
        <v>1103</v>
      </c>
      <c r="AK109" s="35" t="s">
        <v>1880</v>
      </c>
      <c r="AL109" s="1710"/>
    </row>
    <row r="110" spans="1:38" s="11" customFormat="1" ht="26.25" customHeight="1" x14ac:dyDescent="0.15">
      <c r="A110" s="8">
        <f t="shared" si="0"/>
        <v>108</v>
      </c>
      <c r="B110" s="36" t="s">
        <v>10554</v>
      </c>
      <c r="C110" s="71" t="s">
        <v>10583</v>
      </c>
      <c r="D110" s="26" t="s">
        <v>19</v>
      </c>
      <c r="E110" s="26" t="s">
        <v>19</v>
      </c>
      <c r="F110" s="29" t="s">
        <v>10594</v>
      </c>
      <c r="G110" s="53" t="s">
        <v>10595</v>
      </c>
      <c r="H110" s="1478" t="s">
        <v>448</v>
      </c>
      <c r="I110" s="1478" t="s">
        <v>448</v>
      </c>
      <c r="J110" s="1478" t="s">
        <v>448</v>
      </c>
      <c r="K110" s="1710" t="s">
        <v>3649</v>
      </c>
      <c r="L110" s="1710" t="s">
        <v>4750</v>
      </c>
      <c r="M110" s="1710" t="s">
        <v>10605</v>
      </c>
      <c r="N110" s="22" t="s">
        <v>1138</v>
      </c>
      <c r="O110" s="1710" t="s">
        <v>5431</v>
      </c>
      <c r="P110" s="1711" t="s">
        <v>111</v>
      </c>
      <c r="Q110" s="1710" t="s">
        <v>1131</v>
      </c>
      <c r="R110" s="54" t="s">
        <v>10611</v>
      </c>
      <c r="S110" s="164" t="s">
        <v>1880</v>
      </c>
      <c r="T110" s="1710" t="s">
        <v>2072</v>
      </c>
      <c r="U110" s="1710" t="s">
        <v>2072</v>
      </c>
      <c r="V110" s="24" t="s">
        <v>10508</v>
      </c>
      <c r="W110" s="90" t="s">
        <v>10612</v>
      </c>
      <c r="X110" s="24" t="s">
        <v>108</v>
      </c>
      <c r="Y110" s="10">
        <v>1</v>
      </c>
      <c r="Z110" s="24" t="s">
        <v>1880</v>
      </c>
      <c r="AA110" s="24" t="s">
        <v>1880</v>
      </c>
      <c r="AB110" s="95">
        <v>5.4</v>
      </c>
      <c r="AC110" s="30"/>
      <c r="AD110" s="95">
        <v>5.4</v>
      </c>
      <c r="AE110" s="59"/>
      <c r="AF110" s="59"/>
      <c r="AG110" s="35" t="s">
        <v>1104</v>
      </c>
      <c r="AH110" s="35" t="s">
        <v>10636</v>
      </c>
      <c r="AI110" s="35" t="s">
        <v>10644</v>
      </c>
      <c r="AJ110" s="202" t="s">
        <v>1103</v>
      </c>
      <c r="AK110" s="35" t="s">
        <v>1880</v>
      </c>
      <c r="AL110" s="1710"/>
    </row>
    <row r="111" spans="1:38" s="11" customFormat="1" ht="26.25" customHeight="1" x14ac:dyDescent="0.15">
      <c r="A111" s="8">
        <f t="shared" si="0"/>
        <v>109</v>
      </c>
      <c r="B111" s="36" t="s">
        <v>10555</v>
      </c>
      <c r="C111" s="71" t="s">
        <v>10584</v>
      </c>
      <c r="D111" s="26" t="s">
        <v>19</v>
      </c>
      <c r="E111" s="26" t="s">
        <v>19</v>
      </c>
      <c r="F111" s="29" t="s">
        <v>10594</v>
      </c>
      <c r="G111" s="53" t="s">
        <v>10595</v>
      </c>
      <c r="H111" s="1478" t="s">
        <v>448</v>
      </c>
      <c r="I111" s="1478" t="s">
        <v>448</v>
      </c>
      <c r="J111" s="1478" t="s">
        <v>448</v>
      </c>
      <c r="K111" s="1710" t="s">
        <v>3649</v>
      </c>
      <c r="L111" s="1710" t="s">
        <v>4750</v>
      </c>
      <c r="M111" s="1710" t="s">
        <v>7688</v>
      </c>
      <c r="N111" s="22" t="s">
        <v>1138</v>
      </c>
      <c r="O111" s="1710" t="s">
        <v>5431</v>
      </c>
      <c r="P111" s="1711" t="s">
        <v>111</v>
      </c>
      <c r="Q111" s="1710" t="s">
        <v>1131</v>
      </c>
      <c r="R111" s="54" t="s">
        <v>10611</v>
      </c>
      <c r="S111" s="164" t="s">
        <v>1880</v>
      </c>
      <c r="T111" s="1710" t="s">
        <v>2072</v>
      </c>
      <c r="U111" s="1710" t="s">
        <v>2072</v>
      </c>
      <c r="V111" s="24" t="s">
        <v>10508</v>
      </c>
      <c r="W111" s="90" t="s">
        <v>10612</v>
      </c>
      <c r="X111" s="24" t="s">
        <v>108</v>
      </c>
      <c r="Y111" s="10">
        <v>1</v>
      </c>
      <c r="Z111" s="24" t="s">
        <v>1880</v>
      </c>
      <c r="AA111" s="24" t="s">
        <v>1880</v>
      </c>
      <c r="AB111" s="95">
        <v>2.7</v>
      </c>
      <c r="AC111" s="30"/>
      <c r="AD111" s="95">
        <v>2.7</v>
      </c>
      <c r="AE111" s="59"/>
      <c r="AF111" s="59"/>
      <c r="AG111" s="35" t="s">
        <v>1104</v>
      </c>
      <c r="AH111" s="35" t="s">
        <v>10636</v>
      </c>
      <c r="AI111" s="35" t="s">
        <v>10644</v>
      </c>
      <c r="AJ111" s="202" t="s">
        <v>1103</v>
      </c>
      <c r="AK111" s="35" t="s">
        <v>1880</v>
      </c>
      <c r="AL111" s="1710"/>
    </row>
    <row r="112" spans="1:38" s="11" customFormat="1" ht="26.25" customHeight="1" x14ac:dyDescent="0.15">
      <c r="A112" s="8">
        <f t="shared" si="0"/>
        <v>110</v>
      </c>
      <c r="B112" s="36" t="s">
        <v>10556</v>
      </c>
      <c r="C112" s="71" t="s">
        <v>10585</v>
      </c>
      <c r="D112" s="26" t="s">
        <v>19</v>
      </c>
      <c r="E112" s="26" t="s">
        <v>19</v>
      </c>
      <c r="F112" s="29" t="s">
        <v>10594</v>
      </c>
      <c r="G112" s="53" t="s">
        <v>10595</v>
      </c>
      <c r="H112" s="1478" t="s">
        <v>448</v>
      </c>
      <c r="I112" s="1478" t="s">
        <v>448</v>
      </c>
      <c r="J112" s="1478" t="s">
        <v>448</v>
      </c>
      <c r="K112" s="1710" t="s">
        <v>3649</v>
      </c>
      <c r="L112" s="1710" t="s">
        <v>4750</v>
      </c>
      <c r="M112" s="1710" t="s">
        <v>7076</v>
      </c>
      <c r="N112" s="1710" t="s">
        <v>8055</v>
      </c>
      <c r="O112" s="1710" t="s">
        <v>5431</v>
      </c>
      <c r="P112" s="1711" t="s">
        <v>111</v>
      </c>
      <c r="Q112" s="1710" t="s">
        <v>1131</v>
      </c>
      <c r="R112" s="54" t="s">
        <v>10611</v>
      </c>
      <c r="S112" s="164" t="s">
        <v>1880</v>
      </c>
      <c r="T112" s="1710" t="s">
        <v>2072</v>
      </c>
      <c r="U112" s="1710" t="s">
        <v>2072</v>
      </c>
      <c r="V112" s="24" t="s">
        <v>10508</v>
      </c>
      <c r="W112" s="90" t="s">
        <v>10612</v>
      </c>
      <c r="X112" s="24" t="s">
        <v>108</v>
      </c>
      <c r="Y112" s="10">
        <v>1</v>
      </c>
      <c r="Z112" s="24" t="s">
        <v>1880</v>
      </c>
      <c r="AA112" s="24" t="s">
        <v>1880</v>
      </c>
      <c r="AB112" s="95">
        <v>2.7</v>
      </c>
      <c r="AC112" s="30"/>
      <c r="AD112" s="95">
        <v>2.7</v>
      </c>
      <c r="AE112" s="59"/>
      <c r="AF112" s="59"/>
      <c r="AG112" s="35" t="s">
        <v>1104</v>
      </c>
      <c r="AH112" s="35" t="s">
        <v>10636</v>
      </c>
      <c r="AI112" s="35" t="s">
        <v>10644</v>
      </c>
      <c r="AJ112" s="202" t="s">
        <v>1103</v>
      </c>
      <c r="AK112" s="35" t="s">
        <v>1880</v>
      </c>
      <c r="AL112" s="1710"/>
    </row>
    <row r="113" spans="1:38" s="11" customFormat="1" ht="26.25" customHeight="1" x14ac:dyDescent="0.15">
      <c r="A113" s="8">
        <f t="shared" si="0"/>
        <v>111</v>
      </c>
      <c r="B113" s="36" t="s">
        <v>10557</v>
      </c>
      <c r="C113" s="71" t="s">
        <v>10586</v>
      </c>
      <c r="D113" s="26" t="s">
        <v>19</v>
      </c>
      <c r="E113" s="26" t="s">
        <v>19</v>
      </c>
      <c r="F113" s="29" t="s">
        <v>10594</v>
      </c>
      <c r="G113" s="53" t="s">
        <v>10595</v>
      </c>
      <c r="H113" s="1478" t="s">
        <v>448</v>
      </c>
      <c r="I113" s="1478" t="s">
        <v>448</v>
      </c>
      <c r="J113" s="1478" t="s">
        <v>448</v>
      </c>
      <c r="K113" s="1710" t="s">
        <v>3649</v>
      </c>
      <c r="L113" s="1710" t="s">
        <v>4750</v>
      </c>
      <c r="M113" s="1710" t="s">
        <v>7820</v>
      </c>
      <c r="N113" s="22" t="s">
        <v>5188</v>
      </c>
      <c r="O113" s="1710" t="s">
        <v>5478</v>
      </c>
      <c r="P113" s="1711" t="s">
        <v>111</v>
      </c>
      <c r="Q113" s="1710" t="s">
        <v>4676</v>
      </c>
      <c r="R113" s="54" t="s">
        <v>10611</v>
      </c>
      <c r="S113" s="164" t="s">
        <v>1880</v>
      </c>
      <c r="T113" s="1710" t="s">
        <v>2072</v>
      </c>
      <c r="U113" s="1710" t="s">
        <v>2072</v>
      </c>
      <c r="V113" s="24" t="s">
        <v>10508</v>
      </c>
      <c r="W113" s="90" t="s">
        <v>10612</v>
      </c>
      <c r="X113" s="24" t="s">
        <v>108</v>
      </c>
      <c r="Y113" s="10">
        <v>1</v>
      </c>
      <c r="Z113" s="24" t="s">
        <v>1880</v>
      </c>
      <c r="AA113" s="24" t="s">
        <v>1880</v>
      </c>
      <c r="AB113" s="95">
        <v>2.7</v>
      </c>
      <c r="AC113" s="30"/>
      <c r="AD113" s="95">
        <v>2.7</v>
      </c>
      <c r="AE113" s="59"/>
      <c r="AF113" s="59"/>
      <c r="AG113" s="35" t="s">
        <v>1104</v>
      </c>
      <c r="AH113" s="35" t="s">
        <v>10636</v>
      </c>
      <c r="AI113" s="35" t="s">
        <v>10644</v>
      </c>
      <c r="AJ113" s="202" t="s">
        <v>1103</v>
      </c>
      <c r="AK113" s="35" t="s">
        <v>1880</v>
      </c>
      <c r="AL113" s="1710"/>
    </row>
    <row r="114" spans="1:38" s="11" customFormat="1" ht="26.25" customHeight="1" x14ac:dyDescent="0.15">
      <c r="A114" s="8">
        <f t="shared" si="0"/>
        <v>112</v>
      </c>
      <c r="B114" s="36" t="s">
        <v>10558</v>
      </c>
      <c r="C114" s="71" t="s">
        <v>10587</v>
      </c>
      <c r="D114" s="26" t="s">
        <v>19</v>
      </c>
      <c r="E114" s="26" t="s">
        <v>19</v>
      </c>
      <c r="F114" s="29" t="s">
        <v>10594</v>
      </c>
      <c r="G114" s="53" t="s">
        <v>10595</v>
      </c>
      <c r="H114" s="1478" t="s">
        <v>448</v>
      </c>
      <c r="I114" s="1478" t="s">
        <v>448</v>
      </c>
      <c r="J114" s="1478" t="s">
        <v>448</v>
      </c>
      <c r="K114" s="1710" t="s">
        <v>3649</v>
      </c>
      <c r="L114" s="1710" t="s">
        <v>4750</v>
      </c>
      <c r="M114" s="1710" t="s">
        <v>10606</v>
      </c>
      <c r="N114" s="2" t="s">
        <v>1011</v>
      </c>
      <c r="O114" s="1710" t="s">
        <v>5431</v>
      </c>
      <c r="P114" s="1711" t="s">
        <v>111</v>
      </c>
      <c r="Q114" s="1710" t="s">
        <v>1131</v>
      </c>
      <c r="R114" s="54" t="s">
        <v>10611</v>
      </c>
      <c r="S114" s="164" t="s">
        <v>1880</v>
      </c>
      <c r="T114" s="1710" t="s">
        <v>2072</v>
      </c>
      <c r="U114" s="1710" t="s">
        <v>2072</v>
      </c>
      <c r="V114" s="24" t="s">
        <v>10508</v>
      </c>
      <c r="W114" s="90" t="s">
        <v>10612</v>
      </c>
      <c r="X114" s="24" t="s">
        <v>108</v>
      </c>
      <c r="Y114" s="10">
        <v>1</v>
      </c>
      <c r="Z114" s="24" t="s">
        <v>1880</v>
      </c>
      <c r="AA114" s="24" t="s">
        <v>1880</v>
      </c>
      <c r="AB114" s="95">
        <v>2.7</v>
      </c>
      <c r="AC114" s="30"/>
      <c r="AD114" s="95">
        <v>2.7</v>
      </c>
      <c r="AE114" s="59"/>
      <c r="AF114" s="59"/>
      <c r="AG114" s="35" t="s">
        <v>1104</v>
      </c>
      <c r="AH114" s="35" t="s">
        <v>10636</v>
      </c>
      <c r="AI114" s="35" t="s">
        <v>10644</v>
      </c>
      <c r="AJ114" s="202" t="s">
        <v>1103</v>
      </c>
      <c r="AK114" s="35" t="s">
        <v>1880</v>
      </c>
      <c r="AL114" s="1710"/>
    </row>
    <row r="115" spans="1:38" s="11" customFormat="1" ht="26.25" customHeight="1" x14ac:dyDescent="0.15">
      <c r="A115" s="8">
        <f t="shared" si="0"/>
        <v>113</v>
      </c>
      <c r="B115" s="36" t="s">
        <v>10559</v>
      </c>
      <c r="C115" s="71" t="s">
        <v>10588</v>
      </c>
      <c r="D115" s="26" t="s">
        <v>19</v>
      </c>
      <c r="E115" s="26" t="s">
        <v>19</v>
      </c>
      <c r="F115" s="29" t="s">
        <v>10594</v>
      </c>
      <c r="G115" s="53" t="s">
        <v>10595</v>
      </c>
      <c r="H115" s="1478" t="s">
        <v>448</v>
      </c>
      <c r="I115" s="1478" t="s">
        <v>448</v>
      </c>
      <c r="J115" s="1478" t="s">
        <v>448</v>
      </c>
      <c r="K115" s="1710" t="s">
        <v>3649</v>
      </c>
      <c r="L115" s="1710" t="s">
        <v>4750</v>
      </c>
      <c r="M115" s="1710" t="s">
        <v>10607</v>
      </c>
      <c r="N115" s="22" t="s">
        <v>10830</v>
      </c>
      <c r="O115" s="1710" t="s">
        <v>5431</v>
      </c>
      <c r="P115" s="1711" t="s">
        <v>111</v>
      </c>
      <c r="Q115" s="1710" t="s">
        <v>1131</v>
      </c>
      <c r="R115" s="54" t="s">
        <v>10611</v>
      </c>
      <c r="S115" s="164" t="s">
        <v>1880</v>
      </c>
      <c r="T115" s="1710" t="s">
        <v>2072</v>
      </c>
      <c r="U115" s="1710" t="s">
        <v>2072</v>
      </c>
      <c r="V115" s="24" t="s">
        <v>10508</v>
      </c>
      <c r="W115" s="90" t="s">
        <v>10612</v>
      </c>
      <c r="X115" s="24" t="s">
        <v>108</v>
      </c>
      <c r="Y115" s="10">
        <v>1</v>
      </c>
      <c r="Z115" s="24" t="s">
        <v>1880</v>
      </c>
      <c r="AA115" s="24" t="s">
        <v>1880</v>
      </c>
      <c r="AB115" s="95">
        <v>2.7</v>
      </c>
      <c r="AC115" s="30"/>
      <c r="AD115" s="95">
        <v>2.7</v>
      </c>
      <c r="AE115" s="59"/>
      <c r="AF115" s="59"/>
      <c r="AG115" s="35" t="s">
        <v>1104</v>
      </c>
      <c r="AH115" s="35" t="s">
        <v>10636</v>
      </c>
      <c r="AI115" s="35" t="s">
        <v>10644</v>
      </c>
      <c r="AJ115" s="202" t="s">
        <v>1103</v>
      </c>
      <c r="AK115" s="35" t="s">
        <v>1880</v>
      </c>
      <c r="AL115" s="1710"/>
    </row>
    <row r="116" spans="1:38" s="11" customFormat="1" ht="26.25" customHeight="1" x14ac:dyDescent="0.15">
      <c r="A116" s="8">
        <f t="shared" si="0"/>
        <v>114</v>
      </c>
      <c r="B116" s="36" t="s">
        <v>10560</v>
      </c>
      <c r="C116" s="71" t="s">
        <v>10589</v>
      </c>
      <c r="D116" s="26" t="s">
        <v>19</v>
      </c>
      <c r="E116" s="26" t="s">
        <v>19</v>
      </c>
      <c r="F116" s="29" t="s">
        <v>10594</v>
      </c>
      <c r="G116" s="53" t="s">
        <v>10595</v>
      </c>
      <c r="H116" s="1478" t="s">
        <v>448</v>
      </c>
      <c r="I116" s="1478" t="s">
        <v>448</v>
      </c>
      <c r="J116" s="1478" t="s">
        <v>10634</v>
      </c>
      <c r="K116" s="1710" t="s">
        <v>3649</v>
      </c>
      <c r="L116" s="1710" t="s">
        <v>4750</v>
      </c>
      <c r="M116" s="1710" t="s">
        <v>9479</v>
      </c>
      <c r="N116" s="22" t="s">
        <v>10615</v>
      </c>
      <c r="O116" s="1710" t="s">
        <v>5478</v>
      </c>
      <c r="P116" s="1711" t="s">
        <v>111</v>
      </c>
      <c r="Q116" s="1710" t="s">
        <v>4676</v>
      </c>
      <c r="R116" s="54" t="s">
        <v>10611</v>
      </c>
      <c r="S116" s="164" t="s">
        <v>1880</v>
      </c>
      <c r="T116" s="1710" t="s">
        <v>2072</v>
      </c>
      <c r="U116" s="1710" t="s">
        <v>2072</v>
      </c>
      <c r="V116" s="24" t="s">
        <v>10508</v>
      </c>
      <c r="W116" s="90" t="s">
        <v>10612</v>
      </c>
      <c r="X116" s="24" t="s">
        <v>108</v>
      </c>
      <c r="Y116" s="10">
        <v>1</v>
      </c>
      <c r="Z116" s="24" t="s">
        <v>1880</v>
      </c>
      <c r="AA116" s="24" t="s">
        <v>1880</v>
      </c>
      <c r="AB116" s="95">
        <v>2.7</v>
      </c>
      <c r="AC116" s="30"/>
      <c r="AD116" s="95">
        <v>2.7</v>
      </c>
      <c r="AE116" s="59"/>
      <c r="AF116" s="59"/>
      <c r="AG116" s="35" t="s">
        <v>1104</v>
      </c>
      <c r="AH116" s="35" t="s">
        <v>10636</v>
      </c>
      <c r="AI116" s="35" t="s">
        <v>10644</v>
      </c>
      <c r="AJ116" s="202" t="s">
        <v>1103</v>
      </c>
      <c r="AK116" s="35" t="s">
        <v>1880</v>
      </c>
      <c r="AL116" s="1710"/>
    </row>
    <row r="117" spans="1:38" s="11" customFormat="1" ht="26.25" customHeight="1" x14ac:dyDescent="0.15">
      <c r="A117" s="8">
        <f t="shared" si="0"/>
        <v>115</v>
      </c>
      <c r="B117" s="36" t="s">
        <v>10561</v>
      </c>
      <c r="C117" s="71" t="s">
        <v>10590</v>
      </c>
      <c r="D117" s="26" t="s">
        <v>19</v>
      </c>
      <c r="E117" s="26" t="s">
        <v>19</v>
      </c>
      <c r="F117" s="29" t="s">
        <v>10594</v>
      </c>
      <c r="G117" s="53" t="s">
        <v>10595</v>
      </c>
      <c r="H117" s="1478" t="s">
        <v>448</v>
      </c>
      <c r="I117" s="1478" t="s">
        <v>448</v>
      </c>
      <c r="J117" s="1478" t="s">
        <v>10634</v>
      </c>
      <c r="K117" s="1710" t="s">
        <v>3649</v>
      </c>
      <c r="L117" s="1710" t="s">
        <v>4750</v>
      </c>
      <c r="M117" s="1710" t="s">
        <v>9181</v>
      </c>
      <c r="N117" s="22" t="s">
        <v>10616</v>
      </c>
      <c r="O117" s="1710" t="s">
        <v>5478</v>
      </c>
      <c r="P117" s="1711" t="s">
        <v>111</v>
      </c>
      <c r="Q117" s="1710" t="s">
        <v>4676</v>
      </c>
      <c r="R117" s="54" t="s">
        <v>10611</v>
      </c>
      <c r="S117" s="164" t="s">
        <v>1880</v>
      </c>
      <c r="T117" s="1710" t="s">
        <v>2072</v>
      </c>
      <c r="U117" s="1710" t="s">
        <v>2072</v>
      </c>
      <c r="V117" s="24" t="s">
        <v>10508</v>
      </c>
      <c r="W117" s="90" t="s">
        <v>10612</v>
      </c>
      <c r="X117" s="24" t="s">
        <v>108</v>
      </c>
      <c r="Y117" s="10">
        <v>1</v>
      </c>
      <c r="Z117" s="24" t="s">
        <v>1880</v>
      </c>
      <c r="AA117" s="24" t="s">
        <v>1880</v>
      </c>
      <c r="AB117" s="95">
        <v>2.7</v>
      </c>
      <c r="AC117" s="30"/>
      <c r="AD117" s="95">
        <v>2.7</v>
      </c>
      <c r="AE117" s="59"/>
      <c r="AF117" s="59"/>
      <c r="AG117" s="35" t="s">
        <v>1104</v>
      </c>
      <c r="AH117" s="35" t="s">
        <v>10636</v>
      </c>
      <c r="AI117" s="35" t="s">
        <v>10644</v>
      </c>
      <c r="AJ117" s="202" t="s">
        <v>1103</v>
      </c>
      <c r="AK117" s="35" t="s">
        <v>1880</v>
      </c>
      <c r="AL117" s="1710"/>
    </row>
    <row r="118" spans="1:38" s="11" customFormat="1" ht="26.25" customHeight="1" x14ac:dyDescent="0.15">
      <c r="A118" s="8">
        <f t="shared" si="0"/>
        <v>116</v>
      </c>
      <c r="B118" s="36" t="s">
        <v>10562</v>
      </c>
      <c r="C118" s="71" t="s">
        <v>10591</v>
      </c>
      <c r="D118" s="26" t="s">
        <v>19</v>
      </c>
      <c r="E118" s="26" t="s">
        <v>19</v>
      </c>
      <c r="F118" s="29" t="s">
        <v>10594</v>
      </c>
      <c r="G118" s="53" t="s">
        <v>10595</v>
      </c>
      <c r="H118" s="1478" t="s">
        <v>448</v>
      </c>
      <c r="I118" s="1478" t="s">
        <v>448</v>
      </c>
      <c r="J118" s="1478" t="s">
        <v>10635</v>
      </c>
      <c r="K118" s="1710" t="s">
        <v>3649</v>
      </c>
      <c r="L118" s="1710" t="s">
        <v>4750</v>
      </c>
      <c r="M118" s="1710" t="s">
        <v>9506</v>
      </c>
      <c r="N118" s="22" t="s">
        <v>10617</v>
      </c>
      <c r="O118" s="1710" t="s">
        <v>5478</v>
      </c>
      <c r="P118" s="1711" t="s">
        <v>111</v>
      </c>
      <c r="Q118" s="1710" t="s">
        <v>4676</v>
      </c>
      <c r="R118" s="54" t="s">
        <v>10611</v>
      </c>
      <c r="S118" s="164" t="s">
        <v>1880</v>
      </c>
      <c r="T118" s="1710" t="s">
        <v>2072</v>
      </c>
      <c r="U118" s="1710" t="s">
        <v>2072</v>
      </c>
      <c r="V118" s="24" t="s">
        <v>10508</v>
      </c>
      <c r="W118" s="90" t="s">
        <v>10612</v>
      </c>
      <c r="X118" s="24" t="s">
        <v>108</v>
      </c>
      <c r="Y118" s="10">
        <v>1</v>
      </c>
      <c r="Z118" s="24" t="s">
        <v>1880</v>
      </c>
      <c r="AA118" s="24" t="s">
        <v>1880</v>
      </c>
      <c r="AB118" s="95">
        <v>2.7</v>
      </c>
      <c r="AC118" s="30"/>
      <c r="AD118" s="95">
        <v>2.7</v>
      </c>
      <c r="AE118" s="59"/>
      <c r="AF118" s="59"/>
      <c r="AG118" s="35" t="s">
        <v>1104</v>
      </c>
      <c r="AH118" s="35" t="s">
        <v>10636</v>
      </c>
      <c r="AI118" s="35" t="s">
        <v>10644</v>
      </c>
      <c r="AJ118" s="202" t="s">
        <v>1103</v>
      </c>
      <c r="AK118" s="35" t="s">
        <v>1880</v>
      </c>
      <c r="AL118" s="1710"/>
    </row>
    <row r="119" spans="1:38" s="11" customFormat="1" ht="26.25" customHeight="1" x14ac:dyDescent="0.15">
      <c r="A119" s="8">
        <f t="shared" si="0"/>
        <v>117</v>
      </c>
      <c r="B119" s="36" t="s">
        <v>10563</v>
      </c>
      <c r="C119" s="71" t="s">
        <v>10592</v>
      </c>
      <c r="D119" s="26" t="s">
        <v>19</v>
      </c>
      <c r="E119" s="26" t="s">
        <v>19</v>
      </c>
      <c r="F119" s="29" t="s">
        <v>10594</v>
      </c>
      <c r="G119" s="53" t="s">
        <v>10595</v>
      </c>
      <c r="H119" s="1478" t="s">
        <v>448</v>
      </c>
      <c r="I119" s="1478" t="s">
        <v>448</v>
      </c>
      <c r="J119" s="1478" t="s">
        <v>448</v>
      </c>
      <c r="K119" s="1710" t="s">
        <v>3649</v>
      </c>
      <c r="L119" s="1710" t="s">
        <v>4750</v>
      </c>
      <c r="M119" s="1710" t="s">
        <v>10608</v>
      </c>
      <c r="N119" s="22" t="s">
        <v>1138</v>
      </c>
      <c r="O119" s="1710" t="s">
        <v>5431</v>
      </c>
      <c r="P119" s="1711" t="s">
        <v>111</v>
      </c>
      <c r="Q119" s="1710" t="s">
        <v>1131</v>
      </c>
      <c r="R119" s="54" t="s">
        <v>10611</v>
      </c>
      <c r="S119" s="164" t="s">
        <v>1880</v>
      </c>
      <c r="T119" s="1710" t="s">
        <v>2072</v>
      </c>
      <c r="U119" s="1710" t="s">
        <v>2072</v>
      </c>
      <c r="V119" s="24" t="s">
        <v>10508</v>
      </c>
      <c r="W119" s="90" t="s">
        <v>10612</v>
      </c>
      <c r="X119" s="24" t="s">
        <v>108</v>
      </c>
      <c r="Y119" s="10">
        <v>1</v>
      </c>
      <c r="Z119" s="24" t="s">
        <v>1880</v>
      </c>
      <c r="AA119" s="24" t="s">
        <v>1880</v>
      </c>
      <c r="AB119" s="95">
        <v>2.7</v>
      </c>
      <c r="AC119" s="30"/>
      <c r="AD119" s="95">
        <v>2.7</v>
      </c>
      <c r="AE119" s="59"/>
      <c r="AF119" s="59"/>
      <c r="AG119" s="35" t="s">
        <v>1104</v>
      </c>
      <c r="AH119" s="35" t="s">
        <v>10636</v>
      </c>
      <c r="AI119" s="35" t="s">
        <v>10644</v>
      </c>
      <c r="AJ119" s="202" t="s">
        <v>1103</v>
      </c>
      <c r="AK119" s="35" t="s">
        <v>1880</v>
      </c>
      <c r="AL119" s="1710"/>
    </row>
    <row r="120" spans="1:38" s="11" customFormat="1" ht="26.25" customHeight="1" x14ac:dyDescent="0.15">
      <c r="A120" s="8">
        <f t="shared" si="0"/>
        <v>118</v>
      </c>
      <c r="B120" s="36" t="s">
        <v>10564</v>
      </c>
      <c r="C120" s="71" t="s">
        <v>10593</v>
      </c>
      <c r="D120" s="26" t="s">
        <v>19</v>
      </c>
      <c r="E120" s="26" t="s">
        <v>19</v>
      </c>
      <c r="F120" s="29" t="s">
        <v>10594</v>
      </c>
      <c r="G120" s="53" t="s">
        <v>10595</v>
      </c>
      <c r="H120" s="1478" t="s">
        <v>448</v>
      </c>
      <c r="I120" s="1478" t="s">
        <v>448</v>
      </c>
      <c r="J120" s="1478" t="s">
        <v>448</v>
      </c>
      <c r="K120" s="1710" t="s">
        <v>3649</v>
      </c>
      <c r="L120" s="1710" t="s">
        <v>4750</v>
      </c>
      <c r="M120" s="1710" t="s">
        <v>10609</v>
      </c>
      <c r="N120" s="22" t="s">
        <v>1138</v>
      </c>
      <c r="O120" s="1710" t="s">
        <v>5478</v>
      </c>
      <c r="P120" s="1711" t="s">
        <v>111</v>
      </c>
      <c r="Q120" s="1710" t="s">
        <v>4676</v>
      </c>
      <c r="R120" s="54" t="s">
        <v>10611</v>
      </c>
      <c r="S120" s="164" t="s">
        <v>1880</v>
      </c>
      <c r="T120" s="1710" t="s">
        <v>2072</v>
      </c>
      <c r="U120" s="1710" t="s">
        <v>2072</v>
      </c>
      <c r="V120" s="24" t="s">
        <v>10508</v>
      </c>
      <c r="W120" s="90" t="s">
        <v>10612</v>
      </c>
      <c r="X120" s="24" t="s">
        <v>108</v>
      </c>
      <c r="Y120" s="10">
        <v>1</v>
      </c>
      <c r="Z120" s="24" t="s">
        <v>1880</v>
      </c>
      <c r="AA120" s="24" t="s">
        <v>1880</v>
      </c>
      <c r="AB120" s="95">
        <v>2.7</v>
      </c>
      <c r="AC120" s="30"/>
      <c r="AD120" s="95">
        <v>2.7</v>
      </c>
      <c r="AE120" s="59"/>
      <c r="AF120" s="59"/>
      <c r="AG120" s="35" t="s">
        <v>1104</v>
      </c>
      <c r="AH120" s="35" t="s">
        <v>10636</v>
      </c>
      <c r="AI120" s="35" t="s">
        <v>10644</v>
      </c>
      <c r="AJ120" s="202" t="s">
        <v>1103</v>
      </c>
      <c r="AK120" s="35" t="s">
        <v>1880</v>
      </c>
      <c r="AL120" s="1710"/>
    </row>
    <row r="121" spans="1:38" s="11" customFormat="1" ht="26.25" customHeight="1" x14ac:dyDescent="0.15">
      <c r="A121" s="8">
        <f t="shared" si="0"/>
        <v>119</v>
      </c>
      <c r="B121" s="36" t="s">
        <v>10515</v>
      </c>
      <c r="C121" s="26" t="s">
        <v>19</v>
      </c>
      <c r="D121" s="26" t="s">
        <v>10619</v>
      </c>
      <c r="E121" s="26" t="s">
        <v>19</v>
      </c>
      <c r="F121" s="29" t="s">
        <v>7912</v>
      </c>
      <c r="G121" s="99" t="s">
        <v>8749</v>
      </c>
      <c r="H121" s="1478" t="s">
        <v>448</v>
      </c>
      <c r="I121" s="1478" t="s">
        <v>448</v>
      </c>
      <c r="J121" s="1478" t="s">
        <v>448</v>
      </c>
      <c r="K121" s="1712" t="s">
        <v>1487</v>
      </c>
      <c r="L121" s="1712" t="s">
        <v>1416</v>
      </c>
      <c r="M121" s="1712" t="s">
        <v>10618</v>
      </c>
      <c r="N121" s="22" t="s">
        <v>1138</v>
      </c>
      <c r="O121" s="1713" t="s">
        <v>5431</v>
      </c>
      <c r="P121" s="1714" t="s">
        <v>111</v>
      </c>
      <c r="Q121" s="1713" t="s">
        <v>1131</v>
      </c>
      <c r="R121" s="54" t="s">
        <v>1796</v>
      </c>
      <c r="S121" s="164" t="s">
        <v>1880</v>
      </c>
      <c r="T121" s="1669" t="s">
        <v>3248</v>
      </c>
      <c r="U121" s="1669" t="s">
        <v>3248</v>
      </c>
      <c r="V121" s="24" t="s">
        <v>10516</v>
      </c>
      <c r="W121" s="90" t="s">
        <v>10516</v>
      </c>
      <c r="X121" s="24" t="s">
        <v>1880</v>
      </c>
      <c r="Y121" s="24" t="s">
        <v>1880</v>
      </c>
      <c r="Z121" s="24" t="s">
        <v>1880</v>
      </c>
      <c r="AA121" s="24" t="s">
        <v>1880</v>
      </c>
      <c r="AB121" s="30">
        <v>0.4</v>
      </c>
      <c r="AC121" s="30"/>
      <c r="AD121" s="30">
        <v>0.4</v>
      </c>
      <c r="AE121" s="59" t="s">
        <v>11107</v>
      </c>
      <c r="AF121" s="59"/>
      <c r="AG121" s="35" t="s">
        <v>1104</v>
      </c>
      <c r="AH121" s="35" t="s">
        <v>1448</v>
      </c>
      <c r="AI121" s="35" t="s">
        <v>19</v>
      </c>
      <c r="AJ121" s="202" t="s">
        <v>19</v>
      </c>
      <c r="AK121" s="35" t="s">
        <v>1880</v>
      </c>
      <c r="AL121" s="1669" t="s">
        <v>10517</v>
      </c>
    </row>
    <row r="122" spans="1:38" s="11" customFormat="1" ht="26.25" customHeight="1" x14ac:dyDescent="0.15">
      <c r="A122" s="8">
        <f t="shared" si="0"/>
        <v>120</v>
      </c>
      <c r="B122" s="36" t="s">
        <v>10518</v>
      </c>
      <c r="C122" s="71" t="s">
        <v>10623</v>
      </c>
      <c r="D122" s="26" t="s">
        <v>19</v>
      </c>
      <c r="E122" s="26" t="s">
        <v>19</v>
      </c>
      <c r="F122" s="29" t="s">
        <v>10620</v>
      </c>
      <c r="G122" s="53" t="s">
        <v>10621</v>
      </c>
      <c r="H122" s="1478" t="s">
        <v>448</v>
      </c>
      <c r="I122" s="1478" t="s">
        <v>448</v>
      </c>
      <c r="J122" s="1478" t="s">
        <v>448</v>
      </c>
      <c r="K122" s="1705" t="s">
        <v>1147</v>
      </c>
      <c r="L122" s="1705" t="s">
        <v>2054</v>
      </c>
      <c r="M122" s="1705" t="s">
        <v>10622</v>
      </c>
      <c r="N122" s="22" t="s">
        <v>1138</v>
      </c>
      <c r="O122" s="1715" t="s">
        <v>5431</v>
      </c>
      <c r="P122" s="1716" t="s">
        <v>111</v>
      </c>
      <c r="Q122" s="1715" t="s">
        <v>1131</v>
      </c>
      <c r="R122" s="54" t="s">
        <v>2224</v>
      </c>
      <c r="S122" s="164" t="s">
        <v>1880</v>
      </c>
      <c r="T122" s="1706" t="s">
        <v>1151</v>
      </c>
      <c r="U122" s="1706" t="s">
        <v>1151</v>
      </c>
      <c r="V122" s="24" t="s">
        <v>10519</v>
      </c>
      <c r="W122" s="90" t="s">
        <v>10535</v>
      </c>
      <c r="X122" s="24" t="s">
        <v>2359</v>
      </c>
      <c r="Y122" s="24">
        <v>2</v>
      </c>
      <c r="Z122" s="24" t="s">
        <v>1880</v>
      </c>
      <c r="AA122" s="24" t="s">
        <v>1880</v>
      </c>
      <c r="AB122" s="30">
        <v>5.5</v>
      </c>
      <c r="AC122" s="30"/>
      <c r="AD122" s="30">
        <v>5.5</v>
      </c>
      <c r="AE122" s="59"/>
      <c r="AF122" s="59"/>
      <c r="AG122" s="35" t="s">
        <v>1104</v>
      </c>
      <c r="AH122" s="35" t="s">
        <v>10637</v>
      </c>
      <c r="AI122" s="35" t="s">
        <v>19</v>
      </c>
      <c r="AJ122" s="202" t="s">
        <v>19</v>
      </c>
      <c r="AK122" s="35" t="s">
        <v>1880</v>
      </c>
      <c r="AL122" s="1706"/>
    </row>
    <row r="123" spans="1:38" s="11" customFormat="1" ht="26.25" customHeight="1" x14ac:dyDescent="0.15">
      <c r="A123" s="8">
        <f t="shared" si="0"/>
        <v>121</v>
      </c>
      <c r="B123" s="36" t="s">
        <v>10520</v>
      </c>
      <c r="C123" s="71" t="s">
        <v>10521</v>
      </c>
      <c r="D123" s="26" t="s">
        <v>19</v>
      </c>
      <c r="E123" s="36" t="s">
        <v>10633</v>
      </c>
      <c r="F123" s="29" t="s">
        <v>4311</v>
      </c>
      <c r="G123" s="53" t="s">
        <v>7480</v>
      </c>
      <c r="H123" s="1478" t="s">
        <v>448</v>
      </c>
      <c r="I123" s="1478" t="s">
        <v>448</v>
      </c>
      <c r="J123" s="26" t="s">
        <v>10523</v>
      </c>
      <c r="K123" s="1707" t="s">
        <v>3649</v>
      </c>
      <c r="L123" s="1707" t="s">
        <v>4750</v>
      </c>
      <c r="M123" s="1707" t="s">
        <v>10522</v>
      </c>
      <c r="N123" s="22" t="s">
        <v>11535</v>
      </c>
      <c r="O123" s="1708" t="s">
        <v>1826</v>
      </c>
      <c r="P123" s="1708" t="s">
        <v>111</v>
      </c>
      <c r="Q123" s="1707" t="s">
        <v>1131</v>
      </c>
      <c r="R123" s="54" t="s">
        <v>9637</v>
      </c>
      <c r="S123" s="164" t="s">
        <v>1880</v>
      </c>
      <c r="T123" s="1707" t="s">
        <v>2072</v>
      </c>
      <c r="U123" s="1707" t="s">
        <v>2072</v>
      </c>
      <c r="V123" s="24" t="s">
        <v>9325</v>
      </c>
      <c r="W123" s="90" t="s">
        <v>10524</v>
      </c>
      <c r="X123" s="24" t="s">
        <v>108</v>
      </c>
      <c r="Y123" s="10">
        <v>1</v>
      </c>
      <c r="Z123" s="24" t="s">
        <v>10166</v>
      </c>
      <c r="AA123" s="24" t="s">
        <v>1880</v>
      </c>
      <c r="AB123" s="136">
        <v>95.970000999999996</v>
      </c>
      <c r="AC123" s="30"/>
      <c r="AD123" s="136">
        <v>95.970000999999996</v>
      </c>
      <c r="AE123" s="59"/>
      <c r="AF123" s="59"/>
      <c r="AG123" s="35" t="s">
        <v>1104</v>
      </c>
      <c r="AH123" s="35" t="s">
        <v>10637</v>
      </c>
      <c r="AI123" s="35" t="s">
        <v>19</v>
      </c>
      <c r="AJ123" s="202" t="s">
        <v>9325</v>
      </c>
      <c r="AK123" s="35" t="s">
        <v>1880</v>
      </c>
      <c r="AL123" s="1707"/>
    </row>
    <row r="124" spans="1:38" s="11" customFormat="1" ht="26.25" customHeight="1" x14ac:dyDescent="0.15">
      <c r="A124" s="8">
        <f t="shared" si="0"/>
        <v>122</v>
      </c>
      <c r="B124" s="36" t="s">
        <v>10525</v>
      </c>
      <c r="C124" s="71" t="s">
        <v>10624</v>
      </c>
      <c r="D124" s="26" t="s">
        <v>19</v>
      </c>
      <c r="E124" s="26" t="s">
        <v>19</v>
      </c>
      <c r="F124" s="29" t="s">
        <v>3647</v>
      </c>
      <c r="G124" s="53" t="s">
        <v>10627</v>
      </c>
      <c r="H124" s="1478" t="s">
        <v>448</v>
      </c>
      <c r="I124" s="1478" t="s">
        <v>448</v>
      </c>
      <c r="J124" s="1478" t="s">
        <v>448</v>
      </c>
      <c r="K124" s="1715" t="s">
        <v>3649</v>
      </c>
      <c r="L124" s="1715" t="s">
        <v>1124</v>
      </c>
      <c r="M124" s="1715" t="s">
        <v>3650</v>
      </c>
      <c r="N124" s="22" t="s">
        <v>3651</v>
      </c>
      <c r="O124" s="1716" t="s">
        <v>1826</v>
      </c>
      <c r="P124" s="1716" t="s">
        <v>111</v>
      </c>
      <c r="Q124" s="1715" t="s">
        <v>1131</v>
      </c>
      <c r="R124" s="54" t="s">
        <v>10626</v>
      </c>
      <c r="S124" s="164" t="s">
        <v>1880</v>
      </c>
      <c r="T124" s="1709" t="s">
        <v>2072</v>
      </c>
      <c r="U124" s="1709" t="s">
        <v>2072</v>
      </c>
      <c r="V124" s="24" t="s">
        <v>9325</v>
      </c>
      <c r="W124" s="90" t="s">
        <v>10628</v>
      </c>
      <c r="X124" s="24" t="s">
        <v>2359</v>
      </c>
      <c r="Y124" s="24">
        <v>1</v>
      </c>
      <c r="Z124" s="24" t="s">
        <v>1880</v>
      </c>
      <c r="AA124" s="24" t="s">
        <v>1880</v>
      </c>
      <c r="AB124" s="30">
        <v>32.039000000000001</v>
      </c>
      <c r="AC124" s="30"/>
      <c r="AD124" s="30">
        <v>32.039000000000001</v>
      </c>
      <c r="AE124" s="59"/>
      <c r="AF124" s="59"/>
      <c r="AG124" s="35" t="s">
        <v>1104</v>
      </c>
      <c r="AH124" s="1717" t="s">
        <v>10629</v>
      </c>
      <c r="AI124" s="1717" t="s">
        <v>10630</v>
      </c>
      <c r="AJ124" s="202" t="s">
        <v>19</v>
      </c>
      <c r="AK124" s="35" t="s">
        <v>1880</v>
      </c>
      <c r="AL124" s="1709"/>
    </row>
    <row r="125" spans="1:38" s="11" customFormat="1" ht="26.25" customHeight="1" x14ac:dyDescent="0.15">
      <c r="A125" s="8">
        <f t="shared" si="0"/>
        <v>123</v>
      </c>
      <c r="B125" s="36" t="s">
        <v>10526</v>
      </c>
      <c r="C125" s="71" t="s">
        <v>10625</v>
      </c>
      <c r="D125" s="26" t="s">
        <v>19</v>
      </c>
      <c r="E125" s="26" t="s">
        <v>19</v>
      </c>
      <c r="F125" s="29" t="s">
        <v>10631</v>
      </c>
      <c r="G125" s="53" t="s">
        <v>10632</v>
      </c>
      <c r="H125" s="1478" t="s">
        <v>448</v>
      </c>
      <c r="I125" s="1478" t="s">
        <v>448</v>
      </c>
      <c r="J125" s="1478" t="s">
        <v>448</v>
      </c>
      <c r="K125" s="1715" t="s">
        <v>3649</v>
      </c>
      <c r="L125" s="1715" t="s">
        <v>1124</v>
      </c>
      <c r="M125" s="1715" t="s">
        <v>4779</v>
      </c>
      <c r="N125" s="22" t="s">
        <v>10189</v>
      </c>
      <c r="O125" s="1716" t="s">
        <v>1826</v>
      </c>
      <c r="P125" s="1716" t="s">
        <v>111</v>
      </c>
      <c r="Q125" s="1715" t="s">
        <v>1131</v>
      </c>
      <c r="R125" s="54" t="s">
        <v>1744</v>
      </c>
      <c r="S125" s="164" t="s">
        <v>1880</v>
      </c>
      <c r="T125" s="1709" t="s">
        <v>2072</v>
      </c>
      <c r="U125" s="1709" t="s">
        <v>2072</v>
      </c>
      <c r="V125" s="24" t="s">
        <v>9325</v>
      </c>
      <c r="W125" s="90" t="s">
        <v>10628</v>
      </c>
      <c r="X125" s="24" t="s">
        <v>2359</v>
      </c>
      <c r="Y125" s="24">
        <v>1</v>
      </c>
      <c r="Z125" s="24" t="s">
        <v>1880</v>
      </c>
      <c r="AA125" s="24" t="s">
        <v>1880</v>
      </c>
      <c r="AB125" s="30">
        <v>19.158000000000001</v>
      </c>
      <c r="AC125" s="30"/>
      <c r="AD125" s="30">
        <v>19.158000000000001</v>
      </c>
      <c r="AE125" s="59"/>
      <c r="AF125" s="59"/>
      <c r="AG125" s="35" t="s">
        <v>1104</v>
      </c>
      <c r="AH125" s="1717" t="s">
        <v>10629</v>
      </c>
      <c r="AI125" s="1717" t="s">
        <v>10630</v>
      </c>
      <c r="AJ125" s="202" t="s">
        <v>19</v>
      </c>
      <c r="AK125" s="35" t="s">
        <v>1880</v>
      </c>
      <c r="AL125" s="1709"/>
    </row>
    <row r="126" spans="1:38" s="11" customFormat="1" ht="26.25" customHeight="1" x14ac:dyDescent="0.15">
      <c r="A126" s="8">
        <f t="shared" si="0"/>
        <v>124</v>
      </c>
      <c r="B126" s="36" t="s">
        <v>10647</v>
      </c>
      <c r="C126" s="26" t="s">
        <v>19</v>
      </c>
      <c r="D126" s="26" t="s">
        <v>10650</v>
      </c>
      <c r="E126" s="26" t="s">
        <v>19</v>
      </c>
      <c r="F126" s="29" t="s">
        <v>4711</v>
      </c>
      <c r="G126" s="53" t="s">
        <v>10648</v>
      </c>
      <c r="H126" s="1478" t="s">
        <v>448</v>
      </c>
      <c r="I126" s="1478" t="s">
        <v>448</v>
      </c>
      <c r="J126" s="1478" t="s">
        <v>448</v>
      </c>
      <c r="K126" s="1718" t="s">
        <v>4712</v>
      </c>
      <c r="L126" s="1718" t="s">
        <v>4728</v>
      </c>
      <c r="M126" s="1718" t="s">
        <v>5458</v>
      </c>
      <c r="N126" s="22" t="s">
        <v>4780</v>
      </c>
      <c r="O126" s="22" t="s">
        <v>5431</v>
      </c>
      <c r="P126" s="1719" t="s">
        <v>4713</v>
      </c>
      <c r="Q126" s="28" t="s">
        <v>25</v>
      </c>
      <c r="R126" s="54" t="s">
        <v>10649</v>
      </c>
      <c r="S126" s="164" t="s">
        <v>1880</v>
      </c>
      <c r="T126" s="1707" t="s">
        <v>1151</v>
      </c>
      <c r="U126" s="1718" t="s">
        <v>1151</v>
      </c>
      <c r="V126" s="24" t="s">
        <v>10651</v>
      </c>
      <c r="W126" s="90" t="s">
        <v>10652</v>
      </c>
      <c r="X126" s="24" t="s">
        <v>108</v>
      </c>
      <c r="Y126" s="10">
        <v>1</v>
      </c>
      <c r="Z126" s="24" t="s">
        <v>1880</v>
      </c>
      <c r="AA126" s="24" t="s">
        <v>1880</v>
      </c>
      <c r="AB126" s="30">
        <v>4.4800000000000004</v>
      </c>
      <c r="AC126" s="30"/>
      <c r="AD126" s="30">
        <v>4.4800000000000004</v>
      </c>
      <c r="AE126" s="59"/>
      <c r="AF126" s="59"/>
      <c r="AG126" s="35" t="s">
        <v>1104</v>
      </c>
      <c r="AH126" s="1718" t="s">
        <v>10629</v>
      </c>
      <c r="AI126" s="35" t="s">
        <v>10653</v>
      </c>
      <c r="AJ126" s="202" t="s">
        <v>19</v>
      </c>
      <c r="AK126" s="35" t="s">
        <v>1880</v>
      </c>
      <c r="AL126" s="1707"/>
    </row>
    <row r="127" spans="1:38" s="11" customFormat="1" ht="26.25" customHeight="1" x14ac:dyDescent="0.15">
      <c r="A127" s="8">
        <f t="shared" si="0"/>
        <v>125</v>
      </c>
      <c r="B127" s="36" t="s">
        <v>10654</v>
      </c>
      <c r="C127" s="26" t="s">
        <v>19</v>
      </c>
      <c r="D127" s="26" t="s">
        <v>19</v>
      </c>
      <c r="E127" s="26" t="s">
        <v>19</v>
      </c>
      <c r="F127" s="29" t="s">
        <v>10658</v>
      </c>
      <c r="G127" s="53" t="s">
        <v>10659</v>
      </c>
      <c r="H127" s="1478" t="s">
        <v>448</v>
      </c>
      <c r="I127" s="1478" t="s">
        <v>448</v>
      </c>
      <c r="J127" s="1478" t="s">
        <v>448</v>
      </c>
      <c r="K127" s="1720" t="s">
        <v>1147</v>
      </c>
      <c r="L127" s="1720" t="s">
        <v>2437</v>
      </c>
      <c r="M127" s="1720" t="s">
        <v>10660</v>
      </c>
      <c r="N127" s="22" t="s">
        <v>4780</v>
      </c>
      <c r="O127" s="22" t="s">
        <v>5431</v>
      </c>
      <c r="P127" s="1726" t="s">
        <v>111</v>
      </c>
      <c r="Q127" s="1721" t="s">
        <v>1150</v>
      </c>
      <c r="R127" s="54" t="s">
        <v>10661</v>
      </c>
      <c r="S127" s="164" t="s">
        <v>1880</v>
      </c>
      <c r="T127" s="1721" t="s">
        <v>1152</v>
      </c>
      <c r="U127" s="1725" t="s">
        <v>1152</v>
      </c>
      <c r="V127" s="24" t="s">
        <v>10656</v>
      </c>
      <c r="W127" s="90" t="s">
        <v>10662</v>
      </c>
      <c r="X127" s="24" t="s">
        <v>2359</v>
      </c>
      <c r="Y127" s="24">
        <v>1</v>
      </c>
      <c r="Z127" s="24" t="s">
        <v>1880</v>
      </c>
      <c r="AA127" s="24" t="s">
        <v>1880</v>
      </c>
      <c r="AB127" s="30">
        <v>2</v>
      </c>
      <c r="AC127" s="30"/>
      <c r="AD127" s="30">
        <v>2</v>
      </c>
      <c r="AE127" s="59"/>
      <c r="AF127" s="59"/>
      <c r="AG127" s="35" t="s">
        <v>1104</v>
      </c>
      <c r="AH127" s="1725" t="s">
        <v>10629</v>
      </c>
      <c r="AI127" s="35" t="s">
        <v>10653</v>
      </c>
      <c r="AJ127" s="202" t="s">
        <v>19</v>
      </c>
      <c r="AK127" s="35" t="s">
        <v>1880</v>
      </c>
      <c r="AL127" s="1721"/>
    </row>
    <row r="128" spans="1:38" s="11" customFormat="1" ht="26.25" customHeight="1" x14ac:dyDescent="0.15">
      <c r="A128" s="8">
        <f t="shared" si="0"/>
        <v>126</v>
      </c>
      <c r="B128" s="36" t="s">
        <v>10655</v>
      </c>
      <c r="C128" s="26" t="s">
        <v>19</v>
      </c>
      <c r="D128" s="26" t="s">
        <v>19</v>
      </c>
      <c r="E128" s="26" t="s">
        <v>19</v>
      </c>
      <c r="F128" s="29" t="s">
        <v>5121</v>
      </c>
      <c r="G128" s="53" t="s">
        <v>10663</v>
      </c>
      <c r="H128" s="1478" t="s">
        <v>448</v>
      </c>
      <c r="I128" s="1478" t="s">
        <v>448</v>
      </c>
      <c r="J128" s="1478" t="s">
        <v>448</v>
      </c>
      <c r="K128" s="1720" t="s">
        <v>1147</v>
      </c>
      <c r="L128" s="1720" t="s">
        <v>5122</v>
      </c>
      <c r="M128" s="1720" t="s">
        <v>10664</v>
      </c>
      <c r="N128" s="22" t="s">
        <v>10665</v>
      </c>
      <c r="O128" s="22" t="s">
        <v>5431</v>
      </c>
      <c r="P128" s="1726" t="s">
        <v>111</v>
      </c>
      <c r="Q128" s="1725" t="s">
        <v>1150</v>
      </c>
      <c r="R128" s="54" t="s">
        <v>10661</v>
      </c>
      <c r="S128" s="164" t="s">
        <v>1880</v>
      </c>
      <c r="T128" s="1721" t="s">
        <v>1152</v>
      </c>
      <c r="U128" s="1725" t="s">
        <v>1152</v>
      </c>
      <c r="V128" s="24" t="s">
        <v>10670</v>
      </c>
      <c r="W128" s="90" t="s">
        <v>10666</v>
      </c>
      <c r="X128" s="24" t="s">
        <v>2359</v>
      </c>
      <c r="Y128" s="24">
        <v>1</v>
      </c>
      <c r="Z128" s="24" t="s">
        <v>1880</v>
      </c>
      <c r="AA128" s="24" t="s">
        <v>1880</v>
      </c>
      <c r="AB128" s="30">
        <v>4</v>
      </c>
      <c r="AC128" s="30"/>
      <c r="AD128" s="30">
        <v>4</v>
      </c>
      <c r="AE128" s="59"/>
      <c r="AF128" s="59"/>
      <c r="AG128" s="35" t="s">
        <v>1104</v>
      </c>
      <c r="AH128" s="1725" t="s">
        <v>10629</v>
      </c>
      <c r="AI128" s="35" t="s">
        <v>10653</v>
      </c>
      <c r="AJ128" s="202" t="s">
        <v>19</v>
      </c>
      <c r="AK128" s="35" t="s">
        <v>1880</v>
      </c>
      <c r="AL128" s="1721"/>
    </row>
    <row r="129" spans="1:38" s="11" customFormat="1" ht="26.25" customHeight="1" x14ac:dyDescent="0.15">
      <c r="A129" s="8">
        <f t="shared" si="0"/>
        <v>127</v>
      </c>
      <c r="B129" s="36" t="s">
        <v>10657</v>
      </c>
      <c r="C129" s="26" t="s">
        <v>19</v>
      </c>
      <c r="D129" s="26" t="s">
        <v>19</v>
      </c>
      <c r="E129" s="26" t="s">
        <v>19</v>
      </c>
      <c r="F129" s="29" t="s">
        <v>10667</v>
      </c>
      <c r="G129" s="53" t="s">
        <v>5092</v>
      </c>
      <c r="H129" s="1478" t="s">
        <v>448</v>
      </c>
      <c r="I129" s="1478" t="s">
        <v>448</v>
      </c>
      <c r="J129" s="1478" t="s">
        <v>448</v>
      </c>
      <c r="K129" s="1724" t="s">
        <v>1147</v>
      </c>
      <c r="L129" s="1724" t="s">
        <v>5122</v>
      </c>
      <c r="M129" s="1722" t="s">
        <v>10668</v>
      </c>
      <c r="N129" s="22" t="s">
        <v>10669</v>
      </c>
      <c r="O129" s="22" t="s">
        <v>5431</v>
      </c>
      <c r="P129" s="1726" t="s">
        <v>111</v>
      </c>
      <c r="Q129" s="1725" t="s">
        <v>1150</v>
      </c>
      <c r="R129" s="54" t="s">
        <v>10661</v>
      </c>
      <c r="S129" s="164" t="s">
        <v>1880</v>
      </c>
      <c r="T129" s="1723" t="s">
        <v>1152</v>
      </c>
      <c r="U129" s="1725" t="s">
        <v>1152</v>
      </c>
      <c r="V129" s="24" t="s">
        <v>10670</v>
      </c>
      <c r="W129" s="90" t="s">
        <v>10662</v>
      </c>
      <c r="X129" s="24" t="s">
        <v>2359</v>
      </c>
      <c r="Y129" s="24">
        <v>1</v>
      </c>
      <c r="Z129" s="24" t="s">
        <v>1880</v>
      </c>
      <c r="AA129" s="24" t="s">
        <v>1880</v>
      </c>
      <c r="AB129" s="30">
        <v>2</v>
      </c>
      <c r="AC129" s="30"/>
      <c r="AD129" s="30">
        <v>2</v>
      </c>
      <c r="AE129" s="59"/>
      <c r="AF129" s="59"/>
      <c r="AG129" s="35" t="s">
        <v>1104</v>
      </c>
      <c r="AH129" s="1725" t="s">
        <v>10629</v>
      </c>
      <c r="AI129" s="35" t="s">
        <v>10653</v>
      </c>
      <c r="AJ129" s="202" t="s">
        <v>19</v>
      </c>
      <c r="AK129" s="35" t="s">
        <v>1880</v>
      </c>
      <c r="AL129" s="1723"/>
    </row>
    <row r="130" spans="1:38" s="11" customFormat="1" ht="26.25" customHeight="1" x14ac:dyDescent="0.15">
      <c r="A130" s="8">
        <f t="shared" si="0"/>
        <v>128</v>
      </c>
      <c r="B130" s="36" t="s">
        <v>10671</v>
      </c>
      <c r="C130" s="26" t="s">
        <v>19</v>
      </c>
      <c r="D130" s="26" t="s">
        <v>10673</v>
      </c>
      <c r="E130" s="26" t="s">
        <v>19</v>
      </c>
      <c r="F130" s="29" t="s">
        <v>10674</v>
      </c>
      <c r="G130" s="53" t="s">
        <v>7480</v>
      </c>
      <c r="H130" s="1478" t="s">
        <v>448</v>
      </c>
      <c r="I130" s="1478" t="s">
        <v>448</v>
      </c>
      <c r="J130" s="1478" t="s">
        <v>448</v>
      </c>
      <c r="K130" s="1728" t="s">
        <v>94</v>
      </c>
      <c r="L130" s="1729" t="s">
        <v>9065</v>
      </c>
      <c r="M130" s="1728" t="s">
        <v>7097</v>
      </c>
      <c r="N130" s="22" t="s">
        <v>9033</v>
      </c>
      <c r="O130" s="1730" t="s">
        <v>5478</v>
      </c>
      <c r="P130" s="1730" t="s">
        <v>111</v>
      </c>
      <c r="Q130" s="1729" t="s">
        <v>1150</v>
      </c>
      <c r="R130" s="54" t="s">
        <v>3192</v>
      </c>
      <c r="S130" s="164" t="s">
        <v>1880</v>
      </c>
      <c r="T130" s="1727" t="s">
        <v>1152</v>
      </c>
      <c r="U130" s="1729" t="s">
        <v>1152</v>
      </c>
      <c r="V130" s="24" t="s">
        <v>10672</v>
      </c>
      <c r="W130" s="90" t="s">
        <v>10675</v>
      </c>
      <c r="X130" s="24" t="s">
        <v>2359</v>
      </c>
      <c r="Y130" s="24">
        <v>1</v>
      </c>
      <c r="Z130" s="24" t="s">
        <v>1880</v>
      </c>
      <c r="AA130" s="24" t="s">
        <v>1880</v>
      </c>
      <c r="AB130" s="30">
        <v>5</v>
      </c>
      <c r="AC130" s="30"/>
      <c r="AD130" s="30">
        <v>5</v>
      </c>
      <c r="AE130" s="59"/>
      <c r="AF130" s="59"/>
      <c r="AG130" s="35" t="s">
        <v>1104</v>
      </c>
      <c r="AH130" s="1727" t="s">
        <v>10629</v>
      </c>
      <c r="AI130" s="35" t="s">
        <v>10653</v>
      </c>
      <c r="AJ130" s="202" t="s">
        <v>19</v>
      </c>
      <c r="AK130" s="35" t="s">
        <v>1880</v>
      </c>
      <c r="AL130" s="1727"/>
    </row>
    <row r="131" spans="1:38" s="11" customFormat="1" ht="26.25" customHeight="1" x14ac:dyDescent="0.15">
      <c r="A131" s="8">
        <f t="shared" si="0"/>
        <v>129</v>
      </c>
      <c r="B131" s="36" t="s">
        <v>10680</v>
      </c>
      <c r="C131" s="71" t="s">
        <v>10676</v>
      </c>
      <c r="D131" s="26" t="s">
        <v>19</v>
      </c>
      <c r="E131" s="26" t="s">
        <v>19</v>
      </c>
      <c r="F131" s="29" t="s">
        <v>10304</v>
      </c>
      <c r="G131" s="53" t="s">
        <v>10683</v>
      </c>
      <c r="H131" s="1478" t="s">
        <v>448</v>
      </c>
      <c r="I131" s="1478" t="s">
        <v>448</v>
      </c>
      <c r="J131" s="1478" t="s">
        <v>448</v>
      </c>
      <c r="K131" s="1733" t="s">
        <v>4712</v>
      </c>
      <c r="L131" s="1733" t="s">
        <v>1124</v>
      </c>
      <c r="M131" s="1733" t="s">
        <v>10684</v>
      </c>
      <c r="N131" s="22" t="s">
        <v>4780</v>
      </c>
      <c r="O131" s="1734" t="s">
        <v>5478</v>
      </c>
      <c r="P131" s="1734" t="s">
        <v>111</v>
      </c>
      <c r="Q131" s="1733" t="s">
        <v>4676</v>
      </c>
      <c r="R131" s="54" t="s">
        <v>7343</v>
      </c>
      <c r="S131" s="164" t="s">
        <v>1880</v>
      </c>
      <c r="T131" s="1732" t="s">
        <v>3248</v>
      </c>
      <c r="U131" s="1732" t="s">
        <v>3248</v>
      </c>
      <c r="V131" s="24" t="s">
        <v>10678</v>
      </c>
      <c r="W131" s="90" t="s">
        <v>10686</v>
      </c>
      <c r="X131" s="24" t="s">
        <v>2359</v>
      </c>
      <c r="Y131" s="24">
        <v>1</v>
      </c>
      <c r="Z131" s="24" t="s">
        <v>2512</v>
      </c>
      <c r="AA131" s="24" t="s">
        <v>1880</v>
      </c>
      <c r="AB131" s="30">
        <v>7.4901999999999997</v>
      </c>
      <c r="AC131" s="30"/>
      <c r="AD131" s="30">
        <v>7.4901999999999997</v>
      </c>
      <c r="AE131" s="59"/>
      <c r="AF131" s="59"/>
      <c r="AG131" s="35" t="s">
        <v>1104</v>
      </c>
      <c r="AH131" s="35" t="s">
        <v>10637</v>
      </c>
      <c r="AI131" s="35" t="s">
        <v>19</v>
      </c>
      <c r="AJ131" s="202" t="s">
        <v>19</v>
      </c>
      <c r="AK131" s="35" t="s">
        <v>1880</v>
      </c>
      <c r="AL131" s="1732"/>
    </row>
    <row r="132" spans="1:38" s="11" customFormat="1" ht="26.25" customHeight="1" x14ac:dyDescent="0.15">
      <c r="A132" s="8">
        <f t="shared" si="0"/>
        <v>130</v>
      </c>
      <c r="B132" s="36" t="s">
        <v>10681</v>
      </c>
      <c r="C132" s="71" t="s">
        <v>10677</v>
      </c>
      <c r="D132" s="26" t="s">
        <v>19</v>
      </c>
      <c r="E132" s="26" t="s">
        <v>19</v>
      </c>
      <c r="F132" s="29" t="s">
        <v>10304</v>
      </c>
      <c r="G132" s="53" t="s">
        <v>10683</v>
      </c>
      <c r="H132" s="1478" t="s">
        <v>448</v>
      </c>
      <c r="I132" s="1478" t="s">
        <v>448</v>
      </c>
      <c r="J132" s="1478" t="s">
        <v>448</v>
      </c>
      <c r="K132" s="1733" t="s">
        <v>4712</v>
      </c>
      <c r="L132" s="1733" t="s">
        <v>4692</v>
      </c>
      <c r="M132" s="1733" t="s">
        <v>10685</v>
      </c>
      <c r="N132" s="22" t="s">
        <v>4780</v>
      </c>
      <c r="O132" s="1734" t="s">
        <v>5478</v>
      </c>
      <c r="P132" s="1734" t="s">
        <v>111</v>
      </c>
      <c r="Q132" s="1733" t="s">
        <v>4676</v>
      </c>
      <c r="R132" s="54" t="s">
        <v>7343</v>
      </c>
      <c r="S132" s="164" t="s">
        <v>1880</v>
      </c>
      <c r="T132" s="1732" t="s">
        <v>3248</v>
      </c>
      <c r="U132" s="1732" t="s">
        <v>3248</v>
      </c>
      <c r="V132" s="24" t="s">
        <v>10679</v>
      </c>
      <c r="W132" s="90" t="s">
        <v>10686</v>
      </c>
      <c r="X132" s="24" t="s">
        <v>2359</v>
      </c>
      <c r="Y132" s="24">
        <v>1</v>
      </c>
      <c r="Z132" s="24" t="s">
        <v>2512</v>
      </c>
      <c r="AA132" s="24" t="s">
        <v>1880</v>
      </c>
      <c r="AB132" s="30">
        <v>7.4901999999999997</v>
      </c>
      <c r="AC132" s="30"/>
      <c r="AD132" s="30">
        <v>7.4901999999999997</v>
      </c>
      <c r="AE132" s="59"/>
      <c r="AF132" s="59"/>
      <c r="AG132" s="35" t="s">
        <v>1104</v>
      </c>
      <c r="AH132" s="35" t="s">
        <v>10637</v>
      </c>
      <c r="AI132" s="35" t="s">
        <v>19</v>
      </c>
      <c r="AJ132" s="202" t="s">
        <v>19</v>
      </c>
      <c r="AK132" s="35" t="s">
        <v>1880</v>
      </c>
      <c r="AL132" s="1732"/>
    </row>
    <row r="133" spans="1:38" s="11" customFormat="1" ht="26.25" customHeight="1" x14ac:dyDescent="0.15">
      <c r="A133" s="8">
        <f t="shared" si="0"/>
        <v>131</v>
      </c>
      <c r="B133" s="36" t="s">
        <v>10682</v>
      </c>
      <c r="C133" s="26" t="s">
        <v>19</v>
      </c>
      <c r="D133" s="26" t="s">
        <v>19</v>
      </c>
      <c r="E133" s="26" t="s">
        <v>19</v>
      </c>
      <c r="F133" s="29" t="s">
        <v>3836</v>
      </c>
      <c r="G133" s="54" t="s">
        <v>10687</v>
      </c>
      <c r="H133" s="26" t="s">
        <v>448</v>
      </c>
      <c r="I133" s="26" t="s">
        <v>448</v>
      </c>
      <c r="J133" s="26" t="s">
        <v>448</v>
      </c>
      <c r="K133" s="1733" t="s">
        <v>4195</v>
      </c>
      <c r="L133" s="1733" t="s">
        <v>4937</v>
      </c>
      <c r="M133" s="1733" t="s">
        <v>4938</v>
      </c>
      <c r="N133" s="1733" t="s">
        <v>4939</v>
      </c>
      <c r="O133" s="22" t="s">
        <v>1826</v>
      </c>
      <c r="P133" s="1734" t="s">
        <v>1880</v>
      </c>
      <c r="Q133" s="216" t="s">
        <v>25</v>
      </c>
      <c r="R133" s="54" t="s">
        <v>2423</v>
      </c>
      <c r="S133" s="1734" t="s">
        <v>111</v>
      </c>
      <c r="T133" s="1732" t="s">
        <v>1152</v>
      </c>
      <c r="U133" s="1732" t="s">
        <v>1152</v>
      </c>
      <c r="V133" s="24" t="s">
        <v>10678</v>
      </c>
      <c r="W133" s="90" t="s">
        <v>10688</v>
      </c>
      <c r="X133" s="24" t="s">
        <v>2359</v>
      </c>
      <c r="Y133" s="24">
        <v>1</v>
      </c>
      <c r="Z133" s="24" t="s">
        <v>10688</v>
      </c>
      <c r="AA133" s="24" t="s">
        <v>10689</v>
      </c>
      <c r="AB133" s="30"/>
      <c r="AC133" s="30">
        <v>24</v>
      </c>
      <c r="AD133" s="30">
        <v>24</v>
      </c>
      <c r="AE133" s="59"/>
      <c r="AF133" s="59"/>
      <c r="AG133" s="35" t="s">
        <v>1104</v>
      </c>
      <c r="AH133" s="1733" t="s">
        <v>10629</v>
      </c>
      <c r="AI133" s="35" t="s">
        <v>19</v>
      </c>
      <c r="AJ133" s="202" t="s">
        <v>19</v>
      </c>
      <c r="AK133" s="35" t="s">
        <v>1880</v>
      </c>
      <c r="AL133" s="1732"/>
    </row>
    <row r="134" spans="1:38" s="11" customFormat="1" ht="26.25" customHeight="1" x14ac:dyDescent="0.15">
      <c r="A134" s="8">
        <f t="shared" si="0"/>
        <v>132</v>
      </c>
      <c r="B134" s="36" t="s">
        <v>10895</v>
      </c>
      <c r="C134" s="71" t="s">
        <v>10699</v>
      </c>
      <c r="D134" s="26" t="s">
        <v>19</v>
      </c>
      <c r="E134" s="26" t="s">
        <v>10896</v>
      </c>
      <c r="F134" s="29" t="s">
        <v>10698</v>
      </c>
      <c r="G134" s="53" t="s">
        <v>10702</v>
      </c>
      <c r="H134" s="26" t="s">
        <v>448</v>
      </c>
      <c r="I134" s="26" t="s">
        <v>448</v>
      </c>
      <c r="J134" s="26" t="s">
        <v>10704</v>
      </c>
      <c r="K134" s="1736" t="s">
        <v>3649</v>
      </c>
      <c r="L134" s="1736" t="s">
        <v>4750</v>
      </c>
      <c r="M134" s="1736" t="s">
        <v>10700</v>
      </c>
      <c r="N134" s="22" t="s">
        <v>10705</v>
      </c>
      <c r="O134" s="22" t="s">
        <v>1826</v>
      </c>
      <c r="P134" s="1737" t="s">
        <v>1880</v>
      </c>
      <c r="Q134" s="1736" t="s">
        <v>1131</v>
      </c>
      <c r="R134" s="54" t="s">
        <v>10701</v>
      </c>
      <c r="S134" s="1737" t="s">
        <v>111</v>
      </c>
      <c r="T134" s="1736" t="s">
        <v>2072</v>
      </c>
      <c r="U134" s="1736" t="s">
        <v>2072</v>
      </c>
      <c r="V134" s="24" t="s">
        <v>10703</v>
      </c>
      <c r="W134" s="90" t="s">
        <v>10675</v>
      </c>
      <c r="X134" s="24" t="s">
        <v>2359</v>
      </c>
      <c r="Y134" s="24">
        <v>1</v>
      </c>
      <c r="Z134" s="24" t="s">
        <v>10166</v>
      </c>
      <c r="AA134" s="24" t="s">
        <v>1880</v>
      </c>
      <c r="AB134" s="30">
        <v>117</v>
      </c>
      <c r="AC134" s="30"/>
      <c r="AD134" s="30">
        <v>117</v>
      </c>
      <c r="AE134" s="59"/>
      <c r="AF134" s="59"/>
      <c r="AG134" s="35" t="s">
        <v>1104</v>
      </c>
      <c r="AH134" s="35" t="s">
        <v>10637</v>
      </c>
      <c r="AI134" s="35" t="s">
        <v>10641</v>
      </c>
      <c r="AJ134" s="202" t="s">
        <v>1103</v>
      </c>
      <c r="AK134" s="35" t="s">
        <v>1880</v>
      </c>
      <c r="AL134" s="1736"/>
    </row>
    <row r="135" spans="1:38" s="11" customFormat="1" ht="26.25" customHeight="1" x14ac:dyDescent="0.15">
      <c r="A135" s="8">
        <f t="shared" si="0"/>
        <v>133</v>
      </c>
      <c r="B135" s="36" t="s">
        <v>10706</v>
      </c>
      <c r="C135" s="26" t="s">
        <v>19</v>
      </c>
      <c r="D135" s="26" t="s">
        <v>19</v>
      </c>
      <c r="E135" s="26" t="s">
        <v>19</v>
      </c>
      <c r="F135" s="29" t="s">
        <v>6688</v>
      </c>
      <c r="G135" s="53" t="s">
        <v>10710</v>
      </c>
      <c r="H135" s="1478" t="s">
        <v>448</v>
      </c>
      <c r="I135" s="1478" t="s">
        <v>8702</v>
      </c>
      <c r="J135" s="1478" t="s">
        <v>8703</v>
      </c>
      <c r="K135" s="1735" t="s">
        <v>2032</v>
      </c>
      <c r="L135" s="102" t="s">
        <v>819</v>
      </c>
      <c r="M135" s="37" t="s">
        <v>1129</v>
      </c>
      <c r="N135" s="22" t="s">
        <v>856</v>
      </c>
      <c r="O135" s="22" t="s">
        <v>1826</v>
      </c>
      <c r="P135" s="22" t="s">
        <v>1880</v>
      </c>
      <c r="Q135" s="1736" t="s">
        <v>102</v>
      </c>
      <c r="R135" s="54" t="s">
        <v>10711</v>
      </c>
      <c r="S135" s="1737" t="s">
        <v>111</v>
      </c>
      <c r="T135" s="1736" t="s">
        <v>1785</v>
      </c>
      <c r="U135" s="1736" t="s">
        <v>1785</v>
      </c>
      <c r="V135" s="24" t="s">
        <v>10703</v>
      </c>
      <c r="W135" s="90" t="s">
        <v>10712</v>
      </c>
      <c r="X135" s="24" t="s">
        <v>2359</v>
      </c>
      <c r="Y135" s="24">
        <v>1</v>
      </c>
      <c r="Z135" s="24" t="s">
        <v>1880</v>
      </c>
      <c r="AA135" s="24" t="s">
        <v>1880</v>
      </c>
      <c r="AB135" s="30">
        <v>9.1999999999999993</v>
      </c>
      <c r="AC135" s="30"/>
      <c r="AD135" s="30">
        <v>9.1999999999999993</v>
      </c>
      <c r="AE135" s="59"/>
      <c r="AF135" s="59"/>
      <c r="AG135" s="35" t="s">
        <v>1104</v>
      </c>
      <c r="AH135" s="1736" t="s">
        <v>10629</v>
      </c>
      <c r="AI135" s="35" t="s">
        <v>19</v>
      </c>
      <c r="AJ135" s="202" t="s">
        <v>19</v>
      </c>
      <c r="AK135" s="35" t="s">
        <v>1880</v>
      </c>
      <c r="AL135" s="1736"/>
    </row>
    <row r="136" spans="1:38" s="11" customFormat="1" ht="26.25" customHeight="1" x14ac:dyDescent="0.15">
      <c r="A136" s="8">
        <f t="shared" si="0"/>
        <v>134</v>
      </c>
      <c r="B136" s="36" t="s">
        <v>10707</v>
      </c>
      <c r="C136" s="26" t="s">
        <v>19</v>
      </c>
      <c r="D136" s="26" t="s">
        <v>19</v>
      </c>
      <c r="E136" s="26" t="s">
        <v>19</v>
      </c>
      <c r="F136" s="29" t="s">
        <v>268</v>
      </c>
      <c r="G136" s="53" t="s">
        <v>10713</v>
      </c>
      <c r="H136" s="1478" t="s">
        <v>448</v>
      </c>
      <c r="I136" s="1478" t="s">
        <v>8702</v>
      </c>
      <c r="J136" s="1478" t="s">
        <v>8703</v>
      </c>
      <c r="K136" s="1735" t="s">
        <v>2032</v>
      </c>
      <c r="L136" s="1735" t="s">
        <v>270</v>
      </c>
      <c r="M136" s="21" t="s">
        <v>610</v>
      </c>
      <c r="N136" s="21" t="s">
        <v>609</v>
      </c>
      <c r="O136" s="22" t="s">
        <v>1826</v>
      </c>
      <c r="P136" s="22" t="s">
        <v>1880</v>
      </c>
      <c r="Q136" s="1736" t="s">
        <v>102</v>
      </c>
      <c r="R136" s="54" t="s">
        <v>10711</v>
      </c>
      <c r="S136" s="1737" t="s">
        <v>111</v>
      </c>
      <c r="T136" s="1736" t="s">
        <v>1785</v>
      </c>
      <c r="U136" s="1736" t="s">
        <v>1785</v>
      </c>
      <c r="V136" s="24" t="s">
        <v>10703</v>
      </c>
      <c r="W136" s="90" t="s">
        <v>10712</v>
      </c>
      <c r="X136" s="24" t="s">
        <v>2359</v>
      </c>
      <c r="Y136" s="24">
        <v>1</v>
      </c>
      <c r="Z136" s="24" t="s">
        <v>1880</v>
      </c>
      <c r="AA136" s="24" t="s">
        <v>1880</v>
      </c>
      <c r="AB136" s="30">
        <v>9.1999999999999993</v>
      </c>
      <c r="AC136" s="30"/>
      <c r="AD136" s="30">
        <v>9.1999999999999993</v>
      </c>
      <c r="AE136" s="59"/>
      <c r="AF136" s="59"/>
      <c r="AG136" s="35" t="s">
        <v>1104</v>
      </c>
      <c r="AH136" s="1736" t="s">
        <v>10629</v>
      </c>
      <c r="AI136" s="35" t="s">
        <v>19</v>
      </c>
      <c r="AJ136" s="202" t="s">
        <v>19</v>
      </c>
      <c r="AK136" s="35" t="s">
        <v>1880</v>
      </c>
      <c r="AL136" s="1736"/>
    </row>
    <row r="137" spans="1:38" s="11" customFormat="1" ht="26.25" customHeight="1" x14ac:dyDescent="0.15">
      <c r="A137" s="8">
        <f t="shared" si="0"/>
        <v>135</v>
      </c>
      <c r="B137" s="36" t="s">
        <v>10708</v>
      </c>
      <c r="C137" s="26" t="s">
        <v>19</v>
      </c>
      <c r="D137" s="26" t="s">
        <v>19</v>
      </c>
      <c r="E137" s="26" t="s">
        <v>19</v>
      </c>
      <c r="F137" s="54" t="s">
        <v>3113</v>
      </c>
      <c r="G137" s="53" t="s">
        <v>10714</v>
      </c>
      <c r="H137" s="1478" t="s">
        <v>448</v>
      </c>
      <c r="I137" s="1478" t="s">
        <v>8702</v>
      </c>
      <c r="J137" s="1478" t="s">
        <v>8703</v>
      </c>
      <c r="K137" s="1735" t="s">
        <v>2032</v>
      </c>
      <c r="L137" s="1735" t="s">
        <v>2031</v>
      </c>
      <c r="M137" s="1736" t="s">
        <v>2039</v>
      </c>
      <c r="N137" s="1736" t="s">
        <v>2038</v>
      </c>
      <c r="O137" s="22" t="s">
        <v>1826</v>
      </c>
      <c r="P137" s="22" t="s">
        <v>1880</v>
      </c>
      <c r="Q137" s="1736" t="s">
        <v>102</v>
      </c>
      <c r="R137" s="54" t="s">
        <v>10711</v>
      </c>
      <c r="S137" s="1737" t="s">
        <v>111</v>
      </c>
      <c r="T137" s="1736" t="s">
        <v>1785</v>
      </c>
      <c r="U137" s="1736" t="s">
        <v>1785</v>
      </c>
      <c r="V137" s="24" t="s">
        <v>10703</v>
      </c>
      <c r="W137" s="90" t="s">
        <v>10712</v>
      </c>
      <c r="X137" s="24" t="s">
        <v>2359</v>
      </c>
      <c r="Y137" s="24">
        <v>1</v>
      </c>
      <c r="Z137" s="24" t="s">
        <v>1880</v>
      </c>
      <c r="AA137" s="24" t="s">
        <v>1880</v>
      </c>
      <c r="AB137" s="30">
        <v>9.1999999999999993</v>
      </c>
      <c r="AC137" s="30"/>
      <c r="AD137" s="30">
        <v>9.1999999999999993</v>
      </c>
      <c r="AE137" s="59"/>
      <c r="AF137" s="59"/>
      <c r="AG137" s="35" t="s">
        <v>1104</v>
      </c>
      <c r="AH137" s="1736" t="s">
        <v>10629</v>
      </c>
      <c r="AI137" s="35" t="s">
        <v>19</v>
      </c>
      <c r="AJ137" s="202" t="s">
        <v>19</v>
      </c>
      <c r="AK137" s="35" t="s">
        <v>1880</v>
      </c>
      <c r="AL137" s="1736"/>
    </row>
    <row r="138" spans="1:38" s="11" customFormat="1" ht="26.25" customHeight="1" x14ac:dyDescent="0.15">
      <c r="A138" s="8">
        <f t="shared" si="0"/>
        <v>136</v>
      </c>
      <c r="B138" s="36" t="s">
        <v>10709</v>
      </c>
      <c r="C138" s="26" t="s">
        <v>19</v>
      </c>
      <c r="D138" s="26" t="s">
        <v>19</v>
      </c>
      <c r="E138" s="26" t="s">
        <v>19</v>
      </c>
      <c r="F138" s="54" t="s">
        <v>2037</v>
      </c>
      <c r="G138" s="53" t="s">
        <v>10715</v>
      </c>
      <c r="H138" s="1478" t="s">
        <v>448</v>
      </c>
      <c r="I138" s="1478" t="s">
        <v>8702</v>
      </c>
      <c r="J138" s="1478" t="s">
        <v>8703</v>
      </c>
      <c r="K138" s="1735" t="s">
        <v>2032</v>
      </c>
      <c r="L138" s="1735" t="s">
        <v>2031</v>
      </c>
      <c r="M138" s="1736" t="s">
        <v>2041</v>
      </c>
      <c r="N138" s="1736" t="s">
        <v>2040</v>
      </c>
      <c r="O138" s="22" t="s">
        <v>1826</v>
      </c>
      <c r="P138" s="22" t="s">
        <v>1880</v>
      </c>
      <c r="Q138" s="1736" t="s">
        <v>102</v>
      </c>
      <c r="R138" s="54" t="s">
        <v>10711</v>
      </c>
      <c r="S138" s="1737" t="s">
        <v>111</v>
      </c>
      <c r="T138" s="1736" t="s">
        <v>1785</v>
      </c>
      <c r="U138" s="1736" t="s">
        <v>1785</v>
      </c>
      <c r="V138" s="24" t="s">
        <v>10703</v>
      </c>
      <c r="W138" s="90" t="s">
        <v>10712</v>
      </c>
      <c r="X138" s="24" t="s">
        <v>2359</v>
      </c>
      <c r="Y138" s="24">
        <v>1</v>
      </c>
      <c r="Z138" s="24" t="s">
        <v>1880</v>
      </c>
      <c r="AA138" s="24" t="s">
        <v>1880</v>
      </c>
      <c r="AB138" s="30">
        <v>9.1999999999999993</v>
      </c>
      <c r="AC138" s="30"/>
      <c r="AD138" s="30">
        <v>9.1999999999999993</v>
      </c>
      <c r="AE138" s="59"/>
      <c r="AF138" s="59"/>
      <c r="AG138" s="35" t="s">
        <v>1104</v>
      </c>
      <c r="AH138" s="1736" t="s">
        <v>10629</v>
      </c>
      <c r="AI138" s="35" t="s">
        <v>19</v>
      </c>
      <c r="AJ138" s="202" t="s">
        <v>19</v>
      </c>
      <c r="AK138" s="35" t="s">
        <v>1880</v>
      </c>
      <c r="AL138" s="1736"/>
    </row>
    <row r="139" spans="1:38" s="11" customFormat="1" ht="26.25" customHeight="1" x14ac:dyDescent="0.15">
      <c r="A139" s="8">
        <f t="shared" si="0"/>
        <v>137</v>
      </c>
      <c r="B139" s="36" t="s">
        <v>10716</v>
      </c>
      <c r="C139" s="26" t="s">
        <v>19</v>
      </c>
      <c r="D139" s="26" t="s">
        <v>11088</v>
      </c>
      <c r="E139" s="26" t="s">
        <v>19</v>
      </c>
      <c r="F139" s="29" t="s">
        <v>6099</v>
      </c>
      <c r="G139" s="29" t="s">
        <v>10717</v>
      </c>
      <c r="H139" s="26" t="s">
        <v>448</v>
      </c>
      <c r="I139" s="26" t="s">
        <v>448</v>
      </c>
      <c r="J139" s="26" t="s">
        <v>448</v>
      </c>
      <c r="K139" s="1735" t="s">
        <v>4691</v>
      </c>
      <c r="L139" s="1735" t="s">
        <v>4750</v>
      </c>
      <c r="M139" s="1735" t="s">
        <v>5366</v>
      </c>
      <c r="N139" s="22" t="s">
        <v>6101</v>
      </c>
      <c r="O139" s="22" t="s">
        <v>5431</v>
      </c>
      <c r="P139" s="1737" t="s">
        <v>111</v>
      </c>
      <c r="Q139" s="1736" t="s">
        <v>1131</v>
      </c>
      <c r="R139" s="54" t="s">
        <v>6423</v>
      </c>
      <c r="S139" s="1737" t="s">
        <v>111</v>
      </c>
      <c r="T139" s="1736" t="s">
        <v>3248</v>
      </c>
      <c r="U139" s="1736" t="s">
        <v>3248</v>
      </c>
      <c r="V139" s="24" t="s">
        <v>10703</v>
      </c>
      <c r="W139" s="90" t="s">
        <v>10719</v>
      </c>
      <c r="X139" s="24" t="s">
        <v>2359</v>
      </c>
      <c r="Y139" s="24">
        <v>2</v>
      </c>
      <c r="Z139" s="24" t="s">
        <v>10172</v>
      </c>
      <c r="AA139" s="24" t="s">
        <v>10720</v>
      </c>
      <c r="AB139" s="30"/>
      <c r="AC139" s="30">
        <v>4.3</v>
      </c>
      <c r="AD139" s="30">
        <v>4.3</v>
      </c>
      <c r="AE139" s="59"/>
      <c r="AF139" s="59"/>
      <c r="AG139" s="35" t="s">
        <v>1104</v>
      </c>
      <c r="AH139" s="1736" t="s">
        <v>10629</v>
      </c>
      <c r="AI139" s="35" t="s">
        <v>19</v>
      </c>
      <c r="AJ139" s="202" t="s">
        <v>19</v>
      </c>
      <c r="AK139" s="35" t="s">
        <v>1880</v>
      </c>
      <c r="AL139" s="1736"/>
    </row>
    <row r="140" spans="1:38" s="11" customFormat="1" ht="26.25" customHeight="1" x14ac:dyDescent="0.15">
      <c r="A140" s="8">
        <f t="shared" si="0"/>
        <v>138</v>
      </c>
      <c r="B140" s="36" t="s">
        <v>10721</v>
      </c>
      <c r="C140" s="26" t="s">
        <v>19</v>
      </c>
      <c r="D140" s="26" t="s">
        <v>19</v>
      </c>
      <c r="E140" s="26" t="s">
        <v>19</v>
      </c>
      <c r="F140" s="29" t="s">
        <v>7546</v>
      </c>
      <c r="G140" s="98" t="s">
        <v>8986</v>
      </c>
      <c r="H140" s="26" t="s">
        <v>19</v>
      </c>
      <c r="I140" s="26" t="s">
        <v>19</v>
      </c>
      <c r="J140" s="26" t="s">
        <v>19</v>
      </c>
      <c r="K140" s="1735" t="s">
        <v>4208</v>
      </c>
      <c r="L140" s="1735" t="s">
        <v>8888</v>
      </c>
      <c r="M140" s="1735" t="s">
        <v>7621</v>
      </c>
      <c r="N140" s="1735" t="s">
        <v>8882</v>
      </c>
      <c r="O140" s="22" t="s">
        <v>5431</v>
      </c>
      <c r="P140" s="1737" t="s">
        <v>111</v>
      </c>
      <c r="Q140" s="1736" t="s">
        <v>1131</v>
      </c>
      <c r="R140" s="54" t="s">
        <v>116</v>
      </c>
      <c r="S140" s="1737" t="s">
        <v>111</v>
      </c>
      <c r="T140" s="1736" t="s">
        <v>5487</v>
      </c>
      <c r="U140" s="1736" t="s">
        <v>5487</v>
      </c>
      <c r="V140" s="24" t="s">
        <v>10703</v>
      </c>
      <c r="W140" s="90" t="s">
        <v>10718</v>
      </c>
      <c r="X140" s="24" t="s">
        <v>2359</v>
      </c>
      <c r="Y140" s="24">
        <v>2</v>
      </c>
      <c r="Z140" s="24" t="s">
        <v>10299</v>
      </c>
      <c r="AA140" s="24" t="s">
        <v>10300</v>
      </c>
      <c r="AB140" s="30"/>
      <c r="AC140" s="30">
        <v>12</v>
      </c>
      <c r="AD140" s="30">
        <v>12</v>
      </c>
      <c r="AE140" s="59"/>
      <c r="AF140" s="59"/>
      <c r="AG140" s="35" t="s">
        <v>1104</v>
      </c>
      <c r="AH140" s="1736" t="s">
        <v>10629</v>
      </c>
      <c r="AI140" s="35" t="s">
        <v>19</v>
      </c>
      <c r="AJ140" s="202" t="s">
        <v>19</v>
      </c>
      <c r="AK140" s="35" t="s">
        <v>1880</v>
      </c>
      <c r="AL140" s="1736"/>
    </row>
    <row r="141" spans="1:38" s="11" customFormat="1" ht="26.25" customHeight="1" x14ac:dyDescent="0.15">
      <c r="A141" s="8">
        <f t="shared" si="0"/>
        <v>139</v>
      </c>
      <c r="B141" s="36" t="s">
        <v>10722</v>
      </c>
      <c r="C141" s="26" t="s">
        <v>19</v>
      </c>
      <c r="D141" s="26" t="s">
        <v>19</v>
      </c>
      <c r="E141" s="26" t="s">
        <v>19</v>
      </c>
      <c r="F141" s="29" t="s">
        <v>10725</v>
      </c>
      <c r="G141" s="53" t="s">
        <v>10726</v>
      </c>
      <c r="H141" s="26" t="s">
        <v>19</v>
      </c>
      <c r="I141" s="26" t="s">
        <v>19</v>
      </c>
      <c r="J141" s="26" t="s">
        <v>19</v>
      </c>
      <c r="K141" s="1735" t="s">
        <v>1881</v>
      </c>
      <c r="L141" s="1735" t="s">
        <v>2327</v>
      </c>
      <c r="M141" s="1735" t="s">
        <v>10731</v>
      </c>
      <c r="N141" s="22" t="s">
        <v>1138</v>
      </c>
      <c r="O141" s="22" t="s">
        <v>2142</v>
      </c>
      <c r="P141" s="1739" t="s">
        <v>111</v>
      </c>
      <c r="Q141" s="1736" t="s">
        <v>2422</v>
      </c>
      <c r="R141" s="54" t="s">
        <v>116</v>
      </c>
      <c r="S141" s="1739" t="s">
        <v>111</v>
      </c>
      <c r="T141" s="1736" t="s">
        <v>3591</v>
      </c>
      <c r="U141" s="1738" t="s">
        <v>3591</v>
      </c>
      <c r="V141" s="24" t="s">
        <v>10703</v>
      </c>
      <c r="W141" s="90" t="s">
        <v>9325</v>
      </c>
      <c r="X141" s="24" t="s">
        <v>1800</v>
      </c>
      <c r="Y141" s="10">
        <v>1</v>
      </c>
      <c r="Z141" s="24" t="s">
        <v>1880</v>
      </c>
      <c r="AA141" s="24" t="s">
        <v>1880</v>
      </c>
      <c r="AB141" s="30"/>
      <c r="AC141" s="30">
        <v>6.5</v>
      </c>
      <c r="AD141" s="30">
        <v>6.5</v>
      </c>
      <c r="AE141" s="59" t="s">
        <v>11107</v>
      </c>
      <c r="AF141" s="59"/>
      <c r="AG141" s="35" t="s">
        <v>1104</v>
      </c>
      <c r="AH141" s="35" t="s">
        <v>2437</v>
      </c>
      <c r="AI141" s="35" t="s">
        <v>19</v>
      </c>
      <c r="AJ141" s="202" t="s">
        <v>19</v>
      </c>
      <c r="AK141" s="35" t="s">
        <v>1880</v>
      </c>
      <c r="AL141" s="1736"/>
    </row>
    <row r="142" spans="1:38" s="11" customFormat="1" ht="26.25" customHeight="1" x14ac:dyDescent="0.15">
      <c r="A142" s="8">
        <f t="shared" si="0"/>
        <v>140</v>
      </c>
      <c r="B142" s="36" t="s">
        <v>10723</v>
      </c>
      <c r="C142" s="26" t="s">
        <v>19</v>
      </c>
      <c r="D142" s="26" t="s">
        <v>19</v>
      </c>
      <c r="E142" s="26" t="s">
        <v>19</v>
      </c>
      <c r="F142" s="29" t="s">
        <v>10727</v>
      </c>
      <c r="G142" s="53" t="s">
        <v>10728</v>
      </c>
      <c r="H142" s="26" t="s">
        <v>19</v>
      </c>
      <c r="I142" s="26" t="s">
        <v>19</v>
      </c>
      <c r="J142" s="26" t="s">
        <v>19</v>
      </c>
      <c r="K142" s="1740" t="s">
        <v>1881</v>
      </c>
      <c r="L142" s="1740" t="s">
        <v>2327</v>
      </c>
      <c r="M142" s="1735" t="s">
        <v>10732</v>
      </c>
      <c r="N142" s="22" t="s">
        <v>1138</v>
      </c>
      <c r="O142" s="22" t="s">
        <v>2142</v>
      </c>
      <c r="P142" s="1739" t="s">
        <v>111</v>
      </c>
      <c r="Q142" s="1738" t="s">
        <v>2422</v>
      </c>
      <c r="R142" s="54" t="s">
        <v>116</v>
      </c>
      <c r="S142" s="1739" t="s">
        <v>111</v>
      </c>
      <c r="T142" s="1738" t="s">
        <v>3591</v>
      </c>
      <c r="U142" s="1738" t="s">
        <v>3591</v>
      </c>
      <c r="V142" s="24" t="s">
        <v>10703</v>
      </c>
      <c r="W142" s="90" t="s">
        <v>9325</v>
      </c>
      <c r="X142" s="24" t="s">
        <v>1800</v>
      </c>
      <c r="Y142" s="10">
        <v>1</v>
      </c>
      <c r="Z142" s="24" t="s">
        <v>1880</v>
      </c>
      <c r="AA142" s="24" t="s">
        <v>1880</v>
      </c>
      <c r="AB142" s="30"/>
      <c r="AC142" s="30">
        <v>6.5</v>
      </c>
      <c r="AD142" s="30">
        <v>6.5</v>
      </c>
      <c r="AE142" s="59" t="s">
        <v>11107</v>
      </c>
      <c r="AF142" s="59"/>
      <c r="AG142" s="35" t="s">
        <v>1104</v>
      </c>
      <c r="AH142" s="35" t="s">
        <v>2437</v>
      </c>
      <c r="AI142" s="35" t="s">
        <v>19</v>
      </c>
      <c r="AJ142" s="202" t="s">
        <v>19</v>
      </c>
      <c r="AK142" s="35" t="s">
        <v>1880</v>
      </c>
      <c r="AL142" s="1736"/>
    </row>
    <row r="143" spans="1:38" s="11" customFormat="1" ht="26.25" customHeight="1" x14ac:dyDescent="0.15">
      <c r="A143" s="8">
        <f t="shared" si="0"/>
        <v>141</v>
      </c>
      <c r="B143" s="36" t="s">
        <v>10724</v>
      </c>
      <c r="C143" s="26" t="s">
        <v>19</v>
      </c>
      <c r="D143" s="26" t="s">
        <v>19</v>
      </c>
      <c r="E143" s="26" t="s">
        <v>19</v>
      </c>
      <c r="F143" s="29" t="s">
        <v>10729</v>
      </c>
      <c r="G143" s="53" t="s">
        <v>10730</v>
      </c>
      <c r="H143" s="26" t="s">
        <v>19</v>
      </c>
      <c r="I143" s="26" t="s">
        <v>19</v>
      </c>
      <c r="J143" s="26" t="s">
        <v>19</v>
      </c>
      <c r="K143" s="1740" t="s">
        <v>1881</v>
      </c>
      <c r="L143" s="1740" t="s">
        <v>2327</v>
      </c>
      <c r="M143" s="1731" t="s">
        <v>10733</v>
      </c>
      <c r="N143" s="22" t="s">
        <v>1138</v>
      </c>
      <c r="O143" s="22" t="s">
        <v>2142</v>
      </c>
      <c r="P143" s="1739" t="s">
        <v>111</v>
      </c>
      <c r="Q143" s="1738" t="s">
        <v>2422</v>
      </c>
      <c r="R143" s="54" t="s">
        <v>116</v>
      </c>
      <c r="S143" s="1739" t="s">
        <v>111</v>
      </c>
      <c r="T143" s="1738" t="s">
        <v>3591</v>
      </c>
      <c r="U143" s="1738" t="s">
        <v>3591</v>
      </c>
      <c r="V143" s="24" t="s">
        <v>10703</v>
      </c>
      <c r="W143" s="90" t="s">
        <v>9325</v>
      </c>
      <c r="X143" s="24" t="s">
        <v>1800</v>
      </c>
      <c r="Y143" s="10">
        <v>1</v>
      </c>
      <c r="Z143" s="24" t="s">
        <v>1880</v>
      </c>
      <c r="AA143" s="24" t="s">
        <v>1880</v>
      </c>
      <c r="AB143" s="30"/>
      <c r="AC143" s="30">
        <v>6.5</v>
      </c>
      <c r="AD143" s="30">
        <v>6.5</v>
      </c>
      <c r="AE143" s="59" t="s">
        <v>11107</v>
      </c>
      <c r="AF143" s="59"/>
      <c r="AG143" s="35" t="s">
        <v>1104</v>
      </c>
      <c r="AH143" s="35" t="s">
        <v>2437</v>
      </c>
      <c r="AI143" s="35" t="s">
        <v>19</v>
      </c>
      <c r="AJ143" s="202" t="s">
        <v>19</v>
      </c>
      <c r="AK143" s="35" t="s">
        <v>1880</v>
      </c>
      <c r="AL143" s="1732"/>
    </row>
    <row r="144" spans="1:38" s="11" customFormat="1" ht="26.25" customHeight="1" x14ac:dyDescent="0.15">
      <c r="A144" s="8">
        <f t="shared" si="0"/>
        <v>142</v>
      </c>
      <c r="B144" s="36" t="s">
        <v>10736</v>
      </c>
      <c r="C144" s="26" t="s">
        <v>19</v>
      </c>
      <c r="D144" s="26" t="s">
        <v>19</v>
      </c>
      <c r="E144" s="26" t="s">
        <v>19</v>
      </c>
      <c r="F144" s="29" t="s">
        <v>10737</v>
      </c>
      <c r="G144" s="53" t="s">
        <v>2070</v>
      </c>
      <c r="H144" s="26" t="s">
        <v>19</v>
      </c>
      <c r="I144" s="26" t="s">
        <v>19</v>
      </c>
      <c r="J144" s="26" t="s">
        <v>19</v>
      </c>
      <c r="K144" s="1741" t="s">
        <v>4195</v>
      </c>
      <c r="L144" s="1741" t="s">
        <v>3101</v>
      </c>
      <c r="M144" s="1741" t="s">
        <v>6827</v>
      </c>
      <c r="N144" s="22" t="s">
        <v>10738</v>
      </c>
      <c r="O144" s="22" t="s">
        <v>5431</v>
      </c>
      <c r="P144" s="1743" t="s">
        <v>111</v>
      </c>
      <c r="Q144" s="1742" t="s">
        <v>1150</v>
      </c>
      <c r="R144" s="54" t="s">
        <v>4403</v>
      </c>
      <c r="S144" s="1743" t="s">
        <v>111</v>
      </c>
      <c r="T144" s="1742" t="s">
        <v>1152</v>
      </c>
      <c r="U144" s="1742" t="s">
        <v>1152</v>
      </c>
      <c r="V144" s="24" t="s">
        <v>10739</v>
      </c>
      <c r="W144" s="90" t="s">
        <v>10740</v>
      </c>
      <c r="X144" s="24" t="s">
        <v>2359</v>
      </c>
      <c r="Y144" s="24">
        <v>1</v>
      </c>
      <c r="Z144" s="24" t="s">
        <v>1880</v>
      </c>
      <c r="AA144" s="24" t="s">
        <v>1880</v>
      </c>
      <c r="AB144" s="30">
        <v>2</v>
      </c>
      <c r="AC144" s="30"/>
      <c r="AD144" s="30">
        <v>2</v>
      </c>
      <c r="AE144" s="59"/>
      <c r="AF144" s="59"/>
      <c r="AG144" s="35" t="s">
        <v>1104</v>
      </c>
      <c r="AH144" s="1742" t="s">
        <v>10629</v>
      </c>
      <c r="AI144" s="35" t="s">
        <v>19</v>
      </c>
      <c r="AJ144" s="202" t="s">
        <v>19</v>
      </c>
      <c r="AK144" s="35" t="s">
        <v>1880</v>
      </c>
      <c r="AL144" s="1742"/>
    </row>
    <row r="145" spans="1:38" s="11" customFormat="1" ht="26.25" customHeight="1" x14ac:dyDescent="0.15">
      <c r="A145" s="8">
        <f t="shared" si="0"/>
        <v>143</v>
      </c>
      <c r="B145" s="36" t="s">
        <v>10741</v>
      </c>
      <c r="C145" s="71" t="s">
        <v>10742</v>
      </c>
      <c r="D145" s="26" t="s">
        <v>11635</v>
      </c>
      <c r="E145" s="26" t="s">
        <v>19</v>
      </c>
      <c r="F145" s="29" t="s">
        <v>10746</v>
      </c>
      <c r="G145" s="53" t="s">
        <v>10747</v>
      </c>
      <c r="H145" s="26" t="s">
        <v>19</v>
      </c>
      <c r="I145" s="26" t="s">
        <v>19</v>
      </c>
      <c r="J145" s="26" t="s">
        <v>19</v>
      </c>
      <c r="K145" s="1742" t="s">
        <v>4712</v>
      </c>
      <c r="L145" s="1742" t="s">
        <v>10743</v>
      </c>
      <c r="M145" s="1742" t="s">
        <v>10744</v>
      </c>
      <c r="N145" s="22" t="s">
        <v>10745</v>
      </c>
      <c r="O145" s="22" t="s">
        <v>5431</v>
      </c>
      <c r="P145" s="1743" t="s">
        <v>111</v>
      </c>
      <c r="Q145" s="1742" t="s">
        <v>1818</v>
      </c>
      <c r="R145" s="54" t="s">
        <v>10247</v>
      </c>
      <c r="S145" s="1743" t="s">
        <v>111</v>
      </c>
      <c r="T145" s="1742" t="s">
        <v>3248</v>
      </c>
      <c r="U145" s="1742" t="s">
        <v>3248</v>
      </c>
      <c r="V145" s="24" t="s">
        <v>10739</v>
      </c>
      <c r="W145" s="90" t="s">
        <v>10748</v>
      </c>
      <c r="X145" s="24" t="s">
        <v>2359</v>
      </c>
      <c r="Y145" s="24">
        <v>1</v>
      </c>
      <c r="Z145" s="24" t="s">
        <v>2512</v>
      </c>
      <c r="AA145" s="24" t="s">
        <v>1880</v>
      </c>
      <c r="AB145" s="30">
        <v>24.5</v>
      </c>
      <c r="AC145" s="30"/>
      <c r="AD145" s="30">
        <v>24.5</v>
      </c>
      <c r="AE145" s="59"/>
      <c r="AF145" s="59"/>
      <c r="AG145" s="35" t="s">
        <v>1104</v>
      </c>
      <c r="AH145" s="35" t="s">
        <v>10637</v>
      </c>
      <c r="AI145" s="35" t="s">
        <v>19</v>
      </c>
      <c r="AJ145" s="202" t="s">
        <v>19</v>
      </c>
      <c r="AK145" s="35" t="s">
        <v>1880</v>
      </c>
      <c r="AL145" s="1742"/>
    </row>
    <row r="146" spans="1:38" s="11" customFormat="1" ht="26.25" customHeight="1" x14ac:dyDescent="0.15">
      <c r="A146" s="8">
        <f t="shared" si="0"/>
        <v>144</v>
      </c>
      <c r="B146" s="36" t="s">
        <v>10749</v>
      </c>
      <c r="C146" s="71" t="s">
        <v>10750</v>
      </c>
      <c r="D146" s="26" t="s">
        <v>19</v>
      </c>
      <c r="E146" s="26" t="s">
        <v>19</v>
      </c>
      <c r="F146" s="29" t="s">
        <v>10751</v>
      </c>
      <c r="G146" s="53" t="s">
        <v>10752</v>
      </c>
      <c r="H146" s="26" t="s">
        <v>448</v>
      </c>
      <c r="I146" s="1742" t="s">
        <v>8656</v>
      </c>
      <c r="J146" s="1742" t="s">
        <v>8657</v>
      </c>
      <c r="K146" s="1742" t="s">
        <v>4791</v>
      </c>
      <c r="L146" s="1742" t="s">
        <v>4792</v>
      </c>
      <c r="M146" s="1742" t="s">
        <v>8650</v>
      </c>
      <c r="N146" s="22" t="s">
        <v>4780</v>
      </c>
      <c r="O146" s="22" t="s">
        <v>5431</v>
      </c>
      <c r="P146" s="1743" t="s">
        <v>111</v>
      </c>
      <c r="Q146" s="1742" t="s">
        <v>1131</v>
      </c>
      <c r="R146" s="54" t="s">
        <v>10753</v>
      </c>
      <c r="S146" s="1743" t="s">
        <v>111</v>
      </c>
      <c r="T146" s="1742" t="s">
        <v>1785</v>
      </c>
      <c r="U146" s="1742" t="s">
        <v>1785</v>
      </c>
      <c r="V146" s="24" t="s">
        <v>10739</v>
      </c>
      <c r="W146" s="90" t="s">
        <v>10719</v>
      </c>
      <c r="X146" s="24" t="s">
        <v>2359</v>
      </c>
      <c r="Y146" s="24">
        <v>2</v>
      </c>
      <c r="Z146" s="24" t="s">
        <v>1880</v>
      </c>
      <c r="AA146" s="24" t="s">
        <v>1880</v>
      </c>
      <c r="AB146" s="30">
        <v>19.600000000000001</v>
      </c>
      <c r="AC146" s="30"/>
      <c r="AD146" s="30">
        <v>19.600000000000001</v>
      </c>
      <c r="AE146" s="59"/>
      <c r="AF146" s="59"/>
      <c r="AG146" s="35" t="s">
        <v>1104</v>
      </c>
      <c r="AH146" s="1742" t="s">
        <v>10629</v>
      </c>
      <c r="AI146" s="35" t="s">
        <v>19</v>
      </c>
      <c r="AJ146" s="202" t="s">
        <v>19</v>
      </c>
      <c r="AK146" s="35" t="s">
        <v>1880</v>
      </c>
      <c r="AL146" s="1742"/>
    </row>
    <row r="147" spans="1:38" s="11" customFormat="1" ht="26.25" customHeight="1" x14ac:dyDescent="0.15">
      <c r="A147" s="8">
        <f t="shared" si="0"/>
        <v>145</v>
      </c>
      <c r="B147" s="36" t="s">
        <v>10754</v>
      </c>
      <c r="C147" s="71" t="s">
        <v>10755</v>
      </c>
      <c r="D147" s="26" t="s">
        <v>19</v>
      </c>
      <c r="E147" s="26" t="s">
        <v>19</v>
      </c>
      <c r="F147" s="29" t="s">
        <v>2463</v>
      </c>
      <c r="G147" s="53" t="s">
        <v>10756</v>
      </c>
      <c r="H147" s="26" t="s">
        <v>19</v>
      </c>
      <c r="I147" s="26" t="s">
        <v>19</v>
      </c>
      <c r="J147" s="26" t="s">
        <v>19</v>
      </c>
      <c r="K147" s="1742" t="s">
        <v>4195</v>
      </c>
      <c r="L147" s="1742" t="s">
        <v>9065</v>
      </c>
      <c r="M147" s="1742" t="s">
        <v>7108</v>
      </c>
      <c r="N147" s="22" t="s">
        <v>10757</v>
      </c>
      <c r="O147" s="1743" t="s">
        <v>5478</v>
      </c>
      <c r="P147" s="1743" t="s">
        <v>111</v>
      </c>
      <c r="Q147" s="1742" t="s">
        <v>4676</v>
      </c>
      <c r="R147" s="54" t="s">
        <v>5479</v>
      </c>
      <c r="S147" s="1743" t="s">
        <v>111</v>
      </c>
      <c r="T147" s="1742" t="s">
        <v>1152</v>
      </c>
      <c r="U147" s="1742" t="s">
        <v>1152</v>
      </c>
      <c r="V147" s="24" t="s">
        <v>10739</v>
      </c>
      <c r="W147" s="90" t="s">
        <v>10758</v>
      </c>
      <c r="X147" s="24" t="s">
        <v>2359</v>
      </c>
      <c r="Y147" s="24">
        <v>1</v>
      </c>
      <c r="Z147" s="24" t="s">
        <v>1880</v>
      </c>
      <c r="AA147" s="24" t="s">
        <v>1880</v>
      </c>
      <c r="AB147" s="136">
        <v>7.8</v>
      </c>
      <c r="AC147" s="30"/>
      <c r="AD147" s="136">
        <v>7.8</v>
      </c>
      <c r="AE147" s="59"/>
      <c r="AF147" s="59"/>
      <c r="AG147" s="35" t="s">
        <v>1104</v>
      </c>
      <c r="AH147" s="1742" t="s">
        <v>10629</v>
      </c>
      <c r="AI147" s="1742" t="s">
        <v>10640</v>
      </c>
      <c r="AJ147" s="202" t="s">
        <v>19</v>
      </c>
      <c r="AK147" s="35" t="s">
        <v>1880</v>
      </c>
      <c r="AL147" s="1742" t="s">
        <v>11637</v>
      </c>
    </row>
    <row r="148" spans="1:38" s="11" customFormat="1" ht="26.25" customHeight="1" x14ac:dyDescent="0.15">
      <c r="A148" s="8">
        <f t="shared" si="0"/>
        <v>146</v>
      </c>
      <c r="B148" s="36" t="s">
        <v>10762</v>
      </c>
      <c r="C148" s="26" t="s">
        <v>19</v>
      </c>
      <c r="D148" s="26" t="s">
        <v>19</v>
      </c>
      <c r="E148" s="26" t="s">
        <v>19</v>
      </c>
      <c r="F148" s="29" t="s">
        <v>10764</v>
      </c>
      <c r="G148" s="53" t="s">
        <v>10765</v>
      </c>
      <c r="H148" s="26" t="s">
        <v>19</v>
      </c>
      <c r="I148" s="26" t="s">
        <v>19</v>
      </c>
      <c r="J148" s="26" t="s">
        <v>19</v>
      </c>
      <c r="K148" s="1745" t="s">
        <v>4195</v>
      </c>
      <c r="L148" s="1745" t="s">
        <v>3101</v>
      </c>
      <c r="M148" s="1745" t="s">
        <v>9308</v>
      </c>
      <c r="N148" s="1745" t="s">
        <v>9309</v>
      </c>
      <c r="O148" s="22" t="s">
        <v>1826</v>
      </c>
      <c r="P148" s="1746" t="s">
        <v>111</v>
      </c>
      <c r="Q148" s="1745" t="s">
        <v>1131</v>
      </c>
      <c r="R148" s="54" t="s">
        <v>10766</v>
      </c>
      <c r="S148" s="1746" t="s">
        <v>111</v>
      </c>
      <c r="T148" s="1745" t="s">
        <v>3591</v>
      </c>
      <c r="U148" s="1745" t="s">
        <v>3591</v>
      </c>
      <c r="V148" s="24" t="s">
        <v>10767</v>
      </c>
      <c r="W148" s="90" t="s">
        <v>10768</v>
      </c>
      <c r="X148" s="24" t="s">
        <v>2359</v>
      </c>
      <c r="Y148" s="24">
        <v>1</v>
      </c>
      <c r="Z148" s="24" t="s">
        <v>10769</v>
      </c>
      <c r="AA148" s="24" t="s">
        <v>10770</v>
      </c>
      <c r="AB148" s="30"/>
      <c r="AC148" s="30">
        <v>8</v>
      </c>
      <c r="AD148" s="30">
        <v>8</v>
      </c>
      <c r="AE148" s="59"/>
      <c r="AF148" s="59"/>
      <c r="AG148" s="35" t="s">
        <v>1104</v>
      </c>
      <c r="AH148" s="1745" t="s">
        <v>10629</v>
      </c>
      <c r="AI148" s="35" t="s">
        <v>19</v>
      </c>
      <c r="AJ148" s="202" t="s">
        <v>19</v>
      </c>
      <c r="AK148" s="35" t="s">
        <v>1880</v>
      </c>
      <c r="AL148" s="1745"/>
    </row>
    <row r="149" spans="1:38" s="11" customFormat="1" ht="26.25" customHeight="1" x14ac:dyDescent="0.15">
      <c r="A149" s="8">
        <f t="shared" si="0"/>
        <v>147</v>
      </c>
      <c r="B149" s="36" t="s">
        <v>10763</v>
      </c>
      <c r="C149" s="71" t="s">
        <v>10771</v>
      </c>
      <c r="D149" s="26" t="s">
        <v>19</v>
      </c>
      <c r="E149" s="26" t="s">
        <v>19</v>
      </c>
      <c r="F149" s="29" t="s">
        <v>10773</v>
      </c>
      <c r="G149" s="53" t="s">
        <v>10774</v>
      </c>
      <c r="H149" s="26" t="s">
        <v>19</v>
      </c>
      <c r="I149" s="26" t="s">
        <v>19</v>
      </c>
      <c r="J149" s="26" t="s">
        <v>19</v>
      </c>
      <c r="K149" s="1745" t="s">
        <v>3649</v>
      </c>
      <c r="L149" s="1745" t="s">
        <v>4750</v>
      </c>
      <c r="M149" s="1745" t="s">
        <v>10775</v>
      </c>
      <c r="N149" s="22" t="s">
        <v>1138</v>
      </c>
      <c r="O149" s="22" t="s">
        <v>1826</v>
      </c>
      <c r="P149" s="1746" t="s">
        <v>111</v>
      </c>
      <c r="Q149" s="1745" t="s">
        <v>1131</v>
      </c>
      <c r="R149" s="54" t="s">
        <v>10772</v>
      </c>
      <c r="S149" s="1746" t="s">
        <v>111</v>
      </c>
      <c r="T149" s="1745" t="s">
        <v>2072</v>
      </c>
      <c r="U149" s="1745" t="s">
        <v>2072</v>
      </c>
      <c r="V149" s="24" t="s">
        <v>10767</v>
      </c>
      <c r="W149" s="90" t="s">
        <v>10776</v>
      </c>
      <c r="X149" s="24" t="s">
        <v>2359</v>
      </c>
      <c r="Y149" s="24">
        <v>1</v>
      </c>
      <c r="Z149" s="24" t="s">
        <v>2512</v>
      </c>
      <c r="AA149" s="24" t="s">
        <v>1880</v>
      </c>
      <c r="AB149" s="30">
        <v>22.75</v>
      </c>
      <c r="AC149" s="30"/>
      <c r="AD149" s="30">
        <v>22.75</v>
      </c>
      <c r="AE149" s="59"/>
      <c r="AF149" s="59"/>
      <c r="AG149" s="35" t="s">
        <v>1104</v>
      </c>
      <c r="AH149" s="35" t="s">
        <v>10637</v>
      </c>
      <c r="AI149" s="35" t="s">
        <v>19</v>
      </c>
      <c r="AJ149" s="202" t="s">
        <v>19</v>
      </c>
      <c r="AK149" s="35" t="s">
        <v>1880</v>
      </c>
      <c r="AL149" s="1745"/>
    </row>
    <row r="150" spans="1:38" s="11" customFormat="1" ht="26.25" customHeight="1" x14ac:dyDescent="0.15">
      <c r="A150" s="8">
        <f t="shared" si="0"/>
        <v>148</v>
      </c>
      <c r="B150" s="36" t="s">
        <v>10780</v>
      </c>
      <c r="C150" s="26" t="s">
        <v>19</v>
      </c>
      <c r="D150" s="26" t="s">
        <v>19</v>
      </c>
      <c r="E150" s="611" t="s">
        <v>11082</v>
      </c>
      <c r="F150" s="29" t="s">
        <v>5232</v>
      </c>
      <c r="G150" s="53" t="s">
        <v>10777</v>
      </c>
      <c r="H150" s="26" t="s">
        <v>19</v>
      </c>
      <c r="I150" s="26" t="s">
        <v>19</v>
      </c>
      <c r="J150" s="26" t="s">
        <v>19</v>
      </c>
      <c r="K150" s="1741" t="s">
        <v>2135</v>
      </c>
      <c r="L150" s="1741" t="s">
        <v>3215</v>
      </c>
      <c r="M150" s="1741" t="s">
        <v>5300</v>
      </c>
      <c r="N150" s="22" t="s">
        <v>1138</v>
      </c>
      <c r="O150" s="22" t="s">
        <v>1826</v>
      </c>
      <c r="P150" s="1748" t="s">
        <v>111</v>
      </c>
      <c r="Q150" s="1747" t="s">
        <v>1131</v>
      </c>
      <c r="R150" s="54" t="s">
        <v>10781</v>
      </c>
      <c r="S150" s="1748" t="s">
        <v>111</v>
      </c>
      <c r="T150" s="1747" t="s">
        <v>2072</v>
      </c>
      <c r="U150" s="1747" t="s">
        <v>2072</v>
      </c>
      <c r="V150" s="24" t="s">
        <v>10778</v>
      </c>
      <c r="W150" s="90" t="s">
        <v>10779</v>
      </c>
      <c r="X150" s="24" t="s">
        <v>2359</v>
      </c>
      <c r="Y150" s="24">
        <v>1</v>
      </c>
      <c r="Z150" s="24" t="s">
        <v>2512</v>
      </c>
      <c r="AA150" s="24" t="s">
        <v>1880</v>
      </c>
      <c r="AB150" s="30">
        <v>9.5715000000000003</v>
      </c>
      <c r="AC150" s="30"/>
      <c r="AD150" s="30">
        <v>9.5715000000000003</v>
      </c>
      <c r="AE150" s="59"/>
      <c r="AF150" s="59"/>
      <c r="AG150" s="35" t="s">
        <v>1104</v>
      </c>
      <c r="AH150" s="35" t="s">
        <v>10637</v>
      </c>
      <c r="AI150" s="35" t="s">
        <v>19</v>
      </c>
      <c r="AJ150" s="202" t="s">
        <v>19</v>
      </c>
      <c r="AK150" s="35" t="s">
        <v>1880</v>
      </c>
      <c r="AL150" s="1742"/>
    </row>
    <row r="151" spans="1:38" s="11" customFormat="1" ht="26.25" customHeight="1" x14ac:dyDescent="0.15">
      <c r="A151" s="8">
        <f t="shared" si="0"/>
        <v>149</v>
      </c>
      <c r="B151" s="36" t="s">
        <v>10783</v>
      </c>
      <c r="C151" s="26" t="s">
        <v>19</v>
      </c>
      <c r="D151" s="26" t="s">
        <v>19</v>
      </c>
      <c r="E151" s="26" t="s">
        <v>19</v>
      </c>
      <c r="F151" s="29" t="s">
        <v>10791</v>
      </c>
      <c r="G151" s="99" t="s">
        <v>8961</v>
      </c>
      <c r="H151" s="26" t="s">
        <v>19</v>
      </c>
      <c r="I151" s="26" t="s">
        <v>19</v>
      </c>
      <c r="J151" s="26" t="s">
        <v>19</v>
      </c>
      <c r="K151" s="26" t="s">
        <v>19</v>
      </c>
      <c r="L151" s="26" t="s">
        <v>19</v>
      </c>
      <c r="M151" s="26" t="s">
        <v>19</v>
      </c>
      <c r="N151" s="26" t="s">
        <v>19</v>
      </c>
      <c r="O151" s="26" t="s">
        <v>5478</v>
      </c>
      <c r="P151" s="26" t="s">
        <v>19</v>
      </c>
      <c r="Q151" s="1742" t="s">
        <v>1150</v>
      </c>
      <c r="R151" s="26" t="s">
        <v>19</v>
      </c>
      <c r="S151" s="1775" t="s">
        <v>111</v>
      </c>
      <c r="T151" s="1742" t="s">
        <v>3248</v>
      </c>
      <c r="U151" s="1742" t="s">
        <v>3248</v>
      </c>
      <c r="V151" s="24" t="s">
        <v>10792</v>
      </c>
      <c r="W151" s="499"/>
      <c r="X151" s="484"/>
      <c r="Y151" s="484"/>
      <c r="Z151" s="24" t="s">
        <v>1880</v>
      </c>
      <c r="AA151" s="24" t="s">
        <v>1880</v>
      </c>
      <c r="AB151" s="30">
        <v>5.3</v>
      </c>
      <c r="AC151" s="30"/>
      <c r="AD151" s="30">
        <v>5.3</v>
      </c>
      <c r="AE151" s="59" t="s">
        <v>11107</v>
      </c>
      <c r="AF151" s="59"/>
      <c r="AG151" s="35" t="s">
        <v>1104</v>
      </c>
      <c r="AH151" s="35" t="s">
        <v>2437</v>
      </c>
      <c r="AI151" s="35" t="s">
        <v>19</v>
      </c>
      <c r="AJ151" s="202" t="s">
        <v>19</v>
      </c>
      <c r="AK151" s="35" t="s">
        <v>1880</v>
      </c>
      <c r="AL151" s="1742" t="s">
        <v>10793</v>
      </c>
    </row>
    <row r="152" spans="1:38" s="11" customFormat="1" ht="26.25" customHeight="1" x14ac:dyDescent="0.15">
      <c r="A152" s="8">
        <f t="shared" si="0"/>
        <v>150</v>
      </c>
      <c r="B152" s="36" t="s">
        <v>10784</v>
      </c>
      <c r="C152" s="26" t="s">
        <v>10989</v>
      </c>
      <c r="D152" s="26" t="s">
        <v>19</v>
      </c>
      <c r="E152" s="26" t="s">
        <v>19</v>
      </c>
      <c r="F152" s="29" t="s">
        <v>10785</v>
      </c>
      <c r="G152" s="53" t="s">
        <v>10786</v>
      </c>
      <c r="H152" s="26" t="s">
        <v>19</v>
      </c>
      <c r="I152" s="26" t="s">
        <v>19</v>
      </c>
      <c r="J152" s="26" t="s">
        <v>19</v>
      </c>
      <c r="K152" s="1752" t="s">
        <v>2135</v>
      </c>
      <c r="L152" s="1752" t="s">
        <v>3215</v>
      </c>
      <c r="M152" s="1752" t="s">
        <v>10787</v>
      </c>
      <c r="N152" s="22" t="s">
        <v>11586</v>
      </c>
      <c r="O152" s="22" t="s">
        <v>1826</v>
      </c>
      <c r="P152" s="1754" t="s">
        <v>111</v>
      </c>
      <c r="Q152" s="1753" t="s">
        <v>1131</v>
      </c>
      <c r="R152" s="54" t="s">
        <v>10781</v>
      </c>
      <c r="S152" s="1754" t="s">
        <v>111</v>
      </c>
      <c r="T152" s="1753" t="s">
        <v>2072</v>
      </c>
      <c r="U152" s="1753" t="s">
        <v>2072</v>
      </c>
      <c r="V152" s="24" t="s">
        <v>10790</v>
      </c>
      <c r="W152" s="90" t="s">
        <v>10779</v>
      </c>
      <c r="X152" s="24" t="s">
        <v>2359</v>
      </c>
      <c r="Y152" s="24">
        <v>1</v>
      </c>
      <c r="Z152" s="24" t="s">
        <v>2512</v>
      </c>
      <c r="AA152" s="24" t="s">
        <v>1880</v>
      </c>
      <c r="AB152" s="30">
        <v>5.0279999999999996</v>
      </c>
      <c r="AC152" s="30"/>
      <c r="AD152" s="30">
        <v>5.0279999999999996</v>
      </c>
      <c r="AE152" s="59"/>
      <c r="AF152" s="59"/>
      <c r="AG152" s="35" t="s">
        <v>1104</v>
      </c>
      <c r="AH152" s="35" t="s">
        <v>10637</v>
      </c>
      <c r="AI152" s="35" t="s">
        <v>19</v>
      </c>
      <c r="AJ152" s="202" t="s">
        <v>19</v>
      </c>
      <c r="AK152" s="35" t="s">
        <v>1880</v>
      </c>
      <c r="AL152" s="1753"/>
    </row>
    <row r="153" spans="1:38" s="11" customFormat="1" ht="26.25" customHeight="1" x14ac:dyDescent="0.15">
      <c r="A153" s="8">
        <f t="shared" si="0"/>
        <v>151</v>
      </c>
      <c r="B153" s="36" t="s">
        <v>10897</v>
      </c>
      <c r="C153" s="26" t="s">
        <v>10990</v>
      </c>
      <c r="D153" s="26" t="s">
        <v>19</v>
      </c>
      <c r="E153" s="26" t="s">
        <v>10898</v>
      </c>
      <c r="F153" s="29" t="s">
        <v>10785</v>
      </c>
      <c r="G153" s="53" t="s">
        <v>10786</v>
      </c>
      <c r="H153" s="26" t="s">
        <v>19</v>
      </c>
      <c r="I153" s="26" t="s">
        <v>19</v>
      </c>
      <c r="J153" s="26" t="s">
        <v>19</v>
      </c>
      <c r="K153" s="1752" t="s">
        <v>2135</v>
      </c>
      <c r="L153" s="1752" t="s">
        <v>3215</v>
      </c>
      <c r="M153" s="1752" t="s">
        <v>10788</v>
      </c>
      <c r="N153" s="22" t="s">
        <v>11587</v>
      </c>
      <c r="O153" s="22" t="s">
        <v>1826</v>
      </c>
      <c r="P153" s="1754" t="s">
        <v>111</v>
      </c>
      <c r="Q153" s="1753" t="s">
        <v>1131</v>
      </c>
      <c r="R153" s="54" t="s">
        <v>10781</v>
      </c>
      <c r="S153" s="1754" t="s">
        <v>111</v>
      </c>
      <c r="T153" s="1753" t="s">
        <v>2072</v>
      </c>
      <c r="U153" s="1753" t="s">
        <v>2072</v>
      </c>
      <c r="V153" s="24" t="s">
        <v>10790</v>
      </c>
      <c r="W153" s="90" t="s">
        <v>10779</v>
      </c>
      <c r="X153" s="24" t="s">
        <v>2359</v>
      </c>
      <c r="Y153" s="24">
        <v>1</v>
      </c>
      <c r="Z153" s="24" t="s">
        <v>2512</v>
      </c>
      <c r="AA153" s="24" t="s">
        <v>1880</v>
      </c>
      <c r="AB153" s="30">
        <v>9.5715000000000003</v>
      </c>
      <c r="AC153" s="30"/>
      <c r="AD153" s="30">
        <v>9.5715000000000003</v>
      </c>
      <c r="AE153" s="59"/>
      <c r="AF153" s="59"/>
      <c r="AG153" s="35" t="s">
        <v>1104</v>
      </c>
      <c r="AH153" s="35" t="s">
        <v>10637</v>
      </c>
      <c r="AI153" s="35" t="s">
        <v>19</v>
      </c>
      <c r="AJ153" s="202" t="s">
        <v>19</v>
      </c>
      <c r="AK153" s="35" t="s">
        <v>1880</v>
      </c>
      <c r="AL153" s="1753"/>
    </row>
    <row r="154" spans="1:38" s="11" customFormat="1" ht="26.25" customHeight="1" x14ac:dyDescent="0.15">
      <c r="A154" s="8">
        <f t="shared" si="0"/>
        <v>152</v>
      </c>
      <c r="B154" s="36" t="s">
        <v>10899</v>
      </c>
      <c r="C154" s="26" t="s">
        <v>19</v>
      </c>
      <c r="D154" s="26" t="s">
        <v>19</v>
      </c>
      <c r="E154" s="26" t="s">
        <v>11083</v>
      </c>
      <c r="F154" s="29" t="s">
        <v>10785</v>
      </c>
      <c r="G154" s="53" t="s">
        <v>10786</v>
      </c>
      <c r="H154" s="26" t="s">
        <v>19</v>
      </c>
      <c r="I154" s="26" t="s">
        <v>19</v>
      </c>
      <c r="J154" s="26" t="s">
        <v>19</v>
      </c>
      <c r="K154" s="1752" t="s">
        <v>2135</v>
      </c>
      <c r="L154" s="1752" t="s">
        <v>3215</v>
      </c>
      <c r="M154" s="1752" t="s">
        <v>10789</v>
      </c>
      <c r="N154" s="22" t="s">
        <v>11588</v>
      </c>
      <c r="O154" s="22" t="s">
        <v>1826</v>
      </c>
      <c r="P154" s="1754" t="s">
        <v>111</v>
      </c>
      <c r="Q154" s="1753" t="s">
        <v>1131</v>
      </c>
      <c r="R154" s="54" t="s">
        <v>10781</v>
      </c>
      <c r="S154" s="1754" t="s">
        <v>111</v>
      </c>
      <c r="T154" s="1753" t="s">
        <v>2072</v>
      </c>
      <c r="U154" s="1753" t="s">
        <v>2072</v>
      </c>
      <c r="V154" s="24" t="s">
        <v>10790</v>
      </c>
      <c r="W154" s="90" t="s">
        <v>10779</v>
      </c>
      <c r="X154" s="24" t="s">
        <v>2359</v>
      </c>
      <c r="Y154" s="24">
        <v>1</v>
      </c>
      <c r="Z154" s="24" t="s">
        <v>2512</v>
      </c>
      <c r="AA154" s="24" t="s">
        <v>1880</v>
      </c>
      <c r="AB154" s="30">
        <v>9.5715000000000003</v>
      </c>
      <c r="AC154" s="30"/>
      <c r="AD154" s="30">
        <v>9.5715000000000003</v>
      </c>
      <c r="AE154" s="59"/>
      <c r="AF154" s="59"/>
      <c r="AG154" s="35" t="s">
        <v>1104</v>
      </c>
      <c r="AH154" s="35" t="s">
        <v>10637</v>
      </c>
      <c r="AI154" s="35" t="s">
        <v>19</v>
      </c>
      <c r="AJ154" s="202" t="s">
        <v>19</v>
      </c>
      <c r="AK154" s="35" t="s">
        <v>1880</v>
      </c>
      <c r="AL154" s="1753"/>
    </row>
    <row r="155" spans="1:38" s="11" customFormat="1" ht="26.25" customHeight="1" x14ac:dyDescent="0.15">
      <c r="A155" s="8">
        <f t="shared" si="0"/>
        <v>153</v>
      </c>
      <c r="B155" s="36" t="s">
        <v>10794</v>
      </c>
      <c r="C155" s="26" t="s">
        <v>19</v>
      </c>
      <c r="D155" s="26" t="s">
        <v>19</v>
      </c>
      <c r="E155" s="36" t="s">
        <v>11473</v>
      </c>
      <c r="F155" s="29" t="s">
        <v>10796</v>
      </c>
      <c r="G155" s="53" t="s">
        <v>10797</v>
      </c>
      <c r="H155" s="26" t="s">
        <v>19</v>
      </c>
      <c r="I155" s="26" t="s">
        <v>19</v>
      </c>
      <c r="J155" s="26" t="s">
        <v>19</v>
      </c>
      <c r="K155" s="1752" t="s">
        <v>2135</v>
      </c>
      <c r="L155" s="1752" t="s">
        <v>3215</v>
      </c>
      <c r="M155" s="1752" t="s">
        <v>10798</v>
      </c>
      <c r="N155" s="22" t="s">
        <v>1138</v>
      </c>
      <c r="O155" s="22" t="s">
        <v>1826</v>
      </c>
      <c r="P155" s="1757" t="s">
        <v>111</v>
      </c>
      <c r="Q155" s="1756" t="s">
        <v>1131</v>
      </c>
      <c r="R155" s="54" t="s">
        <v>10781</v>
      </c>
      <c r="S155" s="1757" t="s">
        <v>111</v>
      </c>
      <c r="T155" s="1756" t="s">
        <v>2072</v>
      </c>
      <c r="U155" s="1756" t="s">
        <v>2072</v>
      </c>
      <c r="V155" s="24" t="s">
        <v>10799</v>
      </c>
      <c r="W155" s="90" t="s">
        <v>10800</v>
      </c>
      <c r="X155" s="24" t="s">
        <v>2359</v>
      </c>
      <c r="Y155" s="24">
        <v>1</v>
      </c>
      <c r="Z155" s="24" t="s">
        <v>2512</v>
      </c>
      <c r="AA155" s="24" t="s">
        <v>1880</v>
      </c>
      <c r="AB155" s="30">
        <v>9.5715000000000003</v>
      </c>
      <c r="AC155" s="30"/>
      <c r="AD155" s="30">
        <v>9.5715000000000003</v>
      </c>
      <c r="AE155" s="59"/>
      <c r="AF155" s="59"/>
      <c r="AG155" s="35" t="s">
        <v>1104</v>
      </c>
      <c r="AH155" s="35" t="s">
        <v>10637</v>
      </c>
      <c r="AI155" s="35" t="s">
        <v>19</v>
      </c>
      <c r="AJ155" s="202" t="s">
        <v>19</v>
      </c>
      <c r="AK155" s="35" t="s">
        <v>1880</v>
      </c>
      <c r="AL155" s="1753"/>
    </row>
    <row r="156" spans="1:38" s="11" customFormat="1" ht="26.25" customHeight="1" x14ac:dyDescent="0.15">
      <c r="A156" s="8">
        <f t="shared" si="0"/>
        <v>154</v>
      </c>
      <c r="B156" s="36" t="s">
        <v>10795</v>
      </c>
      <c r="C156" s="26" t="s">
        <v>19</v>
      </c>
      <c r="D156" s="26" t="s">
        <v>19</v>
      </c>
      <c r="E156" s="26" t="s">
        <v>11084</v>
      </c>
      <c r="F156" s="29" t="s">
        <v>10801</v>
      </c>
      <c r="G156" s="53" t="s">
        <v>10803</v>
      </c>
      <c r="H156" s="26" t="s">
        <v>19</v>
      </c>
      <c r="I156" s="26" t="s">
        <v>19</v>
      </c>
      <c r="J156" s="26" t="s">
        <v>19</v>
      </c>
      <c r="K156" s="1755" t="s">
        <v>2135</v>
      </c>
      <c r="L156" s="1755" t="s">
        <v>3215</v>
      </c>
      <c r="M156" s="1750" t="s">
        <v>10802</v>
      </c>
      <c r="N156" s="22" t="s">
        <v>1138</v>
      </c>
      <c r="O156" s="22" t="s">
        <v>1826</v>
      </c>
      <c r="P156" s="1757" t="s">
        <v>111</v>
      </c>
      <c r="Q156" s="1756" t="s">
        <v>1131</v>
      </c>
      <c r="R156" s="54" t="s">
        <v>10781</v>
      </c>
      <c r="S156" s="1757" t="s">
        <v>111</v>
      </c>
      <c r="T156" s="1756" t="s">
        <v>2072</v>
      </c>
      <c r="U156" s="1756" t="s">
        <v>2072</v>
      </c>
      <c r="V156" s="24" t="s">
        <v>10799</v>
      </c>
      <c r="W156" s="90" t="s">
        <v>10800</v>
      </c>
      <c r="X156" s="24" t="s">
        <v>2359</v>
      </c>
      <c r="Y156" s="24">
        <v>1</v>
      </c>
      <c r="Z156" s="24" t="s">
        <v>2512</v>
      </c>
      <c r="AA156" s="24" t="s">
        <v>1880</v>
      </c>
      <c r="AB156" s="30">
        <v>9.5715000000000003</v>
      </c>
      <c r="AC156" s="30"/>
      <c r="AD156" s="30">
        <v>9.5715000000000003</v>
      </c>
      <c r="AE156" s="59"/>
      <c r="AF156" s="59"/>
      <c r="AG156" s="35" t="s">
        <v>1104</v>
      </c>
      <c r="AH156" s="35" t="s">
        <v>10637</v>
      </c>
      <c r="AI156" s="35" t="s">
        <v>19</v>
      </c>
      <c r="AJ156" s="202" t="s">
        <v>19</v>
      </c>
      <c r="AK156" s="35" t="s">
        <v>1880</v>
      </c>
      <c r="AL156" s="1756"/>
    </row>
    <row r="157" spans="1:38" s="11" customFormat="1" ht="26.25" customHeight="1" x14ac:dyDescent="0.15">
      <c r="A157" s="8">
        <f t="shared" si="0"/>
        <v>155</v>
      </c>
      <c r="B157" s="36" t="s">
        <v>10804</v>
      </c>
      <c r="C157" s="71" t="s">
        <v>10809</v>
      </c>
      <c r="D157" s="26" t="s">
        <v>19</v>
      </c>
      <c r="E157" s="36" t="s">
        <v>11494</v>
      </c>
      <c r="F157" s="29" t="s">
        <v>10816</v>
      </c>
      <c r="G157" s="53" t="s">
        <v>10817</v>
      </c>
      <c r="H157" s="26" t="s">
        <v>19</v>
      </c>
      <c r="I157" s="26" t="s">
        <v>19</v>
      </c>
      <c r="J157" s="26" t="s">
        <v>19</v>
      </c>
      <c r="K157" s="1758" t="s">
        <v>4712</v>
      </c>
      <c r="L157" s="1758" t="s">
        <v>1124</v>
      </c>
      <c r="M157" s="1758" t="s">
        <v>9026</v>
      </c>
      <c r="N157" s="22" t="s">
        <v>1138</v>
      </c>
      <c r="O157" s="22" t="s">
        <v>1826</v>
      </c>
      <c r="P157" s="1759" t="s">
        <v>111</v>
      </c>
      <c r="Q157" s="1758" t="s">
        <v>1131</v>
      </c>
      <c r="R157" s="54" t="s">
        <v>10814</v>
      </c>
      <c r="S157" s="1759" t="s">
        <v>111</v>
      </c>
      <c r="T157" s="1758" t="s">
        <v>3248</v>
      </c>
      <c r="U157" s="1758" t="s">
        <v>3248</v>
      </c>
      <c r="V157" s="24" t="s">
        <v>10799</v>
      </c>
      <c r="W157" s="90" t="s">
        <v>10815</v>
      </c>
      <c r="X157" s="24" t="s">
        <v>2359</v>
      </c>
      <c r="Y157" s="24">
        <v>1</v>
      </c>
      <c r="Z157" s="24" t="s">
        <v>1880</v>
      </c>
      <c r="AA157" s="24" t="s">
        <v>1880</v>
      </c>
      <c r="AB157" s="30">
        <v>37.5</v>
      </c>
      <c r="AC157" s="30"/>
      <c r="AD157" s="30">
        <v>37.5</v>
      </c>
      <c r="AE157" s="59"/>
      <c r="AF157" s="59"/>
      <c r="AG157" s="35" t="s">
        <v>1104</v>
      </c>
      <c r="AH157" s="35" t="s">
        <v>10637</v>
      </c>
      <c r="AI157" s="35" t="s">
        <v>19</v>
      </c>
      <c r="AJ157" s="202" t="s">
        <v>19</v>
      </c>
      <c r="AK157" s="35" t="s">
        <v>1880</v>
      </c>
      <c r="AL157" s="1758"/>
    </row>
    <row r="158" spans="1:38" s="11" customFormat="1" ht="26.25" customHeight="1" x14ac:dyDescent="0.15">
      <c r="A158" s="8">
        <f t="shared" si="0"/>
        <v>156</v>
      </c>
      <c r="B158" s="36" t="s">
        <v>10805</v>
      </c>
      <c r="C158" s="71" t="s">
        <v>10810</v>
      </c>
      <c r="D158" s="26" t="s">
        <v>19</v>
      </c>
      <c r="E158" s="26" t="s">
        <v>19</v>
      </c>
      <c r="F158" s="29" t="s">
        <v>10816</v>
      </c>
      <c r="G158" s="53" t="s">
        <v>10818</v>
      </c>
      <c r="H158" s="26" t="s">
        <v>19</v>
      </c>
      <c r="I158" s="26" t="s">
        <v>19</v>
      </c>
      <c r="J158" s="26" t="s">
        <v>19</v>
      </c>
      <c r="K158" s="1758" t="s">
        <v>4712</v>
      </c>
      <c r="L158" s="1758" t="s">
        <v>1124</v>
      </c>
      <c r="M158" s="1758" t="s">
        <v>9500</v>
      </c>
      <c r="N158" s="22" t="s">
        <v>1138</v>
      </c>
      <c r="O158" s="22" t="s">
        <v>1826</v>
      </c>
      <c r="P158" s="1759" t="s">
        <v>111</v>
      </c>
      <c r="Q158" s="1758" t="s">
        <v>1131</v>
      </c>
      <c r="R158" s="54" t="s">
        <v>10814</v>
      </c>
      <c r="S158" s="1759" t="s">
        <v>111</v>
      </c>
      <c r="T158" s="1758" t="s">
        <v>3248</v>
      </c>
      <c r="U158" s="1758" t="s">
        <v>3248</v>
      </c>
      <c r="V158" s="24" t="s">
        <v>10799</v>
      </c>
      <c r="W158" s="90" t="s">
        <v>10815</v>
      </c>
      <c r="X158" s="24" t="s">
        <v>2359</v>
      </c>
      <c r="Y158" s="24">
        <v>1</v>
      </c>
      <c r="Z158" s="24" t="s">
        <v>1880</v>
      </c>
      <c r="AA158" s="24" t="s">
        <v>1880</v>
      </c>
      <c r="AB158" s="30">
        <v>18.75</v>
      </c>
      <c r="AC158" s="30"/>
      <c r="AD158" s="30">
        <v>18.75</v>
      </c>
      <c r="AE158" s="59"/>
      <c r="AF158" s="59"/>
      <c r="AG158" s="35" t="s">
        <v>1104</v>
      </c>
      <c r="AH158" s="35" t="s">
        <v>10637</v>
      </c>
      <c r="AI158" s="35" t="s">
        <v>19</v>
      </c>
      <c r="AJ158" s="202" t="s">
        <v>19</v>
      </c>
      <c r="AK158" s="35" t="s">
        <v>1880</v>
      </c>
      <c r="AL158" s="1758"/>
    </row>
    <row r="159" spans="1:38" s="11" customFormat="1" ht="26.25" customHeight="1" x14ac:dyDescent="0.15">
      <c r="A159" s="8">
        <f t="shared" si="0"/>
        <v>157</v>
      </c>
      <c r="B159" s="36" t="s">
        <v>10806</v>
      </c>
      <c r="C159" s="71" t="s">
        <v>10811</v>
      </c>
      <c r="D159" s="26" t="s">
        <v>19</v>
      </c>
      <c r="E159" s="26" t="s">
        <v>19</v>
      </c>
      <c r="F159" s="29" t="s">
        <v>10816</v>
      </c>
      <c r="G159" s="53" t="s">
        <v>10819</v>
      </c>
      <c r="H159" s="26" t="s">
        <v>19</v>
      </c>
      <c r="I159" s="26" t="s">
        <v>19</v>
      </c>
      <c r="J159" s="26" t="s">
        <v>19</v>
      </c>
      <c r="K159" s="1758" t="s">
        <v>4712</v>
      </c>
      <c r="L159" s="1758" t="s">
        <v>1124</v>
      </c>
      <c r="M159" s="1758" t="s">
        <v>10256</v>
      </c>
      <c r="N159" s="22" t="s">
        <v>1138</v>
      </c>
      <c r="O159" s="22" t="s">
        <v>1826</v>
      </c>
      <c r="P159" s="1759" t="s">
        <v>111</v>
      </c>
      <c r="Q159" s="1758" t="s">
        <v>1131</v>
      </c>
      <c r="R159" s="54" t="s">
        <v>7343</v>
      </c>
      <c r="S159" s="1759" t="s">
        <v>111</v>
      </c>
      <c r="T159" s="1758" t="s">
        <v>3248</v>
      </c>
      <c r="U159" s="1758" t="s">
        <v>3248</v>
      </c>
      <c r="V159" s="24" t="s">
        <v>10799</v>
      </c>
      <c r="W159" s="90" t="s">
        <v>10815</v>
      </c>
      <c r="X159" s="24" t="s">
        <v>2359</v>
      </c>
      <c r="Y159" s="24">
        <v>1</v>
      </c>
      <c r="Z159" s="24" t="s">
        <v>2512</v>
      </c>
      <c r="AA159" s="24" t="s">
        <v>1880</v>
      </c>
      <c r="AB159" s="30">
        <v>37.5</v>
      </c>
      <c r="AC159" s="30"/>
      <c r="AD159" s="30">
        <v>37.5</v>
      </c>
      <c r="AE159" s="59"/>
      <c r="AF159" s="59"/>
      <c r="AG159" s="35" t="s">
        <v>1104</v>
      </c>
      <c r="AH159" s="35" t="s">
        <v>10637</v>
      </c>
      <c r="AI159" s="35" t="s">
        <v>19</v>
      </c>
      <c r="AJ159" s="202" t="s">
        <v>19</v>
      </c>
      <c r="AK159" s="35" t="s">
        <v>1880</v>
      </c>
      <c r="AL159" s="1758"/>
    </row>
    <row r="160" spans="1:38" s="11" customFormat="1" ht="26.25" customHeight="1" x14ac:dyDescent="0.15">
      <c r="A160" s="8">
        <f t="shared" si="0"/>
        <v>158</v>
      </c>
      <c r="B160" s="36" t="s">
        <v>10807</v>
      </c>
      <c r="C160" s="71" t="s">
        <v>10812</v>
      </c>
      <c r="D160" s="26" t="s">
        <v>19</v>
      </c>
      <c r="E160" s="36" t="s">
        <v>11495</v>
      </c>
      <c r="F160" s="29" t="s">
        <v>10816</v>
      </c>
      <c r="G160" s="53" t="s">
        <v>10820</v>
      </c>
      <c r="H160" s="26" t="s">
        <v>19</v>
      </c>
      <c r="I160" s="26" t="s">
        <v>19</v>
      </c>
      <c r="J160" s="26" t="s">
        <v>19</v>
      </c>
      <c r="K160" s="1758" t="s">
        <v>4712</v>
      </c>
      <c r="L160" s="1758" t="s">
        <v>1124</v>
      </c>
      <c r="M160" s="1758" t="s">
        <v>7260</v>
      </c>
      <c r="N160" s="22" t="s">
        <v>1138</v>
      </c>
      <c r="O160" s="22" t="s">
        <v>1826</v>
      </c>
      <c r="P160" s="1759" t="s">
        <v>111</v>
      </c>
      <c r="Q160" s="1758" t="s">
        <v>1131</v>
      </c>
      <c r="R160" s="54" t="s">
        <v>10814</v>
      </c>
      <c r="S160" s="1759" t="s">
        <v>111</v>
      </c>
      <c r="T160" s="1758" t="s">
        <v>3248</v>
      </c>
      <c r="U160" s="1758" t="s">
        <v>3248</v>
      </c>
      <c r="V160" s="24" t="s">
        <v>10799</v>
      </c>
      <c r="W160" s="90" t="s">
        <v>10815</v>
      </c>
      <c r="X160" s="24" t="s">
        <v>2359</v>
      </c>
      <c r="Y160" s="24">
        <v>1</v>
      </c>
      <c r="Z160" s="24" t="s">
        <v>1880</v>
      </c>
      <c r="AA160" s="24" t="s">
        <v>1880</v>
      </c>
      <c r="AB160" s="30">
        <v>18.75</v>
      </c>
      <c r="AC160" s="30"/>
      <c r="AD160" s="30">
        <v>18.75</v>
      </c>
      <c r="AE160" s="59"/>
      <c r="AF160" s="59"/>
      <c r="AG160" s="35" t="s">
        <v>1104</v>
      </c>
      <c r="AH160" s="35" t="s">
        <v>10637</v>
      </c>
      <c r="AI160" s="35" t="s">
        <v>19</v>
      </c>
      <c r="AJ160" s="202" t="s">
        <v>19</v>
      </c>
      <c r="AK160" s="35" t="s">
        <v>1880</v>
      </c>
      <c r="AL160" s="1751"/>
    </row>
    <row r="161" spans="1:38" s="11" customFormat="1" ht="26.25" customHeight="1" x14ac:dyDescent="0.15">
      <c r="A161" s="8">
        <f t="shared" si="0"/>
        <v>159</v>
      </c>
      <c r="B161" s="36" t="s">
        <v>10808</v>
      </c>
      <c r="C161" s="71" t="s">
        <v>10813</v>
      </c>
      <c r="D161" s="26" t="s">
        <v>19</v>
      </c>
      <c r="E161" s="36" t="s">
        <v>11496</v>
      </c>
      <c r="F161" s="29" t="s">
        <v>10816</v>
      </c>
      <c r="G161" s="53" t="s">
        <v>10821</v>
      </c>
      <c r="H161" s="26" t="s">
        <v>19</v>
      </c>
      <c r="I161" s="26" t="s">
        <v>19</v>
      </c>
      <c r="J161" s="26" t="s">
        <v>19</v>
      </c>
      <c r="K161" s="1758" t="s">
        <v>4712</v>
      </c>
      <c r="L161" s="1758" t="s">
        <v>1124</v>
      </c>
      <c r="M161" s="1758" t="s">
        <v>5961</v>
      </c>
      <c r="N161" s="22" t="s">
        <v>1138</v>
      </c>
      <c r="O161" s="22" t="s">
        <v>1826</v>
      </c>
      <c r="P161" s="1759" t="s">
        <v>111</v>
      </c>
      <c r="Q161" s="1758" t="s">
        <v>1131</v>
      </c>
      <c r="R161" s="54" t="s">
        <v>10814</v>
      </c>
      <c r="S161" s="1759" t="s">
        <v>111</v>
      </c>
      <c r="T161" s="1758" t="s">
        <v>3248</v>
      </c>
      <c r="U161" s="1758" t="s">
        <v>3248</v>
      </c>
      <c r="V161" s="24" t="s">
        <v>10799</v>
      </c>
      <c r="W161" s="90" t="s">
        <v>10815</v>
      </c>
      <c r="X161" s="24" t="s">
        <v>2359</v>
      </c>
      <c r="Y161" s="24">
        <v>1</v>
      </c>
      <c r="Z161" s="24" t="s">
        <v>1880</v>
      </c>
      <c r="AA161" s="24" t="s">
        <v>1880</v>
      </c>
      <c r="AB161" s="30">
        <v>37.5</v>
      </c>
      <c r="AC161" s="30"/>
      <c r="AD161" s="30">
        <v>37.5</v>
      </c>
      <c r="AE161" s="59"/>
      <c r="AF161" s="59"/>
      <c r="AG161" s="35" t="s">
        <v>1104</v>
      </c>
      <c r="AH161" s="35" t="s">
        <v>10637</v>
      </c>
      <c r="AI161" s="35" t="s">
        <v>19</v>
      </c>
      <c r="AJ161" s="202" t="s">
        <v>19</v>
      </c>
      <c r="AK161" s="35" t="s">
        <v>1880</v>
      </c>
      <c r="AL161" s="1727"/>
    </row>
    <row r="162" spans="1:38" s="11" customFormat="1" ht="26.25" customHeight="1" x14ac:dyDescent="0.15">
      <c r="A162" s="8">
        <f t="shared" si="0"/>
        <v>160</v>
      </c>
      <c r="B162" s="36" t="s">
        <v>10822</v>
      </c>
      <c r="C162" s="26" t="s">
        <v>19</v>
      </c>
      <c r="D162" s="26" t="s">
        <v>19</v>
      </c>
      <c r="E162" s="26" t="s">
        <v>19</v>
      </c>
      <c r="F162" s="29" t="s">
        <v>10824</v>
      </c>
      <c r="G162" s="53" t="s">
        <v>7480</v>
      </c>
      <c r="H162" s="26" t="s">
        <v>19</v>
      </c>
      <c r="I162" s="26" t="s">
        <v>19</v>
      </c>
      <c r="J162" s="26" t="s">
        <v>19</v>
      </c>
      <c r="K162" s="1760" t="s">
        <v>2012</v>
      </c>
      <c r="L162" s="1760" t="s">
        <v>10477</v>
      </c>
      <c r="M162" s="1760" t="s">
        <v>10825</v>
      </c>
      <c r="N162" s="22" t="s">
        <v>1138</v>
      </c>
      <c r="O162" s="22" t="s">
        <v>1826</v>
      </c>
      <c r="P162" s="1764" t="s">
        <v>111</v>
      </c>
      <c r="Q162" s="1763" t="s">
        <v>1131</v>
      </c>
      <c r="R162" s="54" t="s">
        <v>5708</v>
      </c>
      <c r="S162" s="1764" t="s">
        <v>111</v>
      </c>
      <c r="T162" s="1763" t="s">
        <v>3248</v>
      </c>
      <c r="U162" s="1763" t="s">
        <v>3248</v>
      </c>
      <c r="V162" s="24" t="s">
        <v>10826</v>
      </c>
      <c r="W162" s="90" t="s">
        <v>10826</v>
      </c>
      <c r="X162" s="24" t="s">
        <v>2359</v>
      </c>
      <c r="Y162" s="24">
        <v>1</v>
      </c>
      <c r="Z162" s="24" t="s">
        <v>5306</v>
      </c>
      <c r="AA162" s="24" t="s">
        <v>1880</v>
      </c>
      <c r="AB162" s="30">
        <v>44</v>
      </c>
      <c r="AC162" s="30"/>
      <c r="AD162" s="30">
        <v>44</v>
      </c>
      <c r="AE162" s="59"/>
      <c r="AF162" s="59"/>
      <c r="AG162" s="35" t="s">
        <v>1104</v>
      </c>
      <c r="AH162" s="35" t="s">
        <v>10637</v>
      </c>
      <c r="AI162" s="35" t="s">
        <v>19</v>
      </c>
      <c r="AJ162" s="202" t="s">
        <v>19</v>
      </c>
      <c r="AK162" s="35" t="s">
        <v>1880</v>
      </c>
      <c r="AL162" s="1761"/>
    </row>
    <row r="163" spans="1:38" s="11" customFormat="1" ht="26.25" customHeight="1" x14ac:dyDescent="0.15">
      <c r="A163" s="8">
        <f t="shared" si="0"/>
        <v>161</v>
      </c>
      <c r="B163" s="36" t="s">
        <v>10823</v>
      </c>
      <c r="C163" s="26" t="s">
        <v>19</v>
      </c>
      <c r="D163" s="26" t="s">
        <v>19</v>
      </c>
      <c r="E163" s="26" t="s">
        <v>19</v>
      </c>
      <c r="F163" s="29" t="s">
        <v>10824</v>
      </c>
      <c r="G163" s="53" t="s">
        <v>7480</v>
      </c>
      <c r="H163" s="26" t="s">
        <v>19</v>
      </c>
      <c r="I163" s="26" t="s">
        <v>19</v>
      </c>
      <c r="J163" s="26" t="s">
        <v>19</v>
      </c>
      <c r="K163" s="1762" t="s">
        <v>2012</v>
      </c>
      <c r="L163" s="1762" t="s">
        <v>10477</v>
      </c>
      <c r="M163" s="1760" t="s">
        <v>10827</v>
      </c>
      <c r="N163" s="22" t="s">
        <v>1138</v>
      </c>
      <c r="O163" s="22" t="s">
        <v>1826</v>
      </c>
      <c r="P163" s="1764" t="s">
        <v>111</v>
      </c>
      <c r="Q163" s="1763" t="s">
        <v>1131</v>
      </c>
      <c r="R163" s="54" t="s">
        <v>5708</v>
      </c>
      <c r="S163" s="1764" t="s">
        <v>111</v>
      </c>
      <c r="T163" s="1763" t="s">
        <v>3248</v>
      </c>
      <c r="U163" s="1763" t="s">
        <v>3248</v>
      </c>
      <c r="V163" s="24" t="s">
        <v>10826</v>
      </c>
      <c r="W163" s="90" t="s">
        <v>10826</v>
      </c>
      <c r="X163" s="24" t="s">
        <v>2359</v>
      </c>
      <c r="Y163" s="24">
        <v>1</v>
      </c>
      <c r="Z163" s="24" t="s">
        <v>5306</v>
      </c>
      <c r="AA163" s="24" t="s">
        <v>1880</v>
      </c>
      <c r="AB163" s="30">
        <v>44</v>
      </c>
      <c r="AC163" s="30"/>
      <c r="AD163" s="30">
        <v>44</v>
      </c>
      <c r="AE163" s="59"/>
      <c r="AF163" s="59"/>
      <c r="AG163" s="35" t="s">
        <v>1104</v>
      </c>
      <c r="AH163" s="35" t="s">
        <v>10637</v>
      </c>
      <c r="AI163" s="35" t="s">
        <v>19</v>
      </c>
      <c r="AJ163" s="202" t="s">
        <v>19</v>
      </c>
      <c r="AK163" s="35" t="s">
        <v>1880</v>
      </c>
      <c r="AL163" s="1761"/>
    </row>
    <row r="164" spans="1:38" s="11" customFormat="1" ht="26.25" customHeight="1" x14ac:dyDescent="0.15">
      <c r="A164" s="8">
        <f t="shared" si="0"/>
        <v>162</v>
      </c>
      <c r="B164" s="36" t="s">
        <v>10828</v>
      </c>
      <c r="C164" s="26" t="s">
        <v>19</v>
      </c>
      <c r="D164" s="26" t="s">
        <v>19</v>
      </c>
      <c r="E164" s="26" t="s">
        <v>19</v>
      </c>
      <c r="F164" s="29" t="s">
        <v>8127</v>
      </c>
      <c r="G164" s="53" t="s">
        <v>10829</v>
      </c>
      <c r="H164" s="26" t="s">
        <v>19</v>
      </c>
      <c r="I164" s="26" t="s">
        <v>19</v>
      </c>
      <c r="J164" s="26" t="s">
        <v>19</v>
      </c>
      <c r="K164" s="1765" t="s">
        <v>3649</v>
      </c>
      <c r="L164" s="1765" t="s">
        <v>4750</v>
      </c>
      <c r="M164" s="1765" t="s">
        <v>10607</v>
      </c>
      <c r="N164" s="22" t="s">
        <v>10830</v>
      </c>
      <c r="O164" s="22" t="s">
        <v>1826</v>
      </c>
      <c r="P164" s="1766" t="s">
        <v>111</v>
      </c>
      <c r="Q164" s="1765" t="s">
        <v>1131</v>
      </c>
      <c r="R164" s="54" t="s">
        <v>1796</v>
      </c>
      <c r="S164" s="1766" t="s">
        <v>111</v>
      </c>
      <c r="T164" s="1765" t="s">
        <v>2072</v>
      </c>
      <c r="U164" s="1765" t="s">
        <v>2072</v>
      </c>
      <c r="V164" s="24" t="s">
        <v>10826</v>
      </c>
      <c r="W164" s="90" t="s">
        <v>10826</v>
      </c>
      <c r="X164" s="24" t="s">
        <v>2359</v>
      </c>
      <c r="Y164" s="24">
        <v>1</v>
      </c>
      <c r="Z164" s="24" t="s">
        <v>1880</v>
      </c>
      <c r="AA164" s="24" t="s">
        <v>1880</v>
      </c>
      <c r="AB164" s="30">
        <v>18.55</v>
      </c>
      <c r="AC164" s="30"/>
      <c r="AD164" s="30">
        <v>18.55</v>
      </c>
      <c r="AE164" s="59"/>
      <c r="AF164" s="59"/>
      <c r="AG164" s="35" t="s">
        <v>1104</v>
      </c>
      <c r="AH164" s="1765" t="s">
        <v>10629</v>
      </c>
      <c r="AI164" s="35" t="s">
        <v>19</v>
      </c>
      <c r="AJ164" s="202" t="s">
        <v>19</v>
      </c>
      <c r="AK164" s="35" t="s">
        <v>1880</v>
      </c>
      <c r="AL164" s="1765"/>
    </row>
    <row r="165" spans="1:38" s="11" customFormat="1" ht="26.25" customHeight="1" x14ac:dyDescent="0.15">
      <c r="A165" s="8">
        <f t="shared" si="0"/>
        <v>163</v>
      </c>
      <c r="B165" s="36" t="s">
        <v>10831</v>
      </c>
      <c r="C165" s="26" t="s">
        <v>19</v>
      </c>
      <c r="D165" s="26" t="s">
        <v>19</v>
      </c>
      <c r="E165" s="36" t="s">
        <v>11166</v>
      </c>
      <c r="F165" s="29" t="s">
        <v>10839</v>
      </c>
      <c r="G165" s="29" t="s">
        <v>10838</v>
      </c>
      <c r="H165" s="26" t="s">
        <v>19</v>
      </c>
      <c r="I165" s="26" t="s">
        <v>19</v>
      </c>
      <c r="J165" s="26" t="s">
        <v>19</v>
      </c>
      <c r="K165" s="1767" t="s">
        <v>3649</v>
      </c>
      <c r="L165" s="1767" t="s">
        <v>5383</v>
      </c>
      <c r="M165" s="1767" t="s">
        <v>10107</v>
      </c>
      <c r="N165" s="22" t="s">
        <v>4780</v>
      </c>
      <c r="O165" s="1769" t="s">
        <v>1826</v>
      </c>
      <c r="P165" s="1769" t="s">
        <v>111</v>
      </c>
      <c r="Q165" s="1768" t="s">
        <v>1131</v>
      </c>
      <c r="R165" s="54" t="s">
        <v>10841</v>
      </c>
      <c r="S165" s="1769" t="s">
        <v>111</v>
      </c>
      <c r="T165" s="1768" t="s">
        <v>2072</v>
      </c>
      <c r="U165" s="1768" t="s">
        <v>2072</v>
      </c>
      <c r="V165" s="24" t="s">
        <v>10843</v>
      </c>
      <c r="W165" s="90" t="s">
        <v>10779</v>
      </c>
      <c r="X165" s="24" t="s">
        <v>2359</v>
      </c>
      <c r="Y165" s="24">
        <v>1</v>
      </c>
      <c r="Z165" s="24" t="s">
        <v>1880</v>
      </c>
      <c r="AA165" s="24" t="s">
        <v>1880</v>
      </c>
      <c r="AB165" s="30">
        <v>15.32</v>
      </c>
      <c r="AC165" s="30"/>
      <c r="AD165" s="30">
        <v>15.32</v>
      </c>
      <c r="AE165" s="59"/>
      <c r="AF165" s="59"/>
      <c r="AG165" s="35" t="s">
        <v>1104</v>
      </c>
      <c r="AH165" s="1768" t="s">
        <v>10629</v>
      </c>
      <c r="AI165" s="35" t="s">
        <v>19</v>
      </c>
      <c r="AJ165" s="202" t="s">
        <v>19</v>
      </c>
      <c r="AK165" s="35" t="s">
        <v>1880</v>
      </c>
      <c r="AL165" s="1768" t="s">
        <v>10844</v>
      </c>
    </row>
    <row r="166" spans="1:38" s="11" customFormat="1" ht="26.25" customHeight="1" x14ac:dyDescent="0.15">
      <c r="A166" s="8">
        <f t="shared" si="0"/>
        <v>164</v>
      </c>
      <c r="B166" s="36" t="s">
        <v>10832</v>
      </c>
      <c r="C166" s="26" t="s">
        <v>19</v>
      </c>
      <c r="D166" s="26" t="s">
        <v>19</v>
      </c>
      <c r="E166" s="36" t="s">
        <v>11167</v>
      </c>
      <c r="F166" s="29" t="s">
        <v>10839</v>
      </c>
      <c r="G166" s="29" t="s">
        <v>10838</v>
      </c>
      <c r="H166" s="26" t="s">
        <v>19</v>
      </c>
      <c r="I166" s="26" t="s">
        <v>19</v>
      </c>
      <c r="J166" s="26" t="s">
        <v>19</v>
      </c>
      <c r="K166" s="1767" t="s">
        <v>3649</v>
      </c>
      <c r="L166" s="1767" t="s">
        <v>5383</v>
      </c>
      <c r="M166" s="1767" t="s">
        <v>10108</v>
      </c>
      <c r="N166" s="22" t="s">
        <v>4780</v>
      </c>
      <c r="O166" s="1769" t="s">
        <v>1826</v>
      </c>
      <c r="P166" s="1769" t="s">
        <v>111</v>
      </c>
      <c r="Q166" s="1768" t="s">
        <v>1131</v>
      </c>
      <c r="R166" s="54" t="s">
        <v>10841</v>
      </c>
      <c r="S166" s="1769" t="s">
        <v>111</v>
      </c>
      <c r="T166" s="1768" t="s">
        <v>2072</v>
      </c>
      <c r="U166" s="1768" t="s">
        <v>2072</v>
      </c>
      <c r="V166" s="24" t="s">
        <v>10843</v>
      </c>
      <c r="W166" s="90" t="s">
        <v>10779</v>
      </c>
      <c r="X166" s="24" t="s">
        <v>2359</v>
      </c>
      <c r="Y166" s="24">
        <v>1</v>
      </c>
      <c r="Z166" s="24" t="s">
        <v>1880</v>
      </c>
      <c r="AA166" s="24" t="s">
        <v>1880</v>
      </c>
      <c r="AB166" s="30">
        <v>15.32</v>
      </c>
      <c r="AC166" s="30"/>
      <c r="AD166" s="30">
        <v>15.32</v>
      </c>
      <c r="AE166" s="59"/>
      <c r="AF166" s="59"/>
      <c r="AG166" s="35" t="s">
        <v>1104</v>
      </c>
      <c r="AH166" s="1768" t="s">
        <v>10629</v>
      </c>
      <c r="AI166" s="35" t="s">
        <v>19</v>
      </c>
      <c r="AJ166" s="202" t="s">
        <v>19</v>
      </c>
      <c r="AK166" s="35" t="s">
        <v>1880</v>
      </c>
      <c r="AL166" s="1768" t="s">
        <v>10844</v>
      </c>
    </row>
    <row r="167" spans="1:38" s="11" customFormat="1" ht="26.25" customHeight="1" x14ac:dyDescent="0.15">
      <c r="A167" s="8">
        <f t="shared" si="0"/>
        <v>165</v>
      </c>
      <c r="B167" s="36" t="s">
        <v>10833</v>
      </c>
      <c r="C167" s="26" t="s">
        <v>19</v>
      </c>
      <c r="D167" s="26" t="s">
        <v>19</v>
      </c>
      <c r="E167" s="36" t="s">
        <v>11168</v>
      </c>
      <c r="F167" s="29" t="s">
        <v>10839</v>
      </c>
      <c r="G167" s="29" t="s">
        <v>10838</v>
      </c>
      <c r="H167" s="26" t="s">
        <v>19</v>
      </c>
      <c r="I167" s="26" t="s">
        <v>19</v>
      </c>
      <c r="J167" s="26" t="s">
        <v>19</v>
      </c>
      <c r="K167" s="1767" t="s">
        <v>3649</v>
      </c>
      <c r="L167" s="1767" t="s">
        <v>5383</v>
      </c>
      <c r="M167" s="1767" t="s">
        <v>10109</v>
      </c>
      <c r="N167" s="22" t="s">
        <v>4780</v>
      </c>
      <c r="O167" s="1769" t="s">
        <v>1826</v>
      </c>
      <c r="P167" s="1769" t="s">
        <v>111</v>
      </c>
      <c r="Q167" s="1768" t="s">
        <v>1131</v>
      </c>
      <c r="R167" s="54" t="s">
        <v>10841</v>
      </c>
      <c r="S167" s="1769" t="s">
        <v>111</v>
      </c>
      <c r="T167" s="1768" t="s">
        <v>2072</v>
      </c>
      <c r="U167" s="1768" t="s">
        <v>2072</v>
      </c>
      <c r="V167" s="24" t="s">
        <v>10843</v>
      </c>
      <c r="W167" s="90" t="s">
        <v>10779</v>
      </c>
      <c r="X167" s="24" t="s">
        <v>2359</v>
      </c>
      <c r="Y167" s="24">
        <v>1</v>
      </c>
      <c r="Z167" s="24" t="s">
        <v>1880</v>
      </c>
      <c r="AA167" s="24" t="s">
        <v>1880</v>
      </c>
      <c r="AB167" s="30">
        <v>15.32</v>
      </c>
      <c r="AC167" s="30"/>
      <c r="AD167" s="30">
        <v>15.32</v>
      </c>
      <c r="AE167" s="59"/>
      <c r="AF167" s="59"/>
      <c r="AG167" s="35" t="s">
        <v>1104</v>
      </c>
      <c r="AH167" s="1768" t="s">
        <v>10629</v>
      </c>
      <c r="AI167" s="35" t="s">
        <v>19</v>
      </c>
      <c r="AJ167" s="202" t="s">
        <v>19</v>
      </c>
      <c r="AK167" s="35" t="s">
        <v>1880</v>
      </c>
      <c r="AL167" s="1768" t="s">
        <v>10844</v>
      </c>
    </row>
    <row r="168" spans="1:38" s="11" customFormat="1" ht="26.25" customHeight="1" x14ac:dyDescent="0.15">
      <c r="A168" s="8">
        <f t="shared" si="0"/>
        <v>166</v>
      </c>
      <c r="B168" s="36" t="s">
        <v>10834</v>
      </c>
      <c r="C168" s="26" t="s">
        <v>19</v>
      </c>
      <c r="D168" s="26" t="s">
        <v>19</v>
      </c>
      <c r="E168" s="36" t="s">
        <v>11169</v>
      </c>
      <c r="F168" s="29" t="s">
        <v>10839</v>
      </c>
      <c r="G168" s="29" t="s">
        <v>10838</v>
      </c>
      <c r="H168" s="26" t="s">
        <v>19</v>
      </c>
      <c r="I168" s="26" t="s">
        <v>19</v>
      </c>
      <c r="J168" s="26" t="s">
        <v>19</v>
      </c>
      <c r="K168" s="1767" t="s">
        <v>3649</v>
      </c>
      <c r="L168" s="1767" t="s">
        <v>5383</v>
      </c>
      <c r="M168" s="1767" t="s">
        <v>10110</v>
      </c>
      <c r="N168" s="22" t="s">
        <v>4780</v>
      </c>
      <c r="O168" s="1769" t="s">
        <v>1826</v>
      </c>
      <c r="P168" s="1769" t="s">
        <v>111</v>
      </c>
      <c r="Q168" s="1768" t="s">
        <v>1131</v>
      </c>
      <c r="R168" s="54" t="s">
        <v>10841</v>
      </c>
      <c r="S168" s="1769" t="s">
        <v>111</v>
      </c>
      <c r="T168" s="1768" t="s">
        <v>2072</v>
      </c>
      <c r="U168" s="1768" t="s">
        <v>2072</v>
      </c>
      <c r="V168" s="24" t="s">
        <v>10843</v>
      </c>
      <c r="W168" s="90" t="s">
        <v>10779</v>
      </c>
      <c r="X168" s="24" t="s">
        <v>2359</v>
      </c>
      <c r="Y168" s="24">
        <v>1</v>
      </c>
      <c r="Z168" s="24" t="s">
        <v>1880</v>
      </c>
      <c r="AA168" s="24" t="s">
        <v>1880</v>
      </c>
      <c r="AB168" s="30">
        <v>15.32</v>
      </c>
      <c r="AC168" s="30"/>
      <c r="AD168" s="30">
        <v>15.32</v>
      </c>
      <c r="AE168" s="59"/>
      <c r="AF168" s="59"/>
      <c r="AG168" s="35" t="s">
        <v>1104</v>
      </c>
      <c r="AH168" s="1768" t="s">
        <v>10629</v>
      </c>
      <c r="AI168" s="35" t="s">
        <v>19</v>
      </c>
      <c r="AJ168" s="202" t="s">
        <v>19</v>
      </c>
      <c r="AK168" s="35" t="s">
        <v>1880</v>
      </c>
      <c r="AL168" s="1768" t="s">
        <v>10844</v>
      </c>
    </row>
    <row r="169" spans="1:38" s="11" customFormat="1" ht="26.25" customHeight="1" x14ac:dyDescent="0.15">
      <c r="A169" s="8">
        <f t="shared" si="0"/>
        <v>167</v>
      </c>
      <c r="B169" s="36" t="s">
        <v>10835</v>
      </c>
      <c r="C169" s="26" t="s">
        <v>19</v>
      </c>
      <c r="D169" s="26" t="s">
        <v>19</v>
      </c>
      <c r="E169" s="36" t="s">
        <v>11170</v>
      </c>
      <c r="F169" s="29" t="s">
        <v>10839</v>
      </c>
      <c r="G169" s="29" t="s">
        <v>10838</v>
      </c>
      <c r="H169" s="26" t="s">
        <v>19</v>
      </c>
      <c r="I169" s="26" t="s">
        <v>19</v>
      </c>
      <c r="J169" s="26" t="s">
        <v>19</v>
      </c>
      <c r="K169" s="1767" t="s">
        <v>3649</v>
      </c>
      <c r="L169" s="1767" t="s">
        <v>5383</v>
      </c>
      <c r="M169" s="1767" t="s">
        <v>10111</v>
      </c>
      <c r="N169" s="22" t="s">
        <v>4780</v>
      </c>
      <c r="O169" s="1769" t="s">
        <v>2142</v>
      </c>
      <c r="P169" s="1769" t="s">
        <v>111</v>
      </c>
      <c r="Q169" s="1768" t="s">
        <v>4676</v>
      </c>
      <c r="R169" s="54" t="s">
        <v>10842</v>
      </c>
      <c r="S169" s="1769" t="s">
        <v>111</v>
      </c>
      <c r="T169" s="1768" t="s">
        <v>2072</v>
      </c>
      <c r="U169" s="1768" t="s">
        <v>2072</v>
      </c>
      <c r="V169" s="24" t="s">
        <v>10843</v>
      </c>
      <c r="W169" s="90" t="s">
        <v>10779</v>
      </c>
      <c r="X169" s="24" t="s">
        <v>2359</v>
      </c>
      <c r="Y169" s="24">
        <v>1</v>
      </c>
      <c r="Z169" s="24" t="s">
        <v>1880</v>
      </c>
      <c r="AA169" s="24" t="s">
        <v>1880</v>
      </c>
      <c r="AB169" s="30">
        <v>15.32</v>
      </c>
      <c r="AC169" s="30"/>
      <c r="AD169" s="30">
        <v>15.32</v>
      </c>
      <c r="AE169" s="59"/>
      <c r="AF169" s="59"/>
      <c r="AG169" s="35" t="s">
        <v>1104</v>
      </c>
      <c r="AH169" s="1768" t="s">
        <v>10629</v>
      </c>
      <c r="AI169" s="35" t="s">
        <v>19</v>
      </c>
      <c r="AJ169" s="202" t="s">
        <v>19</v>
      </c>
      <c r="AK169" s="35" t="s">
        <v>1880</v>
      </c>
      <c r="AL169" s="1768" t="s">
        <v>10844</v>
      </c>
    </row>
    <row r="170" spans="1:38" s="11" customFormat="1" ht="26.25" customHeight="1" x14ac:dyDescent="0.15">
      <c r="A170" s="8">
        <f t="shared" si="0"/>
        <v>168</v>
      </c>
      <c r="B170" s="36" t="s">
        <v>10836</v>
      </c>
      <c r="C170" s="26" t="s">
        <v>19</v>
      </c>
      <c r="D170" s="26" t="s">
        <v>19</v>
      </c>
      <c r="E170" s="36" t="s">
        <v>11171</v>
      </c>
      <c r="F170" s="29" t="s">
        <v>10839</v>
      </c>
      <c r="G170" s="29" t="s">
        <v>10838</v>
      </c>
      <c r="H170" s="26" t="s">
        <v>19</v>
      </c>
      <c r="I170" s="26" t="s">
        <v>19</v>
      </c>
      <c r="J170" s="26" t="s">
        <v>19</v>
      </c>
      <c r="K170" s="1767" t="s">
        <v>3649</v>
      </c>
      <c r="L170" s="1767" t="s">
        <v>5383</v>
      </c>
      <c r="M170" s="1767" t="s">
        <v>10112</v>
      </c>
      <c r="N170" s="22" t="s">
        <v>4780</v>
      </c>
      <c r="O170" s="1769" t="s">
        <v>2142</v>
      </c>
      <c r="P170" s="1769" t="s">
        <v>111</v>
      </c>
      <c r="Q170" s="1768" t="s">
        <v>4676</v>
      </c>
      <c r="R170" s="54" t="s">
        <v>10842</v>
      </c>
      <c r="S170" s="1769" t="s">
        <v>111</v>
      </c>
      <c r="T170" s="1768" t="s">
        <v>2072</v>
      </c>
      <c r="U170" s="1768" t="s">
        <v>2072</v>
      </c>
      <c r="V170" s="24" t="s">
        <v>10843</v>
      </c>
      <c r="W170" s="90" t="s">
        <v>10779</v>
      </c>
      <c r="X170" s="24" t="s">
        <v>2359</v>
      </c>
      <c r="Y170" s="24">
        <v>1</v>
      </c>
      <c r="Z170" s="24" t="s">
        <v>1880</v>
      </c>
      <c r="AA170" s="24" t="s">
        <v>1880</v>
      </c>
      <c r="AB170" s="30">
        <v>15.32</v>
      </c>
      <c r="AC170" s="30"/>
      <c r="AD170" s="30">
        <v>15.32</v>
      </c>
      <c r="AE170" s="59"/>
      <c r="AF170" s="59"/>
      <c r="AG170" s="35" t="s">
        <v>1104</v>
      </c>
      <c r="AH170" s="1768" t="s">
        <v>10629</v>
      </c>
      <c r="AI170" s="35" t="s">
        <v>19</v>
      </c>
      <c r="AJ170" s="202" t="s">
        <v>19</v>
      </c>
      <c r="AK170" s="35" t="s">
        <v>1880</v>
      </c>
      <c r="AL170" s="1768" t="s">
        <v>10844</v>
      </c>
    </row>
    <row r="171" spans="1:38" s="11" customFormat="1" ht="26.25" customHeight="1" x14ac:dyDescent="0.15">
      <c r="A171" s="8">
        <f t="shared" si="0"/>
        <v>169</v>
      </c>
      <c r="B171" s="36" t="s">
        <v>10837</v>
      </c>
      <c r="C171" s="26" t="s">
        <v>19</v>
      </c>
      <c r="D171" s="26" t="s">
        <v>19</v>
      </c>
      <c r="E171" s="36" t="s">
        <v>11172</v>
      </c>
      <c r="F171" s="29" t="s">
        <v>10839</v>
      </c>
      <c r="G171" s="29" t="s">
        <v>10838</v>
      </c>
      <c r="H171" s="26" t="s">
        <v>19</v>
      </c>
      <c r="I171" s="26" t="s">
        <v>19</v>
      </c>
      <c r="J171" s="26" t="s">
        <v>19</v>
      </c>
      <c r="K171" s="1767" t="s">
        <v>2135</v>
      </c>
      <c r="L171" s="1767" t="s">
        <v>2151</v>
      </c>
      <c r="M171" s="1767" t="s">
        <v>10840</v>
      </c>
      <c r="N171" s="22" t="s">
        <v>4780</v>
      </c>
      <c r="O171" s="1769" t="s">
        <v>1826</v>
      </c>
      <c r="P171" s="1769" t="s">
        <v>111</v>
      </c>
      <c r="Q171" s="1768" t="s">
        <v>1131</v>
      </c>
      <c r="R171" s="54" t="s">
        <v>10841</v>
      </c>
      <c r="S171" s="1769" t="s">
        <v>111</v>
      </c>
      <c r="T171" s="1768" t="s">
        <v>2072</v>
      </c>
      <c r="U171" s="1768" t="s">
        <v>2072</v>
      </c>
      <c r="V171" s="24" t="s">
        <v>10843</v>
      </c>
      <c r="W171" s="90" t="s">
        <v>10779</v>
      </c>
      <c r="X171" s="24" t="s">
        <v>2359</v>
      </c>
      <c r="Y171" s="24">
        <v>1</v>
      </c>
      <c r="Z171" s="24" t="s">
        <v>1880</v>
      </c>
      <c r="AA171" s="24" t="s">
        <v>1880</v>
      </c>
      <c r="AB171" s="30">
        <v>15.33</v>
      </c>
      <c r="AC171" s="30"/>
      <c r="AD171" s="30">
        <v>15.33</v>
      </c>
      <c r="AE171" s="59"/>
      <c r="AF171" s="59"/>
      <c r="AG171" s="35" t="s">
        <v>1104</v>
      </c>
      <c r="AH171" s="1768" t="s">
        <v>10629</v>
      </c>
      <c r="AI171" s="35" t="s">
        <v>19</v>
      </c>
      <c r="AJ171" s="202" t="s">
        <v>19</v>
      </c>
      <c r="AK171" s="35" t="s">
        <v>1880</v>
      </c>
      <c r="AL171" s="1768" t="s">
        <v>10844</v>
      </c>
    </row>
    <row r="172" spans="1:38" s="11" customFormat="1" ht="26.25" customHeight="1" x14ac:dyDescent="0.15">
      <c r="A172" s="8">
        <f t="shared" si="0"/>
        <v>170</v>
      </c>
      <c r="B172" s="36" t="s">
        <v>10845</v>
      </c>
      <c r="C172" s="71" t="s">
        <v>10849</v>
      </c>
      <c r="D172" s="26" t="s">
        <v>19</v>
      </c>
      <c r="E172" s="26" t="s">
        <v>19</v>
      </c>
      <c r="F172" s="29" t="s">
        <v>10857</v>
      </c>
      <c r="G172" s="53" t="s">
        <v>10859</v>
      </c>
      <c r="H172" s="26" t="s">
        <v>19</v>
      </c>
      <c r="I172" s="26" t="s">
        <v>19</v>
      </c>
      <c r="J172" s="26" t="s">
        <v>19</v>
      </c>
      <c r="K172" s="1770" t="s">
        <v>2112</v>
      </c>
      <c r="L172" s="1770" t="s">
        <v>10853</v>
      </c>
      <c r="M172" s="1770" t="s">
        <v>10854</v>
      </c>
      <c r="N172" s="22" t="s">
        <v>4780</v>
      </c>
      <c r="O172" s="1771" t="s">
        <v>1826</v>
      </c>
      <c r="P172" s="1771" t="s">
        <v>111</v>
      </c>
      <c r="Q172" s="1770" t="s">
        <v>1131</v>
      </c>
      <c r="R172" s="54" t="s">
        <v>2224</v>
      </c>
      <c r="S172" s="1774" t="s">
        <v>111</v>
      </c>
      <c r="T172" s="1770" t="s">
        <v>1785</v>
      </c>
      <c r="U172" s="1773" t="s">
        <v>1785</v>
      </c>
      <c r="V172" s="24" t="s">
        <v>10862</v>
      </c>
      <c r="W172" s="90" t="s">
        <v>10843</v>
      </c>
      <c r="X172" s="24" t="s">
        <v>2359</v>
      </c>
      <c r="Y172" s="24">
        <v>2</v>
      </c>
      <c r="Z172" s="24" t="s">
        <v>2512</v>
      </c>
      <c r="AA172" s="24" t="s">
        <v>1880</v>
      </c>
      <c r="AB172" s="30">
        <v>14.12</v>
      </c>
      <c r="AC172" s="30"/>
      <c r="AD172" s="30">
        <v>14.12</v>
      </c>
      <c r="AE172" s="59"/>
      <c r="AF172" s="59"/>
      <c r="AG172" s="35" t="s">
        <v>1104</v>
      </c>
      <c r="AH172" s="35" t="s">
        <v>10637</v>
      </c>
      <c r="AI172" s="35" t="s">
        <v>19</v>
      </c>
      <c r="AJ172" s="202" t="s">
        <v>19</v>
      </c>
      <c r="AK172" s="35" t="s">
        <v>1880</v>
      </c>
      <c r="AL172" s="1770"/>
    </row>
    <row r="173" spans="1:38" s="11" customFormat="1" ht="26.25" customHeight="1" x14ac:dyDescent="0.15">
      <c r="A173" s="8">
        <f t="shared" si="0"/>
        <v>171</v>
      </c>
      <c r="B173" s="36" t="s">
        <v>10846</v>
      </c>
      <c r="C173" s="71" t="s">
        <v>10850</v>
      </c>
      <c r="D173" s="26" t="s">
        <v>19</v>
      </c>
      <c r="E173" s="26" t="s">
        <v>19</v>
      </c>
      <c r="F173" s="29" t="s">
        <v>10858</v>
      </c>
      <c r="G173" s="53" t="s">
        <v>10860</v>
      </c>
      <c r="H173" s="26" t="s">
        <v>19</v>
      </c>
      <c r="I173" s="26" t="s">
        <v>19</v>
      </c>
      <c r="J173" s="26" t="s">
        <v>19</v>
      </c>
      <c r="K173" s="1770" t="s">
        <v>2112</v>
      </c>
      <c r="L173" s="1770" t="s">
        <v>10853</v>
      </c>
      <c r="M173" s="1770" t="s">
        <v>7236</v>
      </c>
      <c r="N173" s="22" t="s">
        <v>4780</v>
      </c>
      <c r="O173" s="1772" t="s">
        <v>1826</v>
      </c>
      <c r="P173" s="1772" t="s">
        <v>111</v>
      </c>
      <c r="Q173" s="1770" t="s">
        <v>1131</v>
      </c>
      <c r="R173" s="54" t="s">
        <v>2224</v>
      </c>
      <c r="S173" s="1774" t="s">
        <v>111</v>
      </c>
      <c r="T173" s="1773" t="s">
        <v>1785</v>
      </c>
      <c r="U173" s="1773" t="s">
        <v>1785</v>
      </c>
      <c r="V173" s="24" t="s">
        <v>10862</v>
      </c>
      <c r="W173" s="90" t="s">
        <v>10843</v>
      </c>
      <c r="X173" s="24" t="s">
        <v>2359</v>
      </c>
      <c r="Y173" s="24">
        <v>2</v>
      </c>
      <c r="Z173" s="24" t="s">
        <v>2512</v>
      </c>
      <c r="AA173" s="24" t="s">
        <v>1880</v>
      </c>
      <c r="AB173" s="30">
        <v>14.12</v>
      </c>
      <c r="AC173" s="30"/>
      <c r="AD173" s="30">
        <v>14.12</v>
      </c>
      <c r="AE173" s="59"/>
      <c r="AF173" s="59"/>
      <c r="AG173" s="35" t="s">
        <v>1104</v>
      </c>
      <c r="AH173" s="35" t="s">
        <v>10637</v>
      </c>
      <c r="AI173" s="35" t="s">
        <v>19</v>
      </c>
      <c r="AJ173" s="202" t="s">
        <v>19</v>
      </c>
      <c r="AK173" s="35" t="s">
        <v>1880</v>
      </c>
      <c r="AL173" s="1773"/>
    </row>
    <row r="174" spans="1:38" s="11" customFormat="1" ht="26.25" customHeight="1" x14ac:dyDescent="0.15">
      <c r="A174" s="8">
        <f t="shared" si="0"/>
        <v>172</v>
      </c>
      <c r="B174" s="36" t="s">
        <v>10847</v>
      </c>
      <c r="C174" s="71" t="s">
        <v>10851</v>
      </c>
      <c r="D174" s="26" t="s">
        <v>19</v>
      </c>
      <c r="E174" s="26" t="s">
        <v>19</v>
      </c>
      <c r="F174" s="29" t="s">
        <v>4270</v>
      </c>
      <c r="G174" s="53" t="s">
        <v>10861</v>
      </c>
      <c r="H174" s="26" t="s">
        <v>19</v>
      </c>
      <c r="I174" s="26" t="s">
        <v>19</v>
      </c>
      <c r="J174" s="26" t="s">
        <v>19</v>
      </c>
      <c r="K174" s="1770" t="s">
        <v>2112</v>
      </c>
      <c r="L174" s="1770" t="s">
        <v>10853</v>
      </c>
      <c r="M174" s="1770" t="s">
        <v>10855</v>
      </c>
      <c r="N174" s="22" t="s">
        <v>4780</v>
      </c>
      <c r="O174" s="1772" t="s">
        <v>1826</v>
      </c>
      <c r="P174" s="1772" t="s">
        <v>111</v>
      </c>
      <c r="Q174" s="1770" t="s">
        <v>1131</v>
      </c>
      <c r="R174" s="54" t="s">
        <v>2224</v>
      </c>
      <c r="S174" s="1774" t="s">
        <v>111</v>
      </c>
      <c r="T174" s="1773" t="s">
        <v>1785</v>
      </c>
      <c r="U174" s="1773" t="s">
        <v>1785</v>
      </c>
      <c r="V174" s="24" t="s">
        <v>10862</v>
      </c>
      <c r="W174" s="90" t="s">
        <v>10843</v>
      </c>
      <c r="X174" s="24" t="s">
        <v>2359</v>
      </c>
      <c r="Y174" s="24">
        <v>2</v>
      </c>
      <c r="Z174" s="24" t="s">
        <v>2512</v>
      </c>
      <c r="AA174" s="24" t="s">
        <v>1880</v>
      </c>
      <c r="AB174" s="30">
        <v>14.12</v>
      </c>
      <c r="AC174" s="30"/>
      <c r="AD174" s="30">
        <v>14.12</v>
      </c>
      <c r="AE174" s="59"/>
      <c r="AF174" s="59"/>
      <c r="AG174" s="35" t="s">
        <v>1104</v>
      </c>
      <c r="AH174" s="35" t="s">
        <v>10637</v>
      </c>
      <c r="AI174" s="35" t="s">
        <v>19</v>
      </c>
      <c r="AJ174" s="202" t="s">
        <v>19</v>
      </c>
      <c r="AK174" s="35" t="s">
        <v>1880</v>
      </c>
      <c r="AL174" s="1773"/>
    </row>
    <row r="175" spans="1:38" s="11" customFormat="1" ht="26.25" customHeight="1" x14ac:dyDescent="0.15">
      <c r="A175" s="8">
        <f t="shared" si="0"/>
        <v>173</v>
      </c>
      <c r="B175" s="36" t="s">
        <v>10848</v>
      </c>
      <c r="C175" s="71" t="s">
        <v>10852</v>
      </c>
      <c r="D175" s="26" t="s">
        <v>19</v>
      </c>
      <c r="E175" s="26" t="s">
        <v>19</v>
      </c>
      <c r="F175" s="29" t="s">
        <v>4270</v>
      </c>
      <c r="G175" s="53" t="s">
        <v>10861</v>
      </c>
      <c r="H175" s="26" t="s">
        <v>19</v>
      </c>
      <c r="I175" s="26" t="s">
        <v>19</v>
      </c>
      <c r="J175" s="26" t="s">
        <v>19</v>
      </c>
      <c r="K175" s="1770" t="s">
        <v>2112</v>
      </c>
      <c r="L175" s="1770" t="s">
        <v>10853</v>
      </c>
      <c r="M175" s="1770" t="s">
        <v>10856</v>
      </c>
      <c r="N175" s="22" t="s">
        <v>4780</v>
      </c>
      <c r="O175" s="1772" t="s">
        <v>1826</v>
      </c>
      <c r="P175" s="1772" t="s">
        <v>111</v>
      </c>
      <c r="Q175" s="1770" t="s">
        <v>1131</v>
      </c>
      <c r="R175" s="54" t="s">
        <v>2224</v>
      </c>
      <c r="S175" s="1774" t="s">
        <v>111</v>
      </c>
      <c r="T175" s="1773" t="s">
        <v>1785</v>
      </c>
      <c r="U175" s="1773" t="s">
        <v>1785</v>
      </c>
      <c r="V175" s="24" t="s">
        <v>10862</v>
      </c>
      <c r="W175" s="90" t="s">
        <v>10843</v>
      </c>
      <c r="X175" s="24" t="s">
        <v>2359</v>
      </c>
      <c r="Y175" s="24">
        <v>2</v>
      </c>
      <c r="Z175" s="24" t="s">
        <v>2512</v>
      </c>
      <c r="AA175" s="24" t="s">
        <v>1880</v>
      </c>
      <c r="AB175" s="30">
        <v>15.72</v>
      </c>
      <c r="AC175" s="30"/>
      <c r="AD175" s="30">
        <v>15.72</v>
      </c>
      <c r="AE175" s="59"/>
      <c r="AF175" s="59"/>
      <c r="AG175" s="35" t="s">
        <v>1104</v>
      </c>
      <c r="AH175" s="35" t="s">
        <v>10637</v>
      </c>
      <c r="AI175" s="35" t="s">
        <v>19</v>
      </c>
      <c r="AJ175" s="202" t="s">
        <v>19</v>
      </c>
      <c r="AK175" s="35" t="s">
        <v>1880</v>
      </c>
      <c r="AL175" s="1773"/>
    </row>
    <row r="176" spans="1:38" s="11" customFormat="1" ht="26.25" customHeight="1" x14ac:dyDescent="0.15">
      <c r="A176" s="8">
        <f t="shared" si="0"/>
        <v>174</v>
      </c>
      <c r="B176" s="36" t="s">
        <v>10863</v>
      </c>
      <c r="C176" s="26" t="s">
        <v>19</v>
      </c>
      <c r="D176" s="26" t="s">
        <v>19</v>
      </c>
      <c r="E176" s="26" t="s">
        <v>19</v>
      </c>
      <c r="F176" s="54" t="s">
        <v>2020</v>
      </c>
      <c r="G176" s="54" t="s">
        <v>10864</v>
      </c>
      <c r="H176" s="26" t="s">
        <v>448</v>
      </c>
      <c r="I176" s="26" t="s">
        <v>448</v>
      </c>
      <c r="J176" s="26" t="s">
        <v>448</v>
      </c>
      <c r="K176" s="1778" t="s">
        <v>4712</v>
      </c>
      <c r="L176" s="1778" t="s">
        <v>8121</v>
      </c>
      <c r="M176" s="1778" t="s">
        <v>6397</v>
      </c>
      <c r="N176" s="330" t="s">
        <v>8624</v>
      </c>
      <c r="O176" s="1780" t="s">
        <v>1826</v>
      </c>
      <c r="P176" s="1780" t="s">
        <v>111</v>
      </c>
      <c r="Q176" s="1780" t="s">
        <v>1818</v>
      </c>
      <c r="R176" s="151" t="s">
        <v>1819</v>
      </c>
      <c r="S176" s="22" t="s">
        <v>1880</v>
      </c>
      <c r="T176" s="1779" t="s">
        <v>5571</v>
      </c>
      <c r="U176" s="1779" t="s">
        <v>5571</v>
      </c>
      <c r="V176" s="24" t="s">
        <v>10865</v>
      </c>
      <c r="W176" s="90" t="s">
        <v>10866</v>
      </c>
      <c r="X176" s="24" t="s">
        <v>2359</v>
      </c>
      <c r="Y176" s="24">
        <v>2</v>
      </c>
      <c r="Z176" s="24" t="s">
        <v>10866</v>
      </c>
      <c r="AA176" s="24" t="s">
        <v>10867</v>
      </c>
      <c r="AB176" s="30">
        <v>1.32</v>
      </c>
      <c r="AC176" s="30">
        <v>9</v>
      </c>
      <c r="AD176" s="30">
        <v>10.32</v>
      </c>
      <c r="AE176" s="59"/>
      <c r="AF176" s="59"/>
      <c r="AG176" s="35" t="s">
        <v>1104</v>
      </c>
      <c r="AH176" s="1779" t="s">
        <v>10629</v>
      </c>
      <c r="AI176" s="35" t="s">
        <v>19</v>
      </c>
      <c r="AJ176" s="202" t="s">
        <v>19</v>
      </c>
      <c r="AK176" s="35" t="s">
        <v>1880</v>
      </c>
      <c r="AL176" s="1777" t="s">
        <v>10868</v>
      </c>
    </row>
    <row r="177" spans="1:38" s="11" customFormat="1" ht="26.25" customHeight="1" x14ac:dyDescent="0.15">
      <c r="A177" s="8">
        <f t="shared" si="0"/>
        <v>175</v>
      </c>
      <c r="B177" s="36" t="s">
        <v>10869</v>
      </c>
      <c r="C177" s="71" t="s">
        <v>10870</v>
      </c>
      <c r="D177" s="26" t="s">
        <v>19</v>
      </c>
      <c r="E177" s="26" t="s">
        <v>19</v>
      </c>
      <c r="F177" s="29" t="s">
        <v>10871</v>
      </c>
      <c r="G177" s="53" t="s">
        <v>10872</v>
      </c>
      <c r="H177" s="26" t="s">
        <v>448</v>
      </c>
      <c r="I177" s="26" t="s">
        <v>448</v>
      </c>
      <c r="J177" s="26" t="s">
        <v>448</v>
      </c>
      <c r="K177" s="1779" t="s">
        <v>3649</v>
      </c>
      <c r="L177" s="1779" t="s">
        <v>10873</v>
      </c>
      <c r="M177" s="1779" t="s">
        <v>10874</v>
      </c>
      <c r="N177" s="22" t="s">
        <v>4780</v>
      </c>
      <c r="O177" s="1780" t="s">
        <v>2142</v>
      </c>
      <c r="P177" s="1780" t="s">
        <v>111</v>
      </c>
      <c r="Q177" s="1779" t="s">
        <v>4676</v>
      </c>
      <c r="R177" s="54" t="s">
        <v>1886</v>
      </c>
      <c r="S177" s="22" t="s">
        <v>1880</v>
      </c>
      <c r="T177" s="1777" t="s">
        <v>2072</v>
      </c>
      <c r="U177" s="1777" t="s">
        <v>2072</v>
      </c>
      <c r="V177" s="24" t="s">
        <v>10865</v>
      </c>
      <c r="W177" s="90" t="s">
        <v>10865</v>
      </c>
      <c r="X177" s="24" t="s">
        <v>2359</v>
      </c>
      <c r="Y177" s="24">
        <v>1</v>
      </c>
      <c r="Z177" s="24" t="s">
        <v>2512</v>
      </c>
      <c r="AA177" s="24" t="s">
        <v>1880</v>
      </c>
      <c r="AB177" s="30">
        <v>45</v>
      </c>
      <c r="AC177" s="30"/>
      <c r="AD177" s="30">
        <v>45</v>
      </c>
      <c r="AE177" s="59"/>
      <c r="AF177" s="59"/>
      <c r="AG177" s="35" t="s">
        <v>1104</v>
      </c>
      <c r="AH177" s="35" t="s">
        <v>10637</v>
      </c>
      <c r="AI177" s="35" t="s">
        <v>19</v>
      </c>
      <c r="AJ177" s="202" t="s">
        <v>19</v>
      </c>
      <c r="AK177" s="35" t="s">
        <v>1880</v>
      </c>
      <c r="AL177" s="1779"/>
    </row>
    <row r="178" spans="1:38" s="11" customFormat="1" ht="26.25" customHeight="1" x14ac:dyDescent="0.15">
      <c r="A178" s="8">
        <f t="shared" si="0"/>
        <v>176</v>
      </c>
      <c r="B178" s="36" t="s">
        <v>10875</v>
      </c>
      <c r="C178" s="26" t="s">
        <v>19</v>
      </c>
      <c r="D178" s="26" t="s">
        <v>19</v>
      </c>
      <c r="E178" s="26" t="s">
        <v>19</v>
      </c>
      <c r="F178" s="29" t="s">
        <v>10876</v>
      </c>
      <c r="G178" s="53" t="s">
        <v>10877</v>
      </c>
      <c r="H178" s="26" t="s">
        <v>448</v>
      </c>
      <c r="I178" s="26" t="s">
        <v>448</v>
      </c>
      <c r="J178" s="26" t="s">
        <v>448</v>
      </c>
      <c r="K178" s="1778" t="s">
        <v>4195</v>
      </c>
      <c r="L178" s="142" t="s">
        <v>1448</v>
      </c>
      <c r="M178" s="37" t="s">
        <v>9247</v>
      </c>
      <c r="N178" s="22" t="s">
        <v>4780</v>
      </c>
      <c r="O178" s="1780" t="s">
        <v>2142</v>
      </c>
      <c r="P178" s="1780" t="s">
        <v>111</v>
      </c>
      <c r="Q178" s="1779" t="s">
        <v>4676</v>
      </c>
      <c r="R178" s="54" t="s">
        <v>2423</v>
      </c>
      <c r="S178" s="22" t="s">
        <v>1880</v>
      </c>
      <c r="T178" s="1777" t="s">
        <v>10878</v>
      </c>
      <c r="U178" s="1777" t="s">
        <v>10878</v>
      </c>
      <c r="V178" s="24" t="s">
        <v>10865</v>
      </c>
      <c r="W178" s="90" t="s">
        <v>10865</v>
      </c>
      <c r="X178" s="24" t="s">
        <v>2359</v>
      </c>
      <c r="Y178" s="24">
        <v>1</v>
      </c>
      <c r="Z178" s="24" t="s">
        <v>10495</v>
      </c>
      <c r="AA178" s="24" t="s">
        <v>10879</v>
      </c>
      <c r="AB178" s="30"/>
      <c r="AC178" s="30">
        <v>19.5</v>
      </c>
      <c r="AD178" s="30">
        <v>19.5</v>
      </c>
      <c r="AE178" s="59"/>
      <c r="AF178" s="59"/>
      <c r="AG178" s="35" t="s">
        <v>1104</v>
      </c>
      <c r="AH178" s="1779" t="s">
        <v>10629</v>
      </c>
      <c r="AI178" s="35" t="s">
        <v>19</v>
      </c>
      <c r="AJ178" s="202" t="s">
        <v>19</v>
      </c>
      <c r="AK178" s="35" t="s">
        <v>1880</v>
      </c>
      <c r="AL178" s="1777"/>
    </row>
    <row r="179" spans="1:38" s="11" customFormat="1" ht="26.25" customHeight="1" x14ac:dyDescent="0.15">
      <c r="A179" s="8">
        <f t="shared" si="0"/>
        <v>177</v>
      </c>
      <c r="B179" s="36" t="s">
        <v>10880</v>
      </c>
      <c r="C179" s="26" t="s">
        <v>19</v>
      </c>
      <c r="D179" s="26" t="s">
        <v>19</v>
      </c>
      <c r="E179" s="26" t="s">
        <v>19</v>
      </c>
      <c r="F179" s="29" t="s">
        <v>10883</v>
      </c>
      <c r="G179" s="53" t="s">
        <v>10884</v>
      </c>
      <c r="H179" s="26" t="s">
        <v>448</v>
      </c>
      <c r="I179" s="26" t="s">
        <v>448</v>
      </c>
      <c r="J179" s="26" t="s">
        <v>448</v>
      </c>
      <c r="K179" s="1776" t="s">
        <v>2135</v>
      </c>
      <c r="L179" s="1776" t="s">
        <v>3215</v>
      </c>
      <c r="M179" s="1776" t="s">
        <v>10885</v>
      </c>
      <c r="N179" s="22" t="s">
        <v>11589</v>
      </c>
      <c r="O179" s="1780" t="s">
        <v>1826</v>
      </c>
      <c r="P179" s="1780" t="s">
        <v>111</v>
      </c>
      <c r="Q179" s="1777" t="s">
        <v>1818</v>
      </c>
      <c r="R179" s="54" t="s">
        <v>10781</v>
      </c>
      <c r="S179" s="22" t="s">
        <v>1880</v>
      </c>
      <c r="T179" s="1777" t="s">
        <v>2072</v>
      </c>
      <c r="U179" s="1779" t="s">
        <v>2072</v>
      </c>
      <c r="V179" s="24" t="s">
        <v>10865</v>
      </c>
      <c r="W179" s="90" t="s">
        <v>10815</v>
      </c>
      <c r="X179" s="24" t="s">
        <v>2359</v>
      </c>
      <c r="Y179" s="24">
        <v>1</v>
      </c>
      <c r="Z179" s="24" t="s">
        <v>2512</v>
      </c>
      <c r="AA179" s="24" t="s">
        <v>1880</v>
      </c>
      <c r="AB179" s="30">
        <v>9.5715000000000003</v>
      </c>
      <c r="AC179" s="30"/>
      <c r="AD179" s="30">
        <v>9.5715000000000003</v>
      </c>
      <c r="AE179" s="59"/>
      <c r="AF179" s="59"/>
      <c r="AG179" s="35" t="s">
        <v>1104</v>
      </c>
      <c r="AH179" s="35" t="s">
        <v>10637</v>
      </c>
      <c r="AI179" s="35" t="s">
        <v>19</v>
      </c>
      <c r="AJ179" s="202" t="s">
        <v>19</v>
      </c>
      <c r="AK179" s="35" t="s">
        <v>1880</v>
      </c>
      <c r="AL179" s="1779"/>
    </row>
    <row r="180" spans="1:38" s="11" customFormat="1" ht="26.25" customHeight="1" x14ac:dyDescent="0.15">
      <c r="A180" s="8">
        <f t="shared" si="0"/>
        <v>178</v>
      </c>
      <c r="B180" s="36" t="s">
        <v>10881</v>
      </c>
      <c r="C180" s="26" t="s">
        <v>19</v>
      </c>
      <c r="D180" s="26" t="s">
        <v>19</v>
      </c>
      <c r="E180" s="26" t="s">
        <v>19</v>
      </c>
      <c r="F180" s="29" t="s">
        <v>10886</v>
      </c>
      <c r="G180" s="53" t="s">
        <v>10887</v>
      </c>
      <c r="H180" s="26" t="s">
        <v>448</v>
      </c>
      <c r="I180" s="26" t="s">
        <v>448</v>
      </c>
      <c r="J180" s="26" t="s">
        <v>448</v>
      </c>
      <c r="K180" s="1778" t="s">
        <v>2135</v>
      </c>
      <c r="L180" s="1778" t="s">
        <v>3215</v>
      </c>
      <c r="M180" s="1778" t="s">
        <v>10888</v>
      </c>
      <c r="N180" s="22" t="s">
        <v>11590</v>
      </c>
      <c r="O180" s="1780" t="s">
        <v>1826</v>
      </c>
      <c r="P180" s="1780" t="s">
        <v>111</v>
      </c>
      <c r="Q180" s="1779" t="s">
        <v>1818</v>
      </c>
      <c r="R180" s="54" t="s">
        <v>10781</v>
      </c>
      <c r="S180" s="22" t="s">
        <v>1880</v>
      </c>
      <c r="T180" s="1779" t="s">
        <v>2072</v>
      </c>
      <c r="U180" s="1779" t="s">
        <v>2072</v>
      </c>
      <c r="V180" s="24" t="s">
        <v>10865</v>
      </c>
      <c r="W180" s="90" t="s">
        <v>10815</v>
      </c>
      <c r="X180" s="24" t="s">
        <v>2359</v>
      </c>
      <c r="Y180" s="24">
        <v>1</v>
      </c>
      <c r="Z180" s="24" t="s">
        <v>2512</v>
      </c>
      <c r="AA180" s="24" t="s">
        <v>1880</v>
      </c>
      <c r="AB180" s="30">
        <v>9.5715000000000003</v>
      </c>
      <c r="AC180" s="30"/>
      <c r="AD180" s="30">
        <v>9.5715000000000003</v>
      </c>
      <c r="AE180" s="59"/>
      <c r="AF180" s="59"/>
      <c r="AG180" s="35" t="s">
        <v>1104</v>
      </c>
      <c r="AH180" s="35" t="s">
        <v>10637</v>
      </c>
      <c r="AI180" s="35" t="s">
        <v>19</v>
      </c>
      <c r="AJ180" s="202" t="s">
        <v>19</v>
      </c>
      <c r="AK180" s="35" t="s">
        <v>1880</v>
      </c>
      <c r="AL180" s="1779"/>
    </row>
    <row r="181" spans="1:38" s="11" customFormat="1" ht="26.25" customHeight="1" x14ac:dyDescent="0.15">
      <c r="A181" s="8">
        <f t="shared" si="0"/>
        <v>179</v>
      </c>
      <c r="B181" s="36" t="s">
        <v>10882</v>
      </c>
      <c r="C181" s="26" t="s">
        <v>19</v>
      </c>
      <c r="D181" s="26" t="s">
        <v>19</v>
      </c>
      <c r="E181" s="26" t="s">
        <v>19</v>
      </c>
      <c r="F181" s="29" t="s">
        <v>10889</v>
      </c>
      <c r="G181" s="53" t="s">
        <v>10890</v>
      </c>
      <c r="H181" s="26" t="s">
        <v>448</v>
      </c>
      <c r="I181" s="26" t="s">
        <v>448</v>
      </c>
      <c r="J181" s="26" t="s">
        <v>448</v>
      </c>
      <c r="K181" s="1778" t="s">
        <v>2135</v>
      </c>
      <c r="L181" s="1778" t="s">
        <v>3215</v>
      </c>
      <c r="M181" s="1778" t="s">
        <v>10891</v>
      </c>
      <c r="N181" s="22" t="s">
        <v>11591</v>
      </c>
      <c r="O181" s="1780" t="s">
        <v>1826</v>
      </c>
      <c r="P181" s="1780" t="s">
        <v>111</v>
      </c>
      <c r="Q181" s="1779" t="s">
        <v>1818</v>
      </c>
      <c r="R181" s="54" t="s">
        <v>10781</v>
      </c>
      <c r="S181" s="22" t="s">
        <v>1880</v>
      </c>
      <c r="T181" s="1779" t="s">
        <v>2072</v>
      </c>
      <c r="U181" s="1779" t="s">
        <v>2072</v>
      </c>
      <c r="V181" s="24" t="s">
        <v>10865</v>
      </c>
      <c r="W181" s="90" t="s">
        <v>10815</v>
      </c>
      <c r="X181" s="24" t="s">
        <v>2359</v>
      </c>
      <c r="Y181" s="24">
        <v>1</v>
      </c>
      <c r="Z181" s="24" t="s">
        <v>2512</v>
      </c>
      <c r="AA181" s="24" t="s">
        <v>1880</v>
      </c>
      <c r="AB181" s="30">
        <v>9.5715000000000003</v>
      </c>
      <c r="AC181" s="30"/>
      <c r="AD181" s="30">
        <v>9.5715000000000003</v>
      </c>
      <c r="AE181" s="59"/>
      <c r="AF181" s="59"/>
      <c r="AG181" s="35" t="s">
        <v>1104</v>
      </c>
      <c r="AH181" s="35" t="s">
        <v>10637</v>
      </c>
      <c r="AI181" s="35" t="s">
        <v>19</v>
      </c>
      <c r="AJ181" s="202" t="s">
        <v>19</v>
      </c>
      <c r="AK181" s="35" t="s">
        <v>1880</v>
      </c>
      <c r="AL181" s="1779"/>
    </row>
    <row r="182" spans="1:38" s="11" customFormat="1" ht="26.25" customHeight="1" x14ac:dyDescent="0.15">
      <c r="A182" s="8">
        <f t="shared" si="0"/>
        <v>180</v>
      </c>
      <c r="B182" s="36" t="s">
        <v>10900</v>
      </c>
      <c r="C182" s="26" t="s">
        <v>19</v>
      </c>
      <c r="D182" s="711" t="s">
        <v>10901</v>
      </c>
      <c r="E182" s="26" t="s">
        <v>19</v>
      </c>
      <c r="F182" s="29" t="s">
        <v>1848</v>
      </c>
      <c r="G182" s="53" t="s">
        <v>10902</v>
      </c>
      <c r="H182" s="26" t="s">
        <v>448</v>
      </c>
      <c r="I182" s="26" t="s">
        <v>448</v>
      </c>
      <c r="J182" s="26" t="s">
        <v>448</v>
      </c>
      <c r="K182" s="1782" t="s">
        <v>4195</v>
      </c>
      <c r="L182" s="1782" t="s">
        <v>4728</v>
      </c>
      <c r="M182" s="1782" t="s">
        <v>6215</v>
      </c>
      <c r="N182" s="22" t="s">
        <v>6216</v>
      </c>
      <c r="O182" s="22" t="s">
        <v>5431</v>
      </c>
      <c r="P182" s="1783" t="s">
        <v>1880</v>
      </c>
      <c r="Q182" s="216" t="s">
        <v>25</v>
      </c>
      <c r="R182" s="54" t="s">
        <v>3917</v>
      </c>
      <c r="S182" s="22" t="s">
        <v>1880</v>
      </c>
      <c r="T182" s="1782" t="s">
        <v>1151</v>
      </c>
      <c r="U182" s="1782" t="s">
        <v>1151</v>
      </c>
      <c r="V182" s="24" t="s">
        <v>10903</v>
      </c>
      <c r="W182" s="90" t="s">
        <v>10904</v>
      </c>
      <c r="X182" s="24" t="s">
        <v>2359</v>
      </c>
      <c r="Y182" s="24">
        <v>1</v>
      </c>
      <c r="Z182" s="24" t="s">
        <v>1880</v>
      </c>
      <c r="AA182" s="24" t="s">
        <v>1880</v>
      </c>
      <c r="AB182" s="30">
        <v>0.98499999999999999</v>
      </c>
      <c r="AC182" s="30"/>
      <c r="AD182" s="30">
        <v>0.98499999999999999</v>
      </c>
      <c r="AE182" s="59"/>
      <c r="AF182" s="59"/>
      <c r="AG182" s="35" t="s">
        <v>1104</v>
      </c>
      <c r="AH182" s="1782" t="s">
        <v>10629</v>
      </c>
      <c r="AI182" s="35" t="s">
        <v>19</v>
      </c>
      <c r="AJ182" s="202" t="s">
        <v>19</v>
      </c>
      <c r="AK182" s="35" t="s">
        <v>1880</v>
      </c>
      <c r="AL182" s="1782"/>
    </row>
    <row r="183" spans="1:38" s="11" customFormat="1" ht="26.25" customHeight="1" x14ac:dyDescent="0.15">
      <c r="A183" s="8">
        <f t="shared" si="0"/>
        <v>181</v>
      </c>
      <c r="B183" s="36" t="s">
        <v>10905</v>
      </c>
      <c r="C183" s="26" t="s">
        <v>19</v>
      </c>
      <c r="D183" s="26" t="s">
        <v>19</v>
      </c>
      <c r="E183" s="26" t="s">
        <v>19</v>
      </c>
      <c r="F183" s="29" t="s">
        <v>10304</v>
      </c>
      <c r="G183" s="53" t="s">
        <v>10910</v>
      </c>
      <c r="H183" s="26" t="s">
        <v>448</v>
      </c>
      <c r="I183" s="26" t="s">
        <v>448</v>
      </c>
      <c r="J183" s="26" t="s">
        <v>448</v>
      </c>
      <c r="K183" s="1782" t="s">
        <v>4712</v>
      </c>
      <c r="L183" s="1782" t="s">
        <v>9125</v>
      </c>
      <c r="M183" s="1782" t="s">
        <v>9126</v>
      </c>
      <c r="N183" s="22" t="s">
        <v>9660</v>
      </c>
      <c r="O183" s="1783" t="s">
        <v>2142</v>
      </c>
      <c r="P183" s="1783" t="s">
        <v>1880</v>
      </c>
      <c r="Q183" s="1782" t="s">
        <v>4676</v>
      </c>
      <c r="R183" s="54" t="s">
        <v>10913</v>
      </c>
      <c r="S183" s="22" t="s">
        <v>1880</v>
      </c>
      <c r="T183" s="1782" t="s">
        <v>3248</v>
      </c>
      <c r="U183" s="1782" t="s">
        <v>3248</v>
      </c>
      <c r="V183" s="24" t="s">
        <v>10903</v>
      </c>
      <c r="W183" s="90" t="s">
        <v>10914</v>
      </c>
      <c r="X183" s="24" t="s">
        <v>2359</v>
      </c>
      <c r="Y183" s="24">
        <v>1</v>
      </c>
      <c r="Z183" s="24" t="s">
        <v>1880</v>
      </c>
      <c r="AA183" s="24" t="s">
        <v>1880</v>
      </c>
      <c r="AB183" s="30">
        <v>2</v>
      </c>
      <c r="AC183" s="30"/>
      <c r="AD183" s="30">
        <v>2</v>
      </c>
      <c r="AE183" s="59"/>
      <c r="AF183" s="59"/>
      <c r="AG183" s="35" t="s">
        <v>1104</v>
      </c>
      <c r="AH183" s="1782" t="s">
        <v>10629</v>
      </c>
      <c r="AI183" s="35" t="s">
        <v>19</v>
      </c>
      <c r="AJ183" s="202" t="s">
        <v>19</v>
      </c>
      <c r="AK183" s="35" t="s">
        <v>1880</v>
      </c>
      <c r="AL183" s="1782"/>
    </row>
    <row r="184" spans="1:38" s="11" customFormat="1" ht="26.25" customHeight="1" x14ac:dyDescent="0.15">
      <c r="A184" s="8">
        <f t="shared" si="0"/>
        <v>182</v>
      </c>
      <c r="B184" s="36" t="s">
        <v>10906</v>
      </c>
      <c r="C184" s="26" t="s">
        <v>19</v>
      </c>
      <c r="D184" s="26" t="s">
        <v>19</v>
      </c>
      <c r="E184" s="26" t="s">
        <v>19</v>
      </c>
      <c r="F184" s="29" t="s">
        <v>10304</v>
      </c>
      <c r="G184" s="53" t="s">
        <v>10910</v>
      </c>
      <c r="H184" s="26" t="s">
        <v>448</v>
      </c>
      <c r="I184" s="26" t="s">
        <v>448</v>
      </c>
      <c r="J184" s="26" t="s">
        <v>448</v>
      </c>
      <c r="K184" s="1782" t="s">
        <v>4712</v>
      </c>
      <c r="L184" s="1782" t="s">
        <v>9125</v>
      </c>
      <c r="M184" s="1782" t="s">
        <v>9128</v>
      </c>
      <c r="N184" s="22" t="s">
        <v>10179</v>
      </c>
      <c r="O184" s="1783" t="s">
        <v>2142</v>
      </c>
      <c r="P184" s="1783" t="s">
        <v>1880</v>
      </c>
      <c r="Q184" s="1782" t="s">
        <v>4676</v>
      </c>
      <c r="R184" s="54" t="s">
        <v>10913</v>
      </c>
      <c r="S184" s="22" t="s">
        <v>1880</v>
      </c>
      <c r="T184" s="1782" t="s">
        <v>3248</v>
      </c>
      <c r="U184" s="1782" t="s">
        <v>3248</v>
      </c>
      <c r="V184" s="24" t="s">
        <v>10903</v>
      </c>
      <c r="W184" s="90" t="s">
        <v>10914</v>
      </c>
      <c r="X184" s="24" t="s">
        <v>2359</v>
      </c>
      <c r="Y184" s="24">
        <v>1</v>
      </c>
      <c r="Z184" s="24" t="s">
        <v>1880</v>
      </c>
      <c r="AA184" s="24" t="s">
        <v>1880</v>
      </c>
      <c r="AB184" s="30">
        <v>2</v>
      </c>
      <c r="AC184" s="30"/>
      <c r="AD184" s="30">
        <v>2</v>
      </c>
      <c r="AE184" s="59"/>
      <c r="AF184" s="59"/>
      <c r="AG184" s="35" t="s">
        <v>1104</v>
      </c>
      <c r="AH184" s="1782" t="s">
        <v>10629</v>
      </c>
      <c r="AI184" s="35" t="s">
        <v>19</v>
      </c>
      <c r="AJ184" s="202" t="s">
        <v>19</v>
      </c>
      <c r="AK184" s="35" t="s">
        <v>1880</v>
      </c>
      <c r="AL184" s="1782"/>
    </row>
    <row r="185" spans="1:38" s="11" customFormat="1" ht="26.25" customHeight="1" x14ac:dyDescent="0.15">
      <c r="A185" s="8">
        <f t="shared" si="0"/>
        <v>183</v>
      </c>
      <c r="B185" s="36" t="s">
        <v>10907</v>
      </c>
      <c r="C185" s="26" t="s">
        <v>19</v>
      </c>
      <c r="D185" s="26" t="s">
        <v>19</v>
      </c>
      <c r="E185" s="26" t="s">
        <v>19</v>
      </c>
      <c r="F185" s="29" t="s">
        <v>10304</v>
      </c>
      <c r="G185" s="53" t="s">
        <v>10910</v>
      </c>
      <c r="H185" s="26" t="s">
        <v>448</v>
      </c>
      <c r="I185" s="26" t="s">
        <v>448</v>
      </c>
      <c r="J185" s="26" t="s">
        <v>448</v>
      </c>
      <c r="K185" s="1782" t="s">
        <v>4712</v>
      </c>
      <c r="L185" s="1782" t="s">
        <v>9125</v>
      </c>
      <c r="M185" s="1782" t="s">
        <v>9131</v>
      </c>
      <c r="N185" s="22" t="s">
        <v>10181</v>
      </c>
      <c r="O185" s="1783" t="s">
        <v>2142</v>
      </c>
      <c r="P185" s="1783" t="s">
        <v>1880</v>
      </c>
      <c r="Q185" s="1782" t="s">
        <v>4676</v>
      </c>
      <c r="R185" s="54" t="s">
        <v>10913</v>
      </c>
      <c r="S185" s="22" t="s">
        <v>1880</v>
      </c>
      <c r="T185" s="1782" t="s">
        <v>3248</v>
      </c>
      <c r="U185" s="1782" t="s">
        <v>3248</v>
      </c>
      <c r="V185" s="24" t="s">
        <v>10903</v>
      </c>
      <c r="W185" s="90" t="s">
        <v>10914</v>
      </c>
      <c r="X185" s="24" t="s">
        <v>2359</v>
      </c>
      <c r="Y185" s="24">
        <v>1</v>
      </c>
      <c r="Z185" s="24" t="s">
        <v>1880</v>
      </c>
      <c r="AA185" s="24" t="s">
        <v>1880</v>
      </c>
      <c r="AB185" s="30">
        <v>2</v>
      </c>
      <c r="AC185" s="30"/>
      <c r="AD185" s="30">
        <v>2</v>
      </c>
      <c r="AE185" s="59"/>
      <c r="AF185" s="59"/>
      <c r="AG185" s="35" t="s">
        <v>1104</v>
      </c>
      <c r="AH185" s="1782" t="s">
        <v>10629</v>
      </c>
      <c r="AI185" s="35" t="s">
        <v>19</v>
      </c>
      <c r="AJ185" s="202" t="s">
        <v>19</v>
      </c>
      <c r="AK185" s="35" t="s">
        <v>1880</v>
      </c>
      <c r="AL185" s="1782"/>
    </row>
    <row r="186" spans="1:38" s="11" customFormat="1" ht="26.25" customHeight="1" x14ac:dyDescent="0.15">
      <c r="A186" s="8">
        <f t="shared" si="0"/>
        <v>184</v>
      </c>
      <c r="B186" s="36" t="s">
        <v>10908</v>
      </c>
      <c r="C186" s="26" t="s">
        <v>19</v>
      </c>
      <c r="D186" s="26" t="s">
        <v>19</v>
      </c>
      <c r="E186" s="26" t="s">
        <v>19</v>
      </c>
      <c r="F186" s="29" t="s">
        <v>10304</v>
      </c>
      <c r="G186" s="53" t="s">
        <v>10910</v>
      </c>
      <c r="H186" s="26" t="s">
        <v>448</v>
      </c>
      <c r="I186" s="26" t="s">
        <v>448</v>
      </c>
      <c r="J186" s="26" t="s">
        <v>448</v>
      </c>
      <c r="K186" s="1782" t="s">
        <v>4712</v>
      </c>
      <c r="L186" s="1782" t="s">
        <v>9125</v>
      </c>
      <c r="M186" s="1782" t="s">
        <v>9132</v>
      </c>
      <c r="N186" s="22" t="s">
        <v>10180</v>
      </c>
      <c r="O186" s="1783" t="s">
        <v>2142</v>
      </c>
      <c r="P186" s="1783" t="s">
        <v>1880</v>
      </c>
      <c r="Q186" s="1782" t="s">
        <v>4676</v>
      </c>
      <c r="R186" s="54" t="s">
        <v>10913</v>
      </c>
      <c r="S186" s="22" t="s">
        <v>1880</v>
      </c>
      <c r="T186" s="1782" t="s">
        <v>3248</v>
      </c>
      <c r="U186" s="1782" t="s">
        <v>3248</v>
      </c>
      <c r="V186" s="24" t="s">
        <v>10903</v>
      </c>
      <c r="W186" s="90" t="s">
        <v>10914</v>
      </c>
      <c r="X186" s="24" t="s">
        <v>2359</v>
      </c>
      <c r="Y186" s="24">
        <v>1</v>
      </c>
      <c r="Z186" s="24" t="s">
        <v>1880</v>
      </c>
      <c r="AA186" s="24" t="s">
        <v>1880</v>
      </c>
      <c r="AB186" s="30">
        <v>2</v>
      </c>
      <c r="AC186" s="30"/>
      <c r="AD186" s="30">
        <v>2</v>
      </c>
      <c r="AE186" s="59"/>
      <c r="AF186" s="59"/>
      <c r="AG186" s="35" t="s">
        <v>1104</v>
      </c>
      <c r="AH186" s="1782" t="s">
        <v>10629</v>
      </c>
      <c r="AI186" s="35" t="s">
        <v>19</v>
      </c>
      <c r="AJ186" s="202" t="s">
        <v>19</v>
      </c>
      <c r="AK186" s="35" t="s">
        <v>1880</v>
      </c>
      <c r="AL186" s="1782"/>
    </row>
    <row r="187" spans="1:38" s="11" customFormat="1" ht="26.25" customHeight="1" x14ac:dyDescent="0.15">
      <c r="A187" s="8">
        <f t="shared" si="0"/>
        <v>185</v>
      </c>
      <c r="B187" s="36" t="s">
        <v>10909</v>
      </c>
      <c r="C187" s="26" t="s">
        <v>19</v>
      </c>
      <c r="D187" s="26" t="s">
        <v>19</v>
      </c>
      <c r="E187" s="26" t="s">
        <v>19</v>
      </c>
      <c r="F187" s="29" t="s">
        <v>10304</v>
      </c>
      <c r="G187" s="53" t="s">
        <v>10910</v>
      </c>
      <c r="H187" s="26" t="s">
        <v>448</v>
      </c>
      <c r="I187" s="26" t="s">
        <v>448</v>
      </c>
      <c r="J187" s="26" t="s">
        <v>448</v>
      </c>
      <c r="K187" s="1782" t="s">
        <v>4712</v>
      </c>
      <c r="L187" s="1782" t="s">
        <v>4692</v>
      </c>
      <c r="M187" s="1782" t="s">
        <v>10306</v>
      </c>
      <c r="N187" s="22" t="s">
        <v>10312</v>
      </c>
      <c r="O187" s="22" t="s">
        <v>2142</v>
      </c>
      <c r="P187" s="1783" t="s">
        <v>111</v>
      </c>
      <c r="Q187" s="1782" t="s">
        <v>4676</v>
      </c>
      <c r="R187" s="54" t="s">
        <v>10913</v>
      </c>
      <c r="S187" s="22" t="s">
        <v>1880</v>
      </c>
      <c r="T187" s="1782" t="s">
        <v>3248</v>
      </c>
      <c r="U187" s="1782" t="s">
        <v>3248</v>
      </c>
      <c r="V187" s="24" t="s">
        <v>10903</v>
      </c>
      <c r="W187" s="90" t="s">
        <v>10914</v>
      </c>
      <c r="X187" s="24" t="s">
        <v>2359</v>
      </c>
      <c r="Y187" s="24">
        <v>1</v>
      </c>
      <c r="Z187" s="24" t="s">
        <v>1880</v>
      </c>
      <c r="AA187" s="24" t="s">
        <v>1880</v>
      </c>
      <c r="AB187" s="30">
        <v>2</v>
      </c>
      <c r="AC187" s="30"/>
      <c r="AD187" s="30">
        <v>2</v>
      </c>
      <c r="AE187" s="59"/>
      <c r="AF187" s="59"/>
      <c r="AG187" s="35" t="s">
        <v>1104</v>
      </c>
      <c r="AH187" s="1782" t="s">
        <v>10629</v>
      </c>
      <c r="AI187" s="35" t="s">
        <v>19</v>
      </c>
      <c r="AJ187" s="202" t="s">
        <v>19</v>
      </c>
      <c r="AK187" s="35" t="s">
        <v>1880</v>
      </c>
      <c r="AL187" s="1782"/>
    </row>
    <row r="188" spans="1:38" s="11" customFormat="1" ht="26.25" customHeight="1" x14ac:dyDescent="0.15">
      <c r="A188" s="8">
        <f t="shared" si="0"/>
        <v>186</v>
      </c>
      <c r="B188" s="36" t="s">
        <v>10911</v>
      </c>
      <c r="C188" s="26" t="s">
        <v>19</v>
      </c>
      <c r="D188" s="26" t="s">
        <v>19</v>
      </c>
      <c r="E188" s="26" t="s">
        <v>19</v>
      </c>
      <c r="F188" s="29" t="s">
        <v>10304</v>
      </c>
      <c r="G188" s="53" t="s">
        <v>10910</v>
      </c>
      <c r="H188" s="26" t="s">
        <v>448</v>
      </c>
      <c r="I188" s="26" t="s">
        <v>448</v>
      </c>
      <c r="J188" s="26" t="s">
        <v>448</v>
      </c>
      <c r="K188" s="1782" t="s">
        <v>4712</v>
      </c>
      <c r="L188" s="1782" t="s">
        <v>9125</v>
      </c>
      <c r="M188" s="1782" t="s">
        <v>9126</v>
      </c>
      <c r="N188" s="22" t="s">
        <v>9290</v>
      </c>
      <c r="O188" s="22" t="s">
        <v>5431</v>
      </c>
      <c r="P188" s="1783" t="s">
        <v>111</v>
      </c>
      <c r="Q188" s="1782" t="s">
        <v>1131</v>
      </c>
      <c r="R188" s="54" t="s">
        <v>10913</v>
      </c>
      <c r="S188" s="22" t="s">
        <v>1880</v>
      </c>
      <c r="T188" s="1782" t="s">
        <v>3248</v>
      </c>
      <c r="U188" s="1782" t="s">
        <v>3248</v>
      </c>
      <c r="V188" s="24" t="s">
        <v>10903</v>
      </c>
      <c r="W188" s="90" t="s">
        <v>10914</v>
      </c>
      <c r="X188" s="24" t="s">
        <v>2359</v>
      </c>
      <c r="Y188" s="24">
        <v>1</v>
      </c>
      <c r="Z188" s="24" t="s">
        <v>1880</v>
      </c>
      <c r="AA188" s="24" t="s">
        <v>1880</v>
      </c>
      <c r="AB188" s="30">
        <v>2</v>
      </c>
      <c r="AC188" s="30"/>
      <c r="AD188" s="30">
        <v>2</v>
      </c>
      <c r="AE188" s="59"/>
      <c r="AF188" s="59"/>
      <c r="AG188" s="35" t="s">
        <v>1104</v>
      </c>
      <c r="AH188" s="1782" t="s">
        <v>10629</v>
      </c>
      <c r="AI188" s="35" t="s">
        <v>19</v>
      </c>
      <c r="AJ188" s="202" t="s">
        <v>19</v>
      </c>
      <c r="AK188" s="35" t="s">
        <v>1880</v>
      </c>
      <c r="AL188" s="1782"/>
    </row>
    <row r="189" spans="1:38" s="11" customFormat="1" ht="26.25" customHeight="1" x14ac:dyDescent="0.15">
      <c r="A189" s="8">
        <f t="shared" si="0"/>
        <v>187</v>
      </c>
      <c r="B189" s="36" t="s">
        <v>10912</v>
      </c>
      <c r="C189" s="26" t="s">
        <v>19</v>
      </c>
      <c r="D189" s="26" t="s">
        <v>19</v>
      </c>
      <c r="E189" s="26" t="s">
        <v>19</v>
      </c>
      <c r="F189" s="29" t="s">
        <v>10304</v>
      </c>
      <c r="G189" s="53" t="s">
        <v>10910</v>
      </c>
      <c r="H189" s="26" t="s">
        <v>448</v>
      </c>
      <c r="I189" s="26" t="s">
        <v>448</v>
      </c>
      <c r="J189" s="26" t="s">
        <v>448</v>
      </c>
      <c r="K189" s="1782" t="s">
        <v>4712</v>
      </c>
      <c r="L189" s="71" t="s">
        <v>9125</v>
      </c>
      <c r="M189" s="1782" t="s">
        <v>9132</v>
      </c>
      <c r="N189" s="22" t="s">
        <v>9291</v>
      </c>
      <c r="O189" s="22" t="s">
        <v>5431</v>
      </c>
      <c r="P189" s="1783" t="s">
        <v>111</v>
      </c>
      <c r="Q189" s="1782" t="s">
        <v>1131</v>
      </c>
      <c r="R189" s="54" t="s">
        <v>10913</v>
      </c>
      <c r="S189" s="22" t="s">
        <v>1880</v>
      </c>
      <c r="T189" s="1782" t="s">
        <v>3248</v>
      </c>
      <c r="U189" s="1782" t="s">
        <v>3248</v>
      </c>
      <c r="V189" s="24" t="s">
        <v>10903</v>
      </c>
      <c r="W189" s="90" t="s">
        <v>10914</v>
      </c>
      <c r="X189" s="24" t="s">
        <v>2359</v>
      </c>
      <c r="Y189" s="24">
        <v>1</v>
      </c>
      <c r="Z189" s="24" t="s">
        <v>1880</v>
      </c>
      <c r="AA189" s="24" t="s">
        <v>1880</v>
      </c>
      <c r="AB189" s="30">
        <v>2</v>
      </c>
      <c r="AC189" s="30"/>
      <c r="AD189" s="30">
        <v>2</v>
      </c>
      <c r="AE189" s="59"/>
      <c r="AF189" s="59"/>
      <c r="AG189" s="35" t="s">
        <v>1104</v>
      </c>
      <c r="AH189" s="1782" t="s">
        <v>10629</v>
      </c>
      <c r="AI189" s="35" t="s">
        <v>19</v>
      </c>
      <c r="AJ189" s="202" t="s">
        <v>19</v>
      </c>
      <c r="AK189" s="35" t="s">
        <v>1880</v>
      </c>
      <c r="AL189" s="1782"/>
    </row>
    <row r="190" spans="1:38" s="11" customFormat="1" ht="26.25" customHeight="1" x14ac:dyDescent="0.15">
      <c r="A190" s="8">
        <f t="shared" si="0"/>
        <v>188</v>
      </c>
      <c r="B190" s="36" t="s">
        <v>10915</v>
      </c>
      <c r="C190" s="26" t="s">
        <v>19</v>
      </c>
      <c r="D190" s="26" t="s">
        <v>19</v>
      </c>
      <c r="E190" s="26" t="s">
        <v>19</v>
      </c>
      <c r="F190" s="29" t="s">
        <v>3245</v>
      </c>
      <c r="G190" s="53" t="s">
        <v>8109</v>
      </c>
      <c r="H190" s="26" t="s">
        <v>448</v>
      </c>
      <c r="I190" s="26" t="s">
        <v>448</v>
      </c>
      <c r="J190" s="26" t="s">
        <v>448</v>
      </c>
      <c r="K190" s="1781" t="s">
        <v>4691</v>
      </c>
      <c r="L190" s="1781" t="s">
        <v>4728</v>
      </c>
      <c r="M190" s="1781" t="s">
        <v>5658</v>
      </c>
      <c r="N190" s="22" t="s">
        <v>5659</v>
      </c>
      <c r="O190" s="22" t="s">
        <v>5431</v>
      </c>
      <c r="P190" s="1783" t="s">
        <v>1880</v>
      </c>
      <c r="Q190" s="1782" t="s">
        <v>25</v>
      </c>
      <c r="R190" s="54" t="s">
        <v>4644</v>
      </c>
      <c r="S190" s="22" t="s">
        <v>1880</v>
      </c>
      <c r="T190" s="1782" t="s">
        <v>1151</v>
      </c>
      <c r="U190" s="1782" t="s">
        <v>1151</v>
      </c>
      <c r="V190" s="24" t="s">
        <v>10903</v>
      </c>
      <c r="W190" s="90" t="s">
        <v>10865</v>
      </c>
      <c r="X190" s="24" t="s">
        <v>1800</v>
      </c>
      <c r="Y190" s="24">
        <v>1</v>
      </c>
      <c r="Z190" s="24" t="s">
        <v>1880</v>
      </c>
      <c r="AA190" s="24" t="s">
        <v>1880</v>
      </c>
      <c r="AB190" s="30">
        <v>6</v>
      </c>
      <c r="AC190" s="30"/>
      <c r="AD190" s="30">
        <v>6</v>
      </c>
      <c r="AE190" s="59"/>
      <c r="AF190" s="59"/>
      <c r="AG190" s="35" t="s">
        <v>1104</v>
      </c>
      <c r="AH190" s="1782" t="s">
        <v>10629</v>
      </c>
      <c r="AI190" s="35" t="s">
        <v>19</v>
      </c>
      <c r="AJ190" s="202" t="s">
        <v>19</v>
      </c>
      <c r="AK190" s="35" t="s">
        <v>1880</v>
      </c>
      <c r="AL190" s="1782"/>
    </row>
    <row r="191" spans="1:38" s="11" customFormat="1" ht="26.25" customHeight="1" x14ac:dyDescent="0.15">
      <c r="A191" s="8">
        <f t="shared" si="0"/>
        <v>189</v>
      </c>
      <c r="B191" s="36" t="s">
        <v>10916</v>
      </c>
      <c r="C191" s="26" t="s">
        <v>19</v>
      </c>
      <c r="D191" s="26" t="s">
        <v>19</v>
      </c>
      <c r="E191" s="26" t="s">
        <v>19</v>
      </c>
      <c r="F191" s="29" t="s">
        <v>3245</v>
      </c>
      <c r="G191" s="53" t="s">
        <v>8109</v>
      </c>
      <c r="H191" s="26" t="s">
        <v>448</v>
      </c>
      <c r="I191" s="26" t="s">
        <v>448</v>
      </c>
      <c r="J191" s="26" t="s">
        <v>448</v>
      </c>
      <c r="K191" s="1781" t="s">
        <v>4691</v>
      </c>
      <c r="L191" s="1782" t="s">
        <v>4728</v>
      </c>
      <c r="M191" s="1781" t="s">
        <v>5784</v>
      </c>
      <c r="N191" s="22" t="s">
        <v>1795</v>
      </c>
      <c r="O191" s="22" t="s">
        <v>5431</v>
      </c>
      <c r="P191" s="1783" t="s">
        <v>1880</v>
      </c>
      <c r="Q191" s="1782" t="s">
        <v>25</v>
      </c>
      <c r="R191" s="54" t="s">
        <v>4644</v>
      </c>
      <c r="S191" s="22" t="s">
        <v>1880</v>
      </c>
      <c r="T191" s="1782" t="s">
        <v>1151</v>
      </c>
      <c r="U191" s="1782" t="s">
        <v>1151</v>
      </c>
      <c r="V191" s="24" t="s">
        <v>10903</v>
      </c>
      <c r="W191" s="90" t="s">
        <v>10865</v>
      </c>
      <c r="X191" s="24" t="s">
        <v>1800</v>
      </c>
      <c r="Y191" s="24">
        <v>1</v>
      </c>
      <c r="Z191" s="24" t="s">
        <v>1880</v>
      </c>
      <c r="AA191" s="24" t="s">
        <v>1880</v>
      </c>
      <c r="AB191" s="30">
        <v>3</v>
      </c>
      <c r="AC191" s="30"/>
      <c r="AD191" s="30">
        <v>3</v>
      </c>
      <c r="AE191" s="59"/>
      <c r="AF191" s="59"/>
      <c r="AG191" s="35" t="s">
        <v>1104</v>
      </c>
      <c r="AH191" s="1782" t="s">
        <v>10629</v>
      </c>
      <c r="AI191" s="35" t="s">
        <v>19</v>
      </c>
      <c r="AJ191" s="202" t="s">
        <v>19</v>
      </c>
      <c r="AK191" s="35" t="s">
        <v>1880</v>
      </c>
      <c r="AL191" s="1782"/>
    </row>
    <row r="192" spans="1:38" s="11" customFormat="1" ht="26.25" customHeight="1" x14ac:dyDescent="0.15">
      <c r="A192" s="8">
        <f t="shared" si="0"/>
        <v>190</v>
      </c>
      <c r="B192" s="36" t="s">
        <v>10917</v>
      </c>
      <c r="C192" s="26" t="s">
        <v>19</v>
      </c>
      <c r="D192" s="26" t="s">
        <v>19</v>
      </c>
      <c r="E192" s="26" t="s">
        <v>19</v>
      </c>
      <c r="F192" s="29" t="s">
        <v>3245</v>
      </c>
      <c r="G192" s="53" t="s">
        <v>8109</v>
      </c>
      <c r="H192" s="26" t="s">
        <v>448</v>
      </c>
      <c r="I192" s="26" t="s">
        <v>448</v>
      </c>
      <c r="J192" s="26" t="s">
        <v>448</v>
      </c>
      <c r="K192" s="1781" t="s">
        <v>4691</v>
      </c>
      <c r="L192" s="1781" t="s">
        <v>4728</v>
      </c>
      <c r="M192" s="1781" t="s">
        <v>5666</v>
      </c>
      <c r="N192" s="22" t="s">
        <v>4780</v>
      </c>
      <c r="O192" s="22" t="s">
        <v>5431</v>
      </c>
      <c r="P192" s="1783" t="s">
        <v>111</v>
      </c>
      <c r="Q192" s="1782" t="s">
        <v>1131</v>
      </c>
      <c r="R192" s="54" t="s">
        <v>4644</v>
      </c>
      <c r="S192" s="22" t="s">
        <v>1880</v>
      </c>
      <c r="T192" s="1782" t="s">
        <v>1151</v>
      </c>
      <c r="U192" s="1782" t="s">
        <v>1151</v>
      </c>
      <c r="V192" s="24" t="s">
        <v>10903</v>
      </c>
      <c r="W192" s="90" t="s">
        <v>10865</v>
      </c>
      <c r="X192" s="24" t="s">
        <v>1800</v>
      </c>
      <c r="Y192" s="24">
        <v>1</v>
      </c>
      <c r="Z192" s="24" t="s">
        <v>1880</v>
      </c>
      <c r="AA192" s="24" t="s">
        <v>1880</v>
      </c>
      <c r="AB192" s="30">
        <v>3</v>
      </c>
      <c r="AC192" s="30"/>
      <c r="AD192" s="30">
        <v>3</v>
      </c>
      <c r="AE192" s="59"/>
      <c r="AF192" s="59"/>
      <c r="AG192" s="35" t="s">
        <v>1104</v>
      </c>
      <c r="AH192" s="1782" t="s">
        <v>10629</v>
      </c>
      <c r="AI192" s="35" t="s">
        <v>19</v>
      </c>
      <c r="AJ192" s="202" t="s">
        <v>19</v>
      </c>
      <c r="AK192" s="35" t="s">
        <v>1880</v>
      </c>
      <c r="AL192" s="1782"/>
    </row>
    <row r="193" spans="1:38" s="11" customFormat="1" ht="26.25" customHeight="1" x14ac:dyDescent="0.15">
      <c r="A193" s="8">
        <f t="shared" si="0"/>
        <v>191</v>
      </c>
      <c r="B193" s="36" t="s">
        <v>10918</v>
      </c>
      <c r="C193" s="26" t="s">
        <v>19</v>
      </c>
      <c r="D193" s="26" t="s">
        <v>19</v>
      </c>
      <c r="E193" s="26" t="s">
        <v>19</v>
      </c>
      <c r="F193" s="29" t="s">
        <v>3245</v>
      </c>
      <c r="G193" s="53" t="s">
        <v>8109</v>
      </c>
      <c r="H193" s="26" t="s">
        <v>448</v>
      </c>
      <c r="I193" s="26" t="s">
        <v>448</v>
      </c>
      <c r="J193" s="26" t="s">
        <v>448</v>
      </c>
      <c r="K193" s="1782" t="s">
        <v>4691</v>
      </c>
      <c r="L193" s="1782" t="s">
        <v>4728</v>
      </c>
      <c r="M193" s="1782" t="s">
        <v>8271</v>
      </c>
      <c r="N193" s="22" t="s">
        <v>4780</v>
      </c>
      <c r="O193" s="22" t="s">
        <v>5431</v>
      </c>
      <c r="P193" s="1783" t="s">
        <v>111</v>
      </c>
      <c r="Q193" s="1782" t="s">
        <v>1131</v>
      </c>
      <c r="R193" s="54" t="s">
        <v>4644</v>
      </c>
      <c r="S193" s="22" t="s">
        <v>1880</v>
      </c>
      <c r="T193" s="1782" t="s">
        <v>1151</v>
      </c>
      <c r="U193" s="1782" t="s">
        <v>1151</v>
      </c>
      <c r="V193" s="24" t="s">
        <v>10903</v>
      </c>
      <c r="W193" s="90" t="s">
        <v>10865</v>
      </c>
      <c r="X193" s="24" t="s">
        <v>1800</v>
      </c>
      <c r="Y193" s="24">
        <v>1</v>
      </c>
      <c r="Z193" s="24" t="s">
        <v>1880</v>
      </c>
      <c r="AA193" s="24" t="s">
        <v>1880</v>
      </c>
      <c r="AB193" s="30">
        <v>3</v>
      </c>
      <c r="AC193" s="30"/>
      <c r="AD193" s="30">
        <v>3</v>
      </c>
      <c r="AE193" s="59"/>
      <c r="AF193" s="59"/>
      <c r="AG193" s="35" t="s">
        <v>1104</v>
      </c>
      <c r="AH193" s="1782" t="s">
        <v>10629</v>
      </c>
      <c r="AI193" s="35" t="s">
        <v>19</v>
      </c>
      <c r="AJ193" s="202" t="s">
        <v>19</v>
      </c>
      <c r="AK193" s="35" t="s">
        <v>1880</v>
      </c>
      <c r="AL193" s="1782"/>
    </row>
    <row r="194" spans="1:38" s="11" customFormat="1" ht="26.25" customHeight="1" x14ac:dyDescent="0.15">
      <c r="A194" s="8">
        <f t="shared" si="0"/>
        <v>192</v>
      </c>
      <c r="B194" s="36" t="s">
        <v>10919</v>
      </c>
      <c r="C194" s="26" t="s">
        <v>19</v>
      </c>
      <c r="D194" s="26" t="s">
        <v>19</v>
      </c>
      <c r="E194" s="26" t="s">
        <v>19</v>
      </c>
      <c r="F194" s="29" t="s">
        <v>6068</v>
      </c>
      <c r="G194" s="53" t="s">
        <v>10921</v>
      </c>
      <c r="H194" s="26" t="s">
        <v>448</v>
      </c>
      <c r="I194" s="26" t="s">
        <v>448</v>
      </c>
      <c r="J194" s="26" t="s">
        <v>448</v>
      </c>
      <c r="K194" s="1782" t="s">
        <v>4195</v>
      </c>
      <c r="L194" s="1782" t="s">
        <v>10926</v>
      </c>
      <c r="M194" s="1782" t="s">
        <v>4706</v>
      </c>
      <c r="N194" s="22" t="s">
        <v>4887</v>
      </c>
      <c r="O194" s="22" t="s">
        <v>1826</v>
      </c>
      <c r="P194" s="1783" t="s">
        <v>111</v>
      </c>
      <c r="Q194" s="221" t="s">
        <v>1818</v>
      </c>
      <c r="R194" s="222" t="s">
        <v>1819</v>
      </c>
      <c r="S194" s="22" t="s">
        <v>1880</v>
      </c>
      <c r="T194" s="1782" t="s">
        <v>5489</v>
      </c>
      <c r="U194" s="1782" t="s">
        <v>5489</v>
      </c>
      <c r="V194" s="24" t="s">
        <v>10922</v>
      </c>
      <c r="W194" s="90" t="s">
        <v>10923</v>
      </c>
      <c r="X194" s="24" t="s">
        <v>110</v>
      </c>
      <c r="Y194" s="24">
        <v>1</v>
      </c>
      <c r="Z194" s="24" t="s">
        <v>10923</v>
      </c>
      <c r="AA194" s="24" t="s">
        <v>10924</v>
      </c>
      <c r="AB194" s="30"/>
      <c r="AC194" s="30">
        <v>9.6999999999999993</v>
      </c>
      <c r="AD194" s="30">
        <v>9.6999999999999993</v>
      </c>
      <c r="AE194" s="59"/>
      <c r="AF194" s="59"/>
      <c r="AG194" s="35" t="s">
        <v>1104</v>
      </c>
      <c r="AH194" s="1782" t="s">
        <v>10629</v>
      </c>
      <c r="AI194" s="35" t="s">
        <v>19</v>
      </c>
      <c r="AJ194" s="202" t="s">
        <v>19</v>
      </c>
      <c r="AK194" s="35" t="s">
        <v>1880</v>
      </c>
      <c r="AL194" s="1782"/>
    </row>
    <row r="195" spans="1:38" s="11" customFormat="1" ht="26.25" customHeight="1" x14ac:dyDescent="0.15">
      <c r="A195" s="8">
        <f t="shared" si="0"/>
        <v>193</v>
      </c>
      <c r="B195" s="36" t="s">
        <v>10920</v>
      </c>
      <c r="C195" s="26" t="s">
        <v>19</v>
      </c>
      <c r="D195" s="26" t="s">
        <v>19</v>
      </c>
      <c r="E195" s="26" t="s">
        <v>19</v>
      </c>
      <c r="F195" s="29" t="s">
        <v>5063</v>
      </c>
      <c r="G195" s="53" t="s">
        <v>10925</v>
      </c>
      <c r="H195" s="26" t="s">
        <v>448</v>
      </c>
      <c r="I195" s="26" t="s">
        <v>448</v>
      </c>
      <c r="J195" s="26" t="s">
        <v>448</v>
      </c>
      <c r="K195" s="1781" t="s">
        <v>4195</v>
      </c>
      <c r="L195" s="1782" t="s">
        <v>10926</v>
      </c>
      <c r="M195" s="1781" t="s">
        <v>5970</v>
      </c>
      <c r="N195" s="22" t="s">
        <v>4780</v>
      </c>
      <c r="O195" s="22" t="s">
        <v>5431</v>
      </c>
      <c r="P195" s="1783" t="s">
        <v>111</v>
      </c>
      <c r="Q195" s="1782" t="s">
        <v>1131</v>
      </c>
      <c r="R195" s="54" t="s">
        <v>116</v>
      </c>
      <c r="S195" s="22" t="s">
        <v>1880</v>
      </c>
      <c r="T195" s="1782" t="s">
        <v>5489</v>
      </c>
      <c r="U195" s="1782" t="s">
        <v>5489</v>
      </c>
      <c r="V195" s="24" t="s">
        <v>10922</v>
      </c>
      <c r="W195" s="90" t="s">
        <v>10923</v>
      </c>
      <c r="X195" s="24" t="s">
        <v>110</v>
      </c>
      <c r="Y195" s="24">
        <v>1</v>
      </c>
      <c r="Z195" s="24" t="s">
        <v>10923</v>
      </c>
      <c r="AA195" s="24" t="s">
        <v>10924</v>
      </c>
      <c r="AB195" s="30"/>
      <c r="AC195" s="30">
        <v>9.6999999999999993</v>
      </c>
      <c r="AD195" s="30">
        <v>9.6999999999999993</v>
      </c>
      <c r="AE195" s="59"/>
      <c r="AF195" s="59"/>
      <c r="AG195" s="35" t="s">
        <v>1104</v>
      </c>
      <c r="AH195" s="1782" t="s">
        <v>10629</v>
      </c>
      <c r="AI195" s="35" t="s">
        <v>19</v>
      </c>
      <c r="AJ195" s="202" t="s">
        <v>19</v>
      </c>
      <c r="AK195" s="35" t="s">
        <v>1880</v>
      </c>
      <c r="AL195" s="1782"/>
    </row>
    <row r="196" spans="1:38" s="11" customFormat="1" ht="26.25" customHeight="1" x14ac:dyDescent="0.15">
      <c r="A196" s="8">
        <f t="shared" si="0"/>
        <v>194</v>
      </c>
      <c r="B196" s="36" t="s">
        <v>10927</v>
      </c>
      <c r="C196" s="26" t="s">
        <v>19</v>
      </c>
      <c r="D196" s="26" t="s">
        <v>10931</v>
      </c>
      <c r="E196" s="26" t="s">
        <v>19</v>
      </c>
      <c r="F196" s="29" t="s">
        <v>7666</v>
      </c>
      <c r="G196" s="29" t="s">
        <v>10928</v>
      </c>
      <c r="H196" s="26" t="s">
        <v>448</v>
      </c>
      <c r="I196" s="26" t="s">
        <v>448</v>
      </c>
      <c r="J196" s="26" t="s">
        <v>448</v>
      </c>
      <c r="K196" s="1782" t="s">
        <v>3649</v>
      </c>
      <c r="L196" s="1782" t="s">
        <v>6079</v>
      </c>
      <c r="M196" s="1782" t="s">
        <v>6767</v>
      </c>
      <c r="N196" s="22" t="s">
        <v>4780</v>
      </c>
      <c r="O196" s="1783" t="s">
        <v>1826</v>
      </c>
      <c r="P196" s="1783" t="s">
        <v>111</v>
      </c>
      <c r="Q196" s="28" t="s">
        <v>25</v>
      </c>
      <c r="R196" s="54" t="s">
        <v>10929</v>
      </c>
      <c r="S196" s="22" t="s">
        <v>1880</v>
      </c>
      <c r="T196" s="1782" t="s">
        <v>2072</v>
      </c>
      <c r="U196" s="1782" t="s">
        <v>2072</v>
      </c>
      <c r="V196" s="24" t="s">
        <v>10922</v>
      </c>
      <c r="W196" s="90" t="s">
        <v>10930</v>
      </c>
      <c r="X196" s="24" t="s">
        <v>110</v>
      </c>
      <c r="Y196" s="24">
        <v>1</v>
      </c>
      <c r="Z196" s="24" t="s">
        <v>1880</v>
      </c>
      <c r="AA196" s="24" t="s">
        <v>1880</v>
      </c>
      <c r="AB196" s="30">
        <v>2.9</v>
      </c>
      <c r="AC196" s="30"/>
      <c r="AD196" s="30">
        <v>2.9</v>
      </c>
      <c r="AE196" s="59"/>
      <c r="AF196" s="59"/>
      <c r="AG196" s="35" t="s">
        <v>1104</v>
      </c>
      <c r="AH196" s="1782" t="s">
        <v>10629</v>
      </c>
      <c r="AI196" s="35" t="s">
        <v>19</v>
      </c>
      <c r="AJ196" s="202" t="s">
        <v>19</v>
      </c>
      <c r="AK196" s="35" t="s">
        <v>1880</v>
      </c>
      <c r="AL196" s="1782"/>
    </row>
    <row r="197" spans="1:38" s="11" customFormat="1" ht="26.25" customHeight="1" x14ac:dyDescent="0.15">
      <c r="A197" s="8">
        <f t="shared" si="0"/>
        <v>195</v>
      </c>
      <c r="B197" s="36" t="s">
        <v>10932</v>
      </c>
      <c r="C197" s="26" t="s">
        <v>19</v>
      </c>
      <c r="D197" s="26" t="s">
        <v>19</v>
      </c>
      <c r="E197" s="26" t="s">
        <v>19</v>
      </c>
      <c r="F197" s="29" t="s">
        <v>6813</v>
      </c>
      <c r="G197" s="53" t="s">
        <v>7589</v>
      </c>
      <c r="H197" s="26" t="s">
        <v>448</v>
      </c>
      <c r="I197" s="26" t="s">
        <v>448</v>
      </c>
      <c r="J197" s="26" t="s">
        <v>448</v>
      </c>
      <c r="K197" s="1782" t="s">
        <v>4195</v>
      </c>
      <c r="L197" s="1782" t="s">
        <v>4196</v>
      </c>
      <c r="M197" s="1782" t="s">
        <v>5912</v>
      </c>
      <c r="N197" s="22" t="s">
        <v>4780</v>
      </c>
      <c r="O197" s="22" t="s">
        <v>5431</v>
      </c>
      <c r="P197" s="1783" t="s">
        <v>111</v>
      </c>
      <c r="Q197" s="1782" t="s">
        <v>2441</v>
      </c>
      <c r="R197" s="54" t="s">
        <v>6929</v>
      </c>
      <c r="S197" s="22" t="s">
        <v>1880</v>
      </c>
      <c r="T197" s="1782" t="s">
        <v>2072</v>
      </c>
      <c r="U197" s="1782" t="s">
        <v>2072</v>
      </c>
      <c r="V197" s="24" t="s">
        <v>10922</v>
      </c>
      <c r="W197" s="90" t="s">
        <v>10933</v>
      </c>
      <c r="X197" s="24" t="s">
        <v>110</v>
      </c>
      <c r="Y197" s="24">
        <v>1</v>
      </c>
      <c r="Z197" s="24" t="s">
        <v>1880</v>
      </c>
      <c r="AA197" s="24" t="s">
        <v>1880</v>
      </c>
      <c r="AB197" s="30">
        <v>2.75</v>
      </c>
      <c r="AC197" s="30"/>
      <c r="AD197" s="30">
        <v>2.75</v>
      </c>
      <c r="AE197" s="59"/>
      <c r="AF197" s="59"/>
      <c r="AG197" s="35" t="s">
        <v>1104</v>
      </c>
      <c r="AH197" s="35" t="s">
        <v>10637</v>
      </c>
      <c r="AI197" s="35" t="s">
        <v>19</v>
      </c>
      <c r="AJ197" s="202" t="s">
        <v>19</v>
      </c>
      <c r="AK197" s="35" t="s">
        <v>1880</v>
      </c>
      <c r="AL197" s="1782"/>
    </row>
    <row r="198" spans="1:38" s="11" customFormat="1" ht="26.25" customHeight="1" x14ac:dyDescent="0.15">
      <c r="A198" s="8">
        <f t="shared" si="0"/>
        <v>196</v>
      </c>
      <c r="B198" s="36" t="s">
        <v>10934</v>
      </c>
      <c r="C198" s="26" t="s">
        <v>19</v>
      </c>
      <c r="D198" s="26" t="s">
        <v>10935</v>
      </c>
      <c r="E198" s="26" t="s">
        <v>19</v>
      </c>
      <c r="F198" s="29" t="s">
        <v>9314</v>
      </c>
      <c r="G198" s="53" t="s">
        <v>10936</v>
      </c>
      <c r="H198" s="26" t="s">
        <v>448</v>
      </c>
      <c r="I198" s="26" t="s">
        <v>448</v>
      </c>
      <c r="J198" s="26" t="s">
        <v>448</v>
      </c>
      <c r="K198" s="1784" t="s">
        <v>4195</v>
      </c>
      <c r="L198" s="1784" t="s">
        <v>4728</v>
      </c>
      <c r="M198" s="1784" t="s">
        <v>5673</v>
      </c>
      <c r="N198" s="22" t="s">
        <v>5674</v>
      </c>
      <c r="O198" s="22" t="s">
        <v>5478</v>
      </c>
      <c r="P198" s="1785" t="s">
        <v>1880</v>
      </c>
      <c r="Q198" s="1784" t="s">
        <v>4676</v>
      </c>
      <c r="R198" s="54" t="s">
        <v>10310</v>
      </c>
      <c r="S198" s="22" t="s">
        <v>1880</v>
      </c>
      <c r="T198" s="1784" t="s">
        <v>1151</v>
      </c>
      <c r="U198" s="1784" t="s">
        <v>1151</v>
      </c>
      <c r="V198" s="24" t="s">
        <v>10922</v>
      </c>
      <c r="W198" s="90" t="s">
        <v>10937</v>
      </c>
      <c r="X198" s="24" t="s">
        <v>1800</v>
      </c>
      <c r="Y198" s="24">
        <v>1</v>
      </c>
      <c r="Z198" s="24" t="s">
        <v>1880</v>
      </c>
      <c r="AA198" s="24" t="s">
        <v>1880</v>
      </c>
      <c r="AB198" s="30">
        <v>0.24</v>
      </c>
      <c r="AC198" s="30"/>
      <c r="AD198" s="30">
        <v>0.24</v>
      </c>
      <c r="AE198" s="59"/>
      <c r="AF198" s="59"/>
      <c r="AG198" s="35" t="s">
        <v>1104</v>
      </c>
      <c r="AH198" s="1784" t="s">
        <v>10629</v>
      </c>
      <c r="AI198" s="35" t="s">
        <v>19</v>
      </c>
      <c r="AJ198" s="202" t="s">
        <v>19</v>
      </c>
      <c r="AK198" s="35" t="s">
        <v>1880</v>
      </c>
      <c r="AL198" s="1782"/>
    </row>
    <row r="199" spans="1:38" s="11" customFormat="1" ht="26.25" customHeight="1" x14ac:dyDescent="0.15">
      <c r="A199" s="8">
        <f t="shared" si="0"/>
        <v>197</v>
      </c>
      <c r="B199" s="36" t="s">
        <v>10940</v>
      </c>
      <c r="C199" s="26" t="s">
        <v>19</v>
      </c>
      <c r="D199" s="26" t="s">
        <v>19</v>
      </c>
      <c r="E199" s="26" t="s">
        <v>19</v>
      </c>
      <c r="F199" s="13" t="s">
        <v>5762</v>
      </c>
      <c r="G199" s="53" t="s">
        <v>10944</v>
      </c>
      <c r="H199" s="26" t="s">
        <v>448</v>
      </c>
      <c r="I199" s="26" t="s">
        <v>448</v>
      </c>
      <c r="J199" s="26" t="s">
        <v>448</v>
      </c>
      <c r="K199" s="1786" t="s">
        <v>4791</v>
      </c>
      <c r="L199" s="1788" t="s">
        <v>10952</v>
      </c>
      <c r="M199" s="1786" t="s">
        <v>5764</v>
      </c>
      <c r="N199" s="22" t="s">
        <v>4780</v>
      </c>
      <c r="O199" s="22" t="s">
        <v>5431</v>
      </c>
      <c r="P199" s="22" t="s">
        <v>8401</v>
      </c>
      <c r="Q199" s="1787" t="s">
        <v>1131</v>
      </c>
      <c r="R199" s="54" t="s">
        <v>10945</v>
      </c>
      <c r="S199" s="22" t="s">
        <v>1880</v>
      </c>
      <c r="T199" s="1787" t="s">
        <v>1785</v>
      </c>
      <c r="U199" s="1787" t="s">
        <v>1785</v>
      </c>
      <c r="V199" s="24" t="s">
        <v>10946</v>
      </c>
      <c r="W199" s="90" t="s">
        <v>10914</v>
      </c>
      <c r="X199" s="24" t="s">
        <v>1800</v>
      </c>
      <c r="Y199" s="24">
        <v>1</v>
      </c>
      <c r="Z199" s="24" t="s">
        <v>10914</v>
      </c>
      <c r="AA199" s="24" t="s">
        <v>10947</v>
      </c>
      <c r="AB199" s="30"/>
      <c r="AC199" s="30">
        <v>10</v>
      </c>
      <c r="AD199" s="30">
        <v>10</v>
      </c>
      <c r="AE199" s="59"/>
      <c r="AF199" s="59"/>
      <c r="AG199" s="35" t="s">
        <v>1104</v>
      </c>
      <c r="AH199" s="1787" t="s">
        <v>10629</v>
      </c>
      <c r="AI199" s="35" t="s">
        <v>19</v>
      </c>
      <c r="AJ199" s="202" t="s">
        <v>19</v>
      </c>
      <c r="AK199" s="35" t="s">
        <v>1880</v>
      </c>
      <c r="AL199" s="1787"/>
    </row>
    <row r="200" spans="1:38" s="11" customFormat="1" ht="26.25" customHeight="1" x14ac:dyDescent="0.15">
      <c r="A200" s="8">
        <f t="shared" si="0"/>
        <v>198</v>
      </c>
      <c r="B200" s="36" t="s">
        <v>10941</v>
      </c>
      <c r="C200" s="26" t="s">
        <v>19</v>
      </c>
      <c r="D200" s="26" t="s">
        <v>19</v>
      </c>
      <c r="E200" s="26" t="s">
        <v>19</v>
      </c>
      <c r="F200" s="13" t="s">
        <v>5765</v>
      </c>
      <c r="G200" s="53" t="s">
        <v>10944</v>
      </c>
      <c r="H200" s="26" t="s">
        <v>448</v>
      </c>
      <c r="I200" s="26" t="s">
        <v>448</v>
      </c>
      <c r="J200" s="26" t="s">
        <v>448</v>
      </c>
      <c r="K200" s="1788" t="s">
        <v>2032</v>
      </c>
      <c r="L200" s="1788" t="s">
        <v>10952</v>
      </c>
      <c r="M200" s="1788" t="s">
        <v>3807</v>
      </c>
      <c r="N200" s="1788" t="s">
        <v>4780</v>
      </c>
      <c r="O200" s="1788" t="s">
        <v>1826</v>
      </c>
      <c r="P200" s="1788" t="s">
        <v>8402</v>
      </c>
      <c r="Q200" s="22" t="s">
        <v>454</v>
      </c>
      <c r="R200" s="54" t="s">
        <v>10945</v>
      </c>
      <c r="S200" s="22" t="s">
        <v>1880</v>
      </c>
      <c r="T200" s="1787" t="s">
        <v>1785</v>
      </c>
      <c r="U200" s="1787" t="s">
        <v>1785</v>
      </c>
      <c r="V200" s="24" t="s">
        <v>10946</v>
      </c>
      <c r="W200" s="90" t="s">
        <v>10914</v>
      </c>
      <c r="X200" s="24" t="s">
        <v>1800</v>
      </c>
      <c r="Y200" s="24">
        <v>1</v>
      </c>
      <c r="Z200" s="24" t="s">
        <v>10914</v>
      </c>
      <c r="AA200" s="24" t="s">
        <v>10947</v>
      </c>
      <c r="AB200" s="30"/>
      <c r="AC200" s="30">
        <v>10</v>
      </c>
      <c r="AD200" s="30">
        <v>10</v>
      </c>
      <c r="AE200" s="59"/>
      <c r="AF200" s="59"/>
      <c r="AG200" s="35" t="s">
        <v>1104</v>
      </c>
      <c r="AH200" s="1787" t="s">
        <v>10629</v>
      </c>
      <c r="AI200" s="35" t="s">
        <v>19</v>
      </c>
      <c r="AJ200" s="202" t="s">
        <v>19</v>
      </c>
      <c r="AK200" s="35" t="s">
        <v>1880</v>
      </c>
      <c r="AL200" s="1787"/>
    </row>
    <row r="201" spans="1:38" s="11" customFormat="1" ht="26.25" customHeight="1" x14ac:dyDescent="0.15">
      <c r="A201" s="8">
        <f t="shared" si="0"/>
        <v>199</v>
      </c>
      <c r="B201" s="36" t="s">
        <v>10942</v>
      </c>
      <c r="C201" s="26" t="s">
        <v>19</v>
      </c>
      <c r="D201" s="26" t="s">
        <v>19</v>
      </c>
      <c r="E201" s="26" t="s">
        <v>19</v>
      </c>
      <c r="F201" s="13" t="s">
        <v>5765</v>
      </c>
      <c r="G201" s="53" t="s">
        <v>10944</v>
      </c>
      <c r="H201" s="26" t="s">
        <v>448</v>
      </c>
      <c r="I201" s="26" t="s">
        <v>448</v>
      </c>
      <c r="J201" s="26" t="s">
        <v>448</v>
      </c>
      <c r="K201" s="1788" t="s">
        <v>2032</v>
      </c>
      <c r="L201" s="1788" t="s">
        <v>10952</v>
      </c>
      <c r="M201" s="1786" t="s">
        <v>10948</v>
      </c>
      <c r="N201" s="1788" t="s">
        <v>4780</v>
      </c>
      <c r="O201" s="1788" t="s">
        <v>1826</v>
      </c>
      <c r="P201" s="1788" t="s">
        <v>1880</v>
      </c>
      <c r="Q201" s="22" t="s">
        <v>454</v>
      </c>
      <c r="R201" s="54" t="s">
        <v>10945</v>
      </c>
      <c r="S201" s="22" t="s">
        <v>1880</v>
      </c>
      <c r="T201" s="1787" t="s">
        <v>1785</v>
      </c>
      <c r="U201" s="1787" t="s">
        <v>1785</v>
      </c>
      <c r="V201" s="24" t="s">
        <v>10946</v>
      </c>
      <c r="W201" s="90" t="s">
        <v>10914</v>
      </c>
      <c r="X201" s="24" t="s">
        <v>1800</v>
      </c>
      <c r="Y201" s="24">
        <v>1</v>
      </c>
      <c r="Z201" s="24" t="s">
        <v>1880</v>
      </c>
      <c r="AA201" s="24" t="s">
        <v>1880</v>
      </c>
      <c r="AB201" s="30"/>
      <c r="AC201" s="30">
        <v>10</v>
      </c>
      <c r="AD201" s="30">
        <v>10</v>
      </c>
      <c r="AE201" s="59" t="s">
        <v>11107</v>
      </c>
      <c r="AF201" s="59"/>
      <c r="AG201" s="35" t="s">
        <v>1104</v>
      </c>
      <c r="AH201" s="1787" t="s">
        <v>3101</v>
      </c>
      <c r="AI201" s="35" t="s">
        <v>19</v>
      </c>
      <c r="AJ201" s="202" t="s">
        <v>19</v>
      </c>
      <c r="AK201" s="35" t="s">
        <v>1880</v>
      </c>
      <c r="AL201" s="1787"/>
    </row>
    <row r="202" spans="1:38" s="11" customFormat="1" ht="26.25" customHeight="1" x14ac:dyDescent="0.15">
      <c r="A202" s="8">
        <f t="shared" si="0"/>
        <v>200</v>
      </c>
      <c r="B202" s="36" t="s">
        <v>10943</v>
      </c>
      <c r="C202" s="26" t="s">
        <v>19</v>
      </c>
      <c r="D202" s="26" t="s">
        <v>19</v>
      </c>
      <c r="E202" s="26" t="s">
        <v>19</v>
      </c>
      <c r="F202" s="29" t="s">
        <v>10949</v>
      </c>
      <c r="G202" s="53" t="s">
        <v>10944</v>
      </c>
      <c r="H202" s="26" t="s">
        <v>448</v>
      </c>
      <c r="I202" s="26" t="s">
        <v>448</v>
      </c>
      <c r="J202" s="26" t="s">
        <v>448</v>
      </c>
      <c r="K202" s="1788" t="s">
        <v>2032</v>
      </c>
      <c r="L202" s="1788" t="s">
        <v>10952</v>
      </c>
      <c r="M202" s="1786" t="s">
        <v>10950</v>
      </c>
      <c r="N202" s="1788" t="s">
        <v>4780</v>
      </c>
      <c r="O202" s="22" t="s">
        <v>5478</v>
      </c>
      <c r="P202" s="1788" t="s">
        <v>1880</v>
      </c>
      <c r="Q202" s="1787" t="s">
        <v>4676</v>
      </c>
      <c r="R202" s="54" t="s">
        <v>10951</v>
      </c>
      <c r="S202" s="22" t="s">
        <v>1880</v>
      </c>
      <c r="T202" s="1787" t="s">
        <v>1785</v>
      </c>
      <c r="U202" s="1787" t="s">
        <v>1785</v>
      </c>
      <c r="V202" s="24" t="s">
        <v>10946</v>
      </c>
      <c r="W202" s="90" t="s">
        <v>10914</v>
      </c>
      <c r="X202" s="24" t="s">
        <v>1800</v>
      </c>
      <c r="Y202" s="24">
        <v>1</v>
      </c>
      <c r="Z202" s="24" t="s">
        <v>10914</v>
      </c>
      <c r="AA202" s="24" t="s">
        <v>10947</v>
      </c>
      <c r="AB202" s="30">
        <v>10</v>
      </c>
      <c r="AC202" s="30"/>
      <c r="AD202" s="30">
        <v>10</v>
      </c>
      <c r="AE202" s="59"/>
      <c r="AF202" s="59"/>
      <c r="AG202" s="35" t="s">
        <v>1104</v>
      </c>
      <c r="AH202" s="35" t="s">
        <v>10637</v>
      </c>
      <c r="AI202" s="35" t="s">
        <v>19</v>
      </c>
      <c r="AJ202" s="202" t="s">
        <v>19</v>
      </c>
      <c r="AK202" s="35" t="s">
        <v>1880</v>
      </c>
      <c r="AL202" s="1787"/>
    </row>
    <row r="203" spans="1:38" s="11" customFormat="1" ht="26.25" customHeight="1" x14ac:dyDescent="0.15">
      <c r="A203" s="8">
        <f t="shared" si="0"/>
        <v>201</v>
      </c>
      <c r="B203" s="36" t="s">
        <v>10953</v>
      </c>
      <c r="C203" s="71" t="s">
        <v>10954</v>
      </c>
      <c r="D203" s="26" t="s">
        <v>19</v>
      </c>
      <c r="E203" s="26" t="s">
        <v>19</v>
      </c>
      <c r="F203" s="29" t="s">
        <v>10957</v>
      </c>
      <c r="G203" s="53" t="s">
        <v>10958</v>
      </c>
      <c r="H203" s="26" t="s">
        <v>448</v>
      </c>
      <c r="I203" s="26" t="s">
        <v>448</v>
      </c>
      <c r="J203" s="26" t="s">
        <v>448</v>
      </c>
      <c r="K203" s="1789" t="s">
        <v>2112</v>
      </c>
      <c r="L203" s="1789" t="s">
        <v>10853</v>
      </c>
      <c r="M203" s="1789" t="s">
        <v>10955</v>
      </c>
      <c r="N203" s="1790" t="s">
        <v>4780</v>
      </c>
      <c r="O203" s="1790" t="s">
        <v>1826</v>
      </c>
      <c r="P203" s="1790" t="s">
        <v>1880</v>
      </c>
      <c r="Q203" s="1789" t="s">
        <v>1131</v>
      </c>
      <c r="R203" s="54" t="s">
        <v>2224</v>
      </c>
      <c r="S203" s="22" t="s">
        <v>1880</v>
      </c>
      <c r="T203" s="1789" t="s">
        <v>1785</v>
      </c>
      <c r="U203" s="1789" t="s">
        <v>1785</v>
      </c>
      <c r="V203" s="24" t="s">
        <v>10946</v>
      </c>
      <c r="W203" s="90" t="s">
        <v>10956</v>
      </c>
      <c r="X203" s="24" t="s">
        <v>110</v>
      </c>
      <c r="Y203" s="24">
        <v>2</v>
      </c>
      <c r="Z203" s="24" t="s">
        <v>2512</v>
      </c>
      <c r="AA203" s="24" t="s">
        <v>1880</v>
      </c>
      <c r="AB203" s="30">
        <v>17.32</v>
      </c>
      <c r="AC203" s="30"/>
      <c r="AD203" s="30">
        <v>17.32</v>
      </c>
      <c r="AE203" s="59"/>
      <c r="AF203" s="59"/>
      <c r="AG203" s="35" t="s">
        <v>1104</v>
      </c>
      <c r="AH203" s="35" t="s">
        <v>10637</v>
      </c>
      <c r="AI203" s="35" t="s">
        <v>19</v>
      </c>
      <c r="AJ203" s="202" t="s">
        <v>19</v>
      </c>
      <c r="AK203" s="35" t="s">
        <v>1880</v>
      </c>
      <c r="AL203" s="1789"/>
    </row>
    <row r="204" spans="1:38" s="11" customFormat="1" ht="26.25" customHeight="1" x14ac:dyDescent="0.15">
      <c r="A204" s="8">
        <f t="shared" si="0"/>
        <v>202</v>
      </c>
      <c r="B204" s="36" t="s">
        <v>10964</v>
      </c>
      <c r="C204" s="26" t="s">
        <v>19</v>
      </c>
      <c r="D204" s="26" t="s">
        <v>19</v>
      </c>
      <c r="E204" s="26" t="s">
        <v>19</v>
      </c>
      <c r="F204" s="29" t="s">
        <v>6969</v>
      </c>
      <c r="G204" s="29" t="s">
        <v>10959</v>
      </c>
      <c r="H204" s="1793" t="s">
        <v>8664</v>
      </c>
      <c r="I204" s="1793" t="s">
        <v>8665</v>
      </c>
      <c r="J204" s="1793" t="s">
        <v>8666</v>
      </c>
      <c r="K204" s="1793" t="s">
        <v>2328</v>
      </c>
      <c r="L204" s="1793" t="s">
        <v>2327</v>
      </c>
      <c r="M204" s="1793" t="s">
        <v>4271</v>
      </c>
      <c r="N204" s="1793" t="s">
        <v>4780</v>
      </c>
      <c r="O204" s="1793" t="s">
        <v>1826</v>
      </c>
      <c r="P204" s="1793" t="s">
        <v>111</v>
      </c>
      <c r="Q204" s="22" t="s">
        <v>454</v>
      </c>
      <c r="R204" s="54" t="s">
        <v>10960</v>
      </c>
      <c r="S204" s="22" t="s">
        <v>1880</v>
      </c>
      <c r="T204" s="1792" t="s">
        <v>1785</v>
      </c>
      <c r="U204" s="1792" t="s">
        <v>1785</v>
      </c>
      <c r="V204" s="24" t="s">
        <v>10961</v>
      </c>
      <c r="W204" s="90" t="s">
        <v>10930</v>
      </c>
      <c r="X204" s="24" t="s">
        <v>110</v>
      </c>
      <c r="Y204" s="24">
        <v>1</v>
      </c>
      <c r="Z204" s="24" t="s">
        <v>1880</v>
      </c>
      <c r="AA204" s="24" t="s">
        <v>1880</v>
      </c>
      <c r="AB204" s="30">
        <v>62.87</v>
      </c>
      <c r="AC204" s="30"/>
      <c r="AD204" s="30">
        <v>62.87</v>
      </c>
      <c r="AE204" s="59"/>
      <c r="AF204" s="59"/>
      <c r="AG204" s="35" t="s">
        <v>1104</v>
      </c>
      <c r="AH204" s="1792" t="s">
        <v>10629</v>
      </c>
      <c r="AI204" s="35" t="s">
        <v>19</v>
      </c>
      <c r="AJ204" s="202" t="s">
        <v>19</v>
      </c>
      <c r="AK204" s="35" t="s">
        <v>1880</v>
      </c>
      <c r="AL204" s="1792"/>
    </row>
    <row r="205" spans="1:38" s="11" customFormat="1" ht="26.25" customHeight="1" x14ac:dyDescent="0.15">
      <c r="A205" s="8">
        <f t="shared" si="0"/>
        <v>203</v>
      </c>
      <c r="B205" s="36" t="s">
        <v>10965</v>
      </c>
      <c r="C205" s="26" t="s">
        <v>19</v>
      </c>
      <c r="D205" s="26" t="s">
        <v>10966</v>
      </c>
      <c r="E205" s="26" t="s">
        <v>19</v>
      </c>
      <c r="F205" s="29" t="s">
        <v>10858</v>
      </c>
      <c r="G205" s="29" t="s">
        <v>10962</v>
      </c>
      <c r="H205" s="1793" t="s">
        <v>8664</v>
      </c>
      <c r="I205" s="1793" t="s">
        <v>8665</v>
      </c>
      <c r="J205" s="1793" t="s">
        <v>8666</v>
      </c>
      <c r="K205" s="1791" t="s">
        <v>2112</v>
      </c>
      <c r="L205" s="1791" t="s">
        <v>1124</v>
      </c>
      <c r="M205" s="1791" t="s">
        <v>1125</v>
      </c>
      <c r="N205" s="22" t="s">
        <v>1126</v>
      </c>
      <c r="O205" s="22" t="s">
        <v>5431</v>
      </c>
      <c r="P205" s="1793" t="s">
        <v>111</v>
      </c>
      <c r="Q205" s="1792" t="s">
        <v>1131</v>
      </c>
      <c r="R205" s="54" t="s">
        <v>10960</v>
      </c>
      <c r="S205" s="22" t="s">
        <v>1880</v>
      </c>
      <c r="T205" s="1792" t="s">
        <v>1785</v>
      </c>
      <c r="U205" s="1792" t="s">
        <v>1785</v>
      </c>
      <c r="V205" s="24" t="s">
        <v>10961</v>
      </c>
      <c r="W205" s="90" t="s">
        <v>10963</v>
      </c>
      <c r="X205" s="24" t="s">
        <v>110</v>
      </c>
      <c r="Y205" s="24">
        <v>1</v>
      </c>
      <c r="Z205" s="24" t="s">
        <v>1880</v>
      </c>
      <c r="AA205" s="24" t="s">
        <v>1880</v>
      </c>
      <c r="AB205" s="30">
        <v>73.37</v>
      </c>
      <c r="AC205" s="30"/>
      <c r="AD205" s="30">
        <v>73.37</v>
      </c>
      <c r="AE205" s="59"/>
      <c r="AF205" s="59"/>
      <c r="AG205" s="35" t="s">
        <v>1104</v>
      </c>
      <c r="AH205" s="1792" t="s">
        <v>10629</v>
      </c>
      <c r="AI205" s="35" t="s">
        <v>19</v>
      </c>
      <c r="AJ205" s="202" t="s">
        <v>19</v>
      </c>
      <c r="AK205" s="35" t="s">
        <v>1880</v>
      </c>
      <c r="AL205" s="1792"/>
    </row>
    <row r="206" spans="1:38" s="11" customFormat="1" ht="26.25" customHeight="1" x14ac:dyDescent="0.15">
      <c r="A206" s="8">
        <f t="shared" si="0"/>
        <v>204</v>
      </c>
      <c r="B206" s="36" t="s">
        <v>10967</v>
      </c>
      <c r="C206" s="26" t="s">
        <v>19</v>
      </c>
      <c r="D206" s="26" t="s">
        <v>19</v>
      </c>
      <c r="E206" s="26" t="s">
        <v>19</v>
      </c>
      <c r="F206" s="29" t="s">
        <v>10968</v>
      </c>
      <c r="G206" s="53" t="s">
        <v>5092</v>
      </c>
      <c r="H206" s="26" t="s">
        <v>448</v>
      </c>
      <c r="I206" s="26" t="s">
        <v>448</v>
      </c>
      <c r="J206" s="26" t="s">
        <v>448</v>
      </c>
      <c r="K206" s="1794" t="s">
        <v>2135</v>
      </c>
      <c r="L206" s="1794" t="s">
        <v>2437</v>
      </c>
      <c r="M206" s="1794" t="s">
        <v>10969</v>
      </c>
      <c r="N206" s="1796" t="s">
        <v>4780</v>
      </c>
      <c r="O206" s="1796" t="s">
        <v>1826</v>
      </c>
      <c r="P206" s="1796" t="s">
        <v>111</v>
      </c>
      <c r="Q206" s="221" t="s">
        <v>1818</v>
      </c>
      <c r="R206" s="222" t="s">
        <v>1819</v>
      </c>
      <c r="S206" s="22" t="s">
        <v>1880</v>
      </c>
      <c r="T206" s="1795" t="s">
        <v>2072</v>
      </c>
      <c r="U206" s="1795" t="s">
        <v>2072</v>
      </c>
      <c r="V206" s="24" t="s">
        <v>10970</v>
      </c>
      <c r="W206" s="90" t="s">
        <v>10971</v>
      </c>
      <c r="X206" s="24" t="s">
        <v>110</v>
      </c>
      <c r="Y206" s="24">
        <v>1</v>
      </c>
      <c r="Z206" s="24" t="s">
        <v>1880</v>
      </c>
      <c r="AA206" s="24" t="s">
        <v>1880</v>
      </c>
      <c r="AB206" s="30"/>
      <c r="AC206" s="30">
        <v>13</v>
      </c>
      <c r="AD206" s="30">
        <v>13</v>
      </c>
      <c r="AE206" s="59" t="s">
        <v>11107</v>
      </c>
      <c r="AF206" s="59"/>
      <c r="AG206" s="35" t="s">
        <v>1104</v>
      </c>
      <c r="AH206" s="1795" t="s">
        <v>3101</v>
      </c>
      <c r="AI206" s="35" t="s">
        <v>19</v>
      </c>
      <c r="AJ206" s="202" t="s">
        <v>19</v>
      </c>
      <c r="AK206" s="35" t="s">
        <v>1880</v>
      </c>
      <c r="AL206" s="1795"/>
    </row>
    <row r="207" spans="1:38" s="11" customFormat="1" ht="26.25" customHeight="1" x14ac:dyDescent="0.15">
      <c r="A207" s="8">
        <f t="shared" si="0"/>
        <v>205</v>
      </c>
      <c r="B207" s="36" t="s">
        <v>10974</v>
      </c>
      <c r="C207" s="26" t="s">
        <v>19</v>
      </c>
      <c r="D207" s="26" t="s">
        <v>19</v>
      </c>
      <c r="E207" s="26" t="s">
        <v>19</v>
      </c>
      <c r="F207" s="29" t="s">
        <v>2148</v>
      </c>
      <c r="G207" s="99" t="s">
        <v>8749</v>
      </c>
      <c r="H207" s="1806" t="s">
        <v>9526</v>
      </c>
      <c r="I207" s="1806" t="s">
        <v>9527</v>
      </c>
      <c r="J207" s="26" t="s">
        <v>9528</v>
      </c>
      <c r="K207" s="694" t="s">
        <v>1487</v>
      </c>
      <c r="L207" s="694" t="s">
        <v>1952</v>
      </c>
      <c r="M207" s="694" t="s">
        <v>1953</v>
      </c>
      <c r="N207" s="1806" t="s">
        <v>6421</v>
      </c>
      <c r="O207" s="1806" t="s">
        <v>1826</v>
      </c>
      <c r="P207" s="22" t="s">
        <v>1880</v>
      </c>
      <c r="Q207" s="1805" t="s">
        <v>102</v>
      </c>
      <c r="R207" s="54" t="s">
        <v>10913</v>
      </c>
      <c r="S207" s="22" t="s">
        <v>1880</v>
      </c>
      <c r="T207" s="1795" t="s">
        <v>3248</v>
      </c>
      <c r="U207" s="1803" t="s">
        <v>3248</v>
      </c>
      <c r="V207" s="24" t="s">
        <v>10972</v>
      </c>
      <c r="W207" s="90" t="s">
        <v>11002</v>
      </c>
      <c r="X207" s="24" t="s">
        <v>1880</v>
      </c>
      <c r="Y207" s="24" t="s">
        <v>1880</v>
      </c>
      <c r="Z207" s="24" t="s">
        <v>1880</v>
      </c>
      <c r="AA207" s="24" t="s">
        <v>1880</v>
      </c>
      <c r="AB207" s="30">
        <v>2.2999999999999998</v>
      </c>
      <c r="AC207" s="30"/>
      <c r="AD207" s="30">
        <v>2.2999999999999998</v>
      </c>
      <c r="AE207" s="59"/>
      <c r="AF207" s="59"/>
      <c r="AG207" s="35" t="s">
        <v>1104</v>
      </c>
      <c r="AH207" s="1797" t="s">
        <v>10629</v>
      </c>
      <c r="AI207" s="35" t="s">
        <v>19</v>
      </c>
      <c r="AJ207" s="202" t="s">
        <v>19</v>
      </c>
      <c r="AK207" s="35" t="s">
        <v>1880</v>
      </c>
      <c r="AL207" s="1795" t="s">
        <v>10973</v>
      </c>
    </row>
    <row r="208" spans="1:38" s="11" customFormat="1" ht="26.25" customHeight="1" x14ac:dyDescent="0.15">
      <c r="A208" s="8">
        <f t="shared" si="0"/>
        <v>206</v>
      </c>
      <c r="B208" s="36" t="s">
        <v>10975</v>
      </c>
      <c r="C208" s="26" t="s">
        <v>19</v>
      </c>
      <c r="D208" s="26" t="s">
        <v>19</v>
      </c>
      <c r="E208" s="26" t="s">
        <v>19</v>
      </c>
      <c r="F208" s="29" t="s">
        <v>2148</v>
      </c>
      <c r="G208" s="99" t="s">
        <v>8749</v>
      </c>
      <c r="H208" s="1806" t="s">
        <v>9526</v>
      </c>
      <c r="I208" s="1806" t="s">
        <v>9527</v>
      </c>
      <c r="J208" s="26" t="s">
        <v>9528</v>
      </c>
      <c r="K208" s="1804" t="s">
        <v>4712</v>
      </c>
      <c r="L208" s="1804" t="s">
        <v>5383</v>
      </c>
      <c r="M208" s="1804" t="s">
        <v>6990</v>
      </c>
      <c r="N208" s="22" t="s">
        <v>4780</v>
      </c>
      <c r="O208" s="22" t="s">
        <v>1826</v>
      </c>
      <c r="P208" s="22" t="s">
        <v>1880</v>
      </c>
      <c r="Q208" s="1805" t="s">
        <v>102</v>
      </c>
      <c r="R208" s="54" t="s">
        <v>10913</v>
      </c>
      <c r="S208" s="22" t="s">
        <v>1880</v>
      </c>
      <c r="T208" s="1803" t="s">
        <v>3248</v>
      </c>
      <c r="U208" s="1803" t="s">
        <v>3248</v>
      </c>
      <c r="V208" s="24" t="s">
        <v>10972</v>
      </c>
      <c r="W208" s="90" t="s">
        <v>11002</v>
      </c>
      <c r="X208" s="24" t="s">
        <v>1880</v>
      </c>
      <c r="Y208" s="24" t="s">
        <v>1880</v>
      </c>
      <c r="Z208" s="24" t="s">
        <v>1880</v>
      </c>
      <c r="AA208" s="24" t="s">
        <v>1880</v>
      </c>
      <c r="AB208" s="30">
        <v>2.2999999999999998</v>
      </c>
      <c r="AC208" s="30"/>
      <c r="AD208" s="30">
        <v>2.2999999999999998</v>
      </c>
      <c r="AE208" s="59"/>
      <c r="AF208" s="59"/>
      <c r="AG208" s="35" t="s">
        <v>1104</v>
      </c>
      <c r="AH208" s="1797" t="s">
        <v>10629</v>
      </c>
      <c r="AI208" s="35" t="s">
        <v>19</v>
      </c>
      <c r="AJ208" s="202" t="s">
        <v>19</v>
      </c>
      <c r="AK208" s="35" t="s">
        <v>1880</v>
      </c>
      <c r="AL208" s="1797" t="s">
        <v>10973</v>
      </c>
    </row>
    <row r="209" spans="1:38" s="11" customFormat="1" ht="26.25" customHeight="1" x14ac:dyDescent="0.15">
      <c r="A209" s="8">
        <f t="shared" si="0"/>
        <v>207</v>
      </c>
      <c r="B209" s="36" t="s">
        <v>10976</v>
      </c>
      <c r="C209" s="26" t="s">
        <v>19</v>
      </c>
      <c r="D209" s="26" t="s">
        <v>19</v>
      </c>
      <c r="E209" s="26" t="s">
        <v>19</v>
      </c>
      <c r="F209" s="29" t="s">
        <v>8107</v>
      </c>
      <c r="G209" s="53" t="s">
        <v>11007</v>
      </c>
      <c r="H209" s="26" t="s">
        <v>448</v>
      </c>
      <c r="I209" s="26" t="s">
        <v>448</v>
      </c>
      <c r="J209" s="26" t="s">
        <v>448</v>
      </c>
      <c r="K209" s="1799" t="s">
        <v>2012</v>
      </c>
      <c r="L209" s="1799" t="s">
        <v>2437</v>
      </c>
      <c r="M209" s="1799" t="s">
        <v>6658</v>
      </c>
      <c r="N209" s="22" t="s">
        <v>1138</v>
      </c>
      <c r="O209" s="1799" t="s">
        <v>1826</v>
      </c>
      <c r="P209" s="1799" t="s">
        <v>111</v>
      </c>
      <c r="Q209" s="1798" t="s">
        <v>1131</v>
      </c>
      <c r="R209" s="54" t="s">
        <v>10913</v>
      </c>
      <c r="S209" s="22" t="s">
        <v>1880</v>
      </c>
      <c r="T209" s="1798" t="s">
        <v>3248</v>
      </c>
      <c r="U209" s="1798" t="s">
        <v>3248</v>
      </c>
      <c r="V209" s="24" t="s">
        <v>10978</v>
      </c>
      <c r="W209" s="24" t="s">
        <v>10977</v>
      </c>
      <c r="X209" s="24" t="s">
        <v>110</v>
      </c>
      <c r="Y209" s="24">
        <v>1</v>
      </c>
      <c r="Z209" s="24" t="s">
        <v>1880</v>
      </c>
      <c r="AA209" s="24" t="s">
        <v>1880</v>
      </c>
      <c r="AB209" s="30">
        <v>3.7</v>
      </c>
      <c r="AC209" s="30"/>
      <c r="AD209" s="30">
        <v>3.7</v>
      </c>
      <c r="AE209" s="59"/>
      <c r="AF209" s="59"/>
      <c r="AG209" s="35" t="s">
        <v>1104</v>
      </c>
      <c r="AH209" s="1798" t="s">
        <v>10629</v>
      </c>
      <c r="AI209" s="35" t="s">
        <v>19</v>
      </c>
      <c r="AJ209" s="202" t="s">
        <v>19</v>
      </c>
      <c r="AK209" s="35" t="s">
        <v>1880</v>
      </c>
      <c r="AL209" s="1798"/>
    </row>
    <row r="210" spans="1:38" s="11" customFormat="1" ht="26.25" customHeight="1" x14ac:dyDescent="0.15">
      <c r="A210" s="8">
        <f t="shared" si="0"/>
        <v>208</v>
      </c>
      <c r="B210" s="36" t="s">
        <v>10998</v>
      </c>
      <c r="C210" s="26" t="s">
        <v>19</v>
      </c>
      <c r="D210" s="26" t="s">
        <v>19</v>
      </c>
      <c r="E210" s="36" t="s">
        <v>11045</v>
      </c>
      <c r="F210" s="29" t="s">
        <v>10979</v>
      </c>
      <c r="G210" s="53" t="s">
        <v>10980</v>
      </c>
      <c r="H210" s="26" t="s">
        <v>448</v>
      </c>
      <c r="I210" s="26" t="s">
        <v>448</v>
      </c>
      <c r="J210" s="26" t="s">
        <v>448</v>
      </c>
      <c r="K210" s="1798" t="s">
        <v>3649</v>
      </c>
      <c r="L210" s="1798" t="s">
        <v>4701</v>
      </c>
      <c r="M210" s="1817" t="s">
        <v>11040</v>
      </c>
      <c r="N210" s="1798" t="s">
        <v>4780</v>
      </c>
      <c r="O210" s="1798" t="s">
        <v>10981</v>
      </c>
      <c r="P210" s="1799" t="s">
        <v>111</v>
      </c>
      <c r="Q210" s="1798" t="s">
        <v>10999</v>
      </c>
      <c r="R210" s="54" t="s">
        <v>11041</v>
      </c>
      <c r="S210" s="22" t="s">
        <v>1880</v>
      </c>
      <c r="T210" s="1798" t="s">
        <v>2072</v>
      </c>
      <c r="U210" s="1798" t="s">
        <v>2072</v>
      </c>
      <c r="V210" s="24" t="s">
        <v>10978</v>
      </c>
      <c r="W210" s="90" t="s">
        <v>10982</v>
      </c>
      <c r="X210" s="24" t="s">
        <v>110</v>
      </c>
      <c r="Y210" s="24">
        <v>1</v>
      </c>
      <c r="Z210" s="24" t="s">
        <v>1880</v>
      </c>
      <c r="AA210" s="24" t="s">
        <v>1880</v>
      </c>
      <c r="AB210" s="30">
        <v>66.5</v>
      </c>
      <c r="AC210" s="30"/>
      <c r="AD210" s="30">
        <v>66.5</v>
      </c>
      <c r="AE210" s="59"/>
      <c r="AF210" s="59"/>
      <c r="AG210" s="35" t="s">
        <v>1104</v>
      </c>
      <c r="AH210" s="1798" t="s">
        <v>10983</v>
      </c>
      <c r="AI210" s="1798" t="s">
        <v>448</v>
      </c>
      <c r="AJ210" s="202" t="s">
        <v>19</v>
      </c>
      <c r="AK210" s="35" t="s">
        <v>1880</v>
      </c>
      <c r="AL210" s="1798"/>
    </row>
    <row r="211" spans="1:38" s="11" customFormat="1" ht="26.25" customHeight="1" x14ac:dyDescent="0.15">
      <c r="A211" s="8">
        <f t="shared" si="0"/>
        <v>209</v>
      </c>
      <c r="B211" s="36" t="s">
        <v>10984</v>
      </c>
      <c r="C211" s="26" t="s">
        <v>19</v>
      </c>
      <c r="D211" s="26" t="s">
        <v>19</v>
      </c>
      <c r="E211" s="26" t="s">
        <v>19</v>
      </c>
      <c r="F211" s="29" t="s">
        <v>7912</v>
      </c>
      <c r="G211" s="99" t="s">
        <v>8749</v>
      </c>
      <c r="H211" s="1478" t="s">
        <v>448</v>
      </c>
      <c r="I211" s="1478" t="s">
        <v>448</v>
      </c>
      <c r="J211" s="1478" t="s">
        <v>448</v>
      </c>
      <c r="K211" s="1804" t="s">
        <v>1487</v>
      </c>
      <c r="L211" s="1804" t="s">
        <v>1416</v>
      </c>
      <c r="M211" s="1804" t="s">
        <v>10618</v>
      </c>
      <c r="N211" s="22" t="s">
        <v>1138</v>
      </c>
      <c r="O211" s="1805" t="s">
        <v>5431</v>
      </c>
      <c r="P211" s="1806" t="s">
        <v>111</v>
      </c>
      <c r="Q211" s="1805" t="s">
        <v>1131</v>
      </c>
      <c r="R211" s="54" t="s">
        <v>10913</v>
      </c>
      <c r="S211" s="22" t="s">
        <v>1880</v>
      </c>
      <c r="T211" s="1800" t="s">
        <v>3248</v>
      </c>
      <c r="U211" s="1800" t="s">
        <v>3248</v>
      </c>
      <c r="V211" s="24" t="s">
        <v>10985</v>
      </c>
      <c r="W211" s="90" t="s">
        <v>11002</v>
      </c>
      <c r="X211" s="24" t="s">
        <v>1880</v>
      </c>
      <c r="Y211" s="24" t="s">
        <v>1880</v>
      </c>
      <c r="Z211" s="24" t="s">
        <v>1880</v>
      </c>
      <c r="AA211" s="24" t="s">
        <v>1880</v>
      </c>
      <c r="AB211" s="30">
        <v>1.5</v>
      </c>
      <c r="AC211" s="30"/>
      <c r="AD211" s="30">
        <v>1.5</v>
      </c>
      <c r="AE211" s="59"/>
      <c r="AF211" s="59"/>
      <c r="AG211" s="35" t="s">
        <v>1104</v>
      </c>
      <c r="AH211" s="1800" t="s">
        <v>10629</v>
      </c>
      <c r="AI211" s="35" t="s">
        <v>19</v>
      </c>
      <c r="AJ211" s="202" t="s">
        <v>19</v>
      </c>
      <c r="AK211" s="35" t="s">
        <v>1880</v>
      </c>
      <c r="AL211" s="1800" t="s">
        <v>11003</v>
      </c>
    </row>
    <row r="212" spans="1:38" s="11" customFormat="1" ht="26.25" customHeight="1" x14ac:dyDescent="0.15">
      <c r="A212" s="8">
        <f t="shared" si="0"/>
        <v>210</v>
      </c>
      <c r="B212" s="36" t="s">
        <v>11008</v>
      </c>
      <c r="C212" s="71" t="s">
        <v>11010</v>
      </c>
      <c r="D212" s="26" t="s">
        <v>19</v>
      </c>
      <c r="E212" s="26" t="s">
        <v>19</v>
      </c>
      <c r="F212" s="29" t="s">
        <v>11004</v>
      </c>
      <c r="G212" s="29" t="s">
        <v>7480</v>
      </c>
      <c r="H212" s="1478" t="s">
        <v>448</v>
      </c>
      <c r="I212" s="1478" t="s">
        <v>448</v>
      </c>
      <c r="J212" s="1478" t="s">
        <v>448</v>
      </c>
      <c r="K212" s="1807" t="s">
        <v>3649</v>
      </c>
      <c r="L212" s="1807" t="s">
        <v>4750</v>
      </c>
      <c r="M212" s="1807" t="s">
        <v>10700</v>
      </c>
      <c r="N212" s="22" t="s">
        <v>11009</v>
      </c>
      <c r="O212" s="1807" t="s">
        <v>5431</v>
      </c>
      <c r="P212" s="1808" t="s">
        <v>111</v>
      </c>
      <c r="Q212" s="1807" t="s">
        <v>1131</v>
      </c>
      <c r="R212" s="54" t="s">
        <v>10164</v>
      </c>
      <c r="S212" s="22" t="s">
        <v>1880</v>
      </c>
      <c r="T212" s="1798" t="s">
        <v>2072</v>
      </c>
      <c r="U212" s="1798" t="s">
        <v>2072</v>
      </c>
      <c r="V212" s="24" t="s">
        <v>11005</v>
      </c>
      <c r="W212" s="90" t="s">
        <v>11006</v>
      </c>
      <c r="X212" s="24" t="s">
        <v>110</v>
      </c>
      <c r="Y212" s="24">
        <v>1</v>
      </c>
      <c r="Z212" s="24" t="s">
        <v>10166</v>
      </c>
      <c r="AA212" s="24" t="s">
        <v>1880</v>
      </c>
      <c r="AB212" s="30">
        <v>80</v>
      </c>
      <c r="AC212" s="30"/>
      <c r="AD212" s="30">
        <v>80</v>
      </c>
      <c r="AE212" s="59"/>
      <c r="AF212" s="59"/>
      <c r="AG212" s="35" t="s">
        <v>1104</v>
      </c>
      <c r="AH212" s="35" t="s">
        <v>10637</v>
      </c>
      <c r="AI212" s="35" t="s">
        <v>19</v>
      </c>
      <c r="AJ212" s="202" t="s">
        <v>19</v>
      </c>
      <c r="AK212" s="35" t="s">
        <v>1880</v>
      </c>
      <c r="AL212" s="1807"/>
    </row>
    <row r="213" spans="1:38" s="11" customFormat="1" ht="26.25" customHeight="1" x14ac:dyDescent="0.15">
      <c r="A213" s="8">
        <f t="shared" si="0"/>
        <v>211</v>
      </c>
      <c r="B213" s="36" t="s">
        <v>11017</v>
      </c>
      <c r="C213" s="26" t="s">
        <v>19</v>
      </c>
      <c r="D213" s="711" t="s">
        <v>11011</v>
      </c>
      <c r="E213" s="26" t="s">
        <v>19</v>
      </c>
      <c r="F213" s="29" t="s">
        <v>11393</v>
      </c>
      <c r="G213" s="53" t="s">
        <v>11012</v>
      </c>
      <c r="H213" s="26" t="s">
        <v>8679</v>
      </c>
      <c r="I213" s="26" t="s">
        <v>9514</v>
      </c>
      <c r="J213" s="26" t="s">
        <v>9515</v>
      </c>
      <c r="K213" s="1809" t="s">
        <v>4712</v>
      </c>
      <c r="L213" s="1809" t="s">
        <v>4196</v>
      </c>
      <c r="M213" s="1809" t="s">
        <v>5637</v>
      </c>
      <c r="N213" s="22" t="s">
        <v>4780</v>
      </c>
      <c r="O213" s="22" t="s">
        <v>5431</v>
      </c>
      <c r="P213" s="1811" t="s">
        <v>111</v>
      </c>
      <c r="Q213" s="1810" t="s">
        <v>1131</v>
      </c>
      <c r="R213" s="54" t="s">
        <v>10960</v>
      </c>
      <c r="S213" s="22" t="s">
        <v>1880</v>
      </c>
      <c r="T213" s="1810" t="s">
        <v>3248</v>
      </c>
      <c r="U213" s="1810" t="s">
        <v>3248</v>
      </c>
      <c r="V213" s="24" t="s">
        <v>11013</v>
      </c>
      <c r="W213" s="90" t="s">
        <v>10970</v>
      </c>
      <c r="X213" s="24" t="s">
        <v>110</v>
      </c>
      <c r="Y213" s="24">
        <v>1</v>
      </c>
      <c r="Z213" s="24" t="s">
        <v>1880</v>
      </c>
      <c r="AA213" s="24" t="s">
        <v>1880</v>
      </c>
      <c r="AB213" s="30">
        <v>4.45</v>
      </c>
      <c r="AC213" s="30"/>
      <c r="AD213" s="30">
        <v>4.45</v>
      </c>
      <c r="AE213" s="59"/>
      <c r="AF213" s="59"/>
      <c r="AG213" s="35" t="s">
        <v>1104</v>
      </c>
      <c r="AH213" s="1810" t="s">
        <v>10629</v>
      </c>
      <c r="AI213" s="35" t="s">
        <v>19</v>
      </c>
      <c r="AJ213" s="202" t="s">
        <v>19</v>
      </c>
      <c r="AK213" s="35" t="s">
        <v>1880</v>
      </c>
      <c r="AL213" s="1810"/>
    </row>
    <row r="214" spans="1:38" s="11" customFormat="1" ht="26.25" customHeight="1" x14ac:dyDescent="0.15">
      <c r="A214" s="8">
        <f t="shared" si="0"/>
        <v>212</v>
      </c>
      <c r="B214" s="36" t="s">
        <v>11018</v>
      </c>
      <c r="C214" s="26" t="s">
        <v>19</v>
      </c>
      <c r="D214" s="711" t="s">
        <v>11021</v>
      </c>
      <c r="E214" s="26" t="s">
        <v>19</v>
      </c>
      <c r="F214" s="29" t="s">
        <v>5640</v>
      </c>
      <c r="G214" s="53" t="s">
        <v>11014</v>
      </c>
      <c r="H214" s="26" t="s">
        <v>8679</v>
      </c>
      <c r="I214" s="26" t="s">
        <v>9514</v>
      </c>
      <c r="J214" s="26" t="s">
        <v>9515</v>
      </c>
      <c r="K214" s="1809" t="s">
        <v>4712</v>
      </c>
      <c r="L214" s="1809" t="s">
        <v>4196</v>
      </c>
      <c r="M214" s="1809" t="s">
        <v>5430</v>
      </c>
      <c r="N214" s="22" t="s">
        <v>4780</v>
      </c>
      <c r="O214" s="22" t="s">
        <v>5431</v>
      </c>
      <c r="P214" s="1811" t="s">
        <v>111</v>
      </c>
      <c r="Q214" s="1810" t="s">
        <v>1131</v>
      </c>
      <c r="R214" s="54" t="s">
        <v>8584</v>
      </c>
      <c r="S214" s="22" t="s">
        <v>1880</v>
      </c>
      <c r="T214" s="1810" t="s">
        <v>3248</v>
      </c>
      <c r="U214" s="1810" t="s">
        <v>3248</v>
      </c>
      <c r="V214" s="24" t="s">
        <v>11013</v>
      </c>
      <c r="W214" s="90" t="s">
        <v>10970</v>
      </c>
      <c r="X214" s="24" t="s">
        <v>110</v>
      </c>
      <c r="Y214" s="24">
        <v>1</v>
      </c>
      <c r="Z214" s="24" t="s">
        <v>1880</v>
      </c>
      <c r="AA214" s="24" t="s">
        <v>1880</v>
      </c>
      <c r="AB214" s="30">
        <v>6.45</v>
      </c>
      <c r="AC214" s="30"/>
      <c r="AD214" s="30">
        <v>6.45</v>
      </c>
      <c r="AE214" s="59"/>
      <c r="AF214" s="59"/>
      <c r="AG214" s="35" t="s">
        <v>1104</v>
      </c>
      <c r="AH214" s="1810" t="s">
        <v>10629</v>
      </c>
      <c r="AI214" s="35" t="s">
        <v>19</v>
      </c>
      <c r="AJ214" s="202" t="s">
        <v>19</v>
      </c>
      <c r="AK214" s="35" t="s">
        <v>1880</v>
      </c>
      <c r="AL214" s="1810"/>
    </row>
    <row r="215" spans="1:38" s="11" customFormat="1" ht="26.25" customHeight="1" x14ac:dyDescent="0.15">
      <c r="A215" s="8">
        <f t="shared" si="0"/>
        <v>213</v>
      </c>
      <c r="B215" s="36" t="s">
        <v>11019</v>
      </c>
      <c r="C215" s="26" t="s">
        <v>19</v>
      </c>
      <c r="D215" s="711" t="s">
        <v>11022</v>
      </c>
      <c r="E215" s="26" t="s">
        <v>19</v>
      </c>
      <c r="F215" s="29" t="s">
        <v>5642</v>
      </c>
      <c r="G215" s="53" t="s">
        <v>11015</v>
      </c>
      <c r="H215" s="26" t="s">
        <v>8679</v>
      </c>
      <c r="I215" s="26" t="s">
        <v>9514</v>
      </c>
      <c r="J215" s="26" t="s">
        <v>9515</v>
      </c>
      <c r="K215" s="1809" t="s">
        <v>4712</v>
      </c>
      <c r="L215" s="1809" t="s">
        <v>4196</v>
      </c>
      <c r="M215" s="1809" t="s">
        <v>5395</v>
      </c>
      <c r="N215" s="22" t="s">
        <v>4780</v>
      </c>
      <c r="O215" s="22" t="s">
        <v>5431</v>
      </c>
      <c r="P215" s="1811" t="s">
        <v>111</v>
      </c>
      <c r="Q215" s="1810" t="s">
        <v>1131</v>
      </c>
      <c r="R215" s="54" t="s">
        <v>10960</v>
      </c>
      <c r="S215" s="22" t="s">
        <v>1880</v>
      </c>
      <c r="T215" s="1810" t="s">
        <v>3248</v>
      </c>
      <c r="U215" s="1810" t="s">
        <v>3248</v>
      </c>
      <c r="V215" s="24" t="s">
        <v>11013</v>
      </c>
      <c r="W215" s="90" t="s">
        <v>10970</v>
      </c>
      <c r="X215" s="24" t="s">
        <v>110</v>
      </c>
      <c r="Y215" s="24">
        <v>1</v>
      </c>
      <c r="Z215" s="24" t="s">
        <v>1880</v>
      </c>
      <c r="AA215" s="24" t="s">
        <v>1880</v>
      </c>
      <c r="AB215" s="30">
        <v>4.45</v>
      </c>
      <c r="AC215" s="30"/>
      <c r="AD215" s="30">
        <v>4.45</v>
      </c>
      <c r="AE215" s="59"/>
      <c r="AF215" s="59"/>
      <c r="AG215" s="35" t="s">
        <v>1104</v>
      </c>
      <c r="AH215" s="1810" t="s">
        <v>10629</v>
      </c>
      <c r="AI215" s="35" t="s">
        <v>19</v>
      </c>
      <c r="AJ215" s="202" t="s">
        <v>19</v>
      </c>
      <c r="AK215" s="35" t="s">
        <v>1880</v>
      </c>
      <c r="AL215" s="1810"/>
    </row>
    <row r="216" spans="1:38" s="11" customFormat="1" ht="26.25" customHeight="1" x14ac:dyDescent="0.15">
      <c r="A216" s="8">
        <f t="shared" si="0"/>
        <v>214</v>
      </c>
      <c r="B216" s="36" t="s">
        <v>11020</v>
      </c>
      <c r="C216" s="26" t="s">
        <v>19</v>
      </c>
      <c r="D216" s="711" t="s">
        <v>11023</v>
      </c>
      <c r="E216" s="26" t="s">
        <v>19</v>
      </c>
      <c r="F216" s="29" t="s">
        <v>5644</v>
      </c>
      <c r="G216" s="53" t="s">
        <v>11016</v>
      </c>
      <c r="H216" s="26" t="s">
        <v>8679</v>
      </c>
      <c r="I216" s="26" t="s">
        <v>9514</v>
      </c>
      <c r="J216" s="26" t="s">
        <v>9515</v>
      </c>
      <c r="K216" s="1809" t="s">
        <v>4712</v>
      </c>
      <c r="L216" s="1809" t="s">
        <v>4196</v>
      </c>
      <c r="M216" s="1809" t="s">
        <v>5646</v>
      </c>
      <c r="N216" s="22" t="s">
        <v>4780</v>
      </c>
      <c r="O216" s="22" t="s">
        <v>5431</v>
      </c>
      <c r="P216" s="1811" t="s">
        <v>111</v>
      </c>
      <c r="Q216" s="1810" t="s">
        <v>1131</v>
      </c>
      <c r="R216" s="54" t="s">
        <v>10960</v>
      </c>
      <c r="S216" s="22" t="s">
        <v>1880</v>
      </c>
      <c r="T216" s="1810" t="s">
        <v>3248</v>
      </c>
      <c r="U216" s="1810" t="s">
        <v>3248</v>
      </c>
      <c r="V216" s="24" t="s">
        <v>11013</v>
      </c>
      <c r="W216" s="90" t="s">
        <v>10970</v>
      </c>
      <c r="X216" s="24" t="s">
        <v>110</v>
      </c>
      <c r="Y216" s="24">
        <v>1</v>
      </c>
      <c r="Z216" s="24" t="s">
        <v>1880</v>
      </c>
      <c r="AA216" s="24" t="s">
        <v>1880</v>
      </c>
      <c r="AB216" s="30">
        <v>4.45</v>
      </c>
      <c r="AC216" s="30"/>
      <c r="AD216" s="30">
        <v>4.45</v>
      </c>
      <c r="AE216" s="59"/>
      <c r="AF216" s="59"/>
      <c r="AG216" s="35" t="s">
        <v>1104</v>
      </c>
      <c r="AH216" s="1810" t="s">
        <v>10629</v>
      </c>
      <c r="AI216" s="35" t="s">
        <v>19</v>
      </c>
      <c r="AJ216" s="202" t="s">
        <v>19</v>
      </c>
      <c r="AK216" s="35" t="s">
        <v>1880</v>
      </c>
      <c r="AL216" s="1810"/>
    </row>
    <row r="217" spans="1:38" s="11" customFormat="1" ht="26.25" customHeight="1" x14ac:dyDescent="0.15">
      <c r="A217" s="8">
        <f t="shared" si="0"/>
        <v>215</v>
      </c>
      <c r="B217" s="36" t="s">
        <v>11025</v>
      </c>
      <c r="C217" s="26" t="s">
        <v>19</v>
      </c>
      <c r="D217" s="26" t="s">
        <v>19</v>
      </c>
      <c r="E217" s="26" t="s">
        <v>19</v>
      </c>
      <c r="F217" s="54" t="s">
        <v>2010</v>
      </c>
      <c r="G217" s="54" t="s">
        <v>11024</v>
      </c>
      <c r="H217" s="26" t="s">
        <v>448</v>
      </c>
      <c r="I217" s="26" t="s">
        <v>448</v>
      </c>
      <c r="J217" s="26" t="s">
        <v>448</v>
      </c>
      <c r="K217" s="1809" t="s">
        <v>4712</v>
      </c>
      <c r="L217" s="1809" t="s">
        <v>8121</v>
      </c>
      <c r="M217" s="1809" t="s">
        <v>6397</v>
      </c>
      <c r="N217" s="330" t="s">
        <v>8122</v>
      </c>
      <c r="O217" s="1811" t="s">
        <v>1826</v>
      </c>
      <c r="P217" s="1811" t="s">
        <v>111</v>
      </c>
      <c r="Q217" s="1811" t="s">
        <v>1818</v>
      </c>
      <c r="R217" s="54" t="s">
        <v>10913</v>
      </c>
      <c r="S217" s="22" t="s">
        <v>1880</v>
      </c>
      <c r="T217" s="1810" t="s">
        <v>3248</v>
      </c>
      <c r="U217" s="1810" t="s">
        <v>3248</v>
      </c>
      <c r="V217" s="24" t="s">
        <v>11013</v>
      </c>
      <c r="W217" s="90" t="s">
        <v>10985</v>
      </c>
      <c r="X217" s="24" t="s">
        <v>110</v>
      </c>
      <c r="Y217" s="24">
        <v>1</v>
      </c>
      <c r="Z217" s="24" t="s">
        <v>1880</v>
      </c>
      <c r="AA217" s="24" t="s">
        <v>1880</v>
      </c>
      <c r="AB217" s="30">
        <v>3</v>
      </c>
      <c r="AC217" s="30"/>
      <c r="AD217" s="30">
        <v>3</v>
      </c>
      <c r="AE217" s="59"/>
      <c r="AF217" s="59"/>
      <c r="AG217" s="35" t="s">
        <v>1104</v>
      </c>
      <c r="AH217" s="1810" t="s">
        <v>10629</v>
      </c>
      <c r="AI217" s="35" t="s">
        <v>19</v>
      </c>
      <c r="AJ217" s="202" t="s">
        <v>19</v>
      </c>
      <c r="AK217" s="35" t="s">
        <v>1880</v>
      </c>
      <c r="AL217" s="1810"/>
    </row>
    <row r="218" spans="1:38" s="11" customFormat="1" ht="26.25" customHeight="1" x14ac:dyDescent="0.15">
      <c r="A218" s="8">
        <f t="shared" si="0"/>
        <v>216</v>
      </c>
      <c r="B218" s="36" t="s">
        <v>11033</v>
      </c>
      <c r="C218" s="26" t="s">
        <v>19</v>
      </c>
      <c r="D218" s="26" t="s">
        <v>19</v>
      </c>
      <c r="E218" s="26" t="s">
        <v>19</v>
      </c>
      <c r="F218" s="29" t="s">
        <v>11026</v>
      </c>
      <c r="G218" s="53" t="s">
        <v>11027</v>
      </c>
      <c r="H218" s="26" t="s">
        <v>448</v>
      </c>
      <c r="I218" s="26" t="s">
        <v>448</v>
      </c>
      <c r="J218" s="26" t="s">
        <v>448</v>
      </c>
      <c r="K218" s="10" t="s">
        <v>4195</v>
      </c>
      <c r="L218" s="10" t="s">
        <v>4721</v>
      </c>
      <c r="M218" s="10" t="s">
        <v>6264</v>
      </c>
      <c r="N218" s="22" t="s">
        <v>11028</v>
      </c>
      <c r="O218" s="22" t="s">
        <v>5478</v>
      </c>
      <c r="P218" s="1811" t="s">
        <v>111</v>
      </c>
      <c r="Q218" s="1812" t="s">
        <v>11029</v>
      </c>
      <c r="R218" s="54" t="s">
        <v>11030</v>
      </c>
      <c r="S218" s="22" t="s">
        <v>1880</v>
      </c>
      <c r="T218" s="1810" t="s">
        <v>1152</v>
      </c>
      <c r="U218" s="1810" t="s">
        <v>1152</v>
      </c>
      <c r="V218" s="24" t="s">
        <v>11013</v>
      </c>
      <c r="W218" s="90" t="s">
        <v>11031</v>
      </c>
      <c r="X218" s="24" t="s">
        <v>110</v>
      </c>
      <c r="Y218" s="24">
        <v>1</v>
      </c>
      <c r="Z218" s="24" t="s">
        <v>1880</v>
      </c>
      <c r="AA218" s="24" t="s">
        <v>1880</v>
      </c>
      <c r="AB218" s="30">
        <v>2.8</v>
      </c>
      <c r="AC218" s="30"/>
      <c r="AD218" s="30">
        <v>2.8</v>
      </c>
      <c r="AE218" s="59"/>
      <c r="AF218" s="59"/>
      <c r="AG218" s="35" t="s">
        <v>1104</v>
      </c>
      <c r="AH218" s="35" t="s">
        <v>11032</v>
      </c>
      <c r="AI218" s="35" t="s">
        <v>19</v>
      </c>
      <c r="AJ218" s="202" t="s">
        <v>19</v>
      </c>
      <c r="AK218" s="35" t="s">
        <v>1880</v>
      </c>
      <c r="AL218" s="1810"/>
    </row>
    <row r="219" spans="1:38" s="11" customFormat="1" ht="26.25" customHeight="1" x14ac:dyDescent="0.15">
      <c r="A219" s="8">
        <f t="shared" si="0"/>
        <v>217</v>
      </c>
      <c r="B219" s="36" t="s">
        <v>11035</v>
      </c>
      <c r="C219" s="26" t="s">
        <v>19</v>
      </c>
      <c r="D219" s="26" t="s">
        <v>19</v>
      </c>
      <c r="E219" s="26" t="s">
        <v>19</v>
      </c>
      <c r="F219" s="29" t="s">
        <v>8264</v>
      </c>
      <c r="G219" s="53" t="s">
        <v>11034</v>
      </c>
      <c r="H219" s="26" t="s">
        <v>448</v>
      </c>
      <c r="I219" s="26" t="s">
        <v>448</v>
      </c>
      <c r="J219" s="26" t="s">
        <v>448</v>
      </c>
      <c r="K219" s="1810" t="s">
        <v>4712</v>
      </c>
      <c r="L219" s="1810" t="s">
        <v>4692</v>
      </c>
      <c r="M219" s="1810" t="s">
        <v>8326</v>
      </c>
      <c r="N219" s="22" t="s">
        <v>8266</v>
      </c>
      <c r="O219" s="1811" t="s">
        <v>1826</v>
      </c>
      <c r="P219" s="1811" t="s">
        <v>111</v>
      </c>
      <c r="Q219" s="1810" t="s">
        <v>1131</v>
      </c>
      <c r="R219" s="54" t="s">
        <v>10913</v>
      </c>
      <c r="S219" s="22" t="s">
        <v>1880</v>
      </c>
      <c r="T219" s="1810" t="s">
        <v>3248</v>
      </c>
      <c r="U219" s="1810" t="s">
        <v>3248</v>
      </c>
      <c r="V219" s="24" t="s">
        <v>11013</v>
      </c>
      <c r="W219" s="24" t="s">
        <v>11013</v>
      </c>
      <c r="X219" s="24" t="s">
        <v>110</v>
      </c>
      <c r="Y219" s="24">
        <v>1</v>
      </c>
      <c r="Z219" s="24" t="s">
        <v>1880</v>
      </c>
      <c r="AA219" s="24" t="s">
        <v>1880</v>
      </c>
      <c r="AB219" s="30">
        <v>1.5</v>
      </c>
      <c r="AC219" s="30"/>
      <c r="AD219" s="30">
        <v>1.5</v>
      </c>
      <c r="AE219" s="59"/>
      <c r="AF219" s="59"/>
      <c r="AG219" s="35" t="s">
        <v>1104</v>
      </c>
      <c r="AH219" s="1810" t="s">
        <v>10629</v>
      </c>
      <c r="AI219" s="35" t="s">
        <v>19</v>
      </c>
      <c r="AJ219" s="202" t="s">
        <v>19</v>
      </c>
      <c r="AK219" s="35" t="s">
        <v>1880</v>
      </c>
      <c r="AL219" s="1810"/>
    </row>
    <row r="220" spans="1:38" s="11" customFormat="1" ht="26.25" customHeight="1" x14ac:dyDescent="0.15">
      <c r="A220" s="8">
        <f t="shared" si="0"/>
        <v>218</v>
      </c>
      <c r="B220" s="36" t="s">
        <v>11036</v>
      </c>
      <c r="C220" s="26" t="s">
        <v>19</v>
      </c>
      <c r="D220" s="26" t="s">
        <v>19</v>
      </c>
      <c r="E220" s="26" t="s">
        <v>19</v>
      </c>
      <c r="F220" s="29" t="s">
        <v>11039</v>
      </c>
      <c r="G220" s="99" t="s">
        <v>8961</v>
      </c>
      <c r="H220" s="26" t="s">
        <v>9670</v>
      </c>
      <c r="I220" s="26" t="s">
        <v>9671</v>
      </c>
      <c r="J220" s="26" t="s">
        <v>9674</v>
      </c>
      <c r="K220" s="1814" t="s">
        <v>4712</v>
      </c>
      <c r="L220" s="1814" t="s">
        <v>4692</v>
      </c>
      <c r="M220" s="1814" t="s">
        <v>7135</v>
      </c>
      <c r="N220" s="22" t="s">
        <v>9348</v>
      </c>
      <c r="O220" s="1815" t="s">
        <v>5431</v>
      </c>
      <c r="P220" s="1816" t="s">
        <v>111</v>
      </c>
      <c r="Q220" s="1815" t="s">
        <v>1131</v>
      </c>
      <c r="R220" s="54" t="s">
        <v>10913</v>
      </c>
      <c r="S220" s="22" t="s">
        <v>1880</v>
      </c>
      <c r="T220" s="1813" t="s">
        <v>3248</v>
      </c>
      <c r="U220" s="1813" t="s">
        <v>3248</v>
      </c>
      <c r="V220" s="24" t="s">
        <v>11037</v>
      </c>
      <c r="W220" s="24" t="s">
        <v>1880</v>
      </c>
      <c r="X220" s="24" t="s">
        <v>1880</v>
      </c>
      <c r="Y220" s="24" t="s">
        <v>1880</v>
      </c>
      <c r="Z220" s="24" t="s">
        <v>1880</v>
      </c>
      <c r="AA220" s="24" t="s">
        <v>1880</v>
      </c>
      <c r="AB220" s="30">
        <v>1.5</v>
      </c>
      <c r="AC220" s="30"/>
      <c r="AD220" s="30">
        <v>1.5</v>
      </c>
      <c r="AE220" s="59"/>
      <c r="AF220" s="59"/>
      <c r="AG220" s="35" t="s">
        <v>1104</v>
      </c>
      <c r="AH220" s="1813" t="s">
        <v>10629</v>
      </c>
      <c r="AI220" s="35" t="s">
        <v>19</v>
      </c>
      <c r="AJ220" s="202" t="s">
        <v>19</v>
      </c>
      <c r="AK220" s="35" t="s">
        <v>1880</v>
      </c>
      <c r="AL220" s="1810" t="s">
        <v>11038</v>
      </c>
    </row>
    <row r="221" spans="1:38" s="11" customFormat="1" ht="26.25" customHeight="1" x14ac:dyDescent="0.15">
      <c r="A221" s="8">
        <f t="shared" si="0"/>
        <v>219</v>
      </c>
      <c r="B221" s="36" t="s">
        <v>11048</v>
      </c>
      <c r="C221" s="26" t="s">
        <v>19</v>
      </c>
      <c r="D221" s="26" t="s">
        <v>19</v>
      </c>
      <c r="E221" s="26" t="s">
        <v>19</v>
      </c>
      <c r="F221" s="29" t="s">
        <v>4488</v>
      </c>
      <c r="G221" s="53" t="s">
        <v>11055</v>
      </c>
      <c r="H221" s="26" t="s">
        <v>8754</v>
      </c>
      <c r="I221" s="26" t="s">
        <v>8755</v>
      </c>
      <c r="J221" s="26" t="s">
        <v>8756</v>
      </c>
      <c r="K221" s="1821" t="s">
        <v>4195</v>
      </c>
      <c r="L221" s="1821" t="s">
        <v>4721</v>
      </c>
      <c r="M221" s="1821" t="s">
        <v>6264</v>
      </c>
      <c r="N221" s="22" t="s">
        <v>6265</v>
      </c>
      <c r="O221" s="22" t="s">
        <v>5478</v>
      </c>
      <c r="P221" s="1823" t="s">
        <v>1880</v>
      </c>
      <c r="Q221" s="1822" t="s">
        <v>4676</v>
      </c>
      <c r="R221" s="54" t="s">
        <v>4114</v>
      </c>
      <c r="S221" s="22" t="s">
        <v>1880</v>
      </c>
      <c r="T221" s="1822" t="s">
        <v>1152</v>
      </c>
      <c r="U221" s="1819" t="s">
        <v>1152</v>
      </c>
      <c r="V221" s="24" t="s">
        <v>7859</v>
      </c>
      <c r="W221" s="90" t="s">
        <v>11056</v>
      </c>
      <c r="X221" s="24" t="s">
        <v>110</v>
      </c>
      <c r="Y221" s="24">
        <v>1</v>
      </c>
      <c r="Z221" s="24" t="s">
        <v>7859</v>
      </c>
      <c r="AA221" s="24" t="s">
        <v>11057</v>
      </c>
      <c r="AB221" s="30"/>
      <c r="AC221" s="30">
        <v>9</v>
      </c>
      <c r="AD221" s="30">
        <v>9</v>
      </c>
      <c r="AE221" s="59"/>
      <c r="AF221" s="59"/>
      <c r="AG221" s="35" t="s">
        <v>1104</v>
      </c>
      <c r="AH221" s="1822" t="s">
        <v>10629</v>
      </c>
      <c r="AI221" s="35" t="s">
        <v>19</v>
      </c>
      <c r="AJ221" s="202" t="s">
        <v>19</v>
      </c>
      <c r="AK221" s="35" t="s">
        <v>1880</v>
      </c>
      <c r="AL221" s="1819"/>
    </row>
    <row r="222" spans="1:38" s="11" customFormat="1" ht="26.25" customHeight="1" x14ac:dyDescent="0.15">
      <c r="A222" s="8">
        <f t="shared" si="0"/>
        <v>220</v>
      </c>
      <c r="B222" s="36" t="s">
        <v>11049</v>
      </c>
      <c r="C222" s="26" t="s">
        <v>19</v>
      </c>
      <c r="D222" s="26" t="s">
        <v>19</v>
      </c>
      <c r="E222" s="36" t="s">
        <v>11164</v>
      </c>
      <c r="F222" s="29" t="s">
        <v>11058</v>
      </c>
      <c r="G222" s="53" t="s">
        <v>11059</v>
      </c>
      <c r="H222" s="26" t="s">
        <v>448</v>
      </c>
      <c r="I222" s="26" t="s">
        <v>448</v>
      </c>
      <c r="J222" s="26" t="s">
        <v>448</v>
      </c>
      <c r="K222" s="1818" t="s">
        <v>2135</v>
      </c>
      <c r="L222" s="1818" t="s">
        <v>2533</v>
      </c>
      <c r="M222" s="1818" t="s">
        <v>11060</v>
      </c>
      <c r="N222" s="22" t="s">
        <v>4780</v>
      </c>
      <c r="O222" s="22" t="s">
        <v>5478</v>
      </c>
      <c r="P222" s="1823" t="s">
        <v>1880</v>
      </c>
      <c r="Q222" s="1822" t="s">
        <v>4676</v>
      </c>
      <c r="R222" s="54" t="s">
        <v>11061</v>
      </c>
      <c r="S222" s="22" t="s">
        <v>1880</v>
      </c>
      <c r="T222" s="1819" t="s">
        <v>2072</v>
      </c>
      <c r="U222" s="1819" t="s">
        <v>2072</v>
      </c>
      <c r="V222" s="24" t="s">
        <v>7859</v>
      </c>
      <c r="W222" s="90" t="s">
        <v>11005</v>
      </c>
      <c r="X222" s="24" t="s">
        <v>110</v>
      </c>
      <c r="Y222" s="24">
        <v>2</v>
      </c>
      <c r="Z222" s="24" t="s">
        <v>1880</v>
      </c>
      <c r="AA222" s="24" t="s">
        <v>1880</v>
      </c>
      <c r="AB222" s="30"/>
      <c r="AC222" s="30">
        <v>7</v>
      </c>
      <c r="AD222" s="30">
        <v>7</v>
      </c>
      <c r="AE222" s="59"/>
      <c r="AF222" s="59"/>
      <c r="AG222" s="35" t="s">
        <v>1104</v>
      </c>
      <c r="AH222" s="35" t="s">
        <v>10637</v>
      </c>
      <c r="AI222" s="35" t="s">
        <v>19</v>
      </c>
      <c r="AJ222" s="202" t="s">
        <v>19</v>
      </c>
      <c r="AK222" s="35" t="s">
        <v>1880</v>
      </c>
      <c r="AL222" s="1819"/>
    </row>
    <row r="223" spans="1:38" s="11" customFormat="1" ht="26.25" customHeight="1" x14ac:dyDescent="0.15">
      <c r="A223" s="8">
        <f t="shared" si="0"/>
        <v>221</v>
      </c>
      <c r="B223" s="36" t="s">
        <v>11050</v>
      </c>
      <c r="C223" s="26" t="s">
        <v>19</v>
      </c>
      <c r="D223" s="26" t="s">
        <v>19</v>
      </c>
      <c r="E223" s="26" t="s">
        <v>19</v>
      </c>
      <c r="F223" s="29" t="s">
        <v>11062</v>
      </c>
      <c r="G223" s="53" t="s">
        <v>11063</v>
      </c>
      <c r="H223" s="26" t="s">
        <v>448</v>
      </c>
      <c r="I223" s="26" t="s">
        <v>448</v>
      </c>
      <c r="J223" s="26" t="s">
        <v>448</v>
      </c>
      <c r="K223" s="1821" t="s">
        <v>2135</v>
      </c>
      <c r="L223" s="1821" t="s">
        <v>2533</v>
      </c>
      <c r="M223" s="1818" t="s">
        <v>11064</v>
      </c>
      <c r="N223" s="22" t="s">
        <v>4780</v>
      </c>
      <c r="O223" s="1822" t="s">
        <v>10981</v>
      </c>
      <c r="P223" s="1823" t="s">
        <v>1880</v>
      </c>
      <c r="Q223" s="1822" t="s">
        <v>10999</v>
      </c>
      <c r="R223" s="54" t="s">
        <v>4644</v>
      </c>
      <c r="S223" s="22" t="s">
        <v>1880</v>
      </c>
      <c r="T223" s="1819" t="s">
        <v>2072</v>
      </c>
      <c r="U223" s="1819" t="s">
        <v>2072</v>
      </c>
      <c r="V223" s="24" t="s">
        <v>7859</v>
      </c>
      <c r="W223" s="90" t="s">
        <v>10956</v>
      </c>
      <c r="X223" s="24" t="s">
        <v>110</v>
      </c>
      <c r="Y223" s="24">
        <v>1</v>
      </c>
      <c r="Z223" s="24" t="s">
        <v>1880</v>
      </c>
      <c r="AA223" s="24" t="s">
        <v>1880</v>
      </c>
      <c r="AB223" s="30">
        <v>8.75</v>
      </c>
      <c r="AC223" s="30"/>
      <c r="AD223" s="30">
        <v>8.75</v>
      </c>
      <c r="AE223" s="59"/>
      <c r="AF223" s="59"/>
      <c r="AG223" s="35" t="s">
        <v>1104</v>
      </c>
      <c r="AH223" s="1822" t="s">
        <v>10629</v>
      </c>
      <c r="AI223" s="35" t="s">
        <v>19</v>
      </c>
      <c r="AJ223" s="202" t="s">
        <v>19</v>
      </c>
      <c r="AK223" s="35" t="s">
        <v>1880</v>
      </c>
      <c r="AL223" s="1819"/>
    </row>
    <row r="224" spans="1:38" s="11" customFormat="1" ht="26.25" customHeight="1" x14ac:dyDescent="0.15">
      <c r="A224" s="8">
        <f t="shared" si="0"/>
        <v>222</v>
      </c>
      <c r="B224" s="36" t="s">
        <v>11051</v>
      </c>
      <c r="C224" s="26" t="s">
        <v>19</v>
      </c>
      <c r="D224" s="26" t="s">
        <v>19</v>
      </c>
      <c r="E224" s="26" t="s">
        <v>19</v>
      </c>
      <c r="F224" s="29" t="s">
        <v>11066</v>
      </c>
      <c r="G224" s="99" t="s">
        <v>8749</v>
      </c>
      <c r="H224" s="1823" t="s">
        <v>9526</v>
      </c>
      <c r="I224" s="1823" t="s">
        <v>9527</v>
      </c>
      <c r="J224" s="26" t="s">
        <v>9528</v>
      </c>
      <c r="K224" s="1822" t="s">
        <v>4712</v>
      </c>
      <c r="L224" s="1822" t="s">
        <v>5383</v>
      </c>
      <c r="M224" s="1822" t="s">
        <v>6882</v>
      </c>
      <c r="N224" s="22" t="s">
        <v>9525</v>
      </c>
      <c r="O224" s="1823" t="s">
        <v>5431</v>
      </c>
      <c r="P224" s="1823" t="s">
        <v>111</v>
      </c>
      <c r="Q224" s="1822" t="s">
        <v>1131</v>
      </c>
      <c r="R224" s="54" t="s">
        <v>10913</v>
      </c>
      <c r="S224" s="22" t="s">
        <v>1880</v>
      </c>
      <c r="T224" s="1819" t="s">
        <v>3248</v>
      </c>
      <c r="U224" s="1819" t="s">
        <v>3248</v>
      </c>
      <c r="V224" s="24" t="s">
        <v>11052</v>
      </c>
      <c r="W224" s="24" t="s">
        <v>1880</v>
      </c>
      <c r="X224" s="24" t="s">
        <v>1880</v>
      </c>
      <c r="Y224" s="24" t="s">
        <v>1880</v>
      </c>
      <c r="Z224" s="24" t="s">
        <v>1880</v>
      </c>
      <c r="AA224" s="24" t="s">
        <v>1880</v>
      </c>
      <c r="AB224" s="30">
        <v>3.2</v>
      </c>
      <c r="AC224" s="30"/>
      <c r="AD224" s="30">
        <v>3.2</v>
      </c>
      <c r="AE224" s="59"/>
      <c r="AF224" s="59"/>
      <c r="AG224" s="35" t="s">
        <v>1104</v>
      </c>
      <c r="AH224" s="1822" t="s">
        <v>10629</v>
      </c>
      <c r="AI224" s="35" t="s">
        <v>19</v>
      </c>
      <c r="AJ224" s="202" t="s">
        <v>19</v>
      </c>
      <c r="AK224" s="35" t="s">
        <v>1880</v>
      </c>
      <c r="AL224" s="1819" t="s">
        <v>11067</v>
      </c>
    </row>
    <row r="225" spans="1:38" s="11" customFormat="1" ht="26.25" customHeight="1" x14ac:dyDescent="0.15">
      <c r="A225" s="8">
        <f t="shared" si="0"/>
        <v>223</v>
      </c>
      <c r="B225" s="36" t="s">
        <v>11053</v>
      </c>
      <c r="C225" s="26" t="s">
        <v>19</v>
      </c>
      <c r="D225" s="26" t="s">
        <v>19</v>
      </c>
      <c r="E225" s="26" t="s">
        <v>19</v>
      </c>
      <c r="F225" s="29" t="s">
        <v>11068</v>
      </c>
      <c r="G225" s="99" t="s">
        <v>8749</v>
      </c>
      <c r="H225" s="26" t="s">
        <v>9670</v>
      </c>
      <c r="I225" s="26" t="s">
        <v>9671</v>
      </c>
      <c r="J225" s="26" t="s">
        <v>9675</v>
      </c>
      <c r="K225" s="1821" t="s">
        <v>4712</v>
      </c>
      <c r="L225" s="1821" t="s">
        <v>4692</v>
      </c>
      <c r="M225" s="1821" t="s">
        <v>8569</v>
      </c>
      <c r="N225" s="22" t="s">
        <v>9658</v>
      </c>
      <c r="O225" s="1822" t="s">
        <v>5431</v>
      </c>
      <c r="P225" s="1823" t="s">
        <v>111</v>
      </c>
      <c r="Q225" s="1822" t="s">
        <v>1131</v>
      </c>
      <c r="R225" s="54" t="s">
        <v>10913</v>
      </c>
      <c r="S225" s="22" t="s">
        <v>1880</v>
      </c>
      <c r="T225" s="1820" t="s">
        <v>3248</v>
      </c>
      <c r="U225" s="1820" t="s">
        <v>3248</v>
      </c>
      <c r="V225" s="24" t="s">
        <v>11054</v>
      </c>
      <c r="W225" s="24" t="s">
        <v>1880</v>
      </c>
      <c r="X225" s="24" t="s">
        <v>1880</v>
      </c>
      <c r="Y225" s="24" t="s">
        <v>1880</v>
      </c>
      <c r="Z225" s="24" t="s">
        <v>1880</v>
      </c>
      <c r="AA225" s="24" t="s">
        <v>1880</v>
      </c>
      <c r="AB225" s="30">
        <v>1.5</v>
      </c>
      <c r="AC225" s="30"/>
      <c r="AD225" s="30">
        <v>1.5</v>
      </c>
      <c r="AE225" s="59"/>
      <c r="AF225" s="59"/>
      <c r="AG225" s="35" t="s">
        <v>1104</v>
      </c>
      <c r="AH225" s="1822" t="s">
        <v>10629</v>
      </c>
      <c r="AI225" s="35" t="s">
        <v>19</v>
      </c>
      <c r="AJ225" s="202" t="s">
        <v>19</v>
      </c>
      <c r="AK225" s="35" t="s">
        <v>1880</v>
      </c>
      <c r="AL225" s="1798" t="s">
        <v>11069</v>
      </c>
    </row>
    <row r="226" spans="1:38" s="11" customFormat="1" ht="26.25" customHeight="1" x14ac:dyDescent="0.15">
      <c r="A226" s="8">
        <f t="shared" si="0"/>
        <v>224</v>
      </c>
      <c r="B226" s="36" t="s">
        <v>11070</v>
      </c>
      <c r="C226" s="26" t="s">
        <v>19</v>
      </c>
      <c r="D226" s="26" t="s">
        <v>19</v>
      </c>
      <c r="E226" s="26" t="s">
        <v>19</v>
      </c>
      <c r="F226" s="29" t="s">
        <v>11071</v>
      </c>
      <c r="G226" s="53" t="s">
        <v>11072</v>
      </c>
      <c r="H226" s="26" t="s">
        <v>448</v>
      </c>
      <c r="I226" s="26" t="s">
        <v>448</v>
      </c>
      <c r="J226" s="26" t="s">
        <v>448</v>
      </c>
      <c r="K226" s="1822" t="s">
        <v>5374</v>
      </c>
      <c r="L226" s="1822" t="s">
        <v>5419</v>
      </c>
      <c r="M226" s="1822" t="s">
        <v>10129</v>
      </c>
      <c r="N226" s="22" t="s">
        <v>4780</v>
      </c>
      <c r="O226" s="1823" t="s">
        <v>5431</v>
      </c>
      <c r="P226" s="1823" t="s">
        <v>111</v>
      </c>
      <c r="Q226" s="1822" t="s">
        <v>1131</v>
      </c>
      <c r="R226" s="54" t="s">
        <v>11073</v>
      </c>
      <c r="S226" s="22" t="s">
        <v>1880</v>
      </c>
      <c r="T226" s="1822" t="s">
        <v>1785</v>
      </c>
      <c r="U226" s="1822" t="s">
        <v>1785</v>
      </c>
      <c r="V226" s="24" t="s">
        <v>11074</v>
      </c>
      <c r="W226" s="90" t="s">
        <v>11075</v>
      </c>
      <c r="X226" s="24" t="s">
        <v>110</v>
      </c>
      <c r="Y226" s="24">
        <v>1</v>
      </c>
      <c r="Z226" s="24" t="s">
        <v>1880</v>
      </c>
      <c r="AA226" s="24" t="s">
        <v>1880</v>
      </c>
      <c r="AB226" s="30">
        <v>43.9</v>
      </c>
      <c r="AC226" s="30"/>
      <c r="AD226" s="30">
        <v>43.9</v>
      </c>
      <c r="AE226" s="59"/>
      <c r="AF226" s="59"/>
      <c r="AG226" s="35" t="s">
        <v>1104</v>
      </c>
      <c r="AH226" s="1822" t="s">
        <v>10983</v>
      </c>
      <c r="AI226" s="1822" t="s">
        <v>448</v>
      </c>
      <c r="AJ226" s="202" t="s">
        <v>19</v>
      </c>
      <c r="AK226" s="35" t="s">
        <v>1880</v>
      </c>
      <c r="AL226" s="1822"/>
    </row>
    <row r="227" spans="1:38" s="11" customFormat="1" ht="26.25" customHeight="1" x14ac:dyDescent="0.15">
      <c r="A227" s="8">
        <f t="shared" si="0"/>
        <v>225</v>
      </c>
      <c r="B227" s="36" t="s">
        <v>11077</v>
      </c>
      <c r="C227" s="26" t="s">
        <v>19</v>
      </c>
      <c r="D227" s="26" t="s">
        <v>19</v>
      </c>
      <c r="E227" s="26" t="s">
        <v>19</v>
      </c>
      <c r="F227" s="29" t="s">
        <v>9314</v>
      </c>
      <c r="G227" s="53" t="s">
        <v>11080</v>
      </c>
      <c r="H227" s="26" t="s">
        <v>448</v>
      </c>
      <c r="I227" s="26" t="s">
        <v>448</v>
      </c>
      <c r="J227" s="26" t="s">
        <v>448</v>
      </c>
      <c r="K227" s="1826" t="s">
        <v>4195</v>
      </c>
      <c r="L227" s="1826" t="s">
        <v>4728</v>
      </c>
      <c r="M227" s="1826" t="s">
        <v>5673</v>
      </c>
      <c r="N227" s="22" t="s">
        <v>5674</v>
      </c>
      <c r="O227" s="22" t="s">
        <v>5478</v>
      </c>
      <c r="P227" s="1827" t="s">
        <v>1880</v>
      </c>
      <c r="Q227" s="1826" t="s">
        <v>4676</v>
      </c>
      <c r="R227" s="54" t="s">
        <v>7207</v>
      </c>
      <c r="S227" s="22" t="s">
        <v>1880</v>
      </c>
      <c r="T227" s="1826" t="s">
        <v>1894</v>
      </c>
      <c r="U227" s="1826" t="s">
        <v>1894</v>
      </c>
      <c r="V227" s="24" t="s">
        <v>11078</v>
      </c>
      <c r="W227" s="90" t="s">
        <v>11002</v>
      </c>
      <c r="X227" s="24" t="s">
        <v>1800</v>
      </c>
      <c r="Y227" s="24">
        <v>1</v>
      </c>
      <c r="Z227" s="24" t="s">
        <v>10430</v>
      </c>
      <c r="AA227" s="24" t="s">
        <v>11081</v>
      </c>
      <c r="AB227" s="30"/>
      <c r="AC227" s="136">
        <v>3.1333980000000001</v>
      </c>
      <c r="AD227" s="136">
        <v>3.1333980000000001</v>
      </c>
      <c r="AE227" s="59"/>
      <c r="AF227" s="59"/>
      <c r="AG227" s="35" t="s">
        <v>1104</v>
      </c>
      <c r="AH227" s="1826" t="s">
        <v>10629</v>
      </c>
      <c r="AI227" s="35" t="s">
        <v>19</v>
      </c>
      <c r="AJ227" s="202" t="s">
        <v>19</v>
      </c>
      <c r="AK227" s="35" t="s">
        <v>1880</v>
      </c>
      <c r="AL227" s="1824"/>
    </row>
    <row r="228" spans="1:38" s="11" customFormat="1" ht="26.25" customHeight="1" x14ac:dyDescent="0.15">
      <c r="A228" s="8">
        <f t="shared" si="0"/>
        <v>226</v>
      </c>
      <c r="B228" s="36" t="s">
        <v>11079</v>
      </c>
      <c r="C228" s="26" t="s">
        <v>19</v>
      </c>
      <c r="D228" s="26" t="s">
        <v>19</v>
      </c>
      <c r="E228" s="26" t="s">
        <v>19</v>
      </c>
      <c r="F228" s="29" t="s">
        <v>9406</v>
      </c>
      <c r="G228" s="53" t="s">
        <v>9407</v>
      </c>
      <c r="H228" s="26" t="s">
        <v>448</v>
      </c>
      <c r="I228" s="26" t="s">
        <v>448</v>
      </c>
      <c r="J228" s="26" t="s">
        <v>448</v>
      </c>
      <c r="K228" s="18" t="s">
        <v>1449</v>
      </c>
      <c r="L228" s="18" t="s">
        <v>7186</v>
      </c>
      <c r="M228" s="1825" t="s">
        <v>7187</v>
      </c>
      <c r="N228" s="1827" t="s">
        <v>4780</v>
      </c>
      <c r="O228" s="22" t="s">
        <v>5431</v>
      </c>
      <c r="P228" s="1827" t="s">
        <v>111</v>
      </c>
      <c r="Q228" s="1827" t="s">
        <v>1818</v>
      </c>
      <c r="R228" s="54" t="s">
        <v>116</v>
      </c>
      <c r="S228" s="22" t="s">
        <v>1880</v>
      </c>
      <c r="T228" s="1826" t="s">
        <v>5487</v>
      </c>
      <c r="U228" s="1826" t="s">
        <v>5487</v>
      </c>
      <c r="V228" s="24" t="s">
        <v>11078</v>
      </c>
      <c r="W228" s="90" t="s">
        <v>11002</v>
      </c>
      <c r="X228" s="24" t="s">
        <v>110</v>
      </c>
      <c r="Y228" s="24">
        <v>1</v>
      </c>
      <c r="Z228" s="24" t="s">
        <v>10172</v>
      </c>
      <c r="AA228" s="24" t="s">
        <v>10173</v>
      </c>
      <c r="AB228" s="30"/>
      <c r="AC228" s="30">
        <v>7</v>
      </c>
      <c r="AD228" s="30">
        <v>7</v>
      </c>
      <c r="AE228" s="59"/>
      <c r="AF228" s="59"/>
      <c r="AG228" s="35" t="s">
        <v>1104</v>
      </c>
      <c r="AH228" s="1826" t="s">
        <v>10629</v>
      </c>
      <c r="AI228" s="35" t="s">
        <v>19</v>
      </c>
      <c r="AJ228" s="202" t="s">
        <v>19</v>
      </c>
      <c r="AK228" s="35" t="s">
        <v>1880</v>
      </c>
      <c r="AL228" s="1824"/>
    </row>
    <row r="229" spans="1:38" s="11" customFormat="1" ht="26.25" customHeight="1" x14ac:dyDescent="0.15">
      <c r="A229" s="8">
        <f t="shared" si="0"/>
        <v>227</v>
      </c>
      <c r="B229" s="36" t="s">
        <v>11085</v>
      </c>
      <c r="C229" s="26" t="s">
        <v>19</v>
      </c>
      <c r="D229" s="26" t="s">
        <v>19</v>
      </c>
      <c r="E229" s="26" t="s">
        <v>19</v>
      </c>
      <c r="F229" s="29" t="s">
        <v>7960</v>
      </c>
      <c r="G229" s="99" t="s">
        <v>8749</v>
      </c>
      <c r="H229" s="26" t="s">
        <v>448</v>
      </c>
      <c r="I229" s="26" t="s">
        <v>448</v>
      </c>
      <c r="J229" s="26" t="s">
        <v>448</v>
      </c>
      <c r="K229" s="1829" t="s">
        <v>1487</v>
      </c>
      <c r="L229" s="1829" t="s">
        <v>1416</v>
      </c>
      <c r="M229" s="1829" t="s">
        <v>7959</v>
      </c>
      <c r="N229" s="1830" t="s">
        <v>4780</v>
      </c>
      <c r="O229" s="1830" t="s">
        <v>1826</v>
      </c>
      <c r="P229" s="1830" t="s">
        <v>111</v>
      </c>
      <c r="Q229" s="1828" t="s">
        <v>1131</v>
      </c>
      <c r="R229" s="54" t="s">
        <v>10913</v>
      </c>
      <c r="S229" s="22" t="s">
        <v>1880</v>
      </c>
      <c r="T229" s="1828" t="s">
        <v>3248</v>
      </c>
      <c r="U229" s="1828" t="s">
        <v>3248</v>
      </c>
      <c r="V229" s="24" t="s">
        <v>11086</v>
      </c>
      <c r="W229" s="24" t="s">
        <v>1880</v>
      </c>
      <c r="X229" s="24" t="s">
        <v>1880</v>
      </c>
      <c r="Y229" s="24" t="s">
        <v>1880</v>
      </c>
      <c r="Z229" s="24" t="s">
        <v>1880</v>
      </c>
      <c r="AA229" s="24" t="s">
        <v>1880</v>
      </c>
      <c r="AB229" s="30">
        <v>1.5</v>
      </c>
      <c r="AC229" s="30"/>
      <c r="AD229" s="30">
        <v>1.5</v>
      </c>
      <c r="AE229" s="59"/>
      <c r="AF229" s="59"/>
      <c r="AG229" s="35" t="s">
        <v>1104</v>
      </c>
      <c r="AH229" s="1828" t="s">
        <v>10629</v>
      </c>
      <c r="AI229" s="35" t="s">
        <v>19</v>
      </c>
      <c r="AJ229" s="202" t="s">
        <v>19</v>
      </c>
      <c r="AK229" s="35" t="s">
        <v>1880</v>
      </c>
      <c r="AL229" s="1822" t="s">
        <v>11087</v>
      </c>
    </row>
    <row r="230" spans="1:38" s="11" customFormat="1" ht="26.25" customHeight="1" x14ac:dyDescent="0.15">
      <c r="A230" s="8">
        <f t="shared" si="0"/>
        <v>228</v>
      </c>
      <c r="B230" s="36" t="s">
        <v>11102</v>
      </c>
      <c r="C230" s="26" t="s">
        <v>19</v>
      </c>
      <c r="D230" s="26" t="s">
        <v>11106</v>
      </c>
      <c r="E230" s="26" t="s">
        <v>19</v>
      </c>
      <c r="F230" s="29" t="s">
        <v>11089</v>
      </c>
      <c r="G230" s="53" t="s">
        <v>11090</v>
      </c>
      <c r="H230" s="26" t="s">
        <v>448</v>
      </c>
      <c r="I230" s="26" t="s">
        <v>448</v>
      </c>
      <c r="J230" s="26" t="s">
        <v>448</v>
      </c>
      <c r="K230" s="1461" t="s">
        <v>23</v>
      </c>
      <c r="L230" s="1461" t="s">
        <v>151</v>
      </c>
      <c r="M230" s="1461" t="s">
        <v>10095</v>
      </c>
      <c r="N230" s="22" t="s">
        <v>4780</v>
      </c>
      <c r="O230" s="1833" t="s">
        <v>5431</v>
      </c>
      <c r="P230" s="1833" t="s">
        <v>111</v>
      </c>
      <c r="Q230" s="1832" t="s">
        <v>1131</v>
      </c>
      <c r="R230" s="54" t="s">
        <v>3917</v>
      </c>
      <c r="S230" s="1833" t="s">
        <v>111</v>
      </c>
      <c r="T230" s="1832" t="s">
        <v>5480</v>
      </c>
      <c r="U230" s="1832" t="s">
        <v>1152</v>
      </c>
      <c r="V230" s="24" t="s">
        <v>11091</v>
      </c>
      <c r="W230" s="90" t="s">
        <v>11092</v>
      </c>
      <c r="X230" s="24" t="s">
        <v>110</v>
      </c>
      <c r="Y230" s="24">
        <v>1</v>
      </c>
      <c r="Z230" s="24" t="s">
        <v>1880</v>
      </c>
      <c r="AA230" s="24" t="s">
        <v>1880</v>
      </c>
      <c r="AB230" s="30">
        <v>0.6</v>
      </c>
      <c r="AC230" s="30"/>
      <c r="AD230" s="30">
        <v>0.6</v>
      </c>
      <c r="AE230" s="59"/>
      <c r="AF230" s="59"/>
      <c r="AG230" s="35" t="s">
        <v>1104</v>
      </c>
      <c r="AH230" s="1832" t="s">
        <v>10629</v>
      </c>
      <c r="AI230" s="35" t="s">
        <v>19</v>
      </c>
      <c r="AJ230" s="202" t="s">
        <v>19</v>
      </c>
      <c r="AK230" s="35" t="s">
        <v>1880</v>
      </c>
      <c r="AL230" s="1832"/>
    </row>
    <row r="231" spans="1:38" s="11" customFormat="1" ht="26.25" customHeight="1" x14ac:dyDescent="0.15">
      <c r="A231" s="8">
        <f t="shared" si="0"/>
        <v>229</v>
      </c>
      <c r="B231" s="36" t="s">
        <v>11103</v>
      </c>
      <c r="C231" s="26" t="s">
        <v>19</v>
      </c>
      <c r="D231" s="26" t="s">
        <v>19</v>
      </c>
      <c r="E231" s="26" t="s">
        <v>19</v>
      </c>
      <c r="F231" s="29" t="s">
        <v>11095</v>
      </c>
      <c r="G231" s="53" t="s">
        <v>10910</v>
      </c>
      <c r="H231" s="26" t="s">
        <v>448</v>
      </c>
      <c r="I231" s="26" t="s">
        <v>8654</v>
      </c>
      <c r="J231" s="53" t="s">
        <v>8655</v>
      </c>
      <c r="K231" s="1831" t="s">
        <v>4712</v>
      </c>
      <c r="L231" s="26" t="s">
        <v>448</v>
      </c>
      <c r="M231" s="1831" t="s">
        <v>8642</v>
      </c>
      <c r="N231" s="1831" t="s">
        <v>11093</v>
      </c>
      <c r="O231" s="1833" t="s">
        <v>5431</v>
      </c>
      <c r="P231" s="1833" t="s">
        <v>111</v>
      </c>
      <c r="Q231" s="1832" t="s">
        <v>1131</v>
      </c>
      <c r="R231" s="54" t="s">
        <v>10913</v>
      </c>
      <c r="S231" s="1833" t="s">
        <v>111</v>
      </c>
      <c r="T231" s="1832" t="s">
        <v>3248</v>
      </c>
      <c r="U231" s="1832" t="s">
        <v>3248</v>
      </c>
      <c r="V231" s="24" t="s">
        <v>11091</v>
      </c>
      <c r="W231" s="90" t="s">
        <v>11091</v>
      </c>
      <c r="X231" s="24" t="s">
        <v>110</v>
      </c>
      <c r="Y231" s="24">
        <v>1</v>
      </c>
      <c r="Z231" s="24" t="s">
        <v>1880</v>
      </c>
      <c r="AA231" s="24" t="s">
        <v>1880</v>
      </c>
      <c r="AB231" s="30">
        <v>2</v>
      </c>
      <c r="AC231" s="30"/>
      <c r="AD231" s="30">
        <v>2</v>
      </c>
      <c r="AE231" s="59"/>
      <c r="AF231" s="59"/>
      <c r="AG231" s="35" t="s">
        <v>1104</v>
      </c>
      <c r="AH231" s="1832" t="s">
        <v>10629</v>
      </c>
      <c r="AI231" s="35" t="s">
        <v>19</v>
      </c>
      <c r="AJ231" s="202" t="s">
        <v>19</v>
      </c>
      <c r="AK231" s="35" t="s">
        <v>1880</v>
      </c>
      <c r="AL231" s="1832"/>
    </row>
    <row r="232" spans="1:38" s="11" customFormat="1" ht="26.25" customHeight="1" x14ac:dyDescent="0.15">
      <c r="A232" s="8">
        <f t="shared" si="0"/>
        <v>230</v>
      </c>
      <c r="B232" s="36" t="s">
        <v>11104</v>
      </c>
      <c r="C232" s="26" t="s">
        <v>19</v>
      </c>
      <c r="D232" s="26" t="s">
        <v>11094</v>
      </c>
      <c r="E232" s="26" t="s">
        <v>19</v>
      </c>
      <c r="F232" s="29" t="s">
        <v>6068</v>
      </c>
      <c r="G232" s="53" t="s">
        <v>11096</v>
      </c>
      <c r="H232" s="26" t="s">
        <v>448</v>
      </c>
      <c r="I232" s="26" t="s">
        <v>448</v>
      </c>
      <c r="J232" s="26" t="s">
        <v>448</v>
      </c>
      <c r="K232" s="1832" t="s">
        <v>4195</v>
      </c>
      <c r="L232" s="1832" t="s">
        <v>10926</v>
      </c>
      <c r="M232" s="1832" t="s">
        <v>4706</v>
      </c>
      <c r="N232" s="22" t="s">
        <v>4887</v>
      </c>
      <c r="O232" s="22" t="s">
        <v>1826</v>
      </c>
      <c r="P232" s="1833" t="s">
        <v>111</v>
      </c>
      <c r="Q232" s="221" t="s">
        <v>1818</v>
      </c>
      <c r="R232" s="54" t="s">
        <v>1796</v>
      </c>
      <c r="S232" s="1833" t="s">
        <v>111</v>
      </c>
      <c r="T232" s="1832" t="s">
        <v>3591</v>
      </c>
      <c r="U232" s="1832" t="s">
        <v>3591</v>
      </c>
      <c r="V232" s="24" t="s">
        <v>11091</v>
      </c>
      <c r="W232" s="90" t="s">
        <v>11097</v>
      </c>
      <c r="X232" s="24" t="s">
        <v>110</v>
      </c>
      <c r="Y232" s="24">
        <v>1</v>
      </c>
      <c r="Z232" s="24" t="s">
        <v>1880</v>
      </c>
      <c r="AA232" s="24" t="s">
        <v>1880</v>
      </c>
      <c r="AB232" s="30">
        <v>5.6920000000000002</v>
      </c>
      <c r="AC232" s="30"/>
      <c r="AD232" s="30">
        <v>5.6920000000000002</v>
      </c>
      <c r="AE232" s="59"/>
      <c r="AF232" s="59"/>
      <c r="AG232" s="35" t="s">
        <v>1104</v>
      </c>
      <c r="AH232" s="1832" t="s">
        <v>10629</v>
      </c>
      <c r="AI232" s="35" t="s">
        <v>19</v>
      </c>
      <c r="AJ232" s="202" t="s">
        <v>19</v>
      </c>
      <c r="AK232" s="35" t="s">
        <v>1880</v>
      </c>
      <c r="AL232" s="1832"/>
    </row>
    <row r="233" spans="1:38" s="11" customFormat="1" ht="26.25" customHeight="1" x14ac:dyDescent="0.15">
      <c r="A233" s="8">
        <f t="shared" si="0"/>
        <v>231</v>
      </c>
      <c r="B233" s="36" t="s">
        <v>11105</v>
      </c>
      <c r="C233" s="26" t="s">
        <v>19</v>
      </c>
      <c r="D233" s="26" t="s">
        <v>19</v>
      </c>
      <c r="E233" s="26" t="s">
        <v>19</v>
      </c>
      <c r="F233" s="29" t="s">
        <v>5713</v>
      </c>
      <c r="G233" s="29" t="s">
        <v>11098</v>
      </c>
      <c r="H233" s="26" t="s">
        <v>9745</v>
      </c>
      <c r="I233" s="26" t="s">
        <v>4728</v>
      </c>
      <c r="J233" s="26" t="s">
        <v>9746</v>
      </c>
      <c r="K233" s="1832" t="s">
        <v>5003</v>
      </c>
      <c r="L233" s="1832" t="s">
        <v>4728</v>
      </c>
      <c r="M233" s="1832" t="s">
        <v>5004</v>
      </c>
      <c r="N233" s="22" t="s">
        <v>5714</v>
      </c>
      <c r="O233" s="22" t="s">
        <v>5431</v>
      </c>
      <c r="P233" s="1833" t="s">
        <v>5715</v>
      </c>
      <c r="Q233" s="216" t="s">
        <v>25</v>
      </c>
      <c r="R233" s="54" t="s">
        <v>6266</v>
      </c>
      <c r="S233" s="1833" t="s">
        <v>111</v>
      </c>
      <c r="T233" s="1832" t="s">
        <v>3591</v>
      </c>
      <c r="U233" s="1832" t="s">
        <v>3591</v>
      </c>
      <c r="V233" s="24" t="s">
        <v>11091</v>
      </c>
      <c r="W233" s="90" t="s">
        <v>11099</v>
      </c>
      <c r="X233" s="24" t="s">
        <v>110</v>
      </c>
      <c r="Y233" s="24">
        <v>1</v>
      </c>
      <c r="Z233" s="24" t="s">
        <v>11100</v>
      </c>
      <c r="AA233" s="24" t="s">
        <v>11101</v>
      </c>
      <c r="AB233" s="30"/>
      <c r="AC233" s="30">
        <v>23.3</v>
      </c>
      <c r="AD233" s="30">
        <v>23.3</v>
      </c>
      <c r="AE233" s="59"/>
      <c r="AF233" s="59"/>
      <c r="AG233" s="35" t="s">
        <v>1104</v>
      </c>
      <c r="AH233" s="1832" t="s">
        <v>10629</v>
      </c>
      <c r="AI233" s="35" t="s">
        <v>19</v>
      </c>
      <c r="AJ233" s="202" t="s">
        <v>19</v>
      </c>
      <c r="AK233" s="35" t="s">
        <v>1880</v>
      </c>
      <c r="AL233" s="1832"/>
    </row>
    <row r="234" spans="1:38" s="11" customFormat="1" ht="26.25" customHeight="1" x14ac:dyDescent="0.15">
      <c r="A234" s="8">
        <f t="shared" si="0"/>
        <v>232</v>
      </c>
      <c r="B234" s="36" t="s">
        <v>11111</v>
      </c>
      <c r="C234" s="26" t="s">
        <v>19</v>
      </c>
      <c r="D234" s="26" t="s">
        <v>19</v>
      </c>
      <c r="E234" s="26" t="s">
        <v>19</v>
      </c>
      <c r="F234" s="29" t="s">
        <v>11108</v>
      </c>
      <c r="G234" s="53" t="s">
        <v>11109</v>
      </c>
      <c r="H234" s="26" t="s">
        <v>448</v>
      </c>
      <c r="I234" s="26" t="s">
        <v>448</v>
      </c>
      <c r="J234" s="26" t="s">
        <v>448</v>
      </c>
      <c r="K234" s="1" t="s">
        <v>23</v>
      </c>
      <c r="L234" s="1" t="s">
        <v>177</v>
      </c>
      <c r="M234" s="1" t="s">
        <v>4966</v>
      </c>
      <c r="N234" s="22" t="s">
        <v>3545</v>
      </c>
      <c r="O234" s="22" t="s">
        <v>1826</v>
      </c>
      <c r="P234" s="22" t="s">
        <v>1880</v>
      </c>
      <c r="Q234" s="1834" t="s">
        <v>102</v>
      </c>
      <c r="R234" s="54" t="s">
        <v>3917</v>
      </c>
      <c r="S234" s="1835" t="s">
        <v>111</v>
      </c>
      <c r="T234" s="1832" t="s">
        <v>1151</v>
      </c>
      <c r="U234" s="1834" t="s">
        <v>1151</v>
      </c>
      <c r="V234" s="24" t="s">
        <v>11110</v>
      </c>
      <c r="W234" s="90" t="s">
        <v>10427</v>
      </c>
      <c r="X234" s="24" t="s">
        <v>1800</v>
      </c>
      <c r="Y234" s="24">
        <v>1</v>
      </c>
      <c r="Z234" s="24" t="s">
        <v>1880</v>
      </c>
      <c r="AA234" s="24" t="s">
        <v>1880</v>
      </c>
      <c r="AB234" s="30">
        <v>7.7</v>
      </c>
      <c r="AC234" s="30"/>
      <c r="AD234" s="30">
        <v>7.7</v>
      </c>
      <c r="AE234" s="59"/>
      <c r="AF234" s="59"/>
      <c r="AG234" s="35" t="s">
        <v>1104</v>
      </c>
      <c r="AH234" s="1834" t="s">
        <v>10629</v>
      </c>
      <c r="AI234" s="35" t="s">
        <v>19</v>
      </c>
      <c r="AJ234" s="202" t="s">
        <v>19</v>
      </c>
      <c r="AK234" s="35" t="s">
        <v>1880</v>
      </c>
      <c r="AL234" s="1834"/>
    </row>
    <row r="235" spans="1:38" s="11" customFormat="1" ht="26.25" customHeight="1" x14ac:dyDescent="0.15">
      <c r="A235" s="8">
        <f t="shared" si="0"/>
        <v>233</v>
      </c>
      <c r="B235" s="36" t="s">
        <v>11112</v>
      </c>
      <c r="C235" s="26" t="s">
        <v>19</v>
      </c>
      <c r="D235" s="26" t="s">
        <v>19</v>
      </c>
      <c r="E235" s="26" t="s">
        <v>19</v>
      </c>
      <c r="F235" s="29" t="s">
        <v>11114</v>
      </c>
      <c r="G235" s="53" t="s">
        <v>11115</v>
      </c>
      <c r="H235" s="26" t="s">
        <v>448</v>
      </c>
      <c r="I235" s="26" t="s">
        <v>448</v>
      </c>
      <c r="J235" s="26" t="s">
        <v>448</v>
      </c>
      <c r="K235" s="1831" t="s">
        <v>6963</v>
      </c>
      <c r="L235" s="1831" t="s">
        <v>5122</v>
      </c>
      <c r="M235" s="1831" t="s">
        <v>11116</v>
      </c>
      <c r="N235" s="22" t="s">
        <v>4780</v>
      </c>
      <c r="O235" s="22" t="s">
        <v>1826</v>
      </c>
      <c r="P235" s="22" t="s">
        <v>1880</v>
      </c>
      <c r="Q235" s="1836" t="s">
        <v>102</v>
      </c>
      <c r="R235" s="54" t="s">
        <v>5234</v>
      </c>
      <c r="S235" s="1837" t="s">
        <v>111</v>
      </c>
      <c r="T235" s="1832" t="s">
        <v>3591</v>
      </c>
      <c r="U235" s="1836" t="s">
        <v>3591</v>
      </c>
      <c r="V235" s="24" t="s">
        <v>11117</v>
      </c>
      <c r="W235" s="90" t="s">
        <v>11118</v>
      </c>
      <c r="X235" s="24" t="s">
        <v>110</v>
      </c>
      <c r="Y235" s="24">
        <v>1</v>
      </c>
      <c r="Z235" s="24" t="s">
        <v>1880</v>
      </c>
      <c r="AA235" s="24" t="s">
        <v>1880</v>
      </c>
      <c r="AB235" s="30">
        <v>7</v>
      </c>
      <c r="AC235" s="30"/>
      <c r="AD235" s="30">
        <v>7</v>
      </c>
      <c r="AE235" s="59"/>
      <c r="AF235" s="59"/>
      <c r="AG235" s="35" t="s">
        <v>1104</v>
      </c>
      <c r="AH235" s="35" t="s">
        <v>10637</v>
      </c>
      <c r="AI235" s="35" t="s">
        <v>19</v>
      </c>
      <c r="AJ235" s="202" t="s">
        <v>19</v>
      </c>
      <c r="AK235" s="35" t="s">
        <v>1880</v>
      </c>
      <c r="AL235" s="1836"/>
    </row>
    <row r="236" spans="1:38" s="11" customFormat="1" ht="26.25" customHeight="1" x14ac:dyDescent="0.15">
      <c r="A236" s="8">
        <f t="shared" si="0"/>
        <v>234</v>
      </c>
      <c r="B236" s="36" t="s">
        <v>11113</v>
      </c>
      <c r="C236" s="26" t="s">
        <v>19</v>
      </c>
      <c r="D236" s="26" t="s">
        <v>19</v>
      </c>
      <c r="E236" s="26" t="s">
        <v>19</v>
      </c>
      <c r="F236" s="29" t="s">
        <v>10304</v>
      </c>
      <c r="G236" s="99" t="s">
        <v>8749</v>
      </c>
      <c r="H236" s="26" t="s">
        <v>448</v>
      </c>
      <c r="I236" s="26" t="s">
        <v>448</v>
      </c>
      <c r="J236" s="26" t="s">
        <v>448</v>
      </c>
      <c r="K236" s="1843" t="s">
        <v>4712</v>
      </c>
      <c r="L236" s="1843" t="s">
        <v>9125</v>
      </c>
      <c r="M236" s="1843" t="s">
        <v>9131</v>
      </c>
      <c r="N236" s="22" t="s">
        <v>10181</v>
      </c>
      <c r="O236" s="1844" t="s">
        <v>2142</v>
      </c>
      <c r="P236" s="1844" t="s">
        <v>1880</v>
      </c>
      <c r="Q236" s="1843" t="s">
        <v>4676</v>
      </c>
      <c r="R236" s="54" t="s">
        <v>10310</v>
      </c>
      <c r="S236" s="1844" t="s">
        <v>111</v>
      </c>
      <c r="T236" s="1832" t="s">
        <v>3248</v>
      </c>
      <c r="U236" s="1832" t="s">
        <v>3248</v>
      </c>
      <c r="V236" s="24" t="s">
        <v>11121</v>
      </c>
      <c r="W236" s="24" t="s">
        <v>1880</v>
      </c>
      <c r="X236" s="24" t="s">
        <v>1880</v>
      </c>
      <c r="Y236" s="24" t="s">
        <v>1880</v>
      </c>
      <c r="Z236" s="24" t="s">
        <v>1880</v>
      </c>
      <c r="AA236" s="24" t="s">
        <v>1880</v>
      </c>
      <c r="AB236" s="30">
        <v>0.12</v>
      </c>
      <c r="AC236" s="30"/>
      <c r="AD236" s="30">
        <v>0.12</v>
      </c>
      <c r="AE236" s="59"/>
      <c r="AF236" s="59"/>
      <c r="AG236" s="35" t="s">
        <v>1104</v>
      </c>
      <c r="AH236" s="1843" t="s">
        <v>10629</v>
      </c>
      <c r="AI236" s="35" t="s">
        <v>19</v>
      </c>
      <c r="AJ236" s="202" t="s">
        <v>19</v>
      </c>
      <c r="AK236" s="35" t="s">
        <v>1880</v>
      </c>
      <c r="AL236" s="1832"/>
    </row>
    <row r="237" spans="1:38" s="11" customFormat="1" ht="26.25" customHeight="1" x14ac:dyDescent="0.15">
      <c r="A237" s="8">
        <f t="shared" si="0"/>
        <v>235</v>
      </c>
      <c r="B237" s="36" t="s">
        <v>11120</v>
      </c>
      <c r="C237" s="26" t="s">
        <v>19</v>
      </c>
      <c r="D237" s="26" t="s">
        <v>19</v>
      </c>
      <c r="E237" s="26" t="s">
        <v>19</v>
      </c>
      <c r="F237" s="29" t="s">
        <v>8127</v>
      </c>
      <c r="G237" s="29" t="s">
        <v>11123</v>
      </c>
      <c r="H237" s="26" t="s">
        <v>19</v>
      </c>
      <c r="I237" s="26" t="s">
        <v>19</v>
      </c>
      <c r="J237" s="26" t="s">
        <v>19</v>
      </c>
      <c r="K237" s="1841" t="s">
        <v>3649</v>
      </c>
      <c r="L237" s="1841" t="s">
        <v>4750</v>
      </c>
      <c r="M237" s="1841" t="s">
        <v>10607</v>
      </c>
      <c r="N237" s="22" t="s">
        <v>10830</v>
      </c>
      <c r="O237" s="22" t="s">
        <v>1826</v>
      </c>
      <c r="P237" s="1842" t="s">
        <v>111</v>
      </c>
      <c r="Q237" s="1841" t="s">
        <v>1131</v>
      </c>
      <c r="R237" s="54" t="s">
        <v>2423</v>
      </c>
      <c r="S237" s="1842" t="s">
        <v>111</v>
      </c>
      <c r="T237" s="1838" t="s">
        <v>2072</v>
      </c>
      <c r="U237" s="1841" t="s">
        <v>2072</v>
      </c>
      <c r="V237" s="24" t="s">
        <v>11122</v>
      </c>
      <c r="W237" s="90" t="s">
        <v>11124</v>
      </c>
      <c r="X237" s="24" t="s">
        <v>110</v>
      </c>
      <c r="Y237" s="24">
        <v>1</v>
      </c>
      <c r="Z237" s="24" t="s">
        <v>10865</v>
      </c>
      <c r="AA237" s="24" t="s">
        <v>11125</v>
      </c>
      <c r="AB237" s="30"/>
      <c r="AC237" s="30">
        <v>21</v>
      </c>
      <c r="AD237" s="30">
        <v>21</v>
      </c>
      <c r="AE237" s="59"/>
      <c r="AF237" s="59"/>
      <c r="AG237" s="35" t="s">
        <v>1104</v>
      </c>
      <c r="AH237" s="1841" t="s">
        <v>10629</v>
      </c>
      <c r="AI237" s="35" t="s">
        <v>19</v>
      </c>
      <c r="AJ237" s="202" t="s">
        <v>19</v>
      </c>
      <c r="AK237" s="35" t="s">
        <v>1880</v>
      </c>
      <c r="AL237" s="1838"/>
    </row>
    <row r="238" spans="1:38" s="11" customFormat="1" ht="26.25" customHeight="1" x14ac:dyDescent="0.15">
      <c r="A238" s="8">
        <f t="shared" si="0"/>
        <v>236</v>
      </c>
      <c r="B238" s="36" t="s">
        <v>11162</v>
      </c>
      <c r="C238" s="26" t="s">
        <v>19</v>
      </c>
      <c r="D238" s="26" t="s">
        <v>19</v>
      </c>
      <c r="E238" s="26" t="s">
        <v>11163</v>
      </c>
      <c r="F238" s="29" t="s">
        <v>6639</v>
      </c>
      <c r="G238" s="53" t="s">
        <v>11126</v>
      </c>
      <c r="H238" s="26" t="s">
        <v>448</v>
      </c>
      <c r="I238" s="26" t="s">
        <v>448</v>
      </c>
      <c r="J238" s="26" t="s">
        <v>448</v>
      </c>
      <c r="K238" s="1840" t="s">
        <v>4791</v>
      </c>
      <c r="L238" s="1840" t="s">
        <v>3101</v>
      </c>
      <c r="M238" s="1840" t="s">
        <v>6641</v>
      </c>
      <c r="N238" s="22" t="s">
        <v>7829</v>
      </c>
      <c r="O238" s="1841" t="s">
        <v>5431</v>
      </c>
      <c r="P238" s="1842" t="s">
        <v>111</v>
      </c>
      <c r="Q238" s="1841" t="s">
        <v>1131</v>
      </c>
      <c r="R238" s="54" t="s">
        <v>5500</v>
      </c>
      <c r="S238" s="22" t="s">
        <v>1880</v>
      </c>
      <c r="T238" s="1841" t="s">
        <v>446</v>
      </c>
      <c r="U238" s="1841" t="s">
        <v>446</v>
      </c>
      <c r="V238" s="24" t="s">
        <v>11122</v>
      </c>
      <c r="W238" s="90" t="s">
        <v>11127</v>
      </c>
      <c r="X238" s="24" t="s">
        <v>110</v>
      </c>
      <c r="Y238" s="24">
        <v>1</v>
      </c>
      <c r="Z238" s="24" t="s">
        <v>1880</v>
      </c>
      <c r="AA238" s="24" t="s">
        <v>1880</v>
      </c>
      <c r="AB238" s="30">
        <v>4.8499999999999996</v>
      </c>
      <c r="AC238" s="30"/>
      <c r="AD238" s="30">
        <v>4.8499999999999996</v>
      </c>
      <c r="AE238" s="59"/>
      <c r="AF238" s="59"/>
      <c r="AG238" s="35" t="s">
        <v>1104</v>
      </c>
      <c r="AH238" s="1841" t="s">
        <v>10629</v>
      </c>
      <c r="AI238" s="35" t="s">
        <v>19</v>
      </c>
      <c r="AJ238" s="202" t="s">
        <v>19</v>
      </c>
      <c r="AK238" s="35" t="s">
        <v>1880</v>
      </c>
      <c r="AL238" s="1839"/>
    </row>
    <row r="239" spans="1:38" s="11" customFormat="1" ht="26.25" customHeight="1" x14ac:dyDescent="0.15">
      <c r="A239" s="8">
        <f t="shared" si="0"/>
        <v>237</v>
      </c>
      <c r="B239" s="36" t="s">
        <v>11128</v>
      </c>
      <c r="C239" s="26" t="s">
        <v>19</v>
      </c>
      <c r="D239" s="26" t="s">
        <v>19</v>
      </c>
      <c r="E239" s="26" t="s">
        <v>19</v>
      </c>
      <c r="F239" s="29" t="s">
        <v>10418</v>
      </c>
      <c r="G239" s="53" t="s">
        <v>11130</v>
      </c>
      <c r="H239" s="26" t="s">
        <v>8765</v>
      </c>
      <c r="I239" s="26" t="s">
        <v>9585</v>
      </c>
      <c r="J239" s="26" t="s">
        <v>9586</v>
      </c>
      <c r="K239" s="1845" t="s">
        <v>1147</v>
      </c>
      <c r="L239" s="1845" t="s">
        <v>1789</v>
      </c>
      <c r="M239" s="1845" t="s">
        <v>9587</v>
      </c>
      <c r="N239" s="22" t="s">
        <v>4780</v>
      </c>
      <c r="O239" s="22" t="s">
        <v>1826</v>
      </c>
      <c r="P239" s="22" t="s">
        <v>1880</v>
      </c>
      <c r="Q239" s="1846" t="s">
        <v>1131</v>
      </c>
      <c r="R239" s="54" t="s">
        <v>9595</v>
      </c>
      <c r="S239" s="22" t="s">
        <v>1880</v>
      </c>
      <c r="T239" s="1848" t="s">
        <v>1152</v>
      </c>
      <c r="U239" s="1846" t="s">
        <v>1152</v>
      </c>
      <c r="V239" s="24" t="s">
        <v>11131</v>
      </c>
      <c r="W239" s="90" t="s">
        <v>11132</v>
      </c>
      <c r="X239" s="24" t="s">
        <v>1800</v>
      </c>
      <c r="Y239" s="24">
        <v>1</v>
      </c>
      <c r="Z239" s="24" t="s">
        <v>11133</v>
      </c>
      <c r="AA239" s="24" t="s">
        <v>11134</v>
      </c>
      <c r="AB239" s="30"/>
      <c r="AC239" s="30">
        <v>5.54</v>
      </c>
      <c r="AD239" s="30">
        <v>5.54</v>
      </c>
      <c r="AE239" s="59"/>
      <c r="AF239" s="59"/>
      <c r="AG239" s="35" t="s">
        <v>1104</v>
      </c>
      <c r="AH239" s="1846" t="s">
        <v>10629</v>
      </c>
      <c r="AI239" s="35" t="s">
        <v>19</v>
      </c>
      <c r="AJ239" s="202" t="s">
        <v>19</v>
      </c>
      <c r="AK239" s="35" t="s">
        <v>1880</v>
      </c>
      <c r="AL239" s="1846"/>
    </row>
    <row r="240" spans="1:38" s="11" customFormat="1" ht="26.25" customHeight="1" x14ac:dyDescent="0.15">
      <c r="A240" s="8">
        <f t="shared" si="0"/>
        <v>238</v>
      </c>
      <c r="B240" s="36" t="s">
        <v>11129</v>
      </c>
      <c r="C240" s="26" t="s">
        <v>19</v>
      </c>
      <c r="D240" s="26" t="s">
        <v>19</v>
      </c>
      <c r="E240" s="26" t="s">
        <v>19</v>
      </c>
      <c r="F240" s="29" t="s">
        <v>10418</v>
      </c>
      <c r="G240" s="53" t="s">
        <v>11130</v>
      </c>
      <c r="H240" s="26" t="s">
        <v>8765</v>
      </c>
      <c r="I240" s="26" t="s">
        <v>9585</v>
      </c>
      <c r="J240" s="26" t="s">
        <v>9586</v>
      </c>
      <c r="K240" s="1845" t="s">
        <v>1147</v>
      </c>
      <c r="L240" s="1845" t="s">
        <v>1789</v>
      </c>
      <c r="M240" s="1845" t="s">
        <v>9588</v>
      </c>
      <c r="N240" s="22" t="s">
        <v>4780</v>
      </c>
      <c r="O240" s="22" t="s">
        <v>1826</v>
      </c>
      <c r="P240" s="22" t="s">
        <v>1880</v>
      </c>
      <c r="Q240" s="1846" t="s">
        <v>1131</v>
      </c>
      <c r="R240" s="54" t="s">
        <v>9595</v>
      </c>
      <c r="S240" s="22" t="s">
        <v>1880</v>
      </c>
      <c r="T240" s="1848" t="s">
        <v>1152</v>
      </c>
      <c r="U240" s="1846" t="s">
        <v>1152</v>
      </c>
      <c r="V240" s="24" t="s">
        <v>11131</v>
      </c>
      <c r="W240" s="90" t="s">
        <v>11132</v>
      </c>
      <c r="X240" s="24" t="s">
        <v>1800</v>
      </c>
      <c r="Y240" s="24">
        <v>1</v>
      </c>
      <c r="Z240" s="24" t="s">
        <v>11133</v>
      </c>
      <c r="AA240" s="24" t="s">
        <v>11134</v>
      </c>
      <c r="AB240" s="30"/>
      <c r="AC240" s="30">
        <v>5.54</v>
      </c>
      <c r="AD240" s="30">
        <v>5.54</v>
      </c>
      <c r="AE240" s="59"/>
      <c r="AF240" s="59"/>
      <c r="AG240" s="35" t="s">
        <v>1104</v>
      </c>
      <c r="AH240" s="1846" t="s">
        <v>10629</v>
      </c>
      <c r="AI240" s="35" t="s">
        <v>19</v>
      </c>
      <c r="AJ240" s="202" t="s">
        <v>19</v>
      </c>
      <c r="AK240" s="35" t="s">
        <v>1880</v>
      </c>
      <c r="AL240" s="1846"/>
    </row>
    <row r="241" spans="1:38" s="11" customFormat="1" ht="26.25" customHeight="1" x14ac:dyDescent="0.15">
      <c r="A241" s="8">
        <f t="shared" si="0"/>
        <v>239</v>
      </c>
      <c r="B241" s="36" t="s">
        <v>11135</v>
      </c>
      <c r="C241" s="26" t="s">
        <v>19</v>
      </c>
      <c r="D241" s="26" t="s">
        <v>19</v>
      </c>
      <c r="E241" s="26" t="s">
        <v>19</v>
      </c>
      <c r="F241" s="29" t="s">
        <v>2481</v>
      </c>
      <c r="G241" s="53" t="s">
        <v>11136</v>
      </c>
      <c r="H241" s="26" t="s">
        <v>8765</v>
      </c>
      <c r="I241" s="26" t="s">
        <v>9585</v>
      </c>
      <c r="J241" s="26" t="s">
        <v>9586</v>
      </c>
      <c r="K241" s="1845" t="s">
        <v>1147</v>
      </c>
      <c r="L241" s="1845" t="s">
        <v>1789</v>
      </c>
      <c r="M241" s="37" t="s">
        <v>2484</v>
      </c>
      <c r="N241" s="22" t="s">
        <v>9952</v>
      </c>
      <c r="O241" s="22" t="s">
        <v>1826</v>
      </c>
      <c r="P241" s="1847" t="s">
        <v>111</v>
      </c>
      <c r="Q241" s="1846" t="s">
        <v>1131</v>
      </c>
      <c r="R241" s="54" t="s">
        <v>9595</v>
      </c>
      <c r="S241" s="22" t="s">
        <v>1880</v>
      </c>
      <c r="T241" s="1848" t="s">
        <v>1152</v>
      </c>
      <c r="U241" s="1846" t="s">
        <v>1152</v>
      </c>
      <c r="V241" s="24" t="s">
        <v>11131</v>
      </c>
      <c r="W241" s="90" t="s">
        <v>11132</v>
      </c>
      <c r="X241" s="24" t="s">
        <v>1800</v>
      </c>
      <c r="Y241" s="24">
        <v>1</v>
      </c>
      <c r="Z241" s="24" t="s">
        <v>11133</v>
      </c>
      <c r="AA241" s="24" t="s">
        <v>11134</v>
      </c>
      <c r="AB241" s="30"/>
      <c r="AC241" s="30">
        <v>5.54</v>
      </c>
      <c r="AD241" s="30">
        <v>5.54</v>
      </c>
      <c r="AE241" s="59"/>
      <c r="AF241" s="59"/>
      <c r="AG241" s="35" t="s">
        <v>1104</v>
      </c>
      <c r="AH241" s="1846" t="s">
        <v>10629</v>
      </c>
      <c r="AI241" s="35" t="s">
        <v>19</v>
      </c>
      <c r="AJ241" s="202" t="s">
        <v>19</v>
      </c>
      <c r="AK241" s="35" t="s">
        <v>1880</v>
      </c>
      <c r="AL241" s="1846"/>
    </row>
    <row r="242" spans="1:38" s="11" customFormat="1" ht="26.25" customHeight="1" x14ac:dyDescent="0.15">
      <c r="A242" s="8">
        <f t="shared" si="0"/>
        <v>240</v>
      </c>
      <c r="B242" s="36" t="s">
        <v>11137</v>
      </c>
      <c r="C242" s="26" t="s">
        <v>19</v>
      </c>
      <c r="D242" s="26" t="s">
        <v>19</v>
      </c>
      <c r="E242" s="26" t="s">
        <v>19</v>
      </c>
      <c r="F242" s="29" t="s">
        <v>8050</v>
      </c>
      <c r="G242" s="53" t="s">
        <v>11138</v>
      </c>
      <c r="H242" s="26" t="s">
        <v>8765</v>
      </c>
      <c r="I242" s="26" t="s">
        <v>9585</v>
      </c>
      <c r="J242" s="26" t="s">
        <v>9586</v>
      </c>
      <c r="K242" s="1845" t="s">
        <v>4195</v>
      </c>
      <c r="L242" s="1845" t="s">
        <v>5419</v>
      </c>
      <c r="M242" s="1845" t="s">
        <v>7675</v>
      </c>
      <c r="N242" s="22" t="s">
        <v>4780</v>
      </c>
      <c r="O242" s="1847" t="s">
        <v>5478</v>
      </c>
      <c r="P242" s="1847" t="s">
        <v>111</v>
      </c>
      <c r="Q242" s="1846" t="s">
        <v>2422</v>
      </c>
      <c r="R242" s="54" t="s">
        <v>9299</v>
      </c>
      <c r="S242" s="22" t="s">
        <v>1880</v>
      </c>
      <c r="T242" s="1848" t="s">
        <v>1152</v>
      </c>
      <c r="U242" s="1846" t="s">
        <v>1152</v>
      </c>
      <c r="V242" s="24" t="s">
        <v>11131</v>
      </c>
      <c r="W242" s="90" t="s">
        <v>11132</v>
      </c>
      <c r="X242" s="24" t="s">
        <v>1800</v>
      </c>
      <c r="Y242" s="24">
        <v>1</v>
      </c>
      <c r="Z242" s="24" t="s">
        <v>11133</v>
      </c>
      <c r="AA242" s="24" t="s">
        <v>11134</v>
      </c>
      <c r="AB242" s="30"/>
      <c r="AC242" s="30">
        <v>5.54</v>
      </c>
      <c r="AD242" s="30">
        <v>5.54</v>
      </c>
      <c r="AE242" s="59"/>
      <c r="AF242" s="59"/>
      <c r="AG242" s="35" t="s">
        <v>1104</v>
      </c>
      <c r="AH242" s="1846" t="s">
        <v>10629</v>
      </c>
      <c r="AI242" s="35" t="s">
        <v>19</v>
      </c>
      <c r="AJ242" s="202" t="s">
        <v>19</v>
      </c>
      <c r="AK242" s="35" t="s">
        <v>1880</v>
      </c>
      <c r="AL242" s="1846"/>
    </row>
    <row r="243" spans="1:38" s="11" customFormat="1" ht="26.25" customHeight="1" x14ac:dyDescent="0.15">
      <c r="A243" s="8">
        <f t="shared" si="0"/>
        <v>241</v>
      </c>
      <c r="B243" s="36" t="s">
        <v>11139</v>
      </c>
      <c r="C243" s="26" t="s">
        <v>19</v>
      </c>
      <c r="D243" s="26" t="s">
        <v>19</v>
      </c>
      <c r="E243" s="26" t="s">
        <v>19</v>
      </c>
      <c r="F243" s="29" t="s">
        <v>11140</v>
      </c>
      <c r="G243" s="53" t="s">
        <v>11141</v>
      </c>
      <c r="H243" s="26" t="s">
        <v>8765</v>
      </c>
      <c r="I243" s="26" t="s">
        <v>9585</v>
      </c>
      <c r="J243" s="26" t="s">
        <v>9586</v>
      </c>
      <c r="K243" s="1461" t="s">
        <v>94</v>
      </c>
      <c r="L243" s="1461" t="s">
        <v>5419</v>
      </c>
      <c r="M243" s="1462" t="s">
        <v>9312</v>
      </c>
      <c r="N243" s="1462" t="s">
        <v>9946</v>
      </c>
      <c r="O243" s="1847" t="s">
        <v>5431</v>
      </c>
      <c r="P243" s="1847" t="s">
        <v>111</v>
      </c>
      <c r="Q243" s="1846" t="s">
        <v>1131</v>
      </c>
      <c r="R243" s="54" t="s">
        <v>9595</v>
      </c>
      <c r="S243" s="22" t="s">
        <v>1880</v>
      </c>
      <c r="T243" s="1848" t="s">
        <v>1152</v>
      </c>
      <c r="U243" s="1846" t="s">
        <v>1152</v>
      </c>
      <c r="V243" s="24" t="s">
        <v>11131</v>
      </c>
      <c r="W243" s="90" t="s">
        <v>11132</v>
      </c>
      <c r="X243" s="24" t="s">
        <v>1800</v>
      </c>
      <c r="Y243" s="24">
        <v>1</v>
      </c>
      <c r="Z243" s="24" t="s">
        <v>11142</v>
      </c>
      <c r="AA243" s="24" t="s">
        <v>11143</v>
      </c>
      <c r="AB243" s="30"/>
      <c r="AC243" s="30">
        <v>5.54</v>
      </c>
      <c r="AD243" s="30">
        <v>5.54</v>
      </c>
      <c r="AE243" s="59"/>
      <c r="AF243" s="59"/>
      <c r="AG243" s="35" t="s">
        <v>1104</v>
      </c>
      <c r="AH243" s="1846" t="s">
        <v>10629</v>
      </c>
      <c r="AI243" s="35" t="s">
        <v>19</v>
      </c>
      <c r="AJ243" s="202" t="s">
        <v>19</v>
      </c>
      <c r="AK243" s="35" t="s">
        <v>1880</v>
      </c>
      <c r="AL243" s="1846"/>
    </row>
    <row r="244" spans="1:38" s="11" customFormat="1" ht="26.25" customHeight="1" x14ac:dyDescent="0.15">
      <c r="A244" s="8">
        <f t="shared" si="0"/>
        <v>242</v>
      </c>
      <c r="B244" s="36" t="s">
        <v>11144</v>
      </c>
      <c r="C244" s="26" t="s">
        <v>19</v>
      </c>
      <c r="D244" s="26" t="s">
        <v>19</v>
      </c>
      <c r="E244" s="26" t="s">
        <v>19</v>
      </c>
      <c r="F244" s="29" t="s">
        <v>11152</v>
      </c>
      <c r="G244" s="98" t="s">
        <v>11157</v>
      </c>
      <c r="H244" s="26" t="s">
        <v>8757</v>
      </c>
      <c r="I244" s="26" t="s">
        <v>9606</v>
      </c>
      <c r="J244" s="26" t="s">
        <v>9607</v>
      </c>
      <c r="K244" s="1845" t="s">
        <v>2135</v>
      </c>
      <c r="L244" s="1845" t="s">
        <v>2533</v>
      </c>
      <c r="M244" s="1845" t="s">
        <v>11153</v>
      </c>
      <c r="N244" s="22" t="s">
        <v>4780</v>
      </c>
      <c r="O244" s="22" t="s">
        <v>5478</v>
      </c>
      <c r="P244" s="1851" t="s">
        <v>111</v>
      </c>
      <c r="Q244" s="1846" t="s">
        <v>2422</v>
      </c>
      <c r="R244" s="54" t="s">
        <v>11154</v>
      </c>
      <c r="S244" s="22" t="s">
        <v>1880</v>
      </c>
      <c r="T244" s="1846" t="s">
        <v>2072</v>
      </c>
      <c r="U244" s="1846" t="s">
        <v>2072</v>
      </c>
      <c r="V244" s="24" t="s">
        <v>11142</v>
      </c>
      <c r="W244" s="90" t="s">
        <v>11132</v>
      </c>
      <c r="X244" s="24" t="s">
        <v>110</v>
      </c>
      <c r="Y244" s="24">
        <v>1</v>
      </c>
      <c r="Z244" s="24" t="s">
        <v>2512</v>
      </c>
      <c r="AA244" s="24" t="s">
        <v>1880</v>
      </c>
      <c r="AB244" s="30">
        <v>12.5</v>
      </c>
      <c r="AC244" s="30"/>
      <c r="AD244" s="30">
        <v>12.5</v>
      </c>
      <c r="AE244" s="59"/>
      <c r="AF244" s="59"/>
      <c r="AG244" s="35" t="s">
        <v>1104</v>
      </c>
      <c r="AH244" s="35" t="s">
        <v>10637</v>
      </c>
      <c r="AI244" s="35" t="s">
        <v>19</v>
      </c>
      <c r="AJ244" s="202" t="s">
        <v>19</v>
      </c>
      <c r="AK244" s="35" t="s">
        <v>1880</v>
      </c>
      <c r="AL244" s="1846" t="s">
        <v>11145</v>
      </c>
    </row>
    <row r="245" spans="1:38" s="11" customFormat="1" ht="26.25" customHeight="1" x14ac:dyDescent="0.15">
      <c r="A245" s="8">
        <f t="shared" si="0"/>
        <v>243</v>
      </c>
      <c r="B245" s="36" t="s">
        <v>11146</v>
      </c>
      <c r="C245" s="26" t="s">
        <v>19</v>
      </c>
      <c r="D245" s="26" t="s">
        <v>19</v>
      </c>
      <c r="E245" s="26" t="s">
        <v>19</v>
      </c>
      <c r="F245" s="29" t="s">
        <v>11155</v>
      </c>
      <c r="G245" s="99" t="s">
        <v>8749</v>
      </c>
      <c r="H245" s="26" t="s">
        <v>448</v>
      </c>
      <c r="I245" s="26" t="s">
        <v>448</v>
      </c>
      <c r="J245" s="26" t="s">
        <v>448</v>
      </c>
      <c r="K245" s="1852" t="s">
        <v>4712</v>
      </c>
      <c r="L245" s="1852" t="s">
        <v>4692</v>
      </c>
      <c r="M245" s="1852" t="s">
        <v>9882</v>
      </c>
      <c r="N245" s="22" t="s">
        <v>4780</v>
      </c>
      <c r="O245" s="22" t="s">
        <v>5478</v>
      </c>
      <c r="P245" s="1851" t="s">
        <v>111</v>
      </c>
      <c r="Q245" s="1850" t="s">
        <v>2422</v>
      </c>
      <c r="R245" s="54" t="s">
        <v>10913</v>
      </c>
      <c r="S245" s="22" t="s">
        <v>1880</v>
      </c>
      <c r="T245" s="1849" t="s">
        <v>3248</v>
      </c>
      <c r="U245" s="1849" t="s">
        <v>3248</v>
      </c>
      <c r="V245" s="24" t="s">
        <v>11150</v>
      </c>
      <c r="W245" s="24" t="s">
        <v>1880</v>
      </c>
      <c r="X245" s="24" t="s">
        <v>1880</v>
      </c>
      <c r="Y245" s="24" t="s">
        <v>1880</v>
      </c>
      <c r="Z245" s="24" t="s">
        <v>1880</v>
      </c>
      <c r="AA245" s="24" t="s">
        <v>1880</v>
      </c>
      <c r="AB245" s="30">
        <v>1.5</v>
      </c>
      <c r="AC245" s="30"/>
      <c r="AD245" s="30">
        <v>1.5</v>
      </c>
      <c r="AE245" s="59"/>
      <c r="AF245" s="59" t="s">
        <v>11107</v>
      </c>
      <c r="AG245" s="35" t="s">
        <v>1104</v>
      </c>
      <c r="AH245" s="1849" t="s">
        <v>10629</v>
      </c>
      <c r="AI245" s="35" t="s">
        <v>19</v>
      </c>
      <c r="AJ245" s="202" t="s">
        <v>19</v>
      </c>
      <c r="AK245" s="35" t="s">
        <v>1880</v>
      </c>
      <c r="AL245" s="1849" t="s">
        <v>11307</v>
      </c>
    </row>
    <row r="246" spans="1:38" s="11" customFormat="1" ht="26.25" customHeight="1" x14ac:dyDescent="0.15">
      <c r="A246" s="8">
        <f t="shared" si="0"/>
        <v>244</v>
      </c>
      <c r="B246" s="36" t="s">
        <v>11147</v>
      </c>
      <c r="C246" s="26" t="s">
        <v>19</v>
      </c>
      <c r="D246" s="26" t="s">
        <v>19</v>
      </c>
      <c r="E246" s="26" t="s">
        <v>19</v>
      </c>
      <c r="F246" s="29" t="s">
        <v>11156</v>
      </c>
      <c r="G246" s="99" t="s">
        <v>8749</v>
      </c>
      <c r="H246" s="26" t="s">
        <v>448</v>
      </c>
      <c r="I246" s="26" t="s">
        <v>448</v>
      </c>
      <c r="J246" s="26" t="s">
        <v>448</v>
      </c>
      <c r="K246" s="1852" t="s">
        <v>4712</v>
      </c>
      <c r="L246" s="1852" t="s">
        <v>4692</v>
      </c>
      <c r="M246" s="1852" t="s">
        <v>9883</v>
      </c>
      <c r="N246" s="22" t="s">
        <v>4780</v>
      </c>
      <c r="O246" s="22" t="s">
        <v>5478</v>
      </c>
      <c r="P246" s="1851" t="s">
        <v>111</v>
      </c>
      <c r="Q246" s="1850" t="s">
        <v>2422</v>
      </c>
      <c r="R246" s="54" t="s">
        <v>10913</v>
      </c>
      <c r="S246" s="22" t="s">
        <v>1880</v>
      </c>
      <c r="T246" s="1849" t="s">
        <v>3248</v>
      </c>
      <c r="U246" s="1849" t="s">
        <v>3248</v>
      </c>
      <c r="V246" s="24" t="s">
        <v>11150</v>
      </c>
      <c r="W246" s="24" t="s">
        <v>1880</v>
      </c>
      <c r="X246" s="24" t="s">
        <v>1880</v>
      </c>
      <c r="Y246" s="24" t="s">
        <v>1880</v>
      </c>
      <c r="Z246" s="24" t="s">
        <v>1880</v>
      </c>
      <c r="AA246" s="24" t="s">
        <v>1880</v>
      </c>
      <c r="AB246" s="30">
        <v>1.5</v>
      </c>
      <c r="AC246" s="30"/>
      <c r="AD246" s="30">
        <v>1.5</v>
      </c>
      <c r="AE246" s="59"/>
      <c r="AF246" s="59" t="s">
        <v>11107</v>
      </c>
      <c r="AG246" s="35" t="s">
        <v>1104</v>
      </c>
      <c r="AH246" s="1849" t="s">
        <v>10629</v>
      </c>
      <c r="AI246" s="35" t="s">
        <v>19</v>
      </c>
      <c r="AJ246" s="202" t="s">
        <v>19</v>
      </c>
      <c r="AK246" s="35" t="s">
        <v>1880</v>
      </c>
      <c r="AL246" s="1872" t="s">
        <v>11307</v>
      </c>
    </row>
    <row r="247" spans="1:38" s="11" customFormat="1" ht="26.25" customHeight="1" x14ac:dyDescent="0.15">
      <c r="A247" s="8">
        <f t="shared" si="0"/>
        <v>245</v>
      </c>
      <c r="B247" s="36" t="s">
        <v>11148</v>
      </c>
      <c r="C247" s="26" t="s">
        <v>19</v>
      </c>
      <c r="D247" s="26" t="s">
        <v>19</v>
      </c>
      <c r="E247" s="26" t="s">
        <v>19</v>
      </c>
      <c r="F247" s="29" t="s">
        <v>1878</v>
      </c>
      <c r="G247" s="53" t="s">
        <v>11149</v>
      </c>
      <c r="H247" s="1478" t="s">
        <v>448</v>
      </c>
      <c r="I247" s="1478" t="s">
        <v>448</v>
      </c>
      <c r="J247" s="26" t="s">
        <v>10487</v>
      </c>
      <c r="K247" s="1213" t="s">
        <v>1881</v>
      </c>
      <c r="L247" s="1213" t="s">
        <v>2437</v>
      </c>
      <c r="M247" s="164" t="s">
        <v>1951</v>
      </c>
      <c r="N247" s="1213" t="s">
        <v>9949</v>
      </c>
      <c r="O247" s="1213" t="s">
        <v>1826</v>
      </c>
      <c r="P247" s="1213" t="s">
        <v>111</v>
      </c>
      <c r="Q247" s="1213" t="s">
        <v>1818</v>
      </c>
      <c r="R247" s="1214" t="s">
        <v>1819</v>
      </c>
      <c r="S247" s="22" t="s">
        <v>1880</v>
      </c>
      <c r="T247" s="1849" t="s">
        <v>3248</v>
      </c>
      <c r="U247" s="1849" t="s">
        <v>3248</v>
      </c>
      <c r="V247" s="24" t="s">
        <v>11150</v>
      </c>
      <c r="W247" s="90" t="s">
        <v>11132</v>
      </c>
      <c r="X247" s="24" t="s">
        <v>1800</v>
      </c>
      <c r="Y247" s="24">
        <v>1</v>
      </c>
      <c r="Z247" s="24" t="s">
        <v>11151</v>
      </c>
      <c r="AA247" s="24" t="s">
        <v>10227</v>
      </c>
      <c r="AB247" s="30"/>
      <c r="AC247" s="30">
        <v>5.2</v>
      </c>
      <c r="AD247" s="30">
        <v>5.2</v>
      </c>
      <c r="AE247" s="59"/>
      <c r="AF247" s="59"/>
      <c r="AG247" s="35" t="s">
        <v>1104</v>
      </c>
      <c r="AH247" s="1849" t="s">
        <v>10629</v>
      </c>
      <c r="AI247" s="35" t="s">
        <v>19</v>
      </c>
      <c r="AJ247" s="202" t="s">
        <v>19</v>
      </c>
      <c r="AK247" s="35" t="s">
        <v>1880</v>
      </c>
      <c r="AL247" s="1849"/>
    </row>
    <row r="248" spans="1:38" s="11" customFormat="1" ht="26.25" customHeight="1" x14ac:dyDescent="0.15">
      <c r="A248" s="8">
        <f t="shared" si="0"/>
        <v>246</v>
      </c>
      <c r="B248" s="36" t="s">
        <v>11158</v>
      </c>
      <c r="C248" s="26" t="s">
        <v>19</v>
      </c>
      <c r="D248" s="26" t="s">
        <v>19</v>
      </c>
      <c r="E248" s="26" t="s">
        <v>19</v>
      </c>
      <c r="F248" s="29" t="s">
        <v>3886</v>
      </c>
      <c r="G248" s="99" t="s">
        <v>8749</v>
      </c>
      <c r="H248" s="26" t="s">
        <v>448</v>
      </c>
      <c r="I248" s="26" t="s">
        <v>448</v>
      </c>
      <c r="J248" s="26" t="s">
        <v>448</v>
      </c>
      <c r="K248" s="1858" t="s">
        <v>4712</v>
      </c>
      <c r="L248" s="1858" t="s">
        <v>4692</v>
      </c>
      <c r="M248" s="1858" t="s">
        <v>6050</v>
      </c>
      <c r="N248" s="1859" t="s">
        <v>7038</v>
      </c>
      <c r="O248" s="1859" t="s">
        <v>1826</v>
      </c>
      <c r="P248" s="1859" t="s">
        <v>111</v>
      </c>
      <c r="Q248" s="1859" t="s">
        <v>1818</v>
      </c>
      <c r="R248" s="54" t="s">
        <v>10913</v>
      </c>
      <c r="S248" s="22" t="s">
        <v>1880</v>
      </c>
      <c r="T248" s="1858" t="s">
        <v>3248</v>
      </c>
      <c r="U248" s="1858" t="s">
        <v>3248</v>
      </c>
      <c r="V248" s="24" t="s">
        <v>11179</v>
      </c>
      <c r="W248" s="24" t="s">
        <v>1880</v>
      </c>
      <c r="X248" s="24" t="s">
        <v>1880</v>
      </c>
      <c r="Y248" s="24" t="s">
        <v>1880</v>
      </c>
      <c r="Z248" s="24" t="s">
        <v>1880</v>
      </c>
      <c r="AA248" s="24" t="s">
        <v>1880</v>
      </c>
      <c r="AB248" s="30">
        <v>1.5</v>
      </c>
      <c r="AC248" s="30"/>
      <c r="AD248" s="30">
        <v>1.5</v>
      </c>
      <c r="AE248" s="59"/>
      <c r="AF248" s="59"/>
      <c r="AG248" s="35" t="s">
        <v>1104</v>
      </c>
      <c r="AH248" s="1858" t="s">
        <v>10629</v>
      </c>
      <c r="AI248" s="35" t="s">
        <v>19</v>
      </c>
      <c r="AJ248" s="202" t="s">
        <v>19</v>
      </c>
      <c r="AK248" s="35" t="s">
        <v>1880</v>
      </c>
      <c r="AL248" s="1858" t="s">
        <v>11180</v>
      </c>
    </row>
    <row r="249" spans="1:38" s="11" customFormat="1" ht="26.25" customHeight="1" x14ac:dyDescent="0.15">
      <c r="A249" s="8">
        <f t="shared" si="0"/>
        <v>247</v>
      </c>
      <c r="B249" s="36" t="s">
        <v>11159</v>
      </c>
      <c r="C249" s="26" t="s">
        <v>19</v>
      </c>
      <c r="D249" s="26" t="s">
        <v>19</v>
      </c>
      <c r="E249" s="26" t="s">
        <v>19</v>
      </c>
      <c r="F249" s="29" t="s">
        <v>6099</v>
      </c>
      <c r="G249" s="29" t="s">
        <v>10717</v>
      </c>
      <c r="H249" s="26" t="s">
        <v>448</v>
      </c>
      <c r="I249" s="26" t="s">
        <v>448</v>
      </c>
      <c r="J249" s="26" t="s">
        <v>448</v>
      </c>
      <c r="K249" s="1857" t="s">
        <v>4691</v>
      </c>
      <c r="L249" s="1857" t="s">
        <v>4750</v>
      </c>
      <c r="M249" s="1857" t="s">
        <v>5366</v>
      </c>
      <c r="N249" s="22" t="s">
        <v>6101</v>
      </c>
      <c r="O249" s="22" t="s">
        <v>5431</v>
      </c>
      <c r="P249" s="1859" t="s">
        <v>111</v>
      </c>
      <c r="Q249" s="1858" t="s">
        <v>1131</v>
      </c>
      <c r="R249" s="54" t="s">
        <v>6423</v>
      </c>
      <c r="S249" s="1859" t="s">
        <v>111</v>
      </c>
      <c r="T249" s="1858" t="s">
        <v>3248</v>
      </c>
      <c r="U249" s="1858" t="s">
        <v>3248</v>
      </c>
      <c r="V249" s="24" t="s">
        <v>11179</v>
      </c>
      <c r="W249" s="90" t="s">
        <v>11181</v>
      </c>
      <c r="X249" s="24" t="s">
        <v>110</v>
      </c>
      <c r="Y249" s="24">
        <v>2</v>
      </c>
      <c r="Z249" s="24" t="s">
        <v>11182</v>
      </c>
      <c r="AA249" s="24" t="s">
        <v>10173</v>
      </c>
      <c r="AB249" s="30"/>
      <c r="AC249" s="30">
        <v>4.3</v>
      </c>
      <c r="AD249" s="30">
        <v>4.3</v>
      </c>
      <c r="AE249" s="59"/>
      <c r="AF249" s="59"/>
      <c r="AG249" s="35" t="s">
        <v>1104</v>
      </c>
      <c r="AH249" s="1858" t="s">
        <v>10629</v>
      </c>
      <c r="AI249" s="35" t="s">
        <v>19</v>
      </c>
      <c r="AJ249" s="202" t="s">
        <v>19</v>
      </c>
      <c r="AK249" s="35" t="s">
        <v>1880</v>
      </c>
      <c r="AL249" s="1858"/>
    </row>
    <row r="250" spans="1:38" s="11" customFormat="1" ht="26.25" customHeight="1" x14ac:dyDescent="0.15">
      <c r="A250" s="8">
        <f t="shared" si="0"/>
        <v>248</v>
      </c>
      <c r="B250" s="36" t="s">
        <v>11160</v>
      </c>
      <c r="C250" s="26" t="s">
        <v>19</v>
      </c>
      <c r="D250" s="26" t="s">
        <v>19</v>
      </c>
      <c r="E250" s="26" t="s">
        <v>19</v>
      </c>
      <c r="F250" s="29" t="s">
        <v>4285</v>
      </c>
      <c r="G250" s="99" t="s">
        <v>8961</v>
      </c>
      <c r="H250" s="26" t="s">
        <v>448</v>
      </c>
      <c r="I250" s="26" t="s">
        <v>448</v>
      </c>
      <c r="J250" s="26" t="s">
        <v>448</v>
      </c>
      <c r="K250" s="1859" t="s">
        <v>2012</v>
      </c>
      <c r="L250" s="1859" t="s">
        <v>2533</v>
      </c>
      <c r="M250" s="1859" t="s">
        <v>4287</v>
      </c>
      <c r="N250" s="1859" t="s">
        <v>4286</v>
      </c>
      <c r="O250" s="1859" t="s">
        <v>1826</v>
      </c>
      <c r="P250" s="1859" t="s">
        <v>111</v>
      </c>
      <c r="Q250" s="1859" t="s">
        <v>1818</v>
      </c>
      <c r="R250" s="54" t="s">
        <v>10913</v>
      </c>
      <c r="S250" s="1859" t="s">
        <v>111</v>
      </c>
      <c r="T250" s="1858" t="s">
        <v>3248</v>
      </c>
      <c r="U250" s="1858" t="s">
        <v>3248</v>
      </c>
      <c r="V250" s="24" t="s">
        <v>11183</v>
      </c>
      <c r="W250" s="499"/>
      <c r="X250" s="484"/>
      <c r="Y250" s="484"/>
      <c r="Z250" s="24" t="s">
        <v>1880</v>
      </c>
      <c r="AA250" s="24" t="s">
        <v>1880</v>
      </c>
      <c r="AB250" s="30">
        <v>3</v>
      </c>
      <c r="AC250" s="30"/>
      <c r="AD250" s="30">
        <v>3</v>
      </c>
      <c r="AE250" s="59"/>
      <c r="AF250" s="59"/>
      <c r="AG250" s="35" t="s">
        <v>1104</v>
      </c>
      <c r="AH250" s="1858" t="s">
        <v>10629</v>
      </c>
      <c r="AI250" s="35" t="s">
        <v>19</v>
      </c>
      <c r="AJ250" s="202" t="s">
        <v>19</v>
      </c>
      <c r="AK250" s="35" t="s">
        <v>1880</v>
      </c>
      <c r="AL250" s="1858" t="s">
        <v>11184</v>
      </c>
    </row>
    <row r="251" spans="1:38" s="11" customFormat="1" ht="26.25" customHeight="1" x14ac:dyDescent="0.15">
      <c r="A251" s="8">
        <f t="shared" si="0"/>
        <v>249</v>
      </c>
      <c r="B251" s="36" t="s">
        <v>11161</v>
      </c>
      <c r="C251" s="26" t="s">
        <v>19</v>
      </c>
      <c r="D251" s="26" t="s">
        <v>19</v>
      </c>
      <c r="E251" s="26" t="s">
        <v>19</v>
      </c>
      <c r="F251" s="29" t="s">
        <v>4278</v>
      </c>
      <c r="G251" s="99" t="s">
        <v>8961</v>
      </c>
      <c r="H251" s="26" t="s">
        <v>448</v>
      </c>
      <c r="I251" s="26" t="s">
        <v>448</v>
      </c>
      <c r="J251" s="26" t="s">
        <v>448</v>
      </c>
      <c r="K251" s="1857" t="s">
        <v>4712</v>
      </c>
      <c r="L251" s="1857" t="s">
        <v>4750</v>
      </c>
      <c r="M251" s="1857" t="s">
        <v>7556</v>
      </c>
      <c r="N251" s="22" t="s">
        <v>7557</v>
      </c>
      <c r="O251" s="22" t="s">
        <v>5431</v>
      </c>
      <c r="P251" s="1859" t="s">
        <v>1880</v>
      </c>
      <c r="Q251" s="1858" t="s">
        <v>1131</v>
      </c>
      <c r="R251" s="54" t="s">
        <v>10913</v>
      </c>
      <c r="S251" s="1859" t="s">
        <v>111</v>
      </c>
      <c r="T251" s="1858" t="s">
        <v>3248</v>
      </c>
      <c r="U251" s="1858" t="s">
        <v>3248</v>
      </c>
      <c r="V251" s="24" t="s">
        <v>11183</v>
      </c>
      <c r="W251" s="499"/>
      <c r="X251" s="484"/>
      <c r="Y251" s="484"/>
      <c r="Z251" s="24" t="s">
        <v>1880</v>
      </c>
      <c r="AA251" s="24" t="s">
        <v>1880</v>
      </c>
      <c r="AB251" s="30">
        <v>3</v>
      </c>
      <c r="AC251" s="30"/>
      <c r="AD251" s="30">
        <v>3</v>
      </c>
      <c r="AE251" s="59"/>
      <c r="AF251" s="59"/>
      <c r="AG251" s="35" t="s">
        <v>1104</v>
      </c>
      <c r="AH251" s="1858" t="s">
        <v>10629</v>
      </c>
      <c r="AI251" s="35" t="s">
        <v>19</v>
      </c>
      <c r="AJ251" s="202" t="s">
        <v>19</v>
      </c>
      <c r="AK251" s="35" t="s">
        <v>1880</v>
      </c>
      <c r="AL251" s="1858" t="s">
        <v>11184</v>
      </c>
    </row>
    <row r="252" spans="1:38" s="11" customFormat="1" ht="26.25" customHeight="1" x14ac:dyDescent="0.15">
      <c r="A252" s="8">
        <f t="shared" si="0"/>
        <v>250</v>
      </c>
      <c r="B252" s="36" t="s">
        <v>11173</v>
      </c>
      <c r="C252" s="26" t="s">
        <v>19</v>
      </c>
      <c r="D252" s="26" t="s">
        <v>19</v>
      </c>
      <c r="E252" s="26" t="s">
        <v>19</v>
      </c>
      <c r="F252" s="29" t="s">
        <v>9088</v>
      </c>
      <c r="G252" s="98" t="s">
        <v>9143</v>
      </c>
      <c r="H252" s="1859" t="s">
        <v>8757</v>
      </c>
      <c r="I252" s="26" t="s">
        <v>9534</v>
      </c>
      <c r="J252" s="26" t="s">
        <v>9535</v>
      </c>
      <c r="K252" s="1" t="s">
        <v>23</v>
      </c>
      <c r="L252" s="142" t="s">
        <v>177</v>
      </c>
      <c r="M252" s="1" t="s">
        <v>5008</v>
      </c>
      <c r="N252" s="1" t="s">
        <v>5009</v>
      </c>
      <c r="O252" s="22" t="s">
        <v>1826</v>
      </c>
      <c r="P252" s="22" t="s">
        <v>1880</v>
      </c>
      <c r="Q252" s="1858" t="s">
        <v>102</v>
      </c>
      <c r="R252" s="54" t="s">
        <v>10407</v>
      </c>
      <c r="S252" s="1859" t="s">
        <v>111</v>
      </c>
      <c r="T252" s="1856" t="s">
        <v>1151</v>
      </c>
      <c r="U252" s="1858" t="s">
        <v>1151</v>
      </c>
      <c r="V252" s="24" t="s">
        <v>11185</v>
      </c>
      <c r="W252" s="271" t="s">
        <v>11122</v>
      </c>
      <c r="X252" s="24" t="s">
        <v>1800</v>
      </c>
      <c r="Y252" s="24">
        <v>1</v>
      </c>
      <c r="Z252" s="24" t="s">
        <v>10172</v>
      </c>
      <c r="AA252" s="24" t="s">
        <v>10173</v>
      </c>
      <c r="AB252" s="30">
        <v>1.5</v>
      </c>
      <c r="AC252" s="30">
        <v>9.1</v>
      </c>
      <c r="AD252" s="30">
        <v>10.6</v>
      </c>
      <c r="AE252" s="59"/>
      <c r="AF252" s="59"/>
      <c r="AG252" s="35" t="s">
        <v>1104</v>
      </c>
      <c r="AH252" s="1858" t="s">
        <v>10629</v>
      </c>
      <c r="AI252" s="35" t="s">
        <v>19</v>
      </c>
      <c r="AJ252" s="202" t="s">
        <v>19</v>
      </c>
      <c r="AK252" s="35" t="s">
        <v>1880</v>
      </c>
      <c r="AL252" s="1856" t="s">
        <v>11191</v>
      </c>
    </row>
    <row r="253" spans="1:38" s="11" customFormat="1" ht="26.25" customHeight="1" x14ac:dyDescent="0.15">
      <c r="A253" s="8">
        <f t="shared" si="0"/>
        <v>251</v>
      </c>
      <c r="B253" s="36" t="s">
        <v>11174</v>
      </c>
      <c r="C253" s="26" t="s">
        <v>19</v>
      </c>
      <c r="D253" s="26" t="s">
        <v>19</v>
      </c>
      <c r="E253" s="26" t="s">
        <v>19</v>
      </c>
      <c r="F253" s="29" t="s">
        <v>9089</v>
      </c>
      <c r="G253" s="98" t="s">
        <v>9144</v>
      </c>
      <c r="H253" s="1859" t="s">
        <v>8757</v>
      </c>
      <c r="I253" s="26" t="s">
        <v>9534</v>
      </c>
      <c r="J253" s="26" t="s">
        <v>9535</v>
      </c>
      <c r="K253" s="1" t="s">
        <v>23</v>
      </c>
      <c r="L253" s="1" t="s">
        <v>177</v>
      </c>
      <c r="M253" s="1" t="s">
        <v>4966</v>
      </c>
      <c r="N253" s="22" t="s">
        <v>3545</v>
      </c>
      <c r="O253" s="22" t="s">
        <v>1826</v>
      </c>
      <c r="P253" s="22" t="s">
        <v>1880</v>
      </c>
      <c r="Q253" s="1858" t="s">
        <v>102</v>
      </c>
      <c r="R253" s="54" t="s">
        <v>10407</v>
      </c>
      <c r="S253" s="1859" t="s">
        <v>111</v>
      </c>
      <c r="T253" s="1858" t="s">
        <v>1151</v>
      </c>
      <c r="U253" s="1858" t="s">
        <v>1151</v>
      </c>
      <c r="V253" s="24" t="s">
        <v>11185</v>
      </c>
      <c r="W253" s="271" t="s">
        <v>11122</v>
      </c>
      <c r="X253" s="24" t="s">
        <v>1800</v>
      </c>
      <c r="Y253" s="24">
        <v>1</v>
      </c>
      <c r="Z253" s="24" t="s">
        <v>10172</v>
      </c>
      <c r="AA253" s="24" t="s">
        <v>10173</v>
      </c>
      <c r="AB253" s="30">
        <v>1.5</v>
      </c>
      <c r="AC253" s="30">
        <v>9.1</v>
      </c>
      <c r="AD253" s="30">
        <v>10.6</v>
      </c>
      <c r="AE253" s="59"/>
      <c r="AF253" s="59"/>
      <c r="AG253" s="35" t="s">
        <v>1104</v>
      </c>
      <c r="AH253" s="1858" t="s">
        <v>10629</v>
      </c>
      <c r="AI253" s="35" t="s">
        <v>19</v>
      </c>
      <c r="AJ253" s="202" t="s">
        <v>19</v>
      </c>
      <c r="AK253" s="35" t="s">
        <v>1880</v>
      </c>
      <c r="AL253" s="1858" t="s">
        <v>11191</v>
      </c>
    </row>
    <row r="254" spans="1:38" s="11" customFormat="1" ht="26.25" customHeight="1" x14ac:dyDescent="0.15">
      <c r="A254" s="8">
        <f t="shared" si="0"/>
        <v>252</v>
      </c>
      <c r="B254" s="36" t="s">
        <v>11175</v>
      </c>
      <c r="C254" s="26" t="s">
        <v>19</v>
      </c>
      <c r="D254" s="26" t="s">
        <v>19</v>
      </c>
      <c r="E254" s="26" t="s">
        <v>19</v>
      </c>
      <c r="F254" s="29" t="s">
        <v>9090</v>
      </c>
      <c r="G254" s="98" t="s">
        <v>9145</v>
      </c>
      <c r="H254" s="1859" t="s">
        <v>8757</v>
      </c>
      <c r="I254" s="26" t="s">
        <v>9534</v>
      </c>
      <c r="J254" s="26" t="s">
        <v>9535</v>
      </c>
      <c r="K254" s="1" t="s">
        <v>23</v>
      </c>
      <c r="L254" s="1" t="s">
        <v>177</v>
      </c>
      <c r="M254" s="1" t="s">
        <v>4969</v>
      </c>
      <c r="N254" s="22" t="s">
        <v>3550</v>
      </c>
      <c r="O254" s="22" t="s">
        <v>1826</v>
      </c>
      <c r="P254" s="22" t="s">
        <v>1880</v>
      </c>
      <c r="Q254" s="1858" t="s">
        <v>102</v>
      </c>
      <c r="R254" s="54" t="s">
        <v>10407</v>
      </c>
      <c r="S254" s="1859" t="s">
        <v>111</v>
      </c>
      <c r="T254" s="1858" t="s">
        <v>1151</v>
      </c>
      <c r="U254" s="1858" t="s">
        <v>1151</v>
      </c>
      <c r="V254" s="24" t="s">
        <v>11185</v>
      </c>
      <c r="W254" s="271" t="s">
        <v>11122</v>
      </c>
      <c r="X254" s="24" t="s">
        <v>1800</v>
      </c>
      <c r="Y254" s="24">
        <v>1</v>
      </c>
      <c r="Z254" s="24" t="s">
        <v>10172</v>
      </c>
      <c r="AA254" s="24" t="s">
        <v>10173</v>
      </c>
      <c r="AB254" s="30">
        <v>1.5</v>
      </c>
      <c r="AC254" s="30">
        <v>9.1</v>
      </c>
      <c r="AD254" s="30">
        <v>10.6</v>
      </c>
      <c r="AE254" s="59"/>
      <c r="AF254" s="59"/>
      <c r="AG254" s="35" t="s">
        <v>1104</v>
      </c>
      <c r="AH254" s="1858" t="s">
        <v>10629</v>
      </c>
      <c r="AI254" s="35" t="s">
        <v>19</v>
      </c>
      <c r="AJ254" s="202" t="s">
        <v>19</v>
      </c>
      <c r="AK254" s="35" t="s">
        <v>1880</v>
      </c>
      <c r="AL254" s="1858" t="s">
        <v>11191</v>
      </c>
    </row>
    <row r="255" spans="1:38" s="11" customFormat="1" ht="26.25" customHeight="1" x14ac:dyDescent="0.15">
      <c r="A255" s="8">
        <f t="shared" si="0"/>
        <v>253</v>
      </c>
      <c r="B255" s="36" t="s">
        <v>11176</v>
      </c>
      <c r="C255" s="26" t="s">
        <v>19</v>
      </c>
      <c r="D255" s="26" t="s">
        <v>19</v>
      </c>
      <c r="E255" s="26" t="s">
        <v>19</v>
      </c>
      <c r="F255" s="29" t="s">
        <v>9210</v>
      </c>
      <c r="G255" s="98" t="s">
        <v>11225</v>
      </c>
      <c r="H255" s="1859" t="s">
        <v>8757</v>
      </c>
      <c r="I255" s="26" t="s">
        <v>9534</v>
      </c>
      <c r="J255" s="26" t="s">
        <v>9535</v>
      </c>
      <c r="K255" s="1858" t="s">
        <v>4195</v>
      </c>
      <c r="L255" s="1858" t="s">
        <v>4750</v>
      </c>
      <c r="M255" s="1858" t="s">
        <v>9211</v>
      </c>
      <c r="N255" s="1859" t="s">
        <v>9212</v>
      </c>
      <c r="O255" s="22" t="s">
        <v>1826</v>
      </c>
      <c r="P255" s="22" t="s">
        <v>1880</v>
      </c>
      <c r="Q255" s="1858" t="s">
        <v>102</v>
      </c>
      <c r="R255" s="54" t="s">
        <v>10407</v>
      </c>
      <c r="S255" s="1859" t="s">
        <v>111</v>
      </c>
      <c r="T255" s="1858" t="s">
        <v>1151</v>
      </c>
      <c r="U255" s="1858" t="s">
        <v>1151</v>
      </c>
      <c r="V255" s="24" t="s">
        <v>11185</v>
      </c>
      <c r="W255" s="271" t="s">
        <v>11122</v>
      </c>
      <c r="X255" s="24" t="s">
        <v>1800</v>
      </c>
      <c r="Y255" s="24">
        <v>1</v>
      </c>
      <c r="Z255" s="24" t="s">
        <v>11100</v>
      </c>
      <c r="AA255" s="24" t="s">
        <v>11186</v>
      </c>
      <c r="AB255" s="30">
        <v>1.5</v>
      </c>
      <c r="AC255" s="30">
        <v>9.1</v>
      </c>
      <c r="AD255" s="30">
        <v>10.6</v>
      </c>
      <c r="AE255" s="59"/>
      <c r="AF255" s="59"/>
      <c r="AG255" s="35" t="s">
        <v>1104</v>
      </c>
      <c r="AH255" s="1858" t="s">
        <v>10629</v>
      </c>
      <c r="AI255" s="35" t="s">
        <v>19</v>
      </c>
      <c r="AJ255" s="202" t="s">
        <v>19</v>
      </c>
      <c r="AK255" s="35" t="s">
        <v>1880</v>
      </c>
      <c r="AL255" s="1858" t="s">
        <v>11191</v>
      </c>
    </row>
    <row r="256" spans="1:38" s="11" customFormat="1" ht="26.25" customHeight="1" x14ac:dyDescent="0.15">
      <c r="A256" s="8">
        <f t="shared" si="0"/>
        <v>254</v>
      </c>
      <c r="B256" s="36" t="s">
        <v>11177</v>
      </c>
      <c r="C256" s="26" t="s">
        <v>19</v>
      </c>
      <c r="D256" s="26" t="s">
        <v>19</v>
      </c>
      <c r="E256" s="26" t="s">
        <v>19</v>
      </c>
      <c r="F256" s="29" t="s">
        <v>8410</v>
      </c>
      <c r="G256" s="98" t="s">
        <v>11226</v>
      </c>
      <c r="H256" s="1859" t="s">
        <v>8757</v>
      </c>
      <c r="I256" s="26" t="s">
        <v>9534</v>
      </c>
      <c r="J256" s="26" t="s">
        <v>9535</v>
      </c>
      <c r="K256" s="1858" t="s">
        <v>4195</v>
      </c>
      <c r="L256" s="1858" t="s">
        <v>4750</v>
      </c>
      <c r="M256" s="1858" t="s">
        <v>10599</v>
      </c>
      <c r="N256" s="22" t="s">
        <v>1138</v>
      </c>
      <c r="O256" s="22" t="s">
        <v>1826</v>
      </c>
      <c r="P256" s="22" t="s">
        <v>1880</v>
      </c>
      <c r="Q256" s="1858" t="s">
        <v>102</v>
      </c>
      <c r="R256" s="54" t="s">
        <v>10407</v>
      </c>
      <c r="S256" s="1862" t="s">
        <v>111</v>
      </c>
      <c r="T256" s="1858" t="s">
        <v>1151</v>
      </c>
      <c r="U256" s="1858" t="s">
        <v>1151</v>
      </c>
      <c r="V256" s="24" t="s">
        <v>11185</v>
      </c>
      <c r="W256" s="271" t="s">
        <v>11122</v>
      </c>
      <c r="X256" s="24" t="s">
        <v>1800</v>
      </c>
      <c r="Y256" s="24">
        <v>1</v>
      </c>
      <c r="Z256" s="24" t="s">
        <v>11187</v>
      </c>
      <c r="AA256" s="24" t="s">
        <v>11188</v>
      </c>
      <c r="AB256" s="30">
        <v>1.5</v>
      </c>
      <c r="AC256" s="30">
        <v>9.1</v>
      </c>
      <c r="AD256" s="30">
        <v>10.6</v>
      </c>
      <c r="AE256" s="59"/>
      <c r="AF256" s="59"/>
      <c r="AG256" s="35" t="s">
        <v>1104</v>
      </c>
      <c r="AH256" s="1858" t="s">
        <v>10629</v>
      </c>
      <c r="AI256" s="35" t="s">
        <v>19</v>
      </c>
      <c r="AJ256" s="202" t="s">
        <v>19</v>
      </c>
      <c r="AK256" s="35" t="s">
        <v>1880</v>
      </c>
      <c r="AL256" s="1858" t="s">
        <v>11191</v>
      </c>
    </row>
    <row r="257" spans="1:38" s="11" customFormat="1" ht="26.25" customHeight="1" x14ac:dyDescent="0.15">
      <c r="A257" s="8">
        <f t="shared" ref="A257:A317" si="1">ROW()-2</f>
        <v>255</v>
      </c>
      <c r="B257" s="36" t="s">
        <v>11178</v>
      </c>
      <c r="C257" s="26" t="s">
        <v>19</v>
      </c>
      <c r="D257" s="26" t="s">
        <v>19</v>
      </c>
      <c r="E257" s="26" t="s">
        <v>19</v>
      </c>
      <c r="F257" s="29" t="s">
        <v>11192</v>
      </c>
      <c r="G257" s="98" t="s">
        <v>11227</v>
      </c>
      <c r="H257" s="1859" t="s">
        <v>8757</v>
      </c>
      <c r="I257" s="26" t="s">
        <v>9534</v>
      </c>
      <c r="J257" s="26" t="s">
        <v>9535</v>
      </c>
      <c r="K257" s="1857" t="s">
        <v>4195</v>
      </c>
      <c r="L257" s="1857" t="s">
        <v>4750</v>
      </c>
      <c r="M257" s="1857" t="s">
        <v>9531</v>
      </c>
      <c r="N257" s="22" t="s">
        <v>4780</v>
      </c>
      <c r="O257" s="22" t="s">
        <v>1826</v>
      </c>
      <c r="P257" s="22" t="s">
        <v>1880</v>
      </c>
      <c r="Q257" s="1858" t="s">
        <v>102</v>
      </c>
      <c r="R257" s="54" t="s">
        <v>10407</v>
      </c>
      <c r="S257" s="1862" t="s">
        <v>111</v>
      </c>
      <c r="T257" s="1858" t="s">
        <v>1151</v>
      </c>
      <c r="U257" s="1858" t="s">
        <v>1151</v>
      </c>
      <c r="V257" s="24" t="s">
        <v>11185</v>
      </c>
      <c r="W257" s="271" t="s">
        <v>11122</v>
      </c>
      <c r="X257" s="24" t="s">
        <v>1800</v>
      </c>
      <c r="Y257" s="24">
        <v>1</v>
      </c>
      <c r="Z257" s="24" t="s">
        <v>11189</v>
      </c>
      <c r="AA257" s="24" t="s">
        <v>11190</v>
      </c>
      <c r="AB257" s="30">
        <v>1.5</v>
      </c>
      <c r="AC257" s="30">
        <v>9.1</v>
      </c>
      <c r="AD257" s="30">
        <v>10.6</v>
      </c>
      <c r="AE257" s="59"/>
      <c r="AF257" s="59"/>
      <c r="AG257" s="35" t="s">
        <v>1104</v>
      </c>
      <c r="AH257" s="1858" t="s">
        <v>10629</v>
      </c>
      <c r="AI257" s="35" t="s">
        <v>19</v>
      </c>
      <c r="AJ257" s="202" t="s">
        <v>19</v>
      </c>
      <c r="AK257" s="35" t="s">
        <v>1880</v>
      </c>
      <c r="AL257" s="1858" t="s">
        <v>11191</v>
      </c>
    </row>
    <row r="258" spans="1:38" s="11" customFormat="1" ht="26.25" customHeight="1" x14ac:dyDescent="0.15">
      <c r="A258" s="8">
        <f t="shared" si="1"/>
        <v>256</v>
      </c>
      <c r="B258" s="36" t="s">
        <v>11193</v>
      </c>
      <c r="C258" s="26" t="s">
        <v>19</v>
      </c>
      <c r="D258" s="26" t="s">
        <v>19</v>
      </c>
      <c r="E258" s="26" t="s">
        <v>19</v>
      </c>
      <c r="F258" s="29" t="s">
        <v>11194</v>
      </c>
      <c r="G258" s="53" t="s">
        <v>11195</v>
      </c>
      <c r="H258" s="26" t="s">
        <v>448</v>
      </c>
      <c r="I258" s="26" t="s">
        <v>448</v>
      </c>
      <c r="J258" s="26" t="s">
        <v>448</v>
      </c>
      <c r="K258" s="1461" t="s">
        <v>23</v>
      </c>
      <c r="L258" s="1461" t="s">
        <v>151</v>
      </c>
      <c r="M258" s="1461" t="s">
        <v>10095</v>
      </c>
      <c r="N258" s="22" t="s">
        <v>4780</v>
      </c>
      <c r="O258" s="1862" t="s">
        <v>5431</v>
      </c>
      <c r="P258" s="1862" t="s">
        <v>111</v>
      </c>
      <c r="Q258" s="1861" t="s">
        <v>1131</v>
      </c>
      <c r="R258" s="54" t="s">
        <v>11213</v>
      </c>
      <c r="S258" s="1862" t="s">
        <v>111</v>
      </c>
      <c r="T258" s="1861" t="s">
        <v>1152</v>
      </c>
      <c r="U258" s="1861" t="s">
        <v>1152</v>
      </c>
      <c r="V258" s="24" t="s">
        <v>11196</v>
      </c>
      <c r="W258" s="90" t="s">
        <v>11183</v>
      </c>
      <c r="X258" s="24" t="s">
        <v>110</v>
      </c>
      <c r="Y258" s="24">
        <v>1</v>
      </c>
      <c r="Z258" s="24" t="s">
        <v>11151</v>
      </c>
      <c r="AA258" s="24" t="s">
        <v>11197</v>
      </c>
      <c r="AB258" s="30"/>
      <c r="AC258" s="30">
        <v>12</v>
      </c>
      <c r="AD258" s="30">
        <v>12</v>
      </c>
      <c r="AE258" s="59"/>
      <c r="AF258" s="59"/>
      <c r="AG258" s="35" t="s">
        <v>1104</v>
      </c>
      <c r="AH258" s="1861" t="s">
        <v>10629</v>
      </c>
      <c r="AI258" s="35" t="s">
        <v>19</v>
      </c>
      <c r="AJ258" s="202" t="s">
        <v>19</v>
      </c>
      <c r="AK258" s="35" t="s">
        <v>1880</v>
      </c>
      <c r="AL258" s="1856"/>
    </row>
    <row r="259" spans="1:38" s="11" customFormat="1" ht="26.25" customHeight="1" x14ac:dyDescent="0.15">
      <c r="A259" s="8">
        <f t="shared" si="1"/>
        <v>257</v>
      </c>
      <c r="B259" s="36" t="s">
        <v>11198</v>
      </c>
      <c r="C259" s="26" t="s">
        <v>19</v>
      </c>
      <c r="D259" s="26" t="s">
        <v>19</v>
      </c>
      <c r="E259" s="26" t="s">
        <v>19</v>
      </c>
      <c r="F259" s="29" t="s">
        <v>7912</v>
      </c>
      <c r="G259" s="53" t="s">
        <v>11204</v>
      </c>
      <c r="H259" s="26" t="s">
        <v>448</v>
      </c>
      <c r="I259" s="26" t="s">
        <v>448</v>
      </c>
      <c r="J259" s="26" t="s">
        <v>448</v>
      </c>
      <c r="K259" s="1861" t="s">
        <v>4712</v>
      </c>
      <c r="L259" s="1861" t="s">
        <v>4692</v>
      </c>
      <c r="M259" s="1861" t="s">
        <v>6331</v>
      </c>
      <c r="N259" s="1862" t="s">
        <v>4780</v>
      </c>
      <c r="O259" s="1862" t="s">
        <v>1826</v>
      </c>
      <c r="P259" s="1862" t="s">
        <v>111</v>
      </c>
      <c r="Q259" s="1862" t="s">
        <v>1818</v>
      </c>
      <c r="R259" s="151" t="s">
        <v>11208</v>
      </c>
      <c r="S259" s="22" t="s">
        <v>1880</v>
      </c>
      <c r="T259" s="1861" t="s">
        <v>5571</v>
      </c>
      <c r="U259" s="1861" t="s">
        <v>5571</v>
      </c>
      <c r="V259" s="24" t="s">
        <v>11196</v>
      </c>
      <c r="W259" s="90" t="s">
        <v>11205</v>
      </c>
      <c r="X259" s="24" t="s">
        <v>1800</v>
      </c>
      <c r="Y259" s="24">
        <v>1</v>
      </c>
      <c r="Z259" s="24" t="s">
        <v>11206</v>
      </c>
      <c r="AA259" s="24" t="s">
        <v>10227</v>
      </c>
      <c r="AB259" s="30"/>
      <c r="AC259" s="30">
        <v>8.75</v>
      </c>
      <c r="AD259" s="30">
        <v>8.75</v>
      </c>
      <c r="AE259" s="59"/>
      <c r="AF259" s="59"/>
      <c r="AG259" s="35" t="s">
        <v>1104</v>
      </c>
      <c r="AH259" s="1861" t="s">
        <v>10629</v>
      </c>
      <c r="AI259" s="35" t="s">
        <v>19</v>
      </c>
      <c r="AJ259" s="202" t="s">
        <v>19</v>
      </c>
      <c r="AK259" s="35" t="s">
        <v>1880</v>
      </c>
      <c r="AL259" s="1861"/>
    </row>
    <row r="260" spans="1:38" s="11" customFormat="1" ht="26.25" customHeight="1" x14ac:dyDescent="0.15">
      <c r="A260" s="8">
        <f t="shared" si="1"/>
        <v>258</v>
      </c>
      <c r="B260" s="36" t="s">
        <v>11199</v>
      </c>
      <c r="C260" s="26" t="s">
        <v>19</v>
      </c>
      <c r="D260" s="26" t="s">
        <v>19</v>
      </c>
      <c r="E260" s="26" t="s">
        <v>19</v>
      </c>
      <c r="F260" s="29" t="s">
        <v>3886</v>
      </c>
      <c r="G260" s="53" t="s">
        <v>11207</v>
      </c>
      <c r="H260" s="26" t="s">
        <v>448</v>
      </c>
      <c r="I260" s="26" t="s">
        <v>448</v>
      </c>
      <c r="J260" s="26" t="s">
        <v>448</v>
      </c>
      <c r="K260" s="1861" t="s">
        <v>4712</v>
      </c>
      <c r="L260" s="1861" t="s">
        <v>4692</v>
      </c>
      <c r="M260" s="1861" t="s">
        <v>6050</v>
      </c>
      <c r="N260" s="1862" t="s">
        <v>7038</v>
      </c>
      <c r="O260" s="1862" t="s">
        <v>1826</v>
      </c>
      <c r="P260" s="1862" t="s">
        <v>111</v>
      </c>
      <c r="Q260" s="1862" t="s">
        <v>1818</v>
      </c>
      <c r="R260" s="151" t="s">
        <v>11208</v>
      </c>
      <c r="S260" s="22" t="s">
        <v>1880</v>
      </c>
      <c r="T260" s="1861" t="s">
        <v>5571</v>
      </c>
      <c r="U260" s="1861" t="s">
        <v>5571</v>
      </c>
      <c r="V260" s="24" t="s">
        <v>11196</v>
      </c>
      <c r="W260" s="90" t="s">
        <v>11205</v>
      </c>
      <c r="X260" s="24" t="s">
        <v>1800</v>
      </c>
      <c r="Y260" s="24">
        <v>1</v>
      </c>
      <c r="Z260" s="24" t="s">
        <v>11206</v>
      </c>
      <c r="AA260" s="24" t="s">
        <v>10227</v>
      </c>
      <c r="AB260" s="30"/>
      <c r="AC260" s="30">
        <v>8.75</v>
      </c>
      <c r="AD260" s="30">
        <v>8.75</v>
      </c>
      <c r="AE260" s="59"/>
      <c r="AF260" s="59"/>
      <c r="AG260" s="35" t="s">
        <v>1104</v>
      </c>
      <c r="AH260" s="1861" t="s">
        <v>10629</v>
      </c>
      <c r="AI260" s="35" t="s">
        <v>19</v>
      </c>
      <c r="AJ260" s="202" t="s">
        <v>19</v>
      </c>
      <c r="AK260" s="35" t="s">
        <v>1880</v>
      </c>
      <c r="AL260" s="1861"/>
    </row>
    <row r="261" spans="1:38" s="11" customFormat="1" ht="26.25" customHeight="1" x14ac:dyDescent="0.15">
      <c r="A261" s="8">
        <f t="shared" si="1"/>
        <v>259</v>
      </c>
      <c r="B261" s="36" t="s">
        <v>11200</v>
      </c>
      <c r="C261" s="26" t="s">
        <v>19</v>
      </c>
      <c r="D261" s="26" t="s">
        <v>19</v>
      </c>
      <c r="E261" s="26" t="s">
        <v>19</v>
      </c>
      <c r="F261" s="29" t="s">
        <v>7960</v>
      </c>
      <c r="G261" s="53" t="s">
        <v>11209</v>
      </c>
      <c r="H261" s="26" t="s">
        <v>448</v>
      </c>
      <c r="I261" s="26" t="s">
        <v>448</v>
      </c>
      <c r="J261" s="26" t="s">
        <v>448</v>
      </c>
      <c r="K261" s="1861" t="s">
        <v>1487</v>
      </c>
      <c r="L261" s="1861" t="s">
        <v>1416</v>
      </c>
      <c r="M261" s="1861" t="s">
        <v>7959</v>
      </c>
      <c r="N261" s="1862" t="s">
        <v>4780</v>
      </c>
      <c r="O261" s="1862" t="s">
        <v>1826</v>
      </c>
      <c r="P261" s="1862" t="s">
        <v>111</v>
      </c>
      <c r="Q261" s="1862" t="s">
        <v>1818</v>
      </c>
      <c r="R261" s="151" t="s">
        <v>11208</v>
      </c>
      <c r="S261" s="22" t="s">
        <v>1880</v>
      </c>
      <c r="T261" s="1861" t="s">
        <v>5571</v>
      </c>
      <c r="U261" s="1861" t="s">
        <v>5571</v>
      </c>
      <c r="V261" s="24" t="s">
        <v>11196</v>
      </c>
      <c r="W261" s="90" t="s">
        <v>11205</v>
      </c>
      <c r="X261" s="24" t="s">
        <v>1800</v>
      </c>
      <c r="Y261" s="24">
        <v>1</v>
      </c>
      <c r="Z261" s="24" t="s">
        <v>11206</v>
      </c>
      <c r="AA261" s="24" t="s">
        <v>10227</v>
      </c>
      <c r="AB261" s="30"/>
      <c r="AC261" s="30">
        <v>8.75</v>
      </c>
      <c r="AD261" s="30">
        <v>8.75</v>
      </c>
      <c r="AE261" s="59"/>
      <c r="AF261" s="59"/>
      <c r="AG261" s="35" t="s">
        <v>1104</v>
      </c>
      <c r="AH261" s="1861" t="s">
        <v>10629</v>
      </c>
      <c r="AI261" s="35" t="s">
        <v>19</v>
      </c>
      <c r="AJ261" s="202" t="s">
        <v>19</v>
      </c>
      <c r="AK261" s="35" t="s">
        <v>1880</v>
      </c>
      <c r="AL261" s="1856"/>
    </row>
    <row r="262" spans="1:38" s="11" customFormat="1" ht="26.25" customHeight="1" x14ac:dyDescent="0.15">
      <c r="A262" s="8">
        <f t="shared" si="1"/>
        <v>260</v>
      </c>
      <c r="B262" s="36" t="s">
        <v>11201</v>
      </c>
      <c r="C262" s="26" t="s">
        <v>19</v>
      </c>
      <c r="D262" s="26" t="s">
        <v>19</v>
      </c>
      <c r="E262" s="26" t="s">
        <v>19</v>
      </c>
      <c r="F262" s="29" t="s">
        <v>8264</v>
      </c>
      <c r="G262" s="53" t="s">
        <v>11210</v>
      </c>
      <c r="H262" s="26" t="s">
        <v>448</v>
      </c>
      <c r="I262" s="26" t="s">
        <v>448</v>
      </c>
      <c r="J262" s="26" t="s">
        <v>448</v>
      </c>
      <c r="K262" s="1861" t="s">
        <v>4712</v>
      </c>
      <c r="L262" s="1861" t="s">
        <v>4692</v>
      </c>
      <c r="M262" s="1861" t="s">
        <v>8326</v>
      </c>
      <c r="N262" s="22" t="s">
        <v>8266</v>
      </c>
      <c r="O262" s="1862" t="s">
        <v>1826</v>
      </c>
      <c r="P262" s="1862" t="s">
        <v>111</v>
      </c>
      <c r="Q262" s="1861" t="s">
        <v>1131</v>
      </c>
      <c r="R262" s="151" t="s">
        <v>10766</v>
      </c>
      <c r="S262" s="22" t="s">
        <v>1880</v>
      </c>
      <c r="T262" s="1861" t="s">
        <v>3248</v>
      </c>
      <c r="U262" s="1861" t="s">
        <v>3248</v>
      </c>
      <c r="V262" s="24" t="s">
        <v>11196</v>
      </c>
      <c r="W262" s="90" t="s">
        <v>11205</v>
      </c>
      <c r="X262" s="24" t="s">
        <v>1800</v>
      </c>
      <c r="Y262" s="24">
        <v>1</v>
      </c>
      <c r="Z262" s="24" t="s">
        <v>11211</v>
      </c>
      <c r="AA262" s="24" t="s">
        <v>10227</v>
      </c>
      <c r="AB262" s="30"/>
      <c r="AC262" s="30">
        <v>7.75</v>
      </c>
      <c r="AD262" s="30">
        <v>7.75</v>
      </c>
      <c r="AE262" s="59"/>
      <c r="AF262" s="59"/>
      <c r="AG262" s="35" t="s">
        <v>1104</v>
      </c>
      <c r="AH262" s="1861" t="s">
        <v>10629</v>
      </c>
      <c r="AI262" s="35" t="s">
        <v>19</v>
      </c>
      <c r="AJ262" s="202" t="s">
        <v>19</v>
      </c>
      <c r="AK262" s="35" t="s">
        <v>1880</v>
      </c>
      <c r="AL262" s="1861"/>
    </row>
    <row r="263" spans="1:38" s="11" customFormat="1" ht="26.25" customHeight="1" x14ac:dyDescent="0.15">
      <c r="A263" s="8">
        <f t="shared" si="1"/>
        <v>261</v>
      </c>
      <c r="B263" s="36" t="s">
        <v>11202</v>
      </c>
      <c r="C263" s="26" t="s">
        <v>19</v>
      </c>
      <c r="D263" s="26" t="s">
        <v>19</v>
      </c>
      <c r="E263" s="26" t="s">
        <v>19</v>
      </c>
      <c r="F263" s="29" t="s">
        <v>7131</v>
      </c>
      <c r="G263" s="53" t="s">
        <v>9347</v>
      </c>
      <c r="H263" s="26" t="s">
        <v>448</v>
      </c>
      <c r="I263" s="26" t="s">
        <v>448</v>
      </c>
      <c r="J263" s="26" t="s">
        <v>448</v>
      </c>
      <c r="K263" s="1860" t="s">
        <v>4712</v>
      </c>
      <c r="L263" s="1860" t="s">
        <v>4692</v>
      </c>
      <c r="M263" s="1860" t="s">
        <v>7135</v>
      </c>
      <c r="N263" s="22" t="s">
        <v>9348</v>
      </c>
      <c r="O263" s="1861" t="s">
        <v>5431</v>
      </c>
      <c r="P263" s="1862" t="s">
        <v>7142</v>
      </c>
      <c r="Q263" s="1861" t="s">
        <v>1131</v>
      </c>
      <c r="R263" s="151" t="s">
        <v>11208</v>
      </c>
      <c r="S263" s="1862" t="s">
        <v>111</v>
      </c>
      <c r="T263" s="1861" t="s">
        <v>5571</v>
      </c>
      <c r="U263" s="1861" t="s">
        <v>5571</v>
      </c>
      <c r="V263" s="24" t="s">
        <v>11196</v>
      </c>
      <c r="W263" s="90" t="s">
        <v>11205</v>
      </c>
      <c r="X263" s="24" t="s">
        <v>1800</v>
      </c>
      <c r="Y263" s="24">
        <v>1</v>
      </c>
      <c r="Z263" s="24" t="s">
        <v>11206</v>
      </c>
      <c r="AA263" s="24" t="s">
        <v>10227</v>
      </c>
      <c r="AB263" s="30"/>
      <c r="AC263" s="30">
        <v>8.75</v>
      </c>
      <c r="AD263" s="30">
        <v>8.75</v>
      </c>
      <c r="AE263" s="59"/>
      <c r="AF263" s="59"/>
      <c r="AG263" s="35" t="s">
        <v>1104</v>
      </c>
      <c r="AH263" s="1861" t="s">
        <v>10629</v>
      </c>
      <c r="AI263" s="35" t="s">
        <v>19</v>
      </c>
      <c r="AJ263" s="202" t="s">
        <v>19</v>
      </c>
      <c r="AK263" s="35" t="s">
        <v>1880</v>
      </c>
      <c r="AL263" s="1861"/>
    </row>
    <row r="264" spans="1:38" s="11" customFormat="1" ht="26.25" customHeight="1" x14ac:dyDescent="0.15">
      <c r="A264" s="8">
        <f t="shared" si="1"/>
        <v>262</v>
      </c>
      <c r="B264" s="36" t="s">
        <v>11203</v>
      </c>
      <c r="C264" s="26" t="s">
        <v>19</v>
      </c>
      <c r="D264" s="26" t="s">
        <v>19</v>
      </c>
      <c r="E264" s="26" t="s">
        <v>19</v>
      </c>
      <c r="F264" s="29" t="s">
        <v>9657</v>
      </c>
      <c r="G264" s="53" t="s">
        <v>11212</v>
      </c>
      <c r="H264" s="26" t="s">
        <v>448</v>
      </c>
      <c r="I264" s="26" t="s">
        <v>448</v>
      </c>
      <c r="J264" s="26" t="s">
        <v>448</v>
      </c>
      <c r="K264" s="1860" t="s">
        <v>4712</v>
      </c>
      <c r="L264" s="1860" t="s">
        <v>4692</v>
      </c>
      <c r="M264" s="1860" t="s">
        <v>8569</v>
      </c>
      <c r="N264" s="22" t="s">
        <v>9658</v>
      </c>
      <c r="O264" s="1861" t="s">
        <v>5431</v>
      </c>
      <c r="P264" s="1862" t="s">
        <v>111</v>
      </c>
      <c r="Q264" s="1861" t="s">
        <v>1131</v>
      </c>
      <c r="R264" s="54" t="s">
        <v>1819</v>
      </c>
      <c r="S264" s="1862" t="s">
        <v>111</v>
      </c>
      <c r="T264" s="1861" t="s">
        <v>5571</v>
      </c>
      <c r="U264" s="1861" t="s">
        <v>5571</v>
      </c>
      <c r="V264" s="24" t="s">
        <v>11196</v>
      </c>
      <c r="W264" s="90" t="s">
        <v>11205</v>
      </c>
      <c r="X264" s="24" t="s">
        <v>1800</v>
      </c>
      <c r="Y264" s="24">
        <v>1</v>
      </c>
      <c r="Z264" s="24" t="s">
        <v>11151</v>
      </c>
      <c r="AA264" s="24" t="s">
        <v>10227</v>
      </c>
      <c r="AB264" s="30"/>
      <c r="AC264" s="30">
        <v>7</v>
      </c>
      <c r="AD264" s="30">
        <v>7</v>
      </c>
      <c r="AE264" s="59"/>
      <c r="AF264" s="59"/>
      <c r="AG264" s="35" t="s">
        <v>1104</v>
      </c>
      <c r="AH264" s="1861" t="s">
        <v>10629</v>
      </c>
      <c r="AI264" s="35" t="s">
        <v>19</v>
      </c>
      <c r="AJ264" s="202" t="s">
        <v>19</v>
      </c>
      <c r="AK264" s="35" t="s">
        <v>1880</v>
      </c>
      <c r="AL264" s="1856"/>
    </row>
    <row r="265" spans="1:38" s="11" customFormat="1" ht="26.25" customHeight="1" x14ac:dyDescent="0.15">
      <c r="A265" s="8">
        <f t="shared" si="1"/>
        <v>263</v>
      </c>
      <c r="B265" s="36" t="s">
        <v>11214</v>
      </c>
      <c r="C265" s="26" t="s">
        <v>19</v>
      </c>
      <c r="D265" s="26" t="s">
        <v>19</v>
      </c>
      <c r="E265" s="26" t="s">
        <v>19</v>
      </c>
      <c r="F265" s="29" t="s">
        <v>9314</v>
      </c>
      <c r="G265" s="29" t="s">
        <v>10422</v>
      </c>
      <c r="H265" s="26" t="s">
        <v>10424</v>
      </c>
      <c r="I265" s="1478" t="s">
        <v>448</v>
      </c>
      <c r="J265" s="1478" t="s">
        <v>10423</v>
      </c>
      <c r="K265" s="1864" t="s">
        <v>1881</v>
      </c>
      <c r="L265" s="1864" t="s">
        <v>1146</v>
      </c>
      <c r="M265" s="21" t="s">
        <v>3554</v>
      </c>
      <c r="N265" s="1864" t="s">
        <v>3555</v>
      </c>
      <c r="O265" s="1864" t="s">
        <v>2142</v>
      </c>
      <c r="P265" s="1864" t="s">
        <v>1880</v>
      </c>
      <c r="Q265" s="1864" t="s">
        <v>2422</v>
      </c>
      <c r="R265" s="54" t="s">
        <v>11217</v>
      </c>
      <c r="S265" s="1864" t="s">
        <v>111</v>
      </c>
      <c r="T265" s="1863" t="s">
        <v>1151</v>
      </c>
      <c r="U265" s="1863" t="s">
        <v>1151</v>
      </c>
      <c r="V265" s="24" t="s">
        <v>11215</v>
      </c>
      <c r="W265" s="90" t="s">
        <v>11216</v>
      </c>
      <c r="X265" s="24" t="s">
        <v>1800</v>
      </c>
      <c r="Y265" s="24">
        <v>1</v>
      </c>
      <c r="Z265" s="24" t="s">
        <v>11091</v>
      </c>
      <c r="AA265" s="24" t="s">
        <v>11218</v>
      </c>
      <c r="AB265" s="30"/>
      <c r="AC265" s="30">
        <v>5.0819999999999999</v>
      </c>
      <c r="AD265" s="30">
        <v>5.0819999999999999</v>
      </c>
      <c r="AE265" s="59"/>
      <c r="AF265" s="59"/>
      <c r="AG265" s="35" t="s">
        <v>1104</v>
      </c>
      <c r="AH265" s="1863" t="s">
        <v>10629</v>
      </c>
      <c r="AI265" s="35" t="s">
        <v>19</v>
      </c>
      <c r="AJ265" s="202" t="s">
        <v>19</v>
      </c>
      <c r="AK265" s="35" t="s">
        <v>1880</v>
      </c>
      <c r="AL265" s="1863"/>
    </row>
    <row r="266" spans="1:38" s="11" customFormat="1" ht="26.25" customHeight="1" x14ac:dyDescent="0.15">
      <c r="A266" s="8">
        <f t="shared" si="1"/>
        <v>264</v>
      </c>
      <c r="B266" s="36" t="s">
        <v>11219</v>
      </c>
      <c r="C266" s="71" t="s">
        <v>11220</v>
      </c>
      <c r="D266" s="26" t="s">
        <v>19</v>
      </c>
      <c r="E266" s="26" t="s">
        <v>19</v>
      </c>
      <c r="F266" s="29" t="s">
        <v>11221</v>
      </c>
      <c r="G266" s="53" t="s">
        <v>11222</v>
      </c>
      <c r="H266" s="26" t="s">
        <v>448</v>
      </c>
      <c r="I266" s="26" t="s">
        <v>448</v>
      </c>
      <c r="J266" s="26" t="s">
        <v>448</v>
      </c>
      <c r="K266" s="1863" t="s">
        <v>4712</v>
      </c>
      <c r="L266" s="1863" t="s">
        <v>5419</v>
      </c>
      <c r="M266" s="1863" t="s">
        <v>11223</v>
      </c>
      <c r="N266" s="1864" t="s">
        <v>4780</v>
      </c>
      <c r="O266" s="1863" t="s">
        <v>5431</v>
      </c>
      <c r="P266" s="1864" t="s">
        <v>1880</v>
      </c>
      <c r="Q266" s="1863" t="s">
        <v>1131</v>
      </c>
      <c r="R266" s="54" t="s">
        <v>7343</v>
      </c>
      <c r="S266" s="1864" t="s">
        <v>111</v>
      </c>
      <c r="T266" s="1863" t="s">
        <v>5571</v>
      </c>
      <c r="U266" s="1863" t="s">
        <v>5571</v>
      </c>
      <c r="V266" s="24" t="s">
        <v>11215</v>
      </c>
      <c r="W266" s="90" t="s">
        <v>11224</v>
      </c>
      <c r="X266" s="24" t="s">
        <v>110</v>
      </c>
      <c r="Y266" s="24">
        <v>1</v>
      </c>
      <c r="Z266" s="24" t="s">
        <v>2512</v>
      </c>
      <c r="AA266" s="24" t="s">
        <v>1880</v>
      </c>
      <c r="AB266" s="30">
        <v>23.79</v>
      </c>
      <c r="AC266" s="30"/>
      <c r="AD266" s="30">
        <v>23.79</v>
      </c>
      <c r="AE266" s="59"/>
      <c r="AF266" s="59"/>
      <c r="AG266" s="35" t="s">
        <v>1104</v>
      </c>
      <c r="AH266" s="35" t="s">
        <v>10637</v>
      </c>
      <c r="AI266" s="35" t="s">
        <v>19</v>
      </c>
      <c r="AJ266" s="202" t="s">
        <v>19</v>
      </c>
      <c r="AK266" s="35" t="s">
        <v>1880</v>
      </c>
      <c r="AL266" s="1863"/>
    </row>
    <row r="267" spans="1:38" s="11" customFormat="1" ht="26.25" customHeight="1" x14ac:dyDescent="0.15">
      <c r="A267" s="8">
        <f t="shared" si="1"/>
        <v>265</v>
      </c>
      <c r="B267" s="36" t="s">
        <v>11228</v>
      </c>
      <c r="C267" s="71" t="s">
        <v>11229</v>
      </c>
      <c r="D267" s="26" t="s">
        <v>19</v>
      </c>
      <c r="E267" s="26" t="s">
        <v>19</v>
      </c>
      <c r="F267" s="29" t="s">
        <v>11026</v>
      </c>
      <c r="G267" s="53" t="s">
        <v>11230</v>
      </c>
      <c r="H267" s="26" t="s">
        <v>448</v>
      </c>
      <c r="I267" s="26" t="s">
        <v>448</v>
      </c>
      <c r="J267" s="26" t="s">
        <v>448</v>
      </c>
      <c r="K267" s="1865" t="s">
        <v>4195</v>
      </c>
      <c r="L267" s="1865" t="s">
        <v>5419</v>
      </c>
      <c r="M267" s="1865" t="s">
        <v>11231</v>
      </c>
      <c r="N267" s="1866" t="s">
        <v>4780</v>
      </c>
      <c r="O267" s="1865" t="s">
        <v>5431</v>
      </c>
      <c r="P267" s="1866" t="s">
        <v>1880</v>
      </c>
      <c r="Q267" s="1865" t="s">
        <v>1131</v>
      </c>
      <c r="R267" s="54" t="s">
        <v>2224</v>
      </c>
      <c r="S267" s="1866" t="s">
        <v>111</v>
      </c>
      <c r="T267" s="1865" t="s">
        <v>1152</v>
      </c>
      <c r="U267" s="1865" t="s">
        <v>1152</v>
      </c>
      <c r="V267" s="24" t="s">
        <v>11215</v>
      </c>
      <c r="W267" s="90" t="s">
        <v>11196</v>
      </c>
      <c r="X267" s="24" t="s">
        <v>110</v>
      </c>
      <c r="Y267" s="24">
        <v>1</v>
      </c>
      <c r="Z267" s="24" t="s">
        <v>2512</v>
      </c>
      <c r="AA267" s="24" t="s">
        <v>1880</v>
      </c>
      <c r="AB267" s="30">
        <v>15.68</v>
      </c>
      <c r="AC267" s="30"/>
      <c r="AD267" s="30">
        <v>15.68</v>
      </c>
      <c r="AE267" s="59"/>
      <c r="AF267" s="59"/>
      <c r="AG267" s="35" t="s">
        <v>1104</v>
      </c>
      <c r="AH267" s="35" t="s">
        <v>10637</v>
      </c>
      <c r="AI267" s="35" t="s">
        <v>19</v>
      </c>
      <c r="AJ267" s="202" t="s">
        <v>19</v>
      </c>
      <c r="AK267" s="35" t="s">
        <v>1880</v>
      </c>
      <c r="AL267" s="1865"/>
    </row>
    <row r="268" spans="1:38" s="11" customFormat="1" ht="26.25" customHeight="1" x14ac:dyDescent="0.15">
      <c r="A268" s="8">
        <f t="shared" si="1"/>
        <v>266</v>
      </c>
      <c r="B268" s="36" t="s">
        <v>11232</v>
      </c>
      <c r="C268" s="71" t="s">
        <v>11233</v>
      </c>
      <c r="D268" s="26" t="s">
        <v>19</v>
      </c>
      <c r="E268" s="26" t="s">
        <v>19</v>
      </c>
      <c r="F268" s="29" t="s">
        <v>11234</v>
      </c>
      <c r="G268" s="53" t="s">
        <v>11235</v>
      </c>
      <c r="H268" s="26" t="s">
        <v>448</v>
      </c>
      <c r="I268" s="26" t="s">
        <v>448</v>
      </c>
      <c r="J268" s="26" t="s">
        <v>448</v>
      </c>
      <c r="K268" s="1867" t="s">
        <v>3649</v>
      </c>
      <c r="L268" s="1867" t="s">
        <v>11236</v>
      </c>
      <c r="M268" s="1867" t="s">
        <v>11237</v>
      </c>
      <c r="N268" s="1868" t="s">
        <v>4780</v>
      </c>
      <c r="O268" s="1867" t="s">
        <v>10981</v>
      </c>
      <c r="P268" s="1868" t="s">
        <v>1880</v>
      </c>
      <c r="Q268" s="1867" t="s">
        <v>3101</v>
      </c>
      <c r="R268" s="54" t="s">
        <v>11238</v>
      </c>
      <c r="S268" s="1868" t="s">
        <v>111</v>
      </c>
      <c r="T268" s="1867" t="s">
        <v>2072</v>
      </c>
      <c r="U268" s="1867" t="s">
        <v>2072</v>
      </c>
      <c r="V268" s="24" t="s">
        <v>11215</v>
      </c>
      <c r="W268" s="90" t="s">
        <v>11239</v>
      </c>
      <c r="X268" s="24" t="s">
        <v>110</v>
      </c>
      <c r="Y268" s="24">
        <v>2</v>
      </c>
      <c r="Z268" s="24" t="s">
        <v>1880</v>
      </c>
      <c r="AA268" s="24" t="s">
        <v>1880</v>
      </c>
      <c r="AB268" s="30">
        <v>95.95</v>
      </c>
      <c r="AC268" s="30"/>
      <c r="AD268" s="30">
        <v>95.95</v>
      </c>
      <c r="AE268" s="59"/>
      <c r="AF268" s="59"/>
      <c r="AG268" s="35" t="s">
        <v>1104</v>
      </c>
      <c r="AH268" s="35" t="s">
        <v>11240</v>
      </c>
      <c r="AI268" s="35" t="s">
        <v>19</v>
      </c>
      <c r="AJ268" s="202" t="s">
        <v>19</v>
      </c>
      <c r="AK268" s="35" t="s">
        <v>1880</v>
      </c>
      <c r="AL268" s="1867"/>
    </row>
    <row r="269" spans="1:38" s="11" customFormat="1" ht="26.25" customHeight="1" x14ac:dyDescent="0.15">
      <c r="A269" s="8">
        <f t="shared" si="1"/>
        <v>267</v>
      </c>
      <c r="B269" s="36" t="s">
        <v>11241</v>
      </c>
      <c r="C269" s="26" t="s">
        <v>19</v>
      </c>
      <c r="D269" s="26" t="s">
        <v>19</v>
      </c>
      <c r="E269" s="26" t="s">
        <v>19</v>
      </c>
      <c r="F269" s="29" t="s">
        <v>10252</v>
      </c>
      <c r="G269" s="53" t="s">
        <v>11262</v>
      </c>
      <c r="H269" s="26" t="s">
        <v>448</v>
      </c>
      <c r="I269" s="26" t="s">
        <v>448</v>
      </c>
      <c r="J269" s="26" t="s">
        <v>11261</v>
      </c>
      <c r="K269" s="1870" t="s">
        <v>4712</v>
      </c>
      <c r="L269" s="1870" t="s">
        <v>1124</v>
      </c>
      <c r="M269" s="1870" t="s">
        <v>9026</v>
      </c>
      <c r="N269" s="1870" t="s">
        <v>4780</v>
      </c>
      <c r="O269" s="1870" t="s">
        <v>5431</v>
      </c>
      <c r="P269" s="22" t="s">
        <v>1880</v>
      </c>
      <c r="Q269" s="1870" t="s">
        <v>1131</v>
      </c>
      <c r="R269" s="54" t="s">
        <v>1819</v>
      </c>
      <c r="S269" s="1871" t="s">
        <v>111</v>
      </c>
      <c r="T269" s="1870" t="s">
        <v>3248</v>
      </c>
      <c r="U269" s="1870" t="s">
        <v>3248</v>
      </c>
      <c r="V269" s="24" t="s">
        <v>11215</v>
      </c>
      <c r="W269" s="90" t="s">
        <v>11121</v>
      </c>
      <c r="X269" s="24" t="s">
        <v>110</v>
      </c>
      <c r="Y269" s="24">
        <v>1</v>
      </c>
      <c r="Z269" s="24" t="s">
        <v>11121</v>
      </c>
      <c r="AA269" s="24" t="s">
        <v>11260</v>
      </c>
      <c r="AB269" s="30"/>
      <c r="AC269" s="30">
        <v>8.5</v>
      </c>
      <c r="AD269" s="30">
        <v>8.5</v>
      </c>
      <c r="AE269" s="59"/>
      <c r="AF269" s="59"/>
      <c r="AG269" s="35" t="s">
        <v>1104</v>
      </c>
      <c r="AH269" s="1870" t="s">
        <v>10629</v>
      </c>
      <c r="AI269" s="35" t="s">
        <v>19</v>
      </c>
      <c r="AJ269" s="202" t="s">
        <v>19</v>
      </c>
      <c r="AK269" s="35" t="s">
        <v>1880</v>
      </c>
      <c r="AL269" s="1870"/>
    </row>
    <row r="270" spans="1:38" s="11" customFormat="1" ht="26.25" customHeight="1" x14ac:dyDescent="0.15">
      <c r="A270" s="8">
        <f t="shared" si="1"/>
        <v>268</v>
      </c>
      <c r="B270" s="36" t="s">
        <v>11242</v>
      </c>
      <c r="C270" s="26" t="s">
        <v>19</v>
      </c>
      <c r="D270" s="26" t="s">
        <v>19</v>
      </c>
      <c r="E270" s="26" t="s">
        <v>19</v>
      </c>
      <c r="F270" s="29" t="s">
        <v>10258</v>
      </c>
      <c r="G270" s="53" t="s">
        <v>11262</v>
      </c>
      <c r="H270" s="1478" t="s">
        <v>448</v>
      </c>
      <c r="I270" s="1478" t="s">
        <v>448</v>
      </c>
      <c r="J270" s="26" t="s">
        <v>11261</v>
      </c>
      <c r="K270" s="1870" t="s">
        <v>4712</v>
      </c>
      <c r="L270" s="1870" t="s">
        <v>1124</v>
      </c>
      <c r="M270" s="1870" t="s">
        <v>10256</v>
      </c>
      <c r="N270" s="1870" t="s">
        <v>4780</v>
      </c>
      <c r="O270" s="1870" t="s">
        <v>5431</v>
      </c>
      <c r="P270" s="22" t="s">
        <v>1880</v>
      </c>
      <c r="Q270" s="1870" t="s">
        <v>1131</v>
      </c>
      <c r="R270" s="54" t="s">
        <v>1819</v>
      </c>
      <c r="S270" s="1871" t="s">
        <v>111</v>
      </c>
      <c r="T270" s="1870" t="s">
        <v>3248</v>
      </c>
      <c r="U270" s="1870" t="s">
        <v>3248</v>
      </c>
      <c r="V270" s="24" t="s">
        <v>11215</v>
      </c>
      <c r="W270" s="90" t="s">
        <v>11121</v>
      </c>
      <c r="X270" s="24" t="s">
        <v>110</v>
      </c>
      <c r="Y270" s="24">
        <v>1</v>
      </c>
      <c r="Z270" s="24" t="s">
        <v>11121</v>
      </c>
      <c r="AA270" s="24" t="s">
        <v>11260</v>
      </c>
      <c r="AB270" s="30"/>
      <c r="AC270" s="30">
        <v>8.5</v>
      </c>
      <c r="AD270" s="30">
        <v>8.5</v>
      </c>
      <c r="AE270" s="59"/>
      <c r="AF270" s="59"/>
      <c r="AG270" s="35" t="s">
        <v>1104</v>
      </c>
      <c r="AH270" s="1870" t="s">
        <v>10629</v>
      </c>
      <c r="AI270" s="35" t="s">
        <v>19</v>
      </c>
      <c r="AJ270" s="202" t="s">
        <v>19</v>
      </c>
      <c r="AK270" s="35" t="s">
        <v>1880</v>
      </c>
      <c r="AL270" s="1870"/>
    </row>
    <row r="271" spans="1:38" s="11" customFormat="1" ht="26.25" customHeight="1" x14ac:dyDescent="0.15">
      <c r="A271" s="8">
        <f t="shared" si="1"/>
        <v>269</v>
      </c>
      <c r="B271" s="36" t="s">
        <v>11243</v>
      </c>
      <c r="C271" s="26" t="s">
        <v>19</v>
      </c>
      <c r="D271" s="26" t="s">
        <v>19</v>
      </c>
      <c r="E271" s="26" t="s">
        <v>19</v>
      </c>
      <c r="F271" s="29" t="s">
        <v>10355</v>
      </c>
      <c r="G271" s="53" t="s">
        <v>11262</v>
      </c>
      <c r="H271" s="1478" t="s">
        <v>448</v>
      </c>
      <c r="I271" s="1478" t="s">
        <v>448</v>
      </c>
      <c r="J271" s="26" t="s">
        <v>11261</v>
      </c>
      <c r="K271" s="1870" t="s">
        <v>4712</v>
      </c>
      <c r="L271" s="1870" t="s">
        <v>1124</v>
      </c>
      <c r="M271" s="1870" t="s">
        <v>10282</v>
      </c>
      <c r="N271" s="1870" t="s">
        <v>4780</v>
      </c>
      <c r="O271" s="1870" t="s">
        <v>5431</v>
      </c>
      <c r="P271" s="22" t="s">
        <v>1880</v>
      </c>
      <c r="Q271" s="1870" t="s">
        <v>1131</v>
      </c>
      <c r="R271" s="54" t="s">
        <v>1819</v>
      </c>
      <c r="S271" s="1871" t="s">
        <v>111</v>
      </c>
      <c r="T271" s="1870" t="s">
        <v>3248</v>
      </c>
      <c r="U271" s="1870" t="s">
        <v>3248</v>
      </c>
      <c r="V271" s="24" t="s">
        <v>11215</v>
      </c>
      <c r="W271" s="90" t="s">
        <v>11121</v>
      </c>
      <c r="X271" s="24" t="s">
        <v>110</v>
      </c>
      <c r="Y271" s="24">
        <v>1</v>
      </c>
      <c r="Z271" s="24" t="s">
        <v>11121</v>
      </c>
      <c r="AA271" s="24" t="s">
        <v>11260</v>
      </c>
      <c r="AB271" s="30"/>
      <c r="AC271" s="30">
        <v>8.5</v>
      </c>
      <c r="AD271" s="30">
        <v>8.5</v>
      </c>
      <c r="AE271" s="59"/>
      <c r="AF271" s="59"/>
      <c r="AG271" s="35" t="s">
        <v>1104</v>
      </c>
      <c r="AH271" s="1870" t="s">
        <v>10629</v>
      </c>
      <c r="AI271" s="35" t="s">
        <v>19</v>
      </c>
      <c r="AJ271" s="202" t="s">
        <v>19</v>
      </c>
      <c r="AK271" s="35" t="s">
        <v>1880</v>
      </c>
      <c r="AL271" s="1870"/>
    </row>
    <row r="272" spans="1:38" s="11" customFormat="1" ht="26.25" customHeight="1" x14ac:dyDescent="0.15">
      <c r="A272" s="8">
        <f t="shared" si="1"/>
        <v>270</v>
      </c>
      <c r="B272" s="36" t="s">
        <v>11244</v>
      </c>
      <c r="C272" s="26" t="s">
        <v>19</v>
      </c>
      <c r="D272" s="26" t="s">
        <v>19</v>
      </c>
      <c r="E272" s="26" t="s">
        <v>19</v>
      </c>
      <c r="F272" s="29" t="s">
        <v>10471</v>
      </c>
      <c r="G272" s="53" t="s">
        <v>11262</v>
      </c>
      <c r="H272" s="1478" t="s">
        <v>448</v>
      </c>
      <c r="I272" s="1478" t="s">
        <v>448</v>
      </c>
      <c r="J272" s="26" t="s">
        <v>11261</v>
      </c>
      <c r="K272" s="1870" t="s">
        <v>4712</v>
      </c>
      <c r="L272" s="1870" t="s">
        <v>1124</v>
      </c>
      <c r="M272" s="1869" t="s">
        <v>10473</v>
      </c>
      <c r="N272" s="1870" t="s">
        <v>4780</v>
      </c>
      <c r="O272" s="1871" t="s">
        <v>5478</v>
      </c>
      <c r="P272" s="1871" t="s">
        <v>111</v>
      </c>
      <c r="Q272" s="1870" t="s">
        <v>2422</v>
      </c>
      <c r="R272" s="54" t="s">
        <v>1819</v>
      </c>
      <c r="S272" s="1871" t="s">
        <v>111</v>
      </c>
      <c r="T272" s="1870" t="s">
        <v>3248</v>
      </c>
      <c r="U272" s="1870" t="s">
        <v>3248</v>
      </c>
      <c r="V272" s="24" t="s">
        <v>11215</v>
      </c>
      <c r="W272" s="90" t="s">
        <v>11121</v>
      </c>
      <c r="X272" s="24" t="s">
        <v>110</v>
      </c>
      <c r="Y272" s="24">
        <v>1</v>
      </c>
      <c r="Z272" s="24" t="s">
        <v>11121</v>
      </c>
      <c r="AA272" s="24" t="s">
        <v>11260</v>
      </c>
      <c r="AB272" s="30"/>
      <c r="AC272" s="30">
        <v>6</v>
      </c>
      <c r="AD272" s="30">
        <v>6</v>
      </c>
      <c r="AE272" s="59" t="s">
        <v>11107</v>
      </c>
      <c r="AF272" s="59"/>
      <c r="AG272" s="35" t="s">
        <v>1104</v>
      </c>
      <c r="AH272" s="1870" t="s">
        <v>3101</v>
      </c>
      <c r="AI272" s="35" t="s">
        <v>19</v>
      </c>
      <c r="AJ272" s="202" t="s">
        <v>19</v>
      </c>
      <c r="AK272" s="35" t="s">
        <v>1880</v>
      </c>
      <c r="AL272" s="1870"/>
    </row>
    <row r="273" spans="1:38" s="11" customFormat="1" ht="26.25" customHeight="1" x14ac:dyDescent="0.15">
      <c r="A273" s="8">
        <f t="shared" si="1"/>
        <v>271</v>
      </c>
      <c r="B273" s="36" t="s">
        <v>11245</v>
      </c>
      <c r="C273" s="26" t="s">
        <v>19</v>
      </c>
      <c r="D273" s="26" t="s">
        <v>19</v>
      </c>
      <c r="E273" s="26" t="s">
        <v>19</v>
      </c>
      <c r="F273" s="29" t="s">
        <v>10481</v>
      </c>
      <c r="G273" s="53" t="s">
        <v>11262</v>
      </c>
      <c r="H273" s="1478" t="s">
        <v>448</v>
      </c>
      <c r="I273" s="1478" t="s">
        <v>448</v>
      </c>
      <c r="J273" s="26" t="s">
        <v>11261</v>
      </c>
      <c r="K273" s="1870" t="s">
        <v>4712</v>
      </c>
      <c r="L273" s="1870" t="s">
        <v>1124</v>
      </c>
      <c r="M273" s="1869" t="s">
        <v>10483</v>
      </c>
      <c r="N273" s="1870" t="s">
        <v>4780</v>
      </c>
      <c r="O273" s="1871" t="s">
        <v>5478</v>
      </c>
      <c r="P273" s="1871" t="s">
        <v>111</v>
      </c>
      <c r="Q273" s="1870" t="s">
        <v>2422</v>
      </c>
      <c r="R273" s="54" t="s">
        <v>1819</v>
      </c>
      <c r="S273" s="1871" t="s">
        <v>111</v>
      </c>
      <c r="T273" s="1870" t="s">
        <v>3248</v>
      </c>
      <c r="U273" s="1870" t="s">
        <v>3248</v>
      </c>
      <c r="V273" s="24" t="s">
        <v>11215</v>
      </c>
      <c r="W273" s="90" t="s">
        <v>11121</v>
      </c>
      <c r="X273" s="24" t="s">
        <v>110</v>
      </c>
      <c r="Y273" s="24">
        <v>1</v>
      </c>
      <c r="Z273" s="24" t="s">
        <v>11121</v>
      </c>
      <c r="AA273" s="24" t="s">
        <v>11260</v>
      </c>
      <c r="AB273" s="30"/>
      <c r="AC273" s="30">
        <v>6</v>
      </c>
      <c r="AD273" s="30">
        <v>6</v>
      </c>
      <c r="AE273" s="59" t="s">
        <v>11107</v>
      </c>
      <c r="AF273" s="59"/>
      <c r="AG273" s="35" t="s">
        <v>1104</v>
      </c>
      <c r="AH273" s="1870" t="s">
        <v>3101</v>
      </c>
      <c r="AI273" s="35" t="s">
        <v>19</v>
      </c>
      <c r="AJ273" s="202" t="s">
        <v>19</v>
      </c>
      <c r="AK273" s="35" t="s">
        <v>1880</v>
      </c>
      <c r="AL273" s="1870"/>
    </row>
    <row r="274" spans="1:38" s="11" customFormat="1" ht="26.25" customHeight="1" x14ac:dyDescent="0.15">
      <c r="A274" s="8">
        <f t="shared" si="1"/>
        <v>272</v>
      </c>
      <c r="B274" s="36" t="s">
        <v>11246</v>
      </c>
      <c r="C274" s="26" t="s">
        <v>19</v>
      </c>
      <c r="D274" s="26" t="s">
        <v>19</v>
      </c>
      <c r="E274" s="26" t="s">
        <v>19</v>
      </c>
      <c r="F274" s="29" t="s">
        <v>10266</v>
      </c>
      <c r="G274" s="53" t="s">
        <v>11262</v>
      </c>
      <c r="H274" s="1478" t="s">
        <v>448</v>
      </c>
      <c r="I274" s="1478" t="s">
        <v>448</v>
      </c>
      <c r="J274" s="26" t="s">
        <v>11261</v>
      </c>
      <c r="K274" s="1870" t="s">
        <v>4712</v>
      </c>
      <c r="L274" s="1870" t="s">
        <v>1124</v>
      </c>
      <c r="M274" s="1870" t="s">
        <v>7260</v>
      </c>
      <c r="N274" s="1870" t="s">
        <v>4780</v>
      </c>
      <c r="O274" s="1870" t="s">
        <v>5431</v>
      </c>
      <c r="P274" s="22" t="s">
        <v>1880</v>
      </c>
      <c r="Q274" s="1870" t="s">
        <v>1131</v>
      </c>
      <c r="R274" s="54" t="s">
        <v>1819</v>
      </c>
      <c r="S274" s="1871" t="s">
        <v>111</v>
      </c>
      <c r="T274" s="1870" t="s">
        <v>3248</v>
      </c>
      <c r="U274" s="1870" t="s">
        <v>3248</v>
      </c>
      <c r="V274" s="24" t="s">
        <v>11215</v>
      </c>
      <c r="W274" s="90" t="s">
        <v>11121</v>
      </c>
      <c r="X274" s="24" t="s">
        <v>110</v>
      </c>
      <c r="Y274" s="24">
        <v>1</v>
      </c>
      <c r="Z274" s="24" t="s">
        <v>11121</v>
      </c>
      <c r="AA274" s="24" t="s">
        <v>11260</v>
      </c>
      <c r="AB274" s="30"/>
      <c r="AC274" s="30">
        <v>8.5</v>
      </c>
      <c r="AD274" s="30">
        <v>8.5</v>
      </c>
      <c r="AE274" s="59"/>
      <c r="AF274" s="59"/>
      <c r="AG274" s="35" t="s">
        <v>1104</v>
      </c>
      <c r="AH274" s="1870" t="s">
        <v>10629</v>
      </c>
      <c r="AI274" s="35" t="s">
        <v>19</v>
      </c>
      <c r="AJ274" s="202" t="s">
        <v>19</v>
      </c>
      <c r="AK274" s="35" t="s">
        <v>1880</v>
      </c>
      <c r="AL274" s="1870"/>
    </row>
    <row r="275" spans="1:38" s="11" customFormat="1" ht="26.25" customHeight="1" x14ac:dyDescent="0.15">
      <c r="A275" s="8">
        <f t="shared" si="1"/>
        <v>273</v>
      </c>
      <c r="B275" s="36" t="s">
        <v>11247</v>
      </c>
      <c r="C275" s="26" t="s">
        <v>19</v>
      </c>
      <c r="D275" s="26" t="s">
        <v>19</v>
      </c>
      <c r="E275" s="26" t="s">
        <v>19</v>
      </c>
      <c r="F275" s="29" t="s">
        <v>10271</v>
      </c>
      <c r="G275" s="53" t="s">
        <v>11262</v>
      </c>
      <c r="H275" s="1478" t="s">
        <v>448</v>
      </c>
      <c r="I275" s="1478" t="s">
        <v>448</v>
      </c>
      <c r="J275" s="26" t="s">
        <v>11261</v>
      </c>
      <c r="K275" s="1870" t="s">
        <v>4712</v>
      </c>
      <c r="L275" s="1870" t="s">
        <v>1124</v>
      </c>
      <c r="M275" s="1870" t="s">
        <v>10273</v>
      </c>
      <c r="N275" s="1870" t="s">
        <v>4780</v>
      </c>
      <c r="O275" s="1870" t="s">
        <v>5431</v>
      </c>
      <c r="P275" s="22" t="s">
        <v>1880</v>
      </c>
      <c r="Q275" s="1870" t="s">
        <v>1131</v>
      </c>
      <c r="R275" s="54" t="s">
        <v>1819</v>
      </c>
      <c r="S275" s="1871" t="s">
        <v>111</v>
      </c>
      <c r="T275" s="1870" t="s">
        <v>3248</v>
      </c>
      <c r="U275" s="1870" t="s">
        <v>3248</v>
      </c>
      <c r="V275" s="24" t="s">
        <v>11215</v>
      </c>
      <c r="W275" s="90" t="s">
        <v>11121</v>
      </c>
      <c r="X275" s="24" t="s">
        <v>110</v>
      </c>
      <c r="Y275" s="24">
        <v>1</v>
      </c>
      <c r="Z275" s="24" t="s">
        <v>11121</v>
      </c>
      <c r="AA275" s="24" t="s">
        <v>11260</v>
      </c>
      <c r="AB275" s="30"/>
      <c r="AC275" s="30">
        <v>8.5</v>
      </c>
      <c r="AD275" s="30">
        <v>8.5</v>
      </c>
      <c r="AE275" s="59"/>
      <c r="AF275" s="59"/>
      <c r="AG275" s="35" t="s">
        <v>1104</v>
      </c>
      <c r="AH275" s="1870" t="s">
        <v>10629</v>
      </c>
      <c r="AI275" s="35" t="s">
        <v>19</v>
      </c>
      <c r="AJ275" s="202" t="s">
        <v>19</v>
      </c>
      <c r="AK275" s="35" t="s">
        <v>1880</v>
      </c>
      <c r="AL275" s="1870"/>
    </row>
    <row r="276" spans="1:38" s="11" customFormat="1" ht="26.25" customHeight="1" x14ac:dyDescent="0.15">
      <c r="A276" s="8">
        <f t="shared" si="1"/>
        <v>274</v>
      </c>
      <c r="B276" s="36" t="s">
        <v>11248</v>
      </c>
      <c r="C276" s="26" t="s">
        <v>19</v>
      </c>
      <c r="D276" s="26" t="s">
        <v>19</v>
      </c>
      <c r="E276" s="26" t="s">
        <v>19</v>
      </c>
      <c r="F276" s="29" t="s">
        <v>10362</v>
      </c>
      <c r="G276" s="53" t="s">
        <v>11262</v>
      </c>
      <c r="H276" s="1478" t="s">
        <v>448</v>
      </c>
      <c r="I276" s="1478" t="s">
        <v>448</v>
      </c>
      <c r="J276" s="26" t="s">
        <v>11261</v>
      </c>
      <c r="K276" s="1870" t="s">
        <v>4712</v>
      </c>
      <c r="L276" s="1870" t="s">
        <v>1124</v>
      </c>
      <c r="M276" s="1870" t="s">
        <v>9500</v>
      </c>
      <c r="N276" s="1870" t="s">
        <v>4780</v>
      </c>
      <c r="O276" s="1870" t="s">
        <v>5431</v>
      </c>
      <c r="P276" s="22" t="s">
        <v>1880</v>
      </c>
      <c r="Q276" s="1870" t="s">
        <v>1131</v>
      </c>
      <c r="R276" s="54" t="s">
        <v>1819</v>
      </c>
      <c r="S276" s="1871" t="s">
        <v>111</v>
      </c>
      <c r="T276" s="1870" t="s">
        <v>3248</v>
      </c>
      <c r="U276" s="1870" t="s">
        <v>3248</v>
      </c>
      <c r="V276" s="24" t="s">
        <v>11215</v>
      </c>
      <c r="W276" s="90" t="s">
        <v>11121</v>
      </c>
      <c r="X276" s="24" t="s">
        <v>110</v>
      </c>
      <c r="Y276" s="24">
        <v>1</v>
      </c>
      <c r="Z276" s="24" t="s">
        <v>11121</v>
      </c>
      <c r="AA276" s="24" t="s">
        <v>11260</v>
      </c>
      <c r="AB276" s="30"/>
      <c r="AC276" s="30">
        <v>8.5</v>
      </c>
      <c r="AD276" s="30">
        <v>8.5</v>
      </c>
      <c r="AE276" s="59"/>
      <c r="AF276" s="59"/>
      <c r="AG276" s="35" t="s">
        <v>1104</v>
      </c>
      <c r="AH276" s="1870" t="s">
        <v>10629</v>
      </c>
      <c r="AI276" s="35" t="s">
        <v>19</v>
      </c>
      <c r="AJ276" s="202" t="s">
        <v>19</v>
      </c>
      <c r="AK276" s="35" t="s">
        <v>1880</v>
      </c>
      <c r="AL276" s="1870"/>
    </row>
    <row r="277" spans="1:38" s="11" customFormat="1" ht="26.25" customHeight="1" x14ac:dyDescent="0.15">
      <c r="A277" s="8">
        <f t="shared" si="1"/>
        <v>275</v>
      </c>
      <c r="B277" s="36" t="s">
        <v>11249</v>
      </c>
      <c r="C277" s="26" t="s">
        <v>19</v>
      </c>
      <c r="D277" s="26" t="s">
        <v>19</v>
      </c>
      <c r="E277" s="26" t="s">
        <v>19</v>
      </c>
      <c r="F277" s="29" t="s">
        <v>11263</v>
      </c>
      <c r="G277" s="53" t="s">
        <v>11262</v>
      </c>
      <c r="H277" s="1478" t="s">
        <v>448</v>
      </c>
      <c r="I277" s="1478" t="s">
        <v>448</v>
      </c>
      <c r="J277" s="26" t="s">
        <v>11261</v>
      </c>
      <c r="K277" s="1869" t="s">
        <v>1147</v>
      </c>
      <c r="L277" s="1869" t="s">
        <v>2327</v>
      </c>
      <c r="M277" s="1869" t="s">
        <v>11264</v>
      </c>
      <c r="N277" s="1870" t="s">
        <v>4780</v>
      </c>
      <c r="O277" s="1871" t="s">
        <v>5478</v>
      </c>
      <c r="P277" s="1871" t="s">
        <v>111</v>
      </c>
      <c r="Q277" s="1870" t="s">
        <v>2422</v>
      </c>
      <c r="R277" s="54" t="s">
        <v>1819</v>
      </c>
      <c r="S277" s="1871" t="s">
        <v>111</v>
      </c>
      <c r="T277" s="1870" t="s">
        <v>3248</v>
      </c>
      <c r="U277" s="1870" t="s">
        <v>3248</v>
      </c>
      <c r="V277" s="24" t="s">
        <v>11215</v>
      </c>
      <c r="W277" s="90" t="s">
        <v>11121</v>
      </c>
      <c r="X277" s="24" t="s">
        <v>110</v>
      </c>
      <c r="Y277" s="24">
        <v>1</v>
      </c>
      <c r="Z277" s="24" t="s">
        <v>11121</v>
      </c>
      <c r="AA277" s="24" t="s">
        <v>11260</v>
      </c>
      <c r="AB277" s="30"/>
      <c r="AC277" s="30">
        <v>6</v>
      </c>
      <c r="AD277" s="30">
        <v>6</v>
      </c>
      <c r="AE277" s="59" t="s">
        <v>11107</v>
      </c>
      <c r="AF277" s="59"/>
      <c r="AG277" s="35" t="s">
        <v>1104</v>
      </c>
      <c r="AH277" s="1870" t="s">
        <v>3101</v>
      </c>
      <c r="AI277" s="35" t="s">
        <v>19</v>
      </c>
      <c r="AJ277" s="202" t="s">
        <v>19</v>
      </c>
      <c r="AK277" s="35" t="s">
        <v>1880</v>
      </c>
      <c r="AL277" s="1870"/>
    </row>
    <row r="278" spans="1:38" s="11" customFormat="1" ht="26.25" customHeight="1" x14ac:dyDescent="0.15">
      <c r="A278" s="8">
        <f t="shared" si="1"/>
        <v>276</v>
      </c>
      <c r="B278" s="36" t="s">
        <v>11250</v>
      </c>
      <c r="C278" s="26" t="s">
        <v>19</v>
      </c>
      <c r="D278" s="26" t="s">
        <v>19</v>
      </c>
      <c r="E278" s="26" t="s">
        <v>19</v>
      </c>
      <c r="F278" s="29" t="s">
        <v>10275</v>
      </c>
      <c r="G278" s="53" t="s">
        <v>11262</v>
      </c>
      <c r="H278" s="1478" t="s">
        <v>448</v>
      </c>
      <c r="I278" s="1478" t="s">
        <v>448</v>
      </c>
      <c r="J278" s="26" t="s">
        <v>11261</v>
      </c>
      <c r="K278" s="1870" t="s">
        <v>4712</v>
      </c>
      <c r="L278" s="1870" t="s">
        <v>1124</v>
      </c>
      <c r="M278" s="1869" t="s">
        <v>11265</v>
      </c>
      <c r="N278" s="1870" t="s">
        <v>4780</v>
      </c>
      <c r="O278" s="22" t="s">
        <v>2142</v>
      </c>
      <c r="P278" s="22" t="s">
        <v>1880</v>
      </c>
      <c r="Q278" s="1870" t="s">
        <v>2422</v>
      </c>
      <c r="R278" s="54" t="s">
        <v>1819</v>
      </c>
      <c r="S278" s="1871" t="s">
        <v>111</v>
      </c>
      <c r="T278" s="1870" t="s">
        <v>3248</v>
      </c>
      <c r="U278" s="1870" t="s">
        <v>3248</v>
      </c>
      <c r="V278" s="24" t="s">
        <v>11215</v>
      </c>
      <c r="W278" s="90" t="s">
        <v>11121</v>
      </c>
      <c r="X278" s="24" t="s">
        <v>110</v>
      </c>
      <c r="Y278" s="24">
        <v>1</v>
      </c>
      <c r="Z278" s="24" t="s">
        <v>11121</v>
      </c>
      <c r="AA278" s="24" t="s">
        <v>11260</v>
      </c>
      <c r="AB278" s="30"/>
      <c r="AC278" s="30">
        <v>6</v>
      </c>
      <c r="AD278" s="30">
        <v>6</v>
      </c>
      <c r="AE278" s="59" t="s">
        <v>11107</v>
      </c>
      <c r="AF278" s="59"/>
      <c r="AG278" s="35" t="s">
        <v>1104</v>
      </c>
      <c r="AH278" s="1870" t="s">
        <v>3101</v>
      </c>
      <c r="AI278" s="35" t="s">
        <v>19</v>
      </c>
      <c r="AJ278" s="202" t="s">
        <v>19</v>
      </c>
      <c r="AK278" s="35" t="s">
        <v>1880</v>
      </c>
      <c r="AL278" s="1870"/>
    </row>
    <row r="279" spans="1:38" s="11" customFormat="1" ht="26.25" customHeight="1" x14ac:dyDescent="0.15">
      <c r="A279" s="8">
        <f t="shared" si="1"/>
        <v>277</v>
      </c>
      <c r="B279" s="36" t="s">
        <v>11251</v>
      </c>
      <c r="C279" s="26" t="s">
        <v>19</v>
      </c>
      <c r="D279" s="26" t="s">
        <v>19</v>
      </c>
      <c r="E279" s="26" t="s">
        <v>19</v>
      </c>
      <c r="F279" s="29" t="s">
        <v>11266</v>
      </c>
      <c r="G279" s="53" t="s">
        <v>11262</v>
      </c>
      <c r="H279" s="1478" t="s">
        <v>448</v>
      </c>
      <c r="I279" s="1478" t="s">
        <v>448</v>
      </c>
      <c r="J279" s="26" t="s">
        <v>11261</v>
      </c>
      <c r="K279" s="1870" t="s">
        <v>4712</v>
      </c>
      <c r="L279" s="1870" t="s">
        <v>1124</v>
      </c>
      <c r="M279" s="1869" t="s">
        <v>11267</v>
      </c>
      <c r="N279" s="1870" t="s">
        <v>4780</v>
      </c>
      <c r="O279" s="22" t="s">
        <v>2142</v>
      </c>
      <c r="P279" s="22" t="s">
        <v>1880</v>
      </c>
      <c r="Q279" s="1870" t="s">
        <v>2422</v>
      </c>
      <c r="R279" s="54" t="s">
        <v>1819</v>
      </c>
      <c r="S279" s="1871" t="s">
        <v>111</v>
      </c>
      <c r="T279" s="1870" t="s">
        <v>3248</v>
      </c>
      <c r="U279" s="1870" t="s">
        <v>3248</v>
      </c>
      <c r="V279" s="24" t="s">
        <v>11215</v>
      </c>
      <c r="W279" s="90" t="s">
        <v>11121</v>
      </c>
      <c r="X279" s="24" t="s">
        <v>110</v>
      </c>
      <c r="Y279" s="24">
        <v>1</v>
      </c>
      <c r="Z279" s="24" t="s">
        <v>11121</v>
      </c>
      <c r="AA279" s="24" t="s">
        <v>11260</v>
      </c>
      <c r="AB279" s="30"/>
      <c r="AC279" s="30">
        <v>6</v>
      </c>
      <c r="AD279" s="30">
        <v>6</v>
      </c>
      <c r="AE279" s="59" t="s">
        <v>11107</v>
      </c>
      <c r="AF279" s="59"/>
      <c r="AG279" s="35" t="s">
        <v>1104</v>
      </c>
      <c r="AH279" s="1870" t="s">
        <v>3101</v>
      </c>
      <c r="AI279" s="35" t="s">
        <v>19</v>
      </c>
      <c r="AJ279" s="202" t="s">
        <v>19</v>
      </c>
      <c r="AK279" s="35" t="s">
        <v>1880</v>
      </c>
      <c r="AL279" s="1870"/>
    </row>
    <row r="280" spans="1:38" s="11" customFormat="1" ht="26.25" customHeight="1" x14ac:dyDescent="0.15">
      <c r="A280" s="8">
        <f t="shared" si="1"/>
        <v>278</v>
      </c>
      <c r="B280" s="36" t="s">
        <v>11252</v>
      </c>
      <c r="C280" s="26" t="s">
        <v>19</v>
      </c>
      <c r="D280" s="26" t="s">
        <v>19</v>
      </c>
      <c r="E280" s="26" t="s">
        <v>19</v>
      </c>
      <c r="F280" s="29" t="s">
        <v>11268</v>
      </c>
      <c r="G280" s="53" t="s">
        <v>11262</v>
      </c>
      <c r="H280" s="1478" t="s">
        <v>448</v>
      </c>
      <c r="I280" s="1478" t="s">
        <v>448</v>
      </c>
      <c r="J280" s="26" t="s">
        <v>11261</v>
      </c>
      <c r="K280" s="1870" t="s">
        <v>4712</v>
      </c>
      <c r="L280" s="1870" t="s">
        <v>1124</v>
      </c>
      <c r="M280" s="1869" t="s">
        <v>11269</v>
      </c>
      <c r="N280" s="1870" t="s">
        <v>4780</v>
      </c>
      <c r="O280" s="22" t="s">
        <v>2142</v>
      </c>
      <c r="P280" s="22" t="s">
        <v>1880</v>
      </c>
      <c r="Q280" s="1870" t="s">
        <v>2422</v>
      </c>
      <c r="R280" s="54" t="s">
        <v>1819</v>
      </c>
      <c r="S280" s="1871" t="s">
        <v>111</v>
      </c>
      <c r="T280" s="1870" t="s">
        <v>3248</v>
      </c>
      <c r="U280" s="1870" t="s">
        <v>3248</v>
      </c>
      <c r="V280" s="24" t="s">
        <v>11215</v>
      </c>
      <c r="W280" s="90" t="s">
        <v>11121</v>
      </c>
      <c r="X280" s="24" t="s">
        <v>110</v>
      </c>
      <c r="Y280" s="24">
        <v>1</v>
      </c>
      <c r="Z280" s="24" t="s">
        <v>11121</v>
      </c>
      <c r="AA280" s="24" t="s">
        <v>11260</v>
      </c>
      <c r="AB280" s="30"/>
      <c r="AC280" s="30">
        <v>6</v>
      </c>
      <c r="AD280" s="30">
        <v>6</v>
      </c>
      <c r="AE280" s="59" t="s">
        <v>11107</v>
      </c>
      <c r="AF280" s="59"/>
      <c r="AG280" s="35" t="s">
        <v>1104</v>
      </c>
      <c r="AH280" s="1870" t="s">
        <v>3101</v>
      </c>
      <c r="AI280" s="35" t="s">
        <v>19</v>
      </c>
      <c r="AJ280" s="202" t="s">
        <v>19</v>
      </c>
      <c r="AK280" s="35" t="s">
        <v>1880</v>
      </c>
      <c r="AL280" s="1870"/>
    </row>
    <row r="281" spans="1:38" s="11" customFormat="1" ht="26.25" customHeight="1" x14ac:dyDescent="0.15">
      <c r="A281" s="8">
        <f t="shared" si="1"/>
        <v>279</v>
      </c>
      <c r="B281" s="36" t="s">
        <v>11253</v>
      </c>
      <c r="C281" s="26" t="s">
        <v>19</v>
      </c>
      <c r="D281" s="26" t="s">
        <v>19</v>
      </c>
      <c r="E281" s="26" t="s">
        <v>19</v>
      </c>
      <c r="F281" s="29" t="s">
        <v>10465</v>
      </c>
      <c r="G281" s="53" t="s">
        <v>11262</v>
      </c>
      <c r="H281" s="1478" t="s">
        <v>448</v>
      </c>
      <c r="I281" s="1478" t="s">
        <v>448</v>
      </c>
      <c r="J281" s="26" t="s">
        <v>11261</v>
      </c>
      <c r="K281" s="1870" t="s">
        <v>4712</v>
      </c>
      <c r="L281" s="1870" t="s">
        <v>1124</v>
      </c>
      <c r="M281" s="1870" t="s">
        <v>10270</v>
      </c>
      <c r="N281" s="1870" t="s">
        <v>4780</v>
      </c>
      <c r="O281" s="1870" t="s">
        <v>5431</v>
      </c>
      <c r="P281" s="22" t="s">
        <v>1880</v>
      </c>
      <c r="Q281" s="1870" t="s">
        <v>1131</v>
      </c>
      <c r="R281" s="54" t="s">
        <v>1819</v>
      </c>
      <c r="S281" s="1871" t="s">
        <v>111</v>
      </c>
      <c r="T281" s="1870" t="s">
        <v>3248</v>
      </c>
      <c r="U281" s="1870" t="s">
        <v>3248</v>
      </c>
      <c r="V281" s="24" t="s">
        <v>11215</v>
      </c>
      <c r="W281" s="90" t="s">
        <v>11121</v>
      </c>
      <c r="X281" s="24" t="s">
        <v>110</v>
      </c>
      <c r="Y281" s="24">
        <v>1</v>
      </c>
      <c r="Z281" s="24" t="s">
        <v>11121</v>
      </c>
      <c r="AA281" s="24" t="s">
        <v>11260</v>
      </c>
      <c r="AB281" s="30"/>
      <c r="AC281" s="30">
        <v>8.5</v>
      </c>
      <c r="AD281" s="30">
        <v>8.5</v>
      </c>
      <c r="AE281" s="59"/>
      <c r="AF281" s="59"/>
      <c r="AG281" s="35" t="s">
        <v>1104</v>
      </c>
      <c r="AH281" s="1870" t="s">
        <v>10629</v>
      </c>
      <c r="AI281" s="35" t="s">
        <v>19</v>
      </c>
      <c r="AJ281" s="202" t="s">
        <v>19</v>
      </c>
      <c r="AK281" s="35" t="s">
        <v>1880</v>
      </c>
      <c r="AL281" s="1870"/>
    </row>
    <row r="282" spans="1:38" s="11" customFormat="1" ht="26.25" customHeight="1" x14ac:dyDescent="0.15">
      <c r="A282" s="8">
        <f t="shared" si="1"/>
        <v>280</v>
      </c>
      <c r="B282" s="36" t="s">
        <v>11254</v>
      </c>
      <c r="C282" s="26" t="s">
        <v>19</v>
      </c>
      <c r="D282" s="26" t="s">
        <v>19</v>
      </c>
      <c r="E282" s="26" t="s">
        <v>19</v>
      </c>
      <c r="F282" s="29" t="s">
        <v>11270</v>
      </c>
      <c r="G282" s="53" t="s">
        <v>11262</v>
      </c>
      <c r="H282" s="1478" t="s">
        <v>448</v>
      </c>
      <c r="I282" s="1478" t="s">
        <v>448</v>
      </c>
      <c r="J282" s="26" t="s">
        <v>11261</v>
      </c>
      <c r="K282" s="1870" t="s">
        <v>4712</v>
      </c>
      <c r="L282" s="1870" t="s">
        <v>1124</v>
      </c>
      <c r="M282" s="1869" t="s">
        <v>11271</v>
      </c>
      <c r="N282" s="1870" t="s">
        <v>4780</v>
      </c>
      <c r="O282" s="22" t="s">
        <v>2142</v>
      </c>
      <c r="P282" s="22" t="s">
        <v>1880</v>
      </c>
      <c r="Q282" s="1870" t="s">
        <v>2422</v>
      </c>
      <c r="R282" s="54" t="s">
        <v>1819</v>
      </c>
      <c r="S282" s="1871" t="s">
        <v>111</v>
      </c>
      <c r="T282" s="1870" t="s">
        <v>3248</v>
      </c>
      <c r="U282" s="1870" t="s">
        <v>3248</v>
      </c>
      <c r="V282" s="24" t="s">
        <v>11215</v>
      </c>
      <c r="W282" s="90" t="s">
        <v>11121</v>
      </c>
      <c r="X282" s="24" t="s">
        <v>110</v>
      </c>
      <c r="Y282" s="24">
        <v>1</v>
      </c>
      <c r="Z282" s="24" t="s">
        <v>11121</v>
      </c>
      <c r="AA282" s="24" t="s">
        <v>11260</v>
      </c>
      <c r="AB282" s="30"/>
      <c r="AC282" s="30">
        <v>6</v>
      </c>
      <c r="AD282" s="30">
        <v>6</v>
      </c>
      <c r="AE282" s="59" t="s">
        <v>11107</v>
      </c>
      <c r="AF282" s="59"/>
      <c r="AG282" s="35" t="s">
        <v>1104</v>
      </c>
      <c r="AH282" s="1870" t="s">
        <v>3101</v>
      </c>
      <c r="AI282" s="35" t="s">
        <v>19</v>
      </c>
      <c r="AJ282" s="202" t="s">
        <v>19</v>
      </c>
      <c r="AK282" s="35" t="s">
        <v>1880</v>
      </c>
      <c r="AL282" s="1870"/>
    </row>
    <row r="283" spans="1:38" s="11" customFormat="1" ht="26.25" customHeight="1" x14ac:dyDescent="0.15">
      <c r="A283" s="8">
        <f t="shared" si="1"/>
        <v>281</v>
      </c>
      <c r="B283" s="36" t="s">
        <v>11255</v>
      </c>
      <c r="C283" s="26" t="s">
        <v>19</v>
      </c>
      <c r="D283" s="26" t="s">
        <v>19</v>
      </c>
      <c r="E283" s="26" t="s">
        <v>19</v>
      </c>
      <c r="F283" s="29" t="s">
        <v>10474</v>
      </c>
      <c r="G283" s="53" t="s">
        <v>11262</v>
      </c>
      <c r="H283" s="1478" t="s">
        <v>448</v>
      </c>
      <c r="I283" s="1478" t="s">
        <v>448</v>
      </c>
      <c r="J283" s="26" t="s">
        <v>11261</v>
      </c>
      <c r="K283" s="1870" t="s">
        <v>4712</v>
      </c>
      <c r="L283" s="1870" t="s">
        <v>1124</v>
      </c>
      <c r="M283" s="1869" t="s">
        <v>10476</v>
      </c>
      <c r="N283" s="1870" t="s">
        <v>4780</v>
      </c>
      <c r="O283" s="22" t="s">
        <v>2142</v>
      </c>
      <c r="P283" s="22" t="s">
        <v>1880</v>
      </c>
      <c r="Q283" s="1870" t="s">
        <v>2422</v>
      </c>
      <c r="R283" s="54" t="s">
        <v>1819</v>
      </c>
      <c r="S283" s="1871" t="s">
        <v>111</v>
      </c>
      <c r="T283" s="1870" t="s">
        <v>3248</v>
      </c>
      <c r="U283" s="1870" t="s">
        <v>3248</v>
      </c>
      <c r="V283" s="24" t="s">
        <v>11215</v>
      </c>
      <c r="W283" s="90" t="s">
        <v>11121</v>
      </c>
      <c r="X283" s="24" t="s">
        <v>110</v>
      </c>
      <c r="Y283" s="24">
        <v>1</v>
      </c>
      <c r="Z283" s="24" t="s">
        <v>11121</v>
      </c>
      <c r="AA283" s="24" t="s">
        <v>11260</v>
      </c>
      <c r="AB283" s="30"/>
      <c r="AC283" s="30">
        <v>6</v>
      </c>
      <c r="AD283" s="30">
        <v>6</v>
      </c>
      <c r="AE283" s="59" t="s">
        <v>11107</v>
      </c>
      <c r="AF283" s="59"/>
      <c r="AG283" s="35" t="s">
        <v>1104</v>
      </c>
      <c r="AH283" s="1870" t="s">
        <v>3101</v>
      </c>
      <c r="AI283" s="35" t="s">
        <v>19</v>
      </c>
      <c r="AJ283" s="202" t="s">
        <v>19</v>
      </c>
      <c r="AK283" s="35" t="s">
        <v>1880</v>
      </c>
      <c r="AL283" s="1870"/>
    </row>
    <row r="284" spans="1:38" s="11" customFormat="1" ht="26.25" customHeight="1" x14ac:dyDescent="0.15">
      <c r="A284" s="8">
        <f t="shared" si="1"/>
        <v>282</v>
      </c>
      <c r="B284" s="36" t="s">
        <v>11256</v>
      </c>
      <c r="C284" s="26" t="s">
        <v>19</v>
      </c>
      <c r="D284" s="26" t="s">
        <v>19</v>
      </c>
      <c r="E284" s="26" t="s">
        <v>19</v>
      </c>
      <c r="F284" s="29" t="s">
        <v>10359</v>
      </c>
      <c r="G284" s="53" t="s">
        <v>11262</v>
      </c>
      <c r="H284" s="1478" t="s">
        <v>448</v>
      </c>
      <c r="I284" s="1478" t="s">
        <v>448</v>
      </c>
      <c r="J284" s="26" t="s">
        <v>11261</v>
      </c>
      <c r="K284" s="1870" t="s">
        <v>4712</v>
      </c>
      <c r="L284" s="1870" t="s">
        <v>1124</v>
      </c>
      <c r="M284" s="1869" t="s">
        <v>10361</v>
      </c>
      <c r="N284" s="1870" t="s">
        <v>4780</v>
      </c>
      <c r="O284" s="1870" t="s">
        <v>5431</v>
      </c>
      <c r="P284" s="22" t="s">
        <v>1880</v>
      </c>
      <c r="Q284" s="1870" t="s">
        <v>1131</v>
      </c>
      <c r="R284" s="54" t="s">
        <v>1819</v>
      </c>
      <c r="S284" s="1871" t="s">
        <v>111</v>
      </c>
      <c r="T284" s="1870" t="s">
        <v>3248</v>
      </c>
      <c r="U284" s="1870" t="s">
        <v>3248</v>
      </c>
      <c r="V284" s="24" t="s">
        <v>11215</v>
      </c>
      <c r="W284" s="90" t="s">
        <v>11121</v>
      </c>
      <c r="X284" s="24" t="s">
        <v>110</v>
      </c>
      <c r="Y284" s="24">
        <v>1</v>
      </c>
      <c r="Z284" s="24" t="s">
        <v>11121</v>
      </c>
      <c r="AA284" s="24" t="s">
        <v>11260</v>
      </c>
      <c r="AB284" s="30"/>
      <c r="AC284" s="30">
        <v>8.5</v>
      </c>
      <c r="AD284" s="30">
        <v>8.5</v>
      </c>
      <c r="AE284" s="59"/>
      <c r="AF284" s="59"/>
      <c r="AG284" s="35" t="s">
        <v>1104</v>
      </c>
      <c r="AH284" s="1870" t="s">
        <v>10629</v>
      </c>
      <c r="AI284" s="35" t="s">
        <v>19</v>
      </c>
      <c r="AJ284" s="202" t="s">
        <v>19</v>
      </c>
      <c r="AK284" s="35" t="s">
        <v>1880</v>
      </c>
      <c r="AL284" s="1870"/>
    </row>
    <row r="285" spans="1:38" s="11" customFormat="1" ht="26.25" customHeight="1" x14ac:dyDescent="0.15">
      <c r="A285" s="8">
        <f t="shared" si="1"/>
        <v>283</v>
      </c>
      <c r="B285" s="36" t="s">
        <v>11257</v>
      </c>
      <c r="C285" s="26" t="s">
        <v>19</v>
      </c>
      <c r="D285" s="26" t="s">
        <v>19</v>
      </c>
      <c r="E285" s="26" t="s">
        <v>19</v>
      </c>
      <c r="F285" s="29" t="s">
        <v>10356</v>
      </c>
      <c r="G285" s="53" t="s">
        <v>11262</v>
      </c>
      <c r="H285" s="1478" t="s">
        <v>448</v>
      </c>
      <c r="I285" s="1478" t="s">
        <v>448</v>
      </c>
      <c r="J285" s="26" t="s">
        <v>11261</v>
      </c>
      <c r="K285" s="1870" t="s">
        <v>4712</v>
      </c>
      <c r="L285" s="1870" t="s">
        <v>1124</v>
      </c>
      <c r="M285" s="1869" t="s">
        <v>10358</v>
      </c>
      <c r="N285" s="1870" t="s">
        <v>4780</v>
      </c>
      <c r="O285" s="1870" t="s">
        <v>5431</v>
      </c>
      <c r="P285" s="22" t="s">
        <v>1880</v>
      </c>
      <c r="Q285" s="1870" t="s">
        <v>1131</v>
      </c>
      <c r="R285" s="54" t="s">
        <v>1819</v>
      </c>
      <c r="S285" s="1871" t="s">
        <v>111</v>
      </c>
      <c r="T285" s="1870" t="s">
        <v>3248</v>
      </c>
      <c r="U285" s="1870" t="s">
        <v>3248</v>
      </c>
      <c r="V285" s="24" t="s">
        <v>11215</v>
      </c>
      <c r="W285" s="90" t="s">
        <v>11121</v>
      </c>
      <c r="X285" s="24" t="s">
        <v>110</v>
      </c>
      <c r="Y285" s="24">
        <v>1</v>
      </c>
      <c r="Z285" s="24" t="s">
        <v>11121</v>
      </c>
      <c r="AA285" s="24" t="s">
        <v>11260</v>
      </c>
      <c r="AB285" s="30"/>
      <c r="AC285" s="30">
        <v>8.5</v>
      </c>
      <c r="AD285" s="30">
        <v>8.5</v>
      </c>
      <c r="AE285" s="59"/>
      <c r="AF285" s="59"/>
      <c r="AG285" s="35" t="s">
        <v>1104</v>
      </c>
      <c r="AH285" s="1870" t="s">
        <v>10629</v>
      </c>
      <c r="AI285" s="35" t="s">
        <v>19</v>
      </c>
      <c r="AJ285" s="202" t="s">
        <v>19</v>
      </c>
      <c r="AK285" s="35" t="s">
        <v>1880</v>
      </c>
      <c r="AL285" s="1870"/>
    </row>
    <row r="286" spans="1:38" s="11" customFormat="1" ht="26.25" customHeight="1" x14ac:dyDescent="0.15">
      <c r="A286" s="8">
        <f t="shared" si="1"/>
        <v>284</v>
      </c>
      <c r="B286" s="36" t="s">
        <v>11258</v>
      </c>
      <c r="C286" s="26" t="s">
        <v>19</v>
      </c>
      <c r="D286" s="26" t="s">
        <v>19</v>
      </c>
      <c r="E286" s="26" t="s">
        <v>19</v>
      </c>
      <c r="F286" s="29" t="s">
        <v>11272</v>
      </c>
      <c r="G286" s="53" t="s">
        <v>11262</v>
      </c>
      <c r="H286" s="1478" t="s">
        <v>448</v>
      </c>
      <c r="I286" s="1478" t="s">
        <v>448</v>
      </c>
      <c r="J286" s="26" t="s">
        <v>11261</v>
      </c>
      <c r="K286" s="1869" t="s">
        <v>94</v>
      </c>
      <c r="L286" s="1870" t="s">
        <v>1124</v>
      </c>
      <c r="M286" s="1869" t="s">
        <v>7097</v>
      </c>
      <c r="N286" s="22" t="s">
        <v>10757</v>
      </c>
      <c r="O286" s="1871" t="s">
        <v>5478</v>
      </c>
      <c r="P286" s="22" t="s">
        <v>1880</v>
      </c>
      <c r="Q286" s="1870" t="s">
        <v>1131</v>
      </c>
      <c r="R286" s="54" t="s">
        <v>1819</v>
      </c>
      <c r="S286" s="1871" t="s">
        <v>111</v>
      </c>
      <c r="T286" s="1870" t="s">
        <v>3591</v>
      </c>
      <c r="U286" s="1870" t="s">
        <v>3591</v>
      </c>
      <c r="V286" s="24" t="s">
        <v>11215</v>
      </c>
      <c r="W286" s="90" t="s">
        <v>11121</v>
      </c>
      <c r="X286" s="24" t="s">
        <v>110</v>
      </c>
      <c r="Y286" s="24">
        <v>1</v>
      </c>
      <c r="Z286" s="24" t="s">
        <v>11121</v>
      </c>
      <c r="AA286" s="24" t="s">
        <v>11260</v>
      </c>
      <c r="AB286" s="30"/>
      <c r="AC286" s="30">
        <v>6</v>
      </c>
      <c r="AD286" s="30">
        <v>6</v>
      </c>
      <c r="AE286" s="59"/>
      <c r="AF286" s="59"/>
      <c r="AG286" s="35" t="s">
        <v>1104</v>
      </c>
      <c r="AH286" s="1870" t="s">
        <v>10629</v>
      </c>
      <c r="AI286" s="35" t="s">
        <v>19</v>
      </c>
      <c r="AJ286" s="202" t="s">
        <v>19</v>
      </c>
      <c r="AK286" s="35" t="s">
        <v>1880</v>
      </c>
      <c r="AL286" s="1870"/>
    </row>
    <row r="287" spans="1:38" s="11" customFormat="1" ht="26.25" customHeight="1" x14ac:dyDescent="0.15">
      <c r="A287" s="8">
        <f t="shared" si="1"/>
        <v>285</v>
      </c>
      <c r="B287" s="36" t="s">
        <v>11259</v>
      </c>
      <c r="C287" s="26" t="s">
        <v>19</v>
      </c>
      <c r="D287" s="26" t="s">
        <v>19</v>
      </c>
      <c r="E287" s="26" t="s">
        <v>19</v>
      </c>
      <c r="F287" s="29" t="s">
        <v>10252</v>
      </c>
      <c r="G287" s="53" t="s">
        <v>11262</v>
      </c>
      <c r="H287" s="1478" t="s">
        <v>448</v>
      </c>
      <c r="I287" s="1478" t="s">
        <v>448</v>
      </c>
      <c r="J287" s="26" t="s">
        <v>11261</v>
      </c>
      <c r="K287" s="1870" t="s">
        <v>4712</v>
      </c>
      <c r="L287" s="1870" t="s">
        <v>1124</v>
      </c>
      <c r="M287" s="1869" t="s">
        <v>1880</v>
      </c>
      <c r="N287" s="1870" t="s">
        <v>4780</v>
      </c>
      <c r="O287" s="1870" t="s">
        <v>5431</v>
      </c>
      <c r="P287" s="22" t="s">
        <v>1880</v>
      </c>
      <c r="Q287" s="1870" t="s">
        <v>11273</v>
      </c>
      <c r="R287" s="54" t="s">
        <v>11274</v>
      </c>
      <c r="S287" s="1871" t="s">
        <v>111</v>
      </c>
      <c r="T287" s="1870" t="s">
        <v>3248</v>
      </c>
      <c r="U287" s="1870" t="s">
        <v>3248</v>
      </c>
      <c r="V287" s="24" t="s">
        <v>11215</v>
      </c>
      <c r="W287" s="90" t="s">
        <v>11121</v>
      </c>
      <c r="X287" s="24" t="s">
        <v>110</v>
      </c>
      <c r="Y287" s="24">
        <v>1</v>
      </c>
      <c r="Z287" s="24" t="s">
        <v>1880</v>
      </c>
      <c r="AA287" s="24" t="s">
        <v>1880</v>
      </c>
      <c r="AB287" s="30">
        <v>15.75</v>
      </c>
      <c r="AC287" s="30"/>
      <c r="AD287" s="30">
        <v>15.75</v>
      </c>
      <c r="AE287" s="59"/>
      <c r="AF287" s="59"/>
      <c r="AG287" s="35" t="s">
        <v>1104</v>
      </c>
      <c r="AH287" s="1870" t="s">
        <v>10629</v>
      </c>
      <c r="AI287" s="35" t="s">
        <v>19</v>
      </c>
      <c r="AJ287" s="202" t="s">
        <v>19</v>
      </c>
      <c r="AK287" s="35" t="s">
        <v>1880</v>
      </c>
      <c r="AL287" s="1870"/>
    </row>
    <row r="288" spans="1:38" s="11" customFormat="1" ht="26.25" customHeight="1" x14ac:dyDescent="0.15">
      <c r="A288" s="8">
        <f t="shared" si="1"/>
        <v>286</v>
      </c>
      <c r="B288" s="36" t="s">
        <v>11275</v>
      </c>
      <c r="C288" s="26" t="s">
        <v>19</v>
      </c>
      <c r="D288" s="26" t="s">
        <v>19</v>
      </c>
      <c r="E288" s="36" t="s">
        <v>11500</v>
      </c>
      <c r="F288" s="67" t="s">
        <v>9159</v>
      </c>
      <c r="G288" s="53" t="s">
        <v>11291</v>
      </c>
      <c r="H288" s="26" t="s">
        <v>448</v>
      </c>
      <c r="I288" s="26" t="s">
        <v>448</v>
      </c>
      <c r="J288" s="26" t="s">
        <v>448</v>
      </c>
      <c r="K288" s="1870" t="s">
        <v>4195</v>
      </c>
      <c r="L288" s="1870" t="s">
        <v>4692</v>
      </c>
      <c r="M288" s="1870" t="s">
        <v>9798</v>
      </c>
      <c r="N288" s="22" t="s">
        <v>9832</v>
      </c>
      <c r="O288" s="1870" t="s">
        <v>5431</v>
      </c>
      <c r="P288" s="1871" t="s">
        <v>111</v>
      </c>
      <c r="Q288" s="216" t="s">
        <v>25</v>
      </c>
      <c r="R288" s="54" t="s">
        <v>11498</v>
      </c>
      <c r="S288" s="1871" t="s">
        <v>111</v>
      </c>
      <c r="T288" s="1870" t="s">
        <v>1151</v>
      </c>
      <c r="U288" s="1870" t="s">
        <v>1151</v>
      </c>
      <c r="V288" s="24" t="s">
        <v>11215</v>
      </c>
      <c r="W288" s="90" t="s">
        <v>11086</v>
      </c>
      <c r="X288" s="24" t="s">
        <v>1800</v>
      </c>
      <c r="Y288" s="24">
        <v>1</v>
      </c>
      <c r="Z288" s="24" t="s">
        <v>11151</v>
      </c>
      <c r="AA288" s="24" t="s">
        <v>10227</v>
      </c>
      <c r="AB288" s="30">
        <v>3.9257</v>
      </c>
      <c r="AC288" s="30">
        <v>5.8</v>
      </c>
      <c r="AD288" s="30">
        <v>9.7256999999999998</v>
      </c>
      <c r="AE288" s="59"/>
      <c r="AF288" s="59"/>
      <c r="AG288" s="35" t="s">
        <v>1104</v>
      </c>
      <c r="AH288" s="1870" t="s">
        <v>10629</v>
      </c>
      <c r="AI288" s="35" t="s">
        <v>19</v>
      </c>
      <c r="AJ288" s="202" t="s">
        <v>19</v>
      </c>
      <c r="AK288" s="35" t="s">
        <v>1880</v>
      </c>
      <c r="AL288" s="1870"/>
    </row>
    <row r="289" spans="1:38" s="11" customFormat="1" ht="26.25" customHeight="1" x14ac:dyDescent="0.15">
      <c r="A289" s="8">
        <f t="shared" si="1"/>
        <v>287</v>
      </c>
      <c r="B289" s="36" t="s">
        <v>11276</v>
      </c>
      <c r="C289" s="26" t="s">
        <v>19</v>
      </c>
      <c r="D289" s="26" t="s">
        <v>19</v>
      </c>
      <c r="E289" s="36" t="s">
        <v>11501</v>
      </c>
      <c r="F289" s="29" t="s">
        <v>9827</v>
      </c>
      <c r="G289" s="53" t="s">
        <v>11291</v>
      </c>
      <c r="H289" s="26" t="s">
        <v>448</v>
      </c>
      <c r="I289" s="26" t="s">
        <v>448</v>
      </c>
      <c r="J289" s="26" t="s">
        <v>448</v>
      </c>
      <c r="K289" s="1870" t="s">
        <v>4195</v>
      </c>
      <c r="L289" s="1870" t="s">
        <v>4692</v>
      </c>
      <c r="M289" s="1870" t="s">
        <v>9799</v>
      </c>
      <c r="N289" s="22" t="s">
        <v>4780</v>
      </c>
      <c r="O289" s="1870" t="s">
        <v>5431</v>
      </c>
      <c r="P289" s="1871" t="s">
        <v>1880</v>
      </c>
      <c r="Q289" s="216" t="s">
        <v>25</v>
      </c>
      <c r="R289" s="54" t="s">
        <v>11498</v>
      </c>
      <c r="S289" s="1871" t="s">
        <v>111</v>
      </c>
      <c r="T289" s="1870" t="s">
        <v>1151</v>
      </c>
      <c r="U289" s="1870" t="s">
        <v>1151</v>
      </c>
      <c r="V289" s="24" t="s">
        <v>11215</v>
      </c>
      <c r="W289" s="90" t="s">
        <v>11086</v>
      </c>
      <c r="X289" s="24" t="s">
        <v>1800</v>
      </c>
      <c r="Y289" s="24">
        <v>1</v>
      </c>
      <c r="Z289" s="24" t="s">
        <v>11151</v>
      </c>
      <c r="AA289" s="24" t="s">
        <v>10227</v>
      </c>
      <c r="AB289" s="30">
        <v>3.9257</v>
      </c>
      <c r="AC289" s="30">
        <v>5.8</v>
      </c>
      <c r="AD289" s="30">
        <v>9.7256999999999998</v>
      </c>
      <c r="AE289" s="59"/>
      <c r="AF289" s="59"/>
      <c r="AG289" s="35" t="s">
        <v>1104</v>
      </c>
      <c r="AH289" s="1870" t="s">
        <v>10629</v>
      </c>
      <c r="AI289" s="35" t="s">
        <v>19</v>
      </c>
      <c r="AJ289" s="202" t="s">
        <v>19</v>
      </c>
      <c r="AK289" s="35" t="s">
        <v>1880</v>
      </c>
      <c r="AL289" s="1870"/>
    </row>
    <row r="290" spans="1:38" s="11" customFormat="1" ht="26.25" customHeight="1" x14ac:dyDescent="0.15">
      <c r="A290" s="8">
        <f t="shared" si="1"/>
        <v>288</v>
      </c>
      <c r="B290" s="36" t="s">
        <v>11277</v>
      </c>
      <c r="C290" s="26" t="s">
        <v>19</v>
      </c>
      <c r="D290" s="26" t="s">
        <v>19</v>
      </c>
      <c r="E290" s="36" t="s">
        <v>11502</v>
      </c>
      <c r="F290" s="67" t="s">
        <v>10988</v>
      </c>
      <c r="G290" s="53" t="s">
        <v>11291</v>
      </c>
      <c r="H290" s="26" t="s">
        <v>448</v>
      </c>
      <c r="I290" s="26" t="s">
        <v>448</v>
      </c>
      <c r="J290" s="26" t="s">
        <v>448</v>
      </c>
      <c r="K290" s="1870" t="s">
        <v>4195</v>
      </c>
      <c r="L290" s="1870" t="s">
        <v>4692</v>
      </c>
      <c r="M290" s="1870" t="s">
        <v>9800</v>
      </c>
      <c r="N290" s="22" t="s">
        <v>9833</v>
      </c>
      <c r="O290" s="1870" t="s">
        <v>5431</v>
      </c>
      <c r="P290" s="1871" t="s">
        <v>111</v>
      </c>
      <c r="Q290" s="216" t="s">
        <v>25</v>
      </c>
      <c r="R290" s="54" t="s">
        <v>11498</v>
      </c>
      <c r="S290" s="1871" t="s">
        <v>111</v>
      </c>
      <c r="T290" s="1870" t="s">
        <v>1151</v>
      </c>
      <c r="U290" s="1870" t="s">
        <v>1151</v>
      </c>
      <c r="V290" s="24" t="s">
        <v>11215</v>
      </c>
      <c r="W290" s="90" t="s">
        <v>11086</v>
      </c>
      <c r="X290" s="24" t="s">
        <v>1800</v>
      </c>
      <c r="Y290" s="24">
        <v>1</v>
      </c>
      <c r="Z290" s="24" t="s">
        <v>11151</v>
      </c>
      <c r="AA290" s="24" t="s">
        <v>10227</v>
      </c>
      <c r="AB290" s="30">
        <v>3.9257</v>
      </c>
      <c r="AC290" s="30">
        <v>5.8</v>
      </c>
      <c r="AD290" s="30">
        <v>9.7256999999999998</v>
      </c>
      <c r="AE290" s="59"/>
      <c r="AF290" s="59"/>
      <c r="AG290" s="35" t="s">
        <v>1104</v>
      </c>
      <c r="AH290" s="1870" t="s">
        <v>10629</v>
      </c>
      <c r="AI290" s="35" t="s">
        <v>19</v>
      </c>
      <c r="AJ290" s="202" t="s">
        <v>19</v>
      </c>
      <c r="AK290" s="35" t="s">
        <v>1880</v>
      </c>
      <c r="AL290" s="1870"/>
    </row>
    <row r="291" spans="1:38" s="11" customFormat="1" ht="26.25" customHeight="1" x14ac:dyDescent="0.15">
      <c r="A291" s="8">
        <f t="shared" si="1"/>
        <v>289</v>
      </c>
      <c r="B291" s="36" t="s">
        <v>11278</v>
      </c>
      <c r="C291" s="26" t="s">
        <v>19</v>
      </c>
      <c r="D291" s="26" t="s">
        <v>19</v>
      </c>
      <c r="E291" s="36" t="s">
        <v>11503</v>
      </c>
      <c r="F291" s="29" t="s">
        <v>9163</v>
      </c>
      <c r="G291" s="53" t="s">
        <v>11291</v>
      </c>
      <c r="H291" s="26" t="s">
        <v>448</v>
      </c>
      <c r="I291" s="26" t="s">
        <v>448</v>
      </c>
      <c r="J291" s="26" t="s">
        <v>448</v>
      </c>
      <c r="K291" s="1870" t="s">
        <v>4195</v>
      </c>
      <c r="L291" s="1870" t="s">
        <v>4692</v>
      </c>
      <c r="M291" s="1870" t="s">
        <v>9801</v>
      </c>
      <c r="N291" s="22" t="s">
        <v>9834</v>
      </c>
      <c r="O291" s="1870" t="s">
        <v>5431</v>
      </c>
      <c r="P291" s="1871" t="s">
        <v>1880</v>
      </c>
      <c r="Q291" s="216" t="s">
        <v>25</v>
      </c>
      <c r="R291" s="54" t="s">
        <v>11498</v>
      </c>
      <c r="S291" s="1871" t="s">
        <v>111</v>
      </c>
      <c r="T291" s="1870" t="s">
        <v>1151</v>
      </c>
      <c r="U291" s="1870" t="s">
        <v>1151</v>
      </c>
      <c r="V291" s="24" t="s">
        <v>11215</v>
      </c>
      <c r="W291" s="90" t="s">
        <v>11086</v>
      </c>
      <c r="X291" s="24" t="s">
        <v>1800</v>
      </c>
      <c r="Y291" s="24">
        <v>1</v>
      </c>
      <c r="Z291" s="24" t="s">
        <v>11151</v>
      </c>
      <c r="AA291" s="24" t="s">
        <v>10227</v>
      </c>
      <c r="AB291" s="30">
        <v>3.9257</v>
      </c>
      <c r="AC291" s="30">
        <v>5.8</v>
      </c>
      <c r="AD291" s="30">
        <v>9.7256999999999998</v>
      </c>
      <c r="AE291" s="59"/>
      <c r="AF291" s="59"/>
      <c r="AG291" s="35" t="s">
        <v>1104</v>
      </c>
      <c r="AH291" s="1870" t="s">
        <v>10629</v>
      </c>
      <c r="AI291" s="35" t="s">
        <v>19</v>
      </c>
      <c r="AJ291" s="202" t="s">
        <v>19</v>
      </c>
      <c r="AK291" s="35" t="s">
        <v>1880</v>
      </c>
      <c r="AL291" s="1870"/>
    </row>
    <row r="292" spans="1:38" s="11" customFormat="1" ht="26.25" customHeight="1" x14ac:dyDescent="0.15">
      <c r="A292" s="8">
        <f t="shared" si="1"/>
        <v>290</v>
      </c>
      <c r="B292" s="36" t="s">
        <v>11279</v>
      </c>
      <c r="C292" s="26" t="s">
        <v>19</v>
      </c>
      <c r="D292" s="26" t="s">
        <v>19</v>
      </c>
      <c r="E292" s="36" t="s">
        <v>11504</v>
      </c>
      <c r="F292" s="29" t="s">
        <v>9814</v>
      </c>
      <c r="G292" s="53" t="s">
        <v>11291</v>
      </c>
      <c r="H292" s="26" t="s">
        <v>448</v>
      </c>
      <c r="I292" s="26" t="s">
        <v>448</v>
      </c>
      <c r="J292" s="26" t="s">
        <v>448</v>
      </c>
      <c r="K292" s="1870" t="s">
        <v>4195</v>
      </c>
      <c r="L292" s="1870" t="s">
        <v>4692</v>
      </c>
      <c r="M292" s="1870" t="s">
        <v>9802</v>
      </c>
      <c r="N292" s="22" t="s">
        <v>9835</v>
      </c>
      <c r="O292" s="1870" t="s">
        <v>5431</v>
      </c>
      <c r="P292" s="1871" t="s">
        <v>111</v>
      </c>
      <c r="Q292" s="216" t="s">
        <v>25</v>
      </c>
      <c r="R292" s="54" t="s">
        <v>11498</v>
      </c>
      <c r="S292" s="1871" t="s">
        <v>111</v>
      </c>
      <c r="T292" s="1870" t="s">
        <v>1151</v>
      </c>
      <c r="U292" s="1870" t="s">
        <v>1151</v>
      </c>
      <c r="V292" s="24" t="s">
        <v>11151</v>
      </c>
      <c r="W292" s="90" t="s">
        <v>10227</v>
      </c>
      <c r="X292" s="24" t="s">
        <v>1800</v>
      </c>
      <c r="Y292" s="24">
        <v>1</v>
      </c>
      <c r="Z292" s="24" t="s">
        <v>11151</v>
      </c>
      <c r="AA292" s="24" t="s">
        <v>10227</v>
      </c>
      <c r="AB292" s="30">
        <v>3.9257</v>
      </c>
      <c r="AC292" s="30">
        <v>5.8</v>
      </c>
      <c r="AD292" s="30">
        <v>9.7256999999999998</v>
      </c>
      <c r="AE292" s="59"/>
      <c r="AF292" s="59"/>
      <c r="AG292" s="35" t="s">
        <v>1104</v>
      </c>
      <c r="AH292" s="1870" t="s">
        <v>10629</v>
      </c>
      <c r="AI292" s="35" t="s">
        <v>19</v>
      </c>
      <c r="AJ292" s="202" t="s">
        <v>19</v>
      </c>
      <c r="AK292" s="35" t="s">
        <v>1880</v>
      </c>
      <c r="AL292" s="1870"/>
    </row>
    <row r="293" spans="1:38" s="11" customFormat="1" ht="26.25" customHeight="1" x14ac:dyDescent="0.15">
      <c r="A293" s="8">
        <f t="shared" si="1"/>
        <v>291</v>
      </c>
      <c r="B293" s="36" t="s">
        <v>11280</v>
      </c>
      <c r="C293" s="26" t="s">
        <v>19</v>
      </c>
      <c r="D293" s="26" t="s">
        <v>19</v>
      </c>
      <c r="E293" s="36" t="s">
        <v>11505</v>
      </c>
      <c r="F293" s="29" t="s">
        <v>9828</v>
      </c>
      <c r="G293" s="53" t="s">
        <v>11291</v>
      </c>
      <c r="H293" s="26" t="s">
        <v>448</v>
      </c>
      <c r="I293" s="26" t="s">
        <v>448</v>
      </c>
      <c r="J293" s="26" t="s">
        <v>448</v>
      </c>
      <c r="K293" s="1870" t="s">
        <v>4195</v>
      </c>
      <c r="L293" s="1870" t="s">
        <v>4692</v>
      </c>
      <c r="M293" s="1870" t="s">
        <v>9803</v>
      </c>
      <c r="N293" s="22" t="s">
        <v>4780</v>
      </c>
      <c r="O293" s="1870" t="s">
        <v>5431</v>
      </c>
      <c r="P293" s="1871" t="s">
        <v>1880</v>
      </c>
      <c r="Q293" s="216" t="s">
        <v>25</v>
      </c>
      <c r="R293" s="54" t="s">
        <v>11498</v>
      </c>
      <c r="S293" s="1871" t="s">
        <v>111</v>
      </c>
      <c r="T293" s="1870" t="s">
        <v>1151</v>
      </c>
      <c r="U293" s="1870" t="s">
        <v>1151</v>
      </c>
      <c r="V293" s="24" t="s">
        <v>11215</v>
      </c>
      <c r="W293" s="90" t="s">
        <v>11086</v>
      </c>
      <c r="X293" s="24" t="s">
        <v>1800</v>
      </c>
      <c r="Y293" s="24">
        <v>1</v>
      </c>
      <c r="Z293" s="24" t="s">
        <v>11151</v>
      </c>
      <c r="AA293" s="24" t="s">
        <v>10227</v>
      </c>
      <c r="AB293" s="30">
        <v>3.9257</v>
      </c>
      <c r="AC293" s="30">
        <v>5.8</v>
      </c>
      <c r="AD293" s="30">
        <v>9.7256999999999998</v>
      </c>
      <c r="AE293" s="59"/>
      <c r="AF293" s="59"/>
      <c r="AG293" s="35" t="s">
        <v>1104</v>
      </c>
      <c r="AH293" s="1870" t="s">
        <v>10629</v>
      </c>
      <c r="AI293" s="35" t="s">
        <v>19</v>
      </c>
      <c r="AJ293" s="202" t="s">
        <v>19</v>
      </c>
      <c r="AK293" s="35" t="s">
        <v>1880</v>
      </c>
      <c r="AL293" s="1870"/>
    </row>
    <row r="294" spans="1:38" s="11" customFormat="1" ht="26.25" customHeight="1" x14ac:dyDescent="0.15">
      <c r="A294" s="8">
        <f t="shared" si="1"/>
        <v>292</v>
      </c>
      <c r="B294" s="36" t="s">
        <v>11281</v>
      </c>
      <c r="C294" s="26" t="s">
        <v>19</v>
      </c>
      <c r="D294" s="26" t="s">
        <v>19</v>
      </c>
      <c r="E294" s="36" t="s">
        <v>11506</v>
      </c>
      <c r="F294" s="29" t="s">
        <v>9829</v>
      </c>
      <c r="G294" s="53" t="s">
        <v>11291</v>
      </c>
      <c r="H294" s="26" t="s">
        <v>448</v>
      </c>
      <c r="I294" s="26" t="s">
        <v>448</v>
      </c>
      <c r="J294" s="26" t="s">
        <v>448</v>
      </c>
      <c r="K294" s="1870" t="s">
        <v>4195</v>
      </c>
      <c r="L294" s="1870" t="s">
        <v>4692</v>
      </c>
      <c r="M294" s="1870" t="s">
        <v>9804</v>
      </c>
      <c r="N294" s="22" t="s">
        <v>4780</v>
      </c>
      <c r="O294" s="1870" t="s">
        <v>5431</v>
      </c>
      <c r="P294" s="1871" t="s">
        <v>111</v>
      </c>
      <c r="Q294" s="216" t="s">
        <v>25</v>
      </c>
      <c r="R294" s="54" t="s">
        <v>11498</v>
      </c>
      <c r="S294" s="1871" t="s">
        <v>111</v>
      </c>
      <c r="T294" s="1870" t="s">
        <v>1151</v>
      </c>
      <c r="U294" s="1870" t="s">
        <v>1151</v>
      </c>
      <c r="V294" s="24" t="s">
        <v>11215</v>
      </c>
      <c r="W294" s="90" t="s">
        <v>11086</v>
      </c>
      <c r="X294" s="24" t="s">
        <v>1800</v>
      </c>
      <c r="Y294" s="24">
        <v>1</v>
      </c>
      <c r="Z294" s="24" t="s">
        <v>11151</v>
      </c>
      <c r="AA294" s="24" t="s">
        <v>10227</v>
      </c>
      <c r="AB294" s="30">
        <v>3.9257</v>
      </c>
      <c r="AC294" s="30">
        <v>5.8</v>
      </c>
      <c r="AD294" s="30">
        <v>9.7256999999999998</v>
      </c>
      <c r="AE294" s="59"/>
      <c r="AF294" s="59"/>
      <c r="AG294" s="35" t="s">
        <v>1104</v>
      </c>
      <c r="AH294" s="1870" t="s">
        <v>10629</v>
      </c>
      <c r="AI294" s="35" t="s">
        <v>19</v>
      </c>
      <c r="AJ294" s="202" t="s">
        <v>19</v>
      </c>
      <c r="AK294" s="35" t="s">
        <v>1880</v>
      </c>
      <c r="AL294" s="1870"/>
    </row>
    <row r="295" spans="1:38" s="11" customFormat="1" ht="26.25" customHeight="1" x14ac:dyDescent="0.15">
      <c r="A295" s="8">
        <f t="shared" si="1"/>
        <v>293</v>
      </c>
      <c r="B295" s="36" t="s">
        <v>11282</v>
      </c>
      <c r="C295" s="26" t="s">
        <v>19</v>
      </c>
      <c r="D295" s="26" t="s">
        <v>19</v>
      </c>
      <c r="E295" s="36" t="s">
        <v>11342</v>
      </c>
      <c r="F295" s="29" t="s">
        <v>9813</v>
      </c>
      <c r="G295" s="53" t="s">
        <v>11291</v>
      </c>
      <c r="H295" s="26" t="s">
        <v>448</v>
      </c>
      <c r="I295" s="26" t="s">
        <v>448</v>
      </c>
      <c r="J295" s="26" t="s">
        <v>448</v>
      </c>
      <c r="K295" s="1870" t="s">
        <v>4195</v>
      </c>
      <c r="L295" s="1870" t="s">
        <v>4692</v>
      </c>
      <c r="M295" s="1870" t="s">
        <v>9805</v>
      </c>
      <c r="N295" s="22" t="s">
        <v>4780</v>
      </c>
      <c r="O295" s="1870" t="s">
        <v>5431</v>
      </c>
      <c r="P295" s="1871" t="s">
        <v>1880</v>
      </c>
      <c r="Q295" s="216" t="s">
        <v>25</v>
      </c>
      <c r="R295" s="54" t="s">
        <v>11498</v>
      </c>
      <c r="S295" s="1871" t="s">
        <v>111</v>
      </c>
      <c r="T295" s="1870" t="s">
        <v>1151</v>
      </c>
      <c r="U295" s="1870" t="s">
        <v>1151</v>
      </c>
      <c r="V295" s="24" t="s">
        <v>11215</v>
      </c>
      <c r="W295" s="90" t="s">
        <v>11086</v>
      </c>
      <c r="X295" s="24" t="s">
        <v>1800</v>
      </c>
      <c r="Y295" s="24">
        <v>1</v>
      </c>
      <c r="Z295" s="24" t="s">
        <v>11151</v>
      </c>
      <c r="AA295" s="24" t="s">
        <v>10227</v>
      </c>
      <c r="AB295" s="203">
        <v>1.96285</v>
      </c>
      <c r="AC295" s="30">
        <v>5.8</v>
      </c>
      <c r="AD295" s="203">
        <v>7.7628500000000003</v>
      </c>
      <c r="AE295" s="59"/>
      <c r="AF295" s="59"/>
      <c r="AG295" s="35" t="s">
        <v>1104</v>
      </c>
      <c r="AH295" s="1870" t="s">
        <v>10629</v>
      </c>
      <c r="AI295" s="35" t="s">
        <v>19</v>
      </c>
      <c r="AJ295" s="202" t="s">
        <v>19</v>
      </c>
      <c r="AK295" s="35" t="s">
        <v>1880</v>
      </c>
      <c r="AL295" s="1870"/>
    </row>
    <row r="296" spans="1:38" s="11" customFormat="1" ht="26.25" customHeight="1" x14ac:dyDescent="0.15">
      <c r="A296" s="8">
        <f t="shared" si="1"/>
        <v>294</v>
      </c>
      <c r="B296" s="36" t="s">
        <v>11283</v>
      </c>
      <c r="C296" s="26" t="s">
        <v>19</v>
      </c>
      <c r="D296" s="26" t="s">
        <v>19</v>
      </c>
      <c r="E296" s="36" t="s">
        <v>11507</v>
      </c>
      <c r="F296" s="29" t="s">
        <v>9830</v>
      </c>
      <c r="G296" s="53" t="s">
        <v>11291</v>
      </c>
      <c r="H296" s="26" t="s">
        <v>448</v>
      </c>
      <c r="I296" s="26" t="s">
        <v>448</v>
      </c>
      <c r="J296" s="26" t="s">
        <v>448</v>
      </c>
      <c r="K296" s="1870" t="s">
        <v>4195</v>
      </c>
      <c r="L296" s="1870" t="s">
        <v>4692</v>
      </c>
      <c r="M296" s="1870" t="s">
        <v>9806</v>
      </c>
      <c r="N296" s="22" t="s">
        <v>4780</v>
      </c>
      <c r="O296" s="1870" t="s">
        <v>5431</v>
      </c>
      <c r="P296" s="1871" t="s">
        <v>111</v>
      </c>
      <c r="Q296" s="216" t="s">
        <v>25</v>
      </c>
      <c r="R296" s="54" t="s">
        <v>11498</v>
      </c>
      <c r="S296" s="1871" t="s">
        <v>111</v>
      </c>
      <c r="T296" s="1870" t="s">
        <v>1151</v>
      </c>
      <c r="U296" s="1870" t="s">
        <v>1151</v>
      </c>
      <c r="V296" s="24" t="s">
        <v>11215</v>
      </c>
      <c r="W296" s="90" t="s">
        <v>11086</v>
      </c>
      <c r="X296" s="24" t="s">
        <v>1800</v>
      </c>
      <c r="Y296" s="24">
        <v>1</v>
      </c>
      <c r="Z296" s="24" t="s">
        <v>11151</v>
      </c>
      <c r="AA296" s="24" t="s">
        <v>10227</v>
      </c>
      <c r="AB296" s="203">
        <v>1.96285</v>
      </c>
      <c r="AC296" s="30">
        <v>5.8</v>
      </c>
      <c r="AD296" s="203">
        <v>7.7628500000000003</v>
      </c>
      <c r="AE296" s="59"/>
      <c r="AF296" s="59"/>
      <c r="AG296" s="35" t="s">
        <v>1104</v>
      </c>
      <c r="AH296" s="1870" t="s">
        <v>10629</v>
      </c>
      <c r="AI296" s="35" t="s">
        <v>19</v>
      </c>
      <c r="AJ296" s="202" t="s">
        <v>19</v>
      </c>
      <c r="AK296" s="35" t="s">
        <v>1880</v>
      </c>
      <c r="AL296" s="1870"/>
    </row>
    <row r="297" spans="1:38" s="11" customFormat="1" ht="26.25" customHeight="1" x14ac:dyDescent="0.15">
      <c r="A297" s="8">
        <f t="shared" si="1"/>
        <v>295</v>
      </c>
      <c r="B297" s="36" t="s">
        <v>11284</v>
      </c>
      <c r="C297" s="26" t="s">
        <v>19</v>
      </c>
      <c r="D297" s="26" t="s">
        <v>19</v>
      </c>
      <c r="E297" s="36" t="s">
        <v>11508</v>
      </c>
      <c r="F297" s="29" t="s">
        <v>9831</v>
      </c>
      <c r="G297" s="53" t="s">
        <v>11291</v>
      </c>
      <c r="H297" s="26" t="s">
        <v>448</v>
      </c>
      <c r="I297" s="26" t="s">
        <v>448</v>
      </c>
      <c r="J297" s="26" t="s">
        <v>448</v>
      </c>
      <c r="K297" s="1870" t="s">
        <v>4195</v>
      </c>
      <c r="L297" s="1870" t="s">
        <v>4692</v>
      </c>
      <c r="M297" s="1870" t="s">
        <v>9807</v>
      </c>
      <c r="N297" s="22" t="s">
        <v>10991</v>
      </c>
      <c r="O297" s="1870" t="s">
        <v>5478</v>
      </c>
      <c r="P297" s="1871" t="s">
        <v>1880</v>
      </c>
      <c r="Q297" s="1870" t="s">
        <v>4676</v>
      </c>
      <c r="R297" s="54" t="s">
        <v>11498</v>
      </c>
      <c r="S297" s="1871" t="s">
        <v>111</v>
      </c>
      <c r="T297" s="1870" t="s">
        <v>1151</v>
      </c>
      <c r="U297" s="1870" t="s">
        <v>1151</v>
      </c>
      <c r="V297" s="24" t="s">
        <v>11215</v>
      </c>
      <c r="W297" s="90" t="s">
        <v>11086</v>
      </c>
      <c r="X297" s="24" t="s">
        <v>1800</v>
      </c>
      <c r="Y297" s="24">
        <v>1</v>
      </c>
      <c r="Z297" s="24" t="s">
        <v>11151</v>
      </c>
      <c r="AA297" s="24" t="s">
        <v>10227</v>
      </c>
      <c r="AB297" s="30">
        <v>3.9257</v>
      </c>
      <c r="AC297" s="30">
        <v>5.8</v>
      </c>
      <c r="AD297" s="30">
        <v>9.7256999999999998</v>
      </c>
      <c r="AE297" s="59"/>
      <c r="AF297" s="59"/>
      <c r="AG297" s="35" t="s">
        <v>1104</v>
      </c>
      <c r="AH297" s="1870" t="s">
        <v>10629</v>
      </c>
      <c r="AI297" s="35" t="s">
        <v>19</v>
      </c>
      <c r="AJ297" s="202" t="s">
        <v>19</v>
      </c>
      <c r="AK297" s="35" t="s">
        <v>1880</v>
      </c>
      <c r="AL297" s="1870"/>
    </row>
    <row r="298" spans="1:38" s="11" customFormat="1" ht="26.25" customHeight="1" x14ac:dyDescent="0.15">
      <c r="A298" s="8">
        <f t="shared" si="1"/>
        <v>296</v>
      </c>
      <c r="B298" s="36" t="s">
        <v>11285</v>
      </c>
      <c r="C298" s="26" t="s">
        <v>19</v>
      </c>
      <c r="D298" s="26" t="s">
        <v>19</v>
      </c>
      <c r="E298" s="36" t="s">
        <v>11509</v>
      </c>
      <c r="F298" s="29" t="s">
        <v>9830</v>
      </c>
      <c r="G298" s="53" t="s">
        <v>11291</v>
      </c>
      <c r="H298" s="26" t="s">
        <v>448</v>
      </c>
      <c r="I298" s="26" t="s">
        <v>448</v>
      </c>
      <c r="J298" s="26" t="s">
        <v>448</v>
      </c>
      <c r="K298" s="1870" t="s">
        <v>4195</v>
      </c>
      <c r="L298" s="1870" t="s">
        <v>4692</v>
      </c>
      <c r="M298" s="1870" t="s">
        <v>9808</v>
      </c>
      <c r="N298" s="22" t="s">
        <v>4780</v>
      </c>
      <c r="O298" s="1870" t="s">
        <v>5478</v>
      </c>
      <c r="P298" s="1871" t="s">
        <v>111</v>
      </c>
      <c r="Q298" s="1870" t="s">
        <v>4676</v>
      </c>
      <c r="R298" s="54" t="s">
        <v>11498</v>
      </c>
      <c r="S298" s="1871" t="s">
        <v>111</v>
      </c>
      <c r="T298" s="1870" t="s">
        <v>1151</v>
      </c>
      <c r="U298" s="1870" t="s">
        <v>1151</v>
      </c>
      <c r="V298" s="24" t="s">
        <v>11215</v>
      </c>
      <c r="W298" s="90" t="s">
        <v>11086</v>
      </c>
      <c r="X298" s="24" t="s">
        <v>1800</v>
      </c>
      <c r="Y298" s="24">
        <v>1</v>
      </c>
      <c r="Z298" s="24" t="s">
        <v>11151</v>
      </c>
      <c r="AA298" s="24" t="s">
        <v>10227</v>
      </c>
      <c r="AB298" s="203">
        <v>1.96285</v>
      </c>
      <c r="AC298" s="30">
        <v>5.8</v>
      </c>
      <c r="AD298" s="203">
        <v>7.7628500000000003</v>
      </c>
      <c r="AE298" s="59"/>
      <c r="AF298" s="59"/>
      <c r="AG298" s="35" t="s">
        <v>1104</v>
      </c>
      <c r="AH298" s="1870" t="s">
        <v>10629</v>
      </c>
      <c r="AI298" s="35" t="s">
        <v>19</v>
      </c>
      <c r="AJ298" s="202" t="s">
        <v>19</v>
      </c>
      <c r="AK298" s="35" t="s">
        <v>1880</v>
      </c>
      <c r="AL298" s="1870"/>
    </row>
    <row r="299" spans="1:38" s="11" customFormat="1" ht="26.25" customHeight="1" x14ac:dyDescent="0.15">
      <c r="A299" s="8">
        <f t="shared" si="1"/>
        <v>297</v>
      </c>
      <c r="B299" s="36" t="s">
        <v>11286</v>
      </c>
      <c r="C299" s="26" t="s">
        <v>19</v>
      </c>
      <c r="D299" s="26" t="s">
        <v>19</v>
      </c>
      <c r="E299" s="36" t="s">
        <v>11510</v>
      </c>
      <c r="F299" s="29" t="s">
        <v>9830</v>
      </c>
      <c r="G299" s="53" t="s">
        <v>11291</v>
      </c>
      <c r="H299" s="26" t="s">
        <v>448</v>
      </c>
      <c r="I299" s="26" t="s">
        <v>448</v>
      </c>
      <c r="J299" s="26" t="s">
        <v>448</v>
      </c>
      <c r="K299" s="1870" t="s">
        <v>4195</v>
      </c>
      <c r="L299" s="1870" t="s">
        <v>4692</v>
      </c>
      <c r="M299" s="1870" t="s">
        <v>9809</v>
      </c>
      <c r="N299" s="22" t="s">
        <v>4780</v>
      </c>
      <c r="O299" s="1870" t="s">
        <v>5478</v>
      </c>
      <c r="P299" s="1871" t="s">
        <v>1880</v>
      </c>
      <c r="Q299" s="1870" t="s">
        <v>4676</v>
      </c>
      <c r="R299" s="54" t="s">
        <v>11498</v>
      </c>
      <c r="S299" s="1871" t="s">
        <v>111</v>
      </c>
      <c r="T299" s="1870" t="s">
        <v>1151</v>
      </c>
      <c r="U299" s="1870" t="s">
        <v>1151</v>
      </c>
      <c r="V299" s="24" t="s">
        <v>11215</v>
      </c>
      <c r="W299" s="90" t="s">
        <v>11086</v>
      </c>
      <c r="X299" s="24" t="s">
        <v>1800</v>
      </c>
      <c r="Y299" s="24">
        <v>1</v>
      </c>
      <c r="Z299" s="24" t="s">
        <v>11151</v>
      </c>
      <c r="AA299" s="24" t="s">
        <v>10227</v>
      </c>
      <c r="AB299" s="30">
        <v>3.9257</v>
      </c>
      <c r="AC299" s="30">
        <v>5.8</v>
      </c>
      <c r="AD299" s="30">
        <v>9.7256999999999998</v>
      </c>
      <c r="AE299" s="59"/>
      <c r="AF299" s="59"/>
      <c r="AG299" s="35" t="s">
        <v>1104</v>
      </c>
      <c r="AH299" s="1870" t="s">
        <v>10629</v>
      </c>
      <c r="AI299" s="35" t="s">
        <v>19</v>
      </c>
      <c r="AJ299" s="202" t="s">
        <v>19</v>
      </c>
      <c r="AK299" s="35" t="s">
        <v>1880</v>
      </c>
      <c r="AL299" s="1870"/>
    </row>
    <row r="300" spans="1:38" s="11" customFormat="1" ht="26.25" customHeight="1" x14ac:dyDescent="0.15">
      <c r="A300" s="8">
        <f t="shared" si="1"/>
        <v>298</v>
      </c>
      <c r="B300" s="36" t="s">
        <v>11287</v>
      </c>
      <c r="C300" s="26" t="s">
        <v>19</v>
      </c>
      <c r="D300" s="26" t="s">
        <v>19</v>
      </c>
      <c r="E300" s="611" t="s">
        <v>11344</v>
      </c>
      <c r="F300" s="29" t="s">
        <v>9813</v>
      </c>
      <c r="G300" s="53" t="s">
        <v>11291</v>
      </c>
      <c r="H300" s="26" t="s">
        <v>448</v>
      </c>
      <c r="I300" s="26" t="s">
        <v>448</v>
      </c>
      <c r="J300" s="26" t="s">
        <v>448</v>
      </c>
      <c r="K300" s="1870" t="s">
        <v>4195</v>
      </c>
      <c r="L300" s="1870" t="s">
        <v>4692</v>
      </c>
      <c r="M300" s="1870" t="s">
        <v>9810</v>
      </c>
      <c r="N300" s="22" t="s">
        <v>4780</v>
      </c>
      <c r="O300" s="1870" t="s">
        <v>5478</v>
      </c>
      <c r="P300" s="1871" t="s">
        <v>111</v>
      </c>
      <c r="Q300" s="1870" t="s">
        <v>4676</v>
      </c>
      <c r="R300" s="54" t="s">
        <v>11498</v>
      </c>
      <c r="S300" s="1871" t="s">
        <v>111</v>
      </c>
      <c r="T300" s="1870" t="s">
        <v>1151</v>
      </c>
      <c r="U300" s="1870" t="s">
        <v>1151</v>
      </c>
      <c r="V300" s="24" t="s">
        <v>11215</v>
      </c>
      <c r="W300" s="90" t="s">
        <v>11086</v>
      </c>
      <c r="X300" s="24" t="s">
        <v>1800</v>
      </c>
      <c r="Y300" s="24">
        <v>1</v>
      </c>
      <c r="Z300" s="24" t="s">
        <v>11151</v>
      </c>
      <c r="AA300" s="24" t="s">
        <v>10227</v>
      </c>
      <c r="AB300" s="203">
        <v>1.96285</v>
      </c>
      <c r="AC300" s="30">
        <v>5.8</v>
      </c>
      <c r="AD300" s="203">
        <v>7.7628500000000003</v>
      </c>
      <c r="AE300" s="59"/>
      <c r="AF300" s="59"/>
      <c r="AG300" s="35" t="s">
        <v>1104</v>
      </c>
      <c r="AH300" s="1870" t="s">
        <v>10629</v>
      </c>
      <c r="AI300" s="35" t="s">
        <v>19</v>
      </c>
      <c r="AJ300" s="202" t="s">
        <v>19</v>
      </c>
      <c r="AK300" s="35" t="s">
        <v>1880</v>
      </c>
      <c r="AL300" s="1870"/>
    </row>
    <row r="301" spans="1:38" s="11" customFormat="1" ht="26.25" customHeight="1" x14ac:dyDescent="0.15">
      <c r="A301" s="8">
        <f t="shared" si="1"/>
        <v>299</v>
      </c>
      <c r="B301" s="36" t="s">
        <v>11288</v>
      </c>
      <c r="C301" s="26" t="s">
        <v>19</v>
      </c>
      <c r="D301" s="26" t="s">
        <v>19</v>
      </c>
      <c r="E301" s="36" t="s">
        <v>11511</v>
      </c>
      <c r="F301" s="29" t="s">
        <v>9815</v>
      </c>
      <c r="G301" s="53" t="s">
        <v>11291</v>
      </c>
      <c r="H301" s="26" t="s">
        <v>448</v>
      </c>
      <c r="I301" s="26" t="s">
        <v>448</v>
      </c>
      <c r="J301" s="26" t="s">
        <v>448</v>
      </c>
      <c r="K301" s="1870" t="s">
        <v>4195</v>
      </c>
      <c r="L301" s="1870" t="s">
        <v>4692</v>
      </c>
      <c r="M301" s="1870" t="s">
        <v>9811</v>
      </c>
      <c r="N301" s="22" t="s">
        <v>4780</v>
      </c>
      <c r="O301" s="1870" t="s">
        <v>5478</v>
      </c>
      <c r="P301" s="1871" t="s">
        <v>1880</v>
      </c>
      <c r="Q301" s="1870" t="s">
        <v>4676</v>
      </c>
      <c r="R301" s="54" t="s">
        <v>11498</v>
      </c>
      <c r="S301" s="1871" t="s">
        <v>111</v>
      </c>
      <c r="T301" s="1870" t="s">
        <v>1151</v>
      </c>
      <c r="U301" s="1870" t="s">
        <v>1151</v>
      </c>
      <c r="V301" s="24" t="s">
        <v>11215</v>
      </c>
      <c r="W301" s="90" t="s">
        <v>11086</v>
      </c>
      <c r="X301" s="24" t="s">
        <v>1800</v>
      </c>
      <c r="Y301" s="24">
        <v>1</v>
      </c>
      <c r="Z301" s="24" t="s">
        <v>11151</v>
      </c>
      <c r="AA301" s="24" t="s">
        <v>10227</v>
      </c>
      <c r="AB301" s="30">
        <v>3.9257</v>
      </c>
      <c r="AC301" s="30">
        <v>5.8</v>
      </c>
      <c r="AD301" s="30">
        <v>9.7256999999999998</v>
      </c>
      <c r="AE301" s="59"/>
      <c r="AF301" s="59"/>
      <c r="AG301" s="35" t="s">
        <v>1104</v>
      </c>
      <c r="AH301" s="1870" t="s">
        <v>10629</v>
      </c>
      <c r="AI301" s="35" t="s">
        <v>19</v>
      </c>
      <c r="AJ301" s="202" t="s">
        <v>19</v>
      </c>
      <c r="AK301" s="35" t="s">
        <v>1880</v>
      </c>
      <c r="AL301" s="1870"/>
    </row>
    <row r="302" spans="1:38" s="11" customFormat="1" ht="26.25" customHeight="1" x14ac:dyDescent="0.15">
      <c r="A302" s="8">
        <f t="shared" si="1"/>
        <v>300</v>
      </c>
      <c r="B302" s="36" t="s">
        <v>11289</v>
      </c>
      <c r="C302" s="26" t="s">
        <v>19</v>
      </c>
      <c r="D302" s="26" t="s">
        <v>19</v>
      </c>
      <c r="E302" s="26" t="s">
        <v>11343</v>
      </c>
      <c r="F302" s="29" t="s">
        <v>9815</v>
      </c>
      <c r="G302" s="53" t="s">
        <v>11291</v>
      </c>
      <c r="H302" s="26" t="s">
        <v>448</v>
      </c>
      <c r="I302" s="26" t="s">
        <v>448</v>
      </c>
      <c r="J302" s="26" t="s">
        <v>448</v>
      </c>
      <c r="K302" s="1870" t="s">
        <v>4195</v>
      </c>
      <c r="L302" s="1870" t="s">
        <v>4692</v>
      </c>
      <c r="M302" s="1870" t="s">
        <v>9812</v>
      </c>
      <c r="N302" s="22" t="s">
        <v>4780</v>
      </c>
      <c r="O302" s="1870" t="s">
        <v>5478</v>
      </c>
      <c r="P302" s="1871" t="s">
        <v>111</v>
      </c>
      <c r="Q302" s="1870" t="s">
        <v>4676</v>
      </c>
      <c r="R302" s="54" t="s">
        <v>11498</v>
      </c>
      <c r="S302" s="1871" t="s">
        <v>111</v>
      </c>
      <c r="T302" s="1870" t="s">
        <v>1151</v>
      </c>
      <c r="U302" s="1870" t="s">
        <v>1151</v>
      </c>
      <c r="V302" s="24" t="s">
        <v>11215</v>
      </c>
      <c r="W302" s="90" t="s">
        <v>11086</v>
      </c>
      <c r="X302" s="24" t="s">
        <v>1800</v>
      </c>
      <c r="Y302" s="24">
        <v>1</v>
      </c>
      <c r="Z302" s="24" t="s">
        <v>11151</v>
      </c>
      <c r="AA302" s="24" t="s">
        <v>10227</v>
      </c>
      <c r="AB302" s="30">
        <v>3.9257</v>
      </c>
      <c r="AC302" s="30">
        <v>5.8</v>
      </c>
      <c r="AD302" s="30">
        <v>9.7256999999999998</v>
      </c>
      <c r="AE302" s="59"/>
      <c r="AF302" s="59"/>
      <c r="AG302" s="35" t="s">
        <v>1104</v>
      </c>
      <c r="AH302" s="1870" t="s">
        <v>10629</v>
      </c>
      <c r="AI302" s="35" t="s">
        <v>19</v>
      </c>
      <c r="AJ302" s="202" t="s">
        <v>19</v>
      </c>
      <c r="AK302" s="35" t="s">
        <v>1880</v>
      </c>
      <c r="AL302" s="1870"/>
    </row>
    <row r="303" spans="1:38" s="11" customFormat="1" ht="26.25" customHeight="1" x14ac:dyDescent="0.15">
      <c r="A303" s="8">
        <f t="shared" si="1"/>
        <v>301</v>
      </c>
      <c r="B303" s="36" t="s">
        <v>11290</v>
      </c>
      <c r="C303" s="26" t="s">
        <v>19</v>
      </c>
      <c r="D303" s="26" t="s">
        <v>19</v>
      </c>
      <c r="E303" s="36" t="s">
        <v>11512</v>
      </c>
      <c r="F303" s="29" t="s">
        <v>10620</v>
      </c>
      <c r="G303" s="53" t="s">
        <v>11291</v>
      </c>
      <c r="H303" s="1478" t="s">
        <v>448</v>
      </c>
      <c r="I303" s="1478" t="s">
        <v>448</v>
      </c>
      <c r="J303" s="1478" t="s">
        <v>448</v>
      </c>
      <c r="K303" s="1869" t="s">
        <v>1147</v>
      </c>
      <c r="L303" s="1869" t="s">
        <v>2054</v>
      </c>
      <c r="M303" s="1869" t="s">
        <v>10622</v>
      </c>
      <c r="N303" s="22" t="s">
        <v>1138</v>
      </c>
      <c r="O303" s="1870" t="s">
        <v>5431</v>
      </c>
      <c r="P303" s="1871" t="s">
        <v>111</v>
      </c>
      <c r="Q303" s="1870" t="s">
        <v>1131</v>
      </c>
      <c r="R303" s="54" t="s">
        <v>11498</v>
      </c>
      <c r="S303" s="1871" t="s">
        <v>111</v>
      </c>
      <c r="T303" s="1870" t="s">
        <v>1151</v>
      </c>
      <c r="U303" s="1870" t="s">
        <v>1151</v>
      </c>
      <c r="V303" s="24" t="s">
        <v>11215</v>
      </c>
      <c r="W303" s="90" t="s">
        <v>11086</v>
      </c>
      <c r="X303" s="24" t="s">
        <v>1800</v>
      </c>
      <c r="Y303" s="24">
        <v>1</v>
      </c>
      <c r="Z303" s="24" t="s">
        <v>11086</v>
      </c>
      <c r="AA303" s="24" t="s">
        <v>11292</v>
      </c>
      <c r="AB303" s="30">
        <v>6</v>
      </c>
      <c r="AC303" s="30">
        <v>11.6</v>
      </c>
      <c r="AD303" s="30">
        <v>17.600000000000001</v>
      </c>
      <c r="AE303" s="59"/>
      <c r="AF303" s="59"/>
      <c r="AG303" s="35" t="s">
        <v>1104</v>
      </c>
      <c r="AH303" s="1870" t="s">
        <v>10629</v>
      </c>
      <c r="AI303" s="35" t="s">
        <v>19</v>
      </c>
      <c r="AJ303" s="202" t="s">
        <v>19</v>
      </c>
      <c r="AK303" s="35" t="s">
        <v>1880</v>
      </c>
      <c r="AL303" s="1870"/>
    </row>
    <row r="304" spans="1:38" s="11" customFormat="1" ht="26.25" customHeight="1" x14ac:dyDescent="0.15">
      <c r="A304" s="8">
        <f t="shared" si="1"/>
        <v>302</v>
      </c>
      <c r="B304" s="36" t="s">
        <v>11293</v>
      </c>
      <c r="C304" s="26" t="s">
        <v>19</v>
      </c>
      <c r="D304" s="26" t="s">
        <v>19</v>
      </c>
      <c r="E304" s="26" t="s">
        <v>19</v>
      </c>
      <c r="F304" s="29" t="s">
        <v>9911</v>
      </c>
      <c r="G304" s="53" t="s">
        <v>11298</v>
      </c>
      <c r="H304" s="1478" t="s">
        <v>448</v>
      </c>
      <c r="I304" s="1478" t="s">
        <v>448</v>
      </c>
      <c r="J304" s="1478" t="s">
        <v>448</v>
      </c>
      <c r="K304" s="1870" t="s">
        <v>3649</v>
      </c>
      <c r="L304" s="1870" t="s">
        <v>4750</v>
      </c>
      <c r="M304" s="1870" t="s">
        <v>9938</v>
      </c>
      <c r="N304" s="22" t="s">
        <v>8128</v>
      </c>
      <c r="O304" s="22" t="s">
        <v>1826</v>
      </c>
      <c r="P304" s="22" t="s">
        <v>1880</v>
      </c>
      <c r="Q304" s="1870" t="s">
        <v>1131</v>
      </c>
      <c r="R304" s="54" t="s">
        <v>116</v>
      </c>
      <c r="S304" s="1871" t="s">
        <v>111</v>
      </c>
      <c r="T304" s="1870" t="s">
        <v>5487</v>
      </c>
      <c r="U304" s="1870" t="s">
        <v>5487</v>
      </c>
      <c r="V304" s="24" t="s">
        <v>11215</v>
      </c>
      <c r="W304" s="90" t="s">
        <v>11299</v>
      </c>
      <c r="X304" s="24" t="s">
        <v>110</v>
      </c>
      <c r="Y304" s="24">
        <v>1</v>
      </c>
      <c r="Z304" s="24" t="s">
        <v>11300</v>
      </c>
      <c r="AA304" s="24" t="s">
        <v>11301</v>
      </c>
      <c r="AB304" s="30"/>
      <c r="AC304" s="30">
        <v>6.9</v>
      </c>
      <c r="AD304" s="30">
        <v>6.9</v>
      </c>
      <c r="AE304" s="59"/>
      <c r="AF304" s="59"/>
      <c r="AG304" s="35" t="s">
        <v>1104</v>
      </c>
      <c r="AH304" s="1870" t="s">
        <v>10629</v>
      </c>
      <c r="AI304" s="35" t="s">
        <v>19</v>
      </c>
      <c r="AJ304" s="202" t="s">
        <v>19</v>
      </c>
      <c r="AK304" s="35" t="s">
        <v>1880</v>
      </c>
      <c r="AL304" s="1870"/>
    </row>
    <row r="305" spans="1:38" s="11" customFormat="1" ht="26.25" customHeight="1" x14ac:dyDescent="0.15">
      <c r="A305" s="8">
        <f t="shared" si="1"/>
        <v>303</v>
      </c>
      <c r="B305" s="36" t="s">
        <v>11294</v>
      </c>
      <c r="C305" s="26" t="s">
        <v>19</v>
      </c>
      <c r="D305" s="26" t="s">
        <v>19</v>
      </c>
      <c r="E305" s="26" t="s">
        <v>19</v>
      </c>
      <c r="F305" s="29" t="s">
        <v>8971</v>
      </c>
      <c r="G305" s="53" t="s">
        <v>11302</v>
      </c>
      <c r="H305" s="1478" t="s">
        <v>448</v>
      </c>
      <c r="I305" s="1478" t="s">
        <v>448</v>
      </c>
      <c r="J305" s="1478" t="s">
        <v>448</v>
      </c>
      <c r="K305" s="1870" t="s">
        <v>3649</v>
      </c>
      <c r="L305" s="1870" t="s">
        <v>4750</v>
      </c>
      <c r="M305" s="1869" t="s">
        <v>9956</v>
      </c>
      <c r="N305" s="1869" t="s">
        <v>9914</v>
      </c>
      <c r="O305" s="22" t="s">
        <v>1826</v>
      </c>
      <c r="P305" s="22" t="s">
        <v>1880</v>
      </c>
      <c r="Q305" s="1870" t="s">
        <v>1131</v>
      </c>
      <c r="R305" s="54" t="s">
        <v>116</v>
      </c>
      <c r="S305" s="1871" t="s">
        <v>111</v>
      </c>
      <c r="T305" s="1870" t="s">
        <v>5487</v>
      </c>
      <c r="U305" s="1870" t="s">
        <v>5487</v>
      </c>
      <c r="V305" s="24" t="s">
        <v>11215</v>
      </c>
      <c r="W305" s="90" t="s">
        <v>11224</v>
      </c>
      <c r="X305" s="24" t="s">
        <v>110</v>
      </c>
      <c r="Y305" s="24">
        <v>1</v>
      </c>
      <c r="Z305" s="24" t="s">
        <v>11303</v>
      </c>
      <c r="AA305" s="24" t="s">
        <v>11304</v>
      </c>
      <c r="AB305" s="30"/>
      <c r="AC305" s="30">
        <v>6.9</v>
      </c>
      <c r="AD305" s="30">
        <v>6.9</v>
      </c>
      <c r="AE305" s="59"/>
      <c r="AF305" s="59"/>
      <c r="AG305" s="35" t="s">
        <v>1104</v>
      </c>
      <c r="AH305" s="1870" t="s">
        <v>10629</v>
      </c>
      <c r="AI305" s="35" t="s">
        <v>19</v>
      </c>
      <c r="AJ305" s="202" t="s">
        <v>19</v>
      </c>
      <c r="AK305" s="35" t="s">
        <v>1880</v>
      </c>
      <c r="AL305" s="1870"/>
    </row>
    <row r="306" spans="1:38" s="11" customFormat="1" ht="26.25" customHeight="1" x14ac:dyDescent="0.15">
      <c r="A306" s="8">
        <f t="shared" si="1"/>
        <v>304</v>
      </c>
      <c r="B306" s="36" t="s">
        <v>11295</v>
      </c>
      <c r="C306" s="26" t="s">
        <v>19</v>
      </c>
      <c r="D306" s="26" t="s">
        <v>19</v>
      </c>
      <c r="E306" s="26" t="s">
        <v>19</v>
      </c>
      <c r="F306" s="29" t="s">
        <v>8971</v>
      </c>
      <c r="G306" s="53" t="s">
        <v>11302</v>
      </c>
      <c r="H306" s="1478" t="s">
        <v>448</v>
      </c>
      <c r="I306" s="1478" t="s">
        <v>448</v>
      </c>
      <c r="J306" s="1478" t="s">
        <v>448</v>
      </c>
      <c r="K306" s="1870" t="s">
        <v>3649</v>
      </c>
      <c r="L306" s="1870" t="s">
        <v>4750</v>
      </c>
      <c r="M306" s="1869" t="s">
        <v>9959</v>
      </c>
      <c r="N306" s="1869" t="s">
        <v>9915</v>
      </c>
      <c r="O306" s="22" t="s">
        <v>1826</v>
      </c>
      <c r="P306" s="22" t="s">
        <v>1880</v>
      </c>
      <c r="Q306" s="1870" t="s">
        <v>1131</v>
      </c>
      <c r="R306" s="54" t="s">
        <v>116</v>
      </c>
      <c r="S306" s="1871" t="s">
        <v>111</v>
      </c>
      <c r="T306" s="1870" t="s">
        <v>5487</v>
      </c>
      <c r="U306" s="1870" t="s">
        <v>5487</v>
      </c>
      <c r="V306" s="24" t="s">
        <v>11215</v>
      </c>
      <c r="W306" s="90" t="s">
        <v>11224</v>
      </c>
      <c r="X306" s="24" t="s">
        <v>110</v>
      </c>
      <c r="Y306" s="24">
        <v>1</v>
      </c>
      <c r="Z306" s="24" t="s">
        <v>10453</v>
      </c>
      <c r="AA306" s="24" t="s">
        <v>11305</v>
      </c>
      <c r="AB306" s="30"/>
      <c r="AC306" s="30">
        <v>6.9</v>
      </c>
      <c r="AD306" s="30">
        <v>6.9</v>
      </c>
      <c r="AE306" s="59"/>
      <c r="AF306" s="59"/>
      <c r="AG306" s="35" t="s">
        <v>1104</v>
      </c>
      <c r="AH306" s="1870" t="s">
        <v>10629</v>
      </c>
      <c r="AI306" s="35" t="s">
        <v>19</v>
      </c>
      <c r="AJ306" s="202" t="s">
        <v>19</v>
      </c>
      <c r="AK306" s="35" t="s">
        <v>1880</v>
      </c>
      <c r="AL306" s="1870"/>
    </row>
    <row r="307" spans="1:38" s="11" customFormat="1" ht="26.25" customHeight="1" x14ac:dyDescent="0.15">
      <c r="A307" s="8">
        <f t="shared" si="1"/>
        <v>305</v>
      </c>
      <c r="B307" s="36" t="s">
        <v>11296</v>
      </c>
      <c r="C307" s="26" t="s">
        <v>19</v>
      </c>
      <c r="D307" s="26" t="s">
        <v>19</v>
      </c>
      <c r="E307" s="26" t="s">
        <v>19</v>
      </c>
      <c r="F307" s="29" t="s">
        <v>8971</v>
      </c>
      <c r="G307" s="53" t="s">
        <v>11302</v>
      </c>
      <c r="H307" s="1478" t="s">
        <v>448</v>
      </c>
      <c r="I307" s="1478" t="s">
        <v>448</v>
      </c>
      <c r="J307" s="1478" t="s">
        <v>448</v>
      </c>
      <c r="K307" s="1870" t="s">
        <v>3649</v>
      </c>
      <c r="L307" s="1870" t="s">
        <v>4750</v>
      </c>
      <c r="M307" s="1869" t="s">
        <v>9961</v>
      </c>
      <c r="N307" s="1869" t="s">
        <v>9916</v>
      </c>
      <c r="O307" s="22" t="s">
        <v>1826</v>
      </c>
      <c r="P307" s="22" t="s">
        <v>1880</v>
      </c>
      <c r="Q307" s="1870" t="s">
        <v>1131</v>
      </c>
      <c r="R307" s="54" t="s">
        <v>116</v>
      </c>
      <c r="S307" s="1871" t="s">
        <v>111</v>
      </c>
      <c r="T307" s="1870" t="s">
        <v>5487</v>
      </c>
      <c r="U307" s="1870" t="s">
        <v>5487</v>
      </c>
      <c r="V307" s="24" t="s">
        <v>11215</v>
      </c>
      <c r="W307" s="90" t="s">
        <v>11224</v>
      </c>
      <c r="X307" s="24" t="s">
        <v>110</v>
      </c>
      <c r="Y307" s="24">
        <v>1</v>
      </c>
      <c r="Z307" s="24" t="s">
        <v>10977</v>
      </c>
      <c r="AA307" s="24" t="s">
        <v>11306</v>
      </c>
      <c r="AB307" s="30"/>
      <c r="AC307" s="30">
        <v>6.9</v>
      </c>
      <c r="AD307" s="30">
        <v>6.9</v>
      </c>
      <c r="AE307" s="59"/>
      <c r="AF307" s="59"/>
      <c r="AG307" s="35" t="s">
        <v>1104</v>
      </c>
      <c r="AH307" s="1870" t="s">
        <v>10629</v>
      </c>
      <c r="AI307" s="35" t="s">
        <v>19</v>
      </c>
      <c r="AJ307" s="202" t="s">
        <v>19</v>
      </c>
      <c r="AK307" s="35" t="s">
        <v>1880</v>
      </c>
      <c r="AL307" s="1870"/>
    </row>
    <row r="308" spans="1:38" s="11" customFormat="1" ht="26.25" customHeight="1" x14ac:dyDescent="0.15">
      <c r="A308" s="8">
        <f t="shared" si="1"/>
        <v>306</v>
      </c>
      <c r="B308" s="36" t="s">
        <v>11297</v>
      </c>
      <c r="C308" s="26" t="s">
        <v>19</v>
      </c>
      <c r="D308" s="26" t="s">
        <v>19</v>
      </c>
      <c r="E308" s="26" t="s">
        <v>19</v>
      </c>
      <c r="F308" s="29" t="s">
        <v>8971</v>
      </c>
      <c r="G308" s="53" t="s">
        <v>11302</v>
      </c>
      <c r="H308" s="1478" t="s">
        <v>448</v>
      </c>
      <c r="I308" s="1478" t="s">
        <v>448</v>
      </c>
      <c r="J308" s="1478" t="s">
        <v>448</v>
      </c>
      <c r="K308" s="1870" t="s">
        <v>3649</v>
      </c>
      <c r="L308" s="1870" t="s">
        <v>4750</v>
      </c>
      <c r="M308" s="1869" t="s">
        <v>9964</v>
      </c>
      <c r="N308" s="1869" t="s">
        <v>9917</v>
      </c>
      <c r="O308" s="22" t="s">
        <v>1826</v>
      </c>
      <c r="P308" s="22" t="s">
        <v>1880</v>
      </c>
      <c r="Q308" s="1870" t="s">
        <v>1131</v>
      </c>
      <c r="R308" s="54" t="s">
        <v>116</v>
      </c>
      <c r="S308" s="1871" t="s">
        <v>111</v>
      </c>
      <c r="T308" s="1870" t="s">
        <v>5487</v>
      </c>
      <c r="U308" s="1870" t="s">
        <v>5487</v>
      </c>
      <c r="V308" s="24" t="s">
        <v>11215</v>
      </c>
      <c r="W308" s="90" t="s">
        <v>11224</v>
      </c>
      <c r="X308" s="24" t="s">
        <v>110</v>
      </c>
      <c r="Y308" s="24">
        <v>1</v>
      </c>
      <c r="Z308" s="24" t="s">
        <v>10977</v>
      </c>
      <c r="AA308" s="24" t="s">
        <v>11306</v>
      </c>
      <c r="AB308" s="30"/>
      <c r="AC308" s="30">
        <v>6.9</v>
      </c>
      <c r="AD308" s="30">
        <v>6.9</v>
      </c>
      <c r="AE308" s="59"/>
      <c r="AF308" s="59"/>
      <c r="AG308" s="35" t="s">
        <v>1104</v>
      </c>
      <c r="AH308" s="1870" t="s">
        <v>10629</v>
      </c>
      <c r="AI308" s="35" t="s">
        <v>19</v>
      </c>
      <c r="AJ308" s="202" t="s">
        <v>19</v>
      </c>
      <c r="AK308" s="35" t="s">
        <v>1880</v>
      </c>
      <c r="AL308" s="1870"/>
    </row>
    <row r="309" spans="1:38" s="11" customFormat="1" ht="26.25" customHeight="1" x14ac:dyDescent="0.15">
      <c r="A309" s="8">
        <f t="shared" si="1"/>
        <v>307</v>
      </c>
      <c r="B309" s="36" t="s">
        <v>11308</v>
      </c>
      <c r="C309" s="26" t="s">
        <v>19</v>
      </c>
      <c r="D309" s="26" t="s">
        <v>19</v>
      </c>
      <c r="E309" s="26" t="s">
        <v>19</v>
      </c>
      <c r="F309" s="29" t="s">
        <v>8971</v>
      </c>
      <c r="G309" s="53" t="s">
        <v>11302</v>
      </c>
      <c r="H309" s="1478" t="s">
        <v>448</v>
      </c>
      <c r="I309" s="1478" t="s">
        <v>448</v>
      </c>
      <c r="J309" s="1478" t="s">
        <v>448</v>
      </c>
      <c r="K309" s="1870" t="s">
        <v>3649</v>
      </c>
      <c r="L309" s="1870" t="s">
        <v>4750</v>
      </c>
      <c r="M309" s="1870" t="s">
        <v>8336</v>
      </c>
      <c r="N309" s="1869" t="s">
        <v>9918</v>
      </c>
      <c r="O309" s="22" t="s">
        <v>1826</v>
      </c>
      <c r="P309" s="22" t="s">
        <v>1880</v>
      </c>
      <c r="Q309" s="1870" t="s">
        <v>1131</v>
      </c>
      <c r="R309" s="54" t="s">
        <v>116</v>
      </c>
      <c r="S309" s="1871" t="s">
        <v>111</v>
      </c>
      <c r="T309" s="1870" t="s">
        <v>5487</v>
      </c>
      <c r="U309" s="1870" t="s">
        <v>5487</v>
      </c>
      <c r="V309" s="24" t="s">
        <v>11215</v>
      </c>
      <c r="W309" s="90" t="s">
        <v>11224</v>
      </c>
      <c r="X309" s="24" t="s">
        <v>110</v>
      </c>
      <c r="Y309" s="24">
        <v>1</v>
      </c>
      <c r="Z309" s="24" t="s">
        <v>11300</v>
      </c>
      <c r="AA309" s="24" t="s">
        <v>11301</v>
      </c>
      <c r="AB309" s="30"/>
      <c r="AC309" s="30">
        <v>6.9</v>
      </c>
      <c r="AD309" s="30">
        <v>6.9</v>
      </c>
      <c r="AE309" s="59"/>
      <c r="AF309" s="59"/>
      <c r="AG309" s="35" t="s">
        <v>1104</v>
      </c>
      <c r="AH309" s="1870" t="s">
        <v>10629</v>
      </c>
      <c r="AI309" s="35" t="s">
        <v>19</v>
      </c>
      <c r="AJ309" s="202" t="s">
        <v>19</v>
      </c>
      <c r="AK309" s="35" t="s">
        <v>1880</v>
      </c>
      <c r="AL309" s="1870"/>
    </row>
    <row r="310" spans="1:38" s="11" customFormat="1" ht="26.25" customHeight="1" x14ac:dyDescent="0.15">
      <c r="A310" s="8">
        <f t="shared" si="1"/>
        <v>308</v>
      </c>
      <c r="B310" s="36" t="s">
        <v>11309</v>
      </c>
      <c r="C310" s="26" t="s">
        <v>19</v>
      </c>
      <c r="D310" s="26" t="s">
        <v>19</v>
      </c>
      <c r="E310" s="26" t="s">
        <v>19</v>
      </c>
      <c r="F310" s="29" t="s">
        <v>7704</v>
      </c>
      <c r="G310" s="53" t="s">
        <v>11310</v>
      </c>
      <c r="H310" s="1478" t="s">
        <v>448</v>
      </c>
      <c r="I310" s="1478" t="s">
        <v>448</v>
      </c>
      <c r="J310" s="1478" t="s">
        <v>448</v>
      </c>
      <c r="K310" s="1874" t="s">
        <v>3649</v>
      </c>
      <c r="L310" s="1874" t="s">
        <v>4750</v>
      </c>
      <c r="M310" s="1874" t="s">
        <v>7688</v>
      </c>
      <c r="N310" s="22" t="s">
        <v>1138</v>
      </c>
      <c r="O310" s="1874" t="s">
        <v>5431</v>
      </c>
      <c r="P310" s="1875" t="s">
        <v>111</v>
      </c>
      <c r="Q310" s="1874" t="s">
        <v>1131</v>
      </c>
      <c r="R310" s="54" t="s">
        <v>11311</v>
      </c>
      <c r="S310" s="1875" t="s">
        <v>111</v>
      </c>
      <c r="T310" s="1874" t="s">
        <v>5487</v>
      </c>
      <c r="U310" s="1874" t="s">
        <v>5487</v>
      </c>
      <c r="V310" s="24" t="s">
        <v>11312</v>
      </c>
      <c r="W310" s="90" t="s">
        <v>11312</v>
      </c>
      <c r="X310" s="24" t="s">
        <v>110</v>
      </c>
      <c r="Y310" s="24">
        <v>1</v>
      </c>
      <c r="Z310" s="24" t="s">
        <v>11313</v>
      </c>
      <c r="AA310" s="24" t="s">
        <v>11314</v>
      </c>
      <c r="AB310" s="30"/>
      <c r="AC310" s="30">
        <v>22</v>
      </c>
      <c r="AD310" s="30">
        <v>22</v>
      </c>
      <c r="AE310" s="59"/>
      <c r="AF310" s="59"/>
      <c r="AG310" s="35" t="s">
        <v>1104</v>
      </c>
      <c r="AH310" s="1874" t="s">
        <v>10629</v>
      </c>
      <c r="AI310" s="35" t="s">
        <v>19</v>
      </c>
      <c r="AJ310" s="202" t="s">
        <v>19</v>
      </c>
      <c r="AK310" s="35" t="s">
        <v>1880</v>
      </c>
      <c r="AL310" s="1874"/>
    </row>
    <row r="311" spans="1:38" s="11" customFormat="1" ht="26.25" customHeight="1" x14ac:dyDescent="0.15">
      <c r="A311" s="8">
        <f t="shared" si="1"/>
        <v>309</v>
      </c>
      <c r="B311" s="36" t="s">
        <v>11318</v>
      </c>
      <c r="C311" s="26" t="s">
        <v>19</v>
      </c>
      <c r="D311" s="26" t="s">
        <v>11345</v>
      </c>
      <c r="E311" s="26" t="s">
        <v>19</v>
      </c>
      <c r="F311" s="29" t="s">
        <v>7704</v>
      </c>
      <c r="G311" s="53" t="s">
        <v>11316</v>
      </c>
      <c r="H311" s="1478" t="s">
        <v>448</v>
      </c>
      <c r="I311" s="1478" t="s">
        <v>448</v>
      </c>
      <c r="J311" s="1478" t="s">
        <v>448</v>
      </c>
      <c r="K311" s="1873" t="s">
        <v>3649</v>
      </c>
      <c r="L311" s="1874" t="s">
        <v>4750</v>
      </c>
      <c r="M311" s="1873" t="s">
        <v>7743</v>
      </c>
      <c r="N311" s="22" t="s">
        <v>11315</v>
      </c>
      <c r="O311" s="1874" t="s">
        <v>5431</v>
      </c>
      <c r="P311" s="1875" t="s">
        <v>111</v>
      </c>
      <c r="Q311" s="1874" t="s">
        <v>1131</v>
      </c>
      <c r="R311" s="54" t="s">
        <v>11317</v>
      </c>
      <c r="S311" s="1875" t="s">
        <v>111</v>
      </c>
      <c r="T311" s="1874" t="s">
        <v>5487</v>
      </c>
      <c r="U311" s="1874" t="s">
        <v>5487</v>
      </c>
      <c r="V311" s="24" t="s">
        <v>11312</v>
      </c>
      <c r="W311" s="90" t="s">
        <v>11312</v>
      </c>
      <c r="X311" s="24" t="s">
        <v>110</v>
      </c>
      <c r="Y311" s="24">
        <v>1</v>
      </c>
      <c r="Z311" s="24" t="s">
        <v>1880</v>
      </c>
      <c r="AA311" s="24" t="s">
        <v>1880</v>
      </c>
      <c r="AB311" s="30">
        <v>6.8</v>
      </c>
      <c r="AC311" s="30"/>
      <c r="AD311" s="30">
        <v>6.8</v>
      </c>
      <c r="AE311" s="59"/>
      <c r="AF311" s="59"/>
      <c r="AG311" s="35" t="s">
        <v>1104</v>
      </c>
      <c r="AH311" s="1874" t="s">
        <v>10629</v>
      </c>
      <c r="AI311" s="35" t="s">
        <v>19</v>
      </c>
      <c r="AJ311" s="202" t="s">
        <v>19</v>
      </c>
      <c r="AK311" s="35" t="s">
        <v>1880</v>
      </c>
      <c r="AL311" s="1874"/>
    </row>
    <row r="312" spans="1:38" s="11" customFormat="1" ht="26.25" customHeight="1" x14ac:dyDescent="0.15">
      <c r="A312" s="8">
        <f t="shared" si="1"/>
        <v>310</v>
      </c>
      <c r="B312" s="36" t="s">
        <v>11319</v>
      </c>
      <c r="C312" s="26" t="s">
        <v>19</v>
      </c>
      <c r="D312" s="26" t="s">
        <v>19</v>
      </c>
      <c r="E312" s="26" t="s">
        <v>19</v>
      </c>
      <c r="F312" s="29" t="s">
        <v>4606</v>
      </c>
      <c r="G312" s="53" t="s">
        <v>11326</v>
      </c>
      <c r="H312" s="1478" t="s">
        <v>448</v>
      </c>
      <c r="I312" s="1478" t="s">
        <v>448</v>
      </c>
      <c r="J312" s="1478" t="s">
        <v>448</v>
      </c>
      <c r="K312" s="1876" t="s">
        <v>1881</v>
      </c>
      <c r="L312" s="1876" t="s">
        <v>2067</v>
      </c>
      <c r="M312" s="1876" t="s">
        <v>11327</v>
      </c>
      <c r="N312" s="22" t="s">
        <v>1138</v>
      </c>
      <c r="O312" s="1880" t="s">
        <v>5431</v>
      </c>
      <c r="P312" s="1881" t="s">
        <v>111</v>
      </c>
      <c r="Q312" s="1880" t="s">
        <v>1131</v>
      </c>
      <c r="R312" s="151" t="s">
        <v>111</v>
      </c>
      <c r="S312" s="1881" t="s">
        <v>111</v>
      </c>
      <c r="T312" s="1877" t="s">
        <v>1151</v>
      </c>
      <c r="U312" s="1877" t="s">
        <v>1151</v>
      </c>
      <c r="V312" s="24" t="s">
        <v>11320</v>
      </c>
      <c r="W312" s="90" t="s">
        <v>11328</v>
      </c>
      <c r="X312" s="24" t="s">
        <v>110</v>
      </c>
      <c r="Y312" s="24">
        <v>1</v>
      </c>
      <c r="Z312" s="24" t="s">
        <v>1880</v>
      </c>
      <c r="AA312" s="24" t="s">
        <v>1880</v>
      </c>
      <c r="AB312" s="30">
        <v>42.5</v>
      </c>
      <c r="AC312" s="30"/>
      <c r="AD312" s="30">
        <v>42.5</v>
      </c>
      <c r="AE312" s="59" t="s">
        <v>11107</v>
      </c>
      <c r="AF312" s="59"/>
      <c r="AG312" s="35" t="s">
        <v>1104</v>
      </c>
      <c r="AH312" s="1877" t="s">
        <v>3101</v>
      </c>
      <c r="AI312" s="35" t="s">
        <v>19</v>
      </c>
      <c r="AJ312" s="202" t="s">
        <v>19</v>
      </c>
      <c r="AK312" s="35" t="s">
        <v>1880</v>
      </c>
      <c r="AL312" s="1877"/>
    </row>
    <row r="313" spans="1:38" s="11" customFormat="1" ht="26.25" customHeight="1" x14ac:dyDescent="0.15">
      <c r="A313" s="8">
        <f t="shared" si="1"/>
        <v>311</v>
      </c>
      <c r="B313" s="36" t="s">
        <v>11325</v>
      </c>
      <c r="C313" s="26" t="s">
        <v>19</v>
      </c>
      <c r="D313" s="26" t="s">
        <v>19</v>
      </c>
      <c r="E313" s="26" t="s">
        <v>19</v>
      </c>
      <c r="F313" s="29" t="s">
        <v>4844</v>
      </c>
      <c r="G313" s="54" t="s">
        <v>11323</v>
      </c>
      <c r="H313" s="26" t="s">
        <v>448</v>
      </c>
      <c r="I313" s="26" t="s">
        <v>448</v>
      </c>
      <c r="J313" s="26" t="s">
        <v>448</v>
      </c>
      <c r="K313" s="1878" t="s">
        <v>4195</v>
      </c>
      <c r="L313" s="1878" t="s">
        <v>4937</v>
      </c>
      <c r="M313" s="1878" t="s">
        <v>4938</v>
      </c>
      <c r="N313" s="1878" t="s">
        <v>4939</v>
      </c>
      <c r="O313" s="22" t="s">
        <v>1826</v>
      </c>
      <c r="P313" s="1879" t="s">
        <v>111</v>
      </c>
      <c r="Q313" s="1878" t="s">
        <v>1131</v>
      </c>
      <c r="R313" s="54" t="s">
        <v>3917</v>
      </c>
      <c r="S313" s="1879" t="s">
        <v>111</v>
      </c>
      <c r="T313" s="1877" t="s">
        <v>1152</v>
      </c>
      <c r="U313" s="1877" t="s">
        <v>1152</v>
      </c>
      <c r="V313" s="24" t="s">
        <v>11320</v>
      </c>
      <c r="W313" s="90" t="s">
        <v>11324</v>
      </c>
      <c r="X313" s="24" t="s">
        <v>2359</v>
      </c>
      <c r="Y313" s="24">
        <v>1</v>
      </c>
      <c r="Z313" s="24" t="s">
        <v>1880</v>
      </c>
      <c r="AA313" s="24" t="s">
        <v>1880</v>
      </c>
      <c r="AB313" s="30">
        <v>0.75</v>
      </c>
      <c r="AC313" s="30"/>
      <c r="AD313" s="30">
        <v>0.75</v>
      </c>
      <c r="AE313" s="59"/>
      <c r="AF313" s="59"/>
      <c r="AG313" s="35" t="s">
        <v>1104</v>
      </c>
      <c r="AH313" s="1878" t="s">
        <v>10629</v>
      </c>
      <c r="AI313" s="35" t="s">
        <v>19</v>
      </c>
      <c r="AJ313" s="202" t="s">
        <v>19</v>
      </c>
      <c r="AK313" s="35" t="s">
        <v>1880</v>
      </c>
      <c r="AL313" s="1877"/>
    </row>
    <row r="314" spans="1:38" s="11" customFormat="1" ht="26.25" customHeight="1" x14ac:dyDescent="0.15">
      <c r="A314" s="8">
        <f t="shared" si="1"/>
        <v>312</v>
      </c>
      <c r="B314" s="36" t="s">
        <v>11321</v>
      </c>
      <c r="C314" s="26" t="s">
        <v>19</v>
      </c>
      <c r="D314" s="26" t="s">
        <v>19</v>
      </c>
      <c r="E314" s="26" t="s">
        <v>19</v>
      </c>
      <c r="F314" s="29" t="s">
        <v>11329</v>
      </c>
      <c r="G314" s="53" t="s">
        <v>11330</v>
      </c>
      <c r="H314" s="26" t="s">
        <v>448</v>
      </c>
      <c r="I314" s="26" t="s">
        <v>448</v>
      </c>
      <c r="J314" s="26" t="s">
        <v>448</v>
      </c>
      <c r="K314" s="1876" t="s">
        <v>2475</v>
      </c>
      <c r="L314" s="1876" t="s">
        <v>1789</v>
      </c>
      <c r="M314" s="1876" t="s">
        <v>11332</v>
      </c>
      <c r="N314" s="22" t="s">
        <v>1138</v>
      </c>
      <c r="O314" s="22" t="s">
        <v>2142</v>
      </c>
      <c r="P314" s="1881" t="s">
        <v>111</v>
      </c>
      <c r="Q314" s="1880" t="s">
        <v>11331</v>
      </c>
      <c r="R314" s="54" t="s">
        <v>11331</v>
      </c>
      <c r="S314" s="1881" t="s">
        <v>111</v>
      </c>
      <c r="T314" s="1877" t="s">
        <v>1785</v>
      </c>
      <c r="U314" s="1877" t="s">
        <v>1785</v>
      </c>
      <c r="V314" s="24" t="s">
        <v>11320</v>
      </c>
      <c r="W314" s="90" t="s">
        <v>11216</v>
      </c>
      <c r="X314" s="24" t="s">
        <v>1800</v>
      </c>
      <c r="Y314" s="24">
        <v>1</v>
      </c>
      <c r="Z314" s="24" t="s">
        <v>1880</v>
      </c>
      <c r="AA314" s="24" t="s">
        <v>1880</v>
      </c>
      <c r="AB314" s="30">
        <v>5</v>
      </c>
      <c r="AC314" s="30"/>
      <c r="AD314" s="30">
        <v>5</v>
      </c>
      <c r="AE314" s="59"/>
      <c r="AF314" s="59"/>
      <c r="AG314" s="35" t="s">
        <v>1104</v>
      </c>
      <c r="AH314" s="1880" t="s">
        <v>10629</v>
      </c>
      <c r="AI314" s="35" t="s">
        <v>19</v>
      </c>
      <c r="AJ314" s="202" t="s">
        <v>19</v>
      </c>
      <c r="AK314" s="35" t="s">
        <v>1880</v>
      </c>
      <c r="AL314" s="1877"/>
    </row>
    <row r="315" spans="1:38" s="11" customFormat="1" ht="26.25" customHeight="1" x14ac:dyDescent="0.15">
      <c r="A315" s="8">
        <f t="shared" si="1"/>
        <v>313</v>
      </c>
      <c r="B315" s="36" t="s">
        <v>11333</v>
      </c>
      <c r="C315" s="26" t="s">
        <v>19</v>
      </c>
      <c r="D315" s="26" t="s">
        <v>19</v>
      </c>
      <c r="E315" s="26" t="s">
        <v>19</v>
      </c>
      <c r="F315" s="29" t="s">
        <v>11334</v>
      </c>
      <c r="G315" s="53" t="s">
        <v>11335</v>
      </c>
      <c r="H315" s="26" t="s">
        <v>448</v>
      </c>
      <c r="I315" s="26" t="s">
        <v>448</v>
      </c>
      <c r="J315" s="26" t="s">
        <v>448</v>
      </c>
      <c r="K315" s="1880" t="s">
        <v>4195</v>
      </c>
      <c r="L315" s="1880" t="s">
        <v>1124</v>
      </c>
      <c r="M315" s="1880" t="s">
        <v>8115</v>
      </c>
      <c r="N315" s="1880" t="s">
        <v>4780</v>
      </c>
      <c r="O315" s="22" t="s">
        <v>1826</v>
      </c>
      <c r="P315" s="1881" t="s">
        <v>111</v>
      </c>
      <c r="Q315" s="1880" t="s">
        <v>1150</v>
      </c>
      <c r="R315" s="54" t="s">
        <v>4403</v>
      </c>
      <c r="S315" s="1881" t="s">
        <v>111</v>
      </c>
      <c r="T315" s="1880" t="s">
        <v>1152</v>
      </c>
      <c r="U315" s="1880" t="s">
        <v>1152</v>
      </c>
      <c r="V315" s="24" t="s">
        <v>10173</v>
      </c>
      <c r="W315" s="90" t="s">
        <v>11336</v>
      </c>
      <c r="X315" s="24" t="s">
        <v>2359</v>
      </c>
      <c r="Y315" s="24">
        <v>1</v>
      </c>
      <c r="Z315" s="24" t="s">
        <v>1880</v>
      </c>
      <c r="AA315" s="24" t="s">
        <v>1880</v>
      </c>
      <c r="AB315" s="30">
        <v>2.2999999999999998</v>
      </c>
      <c r="AC315" s="30"/>
      <c r="AD315" s="30">
        <v>2.2999999999999998</v>
      </c>
      <c r="AE315" s="59"/>
      <c r="AF315" s="59"/>
      <c r="AG315" s="35" t="s">
        <v>1104</v>
      </c>
      <c r="AH315" s="1880" t="s">
        <v>10629</v>
      </c>
      <c r="AI315" s="35" t="s">
        <v>19</v>
      </c>
      <c r="AJ315" s="202" t="s">
        <v>19</v>
      </c>
      <c r="AK315" s="35" t="s">
        <v>1880</v>
      </c>
      <c r="AL315" s="1865"/>
    </row>
    <row r="316" spans="1:38" s="11" customFormat="1" ht="26.25" customHeight="1" x14ac:dyDescent="0.15">
      <c r="A316" s="8">
        <f t="shared" si="1"/>
        <v>314</v>
      </c>
      <c r="B316" s="36" t="s">
        <v>11337</v>
      </c>
      <c r="C316" s="26" t="s">
        <v>19</v>
      </c>
      <c r="D316" s="26" t="s">
        <v>19</v>
      </c>
      <c r="E316" s="26" t="s">
        <v>19</v>
      </c>
      <c r="F316" s="29" t="s">
        <v>11338</v>
      </c>
      <c r="G316" s="98" t="s">
        <v>9028</v>
      </c>
      <c r="H316" s="26" t="s">
        <v>19</v>
      </c>
      <c r="I316" s="26" t="s">
        <v>19</v>
      </c>
      <c r="J316" s="26" t="s">
        <v>19</v>
      </c>
      <c r="K316" s="1880" t="s">
        <v>4195</v>
      </c>
      <c r="L316" s="1880" t="s">
        <v>9065</v>
      </c>
      <c r="M316" s="1880" t="s">
        <v>5360</v>
      </c>
      <c r="N316" s="22" t="s">
        <v>9032</v>
      </c>
      <c r="O316" s="1881" t="s">
        <v>5478</v>
      </c>
      <c r="P316" s="1881" t="s">
        <v>111</v>
      </c>
      <c r="Q316" s="1880" t="s">
        <v>4676</v>
      </c>
      <c r="R316" s="54" t="s">
        <v>116</v>
      </c>
      <c r="S316" s="26" t="s">
        <v>19</v>
      </c>
      <c r="T316" s="1880" t="s">
        <v>5489</v>
      </c>
      <c r="U316" s="1880" t="s">
        <v>5489</v>
      </c>
      <c r="V316" s="24" t="s">
        <v>10173</v>
      </c>
      <c r="W316" s="90" t="s">
        <v>11339</v>
      </c>
      <c r="X316" s="24" t="s">
        <v>2359</v>
      </c>
      <c r="Y316" s="24">
        <v>1</v>
      </c>
      <c r="Z316" s="24" t="s">
        <v>11215</v>
      </c>
      <c r="AA316" s="24" t="s">
        <v>11340</v>
      </c>
      <c r="AB316" s="30"/>
      <c r="AC316" s="30">
        <v>5</v>
      </c>
      <c r="AD316" s="30">
        <v>5</v>
      </c>
      <c r="AE316" s="59"/>
      <c r="AF316" s="59"/>
      <c r="AG316" s="35" t="s">
        <v>1104</v>
      </c>
      <c r="AH316" s="1880" t="s">
        <v>10629</v>
      </c>
      <c r="AI316" s="35" t="s">
        <v>19</v>
      </c>
      <c r="AJ316" s="202" t="s">
        <v>19</v>
      </c>
      <c r="AK316" s="35" t="s">
        <v>1880</v>
      </c>
      <c r="AL316" s="1880"/>
    </row>
    <row r="317" spans="1:38" s="11" customFormat="1" ht="26.25" customHeight="1" x14ac:dyDescent="0.15">
      <c r="A317" s="8">
        <f t="shared" si="1"/>
        <v>315</v>
      </c>
      <c r="B317" s="36" t="s">
        <v>11341</v>
      </c>
      <c r="C317" s="26" t="s">
        <v>19</v>
      </c>
      <c r="D317" s="26" t="s">
        <v>19</v>
      </c>
      <c r="E317" s="26" t="s">
        <v>19</v>
      </c>
      <c r="F317" s="29" t="s">
        <v>5746</v>
      </c>
      <c r="G317" s="53" t="s">
        <v>5747</v>
      </c>
      <c r="H317" s="26" t="s">
        <v>448</v>
      </c>
      <c r="I317" s="26" t="s">
        <v>448</v>
      </c>
      <c r="J317" s="26" t="s">
        <v>448</v>
      </c>
      <c r="K317" s="1882" t="s">
        <v>4208</v>
      </c>
      <c r="L317" s="1882" t="s">
        <v>6751</v>
      </c>
      <c r="M317" s="1882" t="s">
        <v>6752</v>
      </c>
      <c r="N317" s="22" t="s">
        <v>6753</v>
      </c>
      <c r="O317" s="22" t="s">
        <v>5478</v>
      </c>
      <c r="P317" s="1884" t="s">
        <v>111</v>
      </c>
      <c r="Q317" s="1883" t="s">
        <v>4676</v>
      </c>
      <c r="R317" s="54" t="s">
        <v>116</v>
      </c>
      <c r="S317" s="26" t="s">
        <v>19</v>
      </c>
      <c r="T317" s="1883" t="s">
        <v>2072</v>
      </c>
      <c r="U317" s="1883" t="s">
        <v>2072</v>
      </c>
      <c r="V317" s="24" t="s">
        <v>10173</v>
      </c>
      <c r="W317" s="90" t="s">
        <v>11216</v>
      </c>
      <c r="X317" s="24" t="s">
        <v>1800</v>
      </c>
      <c r="Y317" s="24">
        <v>1</v>
      </c>
      <c r="Z317" s="24" t="s">
        <v>10172</v>
      </c>
      <c r="AA317" s="24" t="s">
        <v>10173</v>
      </c>
      <c r="AB317" s="30"/>
      <c r="AC317" s="30">
        <v>7.5</v>
      </c>
      <c r="AD317" s="30">
        <v>7.5</v>
      </c>
      <c r="AE317" s="59"/>
      <c r="AF317" s="59"/>
      <c r="AG317" s="35" t="s">
        <v>1104</v>
      </c>
      <c r="AH317" s="1883" t="s">
        <v>10629</v>
      </c>
      <c r="AI317" s="35" t="s">
        <v>19</v>
      </c>
      <c r="AJ317" s="202" t="s">
        <v>19</v>
      </c>
      <c r="AK317" s="35" t="s">
        <v>1880</v>
      </c>
      <c r="AL317" s="1883"/>
    </row>
    <row r="318" spans="1:38" s="11" customFormat="1" ht="26.25" customHeight="1" x14ac:dyDescent="0.15">
      <c r="A318" s="8">
        <f t="shared" si="0"/>
        <v>316</v>
      </c>
      <c r="B318" s="36"/>
      <c r="C318" s="26"/>
      <c r="D318" s="26"/>
      <c r="E318" s="26"/>
      <c r="F318" s="29"/>
      <c r="G318" s="53"/>
      <c r="H318" s="26"/>
      <c r="I318" s="26"/>
      <c r="J318" s="26"/>
      <c r="K318" s="1853"/>
      <c r="L318" s="1853"/>
      <c r="M318" s="1853"/>
      <c r="N318" s="22"/>
      <c r="O318" s="22"/>
      <c r="P318" s="1855"/>
      <c r="Q318" s="1854"/>
      <c r="R318" s="54"/>
      <c r="S318" s="22"/>
      <c r="T318" s="1854"/>
      <c r="U318" s="1854"/>
      <c r="V318" s="24"/>
      <c r="W318" s="90"/>
      <c r="X318" s="24"/>
      <c r="Y318" s="24"/>
      <c r="Z318" s="24"/>
      <c r="AA318" s="24"/>
      <c r="AB318" s="30"/>
      <c r="AC318" s="30"/>
      <c r="AD318" s="30"/>
      <c r="AE318" s="59"/>
      <c r="AF318" s="59"/>
      <c r="AG318" s="35"/>
      <c r="AH318" s="35"/>
      <c r="AI318" s="35"/>
      <c r="AJ318" s="202"/>
      <c r="AK318" s="35"/>
      <c r="AL318" s="1854"/>
    </row>
    <row r="319" spans="1:38" s="11" customFormat="1" ht="26.25" customHeight="1" x14ac:dyDescent="0.15">
      <c r="A319" s="8">
        <f t="shared" si="0"/>
        <v>317</v>
      </c>
      <c r="B319" s="36"/>
      <c r="C319" s="26"/>
      <c r="D319" s="26"/>
      <c r="E319" s="26"/>
      <c r="F319" s="29"/>
      <c r="G319" s="53"/>
      <c r="H319" s="26"/>
      <c r="I319" s="26"/>
      <c r="J319" s="26"/>
      <c r="K319" s="1647"/>
      <c r="L319" s="1647"/>
      <c r="M319" s="1647"/>
      <c r="N319" s="22"/>
      <c r="O319" s="22"/>
      <c r="P319" s="1649"/>
      <c r="Q319" s="1648"/>
      <c r="R319" s="54"/>
      <c r="S319" s="22"/>
      <c r="T319" s="1648"/>
      <c r="U319" s="1648"/>
      <c r="V319" s="24"/>
      <c r="W319" s="90"/>
      <c r="X319" s="24"/>
      <c r="Y319" s="24"/>
      <c r="Z319" s="24"/>
      <c r="AA319" s="24"/>
      <c r="AB319" s="30"/>
      <c r="AC319" s="30"/>
      <c r="AD319" s="30"/>
      <c r="AE319" s="59"/>
      <c r="AF319" s="59"/>
      <c r="AG319" s="35"/>
      <c r="AH319" s="35"/>
      <c r="AI319" s="35"/>
      <c r="AJ319" s="202"/>
      <c r="AK319" s="35"/>
      <c r="AL319" s="1648"/>
    </row>
    <row r="320" spans="1:38" s="11" customFormat="1" ht="26.25" customHeight="1" x14ac:dyDescent="0.15">
      <c r="A320" s="8"/>
      <c r="B320" s="36"/>
      <c r="C320" s="26"/>
      <c r="D320" s="26"/>
      <c r="E320" s="26"/>
      <c r="F320" s="29"/>
      <c r="G320" s="53"/>
      <c r="H320" s="53"/>
      <c r="I320" s="53"/>
      <c r="J320" s="53"/>
      <c r="K320" s="1647"/>
      <c r="L320" s="1"/>
      <c r="M320" s="37"/>
      <c r="N320" s="22"/>
      <c r="O320" s="22"/>
      <c r="P320" s="22"/>
      <c r="Q320" s="1648"/>
      <c r="R320" s="54"/>
      <c r="S320" s="22"/>
      <c r="T320" s="1648"/>
      <c r="U320" s="1648"/>
      <c r="V320" s="24"/>
      <c r="W320" s="90"/>
      <c r="X320" s="146" t="s">
        <v>3144</v>
      </c>
      <c r="Y320" s="146"/>
      <c r="Z320" s="146"/>
      <c r="AA320" s="146"/>
      <c r="AB320" s="148">
        <f>SUM(AB3:AB319)</f>
        <v>2414.2601009999967</v>
      </c>
      <c r="AC320" s="148">
        <f t="shared" ref="AC320:AD320" si="2">SUM(AC3:AC319)</f>
        <v>1140.1440689999997</v>
      </c>
      <c r="AD320" s="148">
        <f t="shared" si="2"/>
        <v>3554.4041699999993</v>
      </c>
      <c r="AE320" s="702"/>
      <c r="AF320" s="702"/>
      <c r="AG320" s="35"/>
      <c r="AH320" s="35"/>
      <c r="AI320" s="35"/>
      <c r="AJ320" s="35"/>
      <c r="AK320" s="35"/>
      <c r="AL320" s="1648"/>
    </row>
    <row r="321" spans="3:3" x14ac:dyDescent="0.15">
      <c r="C321" t="s">
        <v>4680</v>
      </c>
    </row>
    <row r="582" spans="26:26" x14ac:dyDescent="0.15">
      <c r="Z582" t="s">
        <v>7027</v>
      </c>
    </row>
    <row r="583" spans="26:26" x14ac:dyDescent="0.15">
      <c r="Z583" t="s">
        <v>7028</v>
      </c>
    </row>
    <row r="584" spans="26:26" x14ac:dyDescent="0.15">
      <c r="Z584" t="s">
        <v>7029</v>
      </c>
    </row>
  </sheetData>
  <autoFilter ref="A2:AL321" xr:uid="{00000000-0009-0000-0000-000000000000}"/>
  <mergeCells count="1">
    <mergeCell ref="A1:AK1"/>
  </mergeCells>
  <phoneticPr fontId="22"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6BF1-E9C1-4DA8-94CF-F4FE93212E1F}">
  <dimension ref="A1:AJ514"/>
  <sheetViews>
    <sheetView zoomScaleNormal="100" workbookViewId="0">
      <pane xSplit="2" ySplit="2" topLeftCell="C93" activePane="bottomRight" state="frozen"/>
      <selection pane="topRight" activeCell="C1" sqref="C1"/>
      <selection pane="bottomLeft" activeCell="A3" sqref="A3"/>
      <selection pane="bottomRight" activeCell="K110" sqref="K110:L110"/>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1" max="12" width="9" customWidth="1"/>
    <col min="13" max="13" width="12.875" customWidth="1"/>
    <col min="14" max="14" width="13.875" customWidth="1"/>
    <col min="17" max="17" width="14.625" customWidth="1"/>
    <col min="18" max="18" width="35.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2" width="12.25" style="38" customWidth="1"/>
    <col min="33" max="33" width="10.875" customWidth="1"/>
    <col min="34" max="34" width="13.75" customWidth="1"/>
    <col min="36" max="36" width="37.875" customWidth="1"/>
  </cols>
  <sheetData>
    <row r="1" spans="1:36" s="3" customFormat="1" ht="33" customHeight="1" x14ac:dyDescent="0.15">
      <c r="A1" s="1953" t="s">
        <v>10152</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c r="AG1" s="1953"/>
      <c r="AH1" s="1953"/>
      <c r="AI1" s="1953"/>
    </row>
    <row r="2" spans="1:36" s="4" customFormat="1" ht="27.95" customHeight="1" x14ac:dyDescent="0.15">
      <c r="A2" s="25" t="s">
        <v>0</v>
      </c>
      <c r="B2" s="25" t="s">
        <v>1</v>
      </c>
      <c r="C2" s="25" t="s">
        <v>2</v>
      </c>
      <c r="D2" s="25" t="s">
        <v>3</v>
      </c>
      <c r="E2" s="25" t="s">
        <v>958</v>
      </c>
      <c r="F2" s="25" t="s">
        <v>4</v>
      </c>
      <c r="G2" s="25" t="s">
        <v>5</v>
      </c>
      <c r="H2" s="25" t="s">
        <v>8651</v>
      </c>
      <c r="I2" s="25" t="s">
        <v>8652</v>
      </c>
      <c r="J2" s="25" t="s">
        <v>8653</v>
      </c>
      <c r="K2" s="25" t="s">
        <v>7</v>
      </c>
      <c r="L2" s="25" t="s">
        <v>6</v>
      </c>
      <c r="M2" s="25" t="s">
        <v>419</v>
      </c>
      <c r="N2" s="25" t="s">
        <v>420</v>
      </c>
      <c r="O2" s="25" t="s">
        <v>1825</v>
      </c>
      <c r="P2" s="25" t="s">
        <v>1857</v>
      </c>
      <c r="Q2" s="25" t="s">
        <v>10</v>
      </c>
      <c r="R2" s="25" t="s">
        <v>8</v>
      </c>
      <c r="S2" s="25" t="s">
        <v>9</v>
      </c>
      <c r="T2" s="25" t="s">
        <v>3342</v>
      </c>
      <c r="U2" s="25" t="s">
        <v>3343</v>
      </c>
      <c r="V2" s="25" t="s">
        <v>2126</v>
      </c>
      <c r="W2" s="49" t="s">
        <v>2127</v>
      </c>
      <c r="X2" s="32" t="s">
        <v>14</v>
      </c>
      <c r="Y2" s="32" t="s">
        <v>13</v>
      </c>
      <c r="Z2" s="25" t="s">
        <v>11</v>
      </c>
      <c r="AA2" s="25" t="s">
        <v>12</v>
      </c>
      <c r="AB2" s="134" t="s">
        <v>429</v>
      </c>
      <c r="AC2" s="134" t="s">
        <v>2183</v>
      </c>
      <c r="AD2" s="134" t="s">
        <v>431</v>
      </c>
      <c r="AE2" s="134" t="s">
        <v>6455</v>
      </c>
      <c r="AF2" s="134" t="s">
        <v>6456</v>
      </c>
      <c r="AG2" s="25" t="s">
        <v>2124</v>
      </c>
      <c r="AH2" s="25" t="s">
        <v>2123</v>
      </c>
      <c r="AI2" s="25" t="s">
        <v>2125</v>
      </c>
      <c r="AJ2" s="25" t="s">
        <v>3252</v>
      </c>
    </row>
    <row r="3" spans="1:36" s="11" customFormat="1" ht="36.75" customHeight="1" x14ac:dyDescent="0.15">
      <c r="A3" s="8">
        <f>ROW()-2</f>
        <v>1</v>
      </c>
      <c r="B3" s="36" t="s">
        <v>9209</v>
      </c>
      <c r="C3" s="71" t="s">
        <v>9220</v>
      </c>
      <c r="D3" s="26" t="s">
        <v>19</v>
      </c>
      <c r="E3" s="26" t="s">
        <v>19</v>
      </c>
      <c r="F3" s="29" t="s">
        <v>9210</v>
      </c>
      <c r="G3" s="53" t="s">
        <v>9218</v>
      </c>
      <c r="H3" s="26" t="s">
        <v>19</v>
      </c>
      <c r="I3" s="26" t="s">
        <v>19</v>
      </c>
      <c r="J3" s="26" t="s">
        <v>19</v>
      </c>
      <c r="K3" s="1393" t="s">
        <v>4195</v>
      </c>
      <c r="L3" s="1393" t="s">
        <v>4750</v>
      </c>
      <c r="M3" s="1393" t="s">
        <v>9211</v>
      </c>
      <c r="N3" s="1394" t="s">
        <v>9212</v>
      </c>
      <c r="O3" s="22" t="s">
        <v>5431</v>
      </c>
      <c r="P3" s="1394" t="s">
        <v>1880</v>
      </c>
      <c r="Q3" s="1393" t="s">
        <v>1131</v>
      </c>
      <c r="R3" s="54" t="s">
        <v>2218</v>
      </c>
      <c r="S3" s="22" t="s">
        <v>1880</v>
      </c>
      <c r="T3" s="1393" t="s">
        <v>1894</v>
      </c>
      <c r="U3" s="1393" t="s">
        <v>1894</v>
      </c>
      <c r="V3" s="24" t="s">
        <v>9213</v>
      </c>
      <c r="W3" s="90" t="s">
        <v>9214</v>
      </c>
      <c r="X3" s="24" t="s">
        <v>108</v>
      </c>
      <c r="Y3" s="10">
        <v>1</v>
      </c>
      <c r="Z3" s="24" t="s">
        <v>5710</v>
      </c>
      <c r="AA3" s="22" t="s">
        <v>1880</v>
      </c>
      <c r="AB3" s="30">
        <v>36.24</v>
      </c>
      <c r="AC3" s="30"/>
      <c r="AD3" s="30">
        <v>36.24</v>
      </c>
      <c r="AE3" s="59"/>
      <c r="AF3" s="59"/>
      <c r="AG3" s="35" t="s">
        <v>1104</v>
      </c>
      <c r="AH3" s="202" t="s">
        <v>19</v>
      </c>
      <c r="AI3" s="35" t="s">
        <v>1880</v>
      </c>
      <c r="AJ3" s="1393"/>
    </row>
    <row r="4" spans="1:36" s="11" customFormat="1" ht="26.25" customHeight="1" x14ac:dyDescent="0.15">
      <c r="A4" s="8">
        <f t="shared" ref="A4:A249" si="0">ROW()-2</f>
        <v>2</v>
      </c>
      <c r="B4" s="36" t="s">
        <v>9219</v>
      </c>
      <c r="C4" s="26" t="s">
        <v>19</v>
      </c>
      <c r="D4" s="26" t="s">
        <v>19</v>
      </c>
      <c r="E4" s="26" t="s">
        <v>19</v>
      </c>
      <c r="F4" s="29" t="s">
        <v>8454</v>
      </c>
      <c r="G4" s="53" t="s">
        <v>9215</v>
      </c>
      <c r="H4" s="26" t="s">
        <v>19</v>
      </c>
      <c r="I4" s="26" t="s">
        <v>19</v>
      </c>
      <c r="J4" s="26" t="s">
        <v>19</v>
      </c>
      <c r="K4" s="1393" t="s">
        <v>4791</v>
      </c>
      <c r="L4" s="1393" t="s">
        <v>6451</v>
      </c>
      <c r="M4" s="1393" t="s">
        <v>8452</v>
      </c>
      <c r="N4" s="26" t="s">
        <v>9221</v>
      </c>
      <c r="O4" s="22" t="s">
        <v>5431</v>
      </c>
      <c r="P4" s="1394" t="s">
        <v>1880</v>
      </c>
      <c r="Q4" s="1393" t="s">
        <v>1131</v>
      </c>
      <c r="R4" s="222" t="s">
        <v>116</v>
      </c>
      <c r="S4" s="22" t="s">
        <v>1880</v>
      </c>
      <c r="T4" s="1393" t="s">
        <v>446</v>
      </c>
      <c r="U4" s="1393" t="s">
        <v>446</v>
      </c>
      <c r="V4" s="24" t="s">
        <v>9213</v>
      </c>
      <c r="W4" s="90" t="s">
        <v>9216</v>
      </c>
      <c r="X4" s="24" t="s">
        <v>110</v>
      </c>
      <c r="Y4" s="24">
        <v>1</v>
      </c>
      <c r="Z4" s="24" t="s">
        <v>8492</v>
      </c>
      <c r="AA4" s="24" t="s">
        <v>9217</v>
      </c>
      <c r="AB4" s="30"/>
      <c r="AC4" s="30">
        <v>5</v>
      </c>
      <c r="AD4" s="30">
        <v>5</v>
      </c>
      <c r="AE4" s="59"/>
      <c r="AF4" s="59"/>
      <c r="AG4" s="35" t="s">
        <v>1104</v>
      </c>
      <c r="AH4" s="202" t="s">
        <v>19</v>
      </c>
      <c r="AI4" s="35" t="s">
        <v>1880</v>
      </c>
      <c r="AJ4" s="1393"/>
    </row>
    <row r="5" spans="1:36" s="11" customFormat="1" ht="26.25" customHeight="1" x14ac:dyDescent="0.15">
      <c r="A5" s="8">
        <f t="shared" si="0"/>
        <v>3</v>
      </c>
      <c r="B5" s="36" t="s">
        <v>9231</v>
      </c>
      <c r="C5" s="26" t="s">
        <v>19</v>
      </c>
      <c r="D5" s="26" t="s">
        <v>19</v>
      </c>
      <c r="E5" s="26" t="s">
        <v>19</v>
      </c>
      <c r="F5" s="29" t="s">
        <v>8567</v>
      </c>
      <c r="G5" s="53" t="s">
        <v>9233</v>
      </c>
      <c r="H5" s="26" t="s">
        <v>19</v>
      </c>
      <c r="I5" s="26" t="s">
        <v>19</v>
      </c>
      <c r="J5" s="26" t="s">
        <v>19</v>
      </c>
      <c r="K5" s="1396" t="s">
        <v>4712</v>
      </c>
      <c r="L5" s="1396" t="s">
        <v>4692</v>
      </c>
      <c r="M5" s="1396" t="s">
        <v>8569</v>
      </c>
      <c r="N5" s="22" t="s">
        <v>4780</v>
      </c>
      <c r="O5" s="22" t="s">
        <v>1826</v>
      </c>
      <c r="P5" s="1398" t="s">
        <v>1880</v>
      </c>
      <c r="Q5" s="1397" t="s">
        <v>6692</v>
      </c>
      <c r="R5" s="54" t="s">
        <v>6692</v>
      </c>
      <c r="S5" s="22" t="s">
        <v>1880</v>
      </c>
      <c r="T5" s="1395" t="s">
        <v>5571</v>
      </c>
      <c r="U5" s="1397" t="s">
        <v>5571</v>
      </c>
      <c r="V5" s="24" t="s">
        <v>9222</v>
      </c>
      <c r="W5" s="90" t="s">
        <v>9234</v>
      </c>
      <c r="X5" s="24" t="s">
        <v>110</v>
      </c>
      <c r="Y5" s="24">
        <v>1</v>
      </c>
      <c r="Z5" s="22" t="s">
        <v>1880</v>
      </c>
      <c r="AA5" s="22" t="s">
        <v>1880</v>
      </c>
      <c r="AB5" s="30">
        <v>0.5</v>
      </c>
      <c r="AC5" s="30"/>
      <c r="AD5" s="30">
        <v>0.5</v>
      </c>
      <c r="AE5" s="59"/>
      <c r="AF5" s="59"/>
      <c r="AG5" s="35" t="s">
        <v>1104</v>
      </c>
      <c r="AH5" s="202" t="s">
        <v>19</v>
      </c>
      <c r="AI5" s="35" t="s">
        <v>1880</v>
      </c>
      <c r="AJ5" s="1395"/>
    </row>
    <row r="6" spans="1:36" s="11" customFormat="1" ht="35.25" customHeight="1" x14ac:dyDescent="0.15">
      <c r="A6" s="8">
        <f t="shared" si="0"/>
        <v>4</v>
      </c>
      <c r="B6" s="36" t="s">
        <v>9223</v>
      </c>
      <c r="C6" s="26" t="s">
        <v>19</v>
      </c>
      <c r="D6" s="26" t="s">
        <v>10646</v>
      </c>
      <c r="E6" s="26" t="s">
        <v>19</v>
      </c>
      <c r="F6" s="29" t="s">
        <v>9235</v>
      </c>
      <c r="G6" s="29" t="s">
        <v>9237</v>
      </c>
      <c r="H6" s="26" t="s">
        <v>8679</v>
      </c>
      <c r="I6" s="26" t="s">
        <v>9514</v>
      </c>
      <c r="J6" s="26" t="s">
        <v>9515</v>
      </c>
      <c r="K6" s="1399" t="s">
        <v>2012</v>
      </c>
      <c r="L6" s="1399" t="s">
        <v>2067</v>
      </c>
      <c r="M6" s="1399" t="s">
        <v>8139</v>
      </c>
      <c r="N6" s="22" t="s">
        <v>9236</v>
      </c>
      <c r="O6" s="22" t="s">
        <v>1826</v>
      </c>
      <c r="P6" s="1401" t="s">
        <v>1880</v>
      </c>
      <c r="Q6" s="1400" t="s">
        <v>1131</v>
      </c>
      <c r="R6" s="54" t="s">
        <v>5638</v>
      </c>
      <c r="S6" s="22" t="s">
        <v>1880</v>
      </c>
      <c r="T6" s="1395" t="s">
        <v>5571</v>
      </c>
      <c r="U6" s="1400" t="s">
        <v>5571</v>
      </c>
      <c r="V6" s="24" t="s">
        <v>9222</v>
      </c>
      <c r="W6" s="90" t="s">
        <v>9060</v>
      </c>
      <c r="X6" s="24" t="s">
        <v>110</v>
      </c>
      <c r="Y6" s="24">
        <v>1</v>
      </c>
      <c r="Z6" s="24" t="s">
        <v>8778</v>
      </c>
      <c r="AA6" s="24" t="s">
        <v>8405</v>
      </c>
      <c r="AB6" s="30"/>
      <c r="AC6" s="30">
        <v>16.600000000000001</v>
      </c>
      <c r="AD6" s="30">
        <v>16.600000000000001</v>
      </c>
      <c r="AE6" s="59"/>
      <c r="AF6" s="59"/>
      <c r="AG6" s="35" t="s">
        <v>1104</v>
      </c>
      <c r="AH6" s="202" t="s">
        <v>19</v>
      </c>
      <c r="AI6" s="35" t="s">
        <v>1880</v>
      </c>
      <c r="AJ6" s="1395"/>
    </row>
    <row r="7" spans="1:36" s="11" customFormat="1" ht="26.25" customHeight="1" x14ac:dyDescent="0.15">
      <c r="A7" s="8">
        <f t="shared" si="0"/>
        <v>5</v>
      </c>
      <c r="B7" s="36" t="s">
        <v>9224</v>
      </c>
      <c r="C7" s="26" t="s">
        <v>19</v>
      </c>
      <c r="D7" s="26" t="s">
        <v>19</v>
      </c>
      <c r="E7" s="26" t="s">
        <v>19</v>
      </c>
      <c r="F7" s="29" t="s">
        <v>5635</v>
      </c>
      <c r="G7" s="53" t="s">
        <v>9238</v>
      </c>
      <c r="H7" s="26" t="s">
        <v>8679</v>
      </c>
      <c r="I7" s="26" t="s">
        <v>9514</v>
      </c>
      <c r="J7" s="26" t="s">
        <v>9515</v>
      </c>
      <c r="K7" s="1399" t="s">
        <v>4712</v>
      </c>
      <c r="L7" s="1399" t="s">
        <v>4196</v>
      </c>
      <c r="M7" s="1399" t="s">
        <v>5637</v>
      </c>
      <c r="N7" s="22" t="s">
        <v>4780</v>
      </c>
      <c r="O7" s="22" t="s">
        <v>5431</v>
      </c>
      <c r="P7" s="1401" t="s">
        <v>111</v>
      </c>
      <c r="Q7" s="1400" t="s">
        <v>1131</v>
      </c>
      <c r="R7" s="54" t="s">
        <v>5638</v>
      </c>
      <c r="S7" s="22" t="s">
        <v>1880</v>
      </c>
      <c r="T7" s="1400" t="s">
        <v>5571</v>
      </c>
      <c r="U7" s="1400" t="s">
        <v>5571</v>
      </c>
      <c r="V7" s="24" t="s">
        <v>9222</v>
      </c>
      <c r="W7" s="90" t="s">
        <v>9060</v>
      </c>
      <c r="X7" s="24" t="s">
        <v>2359</v>
      </c>
      <c r="Y7" s="24">
        <v>1</v>
      </c>
      <c r="Z7" s="24" t="s">
        <v>8778</v>
      </c>
      <c r="AA7" s="24" t="s">
        <v>8405</v>
      </c>
      <c r="AB7" s="30"/>
      <c r="AC7" s="30">
        <v>16.600000000000001</v>
      </c>
      <c r="AD7" s="30">
        <v>16.600000000000001</v>
      </c>
      <c r="AE7" s="59"/>
      <c r="AF7" s="59"/>
      <c r="AG7" s="35" t="s">
        <v>1104</v>
      </c>
      <c r="AH7" s="202" t="s">
        <v>19</v>
      </c>
      <c r="AI7" s="35" t="s">
        <v>1880</v>
      </c>
      <c r="AJ7" s="1395"/>
    </row>
    <row r="8" spans="1:36" s="11" customFormat="1" ht="26.25" customHeight="1" x14ac:dyDescent="0.15">
      <c r="A8" s="8">
        <f t="shared" si="0"/>
        <v>6</v>
      </c>
      <c r="B8" s="36" t="s">
        <v>9225</v>
      </c>
      <c r="C8" s="26" t="s">
        <v>19</v>
      </c>
      <c r="D8" s="26" t="s">
        <v>19</v>
      </c>
      <c r="E8" s="26" t="s">
        <v>19</v>
      </c>
      <c r="F8" s="29" t="s">
        <v>5640</v>
      </c>
      <c r="G8" s="53" t="s">
        <v>9239</v>
      </c>
      <c r="H8" s="26" t="s">
        <v>8679</v>
      </c>
      <c r="I8" s="26" t="s">
        <v>9514</v>
      </c>
      <c r="J8" s="26" t="s">
        <v>9515</v>
      </c>
      <c r="K8" s="1399" t="s">
        <v>4712</v>
      </c>
      <c r="L8" s="1399" t="s">
        <v>4196</v>
      </c>
      <c r="M8" s="1399" t="s">
        <v>5430</v>
      </c>
      <c r="N8" s="22" t="s">
        <v>4780</v>
      </c>
      <c r="O8" s="22" t="s">
        <v>5431</v>
      </c>
      <c r="P8" s="1401" t="s">
        <v>111</v>
      </c>
      <c r="Q8" s="1400" t="s">
        <v>1131</v>
      </c>
      <c r="R8" s="54" t="s">
        <v>5638</v>
      </c>
      <c r="S8" s="22" t="s">
        <v>1880</v>
      </c>
      <c r="T8" s="1400" t="s">
        <v>5571</v>
      </c>
      <c r="U8" s="1400" t="s">
        <v>5571</v>
      </c>
      <c r="V8" s="24" t="s">
        <v>9222</v>
      </c>
      <c r="W8" s="90" t="s">
        <v>9060</v>
      </c>
      <c r="X8" s="24" t="s">
        <v>2359</v>
      </c>
      <c r="Y8" s="24">
        <v>1</v>
      </c>
      <c r="Z8" s="24" t="s">
        <v>8778</v>
      </c>
      <c r="AA8" s="24" t="s">
        <v>8405</v>
      </c>
      <c r="AB8" s="30"/>
      <c r="AC8" s="30">
        <v>18.600000000000001</v>
      </c>
      <c r="AD8" s="30">
        <v>18.600000000000001</v>
      </c>
      <c r="AE8" s="59"/>
      <c r="AF8" s="59"/>
      <c r="AG8" s="35" t="s">
        <v>1104</v>
      </c>
      <c r="AH8" s="202" t="s">
        <v>19</v>
      </c>
      <c r="AI8" s="35" t="s">
        <v>1880</v>
      </c>
      <c r="AJ8" s="1395"/>
    </row>
    <row r="9" spans="1:36" s="11" customFormat="1" ht="26.25" customHeight="1" x14ac:dyDescent="0.15">
      <c r="A9" s="8">
        <f t="shared" si="0"/>
        <v>7</v>
      </c>
      <c r="B9" s="36" t="s">
        <v>9226</v>
      </c>
      <c r="C9" s="26" t="s">
        <v>19</v>
      </c>
      <c r="D9" s="26" t="s">
        <v>19</v>
      </c>
      <c r="E9" s="26" t="s">
        <v>19</v>
      </c>
      <c r="F9" s="29" t="s">
        <v>5642</v>
      </c>
      <c r="G9" s="53" t="s">
        <v>9240</v>
      </c>
      <c r="H9" s="26" t="s">
        <v>8679</v>
      </c>
      <c r="I9" s="26" t="s">
        <v>9514</v>
      </c>
      <c r="J9" s="26" t="s">
        <v>9515</v>
      </c>
      <c r="K9" s="1399" t="s">
        <v>4712</v>
      </c>
      <c r="L9" s="1399" t="s">
        <v>4196</v>
      </c>
      <c r="M9" s="1399" t="s">
        <v>5395</v>
      </c>
      <c r="N9" s="22" t="s">
        <v>4780</v>
      </c>
      <c r="O9" s="22" t="s">
        <v>5431</v>
      </c>
      <c r="P9" s="1401" t="s">
        <v>111</v>
      </c>
      <c r="Q9" s="1400" t="s">
        <v>1131</v>
      </c>
      <c r="R9" s="54" t="s">
        <v>5638</v>
      </c>
      <c r="S9" s="22" t="s">
        <v>1880</v>
      </c>
      <c r="T9" s="1400" t="s">
        <v>5571</v>
      </c>
      <c r="U9" s="1400" t="s">
        <v>5571</v>
      </c>
      <c r="V9" s="24" t="s">
        <v>9222</v>
      </c>
      <c r="W9" s="90" t="s">
        <v>9060</v>
      </c>
      <c r="X9" s="24" t="s">
        <v>2359</v>
      </c>
      <c r="Y9" s="24">
        <v>1</v>
      </c>
      <c r="Z9" s="24" t="s">
        <v>8778</v>
      </c>
      <c r="AA9" s="24" t="s">
        <v>8405</v>
      </c>
      <c r="AB9" s="30"/>
      <c r="AC9" s="30">
        <v>16.600000000000001</v>
      </c>
      <c r="AD9" s="30">
        <v>16.600000000000001</v>
      </c>
      <c r="AE9" s="59"/>
      <c r="AF9" s="59"/>
      <c r="AG9" s="35" t="s">
        <v>1104</v>
      </c>
      <c r="AH9" s="202" t="s">
        <v>19</v>
      </c>
      <c r="AI9" s="35" t="s">
        <v>1880</v>
      </c>
      <c r="AJ9" s="1395"/>
    </row>
    <row r="10" spans="1:36" s="11" customFormat="1" ht="26.25" customHeight="1" x14ac:dyDescent="0.15">
      <c r="A10" s="8">
        <f t="shared" si="0"/>
        <v>8</v>
      </c>
      <c r="B10" s="36" t="s">
        <v>9227</v>
      </c>
      <c r="C10" s="26" t="s">
        <v>19</v>
      </c>
      <c r="D10" s="26" t="s">
        <v>19</v>
      </c>
      <c r="E10" s="26" t="s">
        <v>19</v>
      </c>
      <c r="F10" s="29" t="s">
        <v>5644</v>
      </c>
      <c r="G10" s="53" t="s">
        <v>9241</v>
      </c>
      <c r="H10" s="26" t="s">
        <v>8679</v>
      </c>
      <c r="I10" s="26" t="s">
        <v>9514</v>
      </c>
      <c r="J10" s="26" t="s">
        <v>9515</v>
      </c>
      <c r="K10" s="1399" t="s">
        <v>4712</v>
      </c>
      <c r="L10" s="1399" t="s">
        <v>4196</v>
      </c>
      <c r="M10" s="1399" t="s">
        <v>5646</v>
      </c>
      <c r="N10" s="22" t="s">
        <v>4780</v>
      </c>
      <c r="O10" s="22" t="s">
        <v>5431</v>
      </c>
      <c r="P10" s="1401" t="s">
        <v>111</v>
      </c>
      <c r="Q10" s="1400" t="s">
        <v>1131</v>
      </c>
      <c r="R10" s="54" t="s">
        <v>5638</v>
      </c>
      <c r="S10" s="22" t="s">
        <v>1880</v>
      </c>
      <c r="T10" s="1400" t="s">
        <v>5571</v>
      </c>
      <c r="U10" s="1400" t="s">
        <v>5571</v>
      </c>
      <c r="V10" s="24" t="s">
        <v>9222</v>
      </c>
      <c r="W10" s="90" t="s">
        <v>9060</v>
      </c>
      <c r="X10" s="24" t="s">
        <v>2359</v>
      </c>
      <c r="Y10" s="24">
        <v>1</v>
      </c>
      <c r="Z10" s="24" t="s">
        <v>8778</v>
      </c>
      <c r="AA10" s="24" t="s">
        <v>8405</v>
      </c>
      <c r="AB10" s="30"/>
      <c r="AC10" s="30">
        <v>16.600000000000001</v>
      </c>
      <c r="AD10" s="30">
        <v>16.600000000000001</v>
      </c>
      <c r="AE10" s="59"/>
      <c r="AF10" s="59"/>
      <c r="AG10" s="35" t="s">
        <v>1104</v>
      </c>
      <c r="AH10" s="202" t="s">
        <v>19</v>
      </c>
      <c r="AI10" s="35" t="s">
        <v>1880</v>
      </c>
      <c r="AJ10" s="1395"/>
    </row>
    <row r="11" spans="1:36" s="11" customFormat="1" ht="26.25" customHeight="1" x14ac:dyDescent="0.15">
      <c r="A11" s="8">
        <f t="shared" si="0"/>
        <v>9</v>
      </c>
      <c r="B11" s="36" t="s">
        <v>9228</v>
      </c>
      <c r="C11" s="26" t="s">
        <v>19</v>
      </c>
      <c r="D11" s="26" t="s">
        <v>19</v>
      </c>
      <c r="E11" s="26" t="s">
        <v>19</v>
      </c>
      <c r="F11" s="29" t="s">
        <v>8640</v>
      </c>
      <c r="G11" s="53" t="s">
        <v>9242</v>
      </c>
      <c r="H11" s="26" t="s">
        <v>448</v>
      </c>
      <c r="I11" s="26" t="s">
        <v>8654</v>
      </c>
      <c r="J11" s="53" t="s">
        <v>8655</v>
      </c>
      <c r="K11" s="1399" t="s">
        <v>4712</v>
      </c>
      <c r="L11" s="26" t="s">
        <v>448</v>
      </c>
      <c r="M11" s="1399" t="s">
        <v>8642</v>
      </c>
      <c r="N11" s="1831" t="s">
        <v>11093</v>
      </c>
      <c r="O11" s="22" t="s">
        <v>1826</v>
      </c>
      <c r="P11" s="1401" t="s">
        <v>111</v>
      </c>
      <c r="Q11" s="221" t="s">
        <v>1818</v>
      </c>
      <c r="R11" s="54" t="s">
        <v>5500</v>
      </c>
      <c r="S11" s="22" t="s">
        <v>1880</v>
      </c>
      <c r="T11" s="1400" t="s">
        <v>5571</v>
      </c>
      <c r="U11" s="1400" t="s">
        <v>5571</v>
      </c>
      <c r="V11" s="24" t="s">
        <v>9222</v>
      </c>
      <c r="W11" s="90" t="s">
        <v>9234</v>
      </c>
      <c r="X11" s="24" t="s">
        <v>108</v>
      </c>
      <c r="Y11" s="10">
        <v>1</v>
      </c>
      <c r="Z11" s="22" t="s">
        <v>1880</v>
      </c>
      <c r="AA11" s="22" t="s">
        <v>1880</v>
      </c>
      <c r="AB11" s="30">
        <v>1.2</v>
      </c>
      <c r="AC11" s="30"/>
      <c r="AD11" s="30">
        <v>1.2</v>
      </c>
      <c r="AE11" s="59"/>
      <c r="AF11" s="59"/>
      <c r="AG11" s="35" t="s">
        <v>1104</v>
      </c>
      <c r="AH11" s="202" t="s">
        <v>19</v>
      </c>
      <c r="AI11" s="35" t="s">
        <v>1880</v>
      </c>
      <c r="AJ11" s="1395"/>
    </row>
    <row r="12" spans="1:36" s="11" customFormat="1" ht="26.25" customHeight="1" x14ac:dyDescent="0.15">
      <c r="A12" s="8">
        <f t="shared" si="0"/>
        <v>10</v>
      </c>
      <c r="B12" s="36" t="s">
        <v>9229</v>
      </c>
      <c r="C12" s="26" t="s">
        <v>19</v>
      </c>
      <c r="D12" s="26" t="s">
        <v>19</v>
      </c>
      <c r="E12" s="26" t="s">
        <v>19</v>
      </c>
      <c r="F12" s="29" t="s">
        <v>9243</v>
      </c>
      <c r="G12" s="53" t="s">
        <v>9244</v>
      </c>
      <c r="H12" s="26" t="s">
        <v>448</v>
      </c>
      <c r="I12" s="26" t="s">
        <v>448</v>
      </c>
      <c r="J12" s="26" t="s">
        <v>448</v>
      </c>
      <c r="K12" s="1401" t="s">
        <v>1147</v>
      </c>
      <c r="L12" s="1401" t="s">
        <v>2054</v>
      </c>
      <c r="M12" s="1401" t="s">
        <v>3756</v>
      </c>
      <c r="N12" s="1400" t="s">
        <v>2060</v>
      </c>
      <c r="O12" s="22" t="s">
        <v>1826</v>
      </c>
      <c r="P12" s="1401" t="s">
        <v>111</v>
      </c>
      <c r="Q12" s="221" t="s">
        <v>1818</v>
      </c>
      <c r="R12" s="222" t="s">
        <v>2210</v>
      </c>
      <c r="S12" s="22" t="s">
        <v>1880</v>
      </c>
      <c r="T12" s="1395" t="s">
        <v>1894</v>
      </c>
      <c r="U12" s="1400" t="s">
        <v>1894</v>
      </c>
      <c r="V12" s="24" t="s">
        <v>9222</v>
      </c>
      <c r="W12" s="90" t="s">
        <v>9234</v>
      </c>
      <c r="X12" s="24" t="s">
        <v>2359</v>
      </c>
      <c r="Y12" s="24">
        <v>1</v>
      </c>
      <c r="Z12" s="22" t="s">
        <v>1880</v>
      </c>
      <c r="AA12" s="22" t="s">
        <v>1880</v>
      </c>
      <c r="AB12" s="30">
        <v>34.299999999999997</v>
      </c>
      <c r="AC12" s="30"/>
      <c r="AD12" s="30">
        <v>34.299999999999997</v>
      </c>
      <c r="AE12" s="59"/>
      <c r="AF12" s="59"/>
      <c r="AG12" s="35" t="s">
        <v>1104</v>
      </c>
      <c r="AH12" s="202" t="s">
        <v>19</v>
      </c>
      <c r="AI12" s="35" t="s">
        <v>1880</v>
      </c>
      <c r="AJ12" s="1395"/>
    </row>
    <row r="13" spans="1:36" s="11" customFormat="1" ht="26.25" customHeight="1" x14ac:dyDescent="0.15">
      <c r="A13" s="8">
        <f t="shared" si="0"/>
        <v>11</v>
      </c>
      <c r="B13" s="36" t="s">
        <v>9230</v>
      </c>
      <c r="C13" s="26" t="s">
        <v>19</v>
      </c>
      <c r="D13" s="26" t="s">
        <v>19</v>
      </c>
      <c r="E13" s="26" t="s">
        <v>19</v>
      </c>
      <c r="F13" s="29" t="s">
        <v>9245</v>
      </c>
      <c r="G13" s="53" t="s">
        <v>9246</v>
      </c>
      <c r="H13" s="26" t="s">
        <v>448</v>
      </c>
      <c r="I13" s="26" t="s">
        <v>448</v>
      </c>
      <c r="J13" s="26" t="s">
        <v>448</v>
      </c>
      <c r="K13" s="1392" t="s">
        <v>4195</v>
      </c>
      <c r="L13" s="142" t="s">
        <v>1448</v>
      </c>
      <c r="M13" s="37" t="s">
        <v>9247</v>
      </c>
      <c r="N13" s="22" t="s">
        <v>4780</v>
      </c>
      <c r="O13" s="1401" t="s">
        <v>2142</v>
      </c>
      <c r="P13" s="1401" t="s">
        <v>111</v>
      </c>
      <c r="Q13" s="1400" t="s">
        <v>4676</v>
      </c>
      <c r="R13" s="222" t="s">
        <v>2224</v>
      </c>
      <c r="S13" s="22" t="s">
        <v>1880</v>
      </c>
      <c r="T13" s="1393" t="s">
        <v>414</v>
      </c>
      <c r="U13" s="1400" t="s">
        <v>414</v>
      </c>
      <c r="V13" s="24" t="s">
        <v>9222</v>
      </c>
      <c r="W13" s="90" t="s">
        <v>9248</v>
      </c>
      <c r="X13" s="24" t="s">
        <v>2359</v>
      </c>
      <c r="Y13" s="24">
        <v>1</v>
      </c>
      <c r="Z13" s="24" t="s">
        <v>5710</v>
      </c>
      <c r="AA13" s="22" t="s">
        <v>1880</v>
      </c>
      <c r="AB13" s="30">
        <v>6</v>
      </c>
      <c r="AC13" s="30"/>
      <c r="AD13" s="30">
        <v>6</v>
      </c>
      <c r="AE13" s="59"/>
      <c r="AF13" s="59"/>
      <c r="AG13" s="35" t="s">
        <v>1104</v>
      </c>
      <c r="AH13" s="202" t="s">
        <v>19</v>
      </c>
      <c r="AI13" s="35" t="s">
        <v>1880</v>
      </c>
      <c r="AJ13" s="1393"/>
    </row>
    <row r="14" spans="1:36" s="11" customFormat="1" ht="26.25" customHeight="1" x14ac:dyDescent="0.15">
      <c r="A14" s="8">
        <f t="shared" si="0"/>
        <v>12</v>
      </c>
      <c r="B14" s="36" t="s">
        <v>9250</v>
      </c>
      <c r="C14" s="26" t="s">
        <v>19</v>
      </c>
      <c r="D14" s="26" t="s">
        <v>19</v>
      </c>
      <c r="E14" s="26" t="s">
        <v>19</v>
      </c>
      <c r="F14" s="29" t="s">
        <v>8516</v>
      </c>
      <c r="G14" s="29" t="s">
        <v>8520</v>
      </c>
      <c r="H14" s="26" t="s">
        <v>448</v>
      </c>
      <c r="I14" s="26" t="s">
        <v>448</v>
      </c>
      <c r="J14" s="26" t="s">
        <v>448</v>
      </c>
      <c r="K14" s="1" t="s">
        <v>23</v>
      </c>
      <c r="L14" s="142" t="s">
        <v>1448</v>
      </c>
      <c r="M14" s="329" t="s">
        <v>3491</v>
      </c>
      <c r="N14" s="330" t="s">
        <v>2466</v>
      </c>
      <c r="O14" s="1401" t="s">
        <v>2142</v>
      </c>
      <c r="P14" s="1401" t="s">
        <v>111</v>
      </c>
      <c r="Q14" s="1400" t="s">
        <v>4676</v>
      </c>
      <c r="R14" s="54" t="s">
        <v>1819</v>
      </c>
      <c r="S14" s="22" t="s">
        <v>1880</v>
      </c>
      <c r="T14" s="1400" t="s">
        <v>3591</v>
      </c>
      <c r="U14" s="1400" t="s">
        <v>3591</v>
      </c>
      <c r="V14" s="24" t="s">
        <v>9232</v>
      </c>
      <c r="W14" s="90" t="s">
        <v>9234</v>
      </c>
      <c r="X14" s="24" t="s">
        <v>2359</v>
      </c>
      <c r="Y14" s="24">
        <v>1</v>
      </c>
      <c r="Z14" s="24" t="s">
        <v>8778</v>
      </c>
      <c r="AA14" s="24" t="s">
        <v>8405</v>
      </c>
      <c r="AB14" s="30"/>
      <c r="AC14" s="30">
        <v>8</v>
      </c>
      <c r="AD14" s="30">
        <v>8</v>
      </c>
      <c r="AE14" s="59"/>
      <c r="AF14" s="59"/>
      <c r="AG14" s="35" t="s">
        <v>1104</v>
      </c>
      <c r="AH14" s="202" t="s">
        <v>19</v>
      </c>
      <c r="AI14" s="35" t="s">
        <v>1880</v>
      </c>
      <c r="AJ14" s="1393"/>
    </row>
    <row r="15" spans="1:36" s="11" customFormat="1" ht="26.25" customHeight="1" x14ac:dyDescent="0.15">
      <c r="A15" s="8">
        <f t="shared" si="0"/>
        <v>13</v>
      </c>
      <c r="B15" s="36" t="s">
        <v>9253</v>
      </c>
      <c r="C15" s="26" t="s">
        <v>19</v>
      </c>
      <c r="D15" s="26" t="s">
        <v>19</v>
      </c>
      <c r="E15" s="26" t="s">
        <v>19</v>
      </c>
      <c r="F15" s="29" t="s">
        <v>3082</v>
      </c>
      <c r="G15" s="53" t="s">
        <v>5647</v>
      </c>
      <c r="H15" s="26" t="s">
        <v>448</v>
      </c>
      <c r="I15" s="26" t="s">
        <v>448</v>
      </c>
      <c r="J15" s="26" t="s">
        <v>448</v>
      </c>
      <c r="K15" s="1402" t="s">
        <v>4195</v>
      </c>
      <c r="L15" s="1402" t="s">
        <v>2007</v>
      </c>
      <c r="M15" s="1402" t="s">
        <v>5633</v>
      </c>
      <c r="N15" s="22" t="s">
        <v>4780</v>
      </c>
      <c r="O15" s="22" t="s">
        <v>5431</v>
      </c>
      <c r="P15" s="1404" t="s">
        <v>111</v>
      </c>
      <c r="Q15" s="1403" t="s">
        <v>1131</v>
      </c>
      <c r="R15" s="54" t="s">
        <v>116</v>
      </c>
      <c r="S15" s="22" t="s">
        <v>1880</v>
      </c>
      <c r="T15" s="1403" t="s">
        <v>1894</v>
      </c>
      <c r="U15" s="1403" t="s">
        <v>1894</v>
      </c>
      <c r="V15" s="24" t="s">
        <v>9251</v>
      </c>
      <c r="W15" s="90" t="s">
        <v>9252</v>
      </c>
      <c r="X15" s="24" t="s">
        <v>2359</v>
      </c>
      <c r="Y15" s="24">
        <v>2</v>
      </c>
      <c r="Z15" s="24" t="s">
        <v>8778</v>
      </c>
      <c r="AA15" s="24" t="s">
        <v>8405</v>
      </c>
      <c r="AB15" s="30"/>
      <c r="AC15" s="30">
        <v>9.3000000000000007</v>
      </c>
      <c r="AD15" s="30">
        <v>9.3000000000000007</v>
      </c>
      <c r="AE15" s="59"/>
      <c r="AF15" s="59"/>
      <c r="AG15" s="35" t="s">
        <v>1104</v>
      </c>
      <c r="AH15" s="202" t="s">
        <v>19</v>
      </c>
      <c r="AI15" s="35" t="s">
        <v>1880</v>
      </c>
      <c r="AJ15" s="1403"/>
    </row>
    <row r="16" spans="1:36" s="11" customFormat="1" ht="26.25" customHeight="1" x14ac:dyDescent="0.15">
      <c r="A16" s="8">
        <f t="shared" si="0"/>
        <v>14</v>
      </c>
      <c r="B16" s="36" t="s">
        <v>9284</v>
      </c>
      <c r="C16" s="71" t="s">
        <v>9285</v>
      </c>
      <c r="D16" s="26" t="s">
        <v>19</v>
      </c>
      <c r="E16" s="26" t="s">
        <v>19</v>
      </c>
      <c r="F16" s="29" t="s">
        <v>9288</v>
      </c>
      <c r="G16" s="53" t="s">
        <v>9289</v>
      </c>
      <c r="H16" s="26" t="s">
        <v>448</v>
      </c>
      <c r="I16" s="26" t="s">
        <v>448</v>
      </c>
      <c r="J16" s="26" t="s">
        <v>448</v>
      </c>
      <c r="K16" s="1409" t="s">
        <v>4712</v>
      </c>
      <c r="L16" s="726" t="s">
        <v>9125</v>
      </c>
      <c r="M16" s="1409" t="s">
        <v>9126</v>
      </c>
      <c r="N16" s="22" t="s">
        <v>9290</v>
      </c>
      <c r="O16" s="22" t="s">
        <v>5431</v>
      </c>
      <c r="P16" s="1410" t="s">
        <v>111</v>
      </c>
      <c r="Q16" s="1409" t="s">
        <v>1131</v>
      </c>
      <c r="R16" s="54" t="s">
        <v>5708</v>
      </c>
      <c r="S16" s="22" t="s">
        <v>1880</v>
      </c>
      <c r="T16" s="1409" t="s">
        <v>5571</v>
      </c>
      <c r="U16" s="1406" t="s">
        <v>5571</v>
      </c>
      <c r="V16" s="24" t="s">
        <v>9275</v>
      </c>
      <c r="W16" s="90" t="s">
        <v>9103</v>
      </c>
      <c r="X16" s="24" t="s">
        <v>2359</v>
      </c>
      <c r="Y16" s="24">
        <v>1</v>
      </c>
      <c r="Z16" s="24" t="s">
        <v>5711</v>
      </c>
      <c r="AA16" s="22" t="s">
        <v>1880</v>
      </c>
      <c r="AB16" s="30">
        <v>32</v>
      </c>
      <c r="AC16" s="30"/>
      <c r="AD16" s="30">
        <v>32</v>
      </c>
      <c r="AE16" s="59"/>
      <c r="AF16" s="59"/>
      <c r="AG16" s="35" t="s">
        <v>1104</v>
      </c>
      <c r="AH16" s="202" t="s">
        <v>19</v>
      </c>
      <c r="AI16" s="35" t="s">
        <v>1880</v>
      </c>
      <c r="AJ16" s="1406"/>
    </row>
    <row r="17" spans="1:36" s="11" customFormat="1" ht="26.25" customHeight="1" x14ac:dyDescent="0.15">
      <c r="A17" s="8">
        <f t="shared" si="0"/>
        <v>15</v>
      </c>
      <c r="B17" s="36" t="s">
        <v>9287</v>
      </c>
      <c r="C17" s="71" t="s">
        <v>9286</v>
      </c>
      <c r="D17" s="26" t="s">
        <v>19</v>
      </c>
      <c r="E17" s="26" t="s">
        <v>19</v>
      </c>
      <c r="F17" s="29" t="s">
        <v>9288</v>
      </c>
      <c r="G17" s="53" t="s">
        <v>9289</v>
      </c>
      <c r="H17" s="26" t="s">
        <v>448</v>
      </c>
      <c r="I17" s="26" t="s">
        <v>448</v>
      </c>
      <c r="J17" s="26" t="s">
        <v>448</v>
      </c>
      <c r="K17" s="1409" t="s">
        <v>4712</v>
      </c>
      <c r="L17" s="71" t="s">
        <v>9125</v>
      </c>
      <c r="M17" s="1409" t="s">
        <v>9132</v>
      </c>
      <c r="N17" s="22" t="s">
        <v>9291</v>
      </c>
      <c r="O17" s="22" t="s">
        <v>5431</v>
      </c>
      <c r="P17" s="1410" t="s">
        <v>111</v>
      </c>
      <c r="Q17" s="1409" t="s">
        <v>1131</v>
      </c>
      <c r="R17" s="54" t="s">
        <v>5708</v>
      </c>
      <c r="S17" s="22" t="s">
        <v>1880</v>
      </c>
      <c r="T17" s="1409" t="s">
        <v>5571</v>
      </c>
      <c r="U17" s="1409" t="s">
        <v>5571</v>
      </c>
      <c r="V17" s="24" t="s">
        <v>9275</v>
      </c>
      <c r="W17" s="90" t="s">
        <v>9103</v>
      </c>
      <c r="X17" s="24" t="s">
        <v>2359</v>
      </c>
      <c r="Y17" s="24">
        <v>1</v>
      </c>
      <c r="Z17" s="24" t="s">
        <v>5711</v>
      </c>
      <c r="AA17" s="22" t="s">
        <v>1880</v>
      </c>
      <c r="AB17" s="30">
        <v>32</v>
      </c>
      <c r="AC17" s="30"/>
      <c r="AD17" s="30">
        <v>32</v>
      </c>
      <c r="AE17" s="59"/>
      <c r="AF17" s="59"/>
      <c r="AG17" s="35" t="s">
        <v>1104</v>
      </c>
      <c r="AH17" s="202" t="s">
        <v>19</v>
      </c>
      <c r="AI17" s="35" t="s">
        <v>1880</v>
      </c>
      <c r="AJ17" s="1409"/>
    </row>
    <row r="18" spans="1:36" s="11" customFormat="1" ht="26.25" customHeight="1" x14ac:dyDescent="0.15">
      <c r="A18" s="8">
        <f t="shared" si="0"/>
        <v>16</v>
      </c>
      <c r="B18" s="36" t="s">
        <v>9276</v>
      </c>
      <c r="C18" s="26" t="s">
        <v>19</v>
      </c>
      <c r="D18" s="26" t="s">
        <v>19</v>
      </c>
      <c r="E18" s="26" t="s">
        <v>19</v>
      </c>
      <c r="F18" s="29" t="s">
        <v>9292</v>
      </c>
      <c r="G18" s="99" t="s">
        <v>9294</v>
      </c>
      <c r="H18" s="26" t="s">
        <v>448</v>
      </c>
      <c r="I18" s="26" t="s">
        <v>448</v>
      </c>
      <c r="J18" s="26" t="s">
        <v>448</v>
      </c>
      <c r="K18" s="1405" t="s">
        <v>4195</v>
      </c>
      <c r="L18" s="1405" t="s">
        <v>4196</v>
      </c>
      <c r="M18" s="1405" t="s">
        <v>9293</v>
      </c>
      <c r="N18" s="22" t="s">
        <v>4780</v>
      </c>
      <c r="O18" s="22" t="s">
        <v>5431</v>
      </c>
      <c r="P18" s="1410" t="s">
        <v>111</v>
      </c>
      <c r="Q18" s="1406" t="s">
        <v>7591</v>
      </c>
      <c r="R18" s="54" t="s">
        <v>4162</v>
      </c>
      <c r="S18" s="22" t="s">
        <v>1880</v>
      </c>
      <c r="T18" s="1409" t="s">
        <v>5487</v>
      </c>
      <c r="U18" s="1406" t="s">
        <v>5487</v>
      </c>
      <c r="V18" s="24" t="s">
        <v>9275</v>
      </c>
      <c r="W18" s="90" t="s">
        <v>9248</v>
      </c>
      <c r="X18" s="24" t="s">
        <v>2359</v>
      </c>
      <c r="Y18" s="24">
        <v>1</v>
      </c>
      <c r="Z18" s="22" t="s">
        <v>1880</v>
      </c>
      <c r="AA18" s="22" t="s">
        <v>1880</v>
      </c>
      <c r="AB18" s="30">
        <v>36</v>
      </c>
      <c r="AC18" s="30"/>
      <c r="AD18" s="30">
        <v>36</v>
      </c>
      <c r="AE18" s="59"/>
      <c r="AF18" s="59"/>
      <c r="AG18" s="35" t="s">
        <v>1104</v>
      </c>
      <c r="AH18" s="202" t="s">
        <v>19</v>
      </c>
      <c r="AI18" s="35" t="s">
        <v>1880</v>
      </c>
      <c r="AJ18" s="1406"/>
    </row>
    <row r="19" spans="1:36" s="11" customFormat="1" ht="26.25" customHeight="1" x14ac:dyDescent="0.15">
      <c r="A19" s="8">
        <f t="shared" si="0"/>
        <v>17</v>
      </c>
      <c r="B19" s="36" t="s">
        <v>9277</v>
      </c>
      <c r="C19" s="26" t="s">
        <v>19</v>
      </c>
      <c r="D19" s="26" t="s">
        <v>19</v>
      </c>
      <c r="E19" s="26" t="s">
        <v>19</v>
      </c>
      <c r="F19" s="29" t="s">
        <v>5939</v>
      </c>
      <c r="G19" s="53" t="s">
        <v>9295</v>
      </c>
      <c r="H19" s="26" t="s">
        <v>448</v>
      </c>
      <c r="I19" s="26" t="s">
        <v>448</v>
      </c>
      <c r="J19" s="26" t="s">
        <v>448</v>
      </c>
      <c r="K19" s="1408" t="s">
        <v>2475</v>
      </c>
      <c r="L19" s="302" t="s">
        <v>1789</v>
      </c>
      <c r="M19" s="1408" t="s">
        <v>3902</v>
      </c>
      <c r="N19" s="1410" t="s">
        <v>4780</v>
      </c>
      <c r="O19" s="22" t="s">
        <v>5431</v>
      </c>
      <c r="P19" s="1410" t="s">
        <v>1880</v>
      </c>
      <c r="Q19" s="1409" t="s">
        <v>1131</v>
      </c>
      <c r="R19" s="54" t="s">
        <v>1819</v>
      </c>
      <c r="S19" s="22" t="s">
        <v>1880</v>
      </c>
      <c r="T19" s="1409" t="s">
        <v>446</v>
      </c>
      <c r="U19" s="1406" t="s">
        <v>446</v>
      </c>
      <c r="V19" s="24" t="s">
        <v>9275</v>
      </c>
      <c r="W19" s="90" t="s">
        <v>9103</v>
      </c>
      <c r="X19" s="24" t="s">
        <v>2359</v>
      </c>
      <c r="Y19" s="24">
        <v>1</v>
      </c>
      <c r="Z19" s="24" t="s">
        <v>9040</v>
      </c>
      <c r="AA19" s="24" t="s">
        <v>9296</v>
      </c>
      <c r="AB19" s="30"/>
      <c r="AC19" s="30">
        <v>8.85</v>
      </c>
      <c r="AD19" s="30">
        <v>8.85</v>
      </c>
      <c r="AE19" s="59"/>
      <c r="AF19" s="59"/>
      <c r="AG19" s="35" t="s">
        <v>1104</v>
      </c>
      <c r="AH19" s="202" t="s">
        <v>19</v>
      </c>
      <c r="AI19" s="35" t="s">
        <v>1880</v>
      </c>
      <c r="AJ19" s="1406"/>
    </row>
    <row r="20" spans="1:36" s="11" customFormat="1" ht="26.25" customHeight="1" x14ac:dyDescent="0.15">
      <c r="A20" s="8">
        <f t="shared" si="0"/>
        <v>18</v>
      </c>
      <c r="B20" s="36" t="s">
        <v>9278</v>
      </c>
      <c r="C20" s="26" t="s">
        <v>19</v>
      </c>
      <c r="D20" s="26" t="s">
        <v>19</v>
      </c>
      <c r="E20" s="26" t="s">
        <v>19</v>
      </c>
      <c r="F20" s="29" t="s">
        <v>7082</v>
      </c>
      <c r="G20" s="53" t="s">
        <v>9297</v>
      </c>
      <c r="H20" s="26" t="s">
        <v>19</v>
      </c>
      <c r="I20" s="26" t="s">
        <v>19</v>
      </c>
      <c r="J20" s="26" t="s">
        <v>19</v>
      </c>
      <c r="K20" s="1409" t="s">
        <v>5374</v>
      </c>
      <c r="L20" s="1409" t="s">
        <v>5419</v>
      </c>
      <c r="M20" s="1409" t="s">
        <v>9017</v>
      </c>
      <c r="N20" s="22" t="s">
        <v>4780</v>
      </c>
      <c r="O20" s="1409" t="s">
        <v>5431</v>
      </c>
      <c r="P20" s="1410" t="s">
        <v>111</v>
      </c>
      <c r="Q20" s="1409" t="s">
        <v>1131</v>
      </c>
      <c r="R20" s="54" t="s">
        <v>1819</v>
      </c>
      <c r="S20" s="22" t="s">
        <v>1880</v>
      </c>
      <c r="T20" s="1409" t="s">
        <v>446</v>
      </c>
      <c r="U20" s="1407" t="s">
        <v>446</v>
      </c>
      <c r="V20" s="24" t="s">
        <v>9275</v>
      </c>
      <c r="W20" s="90" t="s">
        <v>9103</v>
      </c>
      <c r="X20" s="24" t="s">
        <v>2359</v>
      </c>
      <c r="Y20" s="24">
        <v>1</v>
      </c>
      <c r="Z20" s="24" t="s">
        <v>9183</v>
      </c>
      <c r="AA20" s="24" t="s">
        <v>9298</v>
      </c>
      <c r="AB20" s="30"/>
      <c r="AC20" s="30">
        <v>8.85</v>
      </c>
      <c r="AD20" s="30">
        <v>8.85</v>
      </c>
      <c r="AE20" s="59"/>
      <c r="AF20" s="59"/>
      <c r="AG20" s="35" t="s">
        <v>1104</v>
      </c>
      <c r="AH20" s="202" t="s">
        <v>19</v>
      </c>
      <c r="AI20" s="35" t="s">
        <v>1880</v>
      </c>
      <c r="AJ20" s="1406"/>
    </row>
    <row r="21" spans="1:36" s="11" customFormat="1" ht="26.25" customHeight="1" x14ac:dyDescent="0.15">
      <c r="A21" s="8">
        <f t="shared" si="0"/>
        <v>19</v>
      </c>
      <c r="B21" s="36" t="s">
        <v>9279</v>
      </c>
      <c r="C21" s="26" t="s">
        <v>19</v>
      </c>
      <c r="D21" s="26" t="s">
        <v>19</v>
      </c>
      <c r="E21" s="26" t="s">
        <v>19</v>
      </c>
      <c r="F21" s="29" t="s">
        <v>6582</v>
      </c>
      <c r="G21" s="53" t="s">
        <v>6583</v>
      </c>
      <c r="H21" s="26" t="s">
        <v>448</v>
      </c>
      <c r="I21" s="26" t="s">
        <v>448</v>
      </c>
      <c r="J21" s="26" t="s">
        <v>448</v>
      </c>
      <c r="K21" s="1" t="s">
        <v>1457</v>
      </c>
      <c r="L21" s="142" t="s">
        <v>225</v>
      </c>
      <c r="M21" s="1" t="s">
        <v>5316</v>
      </c>
      <c r="N21" s="22" t="s">
        <v>4780</v>
      </c>
      <c r="O21" s="22" t="s">
        <v>5478</v>
      </c>
      <c r="P21" s="1410" t="s">
        <v>111</v>
      </c>
      <c r="Q21" s="1409" t="s">
        <v>4676</v>
      </c>
      <c r="R21" s="54" t="s">
        <v>9299</v>
      </c>
      <c r="S21" s="1410" t="s">
        <v>111</v>
      </c>
      <c r="T21" s="1409" t="s">
        <v>5487</v>
      </c>
      <c r="U21" s="1406" t="s">
        <v>5487</v>
      </c>
      <c r="V21" s="24" t="s">
        <v>9280</v>
      </c>
      <c r="W21" s="90" t="s">
        <v>9300</v>
      </c>
      <c r="X21" s="24" t="s">
        <v>2359</v>
      </c>
      <c r="Y21" s="24">
        <v>3</v>
      </c>
      <c r="Z21" s="24" t="s">
        <v>8827</v>
      </c>
      <c r="AA21" s="24" t="s">
        <v>8828</v>
      </c>
      <c r="AB21" s="30"/>
      <c r="AC21" s="30">
        <v>12.6</v>
      </c>
      <c r="AD21" s="30">
        <v>12.6</v>
      </c>
      <c r="AE21" s="59"/>
      <c r="AF21" s="59"/>
      <c r="AG21" s="35" t="s">
        <v>1104</v>
      </c>
      <c r="AH21" s="202" t="s">
        <v>19</v>
      </c>
      <c r="AI21" s="35" t="s">
        <v>1880</v>
      </c>
      <c r="AJ21" s="1406"/>
    </row>
    <row r="22" spans="1:36" s="11" customFormat="1" ht="26.25" customHeight="1" x14ac:dyDescent="0.15">
      <c r="A22" s="8">
        <f t="shared" si="0"/>
        <v>20</v>
      </c>
      <c r="B22" s="36" t="s">
        <v>9281</v>
      </c>
      <c r="C22" s="26" t="s">
        <v>19</v>
      </c>
      <c r="D22" s="26" t="s">
        <v>19</v>
      </c>
      <c r="E22" s="26" t="s">
        <v>19</v>
      </c>
      <c r="F22" s="29" t="s">
        <v>5960</v>
      </c>
      <c r="G22" s="29" t="s">
        <v>9301</v>
      </c>
      <c r="H22" s="26" t="s">
        <v>448</v>
      </c>
      <c r="I22" s="26" t="s">
        <v>448</v>
      </c>
      <c r="J22" s="26" t="s">
        <v>448</v>
      </c>
      <c r="K22" s="1409" t="s">
        <v>4712</v>
      </c>
      <c r="L22" s="1409" t="s">
        <v>1124</v>
      </c>
      <c r="M22" s="1409" t="s">
        <v>5961</v>
      </c>
      <c r="N22" s="1410" t="s">
        <v>4780</v>
      </c>
      <c r="O22" s="1410" t="s">
        <v>5431</v>
      </c>
      <c r="P22" s="1410" t="s">
        <v>111</v>
      </c>
      <c r="Q22" s="1409" t="s">
        <v>1131</v>
      </c>
      <c r="R22" s="54" t="s">
        <v>116</v>
      </c>
      <c r="S22" s="1410" t="s">
        <v>111</v>
      </c>
      <c r="T22" s="1409" t="s">
        <v>5571</v>
      </c>
      <c r="U22" s="1406" t="s">
        <v>5571</v>
      </c>
      <c r="V22" s="24" t="s">
        <v>9282</v>
      </c>
      <c r="W22" s="90" t="s">
        <v>9302</v>
      </c>
      <c r="X22" s="24" t="s">
        <v>2359</v>
      </c>
      <c r="Y22" s="24">
        <v>1</v>
      </c>
      <c r="Z22" s="24" t="s">
        <v>9302</v>
      </c>
      <c r="AA22" s="24" t="s">
        <v>9303</v>
      </c>
      <c r="AB22" s="30"/>
      <c r="AC22" s="30">
        <v>8.5</v>
      </c>
      <c r="AD22" s="30">
        <v>8.5</v>
      </c>
      <c r="AE22" s="59"/>
      <c r="AF22" s="59"/>
      <c r="AG22" s="35" t="s">
        <v>1104</v>
      </c>
      <c r="AH22" s="202" t="s">
        <v>19</v>
      </c>
      <c r="AI22" s="35" t="s">
        <v>1880</v>
      </c>
      <c r="AJ22" s="1406"/>
    </row>
    <row r="23" spans="1:36" s="11" customFormat="1" ht="26.25" customHeight="1" x14ac:dyDescent="0.15">
      <c r="A23" s="8">
        <f t="shared" si="0"/>
        <v>21</v>
      </c>
      <c r="B23" s="36" t="s">
        <v>9283</v>
      </c>
      <c r="C23" s="26" t="s">
        <v>19</v>
      </c>
      <c r="D23" s="26" t="s">
        <v>19</v>
      </c>
      <c r="E23" s="26" t="s">
        <v>19</v>
      </c>
      <c r="F23" s="13" t="s">
        <v>9186</v>
      </c>
      <c r="G23" s="29" t="s">
        <v>9311</v>
      </c>
      <c r="H23" s="26" t="s">
        <v>448</v>
      </c>
      <c r="I23" s="26" t="s">
        <v>448</v>
      </c>
      <c r="J23" s="26" t="s">
        <v>448</v>
      </c>
      <c r="K23" s="1409" t="s">
        <v>4195</v>
      </c>
      <c r="L23" s="1409" t="s">
        <v>5419</v>
      </c>
      <c r="M23" s="1409" t="s">
        <v>9312</v>
      </c>
      <c r="N23" s="1599" t="s">
        <v>9946</v>
      </c>
      <c r="O23" s="1410" t="s">
        <v>5431</v>
      </c>
      <c r="P23" s="1410" t="s">
        <v>111</v>
      </c>
      <c r="Q23" s="1409" t="s">
        <v>7591</v>
      </c>
      <c r="R23" s="54" t="s">
        <v>4162</v>
      </c>
      <c r="S23" s="1410" t="s">
        <v>111</v>
      </c>
      <c r="T23" s="1409" t="s">
        <v>1894</v>
      </c>
      <c r="U23" s="1409" t="s">
        <v>1894</v>
      </c>
      <c r="V23" s="24" t="s">
        <v>9310</v>
      </c>
      <c r="W23" s="90" t="s">
        <v>9313</v>
      </c>
      <c r="X23" s="24" t="s">
        <v>2359</v>
      </c>
      <c r="Y23" s="24">
        <v>1</v>
      </c>
      <c r="Z23" s="22" t="s">
        <v>1880</v>
      </c>
      <c r="AA23" s="22" t="s">
        <v>1880</v>
      </c>
      <c r="AB23" s="30">
        <v>144</v>
      </c>
      <c r="AC23" s="30"/>
      <c r="AD23" s="30">
        <v>144</v>
      </c>
      <c r="AE23" s="59"/>
      <c r="AF23" s="59"/>
      <c r="AG23" s="35" t="s">
        <v>1104</v>
      </c>
      <c r="AH23" s="202" t="s">
        <v>19</v>
      </c>
      <c r="AI23" s="35" t="s">
        <v>1880</v>
      </c>
      <c r="AJ23" s="1409"/>
    </row>
    <row r="24" spans="1:36" s="11" customFormat="1" ht="26.25" customHeight="1" x14ac:dyDescent="0.15">
      <c r="A24" s="8">
        <f t="shared" si="0"/>
        <v>22</v>
      </c>
      <c r="B24" s="36" t="s">
        <v>9304</v>
      </c>
      <c r="C24" s="71" t="s">
        <v>9306</v>
      </c>
      <c r="D24" s="26" t="s">
        <v>19</v>
      </c>
      <c r="E24" s="36" t="s">
        <v>9395</v>
      </c>
      <c r="F24" s="29" t="s">
        <v>7384</v>
      </c>
      <c r="G24" s="53" t="s">
        <v>7385</v>
      </c>
      <c r="H24" s="26" t="s">
        <v>448</v>
      </c>
      <c r="I24" s="26" t="s">
        <v>448</v>
      </c>
      <c r="J24" s="26" t="s">
        <v>448</v>
      </c>
      <c r="K24" s="1409" t="s">
        <v>4195</v>
      </c>
      <c r="L24" s="1409" t="s">
        <v>3101</v>
      </c>
      <c r="M24" s="1409" t="s">
        <v>9308</v>
      </c>
      <c r="N24" s="1409" t="s">
        <v>9309</v>
      </c>
      <c r="O24" s="1410" t="s">
        <v>5431</v>
      </c>
      <c r="P24" s="1410" t="s">
        <v>111</v>
      </c>
      <c r="Q24" s="1409" t="s">
        <v>1131</v>
      </c>
      <c r="R24" s="54" t="s">
        <v>2224</v>
      </c>
      <c r="S24" s="1410" t="s">
        <v>111</v>
      </c>
      <c r="T24" s="1409" t="s">
        <v>5489</v>
      </c>
      <c r="U24" s="1409" t="s">
        <v>5489</v>
      </c>
      <c r="V24" s="24" t="s">
        <v>9310</v>
      </c>
      <c r="W24" s="90" t="s">
        <v>6419</v>
      </c>
      <c r="X24" s="24" t="s">
        <v>108</v>
      </c>
      <c r="Y24" s="10">
        <v>1</v>
      </c>
      <c r="Z24" s="24" t="s">
        <v>5710</v>
      </c>
      <c r="AA24" s="22" t="s">
        <v>1880</v>
      </c>
      <c r="AB24" s="30">
        <v>20.611000000000001</v>
      </c>
      <c r="AC24" s="30"/>
      <c r="AD24" s="30">
        <v>20.611000000000001</v>
      </c>
      <c r="AE24" s="59"/>
      <c r="AF24" s="59"/>
      <c r="AG24" s="35" t="s">
        <v>1104</v>
      </c>
      <c r="AH24" s="202" t="s">
        <v>19</v>
      </c>
      <c r="AI24" s="35" t="s">
        <v>1880</v>
      </c>
      <c r="AJ24" s="1409"/>
    </row>
    <row r="25" spans="1:36" s="11" customFormat="1" ht="26.25" customHeight="1" x14ac:dyDescent="0.15">
      <c r="A25" s="8">
        <f t="shared" si="0"/>
        <v>23</v>
      </c>
      <c r="B25" s="36" t="s">
        <v>9305</v>
      </c>
      <c r="C25" s="71" t="s">
        <v>9307</v>
      </c>
      <c r="D25" s="26" t="s">
        <v>19</v>
      </c>
      <c r="E25" s="36" t="s">
        <v>9396</v>
      </c>
      <c r="F25" s="29" t="s">
        <v>7384</v>
      </c>
      <c r="G25" s="53" t="s">
        <v>7385</v>
      </c>
      <c r="H25" s="26" t="s">
        <v>448</v>
      </c>
      <c r="I25" s="26" t="s">
        <v>448</v>
      </c>
      <c r="J25" s="26" t="s">
        <v>448</v>
      </c>
      <c r="K25" s="1409" t="s">
        <v>4195</v>
      </c>
      <c r="L25" s="1409" t="s">
        <v>3101</v>
      </c>
      <c r="M25" s="1409" t="s">
        <v>9308</v>
      </c>
      <c r="N25" s="1409" t="s">
        <v>9309</v>
      </c>
      <c r="O25" s="1410" t="s">
        <v>5431</v>
      </c>
      <c r="P25" s="1410" t="s">
        <v>111</v>
      </c>
      <c r="Q25" s="1409" t="s">
        <v>445</v>
      </c>
      <c r="R25" s="54" t="s">
        <v>3523</v>
      </c>
      <c r="S25" s="1410" t="s">
        <v>111</v>
      </c>
      <c r="T25" s="1409" t="s">
        <v>5489</v>
      </c>
      <c r="U25" s="1409" t="s">
        <v>5489</v>
      </c>
      <c r="V25" s="24" t="s">
        <v>9310</v>
      </c>
      <c r="W25" s="90" t="s">
        <v>6419</v>
      </c>
      <c r="X25" s="24" t="s">
        <v>108</v>
      </c>
      <c r="Y25" s="10">
        <v>1</v>
      </c>
      <c r="Z25" s="22" t="s">
        <v>1880</v>
      </c>
      <c r="AA25" s="22" t="s">
        <v>1880</v>
      </c>
      <c r="AB25" s="30">
        <v>10.69</v>
      </c>
      <c r="AC25" s="30"/>
      <c r="AD25" s="30">
        <v>10.69</v>
      </c>
      <c r="AE25" s="59"/>
      <c r="AF25" s="59"/>
      <c r="AG25" s="35" t="s">
        <v>1104</v>
      </c>
      <c r="AH25" s="202" t="s">
        <v>19</v>
      </c>
      <c r="AI25" s="35" t="s">
        <v>1880</v>
      </c>
      <c r="AJ25" s="1393"/>
    </row>
    <row r="26" spans="1:36" s="11" customFormat="1" ht="26.25" customHeight="1" x14ac:dyDescent="0.15">
      <c r="A26" s="8">
        <f t="shared" si="0"/>
        <v>24</v>
      </c>
      <c r="B26" s="36" t="s">
        <v>9319</v>
      </c>
      <c r="C26" s="26" t="s">
        <v>19</v>
      </c>
      <c r="D26" s="26" t="s">
        <v>19</v>
      </c>
      <c r="E26" s="26" t="s">
        <v>19</v>
      </c>
      <c r="F26" s="29" t="s">
        <v>3836</v>
      </c>
      <c r="G26" s="54" t="s">
        <v>7178</v>
      </c>
      <c r="H26" s="26" t="s">
        <v>448</v>
      </c>
      <c r="I26" s="26" t="s">
        <v>448</v>
      </c>
      <c r="J26" s="26" t="s">
        <v>448</v>
      </c>
      <c r="K26" s="1412" t="s">
        <v>4195</v>
      </c>
      <c r="L26" s="1412" t="s">
        <v>4937</v>
      </c>
      <c r="M26" s="1412" t="s">
        <v>4938</v>
      </c>
      <c r="N26" s="1412" t="s">
        <v>4939</v>
      </c>
      <c r="O26" s="22" t="s">
        <v>1826</v>
      </c>
      <c r="P26" s="1413" t="s">
        <v>1880</v>
      </c>
      <c r="Q26" s="216" t="s">
        <v>25</v>
      </c>
      <c r="R26" s="54" t="s">
        <v>851</v>
      </c>
      <c r="S26" s="1413" t="s">
        <v>111</v>
      </c>
      <c r="T26" s="1412" t="s">
        <v>1785</v>
      </c>
      <c r="U26" s="1412" t="s">
        <v>1785</v>
      </c>
      <c r="V26" s="24" t="s">
        <v>9323</v>
      </c>
      <c r="W26" s="90" t="s">
        <v>9324</v>
      </c>
      <c r="X26" s="1413" t="s">
        <v>2359</v>
      </c>
      <c r="Y26" s="1413">
        <v>1</v>
      </c>
      <c r="Z26" s="24" t="s">
        <v>8566</v>
      </c>
      <c r="AA26" s="24" t="s">
        <v>9325</v>
      </c>
      <c r="AB26" s="30"/>
      <c r="AC26" s="30">
        <v>8</v>
      </c>
      <c r="AD26" s="30">
        <v>8</v>
      </c>
      <c r="AE26" s="59"/>
      <c r="AF26" s="59"/>
      <c r="AG26" s="1413" t="s">
        <v>1104</v>
      </c>
      <c r="AH26" s="202" t="s">
        <v>1880</v>
      </c>
      <c r="AI26" s="133" t="s">
        <v>1880</v>
      </c>
      <c r="AJ26" s="1412"/>
    </row>
    <row r="27" spans="1:36" s="11" customFormat="1" ht="26.25" customHeight="1" x14ac:dyDescent="0.15">
      <c r="A27" s="8">
        <f t="shared" si="0"/>
        <v>25</v>
      </c>
      <c r="B27" s="36" t="s">
        <v>9320</v>
      </c>
      <c r="C27" s="26" t="s">
        <v>19</v>
      </c>
      <c r="D27" s="26" t="s">
        <v>19</v>
      </c>
      <c r="E27" s="26" t="s">
        <v>19</v>
      </c>
      <c r="F27" s="29" t="s">
        <v>5623</v>
      </c>
      <c r="G27" s="53" t="s">
        <v>8529</v>
      </c>
      <c r="H27" s="26" t="s">
        <v>448</v>
      </c>
      <c r="I27" s="26" t="s">
        <v>448</v>
      </c>
      <c r="J27" s="26" t="s">
        <v>448</v>
      </c>
      <c r="K27" s="1413" t="s">
        <v>2012</v>
      </c>
      <c r="L27" s="1413" t="s">
        <v>2437</v>
      </c>
      <c r="M27" s="1413" t="s">
        <v>6658</v>
      </c>
      <c r="N27" s="22" t="s">
        <v>4780</v>
      </c>
      <c r="O27" s="1413" t="s">
        <v>1826</v>
      </c>
      <c r="P27" s="1413" t="s">
        <v>111</v>
      </c>
      <c r="Q27" s="22" t="s">
        <v>454</v>
      </c>
      <c r="R27" s="54" t="s">
        <v>116</v>
      </c>
      <c r="S27" s="1413" t="s">
        <v>111</v>
      </c>
      <c r="T27" s="1412" t="s">
        <v>5571</v>
      </c>
      <c r="U27" s="1412" t="s">
        <v>5571</v>
      </c>
      <c r="V27" s="24" t="s">
        <v>9323</v>
      </c>
      <c r="W27" s="90" t="s">
        <v>9326</v>
      </c>
      <c r="X27" s="10" t="s">
        <v>1800</v>
      </c>
      <c r="Y27" s="10">
        <v>1</v>
      </c>
      <c r="Z27" s="24" t="s">
        <v>8827</v>
      </c>
      <c r="AA27" s="24" t="s">
        <v>8828</v>
      </c>
      <c r="AB27" s="30"/>
      <c r="AC27" s="30">
        <v>10</v>
      </c>
      <c r="AD27" s="30">
        <v>10</v>
      </c>
      <c r="AE27" s="59"/>
      <c r="AF27" s="59"/>
      <c r="AG27" s="1413" t="s">
        <v>1104</v>
      </c>
      <c r="AH27" s="202" t="s">
        <v>1880</v>
      </c>
      <c r="AI27" s="133" t="s">
        <v>1880</v>
      </c>
      <c r="AJ27" s="1412"/>
    </row>
    <row r="28" spans="1:36" s="11" customFormat="1" ht="26.25" customHeight="1" x14ac:dyDescent="0.15">
      <c r="A28" s="8">
        <f t="shared" si="0"/>
        <v>26</v>
      </c>
      <c r="B28" s="36" t="s">
        <v>9321</v>
      </c>
      <c r="C28" s="26" t="s">
        <v>19</v>
      </c>
      <c r="D28" s="26" t="s">
        <v>19</v>
      </c>
      <c r="E28" s="36" t="s">
        <v>9624</v>
      </c>
      <c r="F28" s="29" t="s">
        <v>9327</v>
      </c>
      <c r="G28" s="53" t="s">
        <v>9328</v>
      </c>
      <c r="H28" s="26" t="s">
        <v>8757</v>
      </c>
      <c r="I28" s="26" t="s">
        <v>10439</v>
      </c>
      <c r="J28" s="26" t="s">
        <v>10440</v>
      </c>
      <c r="K28" s="1411" t="s">
        <v>4712</v>
      </c>
      <c r="L28" s="1411" t="s">
        <v>4750</v>
      </c>
      <c r="M28" s="1411" t="s">
        <v>9329</v>
      </c>
      <c r="N28" s="22" t="s">
        <v>4780</v>
      </c>
      <c r="O28" s="1413" t="s">
        <v>1826</v>
      </c>
      <c r="P28" s="1413" t="s">
        <v>9333</v>
      </c>
      <c r="Q28" s="22" t="s">
        <v>454</v>
      </c>
      <c r="R28" s="54" t="s">
        <v>2224</v>
      </c>
      <c r="S28" s="1413" t="s">
        <v>111</v>
      </c>
      <c r="T28" s="1412" t="s">
        <v>5571</v>
      </c>
      <c r="U28" s="1412" t="s">
        <v>5571</v>
      </c>
      <c r="V28" s="24" t="s">
        <v>9330</v>
      </c>
      <c r="W28" s="90" t="s">
        <v>9331</v>
      </c>
      <c r="X28" s="1413" t="s">
        <v>2359</v>
      </c>
      <c r="Y28" s="1413">
        <v>1</v>
      </c>
      <c r="Z28" s="24" t="s">
        <v>5710</v>
      </c>
      <c r="AA28" s="22" t="s">
        <v>1880</v>
      </c>
      <c r="AB28" s="30">
        <v>12</v>
      </c>
      <c r="AC28" s="30"/>
      <c r="AD28" s="30">
        <v>12</v>
      </c>
      <c r="AE28" s="59"/>
      <c r="AF28" s="59"/>
      <c r="AG28" s="1413" t="s">
        <v>1104</v>
      </c>
      <c r="AH28" s="202" t="s">
        <v>1880</v>
      </c>
      <c r="AI28" s="133" t="s">
        <v>1880</v>
      </c>
      <c r="AJ28" s="1412"/>
    </row>
    <row r="29" spans="1:36" s="11" customFormat="1" ht="26.25" customHeight="1" x14ac:dyDescent="0.15">
      <c r="A29" s="8">
        <f t="shared" si="0"/>
        <v>27</v>
      </c>
      <c r="B29" s="36" t="s">
        <v>9322</v>
      </c>
      <c r="C29" s="26" t="s">
        <v>19</v>
      </c>
      <c r="D29" s="26" t="s">
        <v>9332</v>
      </c>
      <c r="E29" s="26" t="s">
        <v>19</v>
      </c>
      <c r="F29" s="29" t="s">
        <v>6328</v>
      </c>
      <c r="G29" s="99" t="s">
        <v>8749</v>
      </c>
      <c r="H29" s="26" t="s">
        <v>448</v>
      </c>
      <c r="I29" s="26" t="s">
        <v>448</v>
      </c>
      <c r="J29" s="26" t="s">
        <v>448</v>
      </c>
      <c r="K29" s="1412" t="s">
        <v>4712</v>
      </c>
      <c r="L29" s="1412" t="s">
        <v>4692</v>
      </c>
      <c r="M29" s="1412" t="s">
        <v>6331</v>
      </c>
      <c r="N29" s="1413" t="s">
        <v>4780</v>
      </c>
      <c r="O29" s="1413" t="s">
        <v>1826</v>
      </c>
      <c r="P29" s="1413" t="s">
        <v>111</v>
      </c>
      <c r="Q29" s="1413" t="s">
        <v>1818</v>
      </c>
      <c r="R29" s="151" t="s">
        <v>1796</v>
      </c>
      <c r="S29" s="22" t="s">
        <v>1880</v>
      </c>
      <c r="T29" s="1412" t="s">
        <v>5571</v>
      </c>
      <c r="U29" s="1412" t="s">
        <v>5571</v>
      </c>
      <c r="V29" s="24" t="s">
        <v>9330</v>
      </c>
      <c r="W29" s="24" t="s">
        <v>448</v>
      </c>
      <c r="X29" s="24" t="s">
        <v>448</v>
      </c>
      <c r="Y29" s="24" t="s">
        <v>448</v>
      </c>
      <c r="Z29" s="24" t="s">
        <v>448</v>
      </c>
      <c r="AA29" s="24" t="s">
        <v>448</v>
      </c>
      <c r="AB29" s="30">
        <v>0.98</v>
      </c>
      <c r="AC29" s="30"/>
      <c r="AD29" s="30">
        <v>0.98</v>
      </c>
      <c r="AE29" s="59"/>
      <c r="AF29" s="59"/>
      <c r="AG29" s="1413" t="s">
        <v>1104</v>
      </c>
      <c r="AH29" s="202" t="s">
        <v>19</v>
      </c>
      <c r="AI29" s="35" t="s">
        <v>1880</v>
      </c>
      <c r="AJ29" s="1412" t="s">
        <v>9334</v>
      </c>
    </row>
    <row r="30" spans="1:36" s="11" customFormat="1" ht="26.25" customHeight="1" x14ac:dyDescent="0.15">
      <c r="A30" s="8">
        <f t="shared" si="0"/>
        <v>28</v>
      </c>
      <c r="B30" s="36" t="s">
        <v>9335</v>
      </c>
      <c r="C30" s="1416" t="s">
        <v>111</v>
      </c>
      <c r="D30" s="1416" t="s">
        <v>111</v>
      </c>
      <c r="E30" s="1416" t="s">
        <v>111</v>
      </c>
      <c r="F30" s="29" t="s">
        <v>6670</v>
      </c>
      <c r="G30" s="53" t="s">
        <v>6671</v>
      </c>
      <c r="H30" s="26" t="s">
        <v>448</v>
      </c>
      <c r="I30" s="26" t="s">
        <v>448</v>
      </c>
      <c r="J30" s="26" t="s">
        <v>448</v>
      </c>
      <c r="K30" s="1414" t="s">
        <v>2113</v>
      </c>
      <c r="L30" s="1414" t="s">
        <v>1779</v>
      </c>
      <c r="M30" s="1414" t="s">
        <v>1778</v>
      </c>
      <c r="N30" s="22" t="s">
        <v>9947</v>
      </c>
      <c r="O30" s="1416" t="s">
        <v>1826</v>
      </c>
      <c r="P30" s="1416" t="s">
        <v>111</v>
      </c>
      <c r="Q30" s="1415" t="s">
        <v>1131</v>
      </c>
      <c r="R30" s="54" t="s">
        <v>116</v>
      </c>
      <c r="S30" s="1416" t="s">
        <v>111</v>
      </c>
      <c r="T30" s="1415" t="s">
        <v>5489</v>
      </c>
      <c r="U30" s="1415" t="s">
        <v>5489</v>
      </c>
      <c r="V30" s="24" t="s">
        <v>9336</v>
      </c>
      <c r="W30" s="90" t="s">
        <v>9337</v>
      </c>
      <c r="X30" s="1416" t="s">
        <v>2359</v>
      </c>
      <c r="Y30" s="1416">
        <v>1</v>
      </c>
      <c r="Z30" s="24" t="s">
        <v>8778</v>
      </c>
      <c r="AA30" s="24" t="s">
        <v>8405</v>
      </c>
      <c r="AB30" s="30"/>
      <c r="AC30" s="30">
        <v>8</v>
      </c>
      <c r="AD30" s="30">
        <v>8</v>
      </c>
      <c r="AE30" s="59"/>
      <c r="AF30" s="59"/>
      <c r="AG30" s="1416" t="s">
        <v>1104</v>
      </c>
      <c r="AH30" s="202" t="s">
        <v>1880</v>
      </c>
      <c r="AI30" s="133" t="s">
        <v>1880</v>
      </c>
      <c r="AJ30" s="1415"/>
    </row>
    <row r="31" spans="1:36" s="11" customFormat="1" ht="26.25" customHeight="1" x14ac:dyDescent="0.15">
      <c r="A31" s="8">
        <f t="shared" si="0"/>
        <v>29</v>
      </c>
      <c r="B31" s="36" t="s">
        <v>9339</v>
      </c>
      <c r="C31" s="1424" t="s">
        <v>111</v>
      </c>
      <c r="D31" s="1424" t="s">
        <v>111</v>
      </c>
      <c r="E31" s="1424" t="s">
        <v>111</v>
      </c>
      <c r="F31" s="29" t="s">
        <v>9346</v>
      </c>
      <c r="G31" s="53" t="s">
        <v>9410</v>
      </c>
      <c r="H31" s="26" t="s">
        <v>448</v>
      </c>
      <c r="I31" s="26" t="s">
        <v>448</v>
      </c>
      <c r="J31" s="26" t="s">
        <v>448</v>
      </c>
      <c r="K31" s="1422" t="s">
        <v>4691</v>
      </c>
      <c r="L31" s="1422" t="s">
        <v>6836</v>
      </c>
      <c r="M31" s="1422" t="s">
        <v>7227</v>
      </c>
      <c r="N31" s="1424" t="s">
        <v>4780</v>
      </c>
      <c r="O31" s="22" t="s">
        <v>5431</v>
      </c>
      <c r="P31" s="1424" t="s">
        <v>1880</v>
      </c>
      <c r="Q31" s="1423" t="s">
        <v>1131</v>
      </c>
      <c r="R31" s="54" t="s">
        <v>116</v>
      </c>
      <c r="S31" s="1424" t="s">
        <v>111</v>
      </c>
      <c r="T31" s="1417" t="s">
        <v>5571</v>
      </c>
      <c r="U31" s="1417" t="s">
        <v>5571</v>
      </c>
      <c r="V31" s="24" t="s">
        <v>9341</v>
      </c>
      <c r="W31" s="90" t="s">
        <v>9411</v>
      </c>
      <c r="X31" s="1444" t="s">
        <v>2359</v>
      </c>
      <c r="Y31" s="1444">
        <v>1</v>
      </c>
      <c r="Z31" s="24" t="s">
        <v>8778</v>
      </c>
      <c r="AA31" s="24" t="s">
        <v>8405</v>
      </c>
      <c r="AB31" s="30"/>
      <c r="AC31" s="30">
        <v>8</v>
      </c>
      <c r="AD31" s="30">
        <v>8</v>
      </c>
      <c r="AE31" s="59"/>
      <c r="AF31" s="59"/>
      <c r="AG31" s="1418" t="s">
        <v>1104</v>
      </c>
      <c r="AH31" s="202" t="s">
        <v>1880</v>
      </c>
      <c r="AI31" s="133" t="s">
        <v>1880</v>
      </c>
      <c r="AJ31" s="1417" t="s">
        <v>9340</v>
      </c>
    </row>
    <row r="32" spans="1:36" s="11" customFormat="1" ht="26.25" customHeight="1" x14ac:dyDescent="0.15">
      <c r="A32" s="8">
        <f t="shared" si="0"/>
        <v>30</v>
      </c>
      <c r="B32" s="36" t="s">
        <v>9343</v>
      </c>
      <c r="C32" s="1424" t="s">
        <v>111</v>
      </c>
      <c r="D32" s="1424" t="s">
        <v>111</v>
      </c>
      <c r="E32" s="1424" t="s">
        <v>111</v>
      </c>
      <c r="F32" s="29" t="s">
        <v>7131</v>
      </c>
      <c r="G32" s="53" t="s">
        <v>9347</v>
      </c>
      <c r="H32" s="26" t="s">
        <v>448</v>
      </c>
      <c r="I32" s="26" t="s">
        <v>448</v>
      </c>
      <c r="J32" s="26" t="s">
        <v>448</v>
      </c>
      <c r="K32" s="1422" t="s">
        <v>4712</v>
      </c>
      <c r="L32" s="1422" t="s">
        <v>4692</v>
      </c>
      <c r="M32" s="1422" t="s">
        <v>7135</v>
      </c>
      <c r="N32" s="22" t="s">
        <v>9348</v>
      </c>
      <c r="O32" s="1423" t="s">
        <v>5431</v>
      </c>
      <c r="P32" s="1424" t="s">
        <v>7142</v>
      </c>
      <c r="Q32" s="1423" t="s">
        <v>1131</v>
      </c>
      <c r="R32" s="54" t="s">
        <v>116</v>
      </c>
      <c r="S32" s="1424" t="s">
        <v>111</v>
      </c>
      <c r="T32" s="1417" t="s">
        <v>5571</v>
      </c>
      <c r="U32" s="1419" t="s">
        <v>5571</v>
      </c>
      <c r="V32" s="24" t="s">
        <v>9342</v>
      </c>
      <c r="W32" s="90" t="s">
        <v>9349</v>
      </c>
      <c r="X32" s="1424" t="s">
        <v>2359</v>
      </c>
      <c r="Y32" s="1424">
        <v>1</v>
      </c>
      <c r="Z32" s="24" t="s">
        <v>8827</v>
      </c>
      <c r="AA32" s="24" t="s">
        <v>8828</v>
      </c>
      <c r="AB32" s="30"/>
      <c r="AC32" s="30">
        <v>7</v>
      </c>
      <c r="AD32" s="30">
        <v>7</v>
      </c>
      <c r="AE32" s="59"/>
      <c r="AF32" s="59"/>
      <c r="AG32" s="1421" t="s">
        <v>1104</v>
      </c>
      <c r="AH32" s="202" t="s">
        <v>1880</v>
      </c>
      <c r="AI32" s="133" t="s">
        <v>1880</v>
      </c>
      <c r="AJ32" s="1417"/>
    </row>
    <row r="33" spans="1:36" s="11" customFormat="1" ht="26.25" customHeight="1" x14ac:dyDescent="0.15">
      <c r="A33" s="8">
        <f t="shared" si="0"/>
        <v>31</v>
      </c>
      <c r="B33" s="36" t="s">
        <v>9350</v>
      </c>
      <c r="C33" s="1424" t="s">
        <v>111</v>
      </c>
      <c r="D33" s="1424" t="s">
        <v>111</v>
      </c>
      <c r="E33" s="36" t="s">
        <v>9456</v>
      </c>
      <c r="F33" s="29" t="s">
        <v>9353</v>
      </c>
      <c r="G33" s="53" t="s">
        <v>9354</v>
      </c>
      <c r="H33" s="26" t="s">
        <v>448</v>
      </c>
      <c r="I33" s="26" t="s">
        <v>448</v>
      </c>
      <c r="J33" s="26" t="s">
        <v>448</v>
      </c>
      <c r="K33" s="1424" t="s">
        <v>1881</v>
      </c>
      <c r="L33" s="1424" t="s">
        <v>1146</v>
      </c>
      <c r="M33" s="21" t="s">
        <v>3554</v>
      </c>
      <c r="N33" s="1424" t="s">
        <v>9948</v>
      </c>
      <c r="O33" s="22" t="s">
        <v>5478</v>
      </c>
      <c r="P33" s="1424" t="s">
        <v>1880</v>
      </c>
      <c r="Q33" s="1423" t="s">
        <v>4676</v>
      </c>
      <c r="R33" s="151" t="s">
        <v>3917</v>
      </c>
      <c r="S33" s="1424" t="s">
        <v>111</v>
      </c>
      <c r="T33" s="1412" t="s">
        <v>1894</v>
      </c>
      <c r="U33" s="1419" t="s">
        <v>1894</v>
      </c>
      <c r="V33" s="24" t="s">
        <v>9342</v>
      </c>
      <c r="W33" s="90" t="s">
        <v>9356</v>
      </c>
      <c r="X33" s="1424" t="s">
        <v>2359</v>
      </c>
      <c r="Y33" s="1424">
        <v>2</v>
      </c>
      <c r="Z33" s="24" t="s">
        <v>448</v>
      </c>
      <c r="AA33" s="24" t="s">
        <v>448</v>
      </c>
      <c r="AB33" s="30">
        <v>14.726800000000001</v>
      </c>
      <c r="AC33" s="30"/>
      <c r="AD33" s="30">
        <v>14.726800000000001</v>
      </c>
      <c r="AE33" s="59"/>
      <c r="AF33" s="59"/>
      <c r="AG33" s="1421" t="s">
        <v>1104</v>
      </c>
      <c r="AH33" s="202" t="s">
        <v>1880</v>
      </c>
      <c r="AI33" s="133" t="s">
        <v>1880</v>
      </c>
      <c r="AJ33" s="1412"/>
    </row>
    <row r="34" spans="1:36" s="11" customFormat="1" ht="26.25" customHeight="1" x14ac:dyDescent="0.15">
      <c r="A34" s="8">
        <f t="shared" si="0"/>
        <v>32</v>
      </c>
      <c r="B34" s="36" t="s">
        <v>9351</v>
      </c>
      <c r="C34" s="1424" t="s">
        <v>111</v>
      </c>
      <c r="D34" s="1424" t="s">
        <v>111</v>
      </c>
      <c r="E34" s="36" t="s">
        <v>9457</v>
      </c>
      <c r="F34" s="29" t="s">
        <v>9353</v>
      </c>
      <c r="G34" s="53" t="s">
        <v>9354</v>
      </c>
      <c r="H34" s="26" t="s">
        <v>448</v>
      </c>
      <c r="I34" s="26" t="s">
        <v>448</v>
      </c>
      <c r="J34" s="26" t="s">
        <v>448</v>
      </c>
      <c r="K34" s="1424" t="s">
        <v>1881</v>
      </c>
      <c r="L34" s="1424" t="s">
        <v>1146</v>
      </c>
      <c r="M34" s="21" t="s">
        <v>3554</v>
      </c>
      <c r="N34" s="1424" t="s">
        <v>9948</v>
      </c>
      <c r="O34" s="22" t="s">
        <v>5478</v>
      </c>
      <c r="P34" s="1424" t="s">
        <v>1880</v>
      </c>
      <c r="Q34" s="1423" t="s">
        <v>445</v>
      </c>
      <c r="R34" s="54" t="s">
        <v>9355</v>
      </c>
      <c r="S34" s="1424" t="s">
        <v>111</v>
      </c>
      <c r="T34" s="1423" t="s">
        <v>1894</v>
      </c>
      <c r="U34" s="1423" t="s">
        <v>1894</v>
      </c>
      <c r="V34" s="24" t="s">
        <v>9342</v>
      </c>
      <c r="W34" s="90" t="s">
        <v>9356</v>
      </c>
      <c r="X34" s="1424" t="s">
        <v>2359</v>
      </c>
      <c r="Y34" s="1424">
        <v>2</v>
      </c>
      <c r="Z34" s="24" t="s">
        <v>448</v>
      </c>
      <c r="AA34" s="24" t="s">
        <v>448</v>
      </c>
      <c r="AB34" s="30">
        <v>3.9761000000000002</v>
      </c>
      <c r="AC34" s="30"/>
      <c r="AD34" s="30">
        <v>3.9761000000000002</v>
      </c>
      <c r="AE34" s="59"/>
      <c r="AF34" s="59"/>
      <c r="AG34" s="1424" t="s">
        <v>1104</v>
      </c>
      <c r="AH34" s="202" t="s">
        <v>1880</v>
      </c>
      <c r="AI34" s="133" t="s">
        <v>1880</v>
      </c>
      <c r="AJ34" s="1423"/>
    </row>
    <row r="35" spans="1:36" s="11" customFormat="1" ht="26.25" customHeight="1" x14ac:dyDescent="0.15">
      <c r="A35" s="8">
        <f t="shared" si="0"/>
        <v>33</v>
      </c>
      <c r="B35" s="36" t="s">
        <v>9352</v>
      </c>
      <c r="C35" s="1424" t="s">
        <v>111</v>
      </c>
      <c r="D35" s="1424" t="s">
        <v>111</v>
      </c>
      <c r="E35" s="611" t="s">
        <v>9751</v>
      </c>
      <c r="F35" s="29" t="s">
        <v>9353</v>
      </c>
      <c r="G35" s="53" t="s">
        <v>9354</v>
      </c>
      <c r="H35" s="26" t="s">
        <v>448</v>
      </c>
      <c r="I35" s="26" t="s">
        <v>448</v>
      </c>
      <c r="J35" s="26" t="s">
        <v>448</v>
      </c>
      <c r="K35" s="1424" t="s">
        <v>1881</v>
      </c>
      <c r="L35" s="1424" t="s">
        <v>1146</v>
      </c>
      <c r="M35" s="21" t="s">
        <v>3554</v>
      </c>
      <c r="N35" s="1424" t="s">
        <v>9948</v>
      </c>
      <c r="O35" s="22" t="s">
        <v>5478</v>
      </c>
      <c r="P35" s="1424" t="s">
        <v>1880</v>
      </c>
      <c r="Q35" s="1423" t="s">
        <v>5863</v>
      </c>
      <c r="R35" s="54" t="s">
        <v>10735</v>
      </c>
      <c r="S35" s="1424" t="s">
        <v>111</v>
      </c>
      <c r="T35" s="1423" t="s">
        <v>1894</v>
      </c>
      <c r="U35" s="1423" t="s">
        <v>1894</v>
      </c>
      <c r="V35" s="24" t="s">
        <v>9342</v>
      </c>
      <c r="W35" s="90" t="s">
        <v>9356</v>
      </c>
      <c r="X35" s="1424" t="s">
        <v>2359</v>
      </c>
      <c r="Y35" s="1424">
        <v>2</v>
      </c>
      <c r="Z35" s="24" t="s">
        <v>448</v>
      </c>
      <c r="AA35" s="24" t="s">
        <v>448</v>
      </c>
      <c r="AB35" s="30">
        <v>3.7686999999999999</v>
      </c>
      <c r="AC35" s="30"/>
      <c r="AD35" s="30">
        <v>3.7686999999999999</v>
      </c>
      <c r="AE35" s="59"/>
      <c r="AF35" s="59"/>
      <c r="AG35" s="1424" t="s">
        <v>1104</v>
      </c>
      <c r="AH35" s="202" t="s">
        <v>1880</v>
      </c>
      <c r="AI35" s="133" t="s">
        <v>1880</v>
      </c>
      <c r="AJ35" s="1423"/>
    </row>
    <row r="36" spans="1:36" s="11" customFormat="1" ht="26.25" customHeight="1" x14ac:dyDescent="0.15">
      <c r="A36" s="8">
        <f t="shared" si="0"/>
        <v>34</v>
      </c>
      <c r="B36" s="36" t="s">
        <v>9357</v>
      </c>
      <c r="C36" s="1424" t="s">
        <v>111</v>
      </c>
      <c r="D36" s="1424" t="s">
        <v>111</v>
      </c>
      <c r="E36" s="1424" t="s">
        <v>111</v>
      </c>
      <c r="F36" s="29" t="s">
        <v>7666</v>
      </c>
      <c r="G36" s="29" t="s">
        <v>9359</v>
      </c>
      <c r="H36" s="26" t="s">
        <v>448</v>
      </c>
      <c r="I36" s="26" t="s">
        <v>448</v>
      </c>
      <c r="J36" s="26" t="s">
        <v>448</v>
      </c>
      <c r="K36" s="1423" t="s">
        <v>3649</v>
      </c>
      <c r="L36" s="1423" t="s">
        <v>6079</v>
      </c>
      <c r="M36" s="1423" t="s">
        <v>6767</v>
      </c>
      <c r="N36" s="22" t="s">
        <v>4780</v>
      </c>
      <c r="O36" s="1424" t="s">
        <v>1826</v>
      </c>
      <c r="P36" s="1424" t="s">
        <v>111</v>
      </c>
      <c r="Q36" s="28" t="s">
        <v>25</v>
      </c>
      <c r="R36" s="151" t="s">
        <v>9364</v>
      </c>
      <c r="S36" s="1424" t="s">
        <v>111</v>
      </c>
      <c r="T36" s="1420" t="s">
        <v>5487</v>
      </c>
      <c r="U36" s="1420" t="s">
        <v>5487</v>
      </c>
      <c r="V36" s="24" t="s">
        <v>9345</v>
      </c>
      <c r="W36" s="90" t="s">
        <v>9360</v>
      </c>
      <c r="X36" s="1424" t="s">
        <v>2359</v>
      </c>
      <c r="Y36" s="1424">
        <v>1</v>
      </c>
      <c r="Z36" s="24" t="s">
        <v>448</v>
      </c>
      <c r="AA36" s="24" t="s">
        <v>448</v>
      </c>
      <c r="AB36" s="30">
        <v>2.5</v>
      </c>
      <c r="AC36" s="30"/>
      <c r="AD36" s="30">
        <v>2.5</v>
      </c>
      <c r="AE36" s="59"/>
      <c r="AF36" s="59"/>
      <c r="AG36" s="1421" t="s">
        <v>1104</v>
      </c>
      <c r="AH36" s="202" t="s">
        <v>1880</v>
      </c>
      <c r="AI36" s="133" t="s">
        <v>1880</v>
      </c>
      <c r="AJ36" s="1420"/>
    </row>
    <row r="37" spans="1:36" s="11" customFormat="1" ht="26.25" customHeight="1" x14ac:dyDescent="0.15">
      <c r="A37" s="8">
        <f t="shared" si="0"/>
        <v>35</v>
      </c>
      <c r="B37" s="36" t="s">
        <v>9358</v>
      </c>
      <c r="C37" s="1424" t="s">
        <v>111</v>
      </c>
      <c r="D37" s="1424" t="s">
        <v>111</v>
      </c>
      <c r="E37" s="1424" t="s">
        <v>111</v>
      </c>
      <c r="F37" s="29" t="s">
        <v>7666</v>
      </c>
      <c r="G37" s="29" t="s">
        <v>9359</v>
      </c>
      <c r="H37" s="26" t="s">
        <v>448</v>
      </c>
      <c r="I37" s="26" t="s">
        <v>448</v>
      </c>
      <c r="J37" s="26" t="s">
        <v>448</v>
      </c>
      <c r="K37" s="1423" t="s">
        <v>3649</v>
      </c>
      <c r="L37" s="1423" t="s">
        <v>6079</v>
      </c>
      <c r="M37" s="1423" t="s">
        <v>6080</v>
      </c>
      <c r="N37" s="22" t="s">
        <v>4780</v>
      </c>
      <c r="O37" s="1424" t="s">
        <v>1826</v>
      </c>
      <c r="P37" s="1424" t="s">
        <v>111</v>
      </c>
      <c r="Q37" s="28" t="s">
        <v>25</v>
      </c>
      <c r="R37" s="151" t="s">
        <v>9364</v>
      </c>
      <c r="S37" s="1424" t="s">
        <v>111</v>
      </c>
      <c r="T37" s="1423" t="s">
        <v>5487</v>
      </c>
      <c r="U37" s="1423" t="s">
        <v>5487</v>
      </c>
      <c r="V37" s="24" t="s">
        <v>9345</v>
      </c>
      <c r="W37" s="90" t="s">
        <v>9360</v>
      </c>
      <c r="X37" s="1424" t="s">
        <v>2359</v>
      </c>
      <c r="Y37" s="1424">
        <v>1</v>
      </c>
      <c r="Z37" s="24" t="s">
        <v>448</v>
      </c>
      <c r="AA37" s="24" t="s">
        <v>448</v>
      </c>
      <c r="AB37" s="30">
        <v>2.5</v>
      </c>
      <c r="AC37" s="30"/>
      <c r="AD37" s="30">
        <v>2.5</v>
      </c>
      <c r="AE37" s="59"/>
      <c r="AF37" s="59"/>
      <c r="AG37" s="1424" t="s">
        <v>1104</v>
      </c>
      <c r="AH37" s="202" t="s">
        <v>1880</v>
      </c>
      <c r="AI37" s="133" t="s">
        <v>1880</v>
      </c>
      <c r="AJ37" s="1423"/>
    </row>
    <row r="38" spans="1:36" s="11" customFormat="1" ht="26.25" customHeight="1" x14ac:dyDescent="0.15">
      <c r="A38" s="8">
        <f t="shared" si="0"/>
        <v>36</v>
      </c>
      <c r="B38" s="36" t="s">
        <v>9344</v>
      </c>
      <c r="C38" s="1424" t="s">
        <v>111</v>
      </c>
      <c r="D38" s="1424" t="s">
        <v>111</v>
      </c>
      <c r="E38" s="1424" t="s">
        <v>111</v>
      </c>
      <c r="F38" s="29" t="s">
        <v>5664</v>
      </c>
      <c r="G38" s="53" t="s">
        <v>9361</v>
      </c>
      <c r="H38" s="26" t="s">
        <v>448</v>
      </c>
      <c r="I38" s="26" t="s">
        <v>448</v>
      </c>
      <c r="J38" s="26" t="s">
        <v>448</v>
      </c>
      <c r="K38" s="1422" t="s">
        <v>4691</v>
      </c>
      <c r="L38" s="1422" t="s">
        <v>4728</v>
      </c>
      <c r="M38" s="1422" t="s">
        <v>5666</v>
      </c>
      <c r="N38" s="22" t="s">
        <v>4780</v>
      </c>
      <c r="O38" s="22" t="s">
        <v>5431</v>
      </c>
      <c r="P38" s="1424" t="s">
        <v>111</v>
      </c>
      <c r="Q38" s="1423" t="s">
        <v>1131</v>
      </c>
      <c r="R38" s="54" t="s">
        <v>116</v>
      </c>
      <c r="S38" s="1424" t="s">
        <v>111</v>
      </c>
      <c r="T38" s="1420" t="s">
        <v>1894</v>
      </c>
      <c r="U38" s="1420" t="s">
        <v>1894</v>
      </c>
      <c r="V38" s="24" t="s">
        <v>9345</v>
      </c>
      <c r="W38" s="90" t="s">
        <v>9362</v>
      </c>
      <c r="X38" s="1424" t="s">
        <v>2359</v>
      </c>
      <c r="Y38" s="1424">
        <v>2</v>
      </c>
      <c r="Z38" s="24" t="s">
        <v>9216</v>
      </c>
      <c r="AA38" s="24" t="s">
        <v>9363</v>
      </c>
      <c r="AB38" s="30"/>
      <c r="AC38" s="30">
        <v>9.1999999999999993</v>
      </c>
      <c r="AD38" s="30">
        <v>9.1999999999999993</v>
      </c>
      <c r="AE38" s="59"/>
      <c r="AF38" s="59"/>
      <c r="AG38" s="1421" t="s">
        <v>1104</v>
      </c>
      <c r="AH38" s="202" t="s">
        <v>1880</v>
      </c>
      <c r="AI38" s="133" t="s">
        <v>1880</v>
      </c>
      <c r="AJ38" s="1420"/>
    </row>
    <row r="39" spans="1:36" s="11" customFormat="1" ht="26.25" customHeight="1" x14ac:dyDescent="0.15">
      <c r="A39" s="8">
        <f t="shared" si="0"/>
        <v>37</v>
      </c>
      <c r="B39" s="36" t="s">
        <v>9368</v>
      </c>
      <c r="C39" s="1429" t="s">
        <v>111</v>
      </c>
      <c r="D39" s="1429" t="s">
        <v>111</v>
      </c>
      <c r="E39" s="36" t="s">
        <v>9458</v>
      </c>
      <c r="F39" s="29" t="s">
        <v>5656</v>
      </c>
      <c r="G39" s="53" t="s">
        <v>9371</v>
      </c>
      <c r="H39" s="26" t="s">
        <v>19</v>
      </c>
      <c r="I39" s="26" t="s">
        <v>19</v>
      </c>
      <c r="J39" s="26" t="s">
        <v>19</v>
      </c>
      <c r="K39" s="1427" t="s">
        <v>4691</v>
      </c>
      <c r="L39" s="1427" t="s">
        <v>4728</v>
      </c>
      <c r="M39" s="1427" t="s">
        <v>5658</v>
      </c>
      <c r="N39" s="22" t="s">
        <v>5659</v>
      </c>
      <c r="O39" s="22" t="s">
        <v>5431</v>
      </c>
      <c r="P39" s="1429" t="s">
        <v>1880</v>
      </c>
      <c r="Q39" s="1428" t="s">
        <v>1131</v>
      </c>
      <c r="R39" s="151" t="s">
        <v>7439</v>
      </c>
      <c r="S39" s="1429" t="s">
        <v>111</v>
      </c>
      <c r="T39" s="1428" t="s">
        <v>1894</v>
      </c>
      <c r="U39" s="1425" t="s">
        <v>1894</v>
      </c>
      <c r="V39" s="24" t="s">
        <v>9365</v>
      </c>
      <c r="W39" s="90" t="s">
        <v>9375</v>
      </c>
      <c r="X39" s="1429" t="s">
        <v>2359</v>
      </c>
      <c r="Y39" s="1429">
        <v>1</v>
      </c>
      <c r="Z39" s="24" t="s">
        <v>9376</v>
      </c>
      <c r="AA39" s="24" t="s">
        <v>9377</v>
      </c>
      <c r="AB39" s="30">
        <v>27.699400000000001</v>
      </c>
      <c r="AC39" s="30">
        <v>9.1999999999999993</v>
      </c>
      <c r="AD39" s="30">
        <v>36.8994</v>
      </c>
      <c r="AE39" s="59"/>
      <c r="AF39" s="59"/>
      <c r="AG39" s="1426" t="s">
        <v>1104</v>
      </c>
      <c r="AH39" s="202" t="s">
        <v>1880</v>
      </c>
      <c r="AI39" s="133" t="s">
        <v>1880</v>
      </c>
      <c r="AJ39" s="1425"/>
    </row>
    <row r="40" spans="1:36" s="11" customFormat="1" ht="26.25" customHeight="1" x14ac:dyDescent="0.15">
      <c r="A40" s="8">
        <f t="shared" si="0"/>
        <v>38</v>
      </c>
      <c r="B40" s="36" t="s">
        <v>9369</v>
      </c>
      <c r="C40" s="1429" t="s">
        <v>111</v>
      </c>
      <c r="D40" s="1429" t="s">
        <v>111</v>
      </c>
      <c r="E40" s="36" t="s">
        <v>9459</v>
      </c>
      <c r="F40" s="29" t="s">
        <v>5656</v>
      </c>
      <c r="G40" s="53" t="s">
        <v>9371</v>
      </c>
      <c r="H40" s="26" t="s">
        <v>19</v>
      </c>
      <c r="I40" s="26" t="s">
        <v>19</v>
      </c>
      <c r="J40" s="26" t="s">
        <v>19</v>
      </c>
      <c r="K40" s="1427" t="s">
        <v>4691</v>
      </c>
      <c r="L40" s="1427" t="s">
        <v>4728</v>
      </c>
      <c r="M40" s="1427" t="s">
        <v>5658</v>
      </c>
      <c r="N40" s="22" t="s">
        <v>5659</v>
      </c>
      <c r="O40" s="22" t="s">
        <v>5431</v>
      </c>
      <c r="P40" s="1429" t="s">
        <v>1880</v>
      </c>
      <c r="Q40" s="1428" t="s">
        <v>445</v>
      </c>
      <c r="R40" s="54" t="s">
        <v>9372</v>
      </c>
      <c r="S40" s="1429" t="s">
        <v>111</v>
      </c>
      <c r="T40" s="1428" t="s">
        <v>1894</v>
      </c>
      <c r="U40" s="1428" t="s">
        <v>1894</v>
      </c>
      <c r="V40" s="24" t="s">
        <v>9365</v>
      </c>
      <c r="W40" s="90" t="s">
        <v>9375</v>
      </c>
      <c r="X40" s="1429" t="s">
        <v>2359</v>
      </c>
      <c r="Y40" s="1429">
        <v>1</v>
      </c>
      <c r="Z40" s="24" t="s">
        <v>448</v>
      </c>
      <c r="AA40" s="24" t="s">
        <v>448</v>
      </c>
      <c r="AB40" s="30">
        <v>8.6120999999999999</v>
      </c>
      <c r="AC40" s="30"/>
      <c r="AD40" s="30">
        <v>8.6120999999999999</v>
      </c>
      <c r="AE40" s="59"/>
      <c r="AF40" s="59"/>
      <c r="AG40" s="1429" t="s">
        <v>1104</v>
      </c>
      <c r="AH40" s="202" t="s">
        <v>1880</v>
      </c>
      <c r="AI40" s="133" t="s">
        <v>1880</v>
      </c>
      <c r="AJ40" s="1428"/>
    </row>
    <row r="41" spans="1:36" s="11" customFormat="1" ht="26.25" customHeight="1" x14ac:dyDescent="0.15">
      <c r="A41" s="8">
        <f t="shared" si="0"/>
        <v>39</v>
      </c>
      <c r="B41" s="36" t="s">
        <v>9370</v>
      </c>
      <c r="C41" s="71" t="s">
        <v>10760</v>
      </c>
      <c r="D41" s="1429" t="s">
        <v>111</v>
      </c>
      <c r="E41" s="1429" t="s">
        <v>111</v>
      </c>
      <c r="F41" s="29" t="s">
        <v>5656</v>
      </c>
      <c r="G41" s="53" t="s">
        <v>9371</v>
      </c>
      <c r="H41" s="26" t="s">
        <v>19</v>
      </c>
      <c r="I41" s="26" t="s">
        <v>19</v>
      </c>
      <c r="J41" s="26" t="s">
        <v>19</v>
      </c>
      <c r="K41" s="1427" t="s">
        <v>4691</v>
      </c>
      <c r="L41" s="1427" t="s">
        <v>4728</v>
      </c>
      <c r="M41" s="1427" t="s">
        <v>5658</v>
      </c>
      <c r="N41" s="22" t="s">
        <v>5659</v>
      </c>
      <c r="O41" s="22" t="s">
        <v>5431</v>
      </c>
      <c r="P41" s="1429" t="s">
        <v>1880</v>
      </c>
      <c r="Q41" s="1428" t="s">
        <v>5730</v>
      </c>
      <c r="R41" s="54" t="s">
        <v>5731</v>
      </c>
      <c r="S41" s="1429" t="s">
        <v>111</v>
      </c>
      <c r="T41" s="1428" t="s">
        <v>1894</v>
      </c>
      <c r="U41" s="1428" t="s">
        <v>1894</v>
      </c>
      <c r="V41" s="24" t="s">
        <v>9365</v>
      </c>
      <c r="W41" s="90" t="s">
        <v>9375</v>
      </c>
      <c r="X41" s="1429" t="s">
        <v>2359</v>
      </c>
      <c r="Y41" s="1429">
        <v>1</v>
      </c>
      <c r="Z41" s="24" t="s">
        <v>448</v>
      </c>
      <c r="AA41" s="24" t="s">
        <v>448</v>
      </c>
      <c r="AB41" s="30">
        <v>7.4157999999999999</v>
      </c>
      <c r="AC41" s="30"/>
      <c r="AD41" s="30">
        <v>7.4157999999999999</v>
      </c>
      <c r="AE41" s="59"/>
      <c r="AF41" s="59"/>
      <c r="AG41" s="1429" t="s">
        <v>1104</v>
      </c>
      <c r="AH41" s="202" t="s">
        <v>1880</v>
      </c>
      <c r="AI41" s="133" t="s">
        <v>1880</v>
      </c>
      <c r="AJ41" s="1428"/>
    </row>
    <row r="42" spans="1:36" s="11" customFormat="1" ht="26.25" customHeight="1" x14ac:dyDescent="0.15">
      <c r="A42" s="8">
        <f t="shared" si="0"/>
        <v>40</v>
      </c>
      <c r="B42" s="36" t="s">
        <v>9373</v>
      </c>
      <c r="C42" s="1429" t="s">
        <v>111</v>
      </c>
      <c r="D42" s="1429" t="s">
        <v>111</v>
      </c>
      <c r="E42" s="1429" t="s">
        <v>111</v>
      </c>
      <c r="F42" s="29" t="s">
        <v>5656</v>
      </c>
      <c r="G42" s="53" t="s">
        <v>9371</v>
      </c>
      <c r="H42" s="26" t="s">
        <v>19</v>
      </c>
      <c r="I42" s="26" t="s">
        <v>19</v>
      </c>
      <c r="J42" s="26" t="s">
        <v>19</v>
      </c>
      <c r="K42" s="1427" t="s">
        <v>4691</v>
      </c>
      <c r="L42" s="1427" t="s">
        <v>4728</v>
      </c>
      <c r="M42" s="1427" t="s">
        <v>5658</v>
      </c>
      <c r="N42" s="22" t="s">
        <v>5659</v>
      </c>
      <c r="O42" s="22" t="s">
        <v>5431</v>
      </c>
      <c r="P42" s="1429" t="s">
        <v>1880</v>
      </c>
      <c r="Q42" s="1428" t="s">
        <v>6692</v>
      </c>
      <c r="R42" s="54" t="s">
        <v>9374</v>
      </c>
      <c r="S42" s="1429" t="s">
        <v>111</v>
      </c>
      <c r="T42" s="1428" t="s">
        <v>1894</v>
      </c>
      <c r="U42" s="1428" t="s">
        <v>1894</v>
      </c>
      <c r="V42" s="24" t="s">
        <v>9365</v>
      </c>
      <c r="W42" s="90" t="s">
        <v>9375</v>
      </c>
      <c r="X42" s="1429" t="s">
        <v>2359</v>
      </c>
      <c r="Y42" s="1429">
        <v>1</v>
      </c>
      <c r="Z42" s="24" t="s">
        <v>448</v>
      </c>
      <c r="AA42" s="24" t="s">
        <v>448</v>
      </c>
      <c r="AB42" s="30">
        <v>1.5</v>
      </c>
      <c r="AC42" s="30"/>
      <c r="AD42" s="30">
        <v>1.5</v>
      </c>
      <c r="AE42" s="59"/>
      <c r="AF42" s="59"/>
      <c r="AG42" s="1429" t="s">
        <v>1104</v>
      </c>
      <c r="AH42" s="202" t="s">
        <v>1880</v>
      </c>
      <c r="AI42" s="133" t="s">
        <v>1880</v>
      </c>
      <c r="AJ42" s="1428"/>
    </row>
    <row r="43" spans="1:36" s="11" customFormat="1" ht="26.25" customHeight="1" x14ac:dyDescent="0.15">
      <c r="A43" s="8">
        <f t="shared" si="0"/>
        <v>41</v>
      </c>
      <c r="B43" s="36" t="s">
        <v>9378</v>
      </c>
      <c r="C43" s="71" t="s">
        <v>10761</v>
      </c>
      <c r="D43" s="1621" t="s">
        <v>10084</v>
      </c>
      <c r="E43" s="1429" t="s">
        <v>111</v>
      </c>
      <c r="F43" s="29" t="s">
        <v>1792</v>
      </c>
      <c r="G43" s="53" t="s">
        <v>9379</v>
      </c>
      <c r="H43" s="26" t="s">
        <v>19</v>
      </c>
      <c r="I43" s="26" t="s">
        <v>19</v>
      </c>
      <c r="J43" s="26" t="s">
        <v>19</v>
      </c>
      <c r="K43" s="1427" t="s">
        <v>4691</v>
      </c>
      <c r="L43" s="1428" t="s">
        <v>4728</v>
      </c>
      <c r="M43" s="1427" t="s">
        <v>5784</v>
      </c>
      <c r="N43" s="22" t="s">
        <v>8163</v>
      </c>
      <c r="O43" s="22" t="s">
        <v>5431</v>
      </c>
      <c r="P43" s="1429" t="s">
        <v>1880</v>
      </c>
      <c r="Q43" s="1428" t="s">
        <v>25</v>
      </c>
      <c r="R43" s="151" t="s">
        <v>7439</v>
      </c>
      <c r="S43" s="1429" t="s">
        <v>111</v>
      </c>
      <c r="T43" s="1428" t="s">
        <v>1894</v>
      </c>
      <c r="U43" s="1425" t="s">
        <v>1894</v>
      </c>
      <c r="V43" s="24" t="s">
        <v>9365</v>
      </c>
      <c r="W43" s="90" t="s">
        <v>9375</v>
      </c>
      <c r="X43" s="1429" t="s">
        <v>2359</v>
      </c>
      <c r="Y43" s="1429">
        <v>1</v>
      </c>
      <c r="Z43" s="24" t="s">
        <v>9172</v>
      </c>
      <c r="AA43" s="24" t="s">
        <v>9380</v>
      </c>
      <c r="AB43" s="30">
        <v>16.988199999999999</v>
      </c>
      <c r="AC43" s="30">
        <v>9.1999999999999993</v>
      </c>
      <c r="AD43" s="30">
        <v>26.188199999999998</v>
      </c>
      <c r="AE43" s="59"/>
      <c r="AF43" s="59"/>
      <c r="AG43" s="1426" t="s">
        <v>1104</v>
      </c>
      <c r="AH43" s="202" t="s">
        <v>1880</v>
      </c>
      <c r="AI43" s="133" t="s">
        <v>1880</v>
      </c>
      <c r="AJ43" s="1425"/>
    </row>
    <row r="44" spans="1:36" s="11" customFormat="1" ht="26.25" customHeight="1" x14ac:dyDescent="0.15">
      <c r="A44" s="8">
        <f t="shared" si="0"/>
        <v>42</v>
      </c>
      <c r="B44" s="36" t="s">
        <v>9366</v>
      </c>
      <c r="C44" s="1444" t="s">
        <v>111</v>
      </c>
      <c r="D44" s="1744" t="s">
        <v>10759</v>
      </c>
      <c r="E44" s="1444" t="s">
        <v>111</v>
      </c>
      <c r="F44" s="29" t="s">
        <v>9406</v>
      </c>
      <c r="G44" s="53" t="s">
        <v>9407</v>
      </c>
      <c r="H44" s="26" t="s">
        <v>448</v>
      </c>
      <c r="I44" s="26" t="s">
        <v>448</v>
      </c>
      <c r="J44" s="26" t="s">
        <v>448</v>
      </c>
      <c r="K44" s="18" t="s">
        <v>1449</v>
      </c>
      <c r="L44" s="18" t="s">
        <v>7186</v>
      </c>
      <c r="M44" s="1442" t="s">
        <v>7187</v>
      </c>
      <c r="N44" s="1444" t="s">
        <v>4780</v>
      </c>
      <c r="O44" s="22" t="s">
        <v>5431</v>
      </c>
      <c r="P44" s="1444" t="s">
        <v>111</v>
      </c>
      <c r="Q44" s="1444" t="s">
        <v>1818</v>
      </c>
      <c r="R44" s="54" t="s">
        <v>116</v>
      </c>
      <c r="S44" s="22" t="s">
        <v>1880</v>
      </c>
      <c r="T44" s="1443" t="s">
        <v>5487</v>
      </c>
      <c r="U44" s="1425" t="s">
        <v>5487</v>
      </c>
      <c r="V44" s="24" t="s">
        <v>9365</v>
      </c>
      <c r="W44" s="90" t="s">
        <v>9326</v>
      </c>
      <c r="X44" s="1444" t="s">
        <v>2359</v>
      </c>
      <c r="Y44" s="1444">
        <v>1</v>
      </c>
      <c r="Z44" s="24" t="s">
        <v>8778</v>
      </c>
      <c r="AA44" s="24" t="s">
        <v>8405</v>
      </c>
      <c r="AB44" s="30"/>
      <c r="AC44" s="30">
        <v>7</v>
      </c>
      <c r="AD44" s="30">
        <v>7</v>
      </c>
      <c r="AE44" s="59"/>
      <c r="AF44" s="59"/>
      <c r="AG44" s="1426" t="s">
        <v>1104</v>
      </c>
      <c r="AH44" s="202" t="s">
        <v>1880</v>
      </c>
      <c r="AI44" s="133" t="s">
        <v>1880</v>
      </c>
      <c r="AJ44" s="1425"/>
    </row>
    <row r="45" spans="1:36" s="11" customFormat="1" ht="26.25" customHeight="1" x14ac:dyDescent="0.15">
      <c r="A45" s="8">
        <f t="shared" si="0"/>
        <v>43</v>
      </c>
      <c r="B45" s="36" t="s">
        <v>9367</v>
      </c>
      <c r="C45" s="1444" t="s">
        <v>111</v>
      </c>
      <c r="D45" s="1444" t="s">
        <v>111</v>
      </c>
      <c r="E45" s="1444" t="s">
        <v>111</v>
      </c>
      <c r="F45" s="29" t="s">
        <v>8276</v>
      </c>
      <c r="G45" s="53" t="s">
        <v>9408</v>
      </c>
      <c r="H45" s="26" t="s">
        <v>448</v>
      </c>
      <c r="I45" s="26" t="s">
        <v>448</v>
      </c>
      <c r="J45" s="26" t="s">
        <v>448</v>
      </c>
      <c r="K45" s="1443" t="s">
        <v>4195</v>
      </c>
      <c r="L45" s="1443" t="s">
        <v>6907</v>
      </c>
      <c r="M45" s="1443" t="s">
        <v>8275</v>
      </c>
      <c r="N45" s="22" t="s">
        <v>6909</v>
      </c>
      <c r="O45" s="1444" t="s">
        <v>1826</v>
      </c>
      <c r="P45" s="1444" t="s">
        <v>111</v>
      </c>
      <c r="Q45" s="1444" t="s">
        <v>1818</v>
      </c>
      <c r="R45" s="54" t="s">
        <v>9409</v>
      </c>
      <c r="S45" s="22" t="s">
        <v>1880</v>
      </c>
      <c r="T45" s="1443" t="s">
        <v>5489</v>
      </c>
      <c r="U45" s="1425" t="s">
        <v>5489</v>
      </c>
      <c r="V45" s="24" t="s">
        <v>9365</v>
      </c>
      <c r="W45" s="90" t="s">
        <v>8441</v>
      </c>
      <c r="X45" s="1444" t="s">
        <v>2359</v>
      </c>
      <c r="Y45" s="1444">
        <v>1</v>
      </c>
      <c r="Z45" s="24" t="s">
        <v>8441</v>
      </c>
      <c r="AA45" s="24" t="s">
        <v>7846</v>
      </c>
      <c r="AB45" s="30"/>
      <c r="AC45" s="30">
        <v>1.5</v>
      </c>
      <c r="AD45" s="30">
        <v>1.5</v>
      </c>
      <c r="AE45" s="59"/>
      <c r="AF45" s="59"/>
      <c r="AG45" s="1426" t="s">
        <v>1104</v>
      </c>
      <c r="AH45" s="202" t="s">
        <v>1880</v>
      </c>
      <c r="AI45" s="133" t="s">
        <v>1880</v>
      </c>
      <c r="AJ45" s="1425"/>
    </row>
    <row r="46" spans="1:36" s="11" customFormat="1" ht="26.25" customHeight="1" x14ac:dyDescent="0.15">
      <c r="A46" s="8">
        <f t="shared" si="0"/>
        <v>44</v>
      </c>
      <c r="B46" s="36" t="s">
        <v>9381</v>
      </c>
      <c r="C46" s="26" t="s">
        <v>19</v>
      </c>
      <c r="D46" s="26" t="s">
        <v>19</v>
      </c>
      <c r="E46" s="26" t="s">
        <v>19</v>
      </c>
      <c r="F46" s="29" t="s">
        <v>6773</v>
      </c>
      <c r="G46" s="53" t="s">
        <v>9414</v>
      </c>
      <c r="H46" s="26" t="s">
        <v>448</v>
      </c>
      <c r="I46" s="26" t="s">
        <v>448</v>
      </c>
      <c r="J46" s="26" t="s">
        <v>448</v>
      </c>
      <c r="K46" s="1443" t="s">
        <v>4691</v>
      </c>
      <c r="L46" s="1443" t="s">
        <v>4728</v>
      </c>
      <c r="M46" s="1443" t="s">
        <v>8271</v>
      </c>
      <c r="N46" s="22" t="s">
        <v>4780</v>
      </c>
      <c r="O46" s="22" t="s">
        <v>5431</v>
      </c>
      <c r="P46" s="1444" t="s">
        <v>111</v>
      </c>
      <c r="Q46" s="1443" t="s">
        <v>1131</v>
      </c>
      <c r="R46" s="54" t="s">
        <v>116</v>
      </c>
      <c r="S46" s="1444" t="s">
        <v>111</v>
      </c>
      <c r="T46" s="1443" t="s">
        <v>1894</v>
      </c>
      <c r="U46" s="1443" t="s">
        <v>1894</v>
      </c>
      <c r="V46" s="24" t="s">
        <v>9382</v>
      </c>
      <c r="W46" s="90" t="s">
        <v>9412</v>
      </c>
      <c r="X46" s="1444" t="s">
        <v>2359</v>
      </c>
      <c r="Y46" s="1444">
        <v>1</v>
      </c>
      <c r="Z46" s="24" t="s">
        <v>9413</v>
      </c>
      <c r="AA46" s="24" t="s">
        <v>8399</v>
      </c>
      <c r="AB46" s="30"/>
      <c r="AC46" s="30">
        <v>25</v>
      </c>
      <c r="AD46" s="30">
        <v>25</v>
      </c>
      <c r="AE46" s="59"/>
      <c r="AF46" s="59"/>
      <c r="AG46" s="1431" t="s">
        <v>1104</v>
      </c>
      <c r="AH46" s="202" t="s">
        <v>1880</v>
      </c>
      <c r="AI46" s="133" t="s">
        <v>1880</v>
      </c>
      <c r="AJ46" s="1430"/>
    </row>
    <row r="47" spans="1:36" s="11" customFormat="1" ht="26.25" customHeight="1" x14ac:dyDescent="0.15">
      <c r="A47" s="8">
        <f t="shared" si="0"/>
        <v>45</v>
      </c>
      <c r="B47" s="36" t="s">
        <v>9383</v>
      </c>
      <c r="C47" s="26" t="s">
        <v>19</v>
      </c>
      <c r="D47" s="26" t="s">
        <v>10240</v>
      </c>
      <c r="E47" s="26" t="s">
        <v>19</v>
      </c>
      <c r="F47" s="159" t="s">
        <v>7177</v>
      </c>
      <c r="G47" s="1212" t="s">
        <v>7178</v>
      </c>
      <c r="H47" s="26" t="s">
        <v>448</v>
      </c>
      <c r="I47" s="26" t="s">
        <v>448</v>
      </c>
      <c r="J47" s="26" t="s">
        <v>448</v>
      </c>
      <c r="K47" s="1213" t="s">
        <v>1881</v>
      </c>
      <c r="L47" s="1213" t="s">
        <v>2437</v>
      </c>
      <c r="M47" s="164" t="s">
        <v>1951</v>
      </c>
      <c r="N47" s="1213" t="s">
        <v>9949</v>
      </c>
      <c r="O47" s="1213" t="s">
        <v>1826</v>
      </c>
      <c r="P47" s="1213" t="s">
        <v>111</v>
      </c>
      <c r="Q47" s="1213" t="s">
        <v>1818</v>
      </c>
      <c r="R47" s="1214" t="s">
        <v>1819</v>
      </c>
      <c r="S47" s="164" t="s">
        <v>1880</v>
      </c>
      <c r="T47" s="1215" t="s">
        <v>3248</v>
      </c>
      <c r="U47" s="1430" t="s">
        <v>5571</v>
      </c>
      <c r="V47" s="24" t="s">
        <v>9382</v>
      </c>
      <c r="W47" s="90" t="s">
        <v>9214</v>
      </c>
      <c r="X47" s="1444" t="s">
        <v>2359</v>
      </c>
      <c r="Y47" s="1444">
        <v>1</v>
      </c>
      <c r="Z47" s="24" t="s">
        <v>8778</v>
      </c>
      <c r="AA47" s="24" t="s">
        <v>8405</v>
      </c>
      <c r="AB47" s="30"/>
      <c r="AC47" s="30">
        <v>5.2</v>
      </c>
      <c r="AD47" s="30">
        <v>5.2</v>
      </c>
      <c r="AE47" s="59"/>
      <c r="AF47" s="59"/>
      <c r="AG47" s="1431" t="s">
        <v>1104</v>
      </c>
      <c r="AH47" s="202" t="s">
        <v>1880</v>
      </c>
      <c r="AI47" s="133" t="s">
        <v>1880</v>
      </c>
      <c r="AJ47" s="1430"/>
    </row>
    <row r="48" spans="1:36" s="11" customFormat="1" ht="26.25" customHeight="1" x14ac:dyDescent="0.15">
      <c r="A48" s="8">
        <f t="shared" si="0"/>
        <v>46</v>
      </c>
      <c r="B48" s="36" t="s">
        <v>9384</v>
      </c>
      <c r="C48" s="26" t="s">
        <v>19</v>
      </c>
      <c r="D48" s="26" t="s">
        <v>19</v>
      </c>
      <c r="E48" s="26" t="s">
        <v>19</v>
      </c>
      <c r="F48" s="29" t="s">
        <v>449</v>
      </c>
      <c r="G48" s="53" t="s">
        <v>9415</v>
      </c>
      <c r="H48" s="26" t="s">
        <v>448</v>
      </c>
      <c r="I48" s="26" t="s">
        <v>448</v>
      </c>
      <c r="J48" s="26" t="s">
        <v>448</v>
      </c>
      <c r="K48" s="1442" t="s">
        <v>4791</v>
      </c>
      <c r="L48" s="1442" t="s">
        <v>2419</v>
      </c>
      <c r="M48" s="1442" t="s">
        <v>6738</v>
      </c>
      <c r="N48" s="22" t="s">
        <v>6549</v>
      </c>
      <c r="O48" s="22" t="s">
        <v>5431</v>
      </c>
      <c r="P48" s="22" t="s">
        <v>1880</v>
      </c>
      <c r="Q48" s="1443" t="s">
        <v>1131</v>
      </c>
      <c r="R48" s="54" t="s">
        <v>6266</v>
      </c>
      <c r="S48" s="164" t="s">
        <v>1880</v>
      </c>
      <c r="T48" s="1443" t="s">
        <v>446</v>
      </c>
      <c r="U48" s="1425" t="s">
        <v>446</v>
      </c>
      <c r="V48" s="24" t="s">
        <v>9382</v>
      </c>
      <c r="W48" s="90" t="s">
        <v>9412</v>
      </c>
      <c r="X48" s="10" t="s">
        <v>1800</v>
      </c>
      <c r="Y48" s="10">
        <v>1</v>
      </c>
      <c r="Z48" s="24" t="s">
        <v>9412</v>
      </c>
      <c r="AA48" s="24" t="s">
        <v>9416</v>
      </c>
      <c r="AB48" s="30"/>
      <c r="AC48" s="30">
        <v>29.7</v>
      </c>
      <c r="AD48" s="30">
        <v>29.7</v>
      </c>
      <c r="AE48" s="59"/>
      <c r="AF48" s="59"/>
      <c r="AG48" s="1431" t="s">
        <v>1104</v>
      </c>
      <c r="AH48" s="202" t="s">
        <v>1880</v>
      </c>
      <c r="AI48" s="133" t="s">
        <v>1880</v>
      </c>
      <c r="AJ48" s="1425"/>
    </row>
    <row r="49" spans="1:36" s="11" customFormat="1" ht="26.25" customHeight="1" x14ac:dyDescent="0.15">
      <c r="A49" s="8">
        <f t="shared" si="0"/>
        <v>47</v>
      </c>
      <c r="B49" s="36" t="s">
        <v>9385</v>
      </c>
      <c r="C49" s="26" t="s">
        <v>19</v>
      </c>
      <c r="D49" s="26" t="s">
        <v>19</v>
      </c>
      <c r="E49" s="26" t="s">
        <v>19</v>
      </c>
      <c r="F49" s="29" t="s">
        <v>9417</v>
      </c>
      <c r="G49" s="53" t="s">
        <v>9418</v>
      </c>
      <c r="H49" s="26" t="s">
        <v>448</v>
      </c>
      <c r="I49" s="26" t="s">
        <v>448</v>
      </c>
      <c r="J49" s="26" t="s">
        <v>448</v>
      </c>
      <c r="K49" s="1444" t="s">
        <v>2135</v>
      </c>
      <c r="L49" s="1444" t="s">
        <v>2327</v>
      </c>
      <c r="M49" s="1444" t="s">
        <v>7640</v>
      </c>
      <c r="N49" s="22" t="s">
        <v>10189</v>
      </c>
      <c r="O49" s="1444" t="s">
        <v>1826</v>
      </c>
      <c r="P49" s="1444" t="s">
        <v>111</v>
      </c>
      <c r="Q49" s="22" t="s">
        <v>454</v>
      </c>
      <c r="R49" s="54" t="s">
        <v>116</v>
      </c>
      <c r="S49" s="164" t="s">
        <v>1880</v>
      </c>
      <c r="T49" s="1443" t="s">
        <v>5487</v>
      </c>
      <c r="U49" s="1432" t="s">
        <v>5487</v>
      </c>
      <c r="V49" s="24" t="s">
        <v>9382</v>
      </c>
      <c r="W49" s="90" t="s">
        <v>9356</v>
      </c>
      <c r="X49" s="1444" t="s">
        <v>2359</v>
      </c>
      <c r="Y49" s="1444">
        <v>1</v>
      </c>
      <c r="Z49" s="24" t="s">
        <v>8778</v>
      </c>
      <c r="AA49" s="24" t="s">
        <v>8405</v>
      </c>
      <c r="AB49" s="30"/>
      <c r="AC49" s="30">
        <v>6</v>
      </c>
      <c r="AD49" s="30">
        <v>6</v>
      </c>
      <c r="AE49" s="59"/>
      <c r="AF49" s="59"/>
      <c r="AG49" s="1433" t="s">
        <v>1104</v>
      </c>
      <c r="AH49" s="202" t="s">
        <v>1880</v>
      </c>
      <c r="AI49" s="133" t="s">
        <v>1880</v>
      </c>
      <c r="AJ49" s="1432"/>
    </row>
    <row r="50" spans="1:36" s="11" customFormat="1" ht="26.25" customHeight="1" x14ac:dyDescent="0.15">
      <c r="A50" s="8">
        <f t="shared" si="0"/>
        <v>48</v>
      </c>
      <c r="B50" s="36" t="s">
        <v>9386</v>
      </c>
      <c r="C50" s="26" t="s">
        <v>19</v>
      </c>
      <c r="D50" s="26" t="s">
        <v>19</v>
      </c>
      <c r="E50" s="26" t="s">
        <v>19</v>
      </c>
      <c r="F50" s="29" t="s">
        <v>6031</v>
      </c>
      <c r="G50" s="53" t="s">
        <v>9419</v>
      </c>
      <c r="H50" s="26" t="s">
        <v>448</v>
      </c>
      <c r="I50" s="26" t="s">
        <v>448</v>
      </c>
      <c r="J50" s="26" t="s">
        <v>448</v>
      </c>
      <c r="K50" s="1444" t="s">
        <v>2135</v>
      </c>
      <c r="L50" s="1444" t="s">
        <v>2327</v>
      </c>
      <c r="M50" s="1444" t="s">
        <v>7641</v>
      </c>
      <c r="N50" s="22" t="s">
        <v>4780</v>
      </c>
      <c r="O50" s="1444" t="s">
        <v>1826</v>
      </c>
      <c r="P50" s="1444" t="s">
        <v>111</v>
      </c>
      <c r="Q50" s="22" t="s">
        <v>454</v>
      </c>
      <c r="R50" s="54" t="s">
        <v>116</v>
      </c>
      <c r="S50" s="164" t="s">
        <v>1880</v>
      </c>
      <c r="T50" s="1443" t="s">
        <v>5487</v>
      </c>
      <c r="U50" s="1432" t="s">
        <v>5487</v>
      </c>
      <c r="V50" s="24" t="s">
        <v>9382</v>
      </c>
      <c r="W50" s="90" t="s">
        <v>9356</v>
      </c>
      <c r="X50" s="1444" t="s">
        <v>2359</v>
      </c>
      <c r="Y50" s="1444">
        <v>1</v>
      </c>
      <c r="Z50" s="24" t="s">
        <v>8778</v>
      </c>
      <c r="AA50" s="24" t="s">
        <v>8405</v>
      </c>
      <c r="AB50" s="30"/>
      <c r="AC50" s="30">
        <v>6</v>
      </c>
      <c r="AD50" s="30">
        <v>6</v>
      </c>
      <c r="AE50" s="59"/>
      <c r="AF50" s="59"/>
      <c r="AG50" s="1433" t="s">
        <v>1104</v>
      </c>
      <c r="AH50" s="202" t="s">
        <v>1880</v>
      </c>
      <c r="AI50" s="133" t="s">
        <v>1880</v>
      </c>
      <c r="AJ50" s="1432"/>
    </row>
    <row r="51" spans="1:36" s="11" customFormat="1" ht="26.25" customHeight="1" x14ac:dyDescent="0.15">
      <c r="A51" s="8">
        <f t="shared" si="0"/>
        <v>49</v>
      </c>
      <c r="B51" s="611" t="s">
        <v>10215</v>
      </c>
      <c r="C51" s="26" t="s">
        <v>19</v>
      </c>
      <c r="D51" s="26" t="s">
        <v>19</v>
      </c>
      <c r="E51" s="26" t="s">
        <v>19</v>
      </c>
      <c r="F51" s="29" t="s">
        <v>9420</v>
      </c>
      <c r="G51" s="99" t="s">
        <v>8749</v>
      </c>
      <c r="H51" s="26" t="s">
        <v>448</v>
      </c>
      <c r="I51" s="26" t="s">
        <v>448</v>
      </c>
      <c r="J51" s="26" t="s">
        <v>448</v>
      </c>
      <c r="K51" s="724"/>
      <c r="L51" s="724"/>
      <c r="M51" s="724"/>
      <c r="N51" s="725"/>
      <c r="O51" s="206"/>
      <c r="P51" s="206"/>
      <c r="Q51" s="726"/>
      <c r="R51" s="215"/>
      <c r="S51" s="164" t="s">
        <v>1880</v>
      </c>
      <c r="T51" s="1443" t="s">
        <v>414</v>
      </c>
      <c r="U51" s="1420" t="s">
        <v>414</v>
      </c>
      <c r="V51" s="24" t="s">
        <v>9387</v>
      </c>
      <c r="W51" s="24" t="s">
        <v>448</v>
      </c>
      <c r="X51" s="24" t="s">
        <v>448</v>
      </c>
      <c r="Y51" s="24" t="s">
        <v>448</v>
      </c>
      <c r="Z51" s="24" t="s">
        <v>448</v>
      </c>
      <c r="AA51" s="24" t="s">
        <v>448</v>
      </c>
      <c r="AB51" s="30">
        <v>18</v>
      </c>
      <c r="AC51" s="30"/>
      <c r="AD51" s="30">
        <v>18</v>
      </c>
      <c r="AE51" s="59" t="s">
        <v>6457</v>
      </c>
      <c r="AF51" s="59" t="s">
        <v>6457</v>
      </c>
      <c r="AG51" s="1434" t="s">
        <v>1104</v>
      </c>
      <c r="AH51" s="202" t="s">
        <v>1880</v>
      </c>
      <c r="AI51" s="133" t="s">
        <v>1880</v>
      </c>
      <c r="AJ51" s="1420" t="s">
        <v>10214</v>
      </c>
    </row>
    <row r="52" spans="1:36" s="11" customFormat="1" ht="26.25" customHeight="1" x14ac:dyDescent="0.15">
      <c r="A52" s="8">
        <f t="shared" si="0"/>
        <v>50</v>
      </c>
      <c r="B52" s="36" t="s">
        <v>9388</v>
      </c>
      <c r="C52" s="26" t="s">
        <v>19</v>
      </c>
      <c r="D52" s="26" t="s">
        <v>10237</v>
      </c>
      <c r="E52" s="26" t="s">
        <v>19</v>
      </c>
      <c r="F52" s="29" t="s">
        <v>6326</v>
      </c>
      <c r="G52" s="53" t="s">
        <v>9421</v>
      </c>
      <c r="H52" s="26" t="s">
        <v>448</v>
      </c>
      <c r="I52" s="26" t="s">
        <v>448</v>
      </c>
      <c r="J52" s="26" t="s">
        <v>448</v>
      </c>
      <c r="K52" s="1445" t="s">
        <v>1487</v>
      </c>
      <c r="L52" s="1445" t="s">
        <v>1416</v>
      </c>
      <c r="M52" s="1445" t="s">
        <v>7959</v>
      </c>
      <c r="N52" s="1446" t="s">
        <v>4780</v>
      </c>
      <c r="O52" s="1446" t="s">
        <v>1826</v>
      </c>
      <c r="P52" s="1446" t="s">
        <v>111</v>
      </c>
      <c r="Q52" s="22" t="s">
        <v>454</v>
      </c>
      <c r="R52" s="54" t="s">
        <v>9422</v>
      </c>
      <c r="S52" s="164" t="s">
        <v>1880</v>
      </c>
      <c r="T52" s="1445" t="s">
        <v>5571</v>
      </c>
      <c r="U52" s="1436" t="s">
        <v>5571</v>
      </c>
      <c r="V52" s="24" t="s">
        <v>9389</v>
      </c>
      <c r="W52" s="90" t="s">
        <v>9404</v>
      </c>
      <c r="X52" s="1446" t="s">
        <v>2359</v>
      </c>
      <c r="Y52" s="1446">
        <v>1</v>
      </c>
      <c r="Z52" s="24" t="s">
        <v>448</v>
      </c>
      <c r="AA52" s="24" t="s">
        <v>448</v>
      </c>
      <c r="AB52" s="30">
        <v>0.9</v>
      </c>
      <c r="AC52" s="30"/>
      <c r="AD52" s="30">
        <v>0.9</v>
      </c>
      <c r="AE52" s="59"/>
      <c r="AF52" s="59"/>
      <c r="AG52" s="1441" t="s">
        <v>1104</v>
      </c>
      <c r="AH52" s="202" t="s">
        <v>1880</v>
      </c>
      <c r="AI52" s="133" t="s">
        <v>1880</v>
      </c>
      <c r="AJ52" s="1436"/>
    </row>
    <row r="53" spans="1:36" s="11" customFormat="1" ht="26.25" customHeight="1" x14ac:dyDescent="0.15">
      <c r="A53" s="8">
        <f t="shared" si="0"/>
        <v>51</v>
      </c>
      <c r="B53" s="36" t="s">
        <v>9390</v>
      </c>
      <c r="C53" s="71" t="s">
        <v>9423</v>
      </c>
      <c r="D53" s="26" t="s">
        <v>19</v>
      </c>
      <c r="E53" s="26" t="s">
        <v>19</v>
      </c>
      <c r="F53" s="29" t="s">
        <v>7807</v>
      </c>
      <c r="G53" s="53" t="s">
        <v>7811</v>
      </c>
      <c r="H53" s="26" t="s">
        <v>448</v>
      </c>
      <c r="I53" s="26" t="s">
        <v>448</v>
      </c>
      <c r="J53" s="26" t="s">
        <v>448</v>
      </c>
      <c r="K53" s="1445" t="s">
        <v>3649</v>
      </c>
      <c r="L53" s="1445" t="s">
        <v>4750</v>
      </c>
      <c r="M53" s="1445" t="s">
        <v>9424</v>
      </c>
      <c r="N53" s="1446" t="s">
        <v>4780</v>
      </c>
      <c r="O53" s="1437" t="s">
        <v>5478</v>
      </c>
      <c r="P53" s="1446" t="s">
        <v>111</v>
      </c>
      <c r="Q53" s="1445" t="s">
        <v>4676</v>
      </c>
      <c r="R53" s="54" t="s">
        <v>7098</v>
      </c>
      <c r="S53" s="164" t="s">
        <v>1880</v>
      </c>
      <c r="T53" s="1445" t="s">
        <v>5487</v>
      </c>
      <c r="U53" s="1436" t="s">
        <v>5487</v>
      </c>
      <c r="V53" s="24" t="s">
        <v>9389</v>
      </c>
      <c r="W53" s="90" t="s">
        <v>9425</v>
      </c>
      <c r="X53" s="10" t="s">
        <v>1800</v>
      </c>
      <c r="Y53" s="10">
        <v>1</v>
      </c>
      <c r="Z53" s="24" t="s">
        <v>5711</v>
      </c>
      <c r="AA53" s="24" t="s">
        <v>448</v>
      </c>
      <c r="AB53" s="30">
        <v>38.6</v>
      </c>
      <c r="AC53" s="30"/>
      <c r="AD53" s="30">
        <v>38.6</v>
      </c>
      <c r="AE53" s="59"/>
      <c r="AF53" s="59"/>
      <c r="AG53" s="1441" t="s">
        <v>1104</v>
      </c>
      <c r="AH53" s="202" t="s">
        <v>1880</v>
      </c>
      <c r="AI53" s="133" t="s">
        <v>1880</v>
      </c>
      <c r="AJ53" s="1436"/>
    </row>
    <row r="54" spans="1:36" s="11" customFormat="1" ht="26.25" customHeight="1" x14ac:dyDescent="0.15">
      <c r="A54" s="8">
        <f t="shared" si="0"/>
        <v>52</v>
      </c>
      <c r="B54" s="36" t="s">
        <v>9391</v>
      </c>
      <c r="C54" s="71" t="s">
        <v>9426</v>
      </c>
      <c r="D54" s="26" t="s">
        <v>19</v>
      </c>
      <c r="E54" s="26" t="s">
        <v>19</v>
      </c>
      <c r="F54" s="29" t="s">
        <v>6341</v>
      </c>
      <c r="G54" s="53" t="s">
        <v>6881</v>
      </c>
      <c r="H54" s="26" t="s">
        <v>448</v>
      </c>
      <c r="I54" s="26" t="s">
        <v>448</v>
      </c>
      <c r="J54" s="26" t="s">
        <v>448</v>
      </c>
      <c r="K54" s="1445" t="s">
        <v>3649</v>
      </c>
      <c r="L54" s="1445" t="s">
        <v>4750</v>
      </c>
      <c r="M54" s="1445" t="s">
        <v>9424</v>
      </c>
      <c r="N54" s="1446" t="s">
        <v>4780</v>
      </c>
      <c r="O54" s="1446" t="s">
        <v>1826</v>
      </c>
      <c r="P54" s="1446" t="s">
        <v>111</v>
      </c>
      <c r="Q54" s="1445" t="s">
        <v>1131</v>
      </c>
      <c r="R54" s="54" t="s">
        <v>1928</v>
      </c>
      <c r="S54" s="164" t="s">
        <v>1880</v>
      </c>
      <c r="T54" s="1445" t="s">
        <v>5487</v>
      </c>
      <c r="U54" s="1436" t="s">
        <v>5487</v>
      </c>
      <c r="V54" s="24" t="s">
        <v>9389</v>
      </c>
      <c r="W54" s="90" t="s">
        <v>9425</v>
      </c>
      <c r="X54" s="1446" t="s">
        <v>2359</v>
      </c>
      <c r="Y54" s="1446">
        <v>1</v>
      </c>
      <c r="Z54" s="24" t="s">
        <v>6842</v>
      </c>
      <c r="AA54" s="24" t="s">
        <v>448</v>
      </c>
      <c r="AB54" s="136">
        <v>38.466000000000001</v>
      </c>
      <c r="AC54" s="30"/>
      <c r="AD54" s="136">
        <v>38.466000000000001</v>
      </c>
      <c r="AE54" s="59"/>
      <c r="AF54" s="59"/>
      <c r="AG54" s="1441" t="s">
        <v>1104</v>
      </c>
      <c r="AH54" s="202" t="s">
        <v>1880</v>
      </c>
      <c r="AI54" s="133" t="s">
        <v>1880</v>
      </c>
      <c r="AJ54" s="1436"/>
    </row>
    <row r="55" spans="1:36" s="11" customFormat="1" ht="26.25" customHeight="1" x14ac:dyDescent="0.15">
      <c r="A55" s="8">
        <f t="shared" si="0"/>
        <v>53</v>
      </c>
      <c r="B55" s="36" t="s">
        <v>9392</v>
      </c>
      <c r="C55" s="71" t="s">
        <v>9427</v>
      </c>
      <c r="D55" s="26" t="s">
        <v>19</v>
      </c>
      <c r="E55" s="26" t="s">
        <v>19</v>
      </c>
      <c r="F55" s="29" t="s">
        <v>9431</v>
      </c>
      <c r="G55" s="53" t="s">
        <v>9432</v>
      </c>
      <c r="H55" s="26" t="s">
        <v>448</v>
      </c>
      <c r="I55" s="26" t="s">
        <v>448</v>
      </c>
      <c r="J55" s="26" t="s">
        <v>448</v>
      </c>
      <c r="K55" s="1445" t="s">
        <v>4712</v>
      </c>
      <c r="L55" s="1445" t="s">
        <v>1124</v>
      </c>
      <c r="M55" s="1445" t="s">
        <v>9429</v>
      </c>
      <c r="N55" s="1446" t="s">
        <v>4780</v>
      </c>
      <c r="O55" s="1446" t="s">
        <v>1826</v>
      </c>
      <c r="P55" s="1446" t="s">
        <v>111</v>
      </c>
      <c r="Q55" s="1445" t="s">
        <v>1131</v>
      </c>
      <c r="R55" s="54" t="s">
        <v>9636</v>
      </c>
      <c r="S55" s="164" t="s">
        <v>1880</v>
      </c>
      <c r="T55" s="1445" t="s">
        <v>5571</v>
      </c>
      <c r="U55" s="1436" t="s">
        <v>5571</v>
      </c>
      <c r="V55" s="24" t="s">
        <v>9389</v>
      </c>
      <c r="W55" s="90" t="s">
        <v>9365</v>
      </c>
      <c r="X55" s="1446" t="s">
        <v>2359</v>
      </c>
      <c r="Y55" s="1446">
        <v>1</v>
      </c>
      <c r="Z55" s="24" t="s">
        <v>448</v>
      </c>
      <c r="AA55" s="24" t="s">
        <v>448</v>
      </c>
      <c r="AB55" s="30">
        <v>0.05</v>
      </c>
      <c r="AC55" s="30"/>
      <c r="AD55" s="30">
        <v>0.05</v>
      </c>
      <c r="AE55" s="59"/>
      <c r="AF55" s="59"/>
      <c r="AG55" s="1441" t="s">
        <v>1104</v>
      </c>
      <c r="AH55" s="202" t="s">
        <v>1880</v>
      </c>
      <c r="AI55" s="133" t="s">
        <v>1880</v>
      </c>
      <c r="AJ55" s="1436"/>
    </row>
    <row r="56" spans="1:36" s="11" customFormat="1" ht="26.25" customHeight="1" x14ac:dyDescent="0.15">
      <c r="A56" s="8">
        <f t="shared" si="0"/>
        <v>54</v>
      </c>
      <c r="B56" s="36" t="s">
        <v>9393</v>
      </c>
      <c r="C56" s="71" t="s">
        <v>9428</v>
      </c>
      <c r="D56" s="26" t="s">
        <v>19</v>
      </c>
      <c r="E56" s="26" t="s">
        <v>19</v>
      </c>
      <c r="F56" s="29" t="s">
        <v>9433</v>
      </c>
      <c r="G56" s="53" t="s">
        <v>9434</v>
      </c>
      <c r="H56" s="26" t="s">
        <v>448</v>
      </c>
      <c r="I56" s="26" t="s">
        <v>448</v>
      </c>
      <c r="J56" s="26" t="s">
        <v>448</v>
      </c>
      <c r="K56" s="1445" t="s">
        <v>4712</v>
      </c>
      <c r="L56" s="1445" t="s">
        <v>1124</v>
      </c>
      <c r="M56" s="1445" t="s">
        <v>9430</v>
      </c>
      <c r="N56" s="1446" t="s">
        <v>4780</v>
      </c>
      <c r="O56" s="1446" t="s">
        <v>1826</v>
      </c>
      <c r="P56" s="1446" t="s">
        <v>111</v>
      </c>
      <c r="Q56" s="1445" t="s">
        <v>1131</v>
      </c>
      <c r="R56" s="54" t="s">
        <v>9636</v>
      </c>
      <c r="S56" s="164" t="s">
        <v>1880</v>
      </c>
      <c r="T56" s="1445" t="s">
        <v>5571</v>
      </c>
      <c r="U56" s="1436" t="s">
        <v>5571</v>
      </c>
      <c r="V56" s="24" t="s">
        <v>9389</v>
      </c>
      <c r="W56" s="90" t="s">
        <v>9365</v>
      </c>
      <c r="X56" s="1446" t="s">
        <v>2359</v>
      </c>
      <c r="Y56" s="1446">
        <v>1</v>
      </c>
      <c r="Z56" s="24" t="s">
        <v>448</v>
      </c>
      <c r="AA56" s="24" t="s">
        <v>448</v>
      </c>
      <c r="AB56" s="30">
        <v>0.05</v>
      </c>
      <c r="AC56" s="30"/>
      <c r="AD56" s="30">
        <v>0.05</v>
      </c>
      <c r="AE56" s="59"/>
      <c r="AF56" s="59"/>
      <c r="AG56" s="1441" t="s">
        <v>1104</v>
      </c>
      <c r="AH56" s="202" t="s">
        <v>1880</v>
      </c>
      <c r="AI56" s="133" t="s">
        <v>1880</v>
      </c>
      <c r="AJ56" s="1436"/>
    </row>
    <row r="57" spans="1:36" s="11" customFormat="1" ht="26.25" customHeight="1" x14ac:dyDescent="0.15">
      <c r="A57" s="8">
        <f t="shared" si="0"/>
        <v>55</v>
      </c>
      <c r="B57" s="36" t="s">
        <v>9435</v>
      </c>
      <c r="C57" s="26" t="s">
        <v>19</v>
      </c>
      <c r="D57" s="26" t="s">
        <v>19</v>
      </c>
      <c r="E57" s="26" t="s">
        <v>19</v>
      </c>
      <c r="F57" s="29" t="s">
        <v>6385</v>
      </c>
      <c r="G57" s="53" t="s">
        <v>5092</v>
      </c>
      <c r="H57" s="26" t="s">
        <v>8679</v>
      </c>
      <c r="I57" s="26" t="s">
        <v>8680</v>
      </c>
      <c r="J57" s="26" t="s">
        <v>8681</v>
      </c>
      <c r="K57" s="1447" t="s">
        <v>4195</v>
      </c>
      <c r="L57" s="1447" t="s">
        <v>4196</v>
      </c>
      <c r="M57" s="1447" t="s">
        <v>7148</v>
      </c>
      <c r="N57" s="22" t="s">
        <v>7149</v>
      </c>
      <c r="O57" s="1448" t="s">
        <v>5431</v>
      </c>
      <c r="P57" s="1449" t="s">
        <v>111</v>
      </c>
      <c r="Q57" s="1449" t="s">
        <v>1818</v>
      </c>
      <c r="R57" s="222" t="s">
        <v>9438</v>
      </c>
      <c r="S57" s="164" t="s">
        <v>1880</v>
      </c>
      <c r="T57" s="1436" t="s">
        <v>6820</v>
      </c>
      <c r="U57" s="1440" t="s">
        <v>5487</v>
      </c>
      <c r="V57" s="24" t="s">
        <v>9389</v>
      </c>
      <c r="W57" s="90" t="s">
        <v>9387</v>
      </c>
      <c r="X57" s="1449" t="s">
        <v>2359</v>
      </c>
      <c r="Y57" s="1449">
        <v>1</v>
      </c>
      <c r="Z57" s="24" t="s">
        <v>9404</v>
      </c>
      <c r="AA57" s="24" t="s">
        <v>9439</v>
      </c>
      <c r="AB57" s="30"/>
      <c r="AC57" s="30">
        <v>41.25</v>
      </c>
      <c r="AD57" s="30">
        <v>41.25</v>
      </c>
      <c r="AE57" s="59"/>
      <c r="AF57" s="59"/>
      <c r="AG57" s="1441" t="s">
        <v>1104</v>
      </c>
      <c r="AH57" s="202" t="s">
        <v>1880</v>
      </c>
      <c r="AI57" s="133" t="s">
        <v>1880</v>
      </c>
      <c r="AJ57" s="1436"/>
    </row>
    <row r="58" spans="1:36" s="11" customFormat="1" ht="26.25" customHeight="1" x14ac:dyDescent="0.15">
      <c r="A58" s="8">
        <f t="shared" si="0"/>
        <v>56</v>
      </c>
      <c r="B58" s="36" t="s">
        <v>9436</v>
      </c>
      <c r="C58" s="26" t="s">
        <v>19</v>
      </c>
      <c r="D58" s="26" t="s">
        <v>19</v>
      </c>
      <c r="E58" s="26" t="s">
        <v>19</v>
      </c>
      <c r="F58" s="29" t="s">
        <v>4423</v>
      </c>
      <c r="G58" s="53" t="s">
        <v>5092</v>
      </c>
      <c r="H58" s="26" t="s">
        <v>8679</v>
      </c>
      <c r="I58" s="26" t="s">
        <v>8680</v>
      </c>
      <c r="J58" s="26" t="s">
        <v>8681</v>
      </c>
      <c r="K58" s="1447" t="s">
        <v>1147</v>
      </c>
      <c r="L58" s="1447" t="s">
        <v>2067</v>
      </c>
      <c r="M58" s="1447" t="s">
        <v>4426</v>
      </c>
      <c r="N58" s="22" t="s">
        <v>4780</v>
      </c>
      <c r="O58" s="1448" t="s">
        <v>5431</v>
      </c>
      <c r="P58" s="1449" t="s">
        <v>111</v>
      </c>
      <c r="Q58" s="1449" t="s">
        <v>1818</v>
      </c>
      <c r="R58" s="222" t="s">
        <v>9438</v>
      </c>
      <c r="S58" s="164" t="s">
        <v>1880</v>
      </c>
      <c r="T58" s="1448" t="s">
        <v>6820</v>
      </c>
      <c r="U58" s="1448" t="s">
        <v>5487</v>
      </c>
      <c r="V58" s="24" t="s">
        <v>9389</v>
      </c>
      <c r="W58" s="90" t="s">
        <v>9387</v>
      </c>
      <c r="X58" s="1449" t="s">
        <v>2359</v>
      </c>
      <c r="Y58" s="1449">
        <v>1</v>
      </c>
      <c r="Z58" s="24" t="s">
        <v>9404</v>
      </c>
      <c r="AA58" s="24" t="s">
        <v>9439</v>
      </c>
      <c r="AB58" s="30"/>
      <c r="AC58" s="30">
        <v>41.25</v>
      </c>
      <c r="AD58" s="30">
        <v>41.25</v>
      </c>
      <c r="AE58" s="59"/>
      <c r="AF58" s="59"/>
      <c r="AG58" s="1449" t="s">
        <v>1104</v>
      </c>
      <c r="AH58" s="202" t="s">
        <v>1880</v>
      </c>
      <c r="AI58" s="133" t="s">
        <v>1880</v>
      </c>
      <c r="AJ58" s="1448"/>
    </row>
    <row r="59" spans="1:36" s="11" customFormat="1" ht="26.25" customHeight="1" x14ac:dyDescent="0.15">
      <c r="A59" s="8">
        <f t="shared" si="0"/>
        <v>57</v>
      </c>
      <c r="B59" s="36" t="s">
        <v>9437</v>
      </c>
      <c r="C59" s="26" t="s">
        <v>19</v>
      </c>
      <c r="D59" s="26" t="s">
        <v>19</v>
      </c>
      <c r="E59" s="26" t="s">
        <v>19</v>
      </c>
      <c r="F59" s="29" t="s">
        <v>6117</v>
      </c>
      <c r="G59" s="53" t="s">
        <v>5092</v>
      </c>
      <c r="H59" s="26" t="s">
        <v>8679</v>
      </c>
      <c r="I59" s="26" t="s">
        <v>8680</v>
      </c>
      <c r="J59" s="26" t="s">
        <v>8681</v>
      </c>
      <c r="K59" s="1" t="s">
        <v>23</v>
      </c>
      <c r="L59" s="142" t="s">
        <v>28</v>
      </c>
      <c r="M59" s="329" t="s">
        <v>3881</v>
      </c>
      <c r="N59" s="22" t="s">
        <v>6119</v>
      </c>
      <c r="O59" s="22" t="s">
        <v>5431</v>
      </c>
      <c r="P59" s="1449" t="s">
        <v>111</v>
      </c>
      <c r="Q59" s="1449" t="s">
        <v>1818</v>
      </c>
      <c r="R59" s="222" t="s">
        <v>9438</v>
      </c>
      <c r="S59" s="164" t="s">
        <v>1880</v>
      </c>
      <c r="T59" s="1448" t="s">
        <v>6820</v>
      </c>
      <c r="U59" s="1448" t="s">
        <v>5487</v>
      </c>
      <c r="V59" s="24" t="s">
        <v>9389</v>
      </c>
      <c r="W59" s="90" t="s">
        <v>9387</v>
      </c>
      <c r="X59" s="1449" t="s">
        <v>2359</v>
      </c>
      <c r="Y59" s="1449">
        <v>1</v>
      </c>
      <c r="Z59" s="24" t="s">
        <v>9404</v>
      </c>
      <c r="AA59" s="24" t="s">
        <v>9439</v>
      </c>
      <c r="AB59" s="30"/>
      <c r="AC59" s="30">
        <v>41.25</v>
      </c>
      <c r="AD59" s="30">
        <v>41.25</v>
      </c>
      <c r="AE59" s="59"/>
      <c r="AF59" s="59"/>
      <c r="AG59" s="1449" t="s">
        <v>1104</v>
      </c>
      <c r="AH59" s="202" t="s">
        <v>1880</v>
      </c>
      <c r="AI59" s="133" t="s">
        <v>1880</v>
      </c>
      <c r="AJ59" s="1448"/>
    </row>
    <row r="60" spans="1:36" s="11" customFormat="1" ht="26.25" customHeight="1" x14ac:dyDescent="0.15">
      <c r="A60" s="8">
        <f t="shared" si="0"/>
        <v>58</v>
      </c>
      <c r="B60" s="36" t="s">
        <v>9440</v>
      </c>
      <c r="C60" s="26" t="s">
        <v>19</v>
      </c>
      <c r="D60" s="26" t="s">
        <v>19</v>
      </c>
      <c r="E60" s="26" t="s">
        <v>19</v>
      </c>
      <c r="F60" s="29" t="s">
        <v>412</v>
      </c>
      <c r="G60" s="53" t="s">
        <v>5092</v>
      </c>
      <c r="H60" s="26" t="s">
        <v>8679</v>
      </c>
      <c r="I60" s="26" t="s">
        <v>8680</v>
      </c>
      <c r="J60" s="26" t="s">
        <v>8681</v>
      </c>
      <c r="K60" s="1450" t="s">
        <v>1147</v>
      </c>
      <c r="L60" s="1" t="s">
        <v>2067</v>
      </c>
      <c r="M60" s="37" t="s">
        <v>1808</v>
      </c>
      <c r="N60" s="22" t="s">
        <v>4780</v>
      </c>
      <c r="O60" s="22" t="s">
        <v>1826</v>
      </c>
      <c r="P60" s="1452" t="s">
        <v>111</v>
      </c>
      <c r="Q60" s="1451" t="s">
        <v>1818</v>
      </c>
      <c r="R60" s="222" t="s">
        <v>9438</v>
      </c>
      <c r="S60" s="164" t="s">
        <v>1880</v>
      </c>
      <c r="T60" s="1451" t="s">
        <v>6820</v>
      </c>
      <c r="U60" s="1451" t="s">
        <v>5487</v>
      </c>
      <c r="V60" s="24" t="s">
        <v>9389</v>
      </c>
      <c r="W60" s="90" t="s">
        <v>9387</v>
      </c>
      <c r="X60" s="1452" t="s">
        <v>2359</v>
      </c>
      <c r="Y60" s="1452">
        <v>1</v>
      </c>
      <c r="Z60" s="24" t="s">
        <v>9404</v>
      </c>
      <c r="AA60" s="24" t="s">
        <v>9439</v>
      </c>
      <c r="AB60" s="30"/>
      <c r="AC60" s="30">
        <v>41.25</v>
      </c>
      <c r="AD60" s="30">
        <v>41.25</v>
      </c>
      <c r="AE60" s="59"/>
      <c r="AF60" s="59"/>
      <c r="AG60" s="1452" t="s">
        <v>1104</v>
      </c>
      <c r="AH60" s="202" t="s">
        <v>1880</v>
      </c>
      <c r="AI60" s="133" t="s">
        <v>1880</v>
      </c>
      <c r="AJ60" s="1451"/>
    </row>
    <row r="61" spans="1:36" s="11" customFormat="1" ht="26.25" customHeight="1" x14ac:dyDescent="0.15">
      <c r="A61" s="8">
        <f t="shared" si="0"/>
        <v>59</v>
      </c>
      <c r="B61" s="36" t="s">
        <v>9441</v>
      </c>
      <c r="C61" s="26" t="s">
        <v>19</v>
      </c>
      <c r="D61" s="26" t="s">
        <v>19</v>
      </c>
      <c r="E61" s="26" t="s">
        <v>19</v>
      </c>
      <c r="F61" s="29" t="s">
        <v>412</v>
      </c>
      <c r="G61" s="53" t="s">
        <v>5092</v>
      </c>
      <c r="H61" s="26" t="s">
        <v>8679</v>
      </c>
      <c r="I61" s="26" t="s">
        <v>8680</v>
      </c>
      <c r="J61" s="26" t="s">
        <v>8681</v>
      </c>
      <c r="K61" s="1450" t="s">
        <v>1147</v>
      </c>
      <c r="L61" s="1" t="s">
        <v>2067</v>
      </c>
      <c r="M61" s="37" t="s">
        <v>3801</v>
      </c>
      <c r="N61" s="22" t="s">
        <v>4780</v>
      </c>
      <c r="O61" s="22" t="s">
        <v>1826</v>
      </c>
      <c r="P61" s="1452" t="s">
        <v>111</v>
      </c>
      <c r="Q61" s="1451" t="s">
        <v>1818</v>
      </c>
      <c r="R61" s="222" t="s">
        <v>9438</v>
      </c>
      <c r="S61" s="164" t="s">
        <v>1880</v>
      </c>
      <c r="T61" s="1451" t="s">
        <v>6820</v>
      </c>
      <c r="U61" s="1451" t="s">
        <v>5487</v>
      </c>
      <c r="V61" s="24" t="s">
        <v>9389</v>
      </c>
      <c r="W61" s="90" t="s">
        <v>9387</v>
      </c>
      <c r="X61" s="1452" t="s">
        <v>2359</v>
      </c>
      <c r="Y61" s="1452">
        <v>1</v>
      </c>
      <c r="Z61" s="24" t="s">
        <v>9404</v>
      </c>
      <c r="AA61" s="24" t="s">
        <v>9439</v>
      </c>
      <c r="AB61" s="30"/>
      <c r="AC61" s="30">
        <v>41.25</v>
      </c>
      <c r="AD61" s="30">
        <v>41.25</v>
      </c>
      <c r="AE61" s="59"/>
      <c r="AF61" s="59"/>
      <c r="AG61" s="1452" t="s">
        <v>1104</v>
      </c>
      <c r="AH61" s="202" t="s">
        <v>1880</v>
      </c>
      <c r="AI61" s="133" t="s">
        <v>1880</v>
      </c>
      <c r="AJ61" s="1451"/>
    </row>
    <row r="62" spans="1:36" s="11" customFormat="1" ht="26.25" customHeight="1" x14ac:dyDescent="0.15">
      <c r="A62" s="8">
        <f t="shared" si="0"/>
        <v>60</v>
      </c>
      <c r="B62" s="36" t="s">
        <v>9442</v>
      </c>
      <c r="C62" s="26" t="s">
        <v>19</v>
      </c>
      <c r="D62" s="26" t="s">
        <v>19</v>
      </c>
      <c r="E62" s="26" t="s">
        <v>19</v>
      </c>
      <c r="F62" s="29" t="s">
        <v>6520</v>
      </c>
      <c r="G62" s="53" t="s">
        <v>5092</v>
      </c>
      <c r="H62" s="26" t="s">
        <v>8679</v>
      </c>
      <c r="I62" s="26" t="s">
        <v>8680</v>
      </c>
      <c r="J62" s="26" t="s">
        <v>8681</v>
      </c>
      <c r="K62" s="1450" t="s">
        <v>1147</v>
      </c>
      <c r="L62" s="1" t="s">
        <v>2067</v>
      </c>
      <c r="M62" s="37" t="s">
        <v>3962</v>
      </c>
      <c r="N62" s="22" t="s">
        <v>8311</v>
      </c>
      <c r="O62" s="22" t="s">
        <v>1826</v>
      </c>
      <c r="P62" s="1452" t="s">
        <v>111</v>
      </c>
      <c r="Q62" s="1451" t="s">
        <v>1818</v>
      </c>
      <c r="R62" s="222" t="s">
        <v>9438</v>
      </c>
      <c r="S62" s="164" t="s">
        <v>1880</v>
      </c>
      <c r="T62" s="1451" t="s">
        <v>6820</v>
      </c>
      <c r="U62" s="1451" t="s">
        <v>5487</v>
      </c>
      <c r="V62" s="24" t="s">
        <v>9389</v>
      </c>
      <c r="W62" s="90" t="s">
        <v>9387</v>
      </c>
      <c r="X62" s="1452" t="s">
        <v>2359</v>
      </c>
      <c r="Y62" s="1452">
        <v>1</v>
      </c>
      <c r="Z62" s="24" t="s">
        <v>9404</v>
      </c>
      <c r="AA62" s="24" t="s">
        <v>9439</v>
      </c>
      <c r="AB62" s="30"/>
      <c r="AC62" s="30">
        <v>41.25</v>
      </c>
      <c r="AD62" s="30">
        <v>41.25</v>
      </c>
      <c r="AE62" s="59"/>
      <c r="AF62" s="59"/>
      <c r="AG62" s="1452" t="s">
        <v>1104</v>
      </c>
      <c r="AH62" s="202" t="s">
        <v>1880</v>
      </c>
      <c r="AI62" s="133" t="s">
        <v>1880</v>
      </c>
      <c r="AJ62" s="1451"/>
    </row>
    <row r="63" spans="1:36" s="11" customFormat="1" ht="26.25" customHeight="1" x14ac:dyDescent="0.15">
      <c r="A63" s="8">
        <f t="shared" si="0"/>
        <v>61</v>
      </c>
      <c r="B63" s="36" t="s">
        <v>9443</v>
      </c>
      <c r="C63" s="26" t="s">
        <v>19</v>
      </c>
      <c r="D63" s="26" t="s">
        <v>19</v>
      </c>
      <c r="E63" s="26" t="s">
        <v>19</v>
      </c>
      <c r="F63" s="55" t="s">
        <v>504</v>
      </c>
      <c r="G63" s="53" t="s">
        <v>5092</v>
      </c>
      <c r="H63" s="26" t="s">
        <v>8679</v>
      </c>
      <c r="I63" s="26" t="s">
        <v>8680</v>
      </c>
      <c r="J63" s="26" t="s">
        <v>8681</v>
      </c>
      <c r="K63" s="42" t="s">
        <v>507</v>
      </c>
      <c r="L63" s="42" t="s">
        <v>506</v>
      </c>
      <c r="M63" s="27" t="s">
        <v>508</v>
      </c>
      <c r="N63" s="27" t="s">
        <v>4780</v>
      </c>
      <c r="O63" s="22" t="s">
        <v>5431</v>
      </c>
      <c r="P63" s="1452" t="s">
        <v>111</v>
      </c>
      <c r="Q63" s="1452" t="s">
        <v>1818</v>
      </c>
      <c r="R63" s="222" t="s">
        <v>9438</v>
      </c>
      <c r="S63" s="164" t="s">
        <v>1880</v>
      </c>
      <c r="T63" s="1438" t="s">
        <v>6820</v>
      </c>
      <c r="U63" s="1440" t="s">
        <v>5487</v>
      </c>
      <c r="V63" s="24" t="s">
        <v>9389</v>
      </c>
      <c r="W63" s="90" t="s">
        <v>9387</v>
      </c>
      <c r="X63" s="1452" t="s">
        <v>2359</v>
      </c>
      <c r="Y63" s="1452">
        <v>1</v>
      </c>
      <c r="Z63" s="24" t="s">
        <v>9404</v>
      </c>
      <c r="AA63" s="24" t="s">
        <v>9439</v>
      </c>
      <c r="AB63" s="30"/>
      <c r="AC63" s="30">
        <v>41.25</v>
      </c>
      <c r="AD63" s="30">
        <v>41.25</v>
      </c>
      <c r="AE63" s="59"/>
      <c r="AF63" s="59"/>
      <c r="AG63" s="1441" t="s">
        <v>1104</v>
      </c>
      <c r="AH63" s="202" t="s">
        <v>1880</v>
      </c>
      <c r="AI63" s="133" t="s">
        <v>1880</v>
      </c>
      <c r="AJ63" s="1436"/>
    </row>
    <row r="64" spans="1:36" s="11" customFormat="1" ht="26.25" customHeight="1" x14ac:dyDescent="0.15">
      <c r="A64" s="8">
        <f t="shared" si="0"/>
        <v>62</v>
      </c>
      <c r="B64" s="36" t="s">
        <v>9444</v>
      </c>
      <c r="C64" s="26" t="s">
        <v>19</v>
      </c>
      <c r="D64" s="26" t="s">
        <v>19</v>
      </c>
      <c r="E64" s="26" t="s">
        <v>19</v>
      </c>
      <c r="F64" s="29" t="s">
        <v>6521</v>
      </c>
      <c r="G64" s="53" t="s">
        <v>5092</v>
      </c>
      <c r="H64" s="26" t="s">
        <v>8679</v>
      </c>
      <c r="I64" s="26" t="s">
        <v>8680</v>
      </c>
      <c r="J64" s="26" t="s">
        <v>8681</v>
      </c>
      <c r="K64" s="1450" t="s">
        <v>1147</v>
      </c>
      <c r="L64" s="1450" t="s">
        <v>2067</v>
      </c>
      <c r="M64" s="1450" t="s">
        <v>2340</v>
      </c>
      <c r="N64" s="22" t="s">
        <v>4780</v>
      </c>
      <c r="O64" s="1452" t="s">
        <v>1826</v>
      </c>
      <c r="P64" s="1452" t="s">
        <v>111</v>
      </c>
      <c r="Q64" s="28" t="s">
        <v>25</v>
      </c>
      <c r="R64" s="222" t="s">
        <v>9438</v>
      </c>
      <c r="S64" s="164" t="s">
        <v>1880</v>
      </c>
      <c r="T64" s="1451" t="s">
        <v>6820</v>
      </c>
      <c r="U64" s="1451" t="s">
        <v>5487</v>
      </c>
      <c r="V64" s="24" t="s">
        <v>9389</v>
      </c>
      <c r="W64" s="90" t="s">
        <v>9387</v>
      </c>
      <c r="X64" s="1452" t="s">
        <v>2359</v>
      </c>
      <c r="Y64" s="1452">
        <v>1</v>
      </c>
      <c r="Z64" s="24" t="s">
        <v>9404</v>
      </c>
      <c r="AA64" s="24" t="s">
        <v>9439</v>
      </c>
      <c r="AB64" s="30"/>
      <c r="AC64" s="30">
        <v>41.25</v>
      </c>
      <c r="AD64" s="30">
        <v>41.25</v>
      </c>
      <c r="AE64" s="59"/>
      <c r="AF64" s="59"/>
      <c r="AG64" s="1452" t="s">
        <v>1104</v>
      </c>
      <c r="AH64" s="202" t="s">
        <v>1880</v>
      </c>
      <c r="AI64" s="133" t="s">
        <v>1880</v>
      </c>
      <c r="AJ64" s="1451"/>
    </row>
    <row r="65" spans="1:36" s="11" customFormat="1" ht="26.25" customHeight="1" x14ac:dyDescent="0.15">
      <c r="A65" s="8">
        <f t="shared" si="0"/>
        <v>63</v>
      </c>
      <c r="B65" s="36" t="s">
        <v>9445</v>
      </c>
      <c r="C65" s="26" t="s">
        <v>19</v>
      </c>
      <c r="D65" s="26" t="s">
        <v>19</v>
      </c>
      <c r="E65" s="26" t="s">
        <v>19</v>
      </c>
      <c r="F65" s="29" t="s">
        <v>6522</v>
      </c>
      <c r="G65" s="53" t="s">
        <v>5092</v>
      </c>
      <c r="H65" s="26" t="s">
        <v>8679</v>
      </c>
      <c r="I65" s="26" t="s">
        <v>8680</v>
      </c>
      <c r="J65" s="26" t="s">
        <v>8681</v>
      </c>
      <c r="K65" s="1450" t="s">
        <v>1147</v>
      </c>
      <c r="L65" s="1450" t="s">
        <v>2067</v>
      </c>
      <c r="M65" s="1450" t="s">
        <v>4481</v>
      </c>
      <c r="N65" s="22" t="s">
        <v>8303</v>
      </c>
      <c r="O65" s="1452" t="s">
        <v>1826</v>
      </c>
      <c r="P65" s="1452" t="s">
        <v>111</v>
      </c>
      <c r="Q65" s="28" t="s">
        <v>25</v>
      </c>
      <c r="R65" s="222" t="s">
        <v>9438</v>
      </c>
      <c r="S65" s="164" t="s">
        <v>1880</v>
      </c>
      <c r="T65" s="1451" t="s">
        <v>6820</v>
      </c>
      <c r="U65" s="1451" t="s">
        <v>5487</v>
      </c>
      <c r="V65" s="24" t="s">
        <v>9389</v>
      </c>
      <c r="W65" s="90" t="s">
        <v>9387</v>
      </c>
      <c r="X65" s="1452" t="s">
        <v>2359</v>
      </c>
      <c r="Y65" s="1452">
        <v>1</v>
      </c>
      <c r="Z65" s="24" t="s">
        <v>9404</v>
      </c>
      <c r="AA65" s="24" t="s">
        <v>9439</v>
      </c>
      <c r="AB65" s="30"/>
      <c r="AC65" s="30">
        <v>41.25</v>
      </c>
      <c r="AD65" s="30">
        <v>41.25</v>
      </c>
      <c r="AE65" s="59"/>
      <c r="AF65" s="59"/>
      <c r="AG65" s="1452" t="s">
        <v>1104</v>
      </c>
      <c r="AH65" s="202" t="s">
        <v>1880</v>
      </c>
      <c r="AI65" s="133" t="s">
        <v>1880</v>
      </c>
      <c r="AJ65" s="1451"/>
    </row>
    <row r="66" spans="1:36" s="11" customFormat="1" ht="26.25" customHeight="1" x14ac:dyDescent="0.15">
      <c r="A66" s="8">
        <f t="shared" si="0"/>
        <v>64</v>
      </c>
      <c r="B66" s="36" t="s">
        <v>9446</v>
      </c>
      <c r="C66" s="26" t="s">
        <v>19</v>
      </c>
      <c r="D66" s="26" t="s">
        <v>19</v>
      </c>
      <c r="E66" s="26" t="s">
        <v>19</v>
      </c>
      <c r="F66" s="29" t="s">
        <v>438</v>
      </c>
      <c r="G66" s="53" t="s">
        <v>5092</v>
      </c>
      <c r="H66" s="26" t="s">
        <v>8679</v>
      </c>
      <c r="I66" s="26" t="s">
        <v>8680</v>
      </c>
      <c r="J66" s="26" t="s">
        <v>8681</v>
      </c>
      <c r="K66" s="1450" t="s">
        <v>1147</v>
      </c>
      <c r="L66" s="1450" t="s">
        <v>2067</v>
      </c>
      <c r="M66" s="1450" t="s">
        <v>1821</v>
      </c>
      <c r="N66" s="22" t="s">
        <v>8308</v>
      </c>
      <c r="O66" s="1452" t="s">
        <v>1826</v>
      </c>
      <c r="P66" s="1452" t="s">
        <v>111</v>
      </c>
      <c r="Q66" s="28" t="s">
        <v>25</v>
      </c>
      <c r="R66" s="222" t="s">
        <v>9438</v>
      </c>
      <c r="S66" s="164" t="s">
        <v>1880</v>
      </c>
      <c r="T66" s="1451" t="s">
        <v>6820</v>
      </c>
      <c r="U66" s="1451" t="s">
        <v>5487</v>
      </c>
      <c r="V66" s="24" t="s">
        <v>9389</v>
      </c>
      <c r="W66" s="90" t="s">
        <v>9387</v>
      </c>
      <c r="X66" s="1452" t="s">
        <v>2359</v>
      </c>
      <c r="Y66" s="1452">
        <v>1</v>
      </c>
      <c r="Z66" s="24" t="s">
        <v>9404</v>
      </c>
      <c r="AA66" s="24" t="s">
        <v>9439</v>
      </c>
      <c r="AB66" s="30"/>
      <c r="AC66" s="30">
        <v>41.25</v>
      </c>
      <c r="AD66" s="30">
        <v>41.25</v>
      </c>
      <c r="AE66" s="59"/>
      <c r="AF66" s="59"/>
      <c r="AG66" s="1452" t="s">
        <v>1104</v>
      </c>
      <c r="AH66" s="202" t="s">
        <v>1880</v>
      </c>
      <c r="AI66" s="133" t="s">
        <v>1880</v>
      </c>
      <c r="AJ66" s="1451"/>
    </row>
    <row r="67" spans="1:36" s="11" customFormat="1" ht="26.25" customHeight="1" x14ac:dyDescent="0.15">
      <c r="A67" s="8">
        <f t="shared" si="0"/>
        <v>65</v>
      </c>
      <c r="B67" s="36" t="s">
        <v>9447</v>
      </c>
      <c r="C67" s="26" t="s">
        <v>19</v>
      </c>
      <c r="D67" s="26" t="s">
        <v>19</v>
      </c>
      <c r="E67" s="26" t="s">
        <v>19</v>
      </c>
      <c r="F67" s="29" t="s">
        <v>5922</v>
      </c>
      <c r="G67" s="53" t="s">
        <v>5092</v>
      </c>
      <c r="H67" s="26" t="s">
        <v>8679</v>
      </c>
      <c r="I67" s="26" t="s">
        <v>8680</v>
      </c>
      <c r="J67" s="26" t="s">
        <v>8681</v>
      </c>
      <c r="K67" s="1450" t="s">
        <v>4195</v>
      </c>
      <c r="L67" s="1450" t="s">
        <v>4196</v>
      </c>
      <c r="M67" s="1450" t="s">
        <v>6871</v>
      </c>
      <c r="N67" s="22" t="s">
        <v>6872</v>
      </c>
      <c r="O67" s="1452" t="s">
        <v>1826</v>
      </c>
      <c r="P67" s="1452" t="s">
        <v>111</v>
      </c>
      <c r="Q67" s="221" t="s">
        <v>1818</v>
      </c>
      <c r="R67" s="222" t="s">
        <v>9438</v>
      </c>
      <c r="S67" s="164" t="s">
        <v>1880</v>
      </c>
      <c r="T67" s="1451" t="s">
        <v>6820</v>
      </c>
      <c r="U67" s="1451" t="s">
        <v>5487</v>
      </c>
      <c r="V67" s="24" t="s">
        <v>9389</v>
      </c>
      <c r="W67" s="90" t="s">
        <v>9387</v>
      </c>
      <c r="X67" s="1452" t="s">
        <v>2359</v>
      </c>
      <c r="Y67" s="1452">
        <v>1</v>
      </c>
      <c r="Z67" s="24" t="s">
        <v>9404</v>
      </c>
      <c r="AA67" s="24" t="s">
        <v>9439</v>
      </c>
      <c r="AB67" s="30"/>
      <c r="AC67" s="30">
        <v>41.25</v>
      </c>
      <c r="AD67" s="30">
        <v>41.25</v>
      </c>
      <c r="AE67" s="59"/>
      <c r="AF67" s="59"/>
      <c r="AG67" s="1452" t="s">
        <v>1104</v>
      </c>
      <c r="AH67" s="202" t="s">
        <v>1880</v>
      </c>
      <c r="AI67" s="133" t="s">
        <v>1880</v>
      </c>
      <c r="AJ67" s="1451"/>
    </row>
    <row r="68" spans="1:36" s="11" customFormat="1" ht="26.25" customHeight="1" x14ac:dyDescent="0.15">
      <c r="A68" s="8">
        <f t="shared" si="0"/>
        <v>66</v>
      </c>
      <c r="B68" s="36" t="s">
        <v>9448</v>
      </c>
      <c r="C68" s="26" t="s">
        <v>19</v>
      </c>
      <c r="D68" s="26" t="s">
        <v>19</v>
      </c>
      <c r="E68" s="26" t="s">
        <v>19</v>
      </c>
      <c r="F68" s="29" t="s">
        <v>7311</v>
      </c>
      <c r="G68" s="53" t="s">
        <v>5092</v>
      </c>
      <c r="H68" s="26" t="s">
        <v>8679</v>
      </c>
      <c r="I68" s="26" t="s">
        <v>8680</v>
      </c>
      <c r="J68" s="26" t="s">
        <v>8681</v>
      </c>
      <c r="K68" s="1451" t="s">
        <v>4195</v>
      </c>
      <c r="L68" s="1451" t="s">
        <v>4196</v>
      </c>
      <c r="M68" s="1451" t="s">
        <v>9453</v>
      </c>
      <c r="N68" s="1451" t="s">
        <v>7307</v>
      </c>
      <c r="O68" s="1452" t="s">
        <v>1826</v>
      </c>
      <c r="P68" s="1452" t="s">
        <v>111</v>
      </c>
      <c r="Q68" s="1451" t="s">
        <v>1131</v>
      </c>
      <c r="R68" s="222" t="s">
        <v>9438</v>
      </c>
      <c r="S68" s="164" t="s">
        <v>1880</v>
      </c>
      <c r="T68" s="1451" t="s">
        <v>6820</v>
      </c>
      <c r="U68" s="1451" t="s">
        <v>5487</v>
      </c>
      <c r="V68" s="24" t="s">
        <v>9389</v>
      </c>
      <c r="W68" s="90" t="s">
        <v>9387</v>
      </c>
      <c r="X68" s="1452" t="s">
        <v>2359</v>
      </c>
      <c r="Y68" s="1452">
        <v>1</v>
      </c>
      <c r="Z68" s="24" t="s">
        <v>9404</v>
      </c>
      <c r="AA68" s="24" t="s">
        <v>9439</v>
      </c>
      <c r="AB68" s="30"/>
      <c r="AC68" s="30">
        <v>41.25</v>
      </c>
      <c r="AD68" s="30">
        <v>41.25</v>
      </c>
      <c r="AE68" s="59"/>
      <c r="AF68" s="59"/>
      <c r="AG68" s="1452" t="s">
        <v>1104</v>
      </c>
      <c r="AH68" s="202" t="s">
        <v>1880</v>
      </c>
      <c r="AI68" s="133" t="s">
        <v>1880</v>
      </c>
      <c r="AJ68" s="1451"/>
    </row>
    <row r="69" spans="1:36" s="11" customFormat="1" ht="26.25" customHeight="1" x14ac:dyDescent="0.15">
      <c r="A69" s="8">
        <f t="shared" si="0"/>
        <v>67</v>
      </c>
      <c r="B69" s="36" t="s">
        <v>9449</v>
      </c>
      <c r="C69" s="26" t="s">
        <v>19</v>
      </c>
      <c r="D69" s="26" t="s">
        <v>19</v>
      </c>
      <c r="E69" s="26" t="s">
        <v>19</v>
      </c>
      <c r="F69" s="13" t="s">
        <v>7310</v>
      </c>
      <c r="G69" s="53" t="s">
        <v>5092</v>
      </c>
      <c r="H69" s="26" t="s">
        <v>8679</v>
      </c>
      <c r="I69" s="26" t="s">
        <v>8680</v>
      </c>
      <c r="J69" s="26" t="s">
        <v>8681</v>
      </c>
      <c r="K69" s="1451" t="s">
        <v>4195</v>
      </c>
      <c r="L69" s="1451" t="s">
        <v>4196</v>
      </c>
      <c r="M69" s="1451" t="s">
        <v>9451</v>
      </c>
      <c r="N69" s="22" t="s">
        <v>9452</v>
      </c>
      <c r="O69" s="1452" t="s">
        <v>1826</v>
      </c>
      <c r="P69" s="1452" t="s">
        <v>111</v>
      </c>
      <c r="Q69" s="1451" t="s">
        <v>1131</v>
      </c>
      <c r="R69" s="222" t="s">
        <v>9438</v>
      </c>
      <c r="S69" s="164" t="s">
        <v>1880</v>
      </c>
      <c r="T69" s="1451" t="s">
        <v>6820</v>
      </c>
      <c r="U69" s="1451" t="s">
        <v>5487</v>
      </c>
      <c r="V69" s="24" t="s">
        <v>9389</v>
      </c>
      <c r="W69" s="90" t="s">
        <v>9387</v>
      </c>
      <c r="X69" s="1452" t="s">
        <v>2359</v>
      </c>
      <c r="Y69" s="1452">
        <v>1</v>
      </c>
      <c r="Z69" s="24" t="s">
        <v>9404</v>
      </c>
      <c r="AA69" s="24" t="s">
        <v>9439</v>
      </c>
      <c r="AB69" s="30"/>
      <c r="AC69" s="30">
        <v>41.25</v>
      </c>
      <c r="AD69" s="30">
        <v>41.25</v>
      </c>
      <c r="AE69" s="59"/>
      <c r="AF69" s="59"/>
      <c r="AG69" s="1452" t="s">
        <v>1104</v>
      </c>
      <c r="AH69" s="202" t="s">
        <v>1880</v>
      </c>
      <c r="AI69" s="133" t="s">
        <v>1880</v>
      </c>
      <c r="AJ69" s="1451"/>
    </row>
    <row r="70" spans="1:36" s="11" customFormat="1" ht="26.25" customHeight="1" x14ac:dyDescent="0.15">
      <c r="A70" s="8">
        <f t="shared" si="0"/>
        <v>68</v>
      </c>
      <c r="B70" s="36" t="s">
        <v>9450</v>
      </c>
      <c r="C70" s="26" t="s">
        <v>19</v>
      </c>
      <c r="D70" s="26" t="s">
        <v>19</v>
      </c>
      <c r="E70" s="26" t="s">
        <v>19</v>
      </c>
      <c r="F70" s="29" t="s">
        <v>6520</v>
      </c>
      <c r="G70" s="53" t="s">
        <v>5092</v>
      </c>
      <c r="H70" s="26" t="s">
        <v>8679</v>
      </c>
      <c r="I70" s="26" t="s">
        <v>8680</v>
      </c>
      <c r="J70" s="26" t="s">
        <v>8681</v>
      </c>
      <c r="K70" s="1451" t="s">
        <v>4195</v>
      </c>
      <c r="L70" s="1451" t="s">
        <v>4196</v>
      </c>
      <c r="M70" s="1451" t="s">
        <v>9455</v>
      </c>
      <c r="N70" s="1451" t="s">
        <v>9454</v>
      </c>
      <c r="O70" s="1452" t="s">
        <v>1826</v>
      </c>
      <c r="P70" s="1452" t="s">
        <v>111</v>
      </c>
      <c r="Q70" s="1451" t="s">
        <v>1131</v>
      </c>
      <c r="R70" s="222" t="s">
        <v>9438</v>
      </c>
      <c r="S70" s="164" t="s">
        <v>1880</v>
      </c>
      <c r="T70" s="1451" t="s">
        <v>6820</v>
      </c>
      <c r="U70" s="1451" t="s">
        <v>5487</v>
      </c>
      <c r="V70" s="24" t="s">
        <v>9389</v>
      </c>
      <c r="W70" s="90" t="s">
        <v>9387</v>
      </c>
      <c r="X70" s="1452" t="s">
        <v>2359</v>
      </c>
      <c r="Y70" s="1452">
        <v>1</v>
      </c>
      <c r="Z70" s="24" t="s">
        <v>9404</v>
      </c>
      <c r="AA70" s="24" t="s">
        <v>9439</v>
      </c>
      <c r="AB70" s="30"/>
      <c r="AC70" s="30">
        <v>41.25</v>
      </c>
      <c r="AD70" s="30">
        <v>41.25</v>
      </c>
      <c r="AE70" s="59"/>
      <c r="AF70" s="59"/>
      <c r="AG70" s="1452" t="s">
        <v>1104</v>
      </c>
      <c r="AH70" s="202" t="s">
        <v>1880</v>
      </c>
      <c r="AI70" s="133" t="s">
        <v>1880</v>
      </c>
      <c r="AJ70" s="1451"/>
    </row>
    <row r="71" spans="1:36" s="11" customFormat="1" ht="26.25" customHeight="1" x14ac:dyDescent="0.15">
      <c r="A71" s="8">
        <f t="shared" si="0"/>
        <v>69</v>
      </c>
      <c r="B71" s="36" t="s">
        <v>9397</v>
      </c>
      <c r="C71" s="1441" t="s">
        <v>111</v>
      </c>
      <c r="D71" s="1441" t="s">
        <v>111</v>
      </c>
      <c r="E71" s="1441" t="s">
        <v>111</v>
      </c>
      <c r="F71" s="29" t="s">
        <v>9399</v>
      </c>
      <c r="G71" s="53" t="s">
        <v>9400</v>
      </c>
      <c r="H71" s="26" t="s">
        <v>8679</v>
      </c>
      <c r="I71" s="26" t="s">
        <v>8680</v>
      </c>
      <c r="J71" s="26" t="s">
        <v>8681</v>
      </c>
      <c r="K71" s="1435" t="s">
        <v>4195</v>
      </c>
      <c r="L71" s="1435" t="s">
        <v>4196</v>
      </c>
      <c r="M71" s="1435" t="s">
        <v>9401</v>
      </c>
      <c r="N71" s="1466" t="s">
        <v>9944</v>
      </c>
      <c r="O71" s="1437" t="s">
        <v>5431</v>
      </c>
      <c r="P71" s="1437" t="s">
        <v>9402</v>
      </c>
      <c r="Q71" s="1436" t="s">
        <v>7591</v>
      </c>
      <c r="R71" s="54" t="s">
        <v>9403</v>
      </c>
      <c r="S71" s="1441" t="s">
        <v>111</v>
      </c>
      <c r="T71" s="1438" t="s">
        <v>6820</v>
      </c>
      <c r="U71" s="1436" t="s">
        <v>5487</v>
      </c>
      <c r="V71" s="24" t="s">
        <v>8625</v>
      </c>
      <c r="W71" s="90" t="s">
        <v>9404</v>
      </c>
      <c r="X71" s="24" t="s">
        <v>110</v>
      </c>
      <c r="Y71" s="24">
        <v>1</v>
      </c>
      <c r="Z71" s="24" t="s">
        <v>448</v>
      </c>
      <c r="AA71" s="24" t="s">
        <v>448</v>
      </c>
      <c r="AB71" s="30">
        <v>21.522500000000001</v>
      </c>
      <c r="AC71" s="30"/>
      <c r="AD71" s="30">
        <v>21.522500000000001</v>
      </c>
      <c r="AE71" s="59"/>
      <c r="AF71" s="59"/>
      <c r="AG71" s="1441" t="s">
        <v>1104</v>
      </c>
      <c r="AH71" s="202" t="s">
        <v>1880</v>
      </c>
      <c r="AI71" s="133" t="s">
        <v>1880</v>
      </c>
      <c r="AJ71" s="1436" t="s">
        <v>10161</v>
      </c>
    </row>
    <row r="72" spans="1:36" s="11" customFormat="1" ht="26.25" customHeight="1" x14ac:dyDescent="0.15">
      <c r="A72" s="8">
        <f t="shared" si="0"/>
        <v>70</v>
      </c>
      <c r="B72" s="36" t="s">
        <v>9398</v>
      </c>
      <c r="C72" s="1441" t="s">
        <v>111</v>
      </c>
      <c r="D72" s="1441" t="s">
        <v>111</v>
      </c>
      <c r="E72" s="1441" t="s">
        <v>111</v>
      </c>
      <c r="F72" s="29" t="s">
        <v>9399</v>
      </c>
      <c r="G72" s="53" t="s">
        <v>9400</v>
      </c>
      <c r="H72" s="26" t="s">
        <v>8679</v>
      </c>
      <c r="I72" s="26" t="s">
        <v>8680</v>
      </c>
      <c r="J72" s="26" t="s">
        <v>8681</v>
      </c>
      <c r="K72" s="1439" t="s">
        <v>4195</v>
      </c>
      <c r="L72" s="1439" t="s">
        <v>4196</v>
      </c>
      <c r="M72" s="1435" t="s">
        <v>9405</v>
      </c>
      <c r="N72" s="22" t="s">
        <v>9945</v>
      </c>
      <c r="O72" s="1441" t="s">
        <v>5431</v>
      </c>
      <c r="P72" s="1437" t="s">
        <v>7142</v>
      </c>
      <c r="Q72" s="1440" t="s">
        <v>7591</v>
      </c>
      <c r="R72" s="54" t="s">
        <v>9403</v>
      </c>
      <c r="S72" s="1441" t="s">
        <v>111</v>
      </c>
      <c r="T72" s="1440" t="s">
        <v>6820</v>
      </c>
      <c r="U72" s="1440" t="s">
        <v>5487</v>
      </c>
      <c r="V72" s="24" t="s">
        <v>8625</v>
      </c>
      <c r="W72" s="90" t="s">
        <v>9404</v>
      </c>
      <c r="X72" s="24" t="s">
        <v>110</v>
      </c>
      <c r="Y72" s="24">
        <v>1</v>
      </c>
      <c r="Z72" s="24" t="s">
        <v>448</v>
      </c>
      <c r="AA72" s="24" t="s">
        <v>448</v>
      </c>
      <c r="AB72" s="30">
        <v>22.5274</v>
      </c>
      <c r="AC72" s="30"/>
      <c r="AD72" s="30">
        <v>22.5274</v>
      </c>
      <c r="AE72" s="59"/>
      <c r="AF72" s="59"/>
      <c r="AG72" s="1441" t="s">
        <v>1104</v>
      </c>
      <c r="AH72" s="202" t="s">
        <v>1880</v>
      </c>
      <c r="AI72" s="133" t="s">
        <v>1880</v>
      </c>
      <c r="AJ72" s="1652" t="s">
        <v>10162</v>
      </c>
    </row>
    <row r="73" spans="1:36" s="11" customFormat="1" ht="26.25" customHeight="1" x14ac:dyDescent="0.15">
      <c r="A73" s="8">
        <f t="shared" si="0"/>
        <v>71</v>
      </c>
      <c r="B73" s="36" t="s">
        <v>9465</v>
      </c>
      <c r="C73" s="1458" t="s">
        <v>111</v>
      </c>
      <c r="D73" s="1458" t="s">
        <v>111</v>
      </c>
      <c r="E73" s="36" t="s">
        <v>9888</v>
      </c>
      <c r="F73" s="29" t="s">
        <v>9292</v>
      </c>
      <c r="G73" s="53" t="s">
        <v>9466</v>
      </c>
      <c r="H73" s="26" t="s">
        <v>8679</v>
      </c>
      <c r="I73" s="26" t="s">
        <v>8680</v>
      </c>
      <c r="J73" s="26" t="s">
        <v>8681</v>
      </c>
      <c r="K73" s="1456" t="s">
        <v>4195</v>
      </c>
      <c r="L73" s="1456" t="s">
        <v>4196</v>
      </c>
      <c r="M73" s="1466" t="s">
        <v>9401</v>
      </c>
      <c r="N73" s="1598" t="s">
        <v>9944</v>
      </c>
      <c r="O73" s="1458" t="s">
        <v>5431</v>
      </c>
      <c r="P73" s="1458" t="s">
        <v>111</v>
      </c>
      <c r="Q73" s="1457" t="s">
        <v>1131</v>
      </c>
      <c r="R73" s="54" t="s">
        <v>9637</v>
      </c>
      <c r="S73" s="1458" t="s">
        <v>111</v>
      </c>
      <c r="T73" s="1464" t="s">
        <v>6820</v>
      </c>
      <c r="U73" s="1464" t="s">
        <v>5487</v>
      </c>
      <c r="V73" s="24" t="s">
        <v>9464</v>
      </c>
      <c r="W73" s="90" t="s">
        <v>9467</v>
      </c>
      <c r="X73" s="24" t="s">
        <v>108</v>
      </c>
      <c r="Y73" s="10">
        <v>1</v>
      </c>
      <c r="Z73" s="24" t="s">
        <v>9468</v>
      </c>
      <c r="AA73" s="24" t="s">
        <v>448</v>
      </c>
      <c r="AB73" s="30">
        <v>34.36</v>
      </c>
      <c r="AC73" s="30"/>
      <c r="AD73" s="30">
        <v>34.36</v>
      </c>
      <c r="AE73" s="59"/>
      <c r="AF73" s="59"/>
      <c r="AG73" s="1458" t="s">
        <v>1104</v>
      </c>
      <c r="AH73" s="202" t="s">
        <v>1880</v>
      </c>
      <c r="AI73" s="133" t="s">
        <v>1880</v>
      </c>
      <c r="AJ73" s="1454"/>
    </row>
    <row r="74" spans="1:36" s="11" customFormat="1" ht="26.25" customHeight="1" x14ac:dyDescent="0.15">
      <c r="A74" s="8">
        <f t="shared" si="0"/>
        <v>72</v>
      </c>
      <c r="B74" s="36" t="s">
        <v>9472</v>
      </c>
      <c r="C74" s="1458" t="s">
        <v>111</v>
      </c>
      <c r="D74" s="1458" t="s">
        <v>111</v>
      </c>
      <c r="E74" s="1458" t="s">
        <v>111</v>
      </c>
      <c r="F74" s="13" t="s">
        <v>9186</v>
      </c>
      <c r="G74" s="53" t="s">
        <v>9469</v>
      </c>
      <c r="H74" s="1458" t="s">
        <v>111</v>
      </c>
      <c r="I74" s="1458" t="s">
        <v>111</v>
      </c>
      <c r="J74" s="1458" t="s">
        <v>111</v>
      </c>
      <c r="K74" s="1461" t="s">
        <v>94</v>
      </c>
      <c r="L74" s="1461" t="s">
        <v>5419</v>
      </c>
      <c r="M74" s="1462" t="s">
        <v>9312</v>
      </c>
      <c r="N74" s="1462" t="s">
        <v>9946</v>
      </c>
      <c r="O74" s="1458" t="s">
        <v>5431</v>
      </c>
      <c r="P74" s="1458" t="s">
        <v>9470</v>
      </c>
      <c r="Q74" s="1462" t="s">
        <v>2441</v>
      </c>
      <c r="R74" s="1463" t="s">
        <v>4162</v>
      </c>
      <c r="S74" s="1458" t="s">
        <v>111</v>
      </c>
      <c r="T74" s="1457" t="s">
        <v>1894</v>
      </c>
      <c r="U74" s="1454" t="s">
        <v>1894</v>
      </c>
      <c r="V74" s="24" t="s">
        <v>9464</v>
      </c>
      <c r="W74" s="90" t="s">
        <v>9471</v>
      </c>
      <c r="X74" s="24" t="s">
        <v>110</v>
      </c>
      <c r="Y74" s="24">
        <v>1</v>
      </c>
      <c r="Z74" s="24" t="s">
        <v>448</v>
      </c>
      <c r="AA74" s="24" t="s">
        <v>448</v>
      </c>
      <c r="AB74" s="30">
        <v>1.92</v>
      </c>
      <c r="AC74" s="30"/>
      <c r="AD74" s="30">
        <v>1.92</v>
      </c>
      <c r="AE74" s="59"/>
      <c r="AF74" s="59"/>
      <c r="AG74" s="1458" t="s">
        <v>1104</v>
      </c>
      <c r="AH74" s="202" t="s">
        <v>1880</v>
      </c>
      <c r="AI74" s="133" t="s">
        <v>1880</v>
      </c>
      <c r="AJ74" s="1454"/>
    </row>
    <row r="75" spans="1:36" s="11" customFormat="1" ht="26.25" customHeight="1" x14ac:dyDescent="0.15">
      <c r="A75" s="8">
        <f t="shared" si="0"/>
        <v>73</v>
      </c>
      <c r="B75" s="36" t="s">
        <v>9473</v>
      </c>
      <c r="C75" s="1460" t="s">
        <v>111</v>
      </c>
      <c r="D75" s="1460" t="s">
        <v>111</v>
      </c>
      <c r="E75" s="1460" t="s">
        <v>111</v>
      </c>
      <c r="F75" s="29" t="s">
        <v>5984</v>
      </c>
      <c r="G75" s="98" t="s">
        <v>9475</v>
      </c>
      <c r="H75" s="1486" t="s">
        <v>9526</v>
      </c>
      <c r="I75" s="1486" t="s">
        <v>9527</v>
      </c>
      <c r="J75" s="26" t="s">
        <v>9529</v>
      </c>
      <c r="K75" s="694" t="s">
        <v>94</v>
      </c>
      <c r="L75" s="694" t="s">
        <v>1952</v>
      </c>
      <c r="M75" s="694" t="s">
        <v>2907</v>
      </c>
      <c r="N75" s="1460" t="s">
        <v>5986</v>
      </c>
      <c r="O75" s="1460" t="s">
        <v>1826</v>
      </c>
      <c r="P75" s="1460" t="s">
        <v>111</v>
      </c>
      <c r="Q75" s="1459" t="s">
        <v>1131</v>
      </c>
      <c r="R75" s="54" t="s">
        <v>6266</v>
      </c>
      <c r="S75" s="1460" t="s">
        <v>111</v>
      </c>
      <c r="T75" s="1459" t="s">
        <v>5489</v>
      </c>
      <c r="U75" s="1454" t="s">
        <v>5489</v>
      </c>
      <c r="V75" s="24" t="s">
        <v>9464</v>
      </c>
      <c r="W75" s="90" t="s">
        <v>9476</v>
      </c>
      <c r="X75" s="24" t="s">
        <v>110</v>
      </c>
      <c r="Y75" s="24">
        <v>1</v>
      </c>
      <c r="Z75" s="24" t="s">
        <v>9476</v>
      </c>
      <c r="AA75" s="24" t="s">
        <v>9477</v>
      </c>
      <c r="AB75" s="30"/>
      <c r="AC75" s="30">
        <v>30</v>
      </c>
      <c r="AD75" s="30">
        <v>30</v>
      </c>
      <c r="AE75" s="59"/>
      <c r="AF75" s="59"/>
      <c r="AG75" s="1460" t="s">
        <v>1104</v>
      </c>
      <c r="AH75" s="202" t="s">
        <v>1880</v>
      </c>
      <c r="AI75" s="133" t="s">
        <v>1880</v>
      </c>
      <c r="AJ75" s="1454"/>
    </row>
    <row r="76" spans="1:36" s="11" customFormat="1" ht="26.25" customHeight="1" x14ac:dyDescent="0.15">
      <c r="A76" s="8">
        <f t="shared" si="0"/>
        <v>74</v>
      </c>
      <c r="B76" s="36" t="s">
        <v>9474</v>
      </c>
      <c r="C76" s="71" t="s">
        <v>9180</v>
      </c>
      <c r="D76" s="1460" t="s">
        <v>111</v>
      </c>
      <c r="E76" s="1460" t="s">
        <v>111</v>
      </c>
      <c r="F76" s="29" t="s">
        <v>7807</v>
      </c>
      <c r="G76" s="53" t="s">
        <v>7811</v>
      </c>
      <c r="H76" s="1460" t="s">
        <v>111</v>
      </c>
      <c r="I76" s="1460" t="s">
        <v>111</v>
      </c>
      <c r="J76" s="1460" t="s">
        <v>111</v>
      </c>
      <c r="K76" s="1642" t="s">
        <v>3649</v>
      </c>
      <c r="L76" s="1642" t="s">
        <v>4750</v>
      </c>
      <c r="M76" s="1642" t="s">
        <v>9181</v>
      </c>
      <c r="N76" s="22" t="s">
        <v>9182</v>
      </c>
      <c r="O76" s="1455" t="s">
        <v>5478</v>
      </c>
      <c r="P76" s="1455" t="s">
        <v>7142</v>
      </c>
      <c r="Q76" s="1454" t="s">
        <v>4676</v>
      </c>
      <c r="R76" s="54" t="s">
        <v>9481</v>
      </c>
      <c r="S76" s="1460" t="s">
        <v>111</v>
      </c>
      <c r="T76" s="1459" t="s">
        <v>5487</v>
      </c>
      <c r="U76" s="1454" t="s">
        <v>5487</v>
      </c>
      <c r="V76" s="24" t="s">
        <v>9464</v>
      </c>
      <c r="W76" s="90" t="s">
        <v>9482</v>
      </c>
      <c r="X76" s="24" t="s">
        <v>108</v>
      </c>
      <c r="Y76" s="10">
        <v>1</v>
      </c>
      <c r="Z76" s="24" t="s">
        <v>9009</v>
      </c>
      <c r="AA76" s="24" t="s">
        <v>9483</v>
      </c>
      <c r="AB76" s="30">
        <v>49</v>
      </c>
      <c r="AC76" s="30"/>
      <c r="AD76" s="30">
        <v>49</v>
      </c>
      <c r="AE76" s="59"/>
      <c r="AF76" s="59"/>
      <c r="AG76" s="1460" t="s">
        <v>1104</v>
      </c>
      <c r="AH76" s="202" t="s">
        <v>1880</v>
      </c>
      <c r="AI76" s="133" t="s">
        <v>1880</v>
      </c>
      <c r="AJ76" s="1454"/>
    </row>
    <row r="77" spans="1:36" s="11" customFormat="1" ht="26.25" customHeight="1" x14ac:dyDescent="0.15">
      <c r="A77" s="8">
        <f t="shared" si="0"/>
        <v>75</v>
      </c>
      <c r="B77" s="36" t="s">
        <v>9484</v>
      </c>
      <c r="C77" s="1469" t="s">
        <v>111</v>
      </c>
      <c r="D77" s="1469" t="s">
        <v>111</v>
      </c>
      <c r="E77" s="36" t="s">
        <v>9887</v>
      </c>
      <c r="F77" s="29" t="s">
        <v>9292</v>
      </c>
      <c r="G77" s="53" t="s">
        <v>9466</v>
      </c>
      <c r="H77" s="1469" t="s">
        <v>111</v>
      </c>
      <c r="I77" s="1469" t="s">
        <v>111</v>
      </c>
      <c r="J77" s="1469" t="s">
        <v>111</v>
      </c>
      <c r="K77" s="1467" t="s">
        <v>4691</v>
      </c>
      <c r="L77" s="1467" t="s">
        <v>4196</v>
      </c>
      <c r="M77" s="1453" t="s">
        <v>9486</v>
      </c>
      <c r="N77" s="22" t="s">
        <v>9487</v>
      </c>
      <c r="O77" s="1469" t="s">
        <v>1826</v>
      </c>
      <c r="P77" s="1469" t="s">
        <v>111</v>
      </c>
      <c r="Q77" s="1468" t="s">
        <v>1131</v>
      </c>
      <c r="R77" s="54" t="s">
        <v>2238</v>
      </c>
      <c r="S77" s="1469" t="s">
        <v>111</v>
      </c>
      <c r="T77" s="1454" t="s">
        <v>1894</v>
      </c>
      <c r="U77" s="1454" t="s">
        <v>1894</v>
      </c>
      <c r="V77" s="24" t="s">
        <v>9485</v>
      </c>
      <c r="W77" s="90" t="s">
        <v>9345</v>
      </c>
      <c r="X77" s="24" t="s">
        <v>108</v>
      </c>
      <c r="Y77" s="10">
        <v>1</v>
      </c>
      <c r="Z77" s="24" t="s">
        <v>6843</v>
      </c>
      <c r="AA77" s="24" t="s">
        <v>448</v>
      </c>
      <c r="AB77" s="30">
        <v>68.62</v>
      </c>
      <c r="AC77" s="30"/>
      <c r="AD77" s="30">
        <v>68.62</v>
      </c>
      <c r="AE77" s="59"/>
      <c r="AF77" s="59"/>
      <c r="AG77" s="1465" t="s">
        <v>1104</v>
      </c>
      <c r="AH77" s="202" t="s">
        <v>1880</v>
      </c>
      <c r="AI77" s="133" t="s">
        <v>1880</v>
      </c>
      <c r="AJ77" s="1454"/>
    </row>
    <row r="78" spans="1:36" s="11" customFormat="1" ht="26.25" customHeight="1" x14ac:dyDescent="0.15">
      <c r="A78" s="8">
        <f t="shared" si="0"/>
        <v>76</v>
      </c>
      <c r="B78" s="36" t="s">
        <v>9488</v>
      </c>
      <c r="C78" s="1472" t="s">
        <v>111</v>
      </c>
      <c r="D78" s="1472" t="s">
        <v>111</v>
      </c>
      <c r="E78" s="1472" t="s">
        <v>111</v>
      </c>
      <c r="F78" s="29" t="s">
        <v>6688</v>
      </c>
      <c r="G78" s="53" t="s">
        <v>9493</v>
      </c>
      <c r="H78" s="1478" t="s">
        <v>448</v>
      </c>
      <c r="I78" s="1478" t="s">
        <v>8702</v>
      </c>
      <c r="J78" s="1478" t="s">
        <v>8703</v>
      </c>
      <c r="K78" s="1473" t="s">
        <v>2032</v>
      </c>
      <c r="L78" s="102" t="s">
        <v>819</v>
      </c>
      <c r="M78" s="37" t="s">
        <v>1129</v>
      </c>
      <c r="N78" s="22" t="s">
        <v>6853</v>
      </c>
      <c r="O78" s="22" t="s">
        <v>1826</v>
      </c>
      <c r="P78" s="22" t="s">
        <v>1880</v>
      </c>
      <c r="Q78" s="1474" t="s">
        <v>102</v>
      </c>
      <c r="R78" s="54" t="s">
        <v>6183</v>
      </c>
      <c r="S78" s="1475" t="s">
        <v>111</v>
      </c>
      <c r="T78" s="1471" t="s">
        <v>446</v>
      </c>
      <c r="U78" s="1474" t="s">
        <v>446</v>
      </c>
      <c r="V78" s="24" t="s">
        <v>9492</v>
      </c>
      <c r="W78" s="90" t="s">
        <v>9497</v>
      </c>
      <c r="X78" s="24" t="s">
        <v>110</v>
      </c>
      <c r="Y78" s="24">
        <v>1</v>
      </c>
      <c r="Z78" s="24" t="s">
        <v>448</v>
      </c>
      <c r="AA78" s="24" t="s">
        <v>448</v>
      </c>
      <c r="AB78" s="30">
        <v>3.5</v>
      </c>
      <c r="AC78" s="30"/>
      <c r="AD78" s="30">
        <v>3.5</v>
      </c>
      <c r="AE78" s="59"/>
      <c r="AF78" s="59"/>
      <c r="AG78" s="1475" t="s">
        <v>1104</v>
      </c>
      <c r="AH78" s="202" t="s">
        <v>1880</v>
      </c>
      <c r="AI78" s="133" t="s">
        <v>1880</v>
      </c>
      <c r="AJ78" s="1471"/>
    </row>
    <row r="79" spans="1:36" s="11" customFormat="1" ht="26.25" customHeight="1" x14ac:dyDescent="0.15">
      <c r="A79" s="8">
        <f t="shared" si="0"/>
        <v>77</v>
      </c>
      <c r="B79" s="36" t="s">
        <v>9489</v>
      </c>
      <c r="C79" s="1472" t="s">
        <v>111</v>
      </c>
      <c r="D79" s="1472" t="s">
        <v>111</v>
      </c>
      <c r="E79" s="1472" t="s">
        <v>111</v>
      </c>
      <c r="F79" s="29" t="s">
        <v>268</v>
      </c>
      <c r="G79" s="53" t="s">
        <v>9494</v>
      </c>
      <c r="H79" s="1478" t="s">
        <v>448</v>
      </c>
      <c r="I79" s="1478" t="s">
        <v>8702</v>
      </c>
      <c r="J79" s="1478" t="s">
        <v>8703</v>
      </c>
      <c r="K79" s="1473" t="s">
        <v>2032</v>
      </c>
      <c r="L79" s="1473" t="s">
        <v>270</v>
      </c>
      <c r="M79" s="21" t="s">
        <v>610</v>
      </c>
      <c r="N79" s="21" t="s">
        <v>5544</v>
      </c>
      <c r="O79" s="22" t="s">
        <v>1826</v>
      </c>
      <c r="P79" s="22" t="s">
        <v>1880</v>
      </c>
      <c r="Q79" s="1474" t="s">
        <v>102</v>
      </c>
      <c r="R79" s="54" t="s">
        <v>6183</v>
      </c>
      <c r="S79" s="1475" t="s">
        <v>111</v>
      </c>
      <c r="T79" s="1474" t="s">
        <v>446</v>
      </c>
      <c r="U79" s="1474" t="s">
        <v>446</v>
      </c>
      <c r="V79" s="24" t="s">
        <v>9492</v>
      </c>
      <c r="W79" s="90" t="s">
        <v>9497</v>
      </c>
      <c r="X79" s="24" t="s">
        <v>110</v>
      </c>
      <c r="Y79" s="24">
        <v>1</v>
      </c>
      <c r="Z79" s="24" t="s">
        <v>448</v>
      </c>
      <c r="AA79" s="24" t="s">
        <v>448</v>
      </c>
      <c r="AB79" s="30">
        <v>3.5</v>
      </c>
      <c r="AC79" s="30"/>
      <c r="AD79" s="30">
        <v>3.5</v>
      </c>
      <c r="AE79" s="59"/>
      <c r="AF79" s="59"/>
      <c r="AG79" s="1475" t="s">
        <v>1104</v>
      </c>
      <c r="AH79" s="202" t="s">
        <v>1880</v>
      </c>
      <c r="AI79" s="133" t="s">
        <v>1880</v>
      </c>
      <c r="AJ79" s="1471"/>
    </row>
    <row r="80" spans="1:36" s="11" customFormat="1" ht="26.25" customHeight="1" x14ac:dyDescent="0.15">
      <c r="A80" s="8">
        <f t="shared" si="0"/>
        <v>78</v>
      </c>
      <c r="B80" s="36" t="s">
        <v>9490</v>
      </c>
      <c r="C80" s="1472" t="s">
        <v>111</v>
      </c>
      <c r="D80" s="1472" t="s">
        <v>111</v>
      </c>
      <c r="E80" s="1472" t="s">
        <v>111</v>
      </c>
      <c r="F80" s="54" t="s">
        <v>3113</v>
      </c>
      <c r="G80" s="53" t="s">
        <v>9495</v>
      </c>
      <c r="H80" s="1478" t="s">
        <v>448</v>
      </c>
      <c r="I80" s="1478" t="s">
        <v>8702</v>
      </c>
      <c r="J80" s="1478" t="s">
        <v>8703</v>
      </c>
      <c r="K80" s="1473" t="s">
        <v>2032</v>
      </c>
      <c r="L80" s="1473" t="s">
        <v>2031</v>
      </c>
      <c r="M80" s="1474" t="s">
        <v>2039</v>
      </c>
      <c r="N80" s="1474" t="s">
        <v>7283</v>
      </c>
      <c r="O80" s="22" t="s">
        <v>1826</v>
      </c>
      <c r="P80" s="22" t="s">
        <v>1880</v>
      </c>
      <c r="Q80" s="1474" t="s">
        <v>102</v>
      </c>
      <c r="R80" s="54" t="s">
        <v>6183</v>
      </c>
      <c r="S80" s="1475" t="s">
        <v>111</v>
      </c>
      <c r="T80" s="1474" t="s">
        <v>446</v>
      </c>
      <c r="U80" s="1474" t="s">
        <v>446</v>
      </c>
      <c r="V80" s="24" t="s">
        <v>9492</v>
      </c>
      <c r="W80" s="90" t="s">
        <v>9497</v>
      </c>
      <c r="X80" s="24" t="s">
        <v>110</v>
      </c>
      <c r="Y80" s="24">
        <v>1</v>
      </c>
      <c r="Z80" s="24" t="s">
        <v>448</v>
      </c>
      <c r="AA80" s="24" t="s">
        <v>448</v>
      </c>
      <c r="AB80" s="30">
        <v>3.5</v>
      </c>
      <c r="AC80" s="30"/>
      <c r="AD80" s="30">
        <v>3.5</v>
      </c>
      <c r="AE80" s="59"/>
      <c r="AF80" s="59"/>
      <c r="AG80" s="1475" t="s">
        <v>1104</v>
      </c>
      <c r="AH80" s="202" t="s">
        <v>1880</v>
      </c>
      <c r="AI80" s="133" t="s">
        <v>1880</v>
      </c>
      <c r="AJ80" s="1471"/>
    </row>
    <row r="81" spans="1:36" s="11" customFormat="1" ht="26.25" customHeight="1" x14ac:dyDescent="0.15">
      <c r="A81" s="8">
        <f t="shared" si="0"/>
        <v>79</v>
      </c>
      <c r="B81" s="36" t="s">
        <v>9491</v>
      </c>
      <c r="C81" s="1472" t="s">
        <v>111</v>
      </c>
      <c r="D81" s="1472" t="s">
        <v>111</v>
      </c>
      <c r="E81" s="1472" t="s">
        <v>111</v>
      </c>
      <c r="F81" s="54" t="s">
        <v>2037</v>
      </c>
      <c r="G81" s="53" t="s">
        <v>9496</v>
      </c>
      <c r="H81" s="1478" t="s">
        <v>448</v>
      </c>
      <c r="I81" s="1478" t="s">
        <v>8702</v>
      </c>
      <c r="J81" s="1478" t="s">
        <v>8703</v>
      </c>
      <c r="K81" s="1473" t="s">
        <v>2032</v>
      </c>
      <c r="L81" s="1473" t="s">
        <v>2031</v>
      </c>
      <c r="M81" s="1474" t="s">
        <v>2041</v>
      </c>
      <c r="N81" s="1474" t="s">
        <v>4875</v>
      </c>
      <c r="O81" s="22" t="s">
        <v>1826</v>
      </c>
      <c r="P81" s="22" t="s">
        <v>1880</v>
      </c>
      <c r="Q81" s="1474" t="s">
        <v>102</v>
      </c>
      <c r="R81" s="54" t="s">
        <v>6183</v>
      </c>
      <c r="S81" s="1475" t="s">
        <v>111</v>
      </c>
      <c r="T81" s="1474" t="s">
        <v>446</v>
      </c>
      <c r="U81" s="1474" t="s">
        <v>446</v>
      </c>
      <c r="V81" s="24" t="s">
        <v>9492</v>
      </c>
      <c r="W81" s="90" t="s">
        <v>9497</v>
      </c>
      <c r="X81" s="24" t="s">
        <v>110</v>
      </c>
      <c r="Y81" s="24">
        <v>1</v>
      </c>
      <c r="Z81" s="24" t="s">
        <v>448</v>
      </c>
      <c r="AA81" s="24" t="s">
        <v>448</v>
      </c>
      <c r="AB81" s="30">
        <v>3.5</v>
      </c>
      <c r="AC81" s="30"/>
      <c r="AD81" s="30">
        <v>3.5</v>
      </c>
      <c r="AE81" s="59"/>
      <c r="AF81" s="59"/>
      <c r="AG81" s="1475" t="s">
        <v>1104</v>
      </c>
      <c r="AH81" s="202" t="s">
        <v>1880</v>
      </c>
      <c r="AI81" s="133" t="s">
        <v>1880</v>
      </c>
      <c r="AJ81" s="1471"/>
    </row>
    <row r="82" spans="1:36" s="11" customFormat="1" ht="26.25" customHeight="1" x14ac:dyDescent="0.15">
      <c r="A82" s="8">
        <f t="shared" si="0"/>
        <v>80</v>
      </c>
      <c r="B82" s="36" t="s">
        <v>9498</v>
      </c>
      <c r="C82" s="71" t="s">
        <v>9499</v>
      </c>
      <c r="D82" s="1477" t="s">
        <v>111</v>
      </c>
      <c r="E82" s="36" t="s">
        <v>9555</v>
      </c>
      <c r="F82" s="29" t="s">
        <v>9501</v>
      </c>
      <c r="G82" s="53" t="s">
        <v>9502</v>
      </c>
      <c r="H82" s="1477" t="s">
        <v>8664</v>
      </c>
      <c r="I82" s="1477" t="s">
        <v>9503</v>
      </c>
      <c r="J82" s="26" t="s">
        <v>9504</v>
      </c>
      <c r="K82" s="1476" t="s">
        <v>4712</v>
      </c>
      <c r="L82" s="1476" t="s">
        <v>1124</v>
      </c>
      <c r="M82" s="1476" t="s">
        <v>9500</v>
      </c>
      <c r="N82" s="22" t="s">
        <v>4780</v>
      </c>
      <c r="O82" s="22" t="s">
        <v>1826</v>
      </c>
      <c r="P82" s="22" t="s">
        <v>1880</v>
      </c>
      <c r="Q82" s="1476" t="s">
        <v>102</v>
      </c>
      <c r="R82" s="54" t="s">
        <v>2197</v>
      </c>
      <c r="S82" s="1477" t="s">
        <v>111</v>
      </c>
      <c r="T82" s="1471" t="s">
        <v>5571</v>
      </c>
      <c r="U82" s="1471" t="s">
        <v>5571</v>
      </c>
      <c r="V82" s="24" t="s">
        <v>9492</v>
      </c>
      <c r="W82" s="90" t="s">
        <v>9485</v>
      </c>
      <c r="X82" s="24" t="s">
        <v>110</v>
      </c>
      <c r="Y82" s="24">
        <v>1</v>
      </c>
      <c r="Z82" s="24" t="s">
        <v>448</v>
      </c>
      <c r="AA82" s="24" t="s">
        <v>448</v>
      </c>
      <c r="AB82" s="30">
        <v>0.85</v>
      </c>
      <c r="AC82" s="30"/>
      <c r="AD82" s="30">
        <v>0.85</v>
      </c>
      <c r="AE82" s="59"/>
      <c r="AF82" s="59"/>
      <c r="AG82" s="1477" t="s">
        <v>1104</v>
      </c>
      <c r="AH82" s="202" t="s">
        <v>1880</v>
      </c>
      <c r="AI82" s="133" t="s">
        <v>1880</v>
      </c>
      <c r="AJ82" s="1471"/>
    </row>
    <row r="83" spans="1:36" s="11" customFormat="1" ht="26.25" customHeight="1" x14ac:dyDescent="0.15">
      <c r="A83" s="8">
        <f t="shared" si="0"/>
        <v>81</v>
      </c>
      <c r="B83" s="36" t="s">
        <v>9510</v>
      </c>
      <c r="C83" s="71" t="s">
        <v>9513</v>
      </c>
      <c r="D83" s="1481" t="s">
        <v>111</v>
      </c>
      <c r="E83" s="1481" t="s">
        <v>111</v>
      </c>
      <c r="F83" s="29" t="s">
        <v>7807</v>
      </c>
      <c r="G83" s="53" t="s">
        <v>7811</v>
      </c>
      <c r="H83" s="1481" t="s">
        <v>111</v>
      </c>
      <c r="I83" s="1481" t="s">
        <v>111</v>
      </c>
      <c r="J83" s="1481" t="s">
        <v>111</v>
      </c>
      <c r="K83" s="1480" t="s">
        <v>3649</v>
      </c>
      <c r="L83" s="1480" t="s">
        <v>4750</v>
      </c>
      <c r="M83" s="1480" t="s">
        <v>9506</v>
      </c>
      <c r="N83" s="22" t="s">
        <v>9507</v>
      </c>
      <c r="O83" s="1481" t="s">
        <v>5478</v>
      </c>
      <c r="P83" s="1472" t="s">
        <v>9508</v>
      </c>
      <c r="Q83" s="1471" t="s">
        <v>4676</v>
      </c>
      <c r="R83" s="54" t="s">
        <v>1886</v>
      </c>
      <c r="S83" s="1481" t="s">
        <v>111</v>
      </c>
      <c r="T83" s="1471" t="s">
        <v>5487</v>
      </c>
      <c r="U83" s="1471" t="s">
        <v>5487</v>
      </c>
      <c r="V83" s="24" t="s">
        <v>9505</v>
      </c>
      <c r="W83" s="90" t="s">
        <v>9509</v>
      </c>
      <c r="X83" s="24" t="s">
        <v>108</v>
      </c>
      <c r="Y83" s="10">
        <v>1</v>
      </c>
      <c r="Z83" s="126" t="s">
        <v>9512</v>
      </c>
      <c r="AA83" s="24" t="s">
        <v>9511</v>
      </c>
      <c r="AB83" s="30">
        <v>46.4</v>
      </c>
      <c r="AC83" s="30"/>
      <c r="AD83" s="30">
        <v>46.4</v>
      </c>
      <c r="AE83" s="59"/>
      <c r="AF83" s="59"/>
      <c r="AG83" s="1479" t="s">
        <v>1104</v>
      </c>
      <c r="AH83" s="202" t="s">
        <v>1880</v>
      </c>
      <c r="AI83" s="133" t="s">
        <v>1880</v>
      </c>
      <c r="AJ83" s="1471"/>
    </row>
    <row r="84" spans="1:36" s="11" customFormat="1" ht="26.25" customHeight="1" x14ac:dyDescent="0.15">
      <c r="A84" s="8">
        <f t="shared" si="0"/>
        <v>82</v>
      </c>
      <c r="B84" s="36" t="s">
        <v>9516</v>
      </c>
      <c r="C84" s="1484" t="s">
        <v>111</v>
      </c>
      <c r="D84" s="1554" t="s">
        <v>9820</v>
      </c>
      <c r="E84" s="1484" t="s">
        <v>111</v>
      </c>
      <c r="F84" s="29" t="s">
        <v>2148</v>
      </c>
      <c r="G84" s="53" t="s">
        <v>9519</v>
      </c>
      <c r="H84" s="1484" t="s">
        <v>9526</v>
      </c>
      <c r="I84" s="1484" t="s">
        <v>9527</v>
      </c>
      <c r="J84" s="26" t="s">
        <v>9528</v>
      </c>
      <c r="K84" s="694" t="s">
        <v>1487</v>
      </c>
      <c r="L84" s="694" t="s">
        <v>1952</v>
      </c>
      <c r="M84" s="694" t="s">
        <v>1953</v>
      </c>
      <c r="N84" s="1484" t="s">
        <v>6421</v>
      </c>
      <c r="O84" s="1484" t="s">
        <v>1826</v>
      </c>
      <c r="P84" s="22" t="s">
        <v>1880</v>
      </c>
      <c r="Q84" s="1483" t="s">
        <v>102</v>
      </c>
      <c r="R84" s="54" t="s">
        <v>6266</v>
      </c>
      <c r="S84" s="1484" t="s">
        <v>111</v>
      </c>
      <c r="T84" s="1483" t="s">
        <v>5571</v>
      </c>
      <c r="U84" s="1483" t="s">
        <v>5571</v>
      </c>
      <c r="V84" s="24" t="s">
        <v>9520</v>
      </c>
      <c r="W84" s="90" t="s">
        <v>9509</v>
      </c>
      <c r="X84" s="24" t="s">
        <v>110</v>
      </c>
      <c r="Y84" s="24">
        <v>1</v>
      </c>
      <c r="Z84" s="24" t="s">
        <v>9509</v>
      </c>
      <c r="AA84" s="24" t="s">
        <v>9521</v>
      </c>
      <c r="AB84" s="30"/>
      <c r="AC84" s="30">
        <v>30</v>
      </c>
      <c r="AD84" s="30">
        <v>30</v>
      </c>
      <c r="AE84" s="59"/>
      <c r="AF84" s="59"/>
      <c r="AG84" s="1484" t="s">
        <v>1104</v>
      </c>
      <c r="AH84" s="202" t="s">
        <v>1880</v>
      </c>
      <c r="AI84" s="133" t="s">
        <v>1880</v>
      </c>
      <c r="AJ84" s="1483"/>
    </row>
    <row r="85" spans="1:36" s="11" customFormat="1" ht="26.25" customHeight="1" x14ac:dyDescent="0.15">
      <c r="A85" s="8">
        <f t="shared" si="0"/>
        <v>83</v>
      </c>
      <c r="B85" s="36" t="s">
        <v>9517</v>
      </c>
      <c r="C85" s="1484" t="s">
        <v>111</v>
      </c>
      <c r="D85" s="1484" t="s">
        <v>111</v>
      </c>
      <c r="E85" s="1484" t="s">
        <v>111</v>
      </c>
      <c r="F85" s="29" t="s">
        <v>2148</v>
      </c>
      <c r="G85" s="53" t="s">
        <v>9519</v>
      </c>
      <c r="H85" s="1485" t="s">
        <v>9526</v>
      </c>
      <c r="I85" s="1485" t="s">
        <v>9527</v>
      </c>
      <c r="J85" s="26" t="s">
        <v>9528</v>
      </c>
      <c r="K85" s="1482" t="s">
        <v>4712</v>
      </c>
      <c r="L85" s="1482" t="s">
        <v>5383</v>
      </c>
      <c r="M85" s="1482" t="s">
        <v>6990</v>
      </c>
      <c r="N85" s="22" t="s">
        <v>4780</v>
      </c>
      <c r="O85" s="22" t="s">
        <v>1826</v>
      </c>
      <c r="P85" s="22" t="s">
        <v>1880</v>
      </c>
      <c r="Q85" s="1483" t="s">
        <v>102</v>
      </c>
      <c r="R85" s="54" t="s">
        <v>6266</v>
      </c>
      <c r="S85" s="1484" t="s">
        <v>111</v>
      </c>
      <c r="T85" s="1483" t="s">
        <v>5571</v>
      </c>
      <c r="U85" s="1483" t="s">
        <v>5571</v>
      </c>
      <c r="V85" s="24" t="s">
        <v>9520</v>
      </c>
      <c r="W85" s="90" t="s">
        <v>9509</v>
      </c>
      <c r="X85" s="24" t="s">
        <v>110</v>
      </c>
      <c r="Y85" s="24">
        <v>1</v>
      </c>
      <c r="Z85" s="24" t="s">
        <v>9522</v>
      </c>
      <c r="AA85" s="24" t="s">
        <v>9523</v>
      </c>
      <c r="AB85" s="30"/>
      <c r="AC85" s="30">
        <v>30</v>
      </c>
      <c r="AD85" s="30">
        <v>30</v>
      </c>
      <c r="AE85" s="59"/>
      <c r="AF85" s="59"/>
      <c r="AG85" s="1484" t="s">
        <v>1104</v>
      </c>
      <c r="AH85" s="202" t="s">
        <v>1880</v>
      </c>
      <c r="AI85" s="133" t="s">
        <v>1880</v>
      </c>
      <c r="AJ85" s="1483"/>
    </row>
    <row r="86" spans="1:36" s="11" customFormat="1" ht="26.25" customHeight="1" x14ac:dyDescent="0.15">
      <c r="A86" s="8">
        <f t="shared" si="0"/>
        <v>84</v>
      </c>
      <c r="B86" s="36" t="s">
        <v>9518</v>
      </c>
      <c r="C86" s="1484" t="s">
        <v>111</v>
      </c>
      <c r="D86" s="1484" t="s">
        <v>111</v>
      </c>
      <c r="E86" s="1484" t="s">
        <v>111</v>
      </c>
      <c r="F86" s="29" t="s">
        <v>9086</v>
      </c>
      <c r="G86" s="53" t="s">
        <v>9524</v>
      </c>
      <c r="H86" s="1485" t="s">
        <v>9526</v>
      </c>
      <c r="I86" s="1485" t="s">
        <v>9527</v>
      </c>
      <c r="J86" s="26" t="s">
        <v>9528</v>
      </c>
      <c r="K86" s="1483" t="s">
        <v>4712</v>
      </c>
      <c r="L86" s="1483" t="s">
        <v>5383</v>
      </c>
      <c r="M86" s="1483" t="s">
        <v>6882</v>
      </c>
      <c r="N86" s="22" t="s">
        <v>9525</v>
      </c>
      <c r="O86" s="22" t="s">
        <v>1826</v>
      </c>
      <c r="P86" s="22" t="s">
        <v>1880</v>
      </c>
      <c r="Q86" s="1483" t="s">
        <v>102</v>
      </c>
      <c r="R86" s="54" t="s">
        <v>6266</v>
      </c>
      <c r="S86" s="1484" t="s">
        <v>111</v>
      </c>
      <c r="T86" s="1483" t="s">
        <v>5571</v>
      </c>
      <c r="U86" s="1483" t="s">
        <v>5571</v>
      </c>
      <c r="V86" s="24" t="s">
        <v>9520</v>
      </c>
      <c r="W86" s="90" t="s">
        <v>9509</v>
      </c>
      <c r="X86" s="24" t="s">
        <v>110</v>
      </c>
      <c r="Y86" s="24">
        <v>1</v>
      </c>
      <c r="Z86" s="24" t="s">
        <v>9509</v>
      </c>
      <c r="AA86" s="24" t="s">
        <v>9521</v>
      </c>
      <c r="AB86" s="30"/>
      <c r="AC86" s="30">
        <v>30</v>
      </c>
      <c r="AD86" s="30">
        <v>30</v>
      </c>
      <c r="AE86" s="59"/>
      <c r="AF86" s="59"/>
      <c r="AG86" s="1484" t="s">
        <v>1104</v>
      </c>
      <c r="AH86" s="202" t="s">
        <v>1880</v>
      </c>
      <c r="AI86" s="133" t="s">
        <v>1880</v>
      </c>
      <c r="AJ86" s="1483"/>
    </row>
    <row r="87" spans="1:36" s="11" customFormat="1" ht="26.25" customHeight="1" x14ac:dyDescent="0.15">
      <c r="A87" s="8">
        <f t="shared" si="0"/>
        <v>85</v>
      </c>
      <c r="B87" s="36" t="s">
        <v>9533</v>
      </c>
      <c r="C87" s="1488" t="s">
        <v>111</v>
      </c>
      <c r="D87" s="1488" t="s">
        <v>111</v>
      </c>
      <c r="E87" s="611" t="s">
        <v>10081</v>
      </c>
      <c r="F87" s="29" t="s">
        <v>9568</v>
      </c>
      <c r="G87" s="53" t="s">
        <v>9530</v>
      </c>
      <c r="H87" s="1488" t="s">
        <v>8757</v>
      </c>
      <c r="I87" s="26" t="s">
        <v>9534</v>
      </c>
      <c r="J87" s="26" t="s">
        <v>9535</v>
      </c>
      <c r="K87" s="1470" t="s">
        <v>4195</v>
      </c>
      <c r="L87" s="1470" t="s">
        <v>4750</v>
      </c>
      <c r="M87" s="1470" t="s">
        <v>9531</v>
      </c>
      <c r="N87" s="22" t="s">
        <v>4780</v>
      </c>
      <c r="O87" s="22" t="s">
        <v>1826</v>
      </c>
      <c r="P87" s="22" t="s">
        <v>1880</v>
      </c>
      <c r="Q87" s="1487" t="s">
        <v>102</v>
      </c>
      <c r="R87" s="54" t="s">
        <v>2192</v>
      </c>
      <c r="S87" s="1488" t="s">
        <v>111</v>
      </c>
      <c r="T87" s="1471" t="s">
        <v>1894</v>
      </c>
      <c r="U87" s="1487" t="s">
        <v>1894</v>
      </c>
      <c r="V87" s="24" t="s">
        <v>9532</v>
      </c>
      <c r="W87" s="90" t="s">
        <v>9532</v>
      </c>
      <c r="X87" s="24" t="s">
        <v>108</v>
      </c>
      <c r="Y87" s="10">
        <v>1</v>
      </c>
      <c r="Z87" s="24" t="s">
        <v>5710</v>
      </c>
      <c r="AA87" s="24" t="s">
        <v>448</v>
      </c>
      <c r="AB87" s="30">
        <v>45</v>
      </c>
      <c r="AC87" s="30"/>
      <c r="AD87" s="30">
        <v>45</v>
      </c>
      <c r="AE87" s="59"/>
      <c r="AF87" s="59"/>
      <c r="AG87" s="1488" t="s">
        <v>1104</v>
      </c>
      <c r="AH87" s="202" t="s">
        <v>1880</v>
      </c>
      <c r="AI87" s="133" t="s">
        <v>1880</v>
      </c>
      <c r="AJ87" s="1471"/>
    </row>
    <row r="88" spans="1:36" s="11" customFormat="1" ht="26.25" customHeight="1" x14ac:dyDescent="0.15">
      <c r="A88" s="8">
        <f t="shared" si="0"/>
        <v>86</v>
      </c>
      <c r="B88" s="36" t="s">
        <v>9536</v>
      </c>
      <c r="C88" s="1491" t="s">
        <v>111</v>
      </c>
      <c r="D88" s="1491" t="s">
        <v>111</v>
      </c>
      <c r="E88" s="36" t="s">
        <v>9623</v>
      </c>
      <c r="F88" s="54" t="s">
        <v>2020</v>
      </c>
      <c r="G88" s="54" t="s">
        <v>9537</v>
      </c>
      <c r="H88" s="26" t="s">
        <v>448</v>
      </c>
      <c r="I88" s="26" t="s">
        <v>448</v>
      </c>
      <c r="J88" s="26" t="s">
        <v>448</v>
      </c>
      <c r="K88" s="1489" t="s">
        <v>4712</v>
      </c>
      <c r="L88" s="1489" t="s">
        <v>8121</v>
      </c>
      <c r="M88" s="1489" t="s">
        <v>6397</v>
      </c>
      <c r="N88" s="330" t="s">
        <v>6398</v>
      </c>
      <c r="O88" s="1491" t="s">
        <v>1826</v>
      </c>
      <c r="P88" s="1491" t="s">
        <v>111</v>
      </c>
      <c r="Q88" s="1491" t="s">
        <v>1818</v>
      </c>
      <c r="R88" s="151" t="s">
        <v>9538</v>
      </c>
      <c r="S88" s="22" t="s">
        <v>1880</v>
      </c>
      <c r="T88" s="1490" t="s">
        <v>5571</v>
      </c>
      <c r="U88" s="1490" t="s">
        <v>5571</v>
      </c>
      <c r="V88" s="24" t="s">
        <v>9539</v>
      </c>
      <c r="W88" s="90" t="s">
        <v>9540</v>
      </c>
      <c r="X88" s="24" t="s">
        <v>110</v>
      </c>
      <c r="Y88" s="24">
        <v>2</v>
      </c>
      <c r="Z88" s="24" t="s">
        <v>9541</v>
      </c>
      <c r="AA88" s="24" t="s">
        <v>9542</v>
      </c>
      <c r="AB88" s="30">
        <v>4.9353999999999996</v>
      </c>
      <c r="AC88" s="30">
        <v>9</v>
      </c>
      <c r="AD88" s="30">
        <v>13.9354</v>
      </c>
      <c r="AE88" s="59"/>
      <c r="AF88" s="59"/>
      <c r="AG88" s="1491" t="s">
        <v>1104</v>
      </c>
      <c r="AH88" s="202" t="s">
        <v>1880</v>
      </c>
      <c r="AI88" s="133" t="s">
        <v>1880</v>
      </c>
      <c r="AJ88" s="1454"/>
    </row>
    <row r="89" spans="1:36" s="11" customFormat="1" ht="26.25" customHeight="1" x14ac:dyDescent="0.15">
      <c r="A89" s="8">
        <f t="shared" si="0"/>
        <v>87</v>
      </c>
      <c r="B89" s="36" t="s">
        <v>9543</v>
      </c>
      <c r="C89" s="1494" t="s">
        <v>111</v>
      </c>
      <c r="D89" s="1494" t="s">
        <v>111</v>
      </c>
      <c r="E89" s="1494" t="s">
        <v>111</v>
      </c>
      <c r="F89" s="29" t="s">
        <v>5063</v>
      </c>
      <c r="G89" s="53" t="s">
        <v>5068</v>
      </c>
      <c r="H89" s="26" t="s">
        <v>448</v>
      </c>
      <c r="I89" s="26" t="s">
        <v>448</v>
      </c>
      <c r="J89" s="26" t="s">
        <v>448</v>
      </c>
      <c r="K89" s="1492" t="s">
        <v>4195</v>
      </c>
      <c r="L89" s="1492" t="s">
        <v>1124</v>
      </c>
      <c r="M89" s="1492" t="s">
        <v>5970</v>
      </c>
      <c r="N89" s="22" t="s">
        <v>4780</v>
      </c>
      <c r="O89" s="22" t="s">
        <v>5431</v>
      </c>
      <c r="P89" s="1494" t="s">
        <v>111</v>
      </c>
      <c r="Q89" s="1493" t="s">
        <v>1131</v>
      </c>
      <c r="R89" s="54" t="s">
        <v>116</v>
      </c>
      <c r="S89" s="22" t="s">
        <v>1880</v>
      </c>
      <c r="T89" s="1493" t="s">
        <v>5489</v>
      </c>
      <c r="U89" s="1493" t="s">
        <v>5489</v>
      </c>
      <c r="V89" s="24" t="s">
        <v>9545</v>
      </c>
      <c r="W89" s="90" t="s">
        <v>9539</v>
      </c>
      <c r="X89" s="24" t="s">
        <v>110</v>
      </c>
      <c r="Y89" s="24">
        <v>1</v>
      </c>
      <c r="Z89" s="24" t="s">
        <v>9541</v>
      </c>
      <c r="AA89" s="24" t="s">
        <v>9542</v>
      </c>
      <c r="AB89" s="30"/>
      <c r="AC89" s="30">
        <v>7.8</v>
      </c>
      <c r="AD89" s="30">
        <v>7.8</v>
      </c>
      <c r="AE89" s="59"/>
      <c r="AF89" s="59"/>
      <c r="AG89" s="1494" t="s">
        <v>1104</v>
      </c>
      <c r="AH89" s="202" t="s">
        <v>1880</v>
      </c>
      <c r="AI89" s="133" t="s">
        <v>1880</v>
      </c>
      <c r="AJ89" s="1493"/>
    </row>
    <row r="90" spans="1:36" s="11" customFormat="1" ht="26.25" customHeight="1" x14ac:dyDescent="0.15">
      <c r="A90" s="8">
        <f t="shared" si="0"/>
        <v>88</v>
      </c>
      <c r="B90" s="36" t="s">
        <v>9544</v>
      </c>
      <c r="C90" s="1494" t="s">
        <v>111</v>
      </c>
      <c r="D90" s="1494" t="s">
        <v>111</v>
      </c>
      <c r="E90" s="1494" t="s">
        <v>111</v>
      </c>
      <c r="F90" s="29" t="s">
        <v>6068</v>
      </c>
      <c r="G90" s="53" t="s">
        <v>6069</v>
      </c>
      <c r="H90" s="26" t="s">
        <v>448</v>
      </c>
      <c r="I90" s="26" t="s">
        <v>448</v>
      </c>
      <c r="J90" s="26" t="s">
        <v>448</v>
      </c>
      <c r="K90" s="1493" t="s">
        <v>4195</v>
      </c>
      <c r="L90" s="1493" t="s">
        <v>1124</v>
      </c>
      <c r="M90" s="1493" t="s">
        <v>4706</v>
      </c>
      <c r="N90" s="22" t="s">
        <v>4887</v>
      </c>
      <c r="O90" s="22" t="s">
        <v>1826</v>
      </c>
      <c r="P90" s="1494" t="s">
        <v>111</v>
      </c>
      <c r="Q90" s="221" t="s">
        <v>1818</v>
      </c>
      <c r="R90" s="222" t="s">
        <v>1819</v>
      </c>
      <c r="S90" s="22" t="s">
        <v>1880</v>
      </c>
      <c r="T90" s="1493" t="s">
        <v>5489</v>
      </c>
      <c r="U90" s="1493" t="s">
        <v>5489</v>
      </c>
      <c r="V90" s="24" t="s">
        <v>9545</v>
      </c>
      <c r="W90" s="90" t="s">
        <v>9539</v>
      </c>
      <c r="X90" s="24" t="s">
        <v>110</v>
      </c>
      <c r="Y90" s="24">
        <v>1</v>
      </c>
      <c r="Z90" s="24" t="s">
        <v>9541</v>
      </c>
      <c r="AA90" s="24" t="s">
        <v>9542</v>
      </c>
      <c r="AB90" s="30"/>
      <c r="AC90" s="30">
        <v>7.8</v>
      </c>
      <c r="AD90" s="30">
        <v>7.8</v>
      </c>
      <c r="AE90" s="59"/>
      <c r="AF90" s="59"/>
      <c r="AG90" s="1494" t="s">
        <v>1104</v>
      </c>
      <c r="AH90" s="202" t="s">
        <v>1880</v>
      </c>
      <c r="AI90" s="133" t="s">
        <v>1880</v>
      </c>
      <c r="AJ90" s="1493"/>
    </row>
    <row r="91" spans="1:36" s="11" customFormat="1" ht="26.25" customHeight="1" x14ac:dyDescent="0.15">
      <c r="A91" s="8">
        <f t="shared" si="0"/>
        <v>89</v>
      </c>
      <c r="B91" s="36" t="s">
        <v>9556</v>
      </c>
      <c r="C91" s="1495" t="s">
        <v>111</v>
      </c>
      <c r="D91" s="1495" t="s">
        <v>111</v>
      </c>
      <c r="E91" s="1495" t="s">
        <v>111</v>
      </c>
      <c r="F91" s="29" t="s">
        <v>7546</v>
      </c>
      <c r="G91" s="99" t="s">
        <v>8749</v>
      </c>
      <c r="H91" s="26" t="s">
        <v>448</v>
      </c>
      <c r="I91" s="26" t="s">
        <v>448</v>
      </c>
      <c r="J91" s="26" t="s">
        <v>448</v>
      </c>
      <c r="K91" s="10" t="s">
        <v>4208</v>
      </c>
      <c r="L91" s="10" t="s">
        <v>8888</v>
      </c>
      <c r="M91" s="10" t="s">
        <v>7621</v>
      </c>
      <c r="N91" s="1499" t="s">
        <v>1131</v>
      </c>
      <c r="O91" s="22" t="s">
        <v>1826</v>
      </c>
      <c r="P91" s="1500" t="s">
        <v>111</v>
      </c>
      <c r="Q91" s="221" t="s">
        <v>1818</v>
      </c>
      <c r="R91" s="76" t="s">
        <v>6692</v>
      </c>
      <c r="S91" s="1494"/>
      <c r="T91" s="1493" t="s">
        <v>5487</v>
      </c>
      <c r="U91" s="1497" t="s">
        <v>5487</v>
      </c>
      <c r="V91" s="24" t="s">
        <v>9551</v>
      </c>
      <c r="W91" s="24" t="s">
        <v>448</v>
      </c>
      <c r="X91" s="24" t="s">
        <v>448</v>
      </c>
      <c r="Y91" s="24" t="s">
        <v>448</v>
      </c>
      <c r="Z91" s="24" t="s">
        <v>448</v>
      </c>
      <c r="AA91" s="24" t="s">
        <v>448</v>
      </c>
      <c r="AB91" s="30">
        <v>1.8</v>
      </c>
      <c r="AC91" s="30"/>
      <c r="AD91" s="30">
        <v>1.8</v>
      </c>
      <c r="AE91" s="59"/>
      <c r="AF91" s="59"/>
      <c r="AG91" s="1495" t="s">
        <v>1104</v>
      </c>
      <c r="AH91" s="202" t="s">
        <v>1880</v>
      </c>
      <c r="AI91" s="133" t="s">
        <v>1880</v>
      </c>
      <c r="AJ91" s="1493" t="s">
        <v>9546</v>
      </c>
    </row>
    <row r="92" spans="1:36" s="11" customFormat="1" ht="26.25" customHeight="1" x14ac:dyDescent="0.15">
      <c r="A92" s="8">
        <f t="shared" si="0"/>
        <v>90</v>
      </c>
      <c r="B92" s="36" t="s">
        <v>9547</v>
      </c>
      <c r="C92" s="1498" t="s">
        <v>111</v>
      </c>
      <c r="D92" s="1498" t="s">
        <v>9816</v>
      </c>
      <c r="E92" s="1498" t="s">
        <v>111</v>
      </c>
      <c r="F92" s="52" t="s">
        <v>2492</v>
      </c>
      <c r="G92" s="53" t="s">
        <v>9550</v>
      </c>
      <c r="H92" s="26" t="s">
        <v>8765</v>
      </c>
      <c r="I92" s="26" t="s">
        <v>8766</v>
      </c>
      <c r="J92" s="26" t="s">
        <v>9554</v>
      </c>
      <c r="K92" s="1496" t="s">
        <v>1147</v>
      </c>
      <c r="L92" s="1496" t="s">
        <v>1789</v>
      </c>
      <c r="M92" s="1497" t="s">
        <v>3485</v>
      </c>
      <c r="N92" s="22" t="s">
        <v>9950</v>
      </c>
      <c r="O92" s="22" t="s">
        <v>2142</v>
      </c>
      <c r="P92" s="22" t="s">
        <v>1880</v>
      </c>
      <c r="Q92" s="1497" t="s">
        <v>2422</v>
      </c>
      <c r="R92" s="47" t="s">
        <v>1819</v>
      </c>
      <c r="S92" s="22" t="s">
        <v>1880</v>
      </c>
      <c r="T92" s="1497" t="s">
        <v>1811</v>
      </c>
      <c r="U92" s="1497" t="s">
        <v>3591</v>
      </c>
      <c r="V92" s="24" t="s">
        <v>9551</v>
      </c>
      <c r="W92" s="90" t="s">
        <v>9552</v>
      </c>
      <c r="X92" s="24" t="s">
        <v>110</v>
      </c>
      <c r="Y92" s="24">
        <v>1</v>
      </c>
      <c r="Z92" s="24" t="s">
        <v>9552</v>
      </c>
      <c r="AA92" s="24" t="s">
        <v>9553</v>
      </c>
      <c r="AB92" s="30"/>
      <c r="AC92" s="30">
        <v>3.85</v>
      </c>
      <c r="AD92" s="30">
        <v>3.85</v>
      </c>
      <c r="AE92" s="59"/>
      <c r="AF92" s="59"/>
      <c r="AG92" s="1498" t="s">
        <v>1104</v>
      </c>
      <c r="AH92" s="202" t="s">
        <v>1880</v>
      </c>
      <c r="AI92" s="133" t="s">
        <v>1880</v>
      </c>
      <c r="AJ92" s="1493"/>
    </row>
    <row r="93" spans="1:36" s="11" customFormat="1" ht="26.25" customHeight="1" x14ac:dyDescent="0.15">
      <c r="A93" s="8">
        <f t="shared" si="0"/>
        <v>91</v>
      </c>
      <c r="B93" s="36" t="s">
        <v>9548</v>
      </c>
      <c r="C93" s="1498" t="s">
        <v>111</v>
      </c>
      <c r="D93" s="1498" t="s">
        <v>111</v>
      </c>
      <c r="E93" s="1498" t="s">
        <v>111</v>
      </c>
      <c r="F93" s="29" t="s">
        <v>2492</v>
      </c>
      <c r="G93" s="53" t="s">
        <v>9550</v>
      </c>
      <c r="H93" s="26" t="s">
        <v>8765</v>
      </c>
      <c r="I93" s="26" t="s">
        <v>8766</v>
      </c>
      <c r="J93" s="26" t="s">
        <v>9554</v>
      </c>
      <c r="K93" s="1496" t="s">
        <v>1147</v>
      </c>
      <c r="L93" s="1496" t="s">
        <v>1789</v>
      </c>
      <c r="M93" s="1496" t="s">
        <v>2494</v>
      </c>
      <c r="N93" s="22" t="s">
        <v>9951</v>
      </c>
      <c r="O93" s="22" t="s">
        <v>1826</v>
      </c>
      <c r="P93" s="1498" t="s">
        <v>111</v>
      </c>
      <c r="Q93" s="1497" t="s">
        <v>1818</v>
      </c>
      <c r="R93" s="47" t="s">
        <v>7340</v>
      </c>
      <c r="S93" s="71" t="s">
        <v>19</v>
      </c>
      <c r="T93" s="1497" t="s">
        <v>1811</v>
      </c>
      <c r="U93" s="1497" t="s">
        <v>3591</v>
      </c>
      <c r="V93" s="24" t="s">
        <v>9551</v>
      </c>
      <c r="W93" s="90" t="s">
        <v>9552</v>
      </c>
      <c r="X93" s="24" t="s">
        <v>110</v>
      </c>
      <c r="Y93" s="24">
        <v>1</v>
      </c>
      <c r="Z93" s="24" t="s">
        <v>9552</v>
      </c>
      <c r="AA93" s="24" t="s">
        <v>9553</v>
      </c>
      <c r="AB93" s="30"/>
      <c r="AC93" s="30">
        <v>3.85</v>
      </c>
      <c r="AD93" s="30">
        <v>3.85</v>
      </c>
      <c r="AE93" s="59"/>
      <c r="AF93" s="59"/>
      <c r="AG93" s="1498" t="s">
        <v>1104</v>
      </c>
      <c r="AH93" s="202" t="s">
        <v>1880</v>
      </c>
      <c r="AI93" s="133" t="s">
        <v>1880</v>
      </c>
      <c r="AJ93" s="1497"/>
    </row>
    <row r="94" spans="1:36" s="11" customFormat="1" ht="26.25" customHeight="1" x14ac:dyDescent="0.15">
      <c r="A94" s="8">
        <f t="shared" si="0"/>
        <v>92</v>
      </c>
      <c r="B94" s="36" t="s">
        <v>9549</v>
      </c>
      <c r="C94" s="1498" t="s">
        <v>111</v>
      </c>
      <c r="D94" s="1498" t="s">
        <v>111</v>
      </c>
      <c r="E94" s="1498" t="s">
        <v>111</v>
      </c>
      <c r="F94" s="29" t="s">
        <v>2492</v>
      </c>
      <c r="G94" s="53" t="s">
        <v>9550</v>
      </c>
      <c r="H94" s="26" t="s">
        <v>8765</v>
      </c>
      <c r="I94" s="26" t="s">
        <v>8766</v>
      </c>
      <c r="J94" s="26" t="s">
        <v>9554</v>
      </c>
      <c r="K94" s="1496" t="s">
        <v>1147</v>
      </c>
      <c r="L94" s="1496" t="s">
        <v>1789</v>
      </c>
      <c r="M94" s="1496" t="s">
        <v>2498</v>
      </c>
      <c r="N94" s="22" t="s">
        <v>4780</v>
      </c>
      <c r="O94" s="22" t="s">
        <v>1826</v>
      </c>
      <c r="P94" s="1498" t="s">
        <v>111</v>
      </c>
      <c r="Q94" s="1497" t="s">
        <v>1818</v>
      </c>
      <c r="R94" s="47" t="s">
        <v>7340</v>
      </c>
      <c r="S94" s="71" t="s">
        <v>19</v>
      </c>
      <c r="T94" s="1497" t="s">
        <v>1811</v>
      </c>
      <c r="U94" s="1497" t="s">
        <v>3591</v>
      </c>
      <c r="V94" s="24" t="s">
        <v>9551</v>
      </c>
      <c r="W94" s="90" t="s">
        <v>9552</v>
      </c>
      <c r="X94" s="24" t="s">
        <v>110</v>
      </c>
      <c r="Y94" s="24">
        <v>1</v>
      </c>
      <c r="Z94" s="24" t="s">
        <v>9552</v>
      </c>
      <c r="AA94" s="24" t="s">
        <v>9553</v>
      </c>
      <c r="AB94" s="30"/>
      <c r="AC94" s="30">
        <v>3.85</v>
      </c>
      <c r="AD94" s="30">
        <v>3.85</v>
      </c>
      <c r="AE94" s="59"/>
      <c r="AF94" s="59"/>
      <c r="AG94" s="1498" t="s">
        <v>1104</v>
      </c>
      <c r="AH94" s="202" t="s">
        <v>1880</v>
      </c>
      <c r="AI94" s="133" t="s">
        <v>1880</v>
      </c>
      <c r="AJ94" s="1497"/>
    </row>
    <row r="95" spans="1:36" s="11" customFormat="1" ht="26.25" customHeight="1" x14ac:dyDescent="0.15">
      <c r="A95" s="8">
        <f t="shared" si="0"/>
        <v>93</v>
      </c>
      <c r="B95" s="36" t="s">
        <v>9557</v>
      </c>
      <c r="C95" s="71" t="s">
        <v>9561</v>
      </c>
      <c r="D95" s="1502" t="s">
        <v>111</v>
      </c>
      <c r="E95" s="1502" t="s">
        <v>111</v>
      </c>
      <c r="F95" s="29" t="s">
        <v>9292</v>
      </c>
      <c r="G95" s="53" t="s">
        <v>9466</v>
      </c>
      <c r="H95" s="26" t="s">
        <v>448</v>
      </c>
      <c r="I95" s="26" t="s">
        <v>448</v>
      </c>
      <c r="J95" s="26" t="s">
        <v>448</v>
      </c>
      <c r="K95" s="1501" t="s">
        <v>4712</v>
      </c>
      <c r="L95" s="1501" t="s">
        <v>4196</v>
      </c>
      <c r="M95" s="1501" t="s">
        <v>9558</v>
      </c>
      <c r="N95" s="22" t="s">
        <v>4780</v>
      </c>
      <c r="O95" s="22" t="s">
        <v>1826</v>
      </c>
      <c r="P95" s="1502" t="s">
        <v>111</v>
      </c>
      <c r="Q95" s="1501" t="s">
        <v>1131</v>
      </c>
      <c r="R95" s="54" t="s">
        <v>2224</v>
      </c>
      <c r="S95" s="71" t="s">
        <v>19</v>
      </c>
      <c r="T95" s="1493" t="s">
        <v>5571</v>
      </c>
      <c r="U95" s="1493" t="s">
        <v>5571</v>
      </c>
      <c r="V95" s="24" t="s">
        <v>9559</v>
      </c>
      <c r="W95" s="90" t="s">
        <v>9560</v>
      </c>
      <c r="X95" s="24" t="s">
        <v>108</v>
      </c>
      <c r="Y95" s="10">
        <v>1</v>
      </c>
      <c r="Z95" s="24" t="s">
        <v>5710</v>
      </c>
      <c r="AA95" s="24" t="s">
        <v>448</v>
      </c>
      <c r="AB95" s="30">
        <v>15</v>
      </c>
      <c r="AC95" s="30"/>
      <c r="AD95" s="30">
        <v>15</v>
      </c>
      <c r="AE95" s="59"/>
      <c r="AF95" s="59"/>
      <c r="AG95" s="1502" t="s">
        <v>1104</v>
      </c>
      <c r="AH95" s="202" t="s">
        <v>1880</v>
      </c>
      <c r="AI95" s="133" t="s">
        <v>1880</v>
      </c>
      <c r="AJ95" s="1493"/>
    </row>
    <row r="96" spans="1:36" s="11" customFormat="1" ht="26.25" customHeight="1" x14ac:dyDescent="0.15">
      <c r="A96" s="8">
        <f t="shared" si="0"/>
        <v>94</v>
      </c>
      <c r="B96" s="36" t="s">
        <v>9562</v>
      </c>
      <c r="C96" s="1505" t="s">
        <v>111</v>
      </c>
      <c r="D96" s="1505" t="s">
        <v>111</v>
      </c>
      <c r="E96" s="1505" t="s">
        <v>111</v>
      </c>
      <c r="F96" s="29" t="s">
        <v>9292</v>
      </c>
      <c r="G96" s="53" t="s">
        <v>9565</v>
      </c>
      <c r="H96" s="26" t="s">
        <v>8679</v>
      </c>
      <c r="I96" s="26" t="s">
        <v>8680</v>
      </c>
      <c r="J96" s="26" t="s">
        <v>8681</v>
      </c>
      <c r="K96" s="1503" t="s">
        <v>4195</v>
      </c>
      <c r="L96" s="1503" t="s">
        <v>4196</v>
      </c>
      <c r="M96" s="1503" t="s">
        <v>9401</v>
      </c>
      <c r="N96" s="1598" t="s">
        <v>9944</v>
      </c>
      <c r="O96" s="1505" t="s">
        <v>5431</v>
      </c>
      <c r="P96" s="1505" t="s">
        <v>111</v>
      </c>
      <c r="Q96" s="1504" t="s">
        <v>1131</v>
      </c>
      <c r="R96" s="54" t="s">
        <v>461</v>
      </c>
      <c r="S96" s="1505" t="s">
        <v>111</v>
      </c>
      <c r="T96" s="1504" t="s">
        <v>6820</v>
      </c>
      <c r="U96" s="1504" t="s">
        <v>5487</v>
      </c>
      <c r="V96" s="24" t="s">
        <v>9563</v>
      </c>
      <c r="W96" s="90" t="s">
        <v>9564</v>
      </c>
      <c r="X96" s="24" t="s">
        <v>108</v>
      </c>
      <c r="Y96" s="10">
        <v>1</v>
      </c>
      <c r="Z96" s="24" t="s">
        <v>448</v>
      </c>
      <c r="AA96" s="24" t="s">
        <v>448</v>
      </c>
      <c r="AB96" s="30">
        <v>25.75</v>
      </c>
      <c r="AC96" s="30"/>
      <c r="AD96" s="30">
        <v>25.75</v>
      </c>
      <c r="AE96" s="59"/>
      <c r="AF96" s="59"/>
      <c r="AG96" s="1505" t="s">
        <v>1104</v>
      </c>
      <c r="AH96" s="202" t="s">
        <v>1880</v>
      </c>
      <c r="AI96" s="133" t="s">
        <v>1880</v>
      </c>
      <c r="AJ96" s="1504"/>
    </row>
    <row r="97" spans="1:36" s="11" customFormat="1" ht="26.25" customHeight="1" x14ac:dyDescent="0.15">
      <c r="A97" s="8">
        <f t="shared" si="0"/>
        <v>95</v>
      </c>
      <c r="B97" s="36" t="s">
        <v>10893</v>
      </c>
      <c r="C97" s="1505" t="s">
        <v>111</v>
      </c>
      <c r="D97" s="1505" t="s">
        <v>111</v>
      </c>
      <c r="E97" s="1505" t="s">
        <v>10894</v>
      </c>
      <c r="F97" s="29" t="s">
        <v>9292</v>
      </c>
      <c r="G97" s="53" t="s">
        <v>9566</v>
      </c>
      <c r="H97" s="1505" t="s">
        <v>111</v>
      </c>
      <c r="I97" s="1505" t="s">
        <v>111</v>
      </c>
      <c r="J97" s="1505" t="s">
        <v>111</v>
      </c>
      <c r="K97" s="1503" t="s">
        <v>4691</v>
      </c>
      <c r="L97" s="1503" t="s">
        <v>4196</v>
      </c>
      <c r="M97" s="1503" t="s">
        <v>9486</v>
      </c>
      <c r="N97" s="22" t="s">
        <v>9487</v>
      </c>
      <c r="O97" s="1505" t="s">
        <v>1826</v>
      </c>
      <c r="P97" s="1505" t="s">
        <v>111</v>
      </c>
      <c r="Q97" s="1504" t="s">
        <v>1131</v>
      </c>
      <c r="R97" s="54" t="s">
        <v>461</v>
      </c>
      <c r="S97" s="1505" t="s">
        <v>111</v>
      </c>
      <c r="T97" s="1504" t="s">
        <v>1894</v>
      </c>
      <c r="U97" s="1504" t="s">
        <v>1894</v>
      </c>
      <c r="V97" s="24" t="s">
        <v>9563</v>
      </c>
      <c r="W97" s="90" t="s">
        <v>9564</v>
      </c>
      <c r="X97" s="24" t="s">
        <v>108</v>
      </c>
      <c r="Y97" s="10">
        <v>1</v>
      </c>
      <c r="Z97" s="24" t="s">
        <v>448</v>
      </c>
      <c r="AA97" s="24" t="s">
        <v>448</v>
      </c>
      <c r="AB97" s="30">
        <v>51.66</v>
      </c>
      <c r="AC97" s="30"/>
      <c r="AD97" s="30">
        <v>51.66</v>
      </c>
      <c r="AE97" s="59"/>
      <c r="AF97" s="59"/>
      <c r="AG97" s="1505" t="s">
        <v>1104</v>
      </c>
      <c r="AH97" s="202" t="s">
        <v>1880</v>
      </c>
      <c r="AI97" s="133" t="s">
        <v>1880</v>
      </c>
      <c r="AJ97" s="1504"/>
    </row>
    <row r="98" spans="1:36" s="11" customFormat="1" ht="26.25" customHeight="1" x14ac:dyDescent="0.15">
      <c r="A98" s="8">
        <f t="shared" si="0"/>
        <v>96</v>
      </c>
      <c r="B98" s="36" t="s">
        <v>9578</v>
      </c>
      <c r="C98" s="1507" t="s">
        <v>111</v>
      </c>
      <c r="D98" s="1507" t="s">
        <v>111</v>
      </c>
      <c r="E98" s="1507" t="s">
        <v>111</v>
      </c>
      <c r="F98" s="29" t="s">
        <v>9583</v>
      </c>
      <c r="G98" s="53" t="s">
        <v>9584</v>
      </c>
      <c r="H98" s="26" t="s">
        <v>8765</v>
      </c>
      <c r="I98" s="26" t="s">
        <v>9585</v>
      </c>
      <c r="J98" s="26" t="s">
        <v>9586</v>
      </c>
      <c r="K98" s="1508" t="s">
        <v>4195</v>
      </c>
      <c r="L98" s="1508" t="s">
        <v>5419</v>
      </c>
      <c r="M98" s="1508" t="s">
        <v>7675</v>
      </c>
      <c r="N98" s="22" t="s">
        <v>4780</v>
      </c>
      <c r="O98" s="1510" t="s">
        <v>5478</v>
      </c>
      <c r="P98" s="1510" t="s">
        <v>111</v>
      </c>
      <c r="Q98" s="1509" t="s">
        <v>4676</v>
      </c>
      <c r="R98" s="54" t="s">
        <v>9299</v>
      </c>
      <c r="S98" s="1510" t="s">
        <v>111</v>
      </c>
      <c r="T98" s="1509" t="s">
        <v>414</v>
      </c>
      <c r="U98" s="1509" t="s">
        <v>414</v>
      </c>
      <c r="V98" s="24" t="s">
        <v>9576</v>
      </c>
      <c r="W98" s="90" t="s">
        <v>9563</v>
      </c>
      <c r="X98" s="24" t="s">
        <v>110</v>
      </c>
      <c r="Y98" s="24">
        <v>1</v>
      </c>
      <c r="Z98" s="24" t="s">
        <v>8778</v>
      </c>
      <c r="AA98" s="24" t="s">
        <v>8405</v>
      </c>
      <c r="AB98" s="30"/>
      <c r="AC98" s="30">
        <v>4.6749999999999998</v>
      </c>
      <c r="AD98" s="30">
        <v>4.6749999999999998</v>
      </c>
      <c r="AE98" s="59"/>
      <c r="AF98" s="59"/>
      <c r="AG98" s="1507" t="s">
        <v>1104</v>
      </c>
      <c r="AH98" s="202" t="s">
        <v>1880</v>
      </c>
      <c r="AI98" s="133" t="s">
        <v>1880</v>
      </c>
      <c r="AJ98" s="1504"/>
    </row>
    <row r="99" spans="1:36" s="11" customFormat="1" ht="26.25" customHeight="1" x14ac:dyDescent="0.15">
      <c r="A99" s="8">
        <f t="shared" si="0"/>
        <v>97</v>
      </c>
      <c r="B99" s="36" t="s">
        <v>9579</v>
      </c>
      <c r="C99" s="1510" t="s">
        <v>111</v>
      </c>
      <c r="D99" s="1510" t="s">
        <v>111</v>
      </c>
      <c r="E99" s="1510" t="s">
        <v>111</v>
      </c>
      <c r="F99" s="29" t="s">
        <v>9583</v>
      </c>
      <c r="G99" s="53" t="s">
        <v>9584</v>
      </c>
      <c r="H99" s="26" t="s">
        <v>8765</v>
      </c>
      <c r="I99" s="26" t="s">
        <v>9585</v>
      </c>
      <c r="J99" s="26" t="s">
        <v>9586</v>
      </c>
      <c r="K99" s="1508" t="s">
        <v>1147</v>
      </c>
      <c r="L99" s="1508" t="s">
        <v>1789</v>
      </c>
      <c r="M99" s="37" t="s">
        <v>2484</v>
      </c>
      <c r="N99" s="22" t="s">
        <v>9952</v>
      </c>
      <c r="O99" s="22" t="s">
        <v>1826</v>
      </c>
      <c r="P99" s="1510" t="s">
        <v>111</v>
      </c>
      <c r="Q99" s="1509" t="s">
        <v>1131</v>
      </c>
      <c r="R99" s="54" t="s">
        <v>9595</v>
      </c>
      <c r="S99" s="71" t="s">
        <v>19</v>
      </c>
      <c r="T99" s="1509" t="s">
        <v>1811</v>
      </c>
      <c r="U99" s="1509" t="s">
        <v>414</v>
      </c>
      <c r="V99" s="24" t="s">
        <v>9576</v>
      </c>
      <c r="W99" s="90" t="s">
        <v>9563</v>
      </c>
      <c r="X99" s="24" t="s">
        <v>110</v>
      </c>
      <c r="Y99" s="24">
        <v>1</v>
      </c>
      <c r="Z99" s="24" t="s">
        <v>8778</v>
      </c>
      <c r="AA99" s="24" t="s">
        <v>8405</v>
      </c>
      <c r="AB99" s="30"/>
      <c r="AC99" s="30">
        <v>4.6749999999999998</v>
      </c>
      <c r="AD99" s="30">
        <v>4.6749999999999998</v>
      </c>
      <c r="AE99" s="59"/>
      <c r="AF99" s="59"/>
      <c r="AG99" s="1510" t="s">
        <v>1104</v>
      </c>
      <c r="AH99" s="202" t="s">
        <v>1880</v>
      </c>
      <c r="AI99" s="133" t="s">
        <v>1880</v>
      </c>
      <c r="AJ99" s="1509"/>
    </row>
    <row r="100" spans="1:36" s="11" customFormat="1" ht="26.25" customHeight="1" x14ac:dyDescent="0.15">
      <c r="A100" s="8">
        <f t="shared" si="0"/>
        <v>98</v>
      </c>
      <c r="B100" s="36" t="s">
        <v>9580</v>
      </c>
      <c r="C100" s="1510" t="s">
        <v>111</v>
      </c>
      <c r="D100" s="1510" t="s">
        <v>111</v>
      </c>
      <c r="E100" s="1510" t="s">
        <v>111</v>
      </c>
      <c r="F100" s="29" t="s">
        <v>9583</v>
      </c>
      <c r="G100" s="53" t="s">
        <v>9584</v>
      </c>
      <c r="H100" s="26" t="s">
        <v>8765</v>
      </c>
      <c r="I100" s="26" t="s">
        <v>9585</v>
      </c>
      <c r="J100" s="26" t="s">
        <v>9586</v>
      </c>
      <c r="K100" s="1508" t="s">
        <v>1147</v>
      </c>
      <c r="L100" s="1508" t="s">
        <v>1789</v>
      </c>
      <c r="M100" s="1509" t="s">
        <v>3486</v>
      </c>
      <c r="N100" s="22" t="s">
        <v>9953</v>
      </c>
      <c r="O100" s="22" t="s">
        <v>2142</v>
      </c>
      <c r="P100" s="22" t="s">
        <v>1880</v>
      </c>
      <c r="Q100" s="1509" t="s">
        <v>4676</v>
      </c>
      <c r="R100" s="54" t="s">
        <v>9299</v>
      </c>
      <c r="S100" s="22" t="s">
        <v>1880</v>
      </c>
      <c r="T100" s="1509" t="s">
        <v>1811</v>
      </c>
      <c r="U100" s="1509" t="s">
        <v>1811</v>
      </c>
      <c r="V100" s="24" t="s">
        <v>9576</v>
      </c>
      <c r="W100" s="90" t="s">
        <v>9563</v>
      </c>
      <c r="X100" s="24" t="s">
        <v>110</v>
      </c>
      <c r="Y100" s="24">
        <v>1</v>
      </c>
      <c r="Z100" s="24" t="s">
        <v>8778</v>
      </c>
      <c r="AA100" s="24" t="s">
        <v>8405</v>
      </c>
      <c r="AB100" s="30"/>
      <c r="AC100" s="30">
        <v>4.6749999999999998</v>
      </c>
      <c r="AD100" s="30">
        <v>4.6749999999999998</v>
      </c>
      <c r="AE100" s="59"/>
      <c r="AF100" s="59"/>
      <c r="AG100" s="1510" t="s">
        <v>1104</v>
      </c>
      <c r="AH100" s="202" t="s">
        <v>1880</v>
      </c>
      <c r="AI100" s="133" t="s">
        <v>1880</v>
      </c>
      <c r="AJ100" s="1509"/>
    </row>
    <row r="101" spans="1:36" s="11" customFormat="1" ht="26.25" customHeight="1" x14ac:dyDescent="0.15">
      <c r="A101" s="8">
        <f t="shared" si="0"/>
        <v>99</v>
      </c>
      <c r="B101" s="36" t="s">
        <v>9581</v>
      </c>
      <c r="C101" s="71" t="s">
        <v>9594</v>
      </c>
      <c r="D101" s="1510" t="s">
        <v>111</v>
      </c>
      <c r="E101" s="1510" t="s">
        <v>111</v>
      </c>
      <c r="F101" s="29" t="s">
        <v>9583</v>
      </c>
      <c r="G101" s="53" t="s">
        <v>9584</v>
      </c>
      <c r="H101" s="26" t="s">
        <v>8765</v>
      </c>
      <c r="I101" s="26" t="s">
        <v>9585</v>
      </c>
      <c r="J101" s="26" t="s">
        <v>9586</v>
      </c>
      <c r="K101" s="1508" t="s">
        <v>1147</v>
      </c>
      <c r="L101" s="1508" t="s">
        <v>1789</v>
      </c>
      <c r="M101" s="1508" t="s">
        <v>9587</v>
      </c>
      <c r="N101" s="22" t="s">
        <v>4780</v>
      </c>
      <c r="O101" s="22" t="s">
        <v>1826</v>
      </c>
      <c r="P101" s="22" t="s">
        <v>1880</v>
      </c>
      <c r="Q101" s="1509" t="s">
        <v>1131</v>
      </c>
      <c r="R101" s="54" t="s">
        <v>9595</v>
      </c>
      <c r="S101" s="71" t="s">
        <v>19</v>
      </c>
      <c r="T101" s="1509" t="s">
        <v>1811</v>
      </c>
      <c r="U101" s="1509" t="s">
        <v>414</v>
      </c>
      <c r="V101" s="24" t="s">
        <v>9576</v>
      </c>
      <c r="W101" s="90" t="s">
        <v>9563</v>
      </c>
      <c r="X101" s="24" t="s">
        <v>110</v>
      </c>
      <c r="Y101" s="24">
        <v>1</v>
      </c>
      <c r="Z101" s="24" t="s">
        <v>9589</v>
      </c>
      <c r="AA101" s="24" t="s">
        <v>9590</v>
      </c>
      <c r="AB101" s="30"/>
      <c r="AC101" s="30">
        <v>4.6749999999999998</v>
      </c>
      <c r="AD101" s="30">
        <v>4.6749999999999998</v>
      </c>
      <c r="AE101" s="59"/>
      <c r="AF101" s="59"/>
      <c r="AG101" s="1510" t="s">
        <v>1104</v>
      </c>
      <c r="AH101" s="202" t="s">
        <v>1880</v>
      </c>
      <c r="AI101" s="133" t="s">
        <v>1880</v>
      </c>
      <c r="AJ101" s="1509"/>
    </row>
    <row r="102" spans="1:36" s="11" customFormat="1" ht="26.25" customHeight="1" x14ac:dyDescent="0.15">
      <c r="A102" s="8">
        <f t="shared" si="0"/>
        <v>100</v>
      </c>
      <c r="B102" s="36" t="s">
        <v>9582</v>
      </c>
      <c r="C102" s="71" t="s">
        <v>9593</v>
      </c>
      <c r="D102" s="1510" t="s">
        <v>11580</v>
      </c>
      <c r="E102" s="1510" t="s">
        <v>111</v>
      </c>
      <c r="F102" s="29" t="s">
        <v>9583</v>
      </c>
      <c r="G102" s="53" t="s">
        <v>9584</v>
      </c>
      <c r="H102" s="26" t="s">
        <v>8765</v>
      </c>
      <c r="I102" s="26" t="s">
        <v>9585</v>
      </c>
      <c r="J102" s="26" t="s">
        <v>9586</v>
      </c>
      <c r="K102" s="1508" t="s">
        <v>1147</v>
      </c>
      <c r="L102" s="1508" t="s">
        <v>1789</v>
      </c>
      <c r="M102" s="1508" t="s">
        <v>9588</v>
      </c>
      <c r="N102" s="22" t="s">
        <v>4780</v>
      </c>
      <c r="O102" s="22" t="s">
        <v>1826</v>
      </c>
      <c r="P102" s="22" t="s">
        <v>1880</v>
      </c>
      <c r="Q102" s="1509" t="s">
        <v>1131</v>
      </c>
      <c r="R102" s="54" t="s">
        <v>9595</v>
      </c>
      <c r="S102" s="71" t="s">
        <v>19</v>
      </c>
      <c r="T102" s="1509" t="s">
        <v>1811</v>
      </c>
      <c r="U102" s="1509" t="s">
        <v>414</v>
      </c>
      <c r="V102" s="24" t="s">
        <v>9576</v>
      </c>
      <c r="W102" s="90" t="s">
        <v>9563</v>
      </c>
      <c r="X102" s="24" t="s">
        <v>110</v>
      </c>
      <c r="Y102" s="24">
        <v>1</v>
      </c>
      <c r="Z102" s="24" t="s">
        <v>9591</v>
      </c>
      <c r="AA102" s="24" t="s">
        <v>9592</v>
      </c>
      <c r="AB102" s="30"/>
      <c r="AC102" s="30">
        <v>4.6749999999999998</v>
      </c>
      <c r="AD102" s="30">
        <v>4.6749999999999998</v>
      </c>
      <c r="AE102" s="59"/>
      <c r="AF102" s="59"/>
      <c r="AG102" s="1510" t="s">
        <v>1104</v>
      </c>
      <c r="AH102" s="202" t="s">
        <v>1880</v>
      </c>
      <c r="AI102" s="133" t="s">
        <v>1880</v>
      </c>
      <c r="AJ102" s="1509"/>
    </row>
    <row r="103" spans="1:36" s="11" customFormat="1" ht="44.25" customHeight="1" x14ac:dyDescent="0.15">
      <c r="A103" s="8">
        <f t="shared" si="0"/>
        <v>101</v>
      </c>
      <c r="B103" s="36" t="s">
        <v>11165</v>
      </c>
      <c r="C103" s="1507" t="s">
        <v>111</v>
      </c>
      <c r="D103" s="1507" t="s">
        <v>111</v>
      </c>
      <c r="E103" s="611" t="s">
        <v>11391</v>
      </c>
      <c r="F103" s="29" t="s">
        <v>9569</v>
      </c>
      <c r="G103" s="53" t="s">
        <v>9570</v>
      </c>
      <c r="H103" s="53" t="s">
        <v>9571</v>
      </c>
      <c r="I103" s="53" t="s">
        <v>9572</v>
      </c>
      <c r="J103" s="53" t="s">
        <v>9573</v>
      </c>
      <c r="K103" s="1503" t="s">
        <v>4195</v>
      </c>
      <c r="L103" s="1503" t="s">
        <v>9574</v>
      </c>
      <c r="M103" s="1503" t="s">
        <v>9575</v>
      </c>
      <c r="N103" s="22" t="s">
        <v>4780</v>
      </c>
      <c r="O103" s="1507" t="s">
        <v>1826</v>
      </c>
      <c r="P103" s="1507" t="s">
        <v>111</v>
      </c>
      <c r="Q103" s="1506" t="s">
        <v>1131</v>
      </c>
      <c r="R103" s="54" t="s">
        <v>2192</v>
      </c>
      <c r="S103" s="1507" t="s">
        <v>111</v>
      </c>
      <c r="T103" s="1504" t="s">
        <v>5489</v>
      </c>
      <c r="U103" s="1506" t="s">
        <v>5489</v>
      </c>
      <c r="V103" s="24" t="s">
        <v>9576</v>
      </c>
      <c r="W103" s="90" t="s">
        <v>9577</v>
      </c>
      <c r="X103" s="24" t="s">
        <v>110</v>
      </c>
      <c r="Y103" s="24">
        <v>1</v>
      </c>
      <c r="Z103" s="24" t="s">
        <v>5710</v>
      </c>
      <c r="AA103" s="24" t="s">
        <v>448</v>
      </c>
      <c r="AB103" s="30">
        <v>43</v>
      </c>
      <c r="AC103" s="30"/>
      <c r="AD103" s="30">
        <v>43</v>
      </c>
      <c r="AE103" s="59"/>
      <c r="AF103" s="59"/>
      <c r="AG103" s="1507" t="s">
        <v>1104</v>
      </c>
      <c r="AH103" s="202" t="s">
        <v>1880</v>
      </c>
      <c r="AI103" s="133" t="s">
        <v>1880</v>
      </c>
      <c r="AJ103" s="1504" t="s">
        <v>11065</v>
      </c>
    </row>
    <row r="104" spans="1:36" s="11" customFormat="1" ht="26.25" customHeight="1" x14ac:dyDescent="0.15">
      <c r="A104" s="8">
        <f t="shared" si="0"/>
        <v>102</v>
      </c>
      <c r="B104" s="36" t="s">
        <v>9596</v>
      </c>
      <c r="C104" s="1513" t="s">
        <v>111</v>
      </c>
      <c r="D104" s="1513" t="s">
        <v>111</v>
      </c>
      <c r="E104" s="1513" t="s">
        <v>111</v>
      </c>
      <c r="F104" s="13" t="s">
        <v>9186</v>
      </c>
      <c r="G104" s="53" t="s">
        <v>9311</v>
      </c>
      <c r="H104" s="53" t="s">
        <v>9597</v>
      </c>
      <c r="I104" s="53" t="s">
        <v>9598</v>
      </c>
      <c r="J104" s="53" t="s">
        <v>9599</v>
      </c>
      <c r="K104" s="1511" t="s">
        <v>1147</v>
      </c>
      <c r="L104" s="1511" t="s">
        <v>3101</v>
      </c>
      <c r="M104" s="1512" t="s">
        <v>9600</v>
      </c>
      <c r="N104" s="22" t="s">
        <v>9601</v>
      </c>
      <c r="O104" s="1513" t="s">
        <v>1826</v>
      </c>
      <c r="P104" s="1513" t="s">
        <v>111</v>
      </c>
      <c r="Q104" s="1512" t="s">
        <v>1131</v>
      </c>
      <c r="R104" s="54" t="s">
        <v>5708</v>
      </c>
      <c r="S104" s="1513" t="s">
        <v>111</v>
      </c>
      <c r="T104" s="1512" t="s">
        <v>1894</v>
      </c>
      <c r="U104" s="1512" t="s">
        <v>1894</v>
      </c>
      <c r="V104" s="24" t="s">
        <v>8988</v>
      </c>
      <c r="W104" s="90" t="s">
        <v>9532</v>
      </c>
      <c r="X104" s="24" t="s">
        <v>110</v>
      </c>
      <c r="Y104" s="24">
        <v>1</v>
      </c>
      <c r="Z104" s="24" t="s">
        <v>5711</v>
      </c>
      <c r="AA104" s="24" t="s">
        <v>448</v>
      </c>
      <c r="AB104" s="30">
        <v>39</v>
      </c>
      <c r="AC104" s="30"/>
      <c r="AD104" s="30">
        <v>39</v>
      </c>
      <c r="AE104" s="59"/>
      <c r="AF104" s="59"/>
      <c r="AG104" s="1513" t="s">
        <v>1104</v>
      </c>
      <c r="AH104" s="202" t="s">
        <v>1880</v>
      </c>
      <c r="AI104" s="133" t="s">
        <v>1880</v>
      </c>
      <c r="AJ104" s="1512"/>
    </row>
    <row r="105" spans="1:36" s="11" customFormat="1" ht="26.25" customHeight="1" x14ac:dyDescent="0.15">
      <c r="A105" s="8">
        <f t="shared" si="0"/>
        <v>103</v>
      </c>
      <c r="B105" s="36" t="s">
        <v>9602</v>
      </c>
      <c r="C105" s="1515" t="s">
        <v>111</v>
      </c>
      <c r="D105" s="1515" t="s">
        <v>111</v>
      </c>
      <c r="E105" s="1515" t="s">
        <v>111</v>
      </c>
      <c r="F105" s="29" t="s">
        <v>8974</v>
      </c>
      <c r="G105" s="53" t="s">
        <v>9605</v>
      </c>
      <c r="H105" s="26" t="s">
        <v>8757</v>
      </c>
      <c r="I105" s="26" t="s">
        <v>9606</v>
      </c>
      <c r="J105" s="26" t="s">
        <v>9607</v>
      </c>
      <c r="K105" s="1514" t="s">
        <v>3649</v>
      </c>
      <c r="L105" s="1514" t="s">
        <v>4750</v>
      </c>
      <c r="M105" s="1514" t="s">
        <v>9608</v>
      </c>
      <c r="N105" s="22" t="s">
        <v>9611</v>
      </c>
      <c r="O105" s="1515" t="s">
        <v>5478</v>
      </c>
      <c r="P105" s="1515" t="s">
        <v>111</v>
      </c>
      <c r="Q105" s="1514" t="s">
        <v>4676</v>
      </c>
      <c r="R105" s="54" t="s">
        <v>8584</v>
      </c>
      <c r="S105" s="1515" t="s">
        <v>111</v>
      </c>
      <c r="T105" s="1514" t="s">
        <v>5487</v>
      </c>
      <c r="U105" s="1514" t="s">
        <v>5487</v>
      </c>
      <c r="V105" s="24" t="s">
        <v>8988</v>
      </c>
      <c r="W105" s="90" t="s">
        <v>9577</v>
      </c>
      <c r="X105" s="24" t="s">
        <v>110</v>
      </c>
      <c r="Y105" s="24">
        <v>1</v>
      </c>
      <c r="Z105" s="24" t="s">
        <v>448</v>
      </c>
      <c r="AA105" s="24" t="s">
        <v>448</v>
      </c>
      <c r="AB105" s="30">
        <v>6.5</v>
      </c>
      <c r="AC105" s="30"/>
      <c r="AD105" s="30">
        <v>6.5</v>
      </c>
      <c r="AE105" s="59"/>
      <c r="AF105" s="59"/>
      <c r="AG105" s="1515" t="s">
        <v>1104</v>
      </c>
      <c r="AH105" s="202" t="s">
        <v>1880</v>
      </c>
      <c r="AI105" s="133" t="s">
        <v>1880</v>
      </c>
      <c r="AJ105" s="1514"/>
    </row>
    <row r="106" spans="1:36" s="11" customFormat="1" ht="26.25" customHeight="1" x14ac:dyDescent="0.15">
      <c r="A106" s="8">
        <f t="shared" si="0"/>
        <v>104</v>
      </c>
      <c r="B106" s="36" t="s">
        <v>9603</v>
      </c>
      <c r="C106" s="1515" t="s">
        <v>111</v>
      </c>
      <c r="D106" s="1515" t="s">
        <v>111</v>
      </c>
      <c r="E106" s="1515" t="s">
        <v>111</v>
      </c>
      <c r="F106" s="29" t="s">
        <v>8974</v>
      </c>
      <c r="G106" s="53" t="s">
        <v>9609</v>
      </c>
      <c r="H106" s="26" t="s">
        <v>8757</v>
      </c>
      <c r="I106" s="26" t="s">
        <v>9606</v>
      </c>
      <c r="J106" s="26" t="s">
        <v>9607</v>
      </c>
      <c r="K106" s="1514" t="s">
        <v>3649</v>
      </c>
      <c r="L106" s="1514" t="s">
        <v>4750</v>
      </c>
      <c r="M106" s="1514" t="s">
        <v>8289</v>
      </c>
      <c r="N106" s="22" t="s">
        <v>9613</v>
      </c>
      <c r="O106" s="22" t="s">
        <v>1826</v>
      </c>
      <c r="P106" s="1515" t="s">
        <v>111</v>
      </c>
      <c r="Q106" s="1514" t="s">
        <v>1131</v>
      </c>
      <c r="R106" s="54" t="s">
        <v>9614</v>
      </c>
      <c r="S106" s="1515" t="s">
        <v>111</v>
      </c>
      <c r="T106" s="1514" t="s">
        <v>5487</v>
      </c>
      <c r="U106" s="1514" t="s">
        <v>5487</v>
      </c>
      <c r="V106" s="24" t="s">
        <v>8988</v>
      </c>
      <c r="W106" s="90" t="s">
        <v>9577</v>
      </c>
      <c r="X106" s="24" t="s">
        <v>110</v>
      </c>
      <c r="Y106" s="24">
        <v>1</v>
      </c>
      <c r="Z106" s="24" t="s">
        <v>448</v>
      </c>
      <c r="AA106" s="24" t="s">
        <v>448</v>
      </c>
      <c r="AB106" s="30">
        <v>9.5</v>
      </c>
      <c r="AC106" s="30"/>
      <c r="AD106" s="30">
        <v>9.5</v>
      </c>
      <c r="AE106" s="59"/>
      <c r="AF106" s="59"/>
      <c r="AG106" s="1515" t="s">
        <v>1104</v>
      </c>
      <c r="AH106" s="202" t="s">
        <v>1880</v>
      </c>
      <c r="AI106" s="133" t="s">
        <v>1880</v>
      </c>
      <c r="AJ106" s="1514"/>
    </row>
    <row r="107" spans="1:36" s="11" customFormat="1" ht="26.25" customHeight="1" x14ac:dyDescent="0.15">
      <c r="A107" s="8">
        <f t="shared" si="0"/>
        <v>105</v>
      </c>
      <c r="B107" s="36" t="s">
        <v>9604</v>
      </c>
      <c r="C107" s="1515" t="s">
        <v>111</v>
      </c>
      <c r="D107" s="1515" t="s">
        <v>111</v>
      </c>
      <c r="E107" s="1515" t="s">
        <v>111</v>
      </c>
      <c r="F107" s="29" t="s">
        <v>8974</v>
      </c>
      <c r="G107" s="53" t="s">
        <v>9609</v>
      </c>
      <c r="H107" s="26" t="s">
        <v>8757</v>
      </c>
      <c r="I107" s="26" t="s">
        <v>9606</v>
      </c>
      <c r="J107" s="26" t="s">
        <v>9607</v>
      </c>
      <c r="K107" s="1514" t="s">
        <v>3649</v>
      </c>
      <c r="L107" s="1514" t="s">
        <v>4750</v>
      </c>
      <c r="M107" s="1514" t="s">
        <v>9610</v>
      </c>
      <c r="N107" s="22" t="s">
        <v>9612</v>
      </c>
      <c r="O107" s="1515" t="s">
        <v>1826</v>
      </c>
      <c r="P107" s="1515" t="s">
        <v>111</v>
      </c>
      <c r="Q107" s="1514" t="s">
        <v>1131</v>
      </c>
      <c r="R107" s="54" t="s">
        <v>9614</v>
      </c>
      <c r="S107" s="1515" t="s">
        <v>111</v>
      </c>
      <c r="T107" s="1514" t="s">
        <v>5487</v>
      </c>
      <c r="U107" s="1514" t="s">
        <v>5487</v>
      </c>
      <c r="V107" s="24" t="s">
        <v>8988</v>
      </c>
      <c r="W107" s="90" t="s">
        <v>9577</v>
      </c>
      <c r="X107" s="24" t="s">
        <v>110</v>
      </c>
      <c r="Y107" s="24">
        <v>1</v>
      </c>
      <c r="Z107" s="24" t="s">
        <v>448</v>
      </c>
      <c r="AA107" s="24" t="s">
        <v>448</v>
      </c>
      <c r="AB107" s="30">
        <v>9.5</v>
      </c>
      <c r="AC107" s="30"/>
      <c r="AD107" s="30">
        <v>9.5</v>
      </c>
      <c r="AE107" s="59"/>
      <c r="AF107" s="59"/>
      <c r="AG107" s="1515" t="s">
        <v>1104</v>
      </c>
      <c r="AH107" s="202" t="s">
        <v>1880</v>
      </c>
      <c r="AI107" s="133" t="s">
        <v>1880</v>
      </c>
      <c r="AJ107" s="1514"/>
    </row>
    <row r="108" spans="1:36" s="11" customFormat="1" ht="26.25" customHeight="1" x14ac:dyDescent="0.15">
      <c r="A108" s="8">
        <f t="shared" si="0"/>
        <v>106</v>
      </c>
      <c r="B108" s="36" t="s">
        <v>9615</v>
      </c>
      <c r="C108" s="1517" t="s">
        <v>111</v>
      </c>
      <c r="D108" s="1517" t="s">
        <v>111</v>
      </c>
      <c r="E108" s="1517" t="s">
        <v>111</v>
      </c>
      <c r="F108" s="13" t="s">
        <v>9186</v>
      </c>
      <c r="G108" s="53" t="s">
        <v>9469</v>
      </c>
      <c r="H108" s="1517" t="s">
        <v>111</v>
      </c>
      <c r="I108" s="1517" t="s">
        <v>111</v>
      </c>
      <c r="J108" s="1517" t="s">
        <v>111</v>
      </c>
      <c r="K108" s="1461" t="s">
        <v>94</v>
      </c>
      <c r="L108" s="1461" t="s">
        <v>5419</v>
      </c>
      <c r="M108" s="1462" t="s">
        <v>9312</v>
      </c>
      <c r="N108" s="1462" t="s">
        <v>9946</v>
      </c>
      <c r="O108" s="1517" t="s">
        <v>5431</v>
      </c>
      <c r="P108" s="1517" t="s">
        <v>9470</v>
      </c>
      <c r="Q108" s="1462" t="s">
        <v>2441</v>
      </c>
      <c r="R108" s="1463" t="s">
        <v>4162</v>
      </c>
      <c r="S108" s="1517" t="s">
        <v>111</v>
      </c>
      <c r="T108" s="1516" t="s">
        <v>1894</v>
      </c>
      <c r="U108" s="1516" t="s">
        <v>1894</v>
      </c>
      <c r="V108" s="24" t="s">
        <v>9616</v>
      </c>
      <c r="W108" s="90" t="s">
        <v>9616</v>
      </c>
      <c r="X108" s="24" t="s">
        <v>110</v>
      </c>
      <c r="Y108" s="24">
        <v>1</v>
      </c>
      <c r="Z108" s="24" t="s">
        <v>448</v>
      </c>
      <c r="AA108" s="24" t="s">
        <v>448</v>
      </c>
      <c r="AB108" s="30">
        <v>1.92</v>
      </c>
      <c r="AC108" s="30"/>
      <c r="AD108" s="30">
        <v>1.92</v>
      </c>
      <c r="AE108" s="59"/>
      <c r="AF108" s="59"/>
      <c r="AG108" s="1517" t="s">
        <v>1104</v>
      </c>
      <c r="AH108" s="202" t="s">
        <v>1880</v>
      </c>
      <c r="AI108" s="133" t="s">
        <v>1880</v>
      </c>
      <c r="AJ108" s="1516"/>
    </row>
    <row r="109" spans="1:36" s="11" customFormat="1" ht="26.25" customHeight="1" x14ac:dyDescent="0.15">
      <c r="A109" s="8">
        <f t="shared" si="0"/>
        <v>107</v>
      </c>
      <c r="B109" s="36" t="s">
        <v>9617</v>
      </c>
      <c r="C109" s="1520" t="s">
        <v>111</v>
      </c>
      <c r="D109" s="1520" t="s">
        <v>111</v>
      </c>
      <c r="E109" s="1520" t="s">
        <v>111</v>
      </c>
      <c r="F109" s="29" t="s">
        <v>5746</v>
      </c>
      <c r="G109" s="53" t="s">
        <v>5747</v>
      </c>
      <c r="H109" s="26" t="s">
        <v>448</v>
      </c>
      <c r="I109" s="26" t="s">
        <v>448</v>
      </c>
      <c r="J109" s="26" t="s">
        <v>448</v>
      </c>
      <c r="K109" s="1518" t="s">
        <v>4208</v>
      </c>
      <c r="L109" s="1518" t="s">
        <v>6751</v>
      </c>
      <c r="M109" s="1518" t="s">
        <v>6752</v>
      </c>
      <c r="N109" s="22" t="s">
        <v>6753</v>
      </c>
      <c r="O109" s="22" t="s">
        <v>5478</v>
      </c>
      <c r="P109" s="22" t="s">
        <v>1880</v>
      </c>
      <c r="Q109" s="1519" t="s">
        <v>2422</v>
      </c>
      <c r="R109" s="54" t="s">
        <v>116</v>
      </c>
      <c r="S109" s="22" t="s">
        <v>1880</v>
      </c>
      <c r="T109" s="1519" t="s">
        <v>5487</v>
      </c>
      <c r="U109" s="1519" t="s">
        <v>5487</v>
      </c>
      <c r="V109" s="24" t="s">
        <v>9618</v>
      </c>
      <c r="W109" s="90" t="s">
        <v>9619</v>
      </c>
      <c r="X109" s="24" t="s">
        <v>110</v>
      </c>
      <c r="Y109" s="24">
        <v>2</v>
      </c>
      <c r="Z109" s="24" t="s">
        <v>8778</v>
      </c>
      <c r="AA109" s="24" t="s">
        <v>8405</v>
      </c>
      <c r="AB109" s="30"/>
      <c r="AC109" s="30">
        <v>7.5</v>
      </c>
      <c r="AD109" s="30">
        <v>7.5</v>
      </c>
      <c r="AE109" s="59"/>
      <c r="AF109" s="59"/>
      <c r="AG109" s="35" t="s">
        <v>1104</v>
      </c>
      <c r="AH109" s="202" t="s">
        <v>19</v>
      </c>
      <c r="AI109" s="35" t="s">
        <v>1880</v>
      </c>
      <c r="AJ109" s="1519"/>
    </row>
    <row r="110" spans="1:36" s="11" customFormat="1" ht="26.25" customHeight="1" x14ac:dyDescent="0.15">
      <c r="A110" s="8">
        <f t="shared" si="0"/>
        <v>108</v>
      </c>
      <c r="B110" s="36" t="s">
        <v>9620</v>
      </c>
      <c r="C110" s="1522" t="s">
        <v>111</v>
      </c>
      <c r="D110" s="1522" t="s">
        <v>111</v>
      </c>
      <c r="E110" s="36" t="s">
        <v>9842</v>
      </c>
      <c r="F110" s="29" t="s">
        <v>9621</v>
      </c>
      <c r="G110" s="53" t="s">
        <v>9622</v>
      </c>
      <c r="H110" s="26" t="s">
        <v>448</v>
      </c>
      <c r="I110" s="26" t="s">
        <v>448</v>
      </c>
      <c r="J110" s="26" t="s">
        <v>448</v>
      </c>
      <c r="K110" s="1461" t="s">
        <v>94</v>
      </c>
      <c r="L110" s="1461" t="s">
        <v>5419</v>
      </c>
      <c r="M110" s="1462" t="s">
        <v>9312</v>
      </c>
      <c r="N110" s="1462" t="s">
        <v>9946</v>
      </c>
      <c r="O110" s="1522" t="s">
        <v>5431</v>
      </c>
      <c r="P110" s="1522" t="s">
        <v>111</v>
      </c>
      <c r="Q110" s="1521" t="s">
        <v>1131</v>
      </c>
      <c r="R110" s="54" t="s">
        <v>2224</v>
      </c>
      <c r="S110" s="22" t="s">
        <v>1880</v>
      </c>
      <c r="T110" s="1519" t="s">
        <v>5489</v>
      </c>
      <c r="U110" s="1519" t="s">
        <v>5489</v>
      </c>
      <c r="V110" s="24" t="s">
        <v>9618</v>
      </c>
      <c r="W110" s="90" t="s">
        <v>9616</v>
      </c>
      <c r="X110" s="24" t="s">
        <v>108</v>
      </c>
      <c r="Y110" s="10">
        <v>1</v>
      </c>
      <c r="Z110" s="24" t="s">
        <v>5710</v>
      </c>
      <c r="AA110" s="24" t="s">
        <v>448</v>
      </c>
      <c r="AB110" s="30">
        <v>12.82</v>
      </c>
      <c r="AC110" s="30"/>
      <c r="AD110" s="30">
        <v>12.82</v>
      </c>
      <c r="AE110" s="59"/>
      <c r="AF110" s="59"/>
      <c r="AG110" s="35" t="s">
        <v>1104</v>
      </c>
      <c r="AH110" s="202" t="s">
        <v>19</v>
      </c>
      <c r="AI110" s="35" t="s">
        <v>1880</v>
      </c>
      <c r="AJ110" s="1519"/>
    </row>
    <row r="111" spans="1:36" s="11" customFormat="1" ht="26.25" customHeight="1" x14ac:dyDescent="0.15">
      <c r="A111" s="8">
        <f t="shared" si="0"/>
        <v>109</v>
      </c>
      <c r="B111" s="36" t="s">
        <v>9625</v>
      </c>
      <c r="C111" s="1524" t="s">
        <v>111</v>
      </c>
      <c r="D111" s="1524" t="s">
        <v>111</v>
      </c>
      <c r="E111" s="611" t="s">
        <v>10502</v>
      </c>
      <c r="F111" s="13" t="s">
        <v>9186</v>
      </c>
      <c r="G111" s="53" t="s">
        <v>9469</v>
      </c>
      <c r="H111" s="1524" t="s">
        <v>111</v>
      </c>
      <c r="I111" s="1524" t="s">
        <v>111</v>
      </c>
      <c r="J111" s="1524" t="s">
        <v>111</v>
      </c>
      <c r="K111" s="1503" t="s">
        <v>4691</v>
      </c>
      <c r="L111" s="1503" t="s">
        <v>4196</v>
      </c>
      <c r="M111" s="1503" t="s">
        <v>9628</v>
      </c>
      <c r="N111" s="22" t="s">
        <v>4780</v>
      </c>
      <c r="O111" s="1524" t="s">
        <v>5431</v>
      </c>
      <c r="P111" s="1524" t="s">
        <v>111</v>
      </c>
      <c r="Q111" s="1523" t="s">
        <v>1131</v>
      </c>
      <c r="R111" s="54" t="s">
        <v>5708</v>
      </c>
      <c r="S111" s="22" t="s">
        <v>1880</v>
      </c>
      <c r="T111" s="1523" t="s">
        <v>1894</v>
      </c>
      <c r="U111" s="1523" t="s">
        <v>1894</v>
      </c>
      <c r="V111" s="24" t="s">
        <v>9626</v>
      </c>
      <c r="W111" s="90" t="s">
        <v>9627</v>
      </c>
      <c r="X111" s="24" t="s">
        <v>108</v>
      </c>
      <c r="Y111" s="10">
        <v>1</v>
      </c>
      <c r="Z111" s="24" t="s">
        <v>6843</v>
      </c>
      <c r="AA111" s="24" t="s">
        <v>448</v>
      </c>
      <c r="AB111" s="30">
        <v>42.5</v>
      </c>
      <c r="AC111" s="30"/>
      <c r="AD111" s="30">
        <v>42.5</v>
      </c>
      <c r="AE111" s="59"/>
      <c r="AF111" s="59"/>
      <c r="AG111" s="35" t="s">
        <v>1104</v>
      </c>
      <c r="AH111" s="202" t="s">
        <v>19</v>
      </c>
      <c r="AI111" s="35" t="s">
        <v>1880</v>
      </c>
      <c r="AJ111" s="1504"/>
    </row>
    <row r="112" spans="1:36" s="11" customFormat="1" ht="26.25" customHeight="1" x14ac:dyDescent="0.15">
      <c r="A112" s="8">
        <f t="shared" si="0"/>
        <v>110</v>
      </c>
      <c r="B112" s="36" t="s">
        <v>9629</v>
      </c>
      <c r="C112" s="1527" t="s">
        <v>111</v>
      </c>
      <c r="D112" s="1527" t="s">
        <v>111</v>
      </c>
      <c r="E112" s="611" t="s">
        <v>10080</v>
      </c>
      <c r="F112" s="13" t="s">
        <v>9186</v>
      </c>
      <c r="G112" s="53" t="s">
        <v>9469</v>
      </c>
      <c r="H112" s="1527" t="s">
        <v>111</v>
      </c>
      <c r="I112" s="1527" t="s">
        <v>111</v>
      </c>
      <c r="J112" s="1527" t="s">
        <v>111</v>
      </c>
      <c r="K112" s="1525" t="s">
        <v>4691</v>
      </c>
      <c r="L112" s="1525" t="s">
        <v>4196</v>
      </c>
      <c r="M112" s="1525" t="s">
        <v>9630</v>
      </c>
      <c r="N112" s="22" t="s">
        <v>4780</v>
      </c>
      <c r="O112" s="1527" t="s">
        <v>5431</v>
      </c>
      <c r="P112" s="1527" t="s">
        <v>111</v>
      </c>
      <c r="Q112" s="1526" t="s">
        <v>1131</v>
      </c>
      <c r="R112" s="54" t="s">
        <v>5708</v>
      </c>
      <c r="S112" s="22" t="s">
        <v>1880</v>
      </c>
      <c r="T112" s="1526" t="s">
        <v>1894</v>
      </c>
      <c r="U112" s="1526" t="s">
        <v>1894</v>
      </c>
      <c r="V112" s="24" t="s">
        <v>9631</v>
      </c>
      <c r="W112" s="90" t="s">
        <v>8856</v>
      </c>
      <c r="X112" s="24" t="s">
        <v>110</v>
      </c>
      <c r="Y112" s="24">
        <v>1</v>
      </c>
      <c r="Z112" s="24" t="s">
        <v>6843</v>
      </c>
      <c r="AA112" s="24" t="s">
        <v>448</v>
      </c>
      <c r="AB112" s="30">
        <v>42.5</v>
      </c>
      <c r="AC112" s="30"/>
      <c r="AD112" s="30">
        <v>42.5</v>
      </c>
      <c r="AE112" s="59"/>
      <c r="AF112" s="59"/>
      <c r="AG112" s="35" t="s">
        <v>1104</v>
      </c>
      <c r="AH112" s="202" t="s">
        <v>19</v>
      </c>
      <c r="AI112" s="35" t="s">
        <v>1880</v>
      </c>
      <c r="AJ112" s="1526"/>
    </row>
    <row r="113" spans="1:36" s="11" customFormat="1" ht="45.75" customHeight="1" x14ac:dyDescent="0.15">
      <c r="A113" s="8">
        <f t="shared" si="0"/>
        <v>111</v>
      </c>
      <c r="B113" s="36" t="s">
        <v>9632</v>
      </c>
      <c r="C113" s="1530" t="s">
        <v>111</v>
      </c>
      <c r="D113" s="965" t="s">
        <v>9633</v>
      </c>
      <c r="E113" s="1530" t="s">
        <v>111</v>
      </c>
      <c r="F113" s="29" t="s">
        <v>9086</v>
      </c>
      <c r="G113" s="99" t="s">
        <v>8749</v>
      </c>
      <c r="H113" s="1530" t="s">
        <v>9526</v>
      </c>
      <c r="I113" s="1530" t="s">
        <v>9527</v>
      </c>
      <c r="J113" s="26" t="s">
        <v>9528</v>
      </c>
      <c r="K113" s="1529" t="s">
        <v>4712</v>
      </c>
      <c r="L113" s="1529" t="s">
        <v>5383</v>
      </c>
      <c r="M113" s="1529" t="s">
        <v>6882</v>
      </c>
      <c r="N113" s="22" t="s">
        <v>9525</v>
      </c>
      <c r="O113" s="1530" t="s">
        <v>5431</v>
      </c>
      <c r="P113" s="1530" t="s">
        <v>111</v>
      </c>
      <c r="Q113" s="1529" t="s">
        <v>1131</v>
      </c>
      <c r="R113" s="54" t="s">
        <v>5500</v>
      </c>
      <c r="S113" s="22" t="s">
        <v>1880</v>
      </c>
      <c r="T113" s="1528" t="s">
        <v>5571</v>
      </c>
      <c r="U113" s="1528" t="s">
        <v>5571</v>
      </c>
      <c r="V113" s="24" t="s">
        <v>9634</v>
      </c>
      <c r="W113" s="499"/>
      <c r="X113" s="484"/>
      <c r="Y113" s="484"/>
      <c r="Z113" s="24" t="s">
        <v>448</v>
      </c>
      <c r="AA113" s="24" t="s">
        <v>448</v>
      </c>
      <c r="AB113" s="30">
        <v>2.6</v>
      </c>
      <c r="AC113" s="30"/>
      <c r="AD113" s="30">
        <v>2.6</v>
      </c>
      <c r="AE113" s="59"/>
      <c r="AF113" s="59"/>
      <c r="AG113" s="35" t="s">
        <v>1104</v>
      </c>
      <c r="AH113" s="202" t="s">
        <v>19</v>
      </c>
      <c r="AI113" s="35" t="s">
        <v>1880</v>
      </c>
      <c r="AJ113" s="1528" t="s">
        <v>9635</v>
      </c>
    </row>
    <row r="114" spans="1:36" s="11" customFormat="1" ht="26.25" customHeight="1" x14ac:dyDescent="0.15">
      <c r="A114" s="8">
        <f t="shared" si="0"/>
        <v>112</v>
      </c>
      <c r="B114" s="36" t="s">
        <v>9638</v>
      </c>
      <c r="C114" s="71" t="s">
        <v>9640</v>
      </c>
      <c r="D114" s="1533" t="s">
        <v>111</v>
      </c>
      <c r="E114" s="1533" t="s">
        <v>111</v>
      </c>
      <c r="F114" s="29" t="s">
        <v>9642</v>
      </c>
      <c r="G114" s="53" t="s">
        <v>7589</v>
      </c>
      <c r="H114" s="26" t="s">
        <v>8765</v>
      </c>
      <c r="I114" s="26" t="s">
        <v>8766</v>
      </c>
      <c r="J114" s="26" t="s">
        <v>9554</v>
      </c>
      <c r="K114" s="1531" t="s">
        <v>1147</v>
      </c>
      <c r="L114" s="1531" t="s">
        <v>1789</v>
      </c>
      <c r="M114" s="1531" t="s">
        <v>2494</v>
      </c>
      <c r="N114" s="22" t="s">
        <v>2495</v>
      </c>
      <c r="O114" s="22" t="s">
        <v>1826</v>
      </c>
      <c r="P114" s="1533" t="s">
        <v>111</v>
      </c>
      <c r="Q114" s="1532" t="s">
        <v>445</v>
      </c>
      <c r="R114" s="54" t="s">
        <v>4534</v>
      </c>
      <c r="S114" s="22" t="s">
        <v>1880</v>
      </c>
      <c r="T114" s="1532" t="s">
        <v>5489</v>
      </c>
      <c r="U114" s="1532" t="s">
        <v>5489</v>
      </c>
      <c r="V114" s="24" t="s">
        <v>9643</v>
      </c>
      <c r="W114" s="90" t="s">
        <v>8856</v>
      </c>
      <c r="X114" s="24" t="s">
        <v>108</v>
      </c>
      <c r="Y114" s="10">
        <v>1</v>
      </c>
      <c r="Z114" s="24" t="s">
        <v>448</v>
      </c>
      <c r="AA114" s="24" t="s">
        <v>448</v>
      </c>
      <c r="AB114" s="30">
        <v>7.5</v>
      </c>
      <c r="AC114" s="30"/>
      <c r="AD114" s="30">
        <v>7.5</v>
      </c>
      <c r="AE114" s="59"/>
      <c r="AF114" s="59"/>
      <c r="AG114" s="35" t="s">
        <v>1104</v>
      </c>
      <c r="AH114" s="202" t="s">
        <v>19</v>
      </c>
      <c r="AI114" s="35" t="s">
        <v>1880</v>
      </c>
      <c r="AJ114" s="1532"/>
    </row>
    <row r="115" spans="1:36" s="11" customFormat="1" ht="26.25" customHeight="1" x14ac:dyDescent="0.15">
      <c r="A115" s="8">
        <f t="shared" si="0"/>
        <v>113</v>
      </c>
      <c r="B115" s="36" t="s">
        <v>9639</v>
      </c>
      <c r="C115" s="71" t="s">
        <v>9641</v>
      </c>
      <c r="D115" s="1533" t="s">
        <v>111</v>
      </c>
      <c r="E115" s="1533" t="s">
        <v>111</v>
      </c>
      <c r="F115" s="29" t="s">
        <v>9642</v>
      </c>
      <c r="G115" s="53" t="s">
        <v>7589</v>
      </c>
      <c r="H115" s="26" t="s">
        <v>8765</v>
      </c>
      <c r="I115" s="26" t="s">
        <v>8766</v>
      </c>
      <c r="J115" s="26" t="s">
        <v>9554</v>
      </c>
      <c r="K115" s="1531" t="s">
        <v>1147</v>
      </c>
      <c r="L115" s="1531" t="s">
        <v>1789</v>
      </c>
      <c r="M115" s="1531" t="s">
        <v>2498</v>
      </c>
      <c r="N115" s="22" t="s">
        <v>1138</v>
      </c>
      <c r="O115" s="22" t="s">
        <v>1826</v>
      </c>
      <c r="P115" s="1533" t="s">
        <v>111</v>
      </c>
      <c r="Q115" s="1532" t="s">
        <v>445</v>
      </c>
      <c r="R115" s="54" t="s">
        <v>4534</v>
      </c>
      <c r="S115" s="22" t="s">
        <v>1880</v>
      </c>
      <c r="T115" s="1532" t="s">
        <v>5489</v>
      </c>
      <c r="U115" s="1532" t="s">
        <v>5489</v>
      </c>
      <c r="V115" s="24" t="s">
        <v>9643</v>
      </c>
      <c r="W115" s="90" t="s">
        <v>8856</v>
      </c>
      <c r="X115" s="24" t="s">
        <v>108</v>
      </c>
      <c r="Y115" s="10">
        <v>1</v>
      </c>
      <c r="Z115" s="24" t="s">
        <v>448</v>
      </c>
      <c r="AA115" s="24" t="s">
        <v>448</v>
      </c>
      <c r="AB115" s="30">
        <v>7.5</v>
      </c>
      <c r="AC115" s="30"/>
      <c r="AD115" s="30">
        <v>7.5</v>
      </c>
      <c r="AE115" s="59"/>
      <c r="AF115" s="59"/>
      <c r="AG115" s="35" t="s">
        <v>1104</v>
      </c>
      <c r="AH115" s="202" t="s">
        <v>19</v>
      </c>
      <c r="AI115" s="35" t="s">
        <v>1880</v>
      </c>
      <c r="AJ115" s="1532"/>
    </row>
    <row r="116" spans="1:36" s="11" customFormat="1" ht="26.25" customHeight="1" x14ac:dyDescent="0.15">
      <c r="A116" s="8">
        <f t="shared" si="0"/>
        <v>114</v>
      </c>
      <c r="B116" s="36" t="s">
        <v>9644</v>
      </c>
      <c r="C116" s="1536" t="s">
        <v>111</v>
      </c>
      <c r="D116" s="1536" t="s">
        <v>111</v>
      </c>
      <c r="E116" s="1536" t="s">
        <v>111</v>
      </c>
      <c r="F116" s="29" t="s">
        <v>3886</v>
      </c>
      <c r="G116" s="53" t="s">
        <v>9654</v>
      </c>
      <c r="H116" s="26" t="s">
        <v>9670</v>
      </c>
      <c r="I116" s="26" t="s">
        <v>9671</v>
      </c>
      <c r="J116" s="26" t="s">
        <v>1314</v>
      </c>
      <c r="K116" s="1535" t="s">
        <v>4712</v>
      </c>
      <c r="L116" s="1535" t="s">
        <v>4692</v>
      </c>
      <c r="M116" s="1535" t="s">
        <v>6050</v>
      </c>
      <c r="N116" s="1536" t="s">
        <v>7038</v>
      </c>
      <c r="O116" s="1536" t="s">
        <v>1826</v>
      </c>
      <c r="P116" s="1536" t="s">
        <v>111</v>
      </c>
      <c r="Q116" s="1536" t="s">
        <v>1818</v>
      </c>
      <c r="R116" s="54" t="s">
        <v>9655</v>
      </c>
      <c r="S116" s="22" t="s">
        <v>1880</v>
      </c>
      <c r="T116" s="1535" t="s">
        <v>5571</v>
      </c>
      <c r="U116" s="1535" t="s">
        <v>5571</v>
      </c>
      <c r="V116" s="24" t="s">
        <v>8832</v>
      </c>
      <c r="W116" s="90" t="s">
        <v>9656</v>
      </c>
      <c r="X116" s="24" t="s">
        <v>108</v>
      </c>
      <c r="Y116" s="10">
        <v>1</v>
      </c>
      <c r="Z116" s="24" t="s">
        <v>448</v>
      </c>
      <c r="AA116" s="24" t="s">
        <v>448</v>
      </c>
      <c r="AB116" s="30">
        <v>2</v>
      </c>
      <c r="AC116" s="30"/>
      <c r="AD116" s="30">
        <v>2</v>
      </c>
      <c r="AE116" s="59"/>
      <c r="AF116" s="59"/>
      <c r="AG116" s="35" t="s">
        <v>1104</v>
      </c>
      <c r="AH116" s="202" t="s">
        <v>19</v>
      </c>
      <c r="AI116" s="35" t="s">
        <v>1880</v>
      </c>
      <c r="AJ116" s="1535"/>
    </row>
    <row r="117" spans="1:36" s="11" customFormat="1" ht="26.25" customHeight="1" x14ac:dyDescent="0.15">
      <c r="A117" s="8">
        <f t="shared" si="0"/>
        <v>115</v>
      </c>
      <c r="B117" s="36" t="s">
        <v>9645</v>
      </c>
      <c r="C117" s="1536" t="s">
        <v>111</v>
      </c>
      <c r="D117" s="1536" t="s">
        <v>111</v>
      </c>
      <c r="E117" s="1536" t="s">
        <v>111</v>
      </c>
      <c r="F117" s="29" t="s">
        <v>7960</v>
      </c>
      <c r="G117" s="53" t="s">
        <v>9654</v>
      </c>
      <c r="H117" s="26" t="s">
        <v>9670</v>
      </c>
      <c r="I117" s="26" t="s">
        <v>9671</v>
      </c>
      <c r="J117" s="26" t="s">
        <v>9672</v>
      </c>
      <c r="K117" s="1535" t="s">
        <v>1487</v>
      </c>
      <c r="L117" s="1535" t="s">
        <v>1416</v>
      </c>
      <c r="M117" s="1535" t="s">
        <v>7959</v>
      </c>
      <c r="N117" s="1536" t="s">
        <v>4780</v>
      </c>
      <c r="O117" s="1536" t="s">
        <v>1826</v>
      </c>
      <c r="P117" s="1536" t="s">
        <v>111</v>
      </c>
      <c r="Q117" s="1536" t="s">
        <v>1818</v>
      </c>
      <c r="R117" s="54" t="s">
        <v>9655</v>
      </c>
      <c r="S117" s="22" t="s">
        <v>1880</v>
      </c>
      <c r="T117" s="1535" t="s">
        <v>5571</v>
      </c>
      <c r="U117" s="1535" t="s">
        <v>5571</v>
      </c>
      <c r="V117" s="24" t="s">
        <v>8832</v>
      </c>
      <c r="W117" s="90" t="s">
        <v>9656</v>
      </c>
      <c r="X117" s="24" t="s">
        <v>108</v>
      </c>
      <c r="Y117" s="10">
        <v>1</v>
      </c>
      <c r="Z117" s="24" t="s">
        <v>448</v>
      </c>
      <c r="AA117" s="24" t="s">
        <v>448</v>
      </c>
      <c r="AB117" s="30">
        <v>2</v>
      </c>
      <c r="AC117" s="30"/>
      <c r="AD117" s="30">
        <v>2</v>
      </c>
      <c r="AE117" s="59"/>
      <c r="AF117" s="59"/>
      <c r="AG117" s="35" t="s">
        <v>1104</v>
      </c>
      <c r="AH117" s="202" t="s">
        <v>19</v>
      </c>
      <c r="AI117" s="35" t="s">
        <v>1880</v>
      </c>
      <c r="AJ117" s="1535"/>
    </row>
    <row r="118" spans="1:36" s="11" customFormat="1" ht="26.25" customHeight="1" x14ac:dyDescent="0.15">
      <c r="A118" s="8">
        <f t="shared" si="0"/>
        <v>116</v>
      </c>
      <c r="B118" s="36" t="s">
        <v>9646</v>
      </c>
      <c r="C118" s="71" t="s">
        <v>9653</v>
      </c>
      <c r="D118" s="1536" t="s">
        <v>111</v>
      </c>
      <c r="E118" s="1536" t="s">
        <v>111</v>
      </c>
      <c r="F118" s="29" t="s">
        <v>8264</v>
      </c>
      <c r="G118" s="53" t="s">
        <v>9654</v>
      </c>
      <c r="H118" s="26" t="s">
        <v>9670</v>
      </c>
      <c r="I118" s="26" t="s">
        <v>9671</v>
      </c>
      <c r="J118" s="26" t="s">
        <v>9673</v>
      </c>
      <c r="K118" s="1535" t="s">
        <v>4712</v>
      </c>
      <c r="L118" s="1535" t="s">
        <v>4692</v>
      </c>
      <c r="M118" s="1535" t="s">
        <v>8326</v>
      </c>
      <c r="N118" s="22" t="s">
        <v>8266</v>
      </c>
      <c r="O118" s="1536" t="s">
        <v>1826</v>
      </c>
      <c r="P118" s="1536" t="s">
        <v>111</v>
      </c>
      <c r="Q118" s="1536" t="s">
        <v>1818</v>
      </c>
      <c r="R118" s="54" t="s">
        <v>9655</v>
      </c>
      <c r="S118" s="22" t="s">
        <v>1880</v>
      </c>
      <c r="T118" s="1535" t="s">
        <v>5571</v>
      </c>
      <c r="U118" s="1535" t="s">
        <v>5571</v>
      </c>
      <c r="V118" s="24" t="s">
        <v>8832</v>
      </c>
      <c r="W118" s="90" t="s">
        <v>9656</v>
      </c>
      <c r="X118" s="24" t="s">
        <v>108</v>
      </c>
      <c r="Y118" s="10">
        <v>1</v>
      </c>
      <c r="Z118" s="24" t="s">
        <v>448</v>
      </c>
      <c r="AA118" s="24" t="s">
        <v>448</v>
      </c>
      <c r="AB118" s="30">
        <v>2</v>
      </c>
      <c r="AC118" s="30"/>
      <c r="AD118" s="30">
        <v>2</v>
      </c>
      <c r="AE118" s="59"/>
      <c r="AF118" s="59"/>
      <c r="AG118" s="35" t="s">
        <v>1104</v>
      </c>
      <c r="AH118" s="202" t="s">
        <v>19</v>
      </c>
      <c r="AI118" s="35" t="s">
        <v>1880</v>
      </c>
      <c r="AJ118" s="1535"/>
    </row>
    <row r="119" spans="1:36" s="11" customFormat="1" ht="26.25" customHeight="1" x14ac:dyDescent="0.15">
      <c r="A119" s="8">
        <f t="shared" si="0"/>
        <v>117</v>
      </c>
      <c r="B119" s="36" t="s">
        <v>9647</v>
      </c>
      <c r="C119" s="1536" t="s">
        <v>111</v>
      </c>
      <c r="D119" s="1536" t="s">
        <v>111</v>
      </c>
      <c r="E119" s="1536" t="s">
        <v>111</v>
      </c>
      <c r="F119" s="29" t="s">
        <v>7131</v>
      </c>
      <c r="G119" s="53" t="s">
        <v>9654</v>
      </c>
      <c r="H119" s="26" t="s">
        <v>9670</v>
      </c>
      <c r="I119" s="26" t="s">
        <v>9671</v>
      </c>
      <c r="J119" s="26" t="s">
        <v>9674</v>
      </c>
      <c r="K119" s="1534" t="s">
        <v>4712</v>
      </c>
      <c r="L119" s="1534" t="s">
        <v>4692</v>
      </c>
      <c r="M119" s="1534" t="s">
        <v>7135</v>
      </c>
      <c r="N119" s="22" t="s">
        <v>9348</v>
      </c>
      <c r="O119" s="1535" t="s">
        <v>5431</v>
      </c>
      <c r="P119" s="1536" t="s">
        <v>111</v>
      </c>
      <c r="Q119" s="1535" t="s">
        <v>1131</v>
      </c>
      <c r="R119" s="54" t="s">
        <v>9655</v>
      </c>
      <c r="S119" s="22" t="s">
        <v>1880</v>
      </c>
      <c r="T119" s="1535" t="s">
        <v>5571</v>
      </c>
      <c r="U119" s="1535" t="s">
        <v>5571</v>
      </c>
      <c r="V119" s="24" t="s">
        <v>8832</v>
      </c>
      <c r="W119" s="90" t="s">
        <v>9656</v>
      </c>
      <c r="X119" s="24" t="s">
        <v>108</v>
      </c>
      <c r="Y119" s="10">
        <v>1</v>
      </c>
      <c r="Z119" s="24" t="s">
        <v>448</v>
      </c>
      <c r="AA119" s="24" t="s">
        <v>448</v>
      </c>
      <c r="AB119" s="30">
        <v>2</v>
      </c>
      <c r="AC119" s="30"/>
      <c r="AD119" s="30">
        <v>2</v>
      </c>
      <c r="AE119" s="59"/>
      <c r="AF119" s="59"/>
      <c r="AG119" s="35" t="s">
        <v>1104</v>
      </c>
      <c r="AH119" s="202" t="s">
        <v>19</v>
      </c>
      <c r="AI119" s="35" t="s">
        <v>1880</v>
      </c>
      <c r="AJ119" s="1535"/>
    </row>
    <row r="120" spans="1:36" s="11" customFormat="1" ht="26.25" customHeight="1" x14ac:dyDescent="0.15">
      <c r="A120" s="8">
        <f t="shared" si="0"/>
        <v>118</v>
      </c>
      <c r="B120" s="36" t="s">
        <v>9648</v>
      </c>
      <c r="C120" s="1536" t="s">
        <v>111</v>
      </c>
      <c r="D120" s="1536" t="s">
        <v>111</v>
      </c>
      <c r="E120" s="1536" t="s">
        <v>111</v>
      </c>
      <c r="F120" s="29" t="s">
        <v>9657</v>
      </c>
      <c r="G120" s="53" t="s">
        <v>9654</v>
      </c>
      <c r="H120" s="26" t="s">
        <v>9670</v>
      </c>
      <c r="I120" s="26" t="s">
        <v>9671</v>
      </c>
      <c r="J120" s="26" t="s">
        <v>9675</v>
      </c>
      <c r="K120" s="1534" t="s">
        <v>4712</v>
      </c>
      <c r="L120" s="1534" t="s">
        <v>4692</v>
      </c>
      <c r="M120" s="1534" t="s">
        <v>8569</v>
      </c>
      <c r="N120" s="22" t="s">
        <v>9658</v>
      </c>
      <c r="O120" s="1535" t="s">
        <v>5431</v>
      </c>
      <c r="P120" s="1536" t="s">
        <v>111</v>
      </c>
      <c r="Q120" s="1535" t="s">
        <v>1131</v>
      </c>
      <c r="R120" s="54" t="s">
        <v>9655</v>
      </c>
      <c r="S120" s="22" t="s">
        <v>1880</v>
      </c>
      <c r="T120" s="1535" t="s">
        <v>5571</v>
      </c>
      <c r="U120" s="1535" t="s">
        <v>5571</v>
      </c>
      <c r="V120" s="24" t="s">
        <v>8832</v>
      </c>
      <c r="W120" s="90" t="s">
        <v>9656</v>
      </c>
      <c r="X120" s="24" t="s">
        <v>108</v>
      </c>
      <c r="Y120" s="10">
        <v>1</v>
      </c>
      <c r="Z120" s="24" t="s">
        <v>448</v>
      </c>
      <c r="AA120" s="24" t="s">
        <v>448</v>
      </c>
      <c r="AB120" s="30">
        <v>2</v>
      </c>
      <c r="AC120" s="30"/>
      <c r="AD120" s="30">
        <v>2</v>
      </c>
      <c r="AE120" s="59"/>
      <c r="AF120" s="59"/>
      <c r="AG120" s="35" t="s">
        <v>1104</v>
      </c>
      <c r="AH120" s="202" t="s">
        <v>19</v>
      </c>
      <c r="AI120" s="35" t="s">
        <v>1880</v>
      </c>
      <c r="AJ120" s="1535"/>
    </row>
    <row r="121" spans="1:36" s="11" customFormat="1" ht="26.25" customHeight="1" x14ac:dyDescent="0.15">
      <c r="A121" s="8">
        <f t="shared" si="0"/>
        <v>119</v>
      </c>
      <c r="B121" s="36" t="s">
        <v>9649</v>
      </c>
      <c r="C121" s="1536" t="s">
        <v>111</v>
      </c>
      <c r="D121" s="1536" t="s">
        <v>111</v>
      </c>
      <c r="E121" s="1536" t="s">
        <v>111</v>
      </c>
      <c r="F121" s="29" t="s">
        <v>9659</v>
      </c>
      <c r="G121" s="53" t="s">
        <v>9654</v>
      </c>
      <c r="H121" s="26" t="s">
        <v>9670</v>
      </c>
      <c r="I121" s="26" t="s">
        <v>9671</v>
      </c>
      <c r="J121" s="26" t="s">
        <v>9676</v>
      </c>
      <c r="K121" s="1535" t="s">
        <v>4712</v>
      </c>
      <c r="L121" s="1534" t="s">
        <v>4692</v>
      </c>
      <c r="M121" s="1535" t="s">
        <v>9126</v>
      </c>
      <c r="N121" s="22" t="s">
        <v>9290</v>
      </c>
      <c r="O121" s="1535" t="s">
        <v>5431</v>
      </c>
      <c r="P121" s="1536" t="s">
        <v>111</v>
      </c>
      <c r="Q121" s="1535" t="s">
        <v>1131</v>
      </c>
      <c r="R121" s="54" t="s">
        <v>9655</v>
      </c>
      <c r="S121" s="22" t="s">
        <v>1880</v>
      </c>
      <c r="T121" s="1535" t="s">
        <v>5571</v>
      </c>
      <c r="U121" s="1535" t="s">
        <v>5571</v>
      </c>
      <c r="V121" s="24" t="s">
        <v>8832</v>
      </c>
      <c r="W121" s="90" t="s">
        <v>9656</v>
      </c>
      <c r="X121" s="24" t="s">
        <v>108</v>
      </c>
      <c r="Y121" s="10">
        <v>1</v>
      </c>
      <c r="Z121" s="24" t="s">
        <v>448</v>
      </c>
      <c r="AA121" s="24" t="s">
        <v>448</v>
      </c>
      <c r="AB121" s="30">
        <v>2</v>
      </c>
      <c r="AC121" s="30"/>
      <c r="AD121" s="30">
        <v>2</v>
      </c>
      <c r="AE121" s="59"/>
      <c r="AF121" s="59"/>
      <c r="AG121" s="35" t="s">
        <v>1104</v>
      </c>
      <c r="AH121" s="202" t="s">
        <v>19</v>
      </c>
      <c r="AI121" s="35" t="s">
        <v>1880</v>
      </c>
      <c r="AJ121" s="1535"/>
    </row>
    <row r="122" spans="1:36" s="11" customFormat="1" ht="26.25" customHeight="1" x14ac:dyDescent="0.15">
      <c r="A122" s="8">
        <f t="shared" si="0"/>
        <v>120</v>
      </c>
      <c r="B122" s="36" t="s">
        <v>9650</v>
      </c>
      <c r="C122" s="1536" t="s">
        <v>111</v>
      </c>
      <c r="D122" s="1536" t="s">
        <v>111</v>
      </c>
      <c r="E122" s="1536" t="s">
        <v>111</v>
      </c>
      <c r="F122" s="29" t="s">
        <v>9661</v>
      </c>
      <c r="G122" s="53" t="s">
        <v>9654</v>
      </c>
      <c r="H122" s="26" t="s">
        <v>9670</v>
      </c>
      <c r="I122" s="26" t="s">
        <v>9671</v>
      </c>
      <c r="J122" s="26" t="s">
        <v>9677</v>
      </c>
      <c r="K122" s="1535" t="s">
        <v>4712</v>
      </c>
      <c r="L122" s="1534" t="s">
        <v>4692</v>
      </c>
      <c r="M122" s="1535" t="s">
        <v>9126</v>
      </c>
      <c r="N122" s="22" t="s">
        <v>9660</v>
      </c>
      <c r="O122" s="1536" t="s">
        <v>5478</v>
      </c>
      <c r="P122" s="1536" t="s">
        <v>111</v>
      </c>
      <c r="Q122" s="1535" t="s">
        <v>4676</v>
      </c>
      <c r="R122" s="54" t="s">
        <v>9655</v>
      </c>
      <c r="S122" s="22" t="s">
        <v>1880</v>
      </c>
      <c r="T122" s="1535" t="s">
        <v>5571</v>
      </c>
      <c r="U122" s="1535" t="s">
        <v>5571</v>
      </c>
      <c r="V122" s="24" t="s">
        <v>8832</v>
      </c>
      <c r="W122" s="90" t="s">
        <v>9656</v>
      </c>
      <c r="X122" s="24" t="s">
        <v>108</v>
      </c>
      <c r="Y122" s="10">
        <v>1</v>
      </c>
      <c r="Z122" s="24" t="s">
        <v>448</v>
      </c>
      <c r="AA122" s="24" t="s">
        <v>448</v>
      </c>
      <c r="AB122" s="30">
        <v>2</v>
      </c>
      <c r="AC122" s="30"/>
      <c r="AD122" s="30">
        <v>2</v>
      </c>
      <c r="AE122" s="59"/>
      <c r="AF122" s="59"/>
      <c r="AG122" s="35" t="s">
        <v>1104</v>
      </c>
      <c r="AH122" s="202" t="s">
        <v>19</v>
      </c>
      <c r="AI122" s="35" t="s">
        <v>1880</v>
      </c>
      <c r="AJ122" s="1535"/>
    </row>
    <row r="123" spans="1:36" s="11" customFormat="1" ht="26.25" customHeight="1" x14ac:dyDescent="0.15">
      <c r="A123" s="8">
        <f t="shared" si="0"/>
        <v>121</v>
      </c>
      <c r="B123" s="36" t="s">
        <v>9651</v>
      </c>
      <c r="C123" s="1536" t="s">
        <v>111</v>
      </c>
      <c r="D123" s="1536" t="s">
        <v>111</v>
      </c>
      <c r="E123" s="1536" t="s">
        <v>111</v>
      </c>
      <c r="F123" s="29" t="s">
        <v>9662</v>
      </c>
      <c r="G123" s="53" t="s">
        <v>9663</v>
      </c>
      <c r="H123" s="26" t="s">
        <v>9668</v>
      </c>
      <c r="I123" s="26" t="s">
        <v>9669</v>
      </c>
      <c r="J123" s="29" t="s">
        <v>9662</v>
      </c>
      <c r="K123" s="1535" t="s">
        <v>4195</v>
      </c>
      <c r="L123" s="1535" t="s">
        <v>3101</v>
      </c>
      <c r="M123" s="1535" t="s">
        <v>8159</v>
      </c>
      <c r="N123" s="22" t="s">
        <v>9664</v>
      </c>
      <c r="O123" s="22" t="s">
        <v>5431</v>
      </c>
      <c r="P123" s="1536" t="s">
        <v>111</v>
      </c>
      <c r="Q123" s="1535" t="s">
        <v>1131</v>
      </c>
      <c r="R123" s="54" t="s">
        <v>1122</v>
      </c>
      <c r="S123" s="22" t="s">
        <v>1880</v>
      </c>
      <c r="T123" s="1535" t="s">
        <v>5489</v>
      </c>
      <c r="U123" s="1535" t="s">
        <v>5489</v>
      </c>
      <c r="V123" s="24" t="s">
        <v>8832</v>
      </c>
      <c r="W123" s="90" t="s">
        <v>9665</v>
      </c>
      <c r="X123" s="24" t="s">
        <v>110</v>
      </c>
      <c r="Y123" s="24">
        <v>1</v>
      </c>
      <c r="Z123" s="24" t="s">
        <v>9666</v>
      </c>
      <c r="AA123" s="24" t="s">
        <v>9667</v>
      </c>
      <c r="AB123" s="30"/>
      <c r="AC123" s="30">
        <v>12</v>
      </c>
      <c r="AD123" s="30">
        <v>12</v>
      </c>
      <c r="AE123" s="59"/>
      <c r="AF123" s="59"/>
      <c r="AG123" s="35" t="s">
        <v>1104</v>
      </c>
      <c r="AH123" s="202" t="s">
        <v>19</v>
      </c>
      <c r="AI123" s="35" t="s">
        <v>1880</v>
      </c>
      <c r="AJ123" s="1535"/>
    </row>
    <row r="124" spans="1:36" s="11" customFormat="1" ht="26.25" customHeight="1" x14ac:dyDescent="0.15">
      <c r="A124" s="8">
        <f t="shared" si="0"/>
        <v>122</v>
      </c>
      <c r="B124" s="36" t="s">
        <v>9652</v>
      </c>
      <c r="C124" s="1536" t="s">
        <v>111</v>
      </c>
      <c r="D124" s="1536" t="s">
        <v>111</v>
      </c>
      <c r="E124" s="1536" t="s">
        <v>111</v>
      </c>
      <c r="F124" s="29" t="s">
        <v>6328</v>
      </c>
      <c r="G124" s="53" t="s">
        <v>9654</v>
      </c>
      <c r="H124" s="26" t="s">
        <v>9670</v>
      </c>
      <c r="I124" s="26" t="s">
        <v>9671</v>
      </c>
      <c r="J124" s="26" t="s">
        <v>9678</v>
      </c>
      <c r="K124" s="1535" t="s">
        <v>4712</v>
      </c>
      <c r="L124" s="1535" t="s">
        <v>4692</v>
      </c>
      <c r="M124" s="1535" t="s">
        <v>6331</v>
      </c>
      <c r="N124" s="1536" t="s">
        <v>4780</v>
      </c>
      <c r="O124" s="1536" t="s">
        <v>1826</v>
      </c>
      <c r="P124" s="1536" t="s">
        <v>111</v>
      </c>
      <c r="Q124" s="1536" t="s">
        <v>1818</v>
      </c>
      <c r="R124" s="54" t="s">
        <v>9655</v>
      </c>
      <c r="S124" s="22" t="s">
        <v>1880</v>
      </c>
      <c r="T124" s="1535" t="s">
        <v>5571</v>
      </c>
      <c r="U124" s="1535" t="s">
        <v>5571</v>
      </c>
      <c r="V124" s="24" t="s">
        <v>8832</v>
      </c>
      <c r="W124" s="90" t="s">
        <v>9656</v>
      </c>
      <c r="X124" s="24" t="s">
        <v>108</v>
      </c>
      <c r="Y124" s="10">
        <v>1</v>
      </c>
      <c r="Z124" s="24" t="s">
        <v>448</v>
      </c>
      <c r="AA124" s="24" t="s">
        <v>448</v>
      </c>
      <c r="AB124" s="30">
        <v>2</v>
      </c>
      <c r="AC124" s="30"/>
      <c r="AD124" s="30">
        <v>2</v>
      </c>
      <c r="AE124" s="59"/>
      <c r="AF124" s="59"/>
      <c r="AG124" s="35" t="s">
        <v>1104</v>
      </c>
      <c r="AH124" s="202" t="s">
        <v>19</v>
      </c>
      <c r="AI124" s="35" t="s">
        <v>1880</v>
      </c>
      <c r="AJ124" s="1528"/>
    </row>
    <row r="125" spans="1:36" s="11" customFormat="1" ht="26.25" customHeight="1" x14ac:dyDescent="0.15">
      <c r="A125" s="8">
        <f t="shared" si="0"/>
        <v>123</v>
      </c>
      <c r="B125" s="36" t="s">
        <v>9679</v>
      </c>
      <c r="C125" s="1538" t="s">
        <v>111</v>
      </c>
      <c r="D125" s="1538" t="s">
        <v>111</v>
      </c>
      <c r="E125" s="1538" t="s">
        <v>111</v>
      </c>
      <c r="F125" s="29" t="s">
        <v>7047</v>
      </c>
      <c r="G125" s="53" t="s">
        <v>9683</v>
      </c>
      <c r="H125" s="1538" t="s">
        <v>111</v>
      </c>
      <c r="I125" s="1538" t="s">
        <v>111</v>
      </c>
      <c r="J125" s="1538" t="s">
        <v>111</v>
      </c>
      <c r="K125" s="1537" t="s">
        <v>3649</v>
      </c>
      <c r="L125" s="1537" t="s">
        <v>4750</v>
      </c>
      <c r="M125" s="1537" t="s">
        <v>7076</v>
      </c>
      <c r="N125" s="1537" t="s">
        <v>8055</v>
      </c>
      <c r="O125" s="1537" t="s">
        <v>5431</v>
      </c>
      <c r="P125" s="1538" t="s">
        <v>111</v>
      </c>
      <c r="Q125" s="1537" t="s">
        <v>1131</v>
      </c>
      <c r="R125" s="54" t="s">
        <v>6266</v>
      </c>
      <c r="S125" s="22" t="s">
        <v>1880</v>
      </c>
      <c r="T125" s="1537" t="s">
        <v>5487</v>
      </c>
      <c r="U125" s="1537" t="s">
        <v>5487</v>
      </c>
      <c r="V125" s="24" t="s">
        <v>9684</v>
      </c>
      <c r="W125" s="90" t="s">
        <v>9656</v>
      </c>
      <c r="X125" s="24" t="s">
        <v>110</v>
      </c>
      <c r="Y125" s="24">
        <v>1</v>
      </c>
      <c r="Z125" s="24" t="s">
        <v>9685</v>
      </c>
      <c r="AA125" s="24" t="s">
        <v>9686</v>
      </c>
      <c r="AB125" s="30"/>
      <c r="AC125" s="30">
        <v>20.7</v>
      </c>
      <c r="AD125" s="30">
        <v>20.7</v>
      </c>
      <c r="AE125" s="59"/>
      <c r="AF125" s="59"/>
      <c r="AG125" s="35" t="s">
        <v>1104</v>
      </c>
      <c r="AH125" s="202" t="s">
        <v>19</v>
      </c>
      <c r="AI125" s="35" t="s">
        <v>1880</v>
      </c>
      <c r="AJ125" s="1537"/>
    </row>
    <row r="126" spans="1:36" s="11" customFormat="1" ht="26.25" customHeight="1" x14ac:dyDescent="0.15">
      <c r="A126" s="8">
        <f t="shared" si="0"/>
        <v>124</v>
      </c>
      <c r="B126" s="36" t="s">
        <v>9680</v>
      </c>
      <c r="C126" s="1538" t="s">
        <v>111</v>
      </c>
      <c r="D126" s="1538" t="s">
        <v>111</v>
      </c>
      <c r="E126" s="1538" t="s">
        <v>111</v>
      </c>
      <c r="F126" s="29" t="s">
        <v>8922</v>
      </c>
      <c r="G126" s="53" t="s">
        <v>9687</v>
      </c>
      <c r="H126" s="26" t="s">
        <v>19</v>
      </c>
      <c r="I126" s="26" t="s">
        <v>19</v>
      </c>
      <c r="J126" s="26" t="s">
        <v>19</v>
      </c>
      <c r="K126" s="1537" t="s">
        <v>3649</v>
      </c>
      <c r="L126" s="1537" t="s">
        <v>4750</v>
      </c>
      <c r="M126" s="1537" t="s">
        <v>9021</v>
      </c>
      <c r="N126" s="22" t="s">
        <v>4780</v>
      </c>
      <c r="O126" s="1537" t="s">
        <v>5431</v>
      </c>
      <c r="P126" s="1538" t="s">
        <v>111</v>
      </c>
      <c r="Q126" s="1537" t="s">
        <v>1131</v>
      </c>
      <c r="R126" s="54" t="s">
        <v>6266</v>
      </c>
      <c r="S126" s="22" t="s">
        <v>1880</v>
      </c>
      <c r="T126" s="1537" t="s">
        <v>5487</v>
      </c>
      <c r="U126" s="1537" t="s">
        <v>5487</v>
      </c>
      <c r="V126" s="24" t="s">
        <v>9684</v>
      </c>
      <c r="W126" s="90" t="s">
        <v>9656</v>
      </c>
      <c r="X126" s="24" t="s">
        <v>110</v>
      </c>
      <c r="Y126" s="24">
        <v>1</v>
      </c>
      <c r="Z126" s="24" t="s">
        <v>9685</v>
      </c>
      <c r="AA126" s="24" t="s">
        <v>9686</v>
      </c>
      <c r="AB126" s="30"/>
      <c r="AC126" s="30">
        <v>20.7</v>
      </c>
      <c r="AD126" s="30">
        <v>20.7</v>
      </c>
      <c r="AE126" s="59"/>
      <c r="AF126" s="59"/>
      <c r="AG126" s="35" t="s">
        <v>1104</v>
      </c>
      <c r="AH126" s="202" t="s">
        <v>19</v>
      </c>
      <c r="AI126" s="35" t="s">
        <v>1880</v>
      </c>
      <c r="AJ126" s="1537"/>
    </row>
    <row r="127" spans="1:36" s="11" customFormat="1" ht="26.25" customHeight="1" x14ac:dyDescent="0.15">
      <c r="A127" s="8">
        <f t="shared" si="0"/>
        <v>125</v>
      </c>
      <c r="B127" s="36" t="s">
        <v>9688</v>
      </c>
      <c r="C127" s="1538" t="s">
        <v>111</v>
      </c>
      <c r="D127" s="1538" t="s">
        <v>111</v>
      </c>
      <c r="E127" s="1538" t="s">
        <v>111</v>
      </c>
      <c r="F127" s="29" t="s">
        <v>8031</v>
      </c>
      <c r="G127" s="53" t="s">
        <v>9691</v>
      </c>
      <c r="H127" s="26" t="s">
        <v>448</v>
      </c>
      <c r="I127" s="26" t="s">
        <v>448</v>
      </c>
      <c r="J127" s="26" t="s">
        <v>448</v>
      </c>
      <c r="K127" s="1537" t="s">
        <v>3649</v>
      </c>
      <c r="L127" s="1537" t="s">
        <v>4750</v>
      </c>
      <c r="M127" s="1537" t="s">
        <v>8033</v>
      </c>
      <c r="N127" s="22" t="s">
        <v>1138</v>
      </c>
      <c r="O127" s="1538" t="s">
        <v>1826</v>
      </c>
      <c r="P127" s="1538" t="s">
        <v>111</v>
      </c>
      <c r="Q127" s="1537" t="s">
        <v>1131</v>
      </c>
      <c r="R127" s="54" t="s">
        <v>6266</v>
      </c>
      <c r="S127" s="1538" t="s">
        <v>111</v>
      </c>
      <c r="T127" s="1537" t="s">
        <v>5487</v>
      </c>
      <c r="U127" s="1537" t="s">
        <v>5487</v>
      </c>
      <c r="V127" s="24" t="s">
        <v>9684</v>
      </c>
      <c r="W127" s="90" t="s">
        <v>9656</v>
      </c>
      <c r="X127" s="24" t="s">
        <v>110</v>
      </c>
      <c r="Y127" s="24">
        <v>1</v>
      </c>
      <c r="Z127" s="24" t="s">
        <v>9685</v>
      </c>
      <c r="AA127" s="24" t="s">
        <v>9686</v>
      </c>
      <c r="AB127" s="30"/>
      <c r="AC127" s="30">
        <v>20.7</v>
      </c>
      <c r="AD127" s="30">
        <v>20.7</v>
      </c>
      <c r="AE127" s="59"/>
      <c r="AF127" s="59"/>
      <c r="AG127" s="35" t="s">
        <v>1104</v>
      </c>
      <c r="AH127" s="202" t="s">
        <v>19</v>
      </c>
      <c r="AI127" s="35" t="s">
        <v>1880</v>
      </c>
      <c r="AJ127" s="1537"/>
    </row>
    <row r="128" spans="1:36" s="11" customFormat="1" ht="26.25" customHeight="1" x14ac:dyDescent="0.15">
      <c r="A128" s="8">
        <f t="shared" si="0"/>
        <v>126</v>
      </c>
      <c r="B128" s="36" t="s">
        <v>9689</v>
      </c>
      <c r="C128" s="1538" t="s">
        <v>111</v>
      </c>
      <c r="D128" s="1538" t="s">
        <v>111</v>
      </c>
      <c r="E128" s="1538" t="s">
        <v>111</v>
      </c>
      <c r="F128" s="29" t="s">
        <v>8031</v>
      </c>
      <c r="G128" s="53" t="s">
        <v>9691</v>
      </c>
      <c r="H128" s="26" t="s">
        <v>448</v>
      </c>
      <c r="I128" s="26" t="s">
        <v>448</v>
      </c>
      <c r="J128" s="26" t="s">
        <v>448</v>
      </c>
      <c r="K128" s="1537" t="s">
        <v>3649</v>
      </c>
      <c r="L128" s="1537" t="s">
        <v>4750</v>
      </c>
      <c r="M128" s="1537" t="s">
        <v>8034</v>
      </c>
      <c r="N128" s="22" t="s">
        <v>1138</v>
      </c>
      <c r="O128" s="1538" t="s">
        <v>1826</v>
      </c>
      <c r="P128" s="1538" t="s">
        <v>111</v>
      </c>
      <c r="Q128" s="1537" t="s">
        <v>1131</v>
      </c>
      <c r="R128" s="54" t="s">
        <v>6266</v>
      </c>
      <c r="S128" s="1538" t="s">
        <v>111</v>
      </c>
      <c r="T128" s="1537" t="s">
        <v>5487</v>
      </c>
      <c r="U128" s="1537" t="s">
        <v>5487</v>
      </c>
      <c r="V128" s="24" t="s">
        <v>9684</v>
      </c>
      <c r="W128" s="90" t="s">
        <v>9656</v>
      </c>
      <c r="X128" s="24" t="s">
        <v>110</v>
      </c>
      <c r="Y128" s="24">
        <v>1</v>
      </c>
      <c r="Z128" s="24" t="s">
        <v>9685</v>
      </c>
      <c r="AA128" s="24" t="s">
        <v>9686</v>
      </c>
      <c r="AB128" s="30"/>
      <c r="AC128" s="30">
        <v>20.7</v>
      </c>
      <c r="AD128" s="30">
        <v>20.7</v>
      </c>
      <c r="AE128" s="59"/>
      <c r="AF128" s="59"/>
      <c r="AG128" s="35" t="s">
        <v>1104</v>
      </c>
      <c r="AH128" s="202" t="s">
        <v>19</v>
      </c>
      <c r="AI128" s="35" t="s">
        <v>1880</v>
      </c>
      <c r="AJ128" s="1537"/>
    </row>
    <row r="129" spans="1:36" s="11" customFormat="1" ht="26.25" customHeight="1" x14ac:dyDescent="0.15">
      <c r="A129" s="8">
        <f t="shared" si="0"/>
        <v>127</v>
      </c>
      <c r="B129" s="36" t="s">
        <v>9690</v>
      </c>
      <c r="C129" s="1538" t="s">
        <v>111</v>
      </c>
      <c r="D129" s="1538" t="s">
        <v>111</v>
      </c>
      <c r="E129" s="1538" t="s">
        <v>111</v>
      </c>
      <c r="F129" s="29" t="s">
        <v>8031</v>
      </c>
      <c r="G129" s="53" t="s">
        <v>9691</v>
      </c>
      <c r="H129" s="26" t="s">
        <v>448</v>
      </c>
      <c r="I129" s="26" t="s">
        <v>448</v>
      </c>
      <c r="J129" s="26" t="s">
        <v>448</v>
      </c>
      <c r="K129" s="1537" t="s">
        <v>3649</v>
      </c>
      <c r="L129" s="1537" t="s">
        <v>4750</v>
      </c>
      <c r="M129" s="1537" t="s">
        <v>8040</v>
      </c>
      <c r="N129" s="22" t="s">
        <v>8053</v>
      </c>
      <c r="O129" s="22" t="s">
        <v>5431</v>
      </c>
      <c r="P129" s="1538" t="s">
        <v>111</v>
      </c>
      <c r="Q129" s="1537" t="s">
        <v>1131</v>
      </c>
      <c r="R129" s="54" t="s">
        <v>6266</v>
      </c>
      <c r="S129" s="1538" t="s">
        <v>111</v>
      </c>
      <c r="T129" s="1537" t="s">
        <v>5487</v>
      </c>
      <c r="U129" s="1537" t="s">
        <v>5487</v>
      </c>
      <c r="V129" s="24" t="s">
        <v>9684</v>
      </c>
      <c r="W129" s="90" t="s">
        <v>9656</v>
      </c>
      <c r="X129" s="24" t="s">
        <v>110</v>
      </c>
      <c r="Y129" s="24">
        <v>1</v>
      </c>
      <c r="Z129" s="24" t="s">
        <v>9685</v>
      </c>
      <c r="AA129" s="24" t="s">
        <v>9686</v>
      </c>
      <c r="AB129" s="30"/>
      <c r="AC129" s="30">
        <v>20.7</v>
      </c>
      <c r="AD129" s="30">
        <v>20.7</v>
      </c>
      <c r="AE129" s="59"/>
      <c r="AF129" s="59"/>
      <c r="AG129" s="35" t="s">
        <v>1104</v>
      </c>
      <c r="AH129" s="202" t="s">
        <v>19</v>
      </c>
      <c r="AI129" s="35" t="s">
        <v>1880</v>
      </c>
      <c r="AJ129" s="1537"/>
    </row>
    <row r="130" spans="1:36" s="11" customFormat="1" ht="26.25" customHeight="1" x14ac:dyDescent="0.15">
      <c r="A130" s="8">
        <f t="shared" si="0"/>
        <v>128</v>
      </c>
      <c r="B130" s="36" t="s">
        <v>9681</v>
      </c>
      <c r="C130" s="1538" t="s">
        <v>111</v>
      </c>
      <c r="D130" s="1538" t="s">
        <v>111</v>
      </c>
      <c r="E130" s="1538" t="s">
        <v>111</v>
      </c>
      <c r="F130" s="29" t="s">
        <v>8044</v>
      </c>
      <c r="G130" s="53" t="s">
        <v>9692</v>
      </c>
      <c r="H130" s="26" t="s">
        <v>448</v>
      </c>
      <c r="I130" s="26" t="s">
        <v>448</v>
      </c>
      <c r="J130" s="26" t="s">
        <v>448</v>
      </c>
      <c r="K130" s="1537" t="s">
        <v>3649</v>
      </c>
      <c r="L130" s="1537" t="s">
        <v>4750</v>
      </c>
      <c r="M130" s="1537" t="s">
        <v>8039</v>
      </c>
      <c r="N130" s="22" t="s">
        <v>8052</v>
      </c>
      <c r="O130" s="22" t="s">
        <v>5431</v>
      </c>
      <c r="P130" s="1538" t="s">
        <v>111</v>
      </c>
      <c r="Q130" s="1537" t="s">
        <v>1131</v>
      </c>
      <c r="R130" s="54" t="s">
        <v>6266</v>
      </c>
      <c r="S130" s="1538" t="s">
        <v>111</v>
      </c>
      <c r="T130" s="1537" t="s">
        <v>5487</v>
      </c>
      <c r="U130" s="1537" t="s">
        <v>5487</v>
      </c>
      <c r="V130" s="24" t="s">
        <v>9684</v>
      </c>
      <c r="W130" s="90" t="s">
        <v>9656</v>
      </c>
      <c r="X130" s="24" t="s">
        <v>110</v>
      </c>
      <c r="Y130" s="24">
        <v>1</v>
      </c>
      <c r="Z130" s="24" t="s">
        <v>8926</v>
      </c>
      <c r="AA130" s="24" t="s">
        <v>10939</v>
      </c>
      <c r="AB130" s="30"/>
      <c r="AC130" s="30">
        <v>20.7</v>
      </c>
      <c r="AD130" s="30">
        <v>20.7</v>
      </c>
      <c r="AE130" s="59"/>
      <c r="AF130" s="59"/>
      <c r="AG130" s="35" t="s">
        <v>1104</v>
      </c>
      <c r="AH130" s="202" t="s">
        <v>19</v>
      </c>
      <c r="AI130" s="35" t="s">
        <v>1880</v>
      </c>
      <c r="AJ130" s="1537"/>
    </row>
    <row r="131" spans="1:36" s="11" customFormat="1" ht="26.25" customHeight="1" x14ac:dyDescent="0.15">
      <c r="A131" s="8">
        <f t="shared" si="0"/>
        <v>129</v>
      </c>
      <c r="B131" s="36" t="s">
        <v>9682</v>
      </c>
      <c r="C131" s="1538" t="s">
        <v>111</v>
      </c>
      <c r="D131" s="1538" t="s">
        <v>111</v>
      </c>
      <c r="E131" s="1538" t="s">
        <v>111</v>
      </c>
      <c r="F131" s="29" t="s">
        <v>8648</v>
      </c>
      <c r="G131" s="53" t="s">
        <v>9693</v>
      </c>
      <c r="H131" s="26" t="s">
        <v>448</v>
      </c>
      <c r="I131" s="1537" t="s">
        <v>8656</v>
      </c>
      <c r="J131" s="1537" t="s">
        <v>8657</v>
      </c>
      <c r="K131" s="1537" t="s">
        <v>4791</v>
      </c>
      <c r="L131" s="1537" t="s">
        <v>4792</v>
      </c>
      <c r="M131" s="1537" t="s">
        <v>8650</v>
      </c>
      <c r="N131" s="22" t="s">
        <v>4780</v>
      </c>
      <c r="O131" s="22" t="s">
        <v>1826</v>
      </c>
      <c r="P131" s="1538" t="s">
        <v>111</v>
      </c>
      <c r="Q131" s="1537" t="s">
        <v>1131</v>
      </c>
      <c r="R131" s="54" t="s">
        <v>6266</v>
      </c>
      <c r="S131" s="1538" t="s">
        <v>111</v>
      </c>
      <c r="T131" s="1537" t="s">
        <v>446</v>
      </c>
      <c r="U131" s="1537" t="s">
        <v>446</v>
      </c>
      <c r="V131" s="24" t="s">
        <v>9684</v>
      </c>
      <c r="W131" s="90" t="s">
        <v>9694</v>
      </c>
      <c r="X131" s="24" t="s">
        <v>110</v>
      </c>
      <c r="Y131" s="24">
        <v>2</v>
      </c>
      <c r="Z131" s="24" t="s">
        <v>9695</v>
      </c>
      <c r="AA131" s="24" t="s">
        <v>9696</v>
      </c>
      <c r="AB131" s="30"/>
      <c r="AC131" s="30">
        <v>24</v>
      </c>
      <c r="AD131" s="30">
        <v>24</v>
      </c>
      <c r="AE131" s="59"/>
      <c r="AF131" s="59"/>
      <c r="AG131" s="35" t="s">
        <v>1104</v>
      </c>
      <c r="AH131" s="202" t="s">
        <v>19</v>
      </c>
      <c r="AI131" s="35" t="s">
        <v>1880</v>
      </c>
      <c r="AJ131" s="1537"/>
    </row>
    <row r="132" spans="1:36" s="11" customFormat="1" ht="26.25" customHeight="1" x14ac:dyDescent="0.15">
      <c r="A132" s="8">
        <f t="shared" si="0"/>
        <v>130</v>
      </c>
      <c r="B132" s="36" t="s">
        <v>9698</v>
      </c>
      <c r="C132" s="1542" t="s">
        <v>111</v>
      </c>
      <c r="D132" s="1542" t="s">
        <v>111</v>
      </c>
      <c r="E132" s="1542" t="s">
        <v>111</v>
      </c>
      <c r="F132" s="29" t="s">
        <v>8974</v>
      </c>
      <c r="G132" s="53" t="s">
        <v>9701</v>
      </c>
      <c r="H132" s="26" t="s">
        <v>8757</v>
      </c>
      <c r="I132" s="26" t="s">
        <v>9606</v>
      </c>
      <c r="J132" s="26" t="s">
        <v>9607</v>
      </c>
      <c r="K132" s="1541" t="s">
        <v>3649</v>
      </c>
      <c r="L132" s="1541" t="s">
        <v>4750</v>
      </c>
      <c r="M132" s="1541" t="s">
        <v>9608</v>
      </c>
      <c r="N132" s="22" t="s">
        <v>9611</v>
      </c>
      <c r="O132" s="1542" t="s">
        <v>5478</v>
      </c>
      <c r="P132" s="1542" t="s">
        <v>111</v>
      </c>
      <c r="Q132" s="1541" t="s">
        <v>4676</v>
      </c>
      <c r="R132" s="54" t="s">
        <v>6266</v>
      </c>
      <c r="S132" s="1542" t="s">
        <v>111</v>
      </c>
      <c r="T132" s="1537" t="s">
        <v>5487</v>
      </c>
      <c r="U132" s="1537" t="s">
        <v>5487</v>
      </c>
      <c r="V132" s="24" t="s">
        <v>9697</v>
      </c>
      <c r="W132" s="90" t="s">
        <v>9702</v>
      </c>
      <c r="X132" s="24" t="s">
        <v>110</v>
      </c>
      <c r="Y132" s="24">
        <v>1</v>
      </c>
      <c r="Z132" s="24" t="s">
        <v>9703</v>
      </c>
      <c r="AA132" s="24" t="s">
        <v>9704</v>
      </c>
      <c r="AB132" s="30"/>
      <c r="AC132" s="30">
        <v>20.7</v>
      </c>
      <c r="AD132" s="30">
        <v>20.7</v>
      </c>
      <c r="AE132" s="59"/>
      <c r="AF132" s="59"/>
      <c r="AG132" s="35" t="s">
        <v>1104</v>
      </c>
      <c r="AH132" s="202" t="s">
        <v>19</v>
      </c>
      <c r="AI132" s="35" t="s">
        <v>1880</v>
      </c>
      <c r="AJ132" s="1537"/>
    </row>
    <row r="133" spans="1:36" s="11" customFormat="1" ht="26.25" customHeight="1" x14ac:dyDescent="0.15">
      <c r="A133" s="8">
        <f t="shared" si="0"/>
        <v>131</v>
      </c>
      <c r="B133" s="36" t="s">
        <v>9699</v>
      </c>
      <c r="C133" s="1542" t="s">
        <v>111</v>
      </c>
      <c r="D133" s="1542" t="s">
        <v>111</v>
      </c>
      <c r="E133" s="1542" t="s">
        <v>111</v>
      </c>
      <c r="F133" s="29" t="s">
        <v>8974</v>
      </c>
      <c r="G133" s="53" t="s">
        <v>9708</v>
      </c>
      <c r="H133" s="26" t="s">
        <v>8757</v>
      </c>
      <c r="I133" s="26" t="s">
        <v>9606</v>
      </c>
      <c r="J133" s="26" t="s">
        <v>9607</v>
      </c>
      <c r="K133" s="1541" t="s">
        <v>3649</v>
      </c>
      <c r="L133" s="1541" t="s">
        <v>4750</v>
      </c>
      <c r="M133" s="1541" t="s">
        <v>8289</v>
      </c>
      <c r="N133" s="22" t="s">
        <v>9613</v>
      </c>
      <c r="O133" s="22" t="s">
        <v>1826</v>
      </c>
      <c r="P133" s="1542" t="s">
        <v>111</v>
      </c>
      <c r="Q133" s="1541" t="s">
        <v>1131</v>
      </c>
      <c r="R133" s="54" t="s">
        <v>6266</v>
      </c>
      <c r="S133" s="1542" t="s">
        <v>111</v>
      </c>
      <c r="T133" s="1541" t="s">
        <v>5487</v>
      </c>
      <c r="U133" s="1541" t="s">
        <v>5487</v>
      </c>
      <c r="V133" s="24" t="s">
        <v>9697</v>
      </c>
      <c r="W133" s="90" t="s">
        <v>9702</v>
      </c>
      <c r="X133" s="24" t="s">
        <v>110</v>
      </c>
      <c r="Y133" s="24">
        <v>1</v>
      </c>
      <c r="Z133" s="24" t="s">
        <v>9709</v>
      </c>
      <c r="AA133" s="24" t="s">
        <v>9710</v>
      </c>
      <c r="AB133" s="30"/>
      <c r="AC133" s="30">
        <v>20.7</v>
      </c>
      <c r="AD133" s="30">
        <v>20.7</v>
      </c>
      <c r="AE133" s="59"/>
      <c r="AF133" s="59"/>
      <c r="AG133" s="35" t="s">
        <v>1104</v>
      </c>
      <c r="AH133" s="202" t="s">
        <v>19</v>
      </c>
      <c r="AI133" s="35" t="s">
        <v>1880</v>
      </c>
      <c r="AJ133" s="1526"/>
    </row>
    <row r="134" spans="1:36" s="11" customFormat="1" ht="26.25" customHeight="1" x14ac:dyDescent="0.15">
      <c r="A134" s="8">
        <f t="shared" si="0"/>
        <v>132</v>
      </c>
      <c r="B134" s="36" t="s">
        <v>9700</v>
      </c>
      <c r="C134" s="1542" t="s">
        <v>111</v>
      </c>
      <c r="D134" s="1542" t="s">
        <v>111</v>
      </c>
      <c r="E134" s="1542" t="s">
        <v>111</v>
      </c>
      <c r="F134" s="29" t="s">
        <v>8974</v>
      </c>
      <c r="G134" s="53" t="s">
        <v>9706</v>
      </c>
      <c r="H134" s="26" t="s">
        <v>8757</v>
      </c>
      <c r="I134" s="26" t="s">
        <v>9606</v>
      </c>
      <c r="J134" s="26" t="s">
        <v>9607</v>
      </c>
      <c r="K134" s="1541" t="s">
        <v>3649</v>
      </c>
      <c r="L134" s="1541" t="s">
        <v>4750</v>
      </c>
      <c r="M134" s="1541" t="s">
        <v>9610</v>
      </c>
      <c r="N134" s="22" t="s">
        <v>9612</v>
      </c>
      <c r="O134" s="1542" t="s">
        <v>1826</v>
      </c>
      <c r="P134" s="1542" t="s">
        <v>111</v>
      </c>
      <c r="Q134" s="1541" t="s">
        <v>1131</v>
      </c>
      <c r="R134" s="54" t="s">
        <v>6266</v>
      </c>
      <c r="S134" s="1542" t="s">
        <v>111</v>
      </c>
      <c r="T134" s="1541" t="s">
        <v>5487</v>
      </c>
      <c r="U134" s="1541" t="s">
        <v>5487</v>
      </c>
      <c r="V134" s="24" t="s">
        <v>9697</v>
      </c>
      <c r="W134" s="90" t="s">
        <v>9702</v>
      </c>
      <c r="X134" s="24" t="s">
        <v>110</v>
      </c>
      <c r="Y134" s="24">
        <v>1</v>
      </c>
      <c r="Z134" s="24" t="s">
        <v>9707</v>
      </c>
      <c r="AA134" s="24" t="s">
        <v>9750</v>
      </c>
      <c r="AB134" s="30"/>
      <c r="AC134" s="30">
        <v>20.7</v>
      </c>
      <c r="AD134" s="30">
        <v>20.7</v>
      </c>
      <c r="AE134" s="59"/>
      <c r="AF134" s="59"/>
      <c r="AG134" s="35" t="s">
        <v>1104</v>
      </c>
      <c r="AH134" s="202" t="s">
        <v>19</v>
      </c>
      <c r="AI134" s="35" t="s">
        <v>1880</v>
      </c>
      <c r="AJ134" s="1436"/>
    </row>
    <row r="135" spans="1:36" s="11" customFormat="1" ht="26.25" customHeight="1" x14ac:dyDescent="0.15">
      <c r="A135" s="8">
        <f t="shared" si="0"/>
        <v>133</v>
      </c>
      <c r="B135" s="36" t="s">
        <v>9705</v>
      </c>
      <c r="C135" s="1542" t="s">
        <v>111</v>
      </c>
      <c r="D135" s="1542" t="s">
        <v>111</v>
      </c>
      <c r="E135" s="1542" t="s">
        <v>111</v>
      </c>
      <c r="F135" s="29" t="s">
        <v>9711</v>
      </c>
      <c r="G135" s="53" t="s">
        <v>9712</v>
      </c>
      <c r="H135" s="26" t="s">
        <v>448</v>
      </c>
      <c r="I135" s="26" t="s">
        <v>448</v>
      </c>
      <c r="J135" s="26" t="s">
        <v>448</v>
      </c>
      <c r="K135" s="1540" t="s">
        <v>2113</v>
      </c>
      <c r="L135" s="1540" t="s">
        <v>1779</v>
      </c>
      <c r="M135" s="1540" t="s">
        <v>1778</v>
      </c>
      <c r="N135" s="22" t="s">
        <v>1777</v>
      </c>
      <c r="O135" s="1542" t="s">
        <v>1826</v>
      </c>
      <c r="P135" s="1542" t="s">
        <v>111</v>
      </c>
      <c r="Q135" s="1541" t="s">
        <v>1131</v>
      </c>
      <c r="R135" s="54" t="s">
        <v>5567</v>
      </c>
      <c r="S135" s="1542" t="s">
        <v>111</v>
      </c>
      <c r="T135" s="1539" t="s">
        <v>5489</v>
      </c>
      <c r="U135" s="1539" t="s">
        <v>5489</v>
      </c>
      <c r="V135" s="24" t="s">
        <v>9713</v>
      </c>
      <c r="W135" s="90" t="s">
        <v>9697</v>
      </c>
      <c r="X135" s="24" t="s">
        <v>108</v>
      </c>
      <c r="Y135" s="10">
        <v>1</v>
      </c>
      <c r="Z135" s="24" t="s">
        <v>448</v>
      </c>
      <c r="AA135" s="24" t="s">
        <v>448</v>
      </c>
      <c r="AB135" s="30">
        <v>1</v>
      </c>
      <c r="AC135" s="30"/>
      <c r="AD135" s="30">
        <v>1</v>
      </c>
      <c r="AE135" s="59"/>
      <c r="AF135" s="59"/>
      <c r="AG135" s="35" t="s">
        <v>1104</v>
      </c>
      <c r="AH135" s="202" t="s">
        <v>19</v>
      </c>
      <c r="AI135" s="35" t="s">
        <v>1880</v>
      </c>
      <c r="AJ135" s="1539"/>
    </row>
    <row r="136" spans="1:36" s="11" customFormat="1" ht="26.25" customHeight="1" x14ac:dyDescent="0.15">
      <c r="A136" s="8">
        <f t="shared" si="0"/>
        <v>134</v>
      </c>
      <c r="B136" s="36" t="s">
        <v>9714</v>
      </c>
      <c r="C136" s="1544" t="s">
        <v>111</v>
      </c>
      <c r="D136" s="1544" t="s">
        <v>111</v>
      </c>
      <c r="E136" s="1544" t="s">
        <v>111</v>
      </c>
      <c r="F136" s="151" t="s">
        <v>9726</v>
      </c>
      <c r="G136" s="54" t="s">
        <v>9731</v>
      </c>
      <c r="H136" s="26" t="s">
        <v>448</v>
      </c>
      <c r="I136" s="26" t="s">
        <v>448</v>
      </c>
      <c r="J136" s="26" t="s">
        <v>448</v>
      </c>
      <c r="K136" s="1544" t="s">
        <v>2135</v>
      </c>
      <c r="L136" s="1544" t="s">
        <v>2533</v>
      </c>
      <c r="M136" s="1543" t="s">
        <v>1010</v>
      </c>
      <c r="N136" s="2" t="s">
        <v>1011</v>
      </c>
      <c r="O136" s="1544" t="s">
        <v>1826</v>
      </c>
      <c r="P136" s="1544" t="s">
        <v>111</v>
      </c>
      <c r="Q136" s="22" t="s">
        <v>454</v>
      </c>
      <c r="R136" s="151" t="s">
        <v>2423</v>
      </c>
      <c r="S136" s="1544" t="s">
        <v>111</v>
      </c>
      <c r="T136" s="1543" t="s">
        <v>5487</v>
      </c>
      <c r="U136" s="1543" t="s">
        <v>5487</v>
      </c>
      <c r="V136" s="24" t="s">
        <v>9727</v>
      </c>
      <c r="W136" s="90" t="s">
        <v>9665</v>
      </c>
      <c r="X136" s="24" t="s">
        <v>110</v>
      </c>
      <c r="Y136" s="24">
        <v>1</v>
      </c>
      <c r="Z136" s="24" t="s">
        <v>9728</v>
      </c>
      <c r="AA136" s="24" t="s">
        <v>9729</v>
      </c>
      <c r="AB136" s="30"/>
      <c r="AC136" s="30">
        <v>20.7</v>
      </c>
      <c r="AD136" s="30">
        <v>20.7</v>
      </c>
      <c r="AE136" s="59"/>
      <c r="AF136" s="59"/>
      <c r="AG136" s="35" t="s">
        <v>1104</v>
      </c>
      <c r="AH136" s="202" t="s">
        <v>19</v>
      </c>
      <c r="AI136" s="35" t="s">
        <v>1880</v>
      </c>
      <c r="AJ136" s="1543"/>
    </row>
    <row r="137" spans="1:36" s="11" customFormat="1" ht="26.25" customHeight="1" x14ac:dyDescent="0.15">
      <c r="A137" s="8">
        <f t="shared" si="0"/>
        <v>135</v>
      </c>
      <c r="B137" s="36" t="s">
        <v>9715</v>
      </c>
      <c r="C137" s="1544" t="s">
        <v>111</v>
      </c>
      <c r="D137" s="1544" t="s">
        <v>111</v>
      </c>
      <c r="E137" s="1544" t="s">
        <v>111</v>
      </c>
      <c r="F137" s="151" t="s">
        <v>8707</v>
      </c>
      <c r="G137" s="54" t="s">
        <v>9730</v>
      </c>
      <c r="H137" s="26" t="s">
        <v>448</v>
      </c>
      <c r="I137" s="26" t="s">
        <v>448</v>
      </c>
      <c r="J137" s="26" t="s">
        <v>448</v>
      </c>
      <c r="K137" s="1544" t="s">
        <v>2135</v>
      </c>
      <c r="L137" s="1544" t="s">
        <v>2533</v>
      </c>
      <c r="M137" s="21" t="s">
        <v>3667</v>
      </c>
      <c r="N137" s="1543" t="s">
        <v>3668</v>
      </c>
      <c r="O137" s="1544" t="s">
        <v>1826</v>
      </c>
      <c r="P137" s="1544" t="s">
        <v>111</v>
      </c>
      <c r="Q137" s="22" t="s">
        <v>454</v>
      </c>
      <c r="R137" s="151" t="s">
        <v>2423</v>
      </c>
      <c r="S137" s="1544" t="s">
        <v>111</v>
      </c>
      <c r="T137" s="1543" t="s">
        <v>5487</v>
      </c>
      <c r="U137" s="1543" t="s">
        <v>5487</v>
      </c>
      <c r="V137" s="24" t="s">
        <v>9727</v>
      </c>
      <c r="W137" s="90" t="s">
        <v>9665</v>
      </c>
      <c r="X137" s="24" t="s">
        <v>110</v>
      </c>
      <c r="Y137" s="24">
        <v>1</v>
      </c>
      <c r="Z137" s="24" t="s">
        <v>9728</v>
      </c>
      <c r="AA137" s="24" t="s">
        <v>9729</v>
      </c>
      <c r="AB137" s="30"/>
      <c r="AC137" s="30">
        <v>20.7</v>
      </c>
      <c r="AD137" s="30">
        <v>20.7</v>
      </c>
      <c r="AE137" s="59"/>
      <c r="AF137" s="59"/>
      <c r="AG137" s="35" t="s">
        <v>1104</v>
      </c>
      <c r="AH137" s="202" t="s">
        <v>19</v>
      </c>
      <c r="AI137" s="35" t="s">
        <v>1880</v>
      </c>
      <c r="AJ137" s="1543"/>
    </row>
    <row r="138" spans="1:36" s="11" customFormat="1" ht="26.25" customHeight="1" x14ac:dyDescent="0.15">
      <c r="A138" s="8">
        <f t="shared" si="0"/>
        <v>136</v>
      </c>
      <c r="B138" s="36" t="s">
        <v>9716</v>
      </c>
      <c r="C138" s="1544" t="s">
        <v>111</v>
      </c>
      <c r="D138" s="1544" t="s">
        <v>111</v>
      </c>
      <c r="E138" s="1544" t="s">
        <v>111</v>
      </c>
      <c r="F138" s="54" t="s">
        <v>8559</v>
      </c>
      <c r="G138" s="54" t="s">
        <v>9732</v>
      </c>
      <c r="H138" s="26" t="s">
        <v>448</v>
      </c>
      <c r="I138" s="26" t="s">
        <v>448</v>
      </c>
      <c r="J138" s="26" t="s">
        <v>448</v>
      </c>
      <c r="K138" s="1544" t="s">
        <v>2135</v>
      </c>
      <c r="L138" s="1544" t="s">
        <v>2533</v>
      </c>
      <c r="M138" s="21" t="s">
        <v>3636</v>
      </c>
      <c r="N138" s="1544" t="s">
        <v>3637</v>
      </c>
      <c r="O138" s="1544" t="s">
        <v>2142</v>
      </c>
      <c r="P138" s="1544" t="s">
        <v>111</v>
      </c>
      <c r="Q138" s="22" t="s">
        <v>575</v>
      </c>
      <c r="R138" s="151" t="s">
        <v>2423</v>
      </c>
      <c r="S138" s="1544" t="s">
        <v>111</v>
      </c>
      <c r="T138" s="1543" t="s">
        <v>5487</v>
      </c>
      <c r="U138" s="1543" t="s">
        <v>5487</v>
      </c>
      <c r="V138" s="24" t="s">
        <v>9727</v>
      </c>
      <c r="W138" s="90" t="s">
        <v>9665</v>
      </c>
      <c r="X138" s="24" t="s">
        <v>110</v>
      </c>
      <c r="Y138" s="24">
        <v>1</v>
      </c>
      <c r="Z138" s="24" t="s">
        <v>9728</v>
      </c>
      <c r="AA138" s="24" t="s">
        <v>9729</v>
      </c>
      <c r="AB138" s="30"/>
      <c r="AC138" s="30">
        <v>20.7</v>
      </c>
      <c r="AD138" s="30">
        <v>20.7</v>
      </c>
      <c r="AE138" s="59"/>
      <c r="AF138" s="59"/>
      <c r="AG138" s="35" t="s">
        <v>1104</v>
      </c>
      <c r="AH138" s="202" t="s">
        <v>19</v>
      </c>
      <c r="AI138" s="35" t="s">
        <v>1880</v>
      </c>
      <c r="AJ138" s="1543"/>
    </row>
    <row r="139" spans="1:36" s="11" customFormat="1" ht="26.25" customHeight="1" x14ac:dyDescent="0.15">
      <c r="A139" s="8">
        <f t="shared" si="0"/>
        <v>137</v>
      </c>
      <c r="B139" s="36" t="s">
        <v>9717</v>
      </c>
      <c r="C139" s="1544" t="s">
        <v>111</v>
      </c>
      <c r="D139" s="1544" t="s">
        <v>111</v>
      </c>
      <c r="E139" s="1544" t="s">
        <v>111</v>
      </c>
      <c r="F139" s="151" t="s">
        <v>8007</v>
      </c>
      <c r="G139" s="54" t="s">
        <v>9733</v>
      </c>
      <c r="H139" s="26" t="s">
        <v>448</v>
      </c>
      <c r="I139" s="26" t="s">
        <v>448</v>
      </c>
      <c r="J139" s="26" t="s">
        <v>448</v>
      </c>
      <c r="K139" s="1544" t="s">
        <v>2135</v>
      </c>
      <c r="L139" s="1544" t="s">
        <v>2533</v>
      </c>
      <c r="M139" s="21" t="s">
        <v>3634</v>
      </c>
      <c r="N139" s="1544" t="s">
        <v>3635</v>
      </c>
      <c r="O139" s="1544" t="s">
        <v>1826</v>
      </c>
      <c r="P139" s="1544" t="s">
        <v>111</v>
      </c>
      <c r="Q139" s="22" t="s">
        <v>454</v>
      </c>
      <c r="R139" s="151" t="s">
        <v>2423</v>
      </c>
      <c r="S139" s="1544" t="s">
        <v>111</v>
      </c>
      <c r="T139" s="1543" t="s">
        <v>5487</v>
      </c>
      <c r="U139" s="1543" t="s">
        <v>5487</v>
      </c>
      <c r="V139" s="24" t="s">
        <v>9727</v>
      </c>
      <c r="W139" s="90" t="s">
        <v>9665</v>
      </c>
      <c r="X139" s="24" t="s">
        <v>110</v>
      </c>
      <c r="Y139" s="24">
        <v>1</v>
      </c>
      <c r="Z139" s="24" t="s">
        <v>9728</v>
      </c>
      <c r="AA139" s="24" t="s">
        <v>9729</v>
      </c>
      <c r="AB139" s="30"/>
      <c r="AC139" s="30">
        <v>20.7</v>
      </c>
      <c r="AD139" s="30">
        <v>20.7</v>
      </c>
      <c r="AE139" s="59"/>
      <c r="AF139" s="59"/>
      <c r="AG139" s="35" t="s">
        <v>1104</v>
      </c>
      <c r="AH139" s="202" t="s">
        <v>19</v>
      </c>
      <c r="AI139" s="35" t="s">
        <v>1880</v>
      </c>
      <c r="AJ139" s="1543"/>
    </row>
    <row r="140" spans="1:36" s="11" customFormat="1" ht="26.25" customHeight="1" x14ac:dyDescent="0.15">
      <c r="A140" s="8">
        <f t="shared" si="0"/>
        <v>138</v>
      </c>
      <c r="B140" s="36" t="s">
        <v>9718</v>
      </c>
      <c r="C140" s="1544" t="s">
        <v>111</v>
      </c>
      <c r="D140" s="1544" t="s">
        <v>111</v>
      </c>
      <c r="E140" s="1544" t="s">
        <v>111</v>
      </c>
      <c r="F140" s="151" t="s">
        <v>8008</v>
      </c>
      <c r="G140" s="54" t="s">
        <v>9734</v>
      </c>
      <c r="H140" s="26" t="s">
        <v>448</v>
      </c>
      <c r="I140" s="26" t="s">
        <v>448</v>
      </c>
      <c r="J140" s="26" t="s">
        <v>448</v>
      </c>
      <c r="K140" s="1544" t="s">
        <v>2135</v>
      </c>
      <c r="L140" s="1544" t="s">
        <v>2533</v>
      </c>
      <c r="M140" s="44" t="s">
        <v>3644</v>
      </c>
      <c r="N140" s="71" t="s">
        <v>3633</v>
      </c>
      <c r="O140" s="1544" t="s">
        <v>1826</v>
      </c>
      <c r="P140" s="1544" t="s">
        <v>111</v>
      </c>
      <c r="Q140" s="22" t="s">
        <v>454</v>
      </c>
      <c r="R140" s="151" t="s">
        <v>2423</v>
      </c>
      <c r="S140" s="1544" t="s">
        <v>111</v>
      </c>
      <c r="T140" s="1543" t="s">
        <v>5487</v>
      </c>
      <c r="U140" s="1543" t="s">
        <v>5487</v>
      </c>
      <c r="V140" s="24" t="s">
        <v>9727</v>
      </c>
      <c r="W140" s="90" t="s">
        <v>9665</v>
      </c>
      <c r="X140" s="24" t="s">
        <v>110</v>
      </c>
      <c r="Y140" s="24">
        <v>1</v>
      </c>
      <c r="Z140" s="24" t="s">
        <v>9728</v>
      </c>
      <c r="AA140" s="24" t="s">
        <v>9729</v>
      </c>
      <c r="AB140" s="30"/>
      <c r="AC140" s="30">
        <v>20.7</v>
      </c>
      <c r="AD140" s="30">
        <v>20.7</v>
      </c>
      <c r="AE140" s="59"/>
      <c r="AF140" s="59"/>
      <c r="AG140" s="35" t="s">
        <v>1104</v>
      </c>
      <c r="AH140" s="202" t="s">
        <v>19</v>
      </c>
      <c r="AI140" s="35" t="s">
        <v>1880</v>
      </c>
      <c r="AJ140" s="1543"/>
    </row>
    <row r="141" spans="1:36" s="11" customFormat="1" ht="26.25" customHeight="1" x14ac:dyDescent="0.15">
      <c r="A141" s="8">
        <f t="shared" si="0"/>
        <v>139</v>
      </c>
      <c r="B141" s="36" t="s">
        <v>9719</v>
      </c>
      <c r="C141" s="1544" t="s">
        <v>111</v>
      </c>
      <c r="D141" s="1544" t="s">
        <v>111</v>
      </c>
      <c r="E141" s="1544" t="s">
        <v>111</v>
      </c>
      <c r="F141" s="151" t="s">
        <v>8007</v>
      </c>
      <c r="G141" s="54" t="s">
        <v>9735</v>
      </c>
      <c r="H141" s="26" t="s">
        <v>448</v>
      </c>
      <c r="I141" s="26" t="s">
        <v>448</v>
      </c>
      <c r="J141" s="26" t="s">
        <v>448</v>
      </c>
      <c r="K141" s="1544" t="s">
        <v>2135</v>
      </c>
      <c r="L141" s="1544" t="s">
        <v>2533</v>
      </c>
      <c r="M141" s="21" t="s">
        <v>3630</v>
      </c>
      <c r="N141" s="2" t="s">
        <v>1018</v>
      </c>
      <c r="O141" s="1544" t="s">
        <v>2142</v>
      </c>
      <c r="P141" s="1544" t="s">
        <v>111</v>
      </c>
      <c r="Q141" s="22" t="s">
        <v>575</v>
      </c>
      <c r="R141" s="151" t="s">
        <v>2423</v>
      </c>
      <c r="S141" s="1544" t="s">
        <v>111</v>
      </c>
      <c r="T141" s="1543" t="s">
        <v>5487</v>
      </c>
      <c r="U141" s="1543" t="s">
        <v>5487</v>
      </c>
      <c r="V141" s="24" t="s">
        <v>9727</v>
      </c>
      <c r="W141" s="90" t="s">
        <v>9665</v>
      </c>
      <c r="X141" s="24" t="s">
        <v>110</v>
      </c>
      <c r="Y141" s="24">
        <v>1</v>
      </c>
      <c r="Z141" s="24" t="s">
        <v>9728</v>
      </c>
      <c r="AA141" s="24" t="s">
        <v>9729</v>
      </c>
      <c r="AB141" s="30"/>
      <c r="AC141" s="30">
        <v>20.7</v>
      </c>
      <c r="AD141" s="30">
        <v>20.7</v>
      </c>
      <c r="AE141" s="59"/>
      <c r="AF141" s="59"/>
      <c r="AG141" s="35" t="s">
        <v>1104</v>
      </c>
      <c r="AH141" s="202" t="s">
        <v>19</v>
      </c>
      <c r="AI141" s="35" t="s">
        <v>1880</v>
      </c>
      <c r="AJ141" s="1543"/>
    </row>
    <row r="142" spans="1:36" s="11" customFormat="1" ht="26.25" customHeight="1" x14ac:dyDescent="0.15">
      <c r="A142" s="8">
        <f t="shared" si="0"/>
        <v>140</v>
      </c>
      <c r="B142" s="36" t="s">
        <v>9720</v>
      </c>
      <c r="C142" s="1544" t="s">
        <v>111</v>
      </c>
      <c r="D142" s="1544" t="s">
        <v>111</v>
      </c>
      <c r="E142" s="1544" t="s">
        <v>111</v>
      </c>
      <c r="F142" s="151" t="s">
        <v>8899</v>
      </c>
      <c r="G142" s="54" t="s">
        <v>9736</v>
      </c>
      <c r="H142" s="26" t="s">
        <v>448</v>
      </c>
      <c r="I142" s="26" t="s">
        <v>448</v>
      </c>
      <c r="J142" s="26" t="s">
        <v>448</v>
      </c>
      <c r="K142" s="1544" t="s">
        <v>2135</v>
      </c>
      <c r="L142" s="1544" t="s">
        <v>2533</v>
      </c>
      <c r="M142" s="21" t="s">
        <v>3629</v>
      </c>
      <c r="N142" s="71" t="s">
        <v>3645</v>
      </c>
      <c r="O142" s="1544" t="s">
        <v>2142</v>
      </c>
      <c r="P142" s="1544" t="s">
        <v>111</v>
      </c>
      <c r="Q142" s="22" t="s">
        <v>575</v>
      </c>
      <c r="R142" s="151" t="s">
        <v>2423</v>
      </c>
      <c r="S142" s="1544" t="s">
        <v>111</v>
      </c>
      <c r="T142" s="1543" t="s">
        <v>5487</v>
      </c>
      <c r="U142" s="1543" t="s">
        <v>5487</v>
      </c>
      <c r="V142" s="24" t="s">
        <v>9727</v>
      </c>
      <c r="W142" s="90" t="s">
        <v>9665</v>
      </c>
      <c r="X142" s="24" t="s">
        <v>110</v>
      </c>
      <c r="Y142" s="24">
        <v>1</v>
      </c>
      <c r="Z142" s="24" t="s">
        <v>9728</v>
      </c>
      <c r="AA142" s="24" t="s">
        <v>9729</v>
      </c>
      <c r="AB142" s="30"/>
      <c r="AC142" s="30">
        <v>20.7</v>
      </c>
      <c r="AD142" s="30">
        <v>20.7</v>
      </c>
      <c r="AE142" s="59"/>
      <c r="AF142" s="59"/>
      <c r="AG142" s="35" t="s">
        <v>1104</v>
      </c>
      <c r="AH142" s="202" t="s">
        <v>19</v>
      </c>
      <c r="AI142" s="35" t="s">
        <v>1880</v>
      </c>
      <c r="AJ142" s="1543"/>
    </row>
    <row r="143" spans="1:36" s="11" customFormat="1" ht="26.25" customHeight="1" x14ac:dyDescent="0.15">
      <c r="A143" s="8">
        <f t="shared" si="0"/>
        <v>141</v>
      </c>
      <c r="B143" s="36" t="s">
        <v>9721</v>
      </c>
      <c r="C143" s="1544" t="s">
        <v>111</v>
      </c>
      <c r="D143" s="1544" t="s">
        <v>111</v>
      </c>
      <c r="E143" s="1544" t="s">
        <v>111</v>
      </c>
      <c r="F143" s="54" t="s">
        <v>8010</v>
      </c>
      <c r="G143" s="54" t="s">
        <v>9737</v>
      </c>
      <c r="H143" s="26" t="s">
        <v>448</v>
      </c>
      <c r="I143" s="26" t="s">
        <v>448</v>
      </c>
      <c r="J143" s="26" t="s">
        <v>448</v>
      </c>
      <c r="K143" s="1544" t="s">
        <v>2135</v>
      </c>
      <c r="L143" s="1544" t="s">
        <v>2533</v>
      </c>
      <c r="M143" s="21" t="s">
        <v>6631</v>
      </c>
      <c r="N143" s="71" t="s">
        <v>7888</v>
      </c>
      <c r="O143" s="1544" t="s">
        <v>1826</v>
      </c>
      <c r="P143" s="1544" t="s">
        <v>111</v>
      </c>
      <c r="Q143" s="22" t="s">
        <v>454</v>
      </c>
      <c r="R143" s="151" t="s">
        <v>2423</v>
      </c>
      <c r="S143" s="1544" t="s">
        <v>111</v>
      </c>
      <c r="T143" s="1543" t="s">
        <v>5487</v>
      </c>
      <c r="U143" s="1543" t="s">
        <v>5487</v>
      </c>
      <c r="V143" s="24" t="s">
        <v>9727</v>
      </c>
      <c r="W143" s="90" t="s">
        <v>9665</v>
      </c>
      <c r="X143" s="24" t="s">
        <v>110</v>
      </c>
      <c r="Y143" s="24">
        <v>1</v>
      </c>
      <c r="Z143" s="24" t="s">
        <v>9728</v>
      </c>
      <c r="AA143" s="24" t="s">
        <v>9729</v>
      </c>
      <c r="AB143" s="30"/>
      <c r="AC143" s="30">
        <v>20.7</v>
      </c>
      <c r="AD143" s="30">
        <v>20.7</v>
      </c>
      <c r="AE143" s="59"/>
      <c r="AF143" s="59"/>
      <c r="AG143" s="35" t="s">
        <v>1104</v>
      </c>
      <c r="AH143" s="202" t="s">
        <v>19</v>
      </c>
      <c r="AI143" s="35" t="s">
        <v>1880</v>
      </c>
      <c r="AJ143" s="1543"/>
    </row>
    <row r="144" spans="1:36" s="11" customFormat="1" ht="26.25" customHeight="1" x14ac:dyDescent="0.15">
      <c r="A144" s="8">
        <f t="shared" si="0"/>
        <v>142</v>
      </c>
      <c r="B144" s="36" t="s">
        <v>9722</v>
      </c>
      <c r="C144" s="1544" t="s">
        <v>111</v>
      </c>
      <c r="D144" s="1544" t="s">
        <v>111</v>
      </c>
      <c r="E144" s="1544" t="s">
        <v>111</v>
      </c>
      <c r="F144" s="54" t="s">
        <v>8010</v>
      </c>
      <c r="G144" s="54" t="s">
        <v>9738</v>
      </c>
      <c r="H144" s="26" t="s">
        <v>448</v>
      </c>
      <c r="I144" s="26" t="s">
        <v>448</v>
      </c>
      <c r="J144" s="26" t="s">
        <v>448</v>
      </c>
      <c r="K144" s="1544" t="s">
        <v>2135</v>
      </c>
      <c r="L144" s="1544" t="s">
        <v>2533</v>
      </c>
      <c r="M144" s="21" t="s">
        <v>5900</v>
      </c>
      <c r="N144" s="1544" t="s">
        <v>4780</v>
      </c>
      <c r="O144" s="1544" t="s">
        <v>1826</v>
      </c>
      <c r="P144" s="1544" t="s">
        <v>111</v>
      </c>
      <c r="Q144" s="22" t="s">
        <v>454</v>
      </c>
      <c r="R144" s="151" t="s">
        <v>2423</v>
      </c>
      <c r="S144" s="1544" t="s">
        <v>111</v>
      </c>
      <c r="T144" s="1543" t="s">
        <v>5487</v>
      </c>
      <c r="U144" s="1543" t="s">
        <v>5487</v>
      </c>
      <c r="V144" s="24" t="s">
        <v>9727</v>
      </c>
      <c r="W144" s="90" t="s">
        <v>9665</v>
      </c>
      <c r="X144" s="24" t="s">
        <v>110</v>
      </c>
      <c r="Y144" s="24">
        <v>1</v>
      </c>
      <c r="Z144" s="24" t="s">
        <v>9728</v>
      </c>
      <c r="AA144" s="24" t="s">
        <v>9729</v>
      </c>
      <c r="AB144" s="30"/>
      <c r="AC144" s="30">
        <v>20.7</v>
      </c>
      <c r="AD144" s="30">
        <v>20.7</v>
      </c>
      <c r="AE144" s="59"/>
      <c r="AF144" s="59"/>
      <c r="AG144" s="35" t="s">
        <v>1104</v>
      </c>
      <c r="AH144" s="202" t="s">
        <v>19</v>
      </c>
      <c r="AI144" s="35" t="s">
        <v>1880</v>
      </c>
      <c r="AJ144" s="1543"/>
    </row>
    <row r="145" spans="1:36" s="11" customFormat="1" ht="26.25" customHeight="1" x14ac:dyDescent="0.15">
      <c r="A145" s="8">
        <f t="shared" si="0"/>
        <v>143</v>
      </c>
      <c r="B145" s="36" t="s">
        <v>9723</v>
      </c>
      <c r="C145" s="1544" t="s">
        <v>111</v>
      </c>
      <c r="D145" s="1544" t="s">
        <v>111</v>
      </c>
      <c r="E145" s="1544" t="s">
        <v>111</v>
      </c>
      <c r="F145" s="54" t="s">
        <v>8010</v>
      </c>
      <c r="G145" s="54" t="s">
        <v>9739</v>
      </c>
      <c r="H145" s="26" t="s">
        <v>448</v>
      </c>
      <c r="I145" s="26" t="s">
        <v>448</v>
      </c>
      <c r="J145" s="26" t="s">
        <v>448</v>
      </c>
      <c r="K145" s="1544" t="s">
        <v>2135</v>
      </c>
      <c r="L145" s="1544" t="s">
        <v>2533</v>
      </c>
      <c r="M145" s="1544" t="s">
        <v>4587</v>
      </c>
      <c r="N145" s="1544" t="s">
        <v>4780</v>
      </c>
      <c r="O145" s="1544" t="s">
        <v>1826</v>
      </c>
      <c r="P145" s="1544" t="s">
        <v>111</v>
      </c>
      <c r="Q145" s="22" t="s">
        <v>454</v>
      </c>
      <c r="R145" s="151" t="s">
        <v>2423</v>
      </c>
      <c r="S145" s="1544" t="s">
        <v>111</v>
      </c>
      <c r="T145" s="1543" t="s">
        <v>5487</v>
      </c>
      <c r="U145" s="1543" t="s">
        <v>5487</v>
      </c>
      <c r="V145" s="24" t="s">
        <v>9727</v>
      </c>
      <c r="W145" s="90" t="s">
        <v>9665</v>
      </c>
      <c r="X145" s="24" t="s">
        <v>110</v>
      </c>
      <c r="Y145" s="24">
        <v>1</v>
      </c>
      <c r="Z145" s="24" t="s">
        <v>9728</v>
      </c>
      <c r="AA145" s="24" t="s">
        <v>9729</v>
      </c>
      <c r="AB145" s="30"/>
      <c r="AC145" s="30">
        <v>20.7</v>
      </c>
      <c r="AD145" s="30">
        <v>20.7</v>
      </c>
      <c r="AE145" s="59"/>
      <c r="AF145" s="59"/>
      <c r="AG145" s="35" t="s">
        <v>1104</v>
      </c>
      <c r="AH145" s="202" t="s">
        <v>19</v>
      </c>
      <c r="AI145" s="35" t="s">
        <v>1880</v>
      </c>
      <c r="AJ145" s="1543"/>
    </row>
    <row r="146" spans="1:36" s="11" customFormat="1" ht="26.25" customHeight="1" x14ac:dyDescent="0.15">
      <c r="A146" s="8">
        <f t="shared" si="0"/>
        <v>144</v>
      </c>
      <c r="B146" s="36" t="s">
        <v>9724</v>
      </c>
      <c r="C146" s="1544" t="s">
        <v>111</v>
      </c>
      <c r="D146" s="1544" t="s">
        <v>111</v>
      </c>
      <c r="E146" s="1544" t="s">
        <v>111</v>
      </c>
      <c r="F146" s="151" t="s">
        <v>8007</v>
      </c>
      <c r="G146" s="54" t="s">
        <v>9740</v>
      </c>
      <c r="H146" s="26" t="s">
        <v>448</v>
      </c>
      <c r="I146" s="26" t="s">
        <v>448</v>
      </c>
      <c r="J146" s="26" t="s">
        <v>448</v>
      </c>
      <c r="K146" s="1544" t="s">
        <v>2135</v>
      </c>
      <c r="L146" s="1544" t="s">
        <v>2533</v>
      </c>
      <c r="M146" s="21" t="s">
        <v>3631</v>
      </c>
      <c r="N146" s="1544" t="s">
        <v>3632</v>
      </c>
      <c r="O146" s="1544" t="s">
        <v>2142</v>
      </c>
      <c r="P146" s="1544" t="s">
        <v>111</v>
      </c>
      <c r="Q146" s="22" t="s">
        <v>575</v>
      </c>
      <c r="R146" s="151" t="s">
        <v>2423</v>
      </c>
      <c r="S146" s="1544" t="s">
        <v>111</v>
      </c>
      <c r="T146" s="1543" t="s">
        <v>5487</v>
      </c>
      <c r="U146" s="1543" t="s">
        <v>5487</v>
      </c>
      <c r="V146" s="24" t="s">
        <v>9727</v>
      </c>
      <c r="W146" s="90" t="s">
        <v>9665</v>
      </c>
      <c r="X146" s="24" t="s">
        <v>110</v>
      </c>
      <c r="Y146" s="24">
        <v>1</v>
      </c>
      <c r="Z146" s="24" t="s">
        <v>9728</v>
      </c>
      <c r="AA146" s="24" t="s">
        <v>9729</v>
      </c>
      <c r="AB146" s="30"/>
      <c r="AC146" s="30">
        <v>20.7</v>
      </c>
      <c r="AD146" s="30">
        <v>20.7</v>
      </c>
      <c r="AE146" s="59"/>
      <c r="AF146" s="59"/>
      <c r="AG146" s="35" t="s">
        <v>1104</v>
      </c>
      <c r="AH146" s="202" t="s">
        <v>19</v>
      </c>
      <c r="AI146" s="35" t="s">
        <v>1880</v>
      </c>
      <c r="AJ146" s="1543"/>
    </row>
    <row r="147" spans="1:36" s="11" customFormat="1" ht="26.25" customHeight="1" x14ac:dyDescent="0.15">
      <c r="A147" s="8">
        <f t="shared" si="0"/>
        <v>145</v>
      </c>
      <c r="B147" s="36" t="s">
        <v>9725</v>
      </c>
      <c r="C147" s="1544" t="s">
        <v>111</v>
      </c>
      <c r="D147" s="1544" t="s">
        <v>111</v>
      </c>
      <c r="E147" s="1544" t="s">
        <v>111</v>
      </c>
      <c r="F147" s="29" t="s">
        <v>9741</v>
      </c>
      <c r="G147" s="53" t="s">
        <v>9742</v>
      </c>
      <c r="H147" s="26" t="s">
        <v>448</v>
      </c>
      <c r="I147" s="26" t="s">
        <v>448</v>
      </c>
      <c r="J147" s="26" t="s">
        <v>448</v>
      </c>
      <c r="K147" s="1543" t="s">
        <v>3649</v>
      </c>
      <c r="L147" s="1543" t="s">
        <v>4750</v>
      </c>
      <c r="M147" s="1543" t="s">
        <v>7820</v>
      </c>
      <c r="N147" s="22" t="s">
        <v>6767</v>
      </c>
      <c r="O147" s="1544" t="s">
        <v>5478</v>
      </c>
      <c r="P147" s="1544" t="s">
        <v>1880</v>
      </c>
      <c r="Q147" s="1543" t="s">
        <v>4676</v>
      </c>
      <c r="R147" s="151" t="s">
        <v>2423</v>
      </c>
      <c r="S147" s="1544" t="s">
        <v>111</v>
      </c>
      <c r="T147" s="1543" t="s">
        <v>5487</v>
      </c>
      <c r="U147" s="1543" t="s">
        <v>5487</v>
      </c>
      <c r="V147" s="24" t="s">
        <v>9727</v>
      </c>
      <c r="W147" s="90" t="s">
        <v>9665</v>
      </c>
      <c r="X147" s="24" t="s">
        <v>110</v>
      </c>
      <c r="Y147" s="24">
        <v>1</v>
      </c>
      <c r="Z147" s="24" t="s">
        <v>9728</v>
      </c>
      <c r="AA147" s="24" t="s">
        <v>9729</v>
      </c>
      <c r="AB147" s="30"/>
      <c r="AC147" s="30">
        <v>20.7</v>
      </c>
      <c r="AD147" s="30">
        <v>20.7</v>
      </c>
      <c r="AE147" s="59"/>
      <c r="AF147" s="59"/>
      <c r="AG147" s="35" t="s">
        <v>1104</v>
      </c>
      <c r="AH147" s="202" t="s">
        <v>19</v>
      </c>
      <c r="AI147" s="35" t="s">
        <v>1880</v>
      </c>
      <c r="AJ147" s="1543"/>
    </row>
    <row r="148" spans="1:36" s="11" customFormat="1" ht="26.25" customHeight="1" x14ac:dyDescent="0.15">
      <c r="A148" s="8">
        <f t="shared" si="0"/>
        <v>146</v>
      </c>
      <c r="B148" s="36" t="s">
        <v>9743</v>
      </c>
      <c r="C148" s="1546" t="s">
        <v>111</v>
      </c>
      <c r="D148" s="1546" t="s">
        <v>111</v>
      </c>
      <c r="E148" s="1546" t="s">
        <v>111</v>
      </c>
      <c r="F148" s="29" t="s">
        <v>5713</v>
      </c>
      <c r="G148" s="29" t="s">
        <v>9744</v>
      </c>
      <c r="H148" s="26" t="s">
        <v>9745</v>
      </c>
      <c r="I148" s="26" t="s">
        <v>4728</v>
      </c>
      <c r="J148" s="26" t="s">
        <v>9746</v>
      </c>
      <c r="K148" s="1545" t="s">
        <v>5003</v>
      </c>
      <c r="L148" s="1545" t="s">
        <v>4728</v>
      </c>
      <c r="M148" s="1545" t="s">
        <v>5004</v>
      </c>
      <c r="N148" s="22" t="s">
        <v>5714</v>
      </c>
      <c r="O148" s="22" t="s">
        <v>5431</v>
      </c>
      <c r="P148" s="1546" t="s">
        <v>5715</v>
      </c>
      <c r="Q148" s="216" t="s">
        <v>25</v>
      </c>
      <c r="R148" s="54" t="s">
        <v>9762</v>
      </c>
      <c r="S148" s="71" t="s">
        <v>19</v>
      </c>
      <c r="T148" s="1545" t="s">
        <v>5489</v>
      </c>
      <c r="U148" s="1545" t="s">
        <v>5489</v>
      </c>
      <c r="V148" s="24" t="s">
        <v>9747</v>
      </c>
      <c r="W148" s="90" t="s">
        <v>9748</v>
      </c>
      <c r="X148" s="24" t="s">
        <v>110</v>
      </c>
      <c r="Y148" s="24">
        <v>2</v>
      </c>
      <c r="Z148" s="24" t="s">
        <v>9748</v>
      </c>
      <c r="AA148" s="24" t="s">
        <v>9749</v>
      </c>
      <c r="AB148" s="30">
        <v>3.4</v>
      </c>
      <c r="AC148" s="30">
        <v>7.8</v>
      </c>
      <c r="AD148" s="30">
        <v>11.2</v>
      </c>
      <c r="AE148" s="59"/>
      <c r="AF148" s="59"/>
      <c r="AG148" s="35" t="s">
        <v>1104</v>
      </c>
      <c r="AH148" s="202" t="s">
        <v>19</v>
      </c>
      <c r="AI148" s="35" t="s">
        <v>1880</v>
      </c>
      <c r="AJ148" s="1545"/>
    </row>
    <row r="149" spans="1:36" s="11" customFormat="1" ht="26.25" customHeight="1" x14ac:dyDescent="0.15">
      <c r="A149" s="8">
        <f t="shared" si="0"/>
        <v>147</v>
      </c>
      <c r="B149" s="36" t="s">
        <v>9771</v>
      </c>
      <c r="C149" s="71" t="s">
        <v>9785</v>
      </c>
      <c r="D149" s="1553" t="s">
        <v>111</v>
      </c>
      <c r="E149" s="36" t="s">
        <v>10018</v>
      </c>
      <c r="F149" s="67" t="s">
        <v>9159</v>
      </c>
      <c r="G149" s="53" t="s">
        <v>10986</v>
      </c>
      <c r="H149" s="26" t="s">
        <v>448</v>
      </c>
      <c r="I149" s="26" t="s">
        <v>448</v>
      </c>
      <c r="J149" s="26" t="s">
        <v>448</v>
      </c>
      <c r="K149" s="1552" t="s">
        <v>4195</v>
      </c>
      <c r="L149" s="1552" t="s">
        <v>4692</v>
      </c>
      <c r="M149" s="1552" t="s">
        <v>9798</v>
      </c>
      <c r="N149" s="22" t="s">
        <v>9832</v>
      </c>
      <c r="O149" s="1552" t="s">
        <v>5431</v>
      </c>
      <c r="P149" s="1553" t="s">
        <v>111</v>
      </c>
      <c r="Q149" s="216" t="s">
        <v>25</v>
      </c>
      <c r="R149" s="54" t="s">
        <v>2224</v>
      </c>
      <c r="S149" s="71" t="s">
        <v>19</v>
      </c>
      <c r="T149" s="1547" t="s">
        <v>1894</v>
      </c>
      <c r="U149" s="1552" t="s">
        <v>1894</v>
      </c>
      <c r="V149" s="24" t="s">
        <v>8399</v>
      </c>
      <c r="W149" s="90" t="s">
        <v>9761</v>
      </c>
      <c r="X149" s="24" t="s">
        <v>110</v>
      </c>
      <c r="Y149" s="24">
        <v>1</v>
      </c>
      <c r="Z149" s="24" t="s">
        <v>9532</v>
      </c>
      <c r="AA149" s="24" t="s">
        <v>10987</v>
      </c>
      <c r="AB149" s="30">
        <v>5.5</v>
      </c>
      <c r="AC149" s="30"/>
      <c r="AD149" s="30">
        <v>5.5</v>
      </c>
      <c r="AE149" s="59"/>
      <c r="AF149" s="59"/>
      <c r="AG149" s="35" t="s">
        <v>1104</v>
      </c>
      <c r="AH149" s="202" t="s">
        <v>19</v>
      </c>
      <c r="AI149" s="35" t="s">
        <v>1880</v>
      </c>
      <c r="AJ149" s="1547" t="s">
        <v>10992</v>
      </c>
    </row>
    <row r="150" spans="1:36" s="11" customFormat="1" ht="26.25" customHeight="1" x14ac:dyDescent="0.15">
      <c r="A150" s="8">
        <f t="shared" si="0"/>
        <v>148</v>
      </c>
      <c r="B150" s="36" t="s">
        <v>9772</v>
      </c>
      <c r="C150" s="71" t="s">
        <v>9786</v>
      </c>
      <c r="D150" s="1553" t="s">
        <v>111</v>
      </c>
      <c r="E150" s="36" t="s">
        <v>10019</v>
      </c>
      <c r="F150" s="29" t="s">
        <v>9827</v>
      </c>
      <c r="G150" s="53" t="s">
        <v>10986</v>
      </c>
      <c r="H150" s="26" t="s">
        <v>448</v>
      </c>
      <c r="I150" s="26" t="s">
        <v>448</v>
      </c>
      <c r="J150" s="26" t="s">
        <v>448</v>
      </c>
      <c r="K150" s="1552" t="s">
        <v>4195</v>
      </c>
      <c r="L150" s="1552" t="s">
        <v>4692</v>
      </c>
      <c r="M150" s="1552" t="s">
        <v>9799</v>
      </c>
      <c r="N150" s="22" t="s">
        <v>4780</v>
      </c>
      <c r="O150" s="1552" t="s">
        <v>5431</v>
      </c>
      <c r="P150" s="1553" t="s">
        <v>1880</v>
      </c>
      <c r="Q150" s="216" t="s">
        <v>25</v>
      </c>
      <c r="R150" s="54" t="s">
        <v>2224</v>
      </c>
      <c r="S150" s="71" t="s">
        <v>19</v>
      </c>
      <c r="T150" s="1552" t="s">
        <v>1894</v>
      </c>
      <c r="U150" s="1552" t="s">
        <v>1894</v>
      </c>
      <c r="V150" s="24" t="s">
        <v>8399</v>
      </c>
      <c r="W150" s="90" t="s">
        <v>9761</v>
      </c>
      <c r="X150" s="24" t="s">
        <v>110</v>
      </c>
      <c r="Y150" s="24">
        <v>1</v>
      </c>
      <c r="Z150" s="24" t="s">
        <v>9532</v>
      </c>
      <c r="AA150" s="24" t="s">
        <v>10987</v>
      </c>
      <c r="AB150" s="30">
        <v>5.5</v>
      </c>
      <c r="AC150" s="30"/>
      <c r="AD150" s="30">
        <v>5.5</v>
      </c>
      <c r="AE150" s="59"/>
      <c r="AF150" s="59"/>
      <c r="AG150" s="35" t="s">
        <v>1104</v>
      </c>
      <c r="AH150" s="202" t="s">
        <v>19</v>
      </c>
      <c r="AI150" s="35" t="s">
        <v>1880</v>
      </c>
      <c r="AJ150" s="1552" t="s">
        <v>10992</v>
      </c>
    </row>
    <row r="151" spans="1:36" s="11" customFormat="1" ht="26.25" customHeight="1" x14ac:dyDescent="0.15">
      <c r="A151" s="8">
        <f t="shared" si="0"/>
        <v>149</v>
      </c>
      <c r="B151" s="36" t="s">
        <v>9773</v>
      </c>
      <c r="C151" s="71" t="s">
        <v>9787</v>
      </c>
      <c r="D151" s="1553" t="s">
        <v>111</v>
      </c>
      <c r="E151" s="36" t="s">
        <v>10032</v>
      </c>
      <c r="F151" s="67" t="s">
        <v>10988</v>
      </c>
      <c r="G151" s="53" t="s">
        <v>10986</v>
      </c>
      <c r="H151" s="26" t="s">
        <v>448</v>
      </c>
      <c r="I151" s="26" t="s">
        <v>448</v>
      </c>
      <c r="J151" s="26" t="s">
        <v>448</v>
      </c>
      <c r="K151" s="1552" t="s">
        <v>4195</v>
      </c>
      <c r="L151" s="1552" t="s">
        <v>4692</v>
      </c>
      <c r="M151" s="1552" t="s">
        <v>9800</v>
      </c>
      <c r="N151" s="22" t="s">
        <v>9833</v>
      </c>
      <c r="O151" s="1552" t="s">
        <v>5431</v>
      </c>
      <c r="P151" s="1553" t="s">
        <v>111</v>
      </c>
      <c r="Q151" s="216" t="s">
        <v>25</v>
      </c>
      <c r="R151" s="54" t="s">
        <v>2224</v>
      </c>
      <c r="S151" s="71" t="s">
        <v>19</v>
      </c>
      <c r="T151" s="1552" t="s">
        <v>1894</v>
      </c>
      <c r="U151" s="1552" t="s">
        <v>1894</v>
      </c>
      <c r="V151" s="24" t="s">
        <v>8399</v>
      </c>
      <c r="W151" s="90" t="s">
        <v>9761</v>
      </c>
      <c r="X151" s="24" t="s">
        <v>110</v>
      </c>
      <c r="Y151" s="24">
        <v>1</v>
      </c>
      <c r="Z151" s="24" t="s">
        <v>9532</v>
      </c>
      <c r="AA151" s="24" t="s">
        <v>10987</v>
      </c>
      <c r="AB151" s="30">
        <v>5.5</v>
      </c>
      <c r="AC151" s="30"/>
      <c r="AD151" s="30">
        <v>5.5</v>
      </c>
      <c r="AE151" s="59"/>
      <c r="AF151" s="59"/>
      <c r="AG151" s="35" t="s">
        <v>1104</v>
      </c>
      <c r="AH151" s="202" t="s">
        <v>19</v>
      </c>
      <c r="AI151" s="35" t="s">
        <v>1880</v>
      </c>
      <c r="AJ151" s="1552" t="s">
        <v>10992</v>
      </c>
    </row>
    <row r="152" spans="1:36" s="11" customFormat="1" ht="26.25" customHeight="1" x14ac:dyDescent="0.15">
      <c r="A152" s="8">
        <f t="shared" si="0"/>
        <v>150</v>
      </c>
      <c r="B152" s="36" t="s">
        <v>9774</v>
      </c>
      <c r="C152" s="71" t="s">
        <v>9788</v>
      </c>
      <c r="D152" s="1553" t="s">
        <v>111</v>
      </c>
      <c r="E152" s="36" t="s">
        <v>10031</v>
      </c>
      <c r="F152" s="29" t="s">
        <v>9163</v>
      </c>
      <c r="G152" s="53" t="s">
        <v>10986</v>
      </c>
      <c r="H152" s="26" t="s">
        <v>448</v>
      </c>
      <c r="I152" s="26" t="s">
        <v>448</v>
      </c>
      <c r="J152" s="26" t="s">
        <v>448</v>
      </c>
      <c r="K152" s="1552" t="s">
        <v>4195</v>
      </c>
      <c r="L152" s="1552" t="s">
        <v>4692</v>
      </c>
      <c r="M152" s="1552" t="s">
        <v>9801</v>
      </c>
      <c r="N152" s="22" t="s">
        <v>9834</v>
      </c>
      <c r="O152" s="1552" t="s">
        <v>5431</v>
      </c>
      <c r="P152" s="1553" t="s">
        <v>1880</v>
      </c>
      <c r="Q152" s="216" t="s">
        <v>25</v>
      </c>
      <c r="R152" s="54" t="s">
        <v>2224</v>
      </c>
      <c r="S152" s="71" t="s">
        <v>19</v>
      </c>
      <c r="T152" s="1552" t="s">
        <v>1894</v>
      </c>
      <c r="U152" s="1552" t="s">
        <v>1894</v>
      </c>
      <c r="V152" s="24" t="s">
        <v>8399</v>
      </c>
      <c r="W152" s="90" t="s">
        <v>9761</v>
      </c>
      <c r="X152" s="24" t="s">
        <v>110</v>
      </c>
      <c r="Y152" s="24">
        <v>1</v>
      </c>
      <c r="Z152" s="24" t="s">
        <v>9532</v>
      </c>
      <c r="AA152" s="24" t="s">
        <v>10987</v>
      </c>
      <c r="AB152" s="30">
        <v>5.5</v>
      </c>
      <c r="AC152" s="30"/>
      <c r="AD152" s="30">
        <v>5.5</v>
      </c>
      <c r="AE152" s="59"/>
      <c r="AF152" s="59"/>
      <c r="AG152" s="35" t="s">
        <v>1104</v>
      </c>
      <c r="AH152" s="202" t="s">
        <v>19</v>
      </c>
      <c r="AI152" s="35" t="s">
        <v>1880</v>
      </c>
      <c r="AJ152" s="1552" t="s">
        <v>10992</v>
      </c>
    </row>
    <row r="153" spans="1:36" s="11" customFormat="1" ht="26.25" customHeight="1" x14ac:dyDescent="0.15">
      <c r="A153" s="8">
        <f t="shared" si="0"/>
        <v>151</v>
      </c>
      <c r="B153" s="36" t="s">
        <v>11044</v>
      </c>
      <c r="C153" s="71" t="s">
        <v>11043</v>
      </c>
      <c r="D153" s="1553" t="s">
        <v>111</v>
      </c>
      <c r="E153" s="36" t="s">
        <v>10030</v>
      </c>
      <c r="F153" s="29" t="s">
        <v>9814</v>
      </c>
      <c r="G153" s="53" t="s">
        <v>10986</v>
      </c>
      <c r="H153" s="26" t="s">
        <v>448</v>
      </c>
      <c r="I153" s="26" t="s">
        <v>448</v>
      </c>
      <c r="J153" s="26" t="s">
        <v>448</v>
      </c>
      <c r="K153" s="1552" t="s">
        <v>4195</v>
      </c>
      <c r="L153" s="1552" t="s">
        <v>4692</v>
      </c>
      <c r="M153" s="1552" t="s">
        <v>9802</v>
      </c>
      <c r="N153" s="22" t="s">
        <v>9835</v>
      </c>
      <c r="O153" s="1552" t="s">
        <v>5431</v>
      </c>
      <c r="P153" s="1553" t="s">
        <v>111</v>
      </c>
      <c r="Q153" s="216" t="s">
        <v>25</v>
      </c>
      <c r="R153" s="54" t="s">
        <v>2224</v>
      </c>
      <c r="S153" s="71" t="s">
        <v>19</v>
      </c>
      <c r="T153" s="1552" t="s">
        <v>1894</v>
      </c>
      <c r="U153" s="1552" t="s">
        <v>1894</v>
      </c>
      <c r="V153" s="24" t="s">
        <v>8399</v>
      </c>
      <c r="W153" s="90" t="s">
        <v>9761</v>
      </c>
      <c r="X153" s="24" t="s">
        <v>110</v>
      </c>
      <c r="Y153" s="24">
        <v>1</v>
      </c>
      <c r="Z153" s="24" t="s">
        <v>9532</v>
      </c>
      <c r="AA153" s="24" t="s">
        <v>10987</v>
      </c>
      <c r="AB153" s="30">
        <v>5.5</v>
      </c>
      <c r="AC153" s="30"/>
      <c r="AD153" s="30">
        <v>5.5</v>
      </c>
      <c r="AE153" s="59"/>
      <c r="AF153" s="59"/>
      <c r="AG153" s="35" t="s">
        <v>1104</v>
      </c>
      <c r="AH153" s="202" t="s">
        <v>19</v>
      </c>
      <c r="AI153" s="35" t="s">
        <v>1880</v>
      </c>
      <c r="AJ153" s="1552" t="s">
        <v>10992</v>
      </c>
    </row>
    <row r="154" spans="1:36" s="11" customFormat="1" ht="26.25" customHeight="1" x14ac:dyDescent="0.15">
      <c r="A154" s="8">
        <f t="shared" si="0"/>
        <v>152</v>
      </c>
      <c r="B154" s="36" t="s">
        <v>9775</v>
      </c>
      <c r="C154" s="71" t="s">
        <v>9789</v>
      </c>
      <c r="D154" s="1553" t="s">
        <v>111</v>
      </c>
      <c r="E154" s="36" t="s">
        <v>10029</v>
      </c>
      <c r="F154" s="29" t="s">
        <v>9828</v>
      </c>
      <c r="G154" s="53" t="s">
        <v>10986</v>
      </c>
      <c r="H154" s="26" t="s">
        <v>448</v>
      </c>
      <c r="I154" s="26" t="s">
        <v>448</v>
      </c>
      <c r="J154" s="26" t="s">
        <v>448</v>
      </c>
      <c r="K154" s="1552" t="s">
        <v>4195</v>
      </c>
      <c r="L154" s="1552" t="s">
        <v>4692</v>
      </c>
      <c r="M154" s="1552" t="s">
        <v>9803</v>
      </c>
      <c r="N154" s="22" t="s">
        <v>4780</v>
      </c>
      <c r="O154" s="1552" t="s">
        <v>5431</v>
      </c>
      <c r="P154" s="1553" t="s">
        <v>1880</v>
      </c>
      <c r="Q154" s="216" t="s">
        <v>25</v>
      </c>
      <c r="R154" s="54" t="s">
        <v>2224</v>
      </c>
      <c r="S154" s="71" t="s">
        <v>19</v>
      </c>
      <c r="T154" s="1552" t="s">
        <v>1894</v>
      </c>
      <c r="U154" s="1552" t="s">
        <v>1894</v>
      </c>
      <c r="V154" s="24" t="s">
        <v>8399</v>
      </c>
      <c r="W154" s="90" t="s">
        <v>9761</v>
      </c>
      <c r="X154" s="24" t="s">
        <v>110</v>
      </c>
      <c r="Y154" s="24">
        <v>1</v>
      </c>
      <c r="Z154" s="24" t="s">
        <v>9532</v>
      </c>
      <c r="AA154" s="24" t="s">
        <v>10987</v>
      </c>
      <c r="AB154" s="30">
        <v>5.5</v>
      </c>
      <c r="AC154" s="30"/>
      <c r="AD154" s="30">
        <v>5.5</v>
      </c>
      <c r="AE154" s="59"/>
      <c r="AF154" s="59"/>
      <c r="AG154" s="35" t="s">
        <v>1104</v>
      </c>
      <c r="AH154" s="202" t="s">
        <v>19</v>
      </c>
      <c r="AI154" s="35" t="s">
        <v>1880</v>
      </c>
      <c r="AJ154" s="1552" t="s">
        <v>10992</v>
      </c>
    </row>
    <row r="155" spans="1:36" s="11" customFormat="1" ht="26.25" customHeight="1" x14ac:dyDescent="0.15">
      <c r="A155" s="8">
        <f t="shared" si="0"/>
        <v>153</v>
      </c>
      <c r="B155" s="36" t="s">
        <v>9776</v>
      </c>
      <c r="C155" s="71" t="s">
        <v>9790</v>
      </c>
      <c r="D155" s="1553" t="s">
        <v>111</v>
      </c>
      <c r="E155" s="36" t="s">
        <v>10028</v>
      </c>
      <c r="F155" s="29" t="s">
        <v>9829</v>
      </c>
      <c r="G155" s="53" t="s">
        <v>10986</v>
      </c>
      <c r="H155" s="26" t="s">
        <v>448</v>
      </c>
      <c r="I155" s="26" t="s">
        <v>448</v>
      </c>
      <c r="J155" s="26" t="s">
        <v>448</v>
      </c>
      <c r="K155" s="1552" t="s">
        <v>4195</v>
      </c>
      <c r="L155" s="1552" t="s">
        <v>4692</v>
      </c>
      <c r="M155" s="1552" t="s">
        <v>9804</v>
      </c>
      <c r="N155" s="22" t="s">
        <v>4780</v>
      </c>
      <c r="O155" s="1552" t="s">
        <v>5431</v>
      </c>
      <c r="P155" s="1553" t="s">
        <v>111</v>
      </c>
      <c r="Q155" s="216" t="s">
        <v>25</v>
      </c>
      <c r="R155" s="54" t="s">
        <v>2224</v>
      </c>
      <c r="S155" s="71" t="s">
        <v>19</v>
      </c>
      <c r="T155" s="1552" t="s">
        <v>1894</v>
      </c>
      <c r="U155" s="1552" t="s">
        <v>1894</v>
      </c>
      <c r="V155" s="24" t="s">
        <v>8399</v>
      </c>
      <c r="W155" s="90" t="s">
        <v>9761</v>
      </c>
      <c r="X155" s="24" t="s">
        <v>110</v>
      </c>
      <c r="Y155" s="24">
        <v>1</v>
      </c>
      <c r="Z155" s="24" t="s">
        <v>9532</v>
      </c>
      <c r="AA155" s="24" t="s">
        <v>10987</v>
      </c>
      <c r="AB155" s="30">
        <v>5.5</v>
      </c>
      <c r="AC155" s="30"/>
      <c r="AD155" s="30">
        <v>5.5</v>
      </c>
      <c r="AE155" s="59"/>
      <c r="AF155" s="59"/>
      <c r="AG155" s="35" t="s">
        <v>1104</v>
      </c>
      <c r="AH155" s="202" t="s">
        <v>19</v>
      </c>
      <c r="AI155" s="35" t="s">
        <v>1880</v>
      </c>
      <c r="AJ155" s="1552" t="s">
        <v>10992</v>
      </c>
    </row>
    <row r="156" spans="1:36" s="11" customFormat="1" ht="26.25" customHeight="1" x14ac:dyDescent="0.15">
      <c r="A156" s="8">
        <f t="shared" si="0"/>
        <v>154</v>
      </c>
      <c r="B156" s="36" t="s">
        <v>9777</v>
      </c>
      <c r="C156" s="71" t="s">
        <v>9791</v>
      </c>
      <c r="D156" s="1553" t="s">
        <v>111</v>
      </c>
      <c r="E156" s="36" t="s">
        <v>10027</v>
      </c>
      <c r="F156" s="29" t="s">
        <v>9813</v>
      </c>
      <c r="G156" s="53" t="s">
        <v>10986</v>
      </c>
      <c r="H156" s="26" t="s">
        <v>448</v>
      </c>
      <c r="I156" s="26" t="s">
        <v>448</v>
      </c>
      <c r="J156" s="26" t="s">
        <v>448</v>
      </c>
      <c r="K156" s="1552" t="s">
        <v>4195</v>
      </c>
      <c r="L156" s="1552" t="s">
        <v>4692</v>
      </c>
      <c r="M156" s="1552" t="s">
        <v>9805</v>
      </c>
      <c r="N156" s="22" t="s">
        <v>4780</v>
      </c>
      <c r="O156" s="1552" t="s">
        <v>5431</v>
      </c>
      <c r="P156" s="1553" t="s">
        <v>1880</v>
      </c>
      <c r="Q156" s="216" t="s">
        <v>25</v>
      </c>
      <c r="R156" s="54" t="s">
        <v>2224</v>
      </c>
      <c r="S156" s="71" t="s">
        <v>19</v>
      </c>
      <c r="T156" s="1552" t="s">
        <v>1894</v>
      </c>
      <c r="U156" s="1552" t="s">
        <v>1894</v>
      </c>
      <c r="V156" s="24" t="s">
        <v>8399</v>
      </c>
      <c r="W156" s="90" t="s">
        <v>9761</v>
      </c>
      <c r="X156" s="24" t="s">
        <v>110</v>
      </c>
      <c r="Y156" s="24">
        <v>1</v>
      </c>
      <c r="Z156" s="24" t="s">
        <v>9532</v>
      </c>
      <c r="AA156" s="24" t="s">
        <v>10987</v>
      </c>
      <c r="AB156" s="30">
        <v>5.5</v>
      </c>
      <c r="AC156" s="30"/>
      <c r="AD156" s="30">
        <v>5.5</v>
      </c>
      <c r="AE156" s="59"/>
      <c r="AF156" s="59"/>
      <c r="AG156" s="35" t="s">
        <v>1104</v>
      </c>
      <c r="AH156" s="202" t="s">
        <v>19</v>
      </c>
      <c r="AI156" s="35" t="s">
        <v>1880</v>
      </c>
      <c r="AJ156" s="1552" t="s">
        <v>10993</v>
      </c>
    </row>
    <row r="157" spans="1:36" s="11" customFormat="1" ht="26.25" customHeight="1" x14ac:dyDescent="0.15">
      <c r="A157" s="8">
        <f t="shared" si="0"/>
        <v>155</v>
      </c>
      <c r="B157" s="36" t="s">
        <v>9778</v>
      </c>
      <c r="C157" s="71" t="s">
        <v>11042</v>
      </c>
      <c r="D157" s="1553" t="s">
        <v>111</v>
      </c>
      <c r="E157" s="36" t="s">
        <v>10026</v>
      </c>
      <c r="F157" s="29" t="s">
        <v>9830</v>
      </c>
      <c r="G157" s="53" t="s">
        <v>10986</v>
      </c>
      <c r="H157" s="26" t="s">
        <v>448</v>
      </c>
      <c r="I157" s="26" t="s">
        <v>448</v>
      </c>
      <c r="J157" s="26" t="s">
        <v>448</v>
      </c>
      <c r="K157" s="1552" t="s">
        <v>4195</v>
      </c>
      <c r="L157" s="1552" t="s">
        <v>4692</v>
      </c>
      <c r="M157" s="1552" t="s">
        <v>9806</v>
      </c>
      <c r="N157" s="22" t="s">
        <v>4780</v>
      </c>
      <c r="O157" s="1552" t="s">
        <v>5431</v>
      </c>
      <c r="P157" s="1553" t="s">
        <v>111</v>
      </c>
      <c r="Q157" s="216" t="s">
        <v>25</v>
      </c>
      <c r="R157" s="54" t="s">
        <v>2224</v>
      </c>
      <c r="S157" s="71" t="s">
        <v>19</v>
      </c>
      <c r="T157" s="1552" t="s">
        <v>1894</v>
      </c>
      <c r="U157" s="1552" t="s">
        <v>1894</v>
      </c>
      <c r="V157" s="24" t="s">
        <v>8399</v>
      </c>
      <c r="W157" s="90" t="s">
        <v>9761</v>
      </c>
      <c r="X157" s="24" t="s">
        <v>110</v>
      </c>
      <c r="Y157" s="24">
        <v>1</v>
      </c>
      <c r="Z157" s="24" t="s">
        <v>9532</v>
      </c>
      <c r="AA157" s="24" t="s">
        <v>10987</v>
      </c>
      <c r="AB157" s="30">
        <v>3.67</v>
      </c>
      <c r="AC157" s="30"/>
      <c r="AD157" s="30">
        <v>3.67</v>
      </c>
      <c r="AE157" s="59"/>
      <c r="AF157" s="59"/>
      <c r="AG157" s="35" t="s">
        <v>1104</v>
      </c>
      <c r="AH157" s="202" t="s">
        <v>19</v>
      </c>
      <c r="AI157" s="35" t="s">
        <v>1880</v>
      </c>
      <c r="AJ157" s="1552" t="s">
        <v>10995</v>
      </c>
    </row>
    <row r="158" spans="1:36" s="11" customFormat="1" ht="26.25" customHeight="1" x14ac:dyDescent="0.15">
      <c r="A158" s="8">
        <f t="shared" si="0"/>
        <v>156</v>
      </c>
      <c r="B158" s="36" t="s">
        <v>9779</v>
      </c>
      <c r="C158" s="71" t="s">
        <v>9792</v>
      </c>
      <c r="D158" s="1553" t="s">
        <v>111</v>
      </c>
      <c r="E158" s="36" t="s">
        <v>10025</v>
      </c>
      <c r="F158" s="29" t="s">
        <v>9831</v>
      </c>
      <c r="G158" s="53" t="s">
        <v>10986</v>
      </c>
      <c r="H158" s="26" t="s">
        <v>448</v>
      </c>
      <c r="I158" s="26" t="s">
        <v>448</v>
      </c>
      <c r="J158" s="26" t="s">
        <v>448</v>
      </c>
      <c r="K158" s="1552" t="s">
        <v>4195</v>
      </c>
      <c r="L158" s="1552" t="s">
        <v>4692</v>
      </c>
      <c r="M158" s="1552" t="s">
        <v>9807</v>
      </c>
      <c r="N158" s="22" t="s">
        <v>10991</v>
      </c>
      <c r="O158" s="1552" t="s">
        <v>5478</v>
      </c>
      <c r="P158" s="1553" t="s">
        <v>1880</v>
      </c>
      <c r="Q158" s="1552" t="s">
        <v>4676</v>
      </c>
      <c r="R158" s="54" t="s">
        <v>2224</v>
      </c>
      <c r="S158" s="71" t="s">
        <v>19</v>
      </c>
      <c r="T158" s="1552" t="s">
        <v>1894</v>
      </c>
      <c r="U158" s="1552" t="s">
        <v>1894</v>
      </c>
      <c r="V158" s="24" t="s">
        <v>8399</v>
      </c>
      <c r="W158" s="90" t="s">
        <v>9761</v>
      </c>
      <c r="X158" s="24" t="s">
        <v>110</v>
      </c>
      <c r="Y158" s="24">
        <v>1</v>
      </c>
      <c r="Z158" s="24" t="s">
        <v>9532</v>
      </c>
      <c r="AA158" s="24" t="s">
        <v>10987</v>
      </c>
      <c r="AB158" s="30">
        <v>5.5</v>
      </c>
      <c r="AC158" s="30"/>
      <c r="AD158" s="30">
        <v>5.5</v>
      </c>
      <c r="AE158" s="59"/>
      <c r="AF158" s="59"/>
      <c r="AG158" s="35" t="s">
        <v>1104</v>
      </c>
      <c r="AH158" s="202" t="s">
        <v>19</v>
      </c>
      <c r="AI158" s="35" t="s">
        <v>1880</v>
      </c>
      <c r="AJ158" s="1552" t="s">
        <v>10992</v>
      </c>
    </row>
    <row r="159" spans="1:36" s="11" customFormat="1" ht="26.25" customHeight="1" x14ac:dyDescent="0.15">
      <c r="A159" s="8">
        <f t="shared" si="0"/>
        <v>157</v>
      </c>
      <c r="B159" s="36" t="s">
        <v>9780</v>
      </c>
      <c r="C159" s="71" t="s">
        <v>9793</v>
      </c>
      <c r="D159" s="1553" t="s">
        <v>111</v>
      </c>
      <c r="E159" s="36" t="s">
        <v>10024</v>
      </c>
      <c r="F159" s="29" t="s">
        <v>9830</v>
      </c>
      <c r="G159" s="53" t="s">
        <v>10986</v>
      </c>
      <c r="H159" s="26" t="s">
        <v>448</v>
      </c>
      <c r="I159" s="26" t="s">
        <v>448</v>
      </c>
      <c r="J159" s="26" t="s">
        <v>448</v>
      </c>
      <c r="K159" s="1552" t="s">
        <v>4195</v>
      </c>
      <c r="L159" s="1552" t="s">
        <v>4692</v>
      </c>
      <c r="M159" s="1552" t="s">
        <v>9808</v>
      </c>
      <c r="N159" s="22" t="s">
        <v>4780</v>
      </c>
      <c r="O159" s="1552" t="s">
        <v>5478</v>
      </c>
      <c r="P159" s="1553" t="s">
        <v>111</v>
      </c>
      <c r="Q159" s="1552" t="s">
        <v>4676</v>
      </c>
      <c r="R159" s="54" t="s">
        <v>2224</v>
      </c>
      <c r="S159" s="71" t="s">
        <v>19</v>
      </c>
      <c r="T159" s="1552" t="s">
        <v>1894</v>
      </c>
      <c r="U159" s="1552" t="s">
        <v>1894</v>
      </c>
      <c r="V159" s="24" t="s">
        <v>8399</v>
      </c>
      <c r="W159" s="90" t="s">
        <v>9761</v>
      </c>
      <c r="X159" s="24" t="s">
        <v>110</v>
      </c>
      <c r="Y159" s="24">
        <v>1</v>
      </c>
      <c r="Z159" s="24" t="s">
        <v>9532</v>
      </c>
      <c r="AA159" s="24" t="s">
        <v>10987</v>
      </c>
      <c r="AB159" s="30">
        <v>3.67</v>
      </c>
      <c r="AC159" s="30"/>
      <c r="AD159" s="30">
        <v>3.67</v>
      </c>
      <c r="AE159" s="59"/>
      <c r="AF159" s="59"/>
      <c r="AG159" s="35" t="s">
        <v>1104</v>
      </c>
      <c r="AH159" s="202" t="s">
        <v>19</v>
      </c>
      <c r="AI159" s="35" t="s">
        <v>1880</v>
      </c>
      <c r="AJ159" s="1802" t="s">
        <v>10996</v>
      </c>
    </row>
    <row r="160" spans="1:36" s="11" customFormat="1" ht="26.25" customHeight="1" x14ac:dyDescent="0.15">
      <c r="A160" s="8">
        <f t="shared" si="0"/>
        <v>158</v>
      </c>
      <c r="B160" s="36" t="s">
        <v>9781</v>
      </c>
      <c r="C160" s="71" t="s">
        <v>9794</v>
      </c>
      <c r="D160" s="1553" t="s">
        <v>111</v>
      </c>
      <c r="E160" s="36" t="s">
        <v>10023</v>
      </c>
      <c r="F160" s="29" t="s">
        <v>9830</v>
      </c>
      <c r="G160" s="53" t="s">
        <v>10986</v>
      </c>
      <c r="H160" s="26" t="s">
        <v>448</v>
      </c>
      <c r="I160" s="26" t="s">
        <v>448</v>
      </c>
      <c r="J160" s="26" t="s">
        <v>448</v>
      </c>
      <c r="K160" s="1552" t="s">
        <v>4195</v>
      </c>
      <c r="L160" s="1552" t="s">
        <v>4692</v>
      </c>
      <c r="M160" s="1552" t="s">
        <v>9809</v>
      </c>
      <c r="N160" s="22" t="s">
        <v>4780</v>
      </c>
      <c r="O160" s="1552" t="s">
        <v>5478</v>
      </c>
      <c r="P160" s="1553" t="s">
        <v>1880</v>
      </c>
      <c r="Q160" s="1552" t="s">
        <v>4676</v>
      </c>
      <c r="R160" s="54" t="s">
        <v>2224</v>
      </c>
      <c r="S160" s="71" t="s">
        <v>19</v>
      </c>
      <c r="T160" s="1552" t="s">
        <v>1894</v>
      </c>
      <c r="U160" s="1552" t="s">
        <v>1894</v>
      </c>
      <c r="V160" s="24" t="s">
        <v>8399</v>
      </c>
      <c r="W160" s="90" t="s">
        <v>9761</v>
      </c>
      <c r="X160" s="24" t="s">
        <v>110</v>
      </c>
      <c r="Y160" s="24">
        <v>1</v>
      </c>
      <c r="Z160" s="24" t="s">
        <v>9532</v>
      </c>
      <c r="AA160" s="24" t="s">
        <v>10987</v>
      </c>
      <c r="AB160" s="30">
        <v>3.66</v>
      </c>
      <c r="AC160" s="30"/>
      <c r="AD160" s="30">
        <v>3.66</v>
      </c>
      <c r="AE160" s="59"/>
      <c r="AF160" s="59"/>
      <c r="AG160" s="35" t="s">
        <v>1104</v>
      </c>
      <c r="AH160" s="202" t="s">
        <v>19</v>
      </c>
      <c r="AI160" s="35" t="s">
        <v>1880</v>
      </c>
      <c r="AJ160" s="1802" t="s">
        <v>10995</v>
      </c>
    </row>
    <row r="161" spans="1:36" s="11" customFormat="1" ht="26.25" customHeight="1" x14ac:dyDescent="0.15">
      <c r="A161" s="8">
        <f t="shared" si="0"/>
        <v>159</v>
      </c>
      <c r="B161" s="36" t="s">
        <v>9782</v>
      </c>
      <c r="C161" s="71" t="s">
        <v>9795</v>
      </c>
      <c r="D161" s="1553" t="s">
        <v>11076</v>
      </c>
      <c r="E161" s="36" t="s">
        <v>10022</v>
      </c>
      <c r="F161" s="29" t="s">
        <v>9813</v>
      </c>
      <c r="G161" s="53" t="s">
        <v>10986</v>
      </c>
      <c r="H161" s="26" t="s">
        <v>448</v>
      </c>
      <c r="I161" s="26" t="s">
        <v>448</v>
      </c>
      <c r="J161" s="26" t="s">
        <v>448</v>
      </c>
      <c r="K161" s="1552" t="s">
        <v>4195</v>
      </c>
      <c r="L161" s="1552" t="s">
        <v>4692</v>
      </c>
      <c r="M161" s="1552" t="s">
        <v>9810</v>
      </c>
      <c r="N161" s="22" t="s">
        <v>4780</v>
      </c>
      <c r="O161" s="1552" t="s">
        <v>5478</v>
      </c>
      <c r="P161" s="1553" t="s">
        <v>111</v>
      </c>
      <c r="Q161" s="1552" t="s">
        <v>4676</v>
      </c>
      <c r="R161" s="54" t="s">
        <v>2224</v>
      </c>
      <c r="S161" s="71" t="s">
        <v>19</v>
      </c>
      <c r="T161" s="1552" t="s">
        <v>1894</v>
      </c>
      <c r="U161" s="1552" t="s">
        <v>1894</v>
      </c>
      <c r="V161" s="24" t="s">
        <v>8399</v>
      </c>
      <c r="W161" s="90" t="s">
        <v>9761</v>
      </c>
      <c r="X161" s="24" t="s">
        <v>110</v>
      </c>
      <c r="Y161" s="24">
        <v>1</v>
      </c>
      <c r="Z161" s="24" t="s">
        <v>9532</v>
      </c>
      <c r="AA161" s="24" t="s">
        <v>10987</v>
      </c>
      <c r="AB161" s="30">
        <v>5.5</v>
      </c>
      <c r="AC161" s="30"/>
      <c r="AD161" s="30">
        <v>5.5</v>
      </c>
      <c r="AE161" s="59"/>
      <c r="AF161" s="59"/>
      <c r="AG161" s="35" t="s">
        <v>1104</v>
      </c>
      <c r="AH161" s="202" t="s">
        <v>19</v>
      </c>
      <c r="AI161" s="35" t="s">
        <v>1880</v>
      </c>
      <c r="AJ161" s="1801" t="s">
        <v>10994</v>
      </c>
    </row>
    <row r="162" spans="1:36" s="11" customFormat="1" ht="26.25" customHeight="1" x14ac:dyDescent="0.15">
      <c r="A162" s="8">
        <f t="shared" si="0"/>
        <v>160</v>
      </c>
      <c r="B162" s="36" t="s">
        <v>9783</v>
      </c>
      <c r="C162" s="71" t="s">
        <v>9796</v>
      </c>
      <c r="D162" s="1553" t="s">
        <v>111</v>
      </c>
      <c r="E162" s="36" t="s">
        <v>10021</v>
      </c>
      <c r="F162" s="29" t="s">
        <v>9815</v>
      </c>
      <c r="G162" s="53" t="s">
        <v>10986</v>
      </c>
      <c r="H162" s="26" t="s">
        <v>448</v>
      </c>
      <c r="I162" s="26" t="s">
        <v>448</v>
      </c>
      <c r="J162" s="26" t="s">
        <v>448</v>
      </c>
      <c r="K162" s="1552" t="s">
        <v>4195</v>
      </c>
      <c r="L162" s="1552" t="s">
        <v>4692</v>
      </c>
      <c r="M162" s="1552" t="s">
        <v>9811</v>
      </c>
      <c r="N162" s="22" t="s">
        <v>4780</v>
      </c>
      <c r="O162" s="1552" t="s">
        <v>5478</v>
      </c>
      <c r="P162" s="1553" t="s">
        <v>1880</v>
      </c>
      <c r="Q162" s="1552" t="s">
        <v>4676</v>
      </c>
      <c r="R162" s="54" t="s">
        <v>2224</v>
      </c>
      <c r="S162" s="71" t="s">
        <v>19</v>
      </c>
      <c r="T162" s="1552" t="s">
        <v>1894</v>
      </c>
      <c r="U162" s="1552" t="s">
        <v>1894</v>
      </c>
      <c r="V162" s="24" t="s">
        <v>8399</v>
      </c>
      <c r="W162" s="90" t="s">
        <v>9761</v>
      </c>
      <c r="X162" s="24" t="s">
        <v>110</v>
      </c>
      <c r="Y162" s="24">
        <v>1</v>
      </c>
      <c r="Z162" s="24" t="s">
        <v>9532</v>
      </c>
      <c r="AA162" s="24" t="s">
        <v>10987</v>
      </c>
      <c r="AB162" s="30">
        <v>2.75</v>
      </c>
      <c r="AC162" s="30"/>
      <c r="AD162" s="30">
        <v>2.75</v>
      </c>
      <c r="AE162" s="59"/>
      <c r="AF162" s="59"/>
      <c r="AG162" s="35" t="s">
        <v>1104</v>
      </c>
      <c r="AH162" s="202" t="s">
        <v>19</v>
      </c>
      <c r="AI162" s="35" t="s">
        <v>1880</v>
      </c>
      <c r="AJ162" s="1552" t="s">
        <v>10997</v>
      </c>
    </row>
    <row r="163" spans="1:36" s="11" customFormat="1" ht="26.25" customHeight="1" x14ac:dyDescent="0.15">
      <c r="A163" s="8">
        <f t="shared" si="0"/>
        <v>161</v>
      </c>
      <c r="B163" s="36" t="s">
        <v>9784</v>
      </c>
      <c r="C163" s="71" t="s">
        <v>9797</v>
      </c>
      <c r="D163" s="1553" t="s">
        <v>111</v>
      </c>
      <c r="E163" s="36" t="s">
        <v>10020</v>
      </c>
      <c r="F163" s="29" t="s">
        <v>9815</v>
      </c>
      <c r="G163" s="53" t="s">
        <v>10986</v>
      </c>
      <c r="H163" s="26" t="s">
        <v>448</v>
      </c>
      <c r="I163" s="26" t="s">
        <v>448</v>
      </c>
      <c r="J163" s="26" t="s">
        <v>448</v>
      </c>
      <c r="K163" s="1552" t="s">
        <v>4195</v>
      </c>
      <c r="L163" s="1552" t="s">
        <v>4692</v>
      </c>
      <c r="M163" s="1552" t="s">
        <v>9812</v>
      </c>
      <c r="N163" s="22" t="s">
        <v>4780</v>
      </c>
      <c r="O163" s="1552" t="s">
        <v>5478</v>
      </c>
      <c r="P163" s="1553" t="s">
        <v>111</v>
      </c>
      <c r="Q163" s="1552" t="s">
        <v>4676</v>
      </c>
      <c r="R163" s="54" t="s">
        <v>2224</v>
      </c>
      <c r="S163" s="71" t="s">
        <v>19</v>
      </c>
      <c r="T163" s="1552" t="s">
        <v>1894</v>
      </c>
      <c r="U163" s="1552" t="s">
        <v>1894</v>
      </c>
      <c r="V163" s="24" t="s">
        <v>8399</v>
      </c>
      <c r="W163" s="90" t="s">
        <v>9761</v>
      </c>
      <c r="X163" s="24" t="s">
        <v>110</v>
      </c>
      <c r="Y163" s="24">
        <v>1</v>
      </c>
      <c r="Z163" s="24" t="s">
        <v>9532</v>
      </c>
      <c r="AA163" s="24" t="s">
        <v>10987</v>
      </c>
      <c r="AB163" s="30">
        <v>2.75</v>
      </c>
      <c r="AC163" s="30"/>
      <c r="AD163" s="30">
        <v>2.75</v>
      </c>
      <c r="AE163" s="59"/>
      <c r="AF163" s="59"/>
      <c r="AG163" s="35" t="s">
        <v>1104</v>
      </c>
      <c r="AH163" s="202" t="s">
        <v>19</v>
      </c>
      <c r="AI163" s="35" t="s">
        <v>1880</v>
      </c>
      <c r="AJ163" s="1802" t="s">
        <v>10997</v>
      </c>
    </row>
    <row r="164" spans="1:36" s="11" customFormat="1" ht="26.25" customHeight="1" x14ac:dyDescent="0.15">
      <c r="A164" s="8">
        <f t="shared" si="0"/>
        <v>162</v>
      </c>
      <c r="B164" s="36" t="s">
        <v>9766</v>
      </c>
      <c r="C164" s="71" t="s">
        <v>9753</v>
      </c>
      <c r="D164" s="1551" t="s">
        <v>111</v>
      </c>
      <c r="E164" s="1551" t="s">
        <v>111</v>
      </c>
      <c r="F164" s="29" t="s">
        <v>7807</v>
      </c>
      <c r="G164" s="53" t="s">
        <v>7811</v>
      </c>
      <c r="H164" s="26" t="s">
        <v>448</v>
      </c>
      <c r="I164" s="26" t="s">
        <v>448</v>
      </c>
      <c r="J164" s="26" t="s">
        <v>448</v>
      </c>
      <c r="K164" s="1550" t="s">
        <v>3649</v>
      </c>
      <c r="L164" s="1550" t="s">
        <v>4750</v>
      </c>
      <c r="M164" s="1550" t="s">
        <v>9754</v>
      </c>
      <c r="N164" s="22" t="s">
        <v>4780</v>
      </c>
      <c r="O164" s="1548" t="s">
        <v>5431</v>
      </c>
      <c r="P164" s="1548" t="s">
        <v>6561</v>
      </c>
      <c r="Q164" s="1550" t="s">
        <v>1131</v>
      </c>
      <c r="R164" s="54" t="s">
        <v>10399</v>
      </c>
      <c r="S164" s="71" t="s">
        <v>19</v>
      </c>
      <c r="T164" s="1547" t="s">
        <v>5487</v>
      </c>
      <c r="U164" s="1550" t="s">
        <v>5487</v>
      </c>
      <c r="V164" s="24" t="s">
        <v>8399</v>
      </c>
      <c r="W164" s="90" t="s">
        <v>9755</v>
      </c>
      <c r="X164" s="24" t="s">
        <v>108</v>
      </c>
      <c r="Y164" s="10">
        <v>1</v>
      </c>
      <c r="Z164" s="24" t="s">
        <v>6842</v>
      </c>
      <c r="AA164" s="24" t="s">
        <v>448</v>
      </c>
      <c r="AB164" s="30">
        <v>74.88</v>
      </c>
      <c r="AC164" s="30"/>
      <c r="AD164" s="30">
        <v>74.88</v>
      </c>
      <c r="AE164" s="59"/>
      <c r="AF164" s="59"/>
      <c r="AG164" s="35" t="s">
        <v>1104</v>
      </c>
      <c r="AH164" s="202" t="s">
        <v>19</v>
      </c>
      <c r="AI164" s="35" t="s">
        <v>1880</v>
      </c>
      <c r="AJ164" s="1547"/>
    </row>
    <row r="165" spans="1:36" s="11" customFormat="1" ht="26.25" customHeight="1" x14ac:dyDescent="0.15">
      <c r="A165" s="8">
        <f t="shared" si="0"/>
        <v>163</v>
      </c>
      <c r="B165" s="36" t="s">
        <v>9767</v>
      </c>
      <c r="C165" s="1551" t="s">
        <v>111</v>
      </c>
      <c r="D165" s="1551" t="s">
        <v>111</v>
      </c>
      <c r="E165" s="1551" t="s">
        <v>111</v>
      </c>
      <c r="F165" s="29" t="s">
        <v>6670</v>
      </c>
      <c r="G165" s="53" t="s">
        <v>9756</v>
      </c>
      <c r="H165" s="26" t="s">
        <v>448</v>
      </c>
      <c r="I165" s="26" t="s">
        <v>448</v>
      </c>
      <c r="J165" s="26" t="s">
        <v>448</v>
      </c>
      <c r="K165" s="1550" t="s">
        <v>5003</v>
      </c>
      <c r="L165" s="1550" t="s">
        <v>6836</v>
      </c>
      <c r="M165" s="1550" t="s">
        <v>6837</v>
      </c>
      <c r="N165" s="22" t="s">
        <v>9757</v>
      </c>
      <c r="O165" s="1551" t="s">
        <v>5431</v>
      </c>
      <c r="P165" s="1551" t="s">
        <v>1880</v>
      </c>
      <c r="Q165" s="1550" t="s">
        <v>1131</v>
      </c>
      <c r="R165" s="54" t="s">
        <v>8803</v>
      </c>
      <c r="S165" s="71" t="s">
        <v>19</v>
      </c>
      <c r="T165" s="1547" t="s">
        <v>5489</v>
      </c>
      <c r="U165" s="1550" t="s">
        <v>5489</v>
      </c>
      <c r="V165" s="24" t="s">
        <v>8399</v>
      </c>
      <c r="W165" s="90" t="s">
        <v>9758</v>
      </c>
      <c r="X165" s="24" t="s">
        <v>110</v>
      </c>
      <c r="Y165" s="24">
        <v>1</v>
      </c>
      <c r="Z165" s="24" t="s">
        <v>448</v>
      </c>
      <c r="AA165" s="24" t="s">
        <v>448</v>
      </c>
      <c r="AB165" s="30">
        <v>4.5</v>
      </c>
      <c r="AC165" s="30"/>
      <c r="AD165" s="30">
        <v>4.5</v>
      </c>
      <c r="AE165" s="59"/>
      <c r="AF165" s="59"/>
      <c r="AG165" s="35" t="s">
        <v>1104</v>
      </c>
      <c r="AH165" s="202" t="s">
        <v>19</v>
      </c>
      <c r="AI165" s="35" t="s">
        <v>1880</v>
      </c>
      <c r="AJ165" s="1547"/>
    </row>
    <row r="166" spans="1:36" s="11" customFormat="1" ht="26.25" customHeight="1" x14ac:dyDescent="0.15">
      <c r="A166" s="8">
        <f t="shared" si="0"/>
        <v>164</v>
      </c>
      <c r="B166" s="36" t="s">
        <v>9768</v>
      </c>
      <c r="C166" s="1551" t="s">
        <v>111</v>
      </c>
      <c r="D166" s="1551" t="s">
        <v>111</v>
      </c>
      <c r="E166" s="1551" t="s">
        <v>111</v>
      </c>
      <c r="F166" s="29" t="s">
        <v>7554</v>
      </c>
      <c r="G166" s="53" t="s">
        <v>9759</v>
      </c>
      <c r="H166" s="26" t="s">
        <v>448</v>
      </c>
      <c r="I166" s="26" t="s">
        <v>448</v>
      </c>
      <c r="J166" s="26" t="s">
        <v>448</v>
      </c>
      <c r="K166" s="1549" t="s">
        <v>4712</v>
      </c>
      <c r="L166" s="1549" t="s">
        <v>4750</v>
      </c>
      <c r="M166" s="1549" t="s">
        <v>7556</v>
      </c>
      <c r="N166" s="22" t="s">
        <v>7557</v>
      </c>
      <c r="O166" s="22" t="s">
        <v>5431</v>
      </c>
      <c r="P166" s="1551" t="s">
        <v>1880</v>
      </c>
      <c r="Q166" s="1550" t="s">
        <v>1131</v>
      </c>
      <c r="R166" s="151" t="s">
        <v>2423</v>
      </c>
      <c r="S166" s="22" t="s">
        <v>1880</v>
      </c>
      <c r="T166" s="1550" t="s">
        <v>5571</v>
      </c>
      <c r="U166" s="1550" t="s">
        <v>5571</v>
      </c>
      <c r="V166" s="24" t="s">
        <v>8399</v>
      </c>
      <c r="W166" s="90" t="s">
        <v>9755</v>
      </c>
      <c r="X166" s="24" t="s">
        <v>110</v>
      </c>
      <c r="Y166" s="24">
        <v>1</v>
      </c>
      <c r="Z166" s="24" t="s">
        <v>8778</v>
      </c>
      <c r="AA166" s="24" t="s">
        <v>8779</v>
      </c>
      <c r="AB166" s="30"/>
      <c r="AC166" s="30">
        <v>25.5</v>
      </c>
      <c r="AD166" s="30">
        <v>25.5</v>
      </c>
      <c r="AE166" s="59"/>
      <c r="AF166" s="59"/>
      <c r="AG166" s="35" t="s">
        <v>1104</v>
      </c>
      <c r="AH166" s="202" t="s">
        <v>19</v>
      </c>
      <c r="AI166" s="35" t="s">
        <v>1880</v>
      </c>
      <c r="AJ166" s="1545"/>
    </row>
    <row r="167" spans="1:36" s="11" customFormat="1" ht="26.25" customHeight="1" x14ac:dyDescent="0.15">
      <c r="A167" s="8">
        <f t="shared" si="0"/>
        <v>165</v>
      </c>
      <c r="B167" s="36" t="s">
        <v>9769</v>
      </c>
      <c r="C167" s="1551" t="s">
        <v>111</v>
      </c>
      <c r="D167" s="1551" t="s">
        <v>111</v>
      </c>
      <c r="E167" s="1551" t="s">
        <v>111</v>
      </c>
      <c r="F167" s="151" t="s">
        <v>4285</v>
      </c>
      <c r="G167" s="98" t="s">
        <v>9760</v>
      </c>
      <c r="H167" s="26" t="s">
        <v>448</v>
      </c>
      <c r="I167" s="26" t="s">
        <v>448</v>
      </c>
      <c r="J167" s="26" t="s">
        <v>448</v>
      </c>
      <c r="K167" s="1551" t="s">
        <v>2012</v>
      </c>
      <c r="L167" s="1551" t="s">
        <v>2533</v>
      </c>
      <c r="M167" s="1551" t="s">
        <v>4287</v>
      </c>
      <c r="N167" s="1551" t="s">
        <v>4286</v>
      </c>
      <c r="O167" s="1551" t="s">
        <v>1826</v>
      </c>
      <c r="P167" s="1551" t="s">
        <v>111</v>
      </c>
      <c r="Q167" s="1551" t="s">
        <v>1818</v>
      </c>
      <c r="R167" s="151" t="s">
        <v>2423</v>
      </c>
      <c r="S167" s="22" t="s">
        <v>1880</v>
      </c>
      <c r="T167" s="1550" t="s">
        <v>3248</v>
      </c>
      <c r="U167" s="1550" t="s">
        <v>3248</v>
      </c>
      <c r="V167" s="24" t="s">
        <v>8399</v>
      </c>
      <c r="W167" s="90" t="s">
        <v>9761</v>
      </c>
      <c r="X167" s="24" t="s">
        <v>110</v>
      </c>
      <c r="Y167" s="24">
        <v>1</v>
      </c>
      <c r="Z167" s="24" t="s">
        <v>8778</v>
      </c>
      <c r="AA167" s="24" t="s">
        <v>8779</v>
      </c>
      <c r="AB167" s="30"/>
      <c r="AC167" s="30">
        <v>25.5</v>
      </c>
      <c r="AD167" s="30">
        <v>25.5</v>
      </c>
      <c r="AE167" s="59"/>
      <c r="AF167" s="59"/>
      <c r="AG167" s="35" t="s">
        <v>1104</v>
      </c>
      <c r="AH167" s="202" t="s">
        <v>19</v>
      </c>
      <c r="AI167" s="35" t="s">
        <v>1880</v>
      </c>
      <c r="AJ167" s="1543"/>
    </row>
    <row r="168" spans="1:36" s="11" customFormat="1" ht="26.25" customHeight="1" x14ac:dyDescent="0.15">
      <c r="A168" s="8">
        <f t="shared" si="0"/>
        <v>166</v>
      </c>
      <c r="B168" s="36" t="s">
        <v>9770</v>
      </c>
      <c r="C168" s="1551" t="s">
        <v>111</v>
      </c>
      <c r="D168" s="1551" t="s">
        <v>111</v>
      </c>
      <c r="E168" s="1551" t="s">
        <v>111</v>
      </c>
      <c r="F168" s="29" t="s">
        <v>6670</v>
      </c>
      <c r="G168" s="53" t="s">
        <v>9763</v>
      </c>
      <c r="H168" s="26" t="s">
        <v>448</v>
      </c>
      <c r="I168" s="26" t="s">
        <v>448</v>
      </c>
      <c r="J168" s="26" t="s">
        <v>448</v>
      </c>
      <c r="K168" s="1549" t="s">
        <v>2113</v>
      </c>
      <c r="L168" s="1549" t="s">
        <v>1779</v>
      </c>
      <c r="M168" s="1549" t="s">
        <v>1778</v>
      </c>
      <c r="N168" s="22" t="s">
        <v>1777</v>
      </c>
      <c r="O168" s="1551" t="s">
        <v>1826</v>
      </c>
      <c r="P168" s="1551" t="s">
        <v>111</v>
      </c>
      <c r="Q168" s="1550" t="s">
        <v>1131</v>
      </c>
      <c r="R168" s="54" t="s">
        <v>8803</v>
      </c>
      <c r="S168" s="1551" t="s">
        <v>111</v>
      </c>
      <c r="T168" s="1550" t="s">
        <v>5489</v>
      </c>
      <c r="U168" s="1550" t="s">
        <v>5489</v>
      </c>
      <c r="V168" s="24" t="s">
        <v>9764</v>
      </c>
      <c r="W168" s="90" t="s">
        <v>9765</v>
      </c>
      <c r="X168" s="24" t="s">
        <v>110</v>
      </c>
      <c r="Y168" s="24">
        <v>1</v>
      </c>
      <c r="Z168" s="24" t="s">
        <v>448</v>
      </c>
      <c r="AA168" s="24" t="s">
        <v>448</v>
      </c>
      <c r="AB168" s="30">
        <v>4.5</v>
      </c>
      <c r="AC168" s="30"/>
      <c r="AD168" s="30">
        <v>4.5</v>
      </c>
      <c r="AE168" s="59"/>
      <c r="AF168" s="59"/>
      <c r="AG168" s="35" t="s">
        <v>1104</v>
      </c>
      <c r="AH168" s="202" t="s">
        <v>19</v>
      </c>
      <c r="AI168" s="35" t="s">
        <v>1880</v>
      </c>
      <c r="AJ168" s="1550"/>
    </row>
    <row r="169" spans="1:36" s="11" customFormat="1" ht="26.25" customHeight="1" x14ac:dyDescent="0.15">
      <c r="A169" s="8">
        <f t="shared" si="0"/>
        <v>167</v>
      </c>
      <c r="B169" s="36" t="s">
        <v>9825</v>
      </c>
      <c r="C169" s="1557" t="s">
        <v>111</v>
      </c>
      <c r="D169" s="1557" t="s">
        <v>111</v>
      </c>
      <c r="E169" s="1557" t="s">
        <v>111</v>
      </c>
      <c r="F169" s="29" t="s">
        <v>9823</v>
      </c>
      <c r="G169" s="53" t="s">
        <v>9826</v>
      </c>
      <c r="H169" s="26" t="s">
        <v>448</v>
      </c>
      <c r="I169" s="26" t="s">
        <v>448</v>
      </c>
      <c r="J169" s="26" t="s">
        <v>448</v>
      </c>
      <c r="K169" s="1555" t="s">
        <v>4195</v>
      </c>
      <c r="L169" s="1555" t="s">
        <v>2007</v>
      </c>
      <c r="M169" s="1555" t="s">
        <v>5633</v>
      </c>
      <c r="N169" s="22" t="s">
        <v>4780</v>
      </c>
      <c r="O169" s="22" t="s">
        <v>5431</v>
      </c>
      <c r="P169" s="1557" t="s">
        <v>111</v>
      </c>
      <c r="Q169" s="1556" t="s">
        <v>1131</v>
      </c>
      <c r="R169" s="54" t="s">
        <v>4753</v>
      </c>
      <c r="S169" s="1557" t="s">
        <v>111</v>
      </c>
      <c r="T169" s="1550" t="s">
        <v>1894</v>
      </c>
      <c r="U169" s="1550" t="s">
        <v>1894</v>
      </c>
      <c r="V169" s="24" t="s">
        <v>9824</v>
      </c>
      <c r="W169" s="90" t="s">
        <v>9824</v>
      </c>
      <c r="X169" s="24" t="s">
        <v>110</v>
      </c>
      <c r="Y169" s="24">
        <v>2</v>
      </c>
      <c r="Z169" s="24" t="s">
        <v>448</v>
      </c>
      <c r="AA169" s="24" t="s">
        <v>448</v>
      </c>
      <c r="AB169" s="30">
        <v>0.2</v>
      </c>
      <c r="AC169" s="30"/>
      <c r="AD169" s="30">
        <v>0.2</v>
      </c>
      <c r="AE169" s="59"/>
      <c r="AF169" s="59"/>
      <c r="AG169" s="35" t="s">
        <v>1104</v>
      </c>
      <c r="AH169" s="202" t="s">
        <v>19</v>
      </c>
      <c r="AI169" s="35" t="s">
        <v>1880</v>
      </c>
      <c r="AJ169" s="1550"/>
    </row>
    <row r="170" spans="1:36" s="11" customFormat="1" ht="26.25" customHeight="1" x14ac:dyDescent="0.15">
      <c r="A170" s="8">
        <f t="shared" si="0"/>
        <v>168</v>
      </c>
      <c r="B170" s="36" t="s">
        <v>9836</v>
      </c>
      <c r="C170" s="26" t="s">
        <v>9845</v>
      </c>
      <c r="D170" s="1559" t="s">
        <v>111</v>
      </c>
      <c r="E170" s="1559" t="s">
        <v>111</v>
      </c>
      <c r="F170" s="29" t="s">
        <v>9849</v>
      </c>
      <c r="G170" s="53" t="s">
        <v>9850</v>
      </c>
      <c r="H170" s="26" t="s">
        <v>448</v>
      </c>
      <c r="I170" s="26" t="s">
        <v>448</v>
      </c>
      <c r="J170" s="26" t="s">
        <v>448</v>
      </c>
      <c r="K170" s="1565" t="s">
        <v>4195</v>
      </c>
      <c r="L170" s="1565" t="s">
        <v>4692</v>
      </c>
      <c r="M170" s="1565" t="s">
        <v>9851</v>
      </c>
      <c r="N170" s="22" t="s">
        <v>4780</v>
      </c>
      <c r="O170" s="22" t="s">
        <v>5431</v>
      </c>
      <c r="P170" s="1566" t="s">
        <v>111</v>
      </c>
      <c r="Q170" s="1565" t="s">
        <v>1131</v>
      </c>
      <c r="R170" s="54" t="s">
        <v>5708</v>
      </c>
      <c r="S170" s="1561" t="s">
        <v>111</v>
      </c>
      <c r="T170" s="1560" t="s">
        <v>1894</v>
      </c>
      <c r="U170" s="1558" t="s">
        <v>1894</v>
      </c>
      <c r="V170" s="24" t="s">
        <v>9824</v>
      </c>
      <c r="W170" s="90" t="s">
        <v>9764</v>
      </c>
      <c r="X170" s="24" t="s">
        <v>110</v>
      </c>
      <c r="Y170" s="24">
        <v>2</v>
      </c>
      <c r="Z170" s="24" t="s">
        <v>5711</v>
      </c>
      <c r="AA170" s="24" t="s">
        <v>448</v>
      </c>
      <c r="AB170" s="30">
        <v>45</v>
      </c>
      <c r="AC170" s="30"/>
      <c r="AD170" s="30">
        <v>45</v>
      </c>
      <c r="AE170" s="59"/>
      <c r="AF170" s="59"/>
      <c r="AG170" s="35" t="s">
        <v>1104</v>
      </c>
      <c r="AH170" s="202" t="s">
        <v>19</v>
      </c>
      <c r="AI170" s="35" t="s">
        <v>1880</v>
      </c>
      <c r="AJ170" s="1558"/>
    </row>
    <row r="171" spans="1:36" s="11" customFormat="1" ht="26.25" customHeight="1" x14ac:dyDescent="0.15">
      <c r="A171" s="8">
        <f t="shared" si="0"/>
        <v>169</v>
      </c>
      <c r="B171" s="36" t="s">
        <v>9837</v>
      </c>
      <c r="C171" s="1561" t="s">
        <v>111</v>
      </c>
      <c r="D171" s="1561" t="s">
        <v>111</v>
      </c>
      <c r="E171" s="1561" t="s">
        <v>111</v>
      </c>
      <c r="F171" s="29" t="s">
        <v>7912</v>
      </c>
      <c r="G171" s="53" t="s">
        <v>9855</v>
      </c>
      <c r="H171" s="26" t="s">
        <v>448</v>
      </c>
      <c r="I171" s="26" t="s">
        <v>448</v>
      </c>
      <c r="J171" s="26" t="s">
        <v>448</v>
      </c>
      <c r="K171" s="1567" t="s">
        <v>4712</v>
      </c>
      <c r="L171" s="1567" t="s">
        <v>4692</v>
      </c>
      <c r="M171" s="1567" t="s">
        <v>6331</v>
      </c>
      <c r="N171" s="1568" t="s">
        <v>4780</v>
      </c>
      <c r="O171" s="1568" t="s">
        <v>1826</v>
      </c>
      <c r="P171" s="1568" t="s">
        <v>111</v>
      </c>
      <c r="Q171" s="1568" t="s">
        <v>1818</v>
      </c>
      <c r="R171" s="151" t="s">
        <v>1819</v>
      </c>
      <c r="S171" s="22" t="s">
        <v>1880</v>
      </c>
      <c r="T171" s="1567" t="s">
        <v>5571</v>
      </c>
      <c r="U171" s="1567" t="s">
        <v>5571</v>
      </c>
      <c r="V171" s="24" t="s">
        <v>9824</v>
      </c>
      <c r="W171" s="90" t="s">
        <v>9856</v>
      </c>
      <c r="X171" s="24" t="s">
        <v>110</v>
      </c>
      <c r="Y171" s="24">
        <v>1</v>
      </c>
      <c r="Z171" s="24" t="s">
        <v>9631</v>
      </c>
      <c r="AA171" s="24" t="s">
        <v>9857</v>
      </c>
      <c r="AB171" s="30"/>
      <c r="AC171" s="30">
        <v>7</v>
      </c>
      <c r="AD171" s="30">
        <v>7</v>
      </c>
      <c r="AE171" s="59"/>
      <c r="AF171" s="59"/>
      <c r="AG171" s="35" t="s">
        <v>1104</v>
      </c>
      <c r="AH171" s="202" t="s">
        <v>19</v>
      </c>
      <c r="AI171" s="35" t="s">
        <v>1880</v>
      </c>
      <c r="AJ171" s="1558"/>
    </row>
    <row r="172" spans="1:36" s="11" customFormat="1" ht="26.25" customHeight="1" x14ac:dyDescent="0.15">
      <c r="A172" s="8">
        <f t="shared" si="0"/>
        <v>170</v>
      </c>
      <c r="B172" s="36" t="s">
        <v>9838</v>
      </c>
      <c r="C172" s="1561" t="s">
        <v>111</v>
      </c>
      <c r="D172" s="1561" t="s">
        <v>111</v>
      </c>
      <c r="E172" s="1561" t="s">
        <v>111</v>
      </c>
      <c r="F172" s="29" t="s">
        <v>3886</v>
      </c>
      <c r="G172" s="53" t="s">
        <v>9858</v>
      </c>
      <c r="H172" s="26" t="s">
        <v>448</v>
      </c>
      <c r="I172" s="26" t="s">
        <v>448</v>
      </c>
      <c r="J172" s="26" t="s">
        <v>448</v>
      </c>
      <c r="K172" s="1567" t="s">
        <v>4712</v>
      </c>
      <c r="L172" s="1567" t="s">
        <v>4692</v>
      </c>
      <c r="M172" s="1567" t="s">
        <v>6050</v>
      </c>
      <c r="N172" s="1568" t="s">
        <v>7038</v>
      </c>
      <c r="O172" s="1568" t="s">
        <v>1826</v>
      </c>
      <c r="P172" s="1568" t="s">
        <v>111</v>
      </c>
      <c r="Q172" s="1568" t="s">
        <v>1818</v>
      </c>
      <c r="R172" s="151" t="s">
        <v>1819</v>
      </c>
      <c r="S172" s="22" t="s">
        <v>1880</v>
      </c>
      <c r="T172" s="1567" t="s">
        <v>5571</v>
      </c>
      <c r="U172" s="1567" t="s">
        <v>5571</v>
      </c>
      <c r="V172" s="24" t="s">
        <v>9824</v>
      </c>
      <c r="W172" s="90" t="s">
        <v>9856</v>
      </c>
      <c r="X172" s="24" t="s">
        <v>110</v>
      </c>
      <c r="Y172" s="24">
        <v>1</v>
      </c>
      <c r="Z172" s="24" t="s">
        <v>9631</v>
      </c>
      <c r="AA172" s="24" t="s">
        <v>9857</v>
      </c>
      <c r="AB172" s="30"/>
      <c r="AC172" s="30">
        <v>7</v>
      </c>
      <c r="AD172" s="30">
        <v>7</v>
      </c>
      <c r="AE172" s="59"/>
      <c r="AF172" s="59"/>
      <c r="AG172" s="35" t="s">
        <v>1104</v>
      </c>
      <c r="AH172" s="202" t="s">
        <v>19</v>
      </c>
      <c r="AI172" s="35" t="s">
        <v>1880</v>
      </c>
      <c r="AJ172" s="1558"/>
    </row>
    <row r="173" spans="1:36" s="11" customFormat="1" ht="26.25" customHeight="1" x14ac:dyDescent="0.15">
      <c r="A173" s="8">
        <f t="shared" si="0"/>
        <v>171</v>
      </c>
      <c r="B173" s="36" t="s">
        <v>9839</v>
      </c>
      <c r="C173" s="1561" t="s">
        <v>111</v>
      </c>
      <c r="D173" s="1561" t="s">
        <v>111</v>
      </c>
      <c r="E173" s="1561" t="s">
        <v>111</v>
      </c>
      <c r="F173" s="29" t="s">
        <v>7960</v>
      </c>
      <c r="G173" s="53" t="s">
        <v>9859</v>
      </c>
      <c r="H173" s="26" t="s">
        <v>448</v>
      </c>
      <c r="I173" s="26" t="s">
        <v>448</v>
      </c>
      <c r="J173" s="26" t="s">
        <v>448</v>
      </c>
      <c r="K173" s="1567" t="s">
        <v>1487</v>
      </c>
      <c r="L173" s="1567" t="s">
        <v>1416</v>
      </c>
      <c r="M173" s="1567" t="s">
        <v>7959</v>
      </c>
      <c r="N173" s="1568" t="s">
        <v>4780</v>
      </c>
      <c r="O173" s="1568" t="s">
        <v>1826</v>
      </c>
      <c r="P173" s="1568" t="s">
        <v>111</v>
      </c>
      <c r="Q173" s="1568" t="s">
        <v>1818</v>
      </c>
      <c r="R173" s="151" t="s">
        <v>1819</v>
      </c>
      <c r="S173" s="22" t="s">
        <v>1880</v>
      </c>
      <c r="T173" s="1567" t="s">
        <v>5571</v>
      </c>
      <c r="U173" s="1567" t="s">
        <v>5571</v>
      </c>
      <c r="V173" s="24" t="s">
        <v>9824</v>
      </c>
      <c r="W173" s="90" t="s">
        <v>9856</v>
      </c>
      <c r="X173" s="24" t="s">
        <v>110</v>
      </c>
      <c r="Y173" s="24">
        <v>1</v>
      </c>
      <c r="Z173" s="24" t="s">
        <v>9631</v>
      </c>
      <c r="AA173" s="24" t="s">
        <v>9857</v>
      </c>
      <c r="AB173" s="30"/>
      <c r="AC173" s="30">
        <v>7</v>
      </c>
      <c r="AD173" s="30">
        <v>7</v>
      </c>
      <c r="AE173" s="59"/>
      <c r="AF173" s="59"/>
      <c r="AG173" s="35" t="s">
        <v>1104</v>
      </c>
      <c r="AH173" s="202" t="s">
        <v>19</v>
      </c>
      <c r="AI173" s="35" t="s">
        <v>1880</v>
      </c>
      <c r="AJ173" s="1558"/>
    </row>
    <row r="174" spans="1:36" s="11" customFormat="1" ht="26.25" customHeight="1" x14ac:dyDescent="0.15">
      <c r="A174" s="8">
        <f t="shared" si="0"/>
        <v>172</v>
      </c>
      <c r="B174" s="36" t="s">
        <v>9840</v>
      </c>
      <c r="C174" s="1561" t="s">
        <v>111</v>
      </c>
      <c r="D174" s="1561" t="s">
        <v>111</v>
      </c>
      <c r="E174" s="1561" t="s">
        <v>111</v>
      </c>
      <c r="F174" s="29" t="s">
        <v>8264</v>
      </c>
      <c r="G174" s="53" t="s">
        <v>9860</v>
      </c>
      <c r="H174" s="26" t="s">
        <v>448</v>
      </c>
      <c r="I174" s="26" t="s">
        <v>448</v>
      </c>
      <c r="J174" s="26" t="s">
        <v>448</v>
      </c>
      <c r="K174" s="1567" t="s">
        <v>4712</v>
      </c>
      <c r="L174" s="1567" t="s">
        <v>4692</v>
      </c>
      <c r="M174" s="1567" t="s">
        <v>8326</v>
      </c>
      <c r="N174" s="22" t="s">
        <v>8266</v>
      </c>
      <c r="O174" s="1568" t="s">
        <v>1826</v>
      </c>
      <c r="P174" s="1568" t="s">
        <v>111</v>
      </c>
      <c r="Q174" s="1567" t="s">
        <v>1131</v>
      </c>
      <c r="R174" s="151" t="s">
        <v>1819</v>
      </c>
      <c r="S174" s="22" t="s">
        <v>1880</v>
      </c>
      <c r="T174" s="1567" t="s">
        <v>3248</v>
      </c>
      <c r="U174" s="1567" t="s">
        <v>3248</v>
      </c>
      <c r="V174" s="24" t="s">
        <v>9824</v>
      </c>
      <c r="W174" s="90" t="s">
        <v>9856</v>
      </c>
      <c r="X174" s="24" t="s">
        <v>110</v>
      </c>
      <c r="Y174" s="24">
        <v>1</v>
      </c>
      <c r="Z174" s="24" t="s">
        <v>9861</v>
      </c>
      <c r="AA174" s="24" t="s">
        <v>9862</v>
      </c>
      <c r="AB174" s="30"/>
      <c r="AC174" s="30">
        <v>7</v>
      </c>
      <c r="AD174" s="30">
        <v>7</v>
      </c>
      <c r="AE174" s="59"/>
      <c r="AF174" s="59"/>
      <c r="AG174" s="35" t="s">
        <v>1104</v>
      </c>
      <c r="AH174" s="202" t="s">
        <v>19</v>
      </c>
      <c r="AI174" s="35" t="s">
        <v>1880</v>
      </c>
      <c r="AJ174" s="1558"/>
    </row>
    <row r="175" spans="1:36" s="11" customFormat="1" ht="26.25" customHeight="1" x14ac:dyDescent="0.15">
      <c r="A175" s="8">
        <f t="shared" si="0"/>
        <v>173</v>
      </c>
      <c r="B175" s="36" t="s">
        <v>9841</v>
      </c>
      <c r="C175" s="1561" t="s">
        <v>111</v>
      </c>
      <c r="D175" s="1561" t="s">
        <v>10509</v>
      </c>
      <c r="E175" s="1561" t="s">
        <v>111</v>
      </c>
      <c r="F175" s="29" t="s">
        <v>8971</v>
      </c>
      <c r="G175" s="99" t="s">
        <v>8961</v>
      </c>
      <c r="H175" s="26" t="s">
        <v>448</v>
      </c>
      <c r="I175" s="26" t="s">
        <v>448</v>
      </c>
      <c r="J175" s="26" t="s">
        <v>448</v>
      </c>
      <c r="K175" s="1566" t="s">
        <v>2135</v>
      </c>
      <c r="L175" s="1566" t="s">
        <v>2533</v>
      </c>
      <c r="M175" s="21" t="s">
        <v>8973</v>
      </c>
      <c r="N175" s="22" t="s">
        <v>4780</v>
      </c>
      <c r="O175" s="22" t="s">
        <v>5431</v>
      </c>
      <c r="P175" s="1566" t="s">
        <v>111</v>
      </c>
      <c r="Q175" s="1565" t="s">
        <v>1131</v>
      </c>
      <c r="R175" s="54" t="s">
        <v>5500</v>
      </c>
      <c r="S175" s="1561" t="s">
        <v>111</v>
      </c>
      <c r="T175" s="1560" t="s">
        <v>5487</v>
      </c>
      <c r="U175" s="1558" t="s">
        <v>5487</v>
      </c>
      <c r="V175" s="24" t="s">
        <v>9843</v>
      </c>
      <c r="W175" s="499"/>
      <c r="X175" s="484"/>
      <c r="Y175" s="484"/>
      <c r="Z175" s="24" t="s">
        <v>448</v>
      </c>
      <c r="AA175" s="24" t="s">
        <v>448</v>
      </c>
      <c r="AB175" s="30">
        <v>23.35</v>
      </c>
      <c r="AC175" s="30"/>
      <c r="AD175" s="30">
        <v>23.35</v>
      </c>
      <c r="AE175" s="59"/>
      <c r="AF175" s="59"/>
      <c r="AG175" s="35" t="s">
        <v>1104</v>
      </c>
      <c r="AH175" s="202" t="s">
        <v>19</v>
      </c>
      <c r="AI175" s="35" t="s">
        <v>1880</v>
      </c>
      <c r="AJ175" s="54" t="s">
        <v>9844</v>
      </c>
    </row>
    <row r="176" spans="1:36" s="11" customFormat="1" ht="26.25" customHeight="1" x14ac:dyDescent="0.15">
      <c r="A176" s="8">
        <f t="shared" si="0"/>
        <v>174</v>
      </c>
      <c r="B176" s="36" t="s">
        <v>9846</v>
      </c>
      <c r="C176" s="1563" t="s">
        <v>111</v>
      </c>
      <c r="D176" s="1563" t="s">
        <v>111</v>
      </c>
      <c r="E176" s="36" t="s">
        <v>10442</v>
      </c>
      <c r="F176" s="29" t="s">
        <v>8693</v>
      </c>
      <c r="G176" s="53" t="s">
        <v>9852</v>
      </c>
      <c r="H176" s="26" t="s">
        <v>448</v>
      </c>
      <c r="I176" s="26" t="s">
        <v>448</v>
      </c>
      <c r="J176" s="26" t="s">
        <v>448</v>
      </c>
      <c r="K176" s="1564" t="s">
        <v>4195</v>
      </c>
      <c r="L176" s="1564" t="s">
        <v>4196</v>
      </c>
      <c r="M176" s="1564" t="s">
        <v>9401</v>
      </c>
      <c r="N176" s="1598" t="s">
        <v>9944</v>
      </c>
      <c r="O176" s="22" t="s">
        <v>5431</v>
      </c>
      <c r="P176" s="1566" t="s">
        <v>111</v>
      </c>
      <c r="Q176" s="1565" t="s">
        <v>1131</v>
      </c>
      <c r="R176" s="54" t="s">
        <v>9853</v>
      </c>
      <c r="S176" s="1563" t="s">
        <v>111</v>
      </c>
      <c r="T176" s="1562" t="s">
        <v>5487</v>
      </c>
      <c r="U176" s="1562" t="s">
        <v>5487</v>
      </c>
      <c r="V176" s="24" t="s">
        <v>9848</v>
      </c>
      <c r="W176" s="24" t="s">
        <v>9848</v>
      </c>
      <c r="X176" s="24" t="s">
        <v>110</v>
      </c>
      <c r="Y176" s="24">
        <v>1</v>
      </c>
      <c r="Z176" s="24" t="s">
        <v>448</v>
      </c>
      <c r="AA176" s="24" t="s">
        <v>448</v>
      </c>
      <c r="AB176" s="30">
        <v>4.8</v>
      </c>
      <c r="AC176" s="30"/>
      <c r="AD176" s="30">
        <v>4.8</v>
      </c>
      <c r="AE176" s="59"/>
      <c r="AF176" s="59"/>
      <c r="AG176" s="35" t="s">
        <v>1104</v>
      </c>
      <c r="AH176" s="202" t="s">
        <v>19</v>
      </c>
      <c r="AI176" s="35" t="s">
        <v>1880</v>
      </c>
      <c r="AJ176" s="1562"/>
    </row>
    <row r="177" spans="1:36" s="11" customFormat="1" ht="26.25" customHeight="1" x14ac:dyDescent="0.15">
      <c r="A177" s="8">
        <f t="shared" si="0"/>
        <v>175</v>
      </c>
      <c r="B177" s="36" t="s">
        <v>9847</v>
      </c>
      <c r="C177" s="1563" t="s">
        <v>111</v>
      </c>
      <c r="D177" s="1563" t="s">
        <v>111</v>
      </c>
      <c r="E177" s="36" t="s">
        <v>10443</v>
      </c>
      <c r="F177" s="29" t="s">
        <v>8693</v>
      </c>
      <c r="G177" s="53" t="s">
        <v>9854</v>
      </c>
      <c r="H177" s="26" t="s">
        <v>448</v>
      </c>
      <c r="I177" s="26" t="s">
        <v>448</v>
      </c>
      <c r="J177" s="26" t="s">
        <v>448</v>
      </c>
      <c r="K177" s="1564" t="s">
        <v>4195</v>
      </c>
      <c r="L177" s="1564" t="s">
        <v>4196</v>
      </c>
      <c r="M177" s="1564" t="s">
        <v>9405</v>
      </c>
      <c r="N177" s="22" t="s">
        <v>9945</v>
      </c>
      <c r="O177" s="22" t="s">
        <v>5431</v>
      </c>
      <c r="P177" s="1566" t="s">
        <v>111</v>
      </c>
      <c r="Q177" s="1565" t="s">
        <v>1131</v>
      </c>
      <c r="R177" s="54" t="s">
        <v>9853</v>
      </c>
      <c r="S177" s="1563" t="s">
        <v>111</v>
      </c>
      <c r="T177" s="1562" t="s">
        <v>5487</v>
      </c>
      <c r="U177" s="1562" t="s">
        <v>5487</v>
      </c>
      <c r="V177" s="24" t="s">
        <v>9848</v>
      </c>
      <c r="W177" s="24" t="s">
        <v>9848</v>
      </c>
      <c r="X177" s="24" t="s">
        <v>110</v>
      </c>
      <c r="Y177" s="24">
        <v>1</v>
      </c>
      <c r="Z177" s="24" t="s">
        <v>448</v>
      </c>
      <c r="AA177" s="24" t="s">
        <v>448</v>
      </c>
      <c r="AB177" s="30">
        <v>4.8</v>
      </c>
      <c r="AC177" s="30"/>
      <c r="AD177" s="30">
        <v>4.8</v>
      </c>
      <c r="AE177" s="59"/>
      <c r="AF177" s="59"/>
      <c r="AG177" s="35" t="s">
        <v>1104</v>
      </c>
      <c r="AH177" s="202" t="s">
        <v>19</v>
      </c>
      <c r="AI177" s="35" t="s">
        <v>1880</v>
      </c>
      <c r="AJ177" s="1562"/>
    </row>
    <row r="178" spans="1:36" s="11" customFormat="1" ht="26.25" customHeight="1" x14ac:dyDescent="0.15">
      <c r="A178" s="8">
        <f t="shared" si="0"/>
        <v>176</v>
      </c>
      <c r="B178" s="36" t="s">
        <v>9864</v>
      </c>
      <c r="C178" s="1573" t="s">
        <v>111</v>
      </c>
      <c r="D178" s="1573" t="s">
        <v>111</v>
      </c>
      <c r="E178" s="1573" t="s">
        <v>111</v>
      </c>
      <c r="F178" s="29" t="s">
        <v>6813</v>
      </c>
      <c r="G178" s="53" t="s">
        <v>7589</v>
      </c>
      <c r="H178" s="26" t="s">
        <v>448</v>
      </c>
      <c r="I178" s="26" t="s">
        <v>448</v>
      </c>
      <c r="J178" s="26" t="s">
        <v>448</v>
      </c>
      <c r="K178" s="1571" t="s">
        <v>4195</v>
      </c>
      <c r="L178" s="1571" t="s">
        <v>4196</v>
      </c>
      <c r="M178" s="1571" t="s">
        <v>9405</v>
      </c>
      <c r="N178" s="22" t="s">
        <v>9945</v>
      </c>
      <c r="O178" s="22" t="s">
        <v>5431</v>
      </c>
      <c r="P178" s="1573" t="s">
        <v>111</v>
      </c>
      <c r="Q178" s="1570" t="s">
        <v>1131</v>
      </c>
      <c r="R178" s="54" t="s">
        <v>9637</v>
      </c>
      <c r="S178" s="1573" t="s">
        <v>111</v>
      </c>
      <c r="T178" s="1570" t="s">
        <v>6820</v>
      </c>
      <c r="U178" s="1572" t="s">
        <v>5487</v>
      </c>
      <c r="V178" s="24" t="s">
        <v>9863</v>
      </c>
      <c r="W178" s="90" t="s">
        <v>9868</v>
      </c>
      <c r="X178" s="24" t="s">
        <v>110</v>
      </c>
      <c r="Y178" s="24">
        <v>1</v>
      </c>
      <c r="Z178" s="24" t="s">
        <v>448</v>
      </c>
      <c r="AA178" s="24" t="s">
        <v>448</v>
      </c>
      <c r="AB178" s="30">
        <v>39</v>
      </c>
      <c r="AC178" s="30"/>
      <c r="AD178" s="30">
        <v>39</v>
      </c>
      <c r="AE178" s="59"/>
      <c r="AF178" s="59"/>
      <c r="AG178" s="35" t="s">
        <v>1104</v>
      </c>
      <c r="AH178" s="202" t="s">
        <v>19</v>
      </c>
      <c r="AI178" s="35" t="s">
        <v>1880</v>
      </c>
      <c r="AJ178" s="1570"/>
    </row>
    <row r="179" spans="1:36" s="11" customFormat="1" ht="26.25" customHeight="1" x14ac:dyDescent="0.15">
      <c r="A179" s="8">
        <f t="shared" si="0"/>
        <v>177</v>
      </c>
      <c r="B179" s="36" t="s">
        <v>9865</v>
      </c>
      <c r="C179" s="1573" t="s">
        <v>111</v>
      </c>
      <c r="D179" s="1573" t="s">
        <v>111</v>
      </c>
      <c r="E179" s="36" t="s">
        <v>10082</v>
      </c>
      <c r="F179" s="29" t="s">
        <v>5827</v>
      </c>
      <c r="G179" s="53" t="s">
        <v>7589</v>
      </c>
      <c r="H179" s="26" t="s">
        <v>448</v>
      </c>
      <c r="I179" s="26" t="s">
        <v>448</v>
      </c>
      <c r="J179" s="26" t="s">
        <v>448</v>
      </c>
      <c r="K179" s="1569" t="s">
        <v>3649</v>
      </c>
      <c r="L179" s="1569" t="s">
        <v>4750</v>
      </c>
      <c r="M179" s="1569" t="s">
        <v>9869</v>
      </c>
      <c r="N179" s="22" t="s">
        <v>4780</v>
      </c>
      <c r="O179" s="22" t="s">
        <v>5431</v>
      </c>
      <c r="P179" s="1573" t="s">
        <v>111</v>
      </c>
      <c r="Q179" s="1572" t="s">
        <v>1131</v>
      </c>
      <c r="R179" s="54" t="s">
        <v>9872</v>
      </c>
      <c r="S179" s="1573" t="s">
        <v>111</v>
      </c>
      <c r="T179" s="1570" t="s">
        <v>5487</v>
      </c>
      <c r="U179" s="1572" t="s">
        <v>5487</v>
      </c>
      <c r="V179" s="24" t="s">
        <v>9863</v>
      </c>
      <c r="W179" s="90" t="s">
        <v>9868</v>
      </c>
      <c r="X179" s="24" t="s">
        <v>110</v>
      </c>
      <c r="Y179" s="24">
        <v>1</v>
      </c>
      <c r="Z179" s="24" t="s">
        <v>448</v>
      </c>
      <c r="AA179" s="24" t="s">
        <v>448</v>
      </c>
      <c r="AB179" s="30">
        <v>53.76</v>
      </c>
      <c r="AC179" s="30"/>
      <c r="AD179" s="30">
        <v>53.76</v>
      </c>
      <c r="AE179" s="59"/>
      <c r="AF179" s="59"/>
      <c r="AG179" s="35" t="s">
        <v>1104</v>
      </c>
      <c r="AH179" s="202" t="s">
        <v>19</v>
      </c>
      <c r="AI179" s="35" t="s">
        <v>1880</v>
      </c>
      <c r="AJ179" s="1570"/>
    </row>
    <row r="180" spans="1:36" s="11" customFormat="1" ht="26.25" customHeight="1" x14ac:dyDescent="0.15">
      <c r="A180" s="8">
        <f t="shared" si="0"/>
        <v>178</v>
      </c>
      <c r="B180" s="36" t="s">
        <v>9866</v>
      </c>
      <c r="C180" s="71" t="s">
        <v>9955</v>
      </c>
      <c r="D180" s="1573" t="s">
        <v>111</v>
      </c>
      <c r="E180" s="1573" t="s">
        <v>111</v>
      </c>
      <c r="F180" s="29" t="s">
        <v>5827</v>
      </c>
      <c r="G180" s="53" t="s">
        <v>7589</v>
      </c>
      <c r="H180" s="26" t="s">
        <v>448</v>
      </c>
      <c r="I180" s="26" t="s">
        <v>448</v>
      </c>
      <c r="J180" s="26" t="s">
        <v>448</v>
      </c>
      <c r="K180" s="1571" t="s">
        <v>3649</v>
      </c>
      <c r="L180" s="1571" t="s">
        <v>4750</v>
      </c>
      <c r="M180" s="1571" t="s">
        <v>9870</v>
      </c>
      <c r="N180" s="22" t="s">
        <v>4780</v>
      </c>
      <c r="O180" s="22" t="s">
        <v>5431</v>
      </c>
      <c r="P180" s="1573" t="s">
        <v>111</v>
      </c>
      <c r="Q180" s="1572" t="s">
        <v>1131</v>
      </c>
      <c r="R180" s="54" t="s">
        <v>9872</v>
      </c>
      <c r="S180" s="1573" t="s">
        <v>111</v>
      </c>
      <c r="T180" s="1572" t="s">
        <v>5487</v>
      </c>
      <c r="U180" s="1572" t="s">
        <v>5487</v>
      </c>
      <c r="V180" s="24" t="s">
        <v>9863</v>
      </c>
      <c r="W180" s="90" t="s">
        <v>9868</v>
      </c>
      <c r="X180" s="24" t="s">
        <v>110</v>
      </c>
      <c r="Y180" s="24">
        <v>1</v>
      </c>
      <c r="Z180" s="24" t="s">
        <v>448</v>
      </c>
      <c r="AA180" s="24" t="s">
        <v>448</v>
      </c>
      <c r="AB180" s="30">
        <v>53.76</v>
      </c>
      <c r="AC180" s="30"/>
      <c r="AD180" s="30">
        <v>53.76</v>
      </c>
      <c r="AE180" s="59"/>
      <c r="AF180" s="59"/>
      <c r="AG180" s="35" t="s">
        <v>1104</v>
      </c>
      <c r="AH180" s="202" t="s">
        <v>19</v>
      </c>
      <c r="AI180" s="35" t="s">
        <v>1880</v>
      </c>
      <c r="AJ180" s="1572"/>
    </row>
    <row r="181" spans="1:36" s="11" customFormat="1" ht="26.25" customHeight="1" x14ac:dyDescent="0.15">
      <c r="A181" s="8">
        <f t="shared" si="0"/>
        <v>179</v>
      </c>
      <c r="B181" s="36" t="s">
        <v>9867</v>
      </c>
      <c r="C181" s="1573" t="s">
        <v>111</v>
      </c>
      <c r="D181" s="1573" t="s">
        <v>111</v>
      </c>
      <c r="E181" s="1620" t="s">
        <v>10083</v>
      </c>
      <c r="F181" s="29" t="s">
        <v>5827</v>
      </c>
      <c r="G181" s="53" t="s">
        <v>7589</v>
      </c>
      <c r="H181" s="26" t="s">
        <v>448</v>
      </c>
      <c r="I181" s="26" t="s">
        <v>448</v>
      </c>
      <c r="J181" s="26" t="s">
        <v>448</v>
      </c>
      <c r="K181" s="1571" t="s">
        <v>3649</v>
      </c>
      <c r="L181" s="1571" t="s">
        <v>4750</v>
      </c>
      <c r="M181" s="1571" t="s">
        <v>9871</v>
      </c>
      <c r="N181" s="22" t="s">
        <v>4780</v>
      </c>
      <c r="O181" s="22" t="s">
        <v>5431</v>
      </c>
      <c r="P181" s="1573" t="s">
        <v>111</v>
      </c>
      <c r="Q181" s="1572" t="s">
        <v>1131</v>
      </c>
      <c r="R181" s="54" t="s">
        <v>9872</v>
      </c>
      <c r="S181" s="1573" t="s">
        <v>111</v>
      </c>
      <c r="T181" s="1572" t="s">
        <v>5487</v>
      </c>
      <c r="U181" s="1572" t="s">
        <v>5487</v>
      </c>
      <c r="V181" s="24" t="s">
        <v>9863</v>
      </c>
      <c r="W181" s="90" t="s">
        <v>9868</v>
      </c>
      <c r="X181" s="24" t="s">
        <v>110</v>
      </c>
      <c r="Y181" s="24">
        <v>1</v>
      </c>
      <c r="Z181" s="24" t="s">
        <v>448</v>
      </c>
      <c r="AA181" s="24" t="s">
        <v>448</v>
      </c>
      <c r="AB181" s="30">
        <v>53.76</v>
      </c>
      <c r="AC181" s="30"/>
      <c r="AD181" s="30">
        <v>53.76</v>
      </c>
      <c r="AE181" s="59"/>
      <c r="AF181" s="59"/>
      <c r="AG181" s="35" t="s">
        <v>1104</v>
      </c>
      <c r="AH181" s="202" t="s">
        <v>19</v>
      </c>
      <c r="AI181" s="35" t="s">
        <v>1880</v>
      </c>
      <c r="AJ181" s="1572"/>
    </row>
    <row r="182" spans="1:36" s="11" customFormat="1" ht="26.25" customHeight="1" x14ac:dyDescent="0.15">
      <c r="A182" s="8">
        <f t="shared" si="0"/>
        <v>180</v>
      </c>
      <c r="B182" s="36" t="s">
        <v>9873</v>
      </c>
      <c r="C182" s="1576" t="s">
        <v>111</v>
      </c>
      <c r="D182" s="1576" t="s">
        <v>111</v>
      </c>
      <c r="E182" s="1576" t="s">
        <v>111</v>
      </c>
      <c r="F182" s="29" t="s">
        <v>9874</v>
      </c>
      <c r="G182" s="53" t="s">
        <v>9875</v>
      </c>
      <c r="H182" s="26" t="s">
        <v>448</v>
      </c>
      <c r="I182" s="26" t="s">
        <v>448</v>
      </c>
      <c r="J182" s="26" t="s">
        <v>448</v>
      </c>
      <c r="K182" s="1574" t="s">
        <v>3649</v>
      </c>
      <c r="L182" s="1574" t="s">
        <v>4750</v>
      </c>
      <c r="M182" s="1574" t="s">
        <v>9876</v>
      </c>
      <c r="N182" s="22" t="s">
        <v>4780</v>
      </c>
      <c r="O182" s="22" t="s">
        <v>5431</v>
      </c>
      <c r="P182" s="1576" t="s">
        <v>111</v>
      </c>
      <c r="Q182" s="1575" t="s">
        <v>1131</v>
      </c>
      <c r="R182" s="54" t="s">
        <v>2210</v>
      </c>
      <c r="S182" s="1576" t="s">
        <v>111</v>
      </c>
      <c r="T182" s="1575" t="s">
        <v>5487</v>
      </c>
      <c r="U182" s="1575" t="s">
        <v>5487</v>
      </c>
      <c r="V182" s="24" t="s">
        <v>9877</v>
      </c>
      <c r="W182" s="90" t="s">
        <v>9765</v>
      </c>
      <c r="X182" s="24" t="s">
        <v>110</v>
      </c>
      <c r="Y182" s="24">
        <v>2</v>
      </c>
      <c r="Z182" s="24" t="s">
        <v>448</v>
      </c>
      <c r="AA182" s="24" t="s">
        <v>448</v>
      </c>
      <c r="AB182" s="30">
        <v>158.5</v>
      </c>
      <c r="AC182" s="30"/>
      <c r="AD182" s="30">
        <v>158.5</v>
      </c>
      <c r="AE182" s="59" t="s">
        <v>6457</v>
      </c>
      <c r="AF182" s="59" t="s">
        <v>6457</v>
      </c>
      <c r="AG182" s="35" t="s">
        <v>1104</v>
      </c>
      <c r="AH182" s="202" t="s">
        <v>19</v>
      </c>
      <c r="AI182" s="35" t="s">
        <v>1880</v>
      </c>
      <c r="AJ182" s="54" t="s">
        <v>11550</v>
      </c>
    </row>
    <row r="183" spans="1:36" s="11" customFormat="1" ht="26.25" customHeight="1" x14ac:dyDescent="0.15">
      <c r="A183" s="8">
        <f t="shared" si="0"/>
        <v>181</v>
      </c>
      <c r="B183" s="36" t="s">
        <v>9878</v>
      </c>
      <c r="C183" s="71" t="s">
        <v>9880</v>
      </c>
      <c r="D183" s="1578" t="s">
        <v>111</v>
      </c>
      <c r="E183" s="1578" t="s">
        <v>111</v>
      </c>
      <c r="F183" s="29" t="s">
        <v>9327</v>
      </c>
      <c r="G183" s="53" t="s">
        <v>9884</v>
      </c>
      <c r="H183" s="26" t="s">
        <v>448</v>
      </c>
      <c r="I183" s="26" t="s">
        <v>448</v>
      </c>
      <c r="J183" s="26" t="s">
        <v>448</v>
      </c>
      <c r="K183" s="1577" t="s">
        <v>4712</v>
      </c>
      <c r="L183" s="1577" t="s">
        <v>4692</v>
      </c>
      <c r="M183" s="1577" t="s">
        <v>9882</v>
      </c>
      <c r="N183" s="22" t="s">
        <v>4780</v>
      </c>
      <c r="O183" s="1576" t="s">
        <v>5478</v>
      </c>
      <c r="P183" s="1578" t="s">
        <v>111</v>
      </c>
      <c r="Q183" s="1575" t="s">
        <v>2422</v>
      </c>
      <c r="R183" s="54" t="s">
        <v>1886</v>
      </c>
      <c r="S183" s="1578" t="s">
        <v>111</v>
      </c>
      <c r="T183" s="1575" t="s">
        <v>5571</v>
      </c>
      <c r="U183" s="1577" t="s">
        <v>5571</v>
      </c>
      <c r="V183" s="24" t="s">
        <v>9885</v>
      </c>
      <c r="W183" s="90" t="s">
        <v>9877</v>
      </c>
      <c r="X183" s="24" t="s">
        <v>108</v>
      </c>
      <c r="Y183" s="10">
        <v>1</v>
      </c>
      <c r="Z183" s="24" t="s">
        <v>5710</v>
      </c>
      <c r="AA183" s="24" t="s">
        <v>448</v>
      </c>
      <c r="AB183" s="30">
        <v>15</v>
      </c>
      <c r="AC183" s="30"/>
      <c r="AD183" s="30">
        <v>15</v>
      </c>
      <c r="AE183" s="59"/>
      <c r="AF183" s="59"/>
      <c r="AG183" s="35" t="s">
        <v>1104</v>
      </c>
      <c r="AH183" s="202" t="s">
        <v>19</v>
      </c>
      <c r="AI183" s="35" t="s">
        <v>1880</v>
      </c>
      <c r="AJ183" s="1575"/>
    </row>
    <row r="184" spans="1:36" s="11" customFormat="1" ht="26.25" customHeight="1" x14ac:dyDescent="0.15">
      <c r="A184" s="8">
        <f t="shared" si="0"/>
        <v>182</v>
      </c>
      <c r="B184" s="36" t="s">
        <v>9879</v>
      </c>
      <c r="C184" s="71" t="s">
        <v>9881</v>
      </c>
      <c r="D184" s="1578" t="s">
        <v>111</v>
      </c>
      <c r="E184" s="1578" t="s">
        <v>111</v>
      </c>
      <c r="F184" s="29" t="s">
        <v>9327</v>
      </c>
      <c r="G184" s="53" t="s">
        <v>9884</v>
      </c>
      <c r="H184" s="26" t="s">
        <v>448</v>
      </c>
      <c r="I184" s="26" t="s">
        <v>448</v>
      </c>
      <c r="J184" s="26" t="s">
        <v>448</v>
      </c>
      <c r="K184" s="1577" t="s">
        <v>4712</v>
      </c>
      <c r="L184" s="1577" t="s">
        <v>4692</v>
      </c>
      <c r="M184" s="1577" t="s">
        <v>9883</v>
      </c>
      <c r="N184" s="22" t="s">
        <v>4780</v>
      </c>
      <c r="O184" s="1578" t="s">
        <v>5478</v>
      </c>
      <c r="P184" s="1578" t="s">
        <v>111</v>
      </c>
      <c r="Q184" s="1577" t="s">
        <v>2422</v>
      </c>
      <c r="R184" s="54" t="s">
        <v>1886</v>
      </c>
      <c r="S184" s="1578" t="s">
        <v>111</v>
      </c>
      <c r="T184" s="1577" t="s">
        <v>5571</v>
      </c>
      <c r="U184" s="1577" t="s">
        <v>5571</v>
      </c>
      <c r="V184" s="24" t="s">
        <v>9885</v>
      </c>
      <c r="W184" s="90" t="s">
        <v>9877</v>
      </c>
      <c r="X184" s="24" t="s">
        <v>108</v>
      </c>
      <c r="Y184" s="10">
        <v>1</v>
      </c>
      <c r="Z184" s="24" t="s">
        <v>5710</v>
      </c>
      <c r="AA184" s="24" t="s">
        <v>448</v>
      </c>
      <c r="AB184" s="30">
        <v>15</v>
      </c>
      <c r="AC184" s="30"/>
      <c r="AD184" s="30">
        <v>15</v>
      </c>
      <c r="AE184" s="59"/>
      <c r="AF184" s="59"/>
      <c r="AG184" s="35" t="s">
        <v>1104</v>
      </c>
      <c r="AH184" s="202" t="s">
        <v>19</v>
      </c>
      <c r="AI184" s="35" t="s">
        <v>1880</v>
      </c>
      <c r="AJ184" s="1558"/>
    </row>
    <row r="185" spans="1:36" s="11" customFormat="1" ht="26.25" customHeight="1" x14ac:dyDescent="0.15">
      <c r="A185" s="8">
        <f t="shared" si="0"/>
        <v>183</v>
      </c>
      <c r="B185" s="36" t="s">
        <v>9891</v>
      </c>
      <c r="C185" s="1580" t="s">
        <v>111</v>
      </c>
      <c r="D185" s="1580" t="s">
        <v>111</v>
      </c>
      <c r="E185" s="1580" t="s">
        <v>111</v>
      </c>
      <c r="F185" s="13" t="s">
        <v>9064</v>
      </c>
      <c r="G185" s="53" t="s">
        <v>9031</v>
      </c>
      <c r="H185" s="26" t="s">
        <v>19</v>
      </c>
      <c r="I185" s="26" t="s">
        <v>19</v>
      </c>
      <c r="J185" s="26" t="s">
        <v>19</v>
      </c>
      <c r="K185" s="1581" t="s">
        <v>94</v>
      </c>
      <c r="L185" s="1582" t="s">
        <v>9065</v>
      </c>
      <c r="M185" s="1581" t="s">
        <v>7097</v>
      </c>
      <c r="N185" s="22" t="s">
        <v>10757</v>
      </c>
      <c r="O185" s="1583" t="s">
        <v>5478</v>
      </c>
      <c r="P185" s="1583" t="s">
        <v>111</v>
      </c>
      <c r="Q185" s="1582" t="s">
        <v>4676</v>
      </c>
      <c r="R185" s="54" t="s">
        <v>116</v>
      </c>
      <c r="S185" s="26" t="s">
        <v>19</v>
      </c>
      <c r="T185" s="1582" t="s">
        <v>5489</v>
      </c>
      <c r="U185" s="1582" t="s">
        <v>5489</v>
      </c>
      <c r="V185" s="24" t="s">
        <v>9892</v>
      </c>
      <c r="W185" s="90" t="s">
        <v>9765</v>
      </c>
      <c r="X185" s="24" t="s">
        <v>110</v>
      </c>
      <c r="Y185" s="24">
        <v>1</v>
      </c>
      <c r="Z185" s="24" t="s">
        <v>9748</v>
      </c>
      <c r="AA185" s="24" t="s">
        <v>10510</v>
      </c>
      <c r="AB185" s="30"/>
      <c r="AC185" s="136">
        <v>1.6666669999999999</v>
      </c>
      <c r="AD185" s="136">
        <v>1.6666669999999999</v>
      </c>
      <c r="AE185" s="59"/>
      <c r="AF185" s="59"/>
      <c r="AG185" s="35" t="s">
        <v>1104</v>
      </c>
      <c r="AH185" s="202" t="s">
        <v>19</v>
      </c>
      <c r="AI185" s="35" t="s">
        <v>1880</v>
      </c>
      <c r="AJ185" s="1579" t="s">
        <v>10511</v>
      </c>
    </row>
    <row r="186" spans="1:36" s="11" customFormat="1" ht="26.25" customHeight="1" x14ac:dyDescent="0.15">
      <c r="A186" s="8">
        <f t="shared" si="0"/>
        <v>184</v>
      </c>
      <c r="B186" s="36" t="s">
        <v>9893</v>
      </c>
      <c r="C186" s="1586" t="s">
        <v>111</v>
      </c>
      <c r="D186" s="1586" t="s">
        <v>111</v>
      </c>
      <c r="E186" s="1586" t="s">
        <v>111</v>
      </c>
      <c r="F186" s="29" t="s">
        <v>5984</v>
      </c>
      <c r="G186" s="99" t="s">
        <v>8749</v>
      </c>
      <c r="H186" s="1589" t="s">
        <v>9526</v>
      </c>
      <c r="I186" s="1589" t="s">
        <v>9527</v>
      </c>
      <c r="J186" s="26" t="s">
        <v>9529</v>
      </c>
      <c r="K186" s="694" t="s">
        <v>94</v>
      </c>
      <c r="L186" s="694" t="s">
        <v>1952</v>
      </c>
      <c r="M186" s="694" t="s">
        <v>2907</v>
      </c>
      <c r="N186" s="1589" t="s">
        <v>5986</v>
      </c>
      <c r="O186" s="1589" t="s">
        <v>1826</v>
      </c>
      <c r="P186" s="1589" t="s">
        <v>111</v>
      </c>
      <c r="Q186" s="1588" t="s">
        <v>1131</v>
      </c>
      <c r="R186" s="54" t="s">
        <v>9898</v>
      </c>
      <c r="S186" s="1589" t="s">
        <v>111</v>
      </c>
      <c r="T186" s="1588" t="s">
        <v>5489</v>
      </c>
      <c r="U186" s="1588" t="s">
        <v>5489</v>
      </c>
      <c r="V186" s="24" t="s">
        <v>9296</v>
      </c>
      <c r="W186" s="1589" t="s">
        <v>111</v>
      </c>
      <c r="X186" s="1589" t="s">
        <v>111</v>
      </c>
      <c r="Y186" s="1589" t="s">
        <v>111</v>
      </c>
      <c r="Z186" s="1589" t="s">
        <v>111</v>
      </c>
      <c r="AA186" s="1589" t="s">
        <v>111</v>
      </c>
      <c r="AB186" s="30">
        <v>4.5</v>
      </c>
      <c r="AC186" s="30"/>
      <c r="AD186" s="30">
        <v>4.5</v>
      </c>
      <c r="AE186" s="59"/>
      <c r="AF186" s="59"/>
      <c r="AG186" s="35" t="s">
        <v>1104</v>
      </c>
      <c r="AH186" s="202" t="s">
        <v>19</v>
      </c>
      <c r="AI186" s="35" t="s">
        <v>1880</v>
      </c>
      <c r="AJ186" s="54" t="s">
        <v>9899</v>
      </c>
    </row>
    <row r="187" spans="1:36" s="11" customFormat="1" ht="26.25" customHeight="1" x14ac:dyDescent="0.15">
      <c r="A187" s="8">
        <f t="shared" si="0"/>
        <v>185</v>
      </c>
      <c r="B187" s="36" t="s">
        <v>9894</v>
      </c>
      <c r="C187" s="1586" t="s">
        <v>111</v>
      </c>
      <c r="D187" s="1586" t="s">
        <v>111</v>
      </c>
      <c r="E187" s="1586" t="s">
        <v>111</v>
      </c>
      <c r="F187" s="29" t="s">
        <v>6688</v>
      </c>
      <c r="G187" s="53" t="s">
        <v>9900</v>
      </c>
      <c r="H187" s="1478" t="s">
        <v>448</v>
      </c>
      <c r="I187" s="1478" t="s">
        <v>8702</v>
      </c>
      <c r="J187" s="1478" t="s">
        <v>8703</v>
      </c>
      <c r="K187" s="1587" t="s">
        <v>2032</v>
      </c>
      <c r="L187" s="102" t="s">
        <v>819</v>
      </c>
      <c r="M187" s="37" t="s">
        <v>1129</v>
      </c>
      <c r="N187" s="22" t="s">
        <v>856</v>
      </c>
      <c r="O187" s="22" t="s">
        <v>1826</v>
      </c>
      <c r="P187" s="22" t="s">
        <v>1880</v>
      </c>
      <c r="Q187" s="1588" t="s">
        <v>445</v>
      </c>
      <c r="R187" s="54" t="s">
        <v>5545</v>
      </c>
      <c r="S187" s="1589" t="s">
        <v>111</v>
      </c>
      <c r="T187" s="1588" t="s">
        <v>446</v>
      </c>
      <c r="U187" s="1588" t="s">
        <v>446</v>
      </c>
      <c r="V187" s="24" t="s">
        <v>9296</v>
      </c>
      <c r="W187" s="90" t="s">
        <v>9901</v>
      </c>
      <c r="X187" s="24" t="s">
        <v>110</v>
      </c>
      <c r="Y187" s="24">
        <v>1</v>
      </c>
      <c r="Z187" s="1589" t="s">
        <v>111</v>
      </c>
      <c r="AA187" s="1589" t="s">
        <v>111</v>
      </c>
      <c r="AB187" s="30">
        <v>9.2249999999999996</v>
      </c>
      <c r="AC187" s="30"/>
      <c r="AD187" s="30">
        <v>9.2249999999999996</v>
      </c>
      <c r="AE187" s="59" t="s">
        <v>6457</v>
      </c>
      <c r="AF187" s="59" t="s">
        <v>6457</v>
      </c>
      <c r="AG187" s="35" t="s">
        <v>1104</v>
      </c>
      <c r="AH187" s="202" t="s">
        <v>19</v>
      </c>
      <c r="AI187" s="35" t="s">
        <v>1880</v>
      </c>
      <c r="AJ187" s="54" t="s">
        <v>10244</v>
      </c>
    </row>
    <row r="188" spans="1:36" s="11" customFormat="1" ht="26.25" customHeight="1" x14ac:dyDescent="0.15">
      <c r="A188" s="8">
        <f t="shared" si="0"/>
        <v>186</v>
      </c>
      <c r="B188" s="36" t="s">
        <v>9895</v>
      </c>
      <c r="C188" s="1586" t="s">
        <v>111</v>
      </c>
      <c r="D188" s="1586" t="s">
        <v>111</v>
      </c>
      <c r="E188" s="1586" t="s">
        <v>111</v>
      </c>
      <c r="F188" s="54" t="s">
        <v>3113</v>
      </c>
      <c r="G188" s="53" t="s">
        <v>9902</v>
      </c>
      <c r="H188" s="1478" t="s">
        <v>448</v>
      </c>
      <c r="I188" s="1478" t="s">
        <v>8702</v>
      </c>
      <c r="J188" s="1478" t="s">
        <v>8703</v>
      </c>
      <c r="K188" s="1587" t="s">
        <v>2032</v>
      </c>
      <c r="L188" s="1587" t="s">
        <v>2031</v>
      </c>
      <c r="M188" s="1588" t="s">
        <v>2039</v>
      </c>
      <c r="N188" s="1588" t="s">
        <v>2038</v>
      </c>
      <c r="O188" s="22" t="s">
        <v>1826</v>
      </c>
      <c r="P188" s="22" t="s">
        <v>1880</v>
      </c>
      <c r="Q188" s="1588" t="s">
        <v>445</v>
      </c>
      <c r="R188" s="54" t="s">
        <v>5545</v>
      </c>
      <c r="S188" s="1589" t="s">
        <v>111</v>
      </c>
      <c r="T188" s="1588" t="s">
        <v>446</v>
      </c>
      <c r="U188" s="1588" t="s">
        <v>446</v>
      </c>
      <c r="V188" s="24" t="s">
        <v>9296</v>
      </c>
      <c r="W188" s="90" t="s">
        <v>9901</v>
      </c>
      <c r="X188" s="24" t="s">
        <v>110</v>
      </c>
      <c r="Y188" s="24">
        <v>1</v>
      </c>
      <c r="Z188" s="1589" t="s">
        <v>111</v>
      </c>
      <c r="AA188" s="1589" t="s">
        <v>111</v>
      </c>
      <c r="AB188" s="30">
        <v>9.2249999999999996</v>
      </c>
      <c r="AC188" s="30"/>
      <c r="AD188" s="30">
        <v>9.2249999999999996</v>
      </c>
      <c r="AE188" s="59" t="s">
        <v>6457</v>
      </c>
      <c r="AF188" s="59" t="s">
        <v>6457</v>
      </c>
      <c r="AG188" s="35" t="s">
        <v>1104</v>
      </c>
      <c r="AH188" s="202" t="s">
        <v>19</v>
      </c>
      <c r="AI188" s="35" t="s">
        <v>1880</v>
      </c>
      <c r="AJ188" s="54" t="s">
        <v>10244</v>
      </c>
    </row>
    <row r="189" spans="1:36" s="11" customFormat="1" ht="26.25" customHeight="1" x14ac:dyDescent="0.15">
      <c r="A189" s="8">
        <f t="shared" si="0"/>
        <v>187</v>
      </c>
      <c r="B189" s="36" t="s">
        <v>9896</v>
      </c>
      <c r="C189" s="1586" t="s">
        <v>111</v>
      </c>
      <c r="D189" s="1586" t="s">
        <v>111</v>
      </c>
      <c r="E189" s="1586" t="s">
        <v>111</v>
      </c>
      <c r="F189" s="29" t="s">
        <v>9903</v>
      </c>
      <c r="G189" s="53" t="s">
        <v>9904</v>
      </c>
      <c r="H189" s="1478" t="s">
        <v>448</v>
      </c>
      <c r="I189" s="1478" t="s">
        <v>8702</v>
      </c>
      <c r="J189" s="1478" t="s">
        <v>8703</v>
      </c>
      <c r="K189" s="1587" t="s">
        <v>2032</v>
      </c>
      <c r="L189" s="1587" t="s">
        <v>2031</v>
      </c>
      <c r="M189" s="1584" t="s">
        <v>9905</v>
      </c>
      <c r="N189" s="22" t="s">
        <v>4780</v>
      </c>
      <c r="O189" s="22" t="s">
        <v>1826</v>
      </c>
      <c r="P189" s="22" t="s">
        <v>1880</v>
      </c>
      <c r="Q189" s="1588" t="s">
        <v>445</v>
      </c>
      <c r="R189" s="54" t="s">
        <v>5545</v>
      </c>
      <c r="S189" s="1589" t="s">
        <v>111</v>
      </c>
      <c r="T189" s="1588" t="s">
        <v>446</v>
      </c>
      <c r="U189" s="1588" t="s">
        <v>446</v>
      </c>
      <c r="V189" s="24" t="s">
        <v>9296</v>
      </c>
      <c r="W189" s="90" t="s">
        <v>9901</v>
      </c>
      <c r="X189" s="24" t="s">
        <v>110</v>
      </c>
      <c r="Y189" s="24">
        <v>1</v>
      </c>
      <c r="Z189" s="1589" t="s">
        <v>111</v>
      </c>
      <c r="AA189" s="1589" t="s">
        <v>111</v>
      </c>
      <c r="AB189" s="30">
        <v>9.2249999999999996</v>
      </c>
      <c r="AC189" s="30"/>
      <c r="AD189" s="30">
        <v>9.2249999999999996</v>
      </c>
      <c r="AE189" s="59" t="s">
        <v>6457</v>
      </c>
      <c r="AF189" s="59" t="s">
        <v>6457</v>
      </c>
      <c r="AG189" s="35" t="s">
        <v>1104</v>
      </c>
      <c r="AH189" s="202" t="s">
        <v>19</v>
      </c>
      <c r="AI189" s="35" t="s">
        <v>1880</v>
      </c>
      <c r="AJ189" s="54" t="s">
        <v>10244</v>
      </c>
    </row>
    <row r="190" spans="1:36" s="11" customFormat="1" ht="26.25" customHeight="1" x14ac:dyDescent="0.15">
      <c r="A190" s="8">
        <f t="shared" si="0"/>
        <v>188</v>
      </c>
      <c r="B190" s="36" t="s">
        <v>9897</v>
      </c>
      <c r="C190" s="1586" t="s">
        <v>111</v>
      </c>
      <c r="D190" s="1586" t="s">
        <v>111</v>
      </c>
      <c r="E190" s="1586" t="s">
        <v>111</v>
      </c>
      <c r="F190" s="29" t="s">
        <v>9906</v>
      </c>
      <c r="G190" s="53" t="s">
        <v>9907</v>
      </c>
      <c r="H190" s="1478" t="s">
        <v>448</v>
      </c>
      <c r="I190" s="1478" t="s">
        <v>8702</v>
      </c>
      <c r="J190" s="1478" t="s">
        <v>8703</v>
      </c>
      <c r="K190" s="1587" t="s">
        <v>2032</v>
      </c>
      <c r="L190" s="1587" t="s">
        <v>2031</v>
      </c>
      <c r="M190" s="1584" t="s">
        <v>9908</v>
      </c>
      <c r="N190" s="22" t="s">
        <v>4780</v>
      </c>
      <c r="O190" s="22" t="s">
        <v>1826</v>
      </c>
      <c r="P190" s="22" t="s">
        <v>1880</v>
      </c>
      <c r="Q190" s="1588" t="s">
        <v>445</v>
      </c>
      <c r="R190" s="54" t="s">
        <v>5545</v>
      </c>
      <c r="S190" s="1589" t="s">
        <v>111</v>
      </c>
      <c r="T190" s="1588" t="s">
        <v>446</v>
      </c>
      <c r="U190" s="1588" t="s">
        <v>446</v>
      </c>
      <c r="V190" s="24" t="s">
        <v>9296</v>
      </c>
      <c r="W190" s="90" t="s">
        <v>9901</v>
      </c>
      <c r="X190" s="24" t="s">
        <v>110</v>
      </c>
      <c r="Y190" s="24">
        <v>1</v>
      </c>
      <c r="Z190" s="1589" t="s">
        <v>111</v>
      </c>
      <c r="AA190" s="1589" t="s">
        <v>111</v>
      </c>
      <c r="AB190" s="30">
        <v>9.2249999999999996</v>
      </c>
      <c r="AC190" s="30"/>
      <c r="AD190" s="30">
        <v>9.2249999999999996</v>
      </c>
      <c r="AE190" s="59" t="s">
        <v>6457</v>
      </c>
      <c r="AF190" s="59" t="s">
        <v>6457</v>
      </c>
      <c r="AG190" s="35" t="s">
        <v>1104</v>
      </c>
      <c r="AH190" s="202" t="s">
        <v>19</v>
      </c>
      <c r="AI190" s="35" t="s">
        <v>1880</v>
      </c>
      <c r="AJ190" s="54" t="s">
        <v>10244</v>
      </c>
    </row>
    <row r="191" spans="1:36" s="11" customFormat="1" ht="26.25" customHeight="1" x14ac:dyDescent="0.15">
      <c r="A191" s="8">
        <f t="shared" si="0"/>
        <v>189</v>
      </c>
      <c r="B191" s="36" t="s">
        <v>9910</v>
      </c>
      <c r="C191" s="1597" t="s">
        <v>111</v>
      </c>
      <c r="D191" s="1597" t="s">
        <v>111</v>
      </c>
      <c r="E191" s="1597" t="s">
        <v>111</v>
      </c>
      <c r="F191" s="29" t="s">
        <v>9911</v>
      </c>
      <c r="G191" s="53" t="s">
        <v>9981</v>
      </c>
      <c r="H191" s="1478" t="s">
        <v>448</v>
      </c>
      <c r="I191" s="1478" t="s">
        <v>448</v>
      </c>
      <c r="J191" s="1478" t="s">
        <v>448</v>
      </c>
      <c r="K191" s="1596" t="s">
        <v>3649</v>
      </c>
      <c r="L191" s="1596" t="s">
        <v>4750</v>
      </c>
      <c r="M191" s="1596" t="s">
        <v>9938</v>
      </c>
      <c r="N191" s="22" t="s">
        <v>8128</v>
      </c>
      <c r="O191" s="22" t="s">
        <v>1826</v>
      </c>
      <c r="P191" s="22" t="s">
        <v>1880</v>
      </c>
      <c r="Q191" s="1596" t="s">
        <v>1131</v>
      </c>
      <c r="R191" s="54" t="s">
        <v>116</v>
      </c>
      <c r="S191" s="1597" t="s">
        <v>111</v>
      </c>
      <c r="T191" s="1591" t="s">
        <v>5487</v>
      </c>
      <c r="U191" s="1591" t="s">
        <v>5487</v>
      </c>
      <c r="V191" s="24" t="s">
        <v>9939</v>
      </c>
      <c r="W191" s="90" t="s">
        <v>9980</v>
      </c>
      <c r="X191" s="24" t="s">
        <v>110</v>
      </c>
      <c r="Y191" s="24">
        <v>2</v>
      </c>
      <c r="Z191" s="24" t="s">
        <v>9940</v>
      </c>
      <c r="AA191" s="24" t="s">
        <v>9941</v>
      </c>
      <c r="AB191" s="30"/>
      <c r="AC191" s="30">
        <v>6.9</v>
      </c>
      <c r="AD191" s="30">
        <v>6.9</v>
      </c>
      <c r="AE191" s="59"/>
      <c r="AF191" s="59"/>
      <c r="AG191" s="35" t="s">
        <v>1104</v>
      </c>
      <c r="AH191" s="202" t="s">
        <v>19</v>
      </c>
      <c r="AI191" s="35" t="s">
        <v>1880</v>
      </c>
      <c r="AJ191" s="54" t="s">
        <v>9942</v>
      </c>
    </row>
    <row r="192" spans="1:36" s="11" customFormat="1" ht="26.25" customHeight="1" x14ac:dyDescent="0.15">
      <c r="A192" s="8">
        <f t="shared" si="0"/>
        <v>190</v>
      </c>
      <c r="B192" s="36" t="s">
        <v>9912</v>
      </c>
      <c r="C192" s="1597" t="s">
        <v>111</v>
      </c>
      <c r="D192" s="1597" t="s">
        <v>111</v>
      </c>
      <c r="E192" s="1597" t="s">
        <v>111</v>
      </c>
      <c r="F192" s="29" t="s">
        <v>8971</v>
      </c>
      <c r="G192" s="53" t="s">
        <v>9982</v>
      </c>
      <c r="H192" s="1478" t="s">
        <v>448</v>
      </c>
      <c r="I192" s="1478" t="s">
        <v>448</v>
      </c>
      <c r="J192" s="1478" t="s">
        <v>448</v>
      </c>
      <c r="K192" s="1596" t="s">
        <v>3649</v>
      </c>
      <c r="L192" s="1596" t="s">
        <v>4750</v>
      </c>
      <c r="M192" s="1590" t="s">
        <v>9956</v>
      </c>
      <c r="N192" s="1595" t="s">
        <v>9914</v>
      </c>
      <c r="O192" s="22" t="s">
        <v>1826</v>
      </c>
      <c r="P192" s="22" t="s">
        <v>1880</v>
      </c>
      <c r="Q192" s="1602" t="s">
        <v>1131</v>
      </c>
      <c r="R192" s="54" t="s">
        <v>116</v>
      </c>
      <c r="S192" s="1603" t="s">
        <v>111</v>
      </c>
      <c r="T192" s="1600" t="s">
        <v>5487</v>
      </c>
      <c r="U192" s="1600" t="s">
        <v>5487</v>
      </c>
      <c r="V192" s="24" t="s">
        <v>9939</v>
      </c>
      <c r="W192" s="90" t="s">
        <v>9980</v>
      </c>
      <c r="X192" s="24" t="s">
        <v>110</v>
      </c>
      <c r="Y192" s="24">
        <v>2</v>
      </c>
      <c r="Z192" s="24" t="s">
        <v>9957</v>
      </c>
      <c r="AA192" s="24" t="s">
        <v>9958</v>
      </c>
      <c r="AB192" s="30"/>
      <c r="AC192" s="30">
        <v>6.9</v>
      </c>
      <c r="AD192" s="30">
        <v>6.9</v>
      </c>
      <c r="AE192" s="59"/>
      <c r="AF192" s="59"/>
      <c r="AG192" s="35" t="s">
        <v>1104</v>
      </c>
      <c r="AH192" s="202" t="s">
        <v>19</v>
      </c>
      <c r="AI192" s="35" t="s">
        <v>1880</v>
      </c>
      <c r="AJ192" s="54" t="s">
        <v>9942</v>
      </c>
    </row>
    <row r="193" spans="1:36" s="11" customFormat="1" ht="26.25" customHeight="1" x14ac:dyDescent="0.15">
      <c r="A193" s="8">
        <f t="shared" si="0"/>
        <v>191</v>
      </c>
      <c r="B193" s="36" t="s">
        <v>9913</v>
      </c>
      <c r="C193" s="1597" t="s">
        <v>111</v>
      </c>
      <c r="D193" s="1597" t="s">
        <v>111</v>
      </c>
      <c r="E193" s="1597" t="s">
        <v>111</v>
      </c>
      <c r="F193" s="29" t="s">
        <v>8971</v>
      </c>
      <c r="G193" s="53" t="s">
        <v>9982</v>
      </c>
      <c r="H193" s="1478" t="s">
        <v>448</v>
      </c>
      <c r="I193" s="1478" t="s">
        <v>448</v>
      </c>
      <c r="J193" s="1478" t="s">
        <v>448</v>
      </c>
      <c r="K193" s="1596" t="s">
        <v>3649</v>
      </c>
      <c r="L193" s="1596" t="s">
        <v>4750</v>
      </c>
      <c r="M193" s="1590" t="s">
        <v>9959</v>
      </c>
      <c r="N193" s="1595" t="s">
        <v>9915</v>
      </c>
      <c r="O193" s="22" t="s">
        <v>1826</v>
      </c>
      <c r="P193" s="22" t="s">
        <v>1880</v>
      </c>
      <c r="Q193" s="1602" t="s">
        <v>1131</v>
      </c>
      <c r="R193" s="54" t="s">
        <v>116</v>
      </c>
      <c r="S193" s="1603" t="s">
        <v>111</v>
      </c>
      <c r="T193" s="1600" t="s">
        <v>5487</v>
      </c>
      <c r="U193" s="1600" t="s">
        <v>5487</v>
      </c>
      <c r="V193" s="24" t="s">
        <v>9939</v>
      </c>
      <c r="W193" s="90" t="s">
        <v>9980</v>
      </c>
      <c r="X193" s="24" t="s">
        <v>110</v>
      </c>
      <c r="Y193" s="24">
        <v>2</v>
      </c>
      <c r="Z193" s="24" t="s">
        <v>9323</v>
      </c>
      <c r="AA193" s="24" t="s">
        <v>9960</v>
      </c>
      <c r="AB193" s="30"/>
      <c r="AC193" s="30">
        <v>6.9</v>
      </c>
      <c r="AD193" s="30">
        <v>6.9</v>
      </c>
      <c r="AE193" s="59"/>
      <c r="AF193" s="59"/>
      <c r="AG193" s="35" t="s">
        <v>1104</v>
      </c>
      <c r="AH193" s="202" t="s">
        <v>19</v>
      </c>
      <c r="AI193" s="35" t="s">
        <v>1880</v>
      </c>
      <c r="AJ193" s="54" t="s">
        <v>9942</v>
      </c>
    </row>
    <row r="194" spans="1:36" s="11" customFormat="1" ht="26.25" customHeight="1" x14ac:dyDescent="0.15">
      <c r="A194" s="8">
        <f t="shared" si="0"/>
        <v>192</v>
      </c>
      <c r="B194" s="36" t="s">
        <v>10001</v>
      </c>
      <c r="C194" s="1597" t="s">
        <v>111</v>
      </c>
      <c r="D194" s="1607" t="s">
        <v>111</v>
      </c>
      <c r="E194" s="1597" t="s">
        <v>111</v>
      </c>
      <c r="F194" s="29" t="s">
        <v>8971</v>
      </c>
      <c r="G194" s="53" t="s">
        <v>9982</v>
      </c>
      <c r="H194" s="1478" t="s">
        <v>448</v>
      </c>
      <c r="I194" s="1478" t="s">
        <v>448</v>
      </c>
      <c r="J194" s="1478" t="s">
        <v>448</v>
      </c>
      <c r="K194" s="1596" t="s">
        <v>3649</v>
      </c>
      <c r="L194" s="1596" t="s">
        <v>4750</v>
      </c>
      <c r="M194" s="1590" t="s">
        <v>9961</v>
      </c>
      <c r="N194" s="1595" t="s">
        <v>9916</v>
      </c>
      <c r="O194" s="22" t="s">
        <v>1826</v>
      </c>
      <c r="P194" s="22" t="s">
        <v>1880</v>
      </c>
      <c r="Q194" s="1602" t="s">
        <v>1131</v>
      </c>
      <c r="R194" s="54" t="s">
        <v>116</v>
      </c>
      <c r="S194" s="1603" t="s">
        <v>111</v>
      </c>
      <c r="T194" s="1600" t="s">
        <v>5487</v>
      </c>
      <c r="U194" s="1600" t="s">
        <v>5487</v>
      </c>
      <c r="V194" s="24" t="s">
        <v>9939</v>
      </c>
      <c r="W194" s="90" t="s">
        <v>9980</v>
      </c>
      <c r="X194" s="24" t="s">
        <v>110</v>
      </c>
      <c r="Y194" s="24">
        <v>2</v>
      </c>
      <c r="Z194" s="24" t="s">
        <v>9962</v>
      </c>
      <c r="AA194" s="24" t="s">
        <v>9963</v>
      </c>
      <c r="AB194" s="30"/>
      <c r="AC194" s="30">
        <v>6.9</v>
      </c>
      <c r="AD194" s="30">
        <v>6.9</v>
      </c>
      <c r="AE194" s="59"/>
      <c r="AF194" s="59"/>
      <c r="AG194" s="35" t="s">
        <v>1104</v>
      </c>
      <c r="AH194" s="202" t="s">
        <v>19</v>
      </c>
      <c r="AI194" s="35" t="s">
        <v>1880</v>
      </c>
      <c r="AJ194" s="54" t="s">
        <v>9942</v>
      </c>
    </row>
    <row r="195" spans="1:36" s="11" customFormat="1" ht="26.25" customHeight="1" x14ac:dyDescent="0.15">
      <c r="A195" s="8">
        <f t="shared" si="0"/>
        <v>193</v>
      </c>
      <c r="B195" s="36" t="s">
        <v>10003</v>
      </c>
      <c r="C195" s="1597" t="s">
        <v>111</v>
      </c>
      <c r="D195" s="1607" t="s">
        <v>111</v>
      </c>
      <c r="E195" s="1597" t="s">
        <v>111</v>
      </c>
      <c r="F195" s="29" t="s">
        <v>8971</v>
      </c>
      <c r="G195" s="53" t="s">
        <v>9982</v>
      </c>
      <c r="H195" s="1478" t="s">
        <v>448</v>
      </c>
      <c r="I195" s="1478" t="s">
        <v>448</v>
      </c>
      <c r="J195" s="1478" t="s">
        <v>448</v>
      </c>
      <c r="K195" s="1596" t="s">
        <v>3649</v>
      </c>
      <c r="L195" s="1596" t="s">
        <v>4750</v>
      </c>
      <c r="M195" s="1590" t="s">
        <v>9964</v>
      </c>
      <c r="N195" s="1595" t="s">
        <v>9917</v>
      </c>
      <c r="O195" s="22" t="s">
        <v>1826</v>
      </c>
      <c r="P195" s="22" t="s">
        <v>1880</v>
      </c>
      <c r="Q195" s="1602" t="s">
        <v>1131</v>
      </c>
      <c r="R195" s="54" t="s">
        <v>116</v>
      </c>
      <c r="S195" s="1603" t="s">
        <v>111</v>
      </c>
      <c r="T195" s="1600" t="s">
        <v>5487</v>
      </c>
      <c r="U195" s="1600" t="s">
        <v>5487</v>
      </c>
      <c r="V195" s="24" t="s">
        <v>9939</v>
      </c>
      <c r="W195" s="90" t="s">
        <v>9980</v>
      </c>
      <c r="X195" s="24" t="s">
        <v>110</v>
      </c>
      <c r="Y195" s="24">
        <v>2</v>
      </c>
      <c r="Z195" s="24" t="s">
        <v>9962</v>
      </c>
      <c r="AA195" s="24" t="s">
        <v>9963</v>
      </c>
      <c r="AB195" s="30"/>
      <c r="AC195" s="30">
        <v>6.9</v>
      </c>
      <c r="AD195" s="30">
        <v>6.9</v>
      </c>
      <c r="AE195" s="59"/>
      <c r="AF195" s="59"/>
      <c r="AG195" s="35" t="s">
        <v>1104</v>
      </c>
      <c r="AH195" s="202" t="s">
        <v>19</v>
      </c>
      <c r="AI195" s="35" t="s">
        <v>1880</v>
      </c>
      <c r="AJ195" s="54" t="s">
        <v>9942</v>
      </c>
    </row>
    <row r="196" spans="1:36" s="11" customFormat="1" ht="26.25" customHeight="1" x14ac:dyDescent="0.15">
      <c r="A196" s="8">
        <f t="shared" si="0"/>
        <v>194</v>
      </c>
      <c r="B196" s="36" t="s">
        <v>10005</v>
      </c>
      <c r="C196" s="1597" t="s">
        <v>111</v>
      </c>
      <c r="D196" s="1607" t="s">
        <v>111</v>
      </c>
      <c r="E196" s="1597" t="s">
        <v>111</v>
      </c>
      <c r="F196" s="29" t="s">
        <v>8971</v>
      </c>
      <c r="G196" s="53" t="s">
        <v>9982</v>
      </c>
      <c r="H196" s="1478" t="s">
        <v>448</v>
      </c>
      <c r="I196" s="1478" t="s">
        <v>448</v>
      </c>
      <c r="J196" s="1478" t="s">
        <v>448</v>
      </c>
      <c r="K196" s="1596" t="s">
        <v>3649</v>
      </c>
      <c r="L196" s="1596" t="s">
        <v>4750</v>
      </c>
      <c r="M196" s="1602" t="s">
        <v>8336</v>
      </c>
      <c r="N196" s="1595" t="s">
        <v>9918</v>
      </c>
      <c r="O196" s="22" t="s">
        <v>1826</v>
      </c>
      <c r="P196" s="22" t="s">
        <v>1880</v>
      </c>
      <c r="Q196" s="1602" t="s">
        <v>1131</v>
      </c>
      <c r="R196" s="54" t="s">
        <v>116</v>
      </c>
      <c r="S196" s="1603" t="s">
        <v>111</v>
      </c>
      <c r="T196" s="1600" t="s">
        <v>5487</v>
      </c>
      <c r="U196" s="1600" t="s">
        <v>5487</v>
      </c>
      <c r="V196" s="24" t="s">
        <v>9939</v>
      </c>
      <c r="W196" s="90" t="s">
        <v>9980</v>
      </c>
      <c r="X196" s="24" t="s">
        <v>110</v>
      </c>
      <c r="Y196" s="24">
        <v>2</v>
      </c>
      <c r="Z196" s="24" t="s">
        <v>9940</v>
      </c>
      <c r="AA196" s="24" t="s">
        <v>9941</v>
      </c>
      <c r="AB196" s="30"/>
      <c r="AC196" s="30">
        <v>6.9</v>
      </c>
      <c r="AD196" s="30">
        <v>6.9</v>
      </c>
      <c r="AE196" s="59"/>
      <c r="AF196" s="59"/>
      <c r="AG196" s="35" t="s">
        <v>1104</v>
      </c>
      <c r="AH196" s="202" t="s">
        <v>19</v>
      </c>
      <c r="AI196" s="35" t="s">
        <v>1880</v>
      </c>
      <c r="AJ196" s="54" t="s">
        <v>9942</v>
      </c>
    </row>
    <row r="197" spans="1:36" s="11" customFormat="1" ht="26.25" customHeight="1" x14ac:dyDescent="0.15">
      <c r="A197" s="8">
        <f t="shared" si="0"/>
        <v>195</v>
      </c>
      <c r="B197" s="36" t="s">
        <v>9919</v>
      </c>
      <c r="C197" s="71" t="s">
        <v>10008</v>
      </c>
      <c r="D197" s="1606" t="s">
        <v>111</v>
      </c>
      <c r="E197" s="1606" t="s">
        <v>111</v>
      </c>
      <c r="F197" s="29" t="s">
        <v>9911</v>
      </c>
      <c r="G197" s="53" t="s">
        <v>9965</v>
      </c>
      <c r="H197" s="1478" t="s">
        <v>448</v>
      </c>
      <c r="I197" s="1478" t="s">
        <v>448</v>
      </c>
      <c r="J197" s="1478" t="s">
        <v>448</v>
      </c>
      <c r="K197" s="1605" t="s">
        <v>3649</v>
      </c>
      <c r="L197" s="1605" t="s">
        <v>4750</v>
      </c>
      <c r="M197" s="1605" t="s">
        <v>9938</v>
      </c>
      <c r="N197" s="1595" t="s">
        <v>8128</v>
      </c>
      <c r="O197" s="22" t="s">
        <v>1826</v>
      </c>
      <c r="P197" s="22" t="s">
        <v>1880</v>
      </c>
      <c r="Q197" s="1605" t="s">
        <v>1131</v>
      </c>
      <c r="R197" s="54" t="s">
        <v>8584</v>
      </c>
      <c r="S197" s="1606" t="s">
        <v>111</v>
      </c>
      <c r="T197" s="1600" t="s">
        <v>5487</v>
      </c>
      <c r="U197" s="1600" t="s">
        <v>5487</v>
      </c>
      <c r="V197" s="24" t="s">
        <v>9939</v>
      </c>
      <c r="W197" s="90" t="s">
        <v>9296</v>
      </c>
      <c r="X197" s="24" t="s">
        <v>110</v>
      </c>
      <c r="Y197" s="24">
        <v>1</v>
      </c>
      <c r="Z197" s="24" t="s">
        <v>448</v>
      </c>
      <c r="AA197" s="24" t="s">
        <v>448</v>
      </c>
      <c r="AB197" s="30">
        <v>5.5</v>
      </c>
      <c r="AC197" s="30"/>
      <c r="AD197" s="30">
        <v>5.5</v>
      </c>
      <c r="AE197" s="59"/>
      <c r="AF197" s="59"/>
      <c r="AG197" s="35" t="s">
        <v>1104</v>
      </c>
      <c r="AH197" s="202" t="s">
        <v>19</v>
      </c>
      <c r="AI197" s="35" t="s">
        <v>1880</v>
      </c>
      <c r="AJ197" s="54" t="s">
        <v>9942</v>
      </c>
    </row>
    <row r="198" spans="1:36" s="11" customFormat="1" ht="26.25" customHeight="1" x14ac:dyDescent="0.15">
      <c r="A198" s="8">
        <f t="shared" si="0"/>
        <v>196</v>
      </c>
      <c r="B198" s="36" t="s">
        <v>9920</v>
      </c>
      <c r="C198" s="71" t="s">
        <v>10009</v>
      </c>
      <c r="D198" s="1606" t="s">
        <v>111</v>
      </c>
      <c r="E198" s="1606" t="s">
        <v>111</v>
      </c>
      <c r="F198" s="29" t="s">
        <v>8971</v>
      </c>
      <c r="G198" s="53" t="s">
        <v>9966</v>
      </c>
      <c r="H198" s="1478" t="s">
        <v>448</v>
      </c>
      <c r="I198" s="1478" t="s">
        <v>448</v>
      </c>
      <c r="J198" s="1478" t="s">
        <v>448</v>
      </c>
      <c r="K198" s="1605" t="s">
        <v>3649</v>
      </c>
      <c r="L198" s="1605" t="s">
        <v>4750</v>
      </c>
      <c r="M198" s="1590" t="s">
        <v>7808</v>
      </c>
      <c r="N198" s="1595" t="s">
        <v>9926</v>
      </c>
      <c r="O198" s="22" t="s">
        <v>1826</v>
      </c>
      <c r="P198" s="22" t="s">
        <v>1880</v>
      </c>
      <c r="Q198" s="1605" t="s">
        <v>1131</v>
      </c>
      <c r="R198" s="54" t="s">
        <v>8584</v>
      </c>
      <c r="S198" s="1606" t="s">
        <v>111</v>
      </c>
      <c r="T198" s="1600" t="s">
        <v>5487</v>
      </c>
      <c r="U198" s="1600" t="s">
        <v>5487</v>
      </c>
      <c r="V198" s="24" t="s">
        <v>9939</v>
      </c>
      <c r="W198" s="90" t="s">
        <v>9296</v>
      </c>
      <c r="X198" s="24" t="s">
        <v>110</v>
      </c>
      <c r="Y198" s="24">
        <v>1</v>
      </c>
      <c r="Z198" s="24" t="s">
        <v>448</v>
      </c>
      <c r="AA198" s="24" t="s">
        <v>448</v>
      </c>
      <c r="AB198" s="30">
        <v>5.5</v>
      </c>
      <c r="AC198" s="30"/>
      <c r="AD198" s="30">
        <v>5.5</v>
      </c>
      <c r="AE198" s="59"/>
      <c r="AF198" s="59"/>
      <c r="AG198" s="35" t="s">
        <v>1104</v>
      </c>
      <c r="AH198" s="202" t="s">
        <v>19</v>
      </c>
      <c r="AI198" s="35" t="s">
        <v>1880</v>
      </c>
      <c r="AJ198" s="54" t="s">
        <v>9942</v>
      </c>
    </row>
    <row r="199" spans="1:36" s="11" customFormat="1" ht="26.25" customHeight="1" x14ac:dyDescent="0.15">
      <c r="A199" s="8">
        <f t="shared" si="0"/>
        <v>197</v>
      </c>
      <c r="B199" s="36" t="s">
        <v>9921</v>
      </c>
      <c r="C199" s="71" t="s">
        <v>10010</v>
      </c>
      <c r="D199" s="1606" t="s">
        <v>111</v>
      </c>
      <c r="E199" s="1606" t="s">
        <v>111</v>
      </c>
      <c r="F199" s="29" t="s">
        <v>8971</v>
      </c>
      <c r="G199" s="53" t="s">
        <v>9966</v>
      </c>
      <c r="H199" s="1478" t="s">
        <v>448</v>
      </c>
      <c r="I199" s="1478" t="s">
        <v>448</v>
      </c>
      <c r="J199" s="1478" t="s">
        <v>448</v>
      </c>
      <c r="K199" s="1605" t="s">
        <v>3649</v>
      </c>
      <c r="L199" s="1605" t="s">
        <v>4750</v>
      </c>
      <c r="M199" s="1590" t="s">
        <v>9956</v>
      </c>
      <c r="N199" s="1595" t="s">
        <v>9927</v>
      </c>
      <c r="O199" s="22" t="s">
        <v>1826</v>
      </c>
      <c r="P199" s="22" t="s">
        <v>1880</v>
      </c>
      <c r="Q199" s="1605" t="s">
        <v>1131</v>
      </c>
      <c r="R199" s="54" t="s">
        <v>8584</v>
      </c>
      <c r="S199" s="1606" t="s">
        <v>111</v>
      </c>
      <c r="T199" s="1600" t="s">
        <v>5487</v>
      </c>
      <c r="U199" s="1600" t="s">
        <v>5487</v>
      </c>
      <c r="V199" s="24" t="s">
        <v>9939</v>
      </c>
      <c r="W199" s="90" t="s">
        <v>9296</v>
      </c>
      <c r="X199" s="24" t="s">
        <v>110</v>
      </c>
      <c r="Y199" s="24">
        <v>1</v>
      </c>
      <c r="Z199" s="24" t="s">
        <v>448</v>
      </c>
      <c r="AA199" s="24" t="s">
        <v>448</v>
      </c>
      <c r="AB199" s="30">
        <v>5.5</v>
      </c>
      <c r="AC199" s="30"/>
      <c r="AD199" s="30">
        <v>5.5</v>
      </c>
      <c r="AE199" s="59"/>
      <c r="AF199" s="59"/>
      <c r="AG199" s="35" t="s">
        <v>1104</v>
      </c>
      <c r="AH199" s="202" t="s">
        <v>19</v>
      </c>
      <c r="AI199" s="35" t="s">
        <v>1880</v>
      </c>
      <c r="AJ199" s="54" t="s">
        <v>9942</v>
      </c>
    </row>
    <row r="200" spans="1:36" s="11" customFormat="1" ht="26.25" customHeight="1" x14ac:dyDescent="0.15">
      <c r="A200" s="8">
        <f t="shared" si="0"/>
        <v>198</v>
      </c>
      <c r="B200" s="36" t="s">
        <v>9922</v>
      </c>
      <c r="C200" s="1606" t="s">
        <v>111</v>
      </c>
      <c r="D200" s="1607" t="s">
        <v>10000</v>
      </c>
      <c r="E200" s="1606" t="s">
        <v>111</v>
      </c>
      <c r="F200" s="29" t="s">
        <v>8971</v>
      </c>
      <c r="G200" s="53" t="s">
        <v>9966</v>
      </c>
      <c r="H200" s="1478" t="s">
        <v>448</v>
      </c>
      <c r="I200" s="1478" t="s">
        <v>448</v>
      </c>
      <c r="J200" s="1478" t="s">
        <v>448</v>
      </c>
      <c r="K200" s="1605" t="s">
        <v>3649</v>
      </c>
      <c r="L200" s="1605" t="s">
        <v>4750</v>
      </c>
      <c r="M200" s="1604" t="s">
        <v>9961</v>
      </c>
      <c r="N200" s="1604" t="s">
        <v>9916</v>
      </c>
      <c r="O200" s="22" t="s">
        <v>1826</v>
      </c>
      <c r="P200" s="22" t="s">
        <v>1880</v>
      </c>
      <c r="Q200" s="1605" t="s">
        <v>1131</v>
      </c>
      <c r="R200" s="54" t="s">
        <v>8584</v>
      </c>
      <c r="S200" s="1606" t="s">
        <v>111</v>
      </c>
      <c r="T200" s="1600" t="s">
        <v>5487</v>
      </c>
      <c r="U200" s="1600" t="s">
        <v>5487</v>
      </c>
      <c r="V200" s="24" t="s">
        <v>9939</v>
      </c>
      <c r="W200" s="90" t="s">
        <v>9296</v>
      </c>
      <c r="X200" s="24" t="s">
        <v>110</v>
      </c>
      <c r="Y200" s="24">
        <v>1</v>
      </c>
      <c r="Z200" s="24" t="s">
        <v>448</v>
      </c>
      <c r="AA200" s="24" t="s">
        <v>448</v>
      </c>
      <c r="AB200" s="30">
        <v>5.5</v>
      </c>
      <c r="AC200" s="30"/>
      <c r="AD200" s="30">
        <v>5.5</v>
      </c>
      <c r="AE200" s="59"/>
      <c r="AF200" s="59"/>
      <c r="AG200" s="35" t="s">
        <v>1104</v>
      </c>
      <c r="AH200" s="202" t="s">
        <v>19</v>
      </c>
      <c r="AI200" s="35" t="s">
        <v>1880</v>
      </c>
      <c r="AJ200" s="54" t="s">
        <v>9942</v>
      </c>
    </row>
    <row r="201" spans="1:36" s="11" customFormat="1" ht="26.25" customHeight="1" x14ac:dyDescent="0.15">
      <c r="A201" s="8">
        <f t="shared" si="0"/>
        <v>199</v>
      </c>
      <c r="B201" s="36" t="s">
        <v>9923</v>
      </c>
      <c r="C201" s="1606" t="s">
        <v>111</v>
      </c>
      <c r="D201" s="1607" t="s">
        <v>10002</v>
      </c>
      <c r="E201" s="1606" t="s">
        <v>111</v>
      </c>
      <c r="F201" s="29" t="s">
        <v>8971</v>
      </c>
      <c r="G201" s="53" t="s">
        <v>9966</v>
      </c>
      <c r="H201" s="1478" t="s">
        <v>448</v>
      </c>
      <c r="I201" s="1478" t="s">
        <v>448</v>
      </c>
      <c r="J201" s="1478" t="s">
        <v>448</v>
      </c>
      <c r="K201" s="1605" t="s">
        <v>3649</v>
      </c>
      <c r="L201" s="1605" t="s">
        <v>4750</v>
      </c>
      <c r="M201" s="1604" t="s">
        <v>9964</v>
      </c>
      <c r="N201" s="1604" t="s">
        <v>9917</v>
      </c>
      <c r="O201" s="22" t="s">
        <v>1826</v>
      </c>
      <c r="P201" s="22" t="s">
        <v>1880</v>
      </c>
      <c r="Q201" s="1605" t="s">
        <v>1131</v>
      </c>
      <c r="R201" s="54" t="s">
        <v>8584</v>
      </c>
      <c r="S201" s="1606" t="s">
        <v>111</v>
      </c>
      <c r="T201" s="1600" t="s">
        <v>5487</v>
      </c>
      <c r="U201" s="1600" t="s">
        <v>5487</v>
      </c>
      <c r="V201" s="24" t="s">
        <v>9939</v>
      </c>
      <c r="W201" s="90" t="s">
        <v>9296</v>
      </c>
      <c r="X201" s="24" t="s">
        <v>110</v>
      </c>
      <c r="Y201" s="24">
        <v>1</v>
      </c>
      <c r="Z201" s="24" t="s">
        <v>448</v>
      </c>
      <c r="AA201" s="24" t="s">
        <v>448</v>
      </c>
      <c r="AB201" s="30">
        <v>5.5</v>
      </c>
      <c r="AC201" s="30"/>
      <c r="AD201" s="30">
        <v>5.5</v>
      </c>
      <c r="AE201" s="59"/>
      <c r="AF201" s="59"/>
      <c r="AG201" s="35" t="s">
        <v>1104</v>
      </c>
      <c r="AH201" s="202" t="s">
        <v>19</v>
      </c>
      <c r="AI201" s="35" t="s">
        <v>1880</v>
      </c>
      <c r="AJ201" s="54" t="s">
        <v>9942</v>
      </c>
    </row>
    <row r="202" spans="1:36" s="11" customFormat="1" ht="26.25" customHeight="1" x14ac:dyDescent="0.15">
      <c r="A202" s="8">
        <f t="shared" si="0"/>
        <v>200</v>
      </c>
      <c r="B202" s="36" t="s">
        <v>9924</v>
      </c>
      <c r="C202" s="1606" t="s">
        <v>111</v>
      </c>
      <c r="D202" s="1607" t="s">
        <v>10004</v>
      </c>
      <c r="E202" s="1606" t="s">
        <v>111</v>
      </c>
      <c r="F202" s="29" t="s">
        <v>8971</v>
      </c>
      <c r="G202" s="53" t="s">
        <v>9966</v>
      </c>
      <c r="H202" s="1478" t="s">
        <v>448</v>
      </c>
      <c r="I202" s="1478" t="s">
        <v>448</v>
      </c>
      <c r="J202" s="1478" t="s">
        <v>448</v>
      </c>
      <c r="K202" s="1605" t="s">
        <v>3649</v>
      </c>
      <c r="L202" s="1605" t="s">
        <v>4750</v>
      </c>
      <c r="M202" s="1605" t="s">
        <v>8336</v>
      </c>
      <c r="N202" s="1604" t="s">
        <v>9918</v>
      </c>
      <c r="O202" s="22" t="s">
        <v>1826</v>
      </c>
      <c r="P202" s="22" t="s">
        <v>1880</v>
      </c>
      <c r="Q202" s="1605" t="s">
        <v>1131</v>
      </c>
      <c r="R202" s="54" t="s">
        <v>8584</v>
      </c>
      <c r="S202" s="1606" t="s">
        <v>111</v>
      </c>
      <c r="T202" s="1600" t="s">
        <v>5487</v>
      </c>
      <c r="U202" s="1600" t="s">
        <v>5487</v>
      </c>
      <c r="V202" s="24" t="s">
        <v>9939</v>
      </c>
      <c r="W202" s="90" t="s">
        <v>9296</v>
      </c>
      <c r="X202" s="24" t="s">
        <v>110</v>
      </c>
      <c r="Y202" s="24">
        <v>1</v>
      </c>
      <c r="Z202" s="24" t="s">
        <v>448</v>
      </c>
      <c r="AA202" s="24" t="s">
        <v>448</v>
      </c>
      <c r="AB202" s="30">
        <v>5.5</v>
      </c>
      <c r="AC202" s="30"/>
      <c r="AD202" s="30">
        <v>5.5</v>
      </c>
      <c r="AE202" s="59"/>
      <c r="AF202" s="59"/>
      <c r="AG202" s="35" t="s">
        <v>1104</v>
      </c>
      <c r="AH202" s="202" t="s">
        <v>19</v>
      </c>
      <c r="AI202" s="35" t="s">
        <v>1880</v>
      </c>
      <c r="AJ202" s="54" t="s">
        <v>9942</v>
      </c>
    </row>
    <row r="203" spans="1:36" s="11" customFormat="1" ht="26.25" customHeight="1" x14ac:dyDescent="0.15">
      <c r="A203" s="8">
        <f t="shared" si="0"/>
        <v>201</v>
      </c>
      <c r="B203" s="36" t="s">
        <v>9925</v>
      </c>
      <c r="C203" s="71" t="s">
        <v>10011</v>
      </c>
      <c r="D203" s="1606" t="s">
        <v>111</v>
      </c>
      <c r="E203" s="1606" t="s">
        <v>111</v>
      </c>
      <c r="F203" s="29" t="s">
        <v>8971</v>
      </c>
      <c r="G203" s="53" t="s">
        <v>9966</v>
      </c>
      <c r="H203" s="1478" t="s">
        <v>448</v>
      </c>
      <c r="I203" s="1478" t="s">
        <v>448</v>
      </c>
      <c r="J203" s="1478" t="s">
        <v>448</v>
      </c>
      <c r="K203" s="1605" t="s">
        <v>3649</v>
      </c>
      <c r="L203" s="1605" t="s">
        <v>4750</v>
      </c>
      <c r="M203" s="1604" t="s">
        <v>9959</v>
      </c>
      <c r="N203" s="1604" t="s">
        <v>9915</v>
      </c>
      <c r="O203" s="22" t="s">
        <v>1826</v>
      </c>
      <c r="P203" s="22" t="s">
        <v>1880</v>
      </c>
      <c r="Q203" s="1605" t="s">
        <v>1131</v>
      </c>
      <c r="R203" s="54" t="s">
        <v>8584</v>
      </c>
      <c r="S203" s="1606" t="s">
        <v>111</v>
      </c>
      <c r="T203" s="1600" t="s">
        <v>5487</v>
      </c>
      <c r="U203" s="1600" t="s">
        <v>5487</v>
      </c>
      <c r="V203" s="24" t="s">
        <v>9939</v>
      </c>
      <c r="W203" s="90" t="s">
        <v>9296</v>
      </c>
      <c r="X203" s="24" t="s">
        <v>110</v>
      </c>
      <c r="Y203" s="24">
        <v>1</v>
      </c>
      <c r="Z203" s="24" t="s">
        <v>448</v>
      </c>
      <c r="AA203" s="24" t="s">
        <v>448</v>
      </c>
      <c r="AB203" s="30">
        <v>5.5</v>
      </c>
      <c r="AC203" s="30"/>
      <c r="AD203" s="30">
        <v>5.5</v>
      </c>
      <c r="AE203" s="59"/>
      <c r="AF203" s="59"/>
      <c r="AG203" s="35" t="s">
        <v>1104</v>
      </c>
      <c r="AH203" s="202" t="s">
        <v>19</v>
      </c>
      <c r="AI203" s="35" t="s">
        <v>1880</v>
      </c>
      <c r="AJ203" s="54" t="s">
        <v>9942</v>
      </c>
    </row>
    <row r="204" spans="1:36" s="11" customFormat="1" ht="26.25" customHeight="1" x14ac:dyDescent="0.15">
      <c r="A204" s="8">
        <f t="shared" si="0"/>
        <v>202</v>
      </c>
      <c r="B204" s="36" t="s">
        <v>9928</v>
      </c>
      <c r="C204" s="71" t="s">
        <v>10012</v>
      </c>
      <c r="D204" s="1606" t="s">
        <v>9988</v>
      </c>
      <c r="E204" s="1606" t="s">
        <v>111</v>
      </c>
      <c r="F204" s="29" t="s">
        <v>6009</v>
      </c>
      <c r="G204" s="53" t="s">
        <v>9986</v>
      </c>
      <c r="H204" s="1478" t="s">
        <v>448</v>
      </c>
      <c r="I204" s="1478" t="s">
        <v>448</v>
      </c>
      <c r="J204" s="1478" t="s">
        <v>448</v>
      </c>
      <c r="K204" s="1605" t="s">
        <v>3649</v>
      </c>
      <c r="L204" s="1605" t="s">
        <v>4750</v>
      </c>
      <c r="M204" s="1590" t="s">
        <v>9983</v>
      </c>
      <c r="N204" s="22" t="s">
        <v>1733</v>
      </c>
      <c r="O204" s="22" t="s">
        <v>1826</v>
      </c>
      <c r="P204" s="22" t="s">
        <v>1880</v>
      </c>
      <c r="Q204" s="1605" t="s">
        <v>1131</v>
      </c>
      <c r="R204" s="54" t="s">
        <v>8584</v>
      </c>
      <c r="S204" s="1606" t="s">
        <v>111</v>
      </c>
      <c r="T204" s="1601" t="s">
        <v>5487</v>
      </c>
      <c r="U204" s="1601" t="s">
        <v>5487</v>
      </c>
      <c r="V204" s="24" t="s">
        <v>9939</v>
      </c>
      <c r="W204" s="90" t="s">
        <v>9934</v>
      </c>
      <c r="X204" s="24" t="s">
        <v>110</v>
      </c>
      <c r="Y204" s="24">
        <v>1</v>
      </c>
      <c r="Z204" s="24" t="s">
        <v>448</v>
      </c>
      <c r="AA204" s="24" t="s">
        <v>448</v>
      </c>
      <c r="AB204" s="30">
        <v>15.96</v>
      </c>
      <c r="AC204" s="30"/>
      <c r="AD204" s="30">
        <v>15.96</v>
      </c>
      <c r="AE204" s="59"/>
      <c r="AF204" s="59"/>
      <c r="AG204" s="35" t="s">
        <v>1104</v>
      </c>
      <c r="AH204" s="202" t="s">
        <v>19</v>
      </c>
      <c r="AI204" s="35" t="s">
        <v>1880</v>
      </c>
      <c r="AJ204" s="54" t="s">
        <v>9942</v>
      </c>
    </row>
    <row r="205" spans="1:36" s="11" customFormat="1" ht="26.25" customHeight="1" x14ac:dyDescent="0.15">
      <c r="A205" s="8">
        <f t="shared" si="0"/>
        <v>203</v>
      </c>
      <c r="B205" s="36" t="s">
        <v>9991</v>
      </c>
      <c r="C205" s="71" t="s">
        <v>10014</v>
      </c>
      <c r="D205" s="1606" t="s">
        <v>9990</v>
      </c>
      <c r="E205" s="1606" t="s">
        <v>111</v>
      </c>
      <c r="F205" s="29" t="s">
        <v>6009</v>
      </c>
      <c r="G205" s="53" t="s">
        <v>9986</v>
      </c>
      <c r="H205" s="1478" t="s">
        <v>448</v>
      </c>
      <c r="I205" s="1478" t="s">
        <v>448</v>
      </c>
      <c r="J205" s="1478" t="s">
        <v>448</v>
      </c>
      <c r="K205" s="1605" t="s">
        <v>3649</v>
      </c>
      <c r="L205" s="1605" t="s">
        <v>4750</v>
      </c>
      <c r="M205" s="1590" t="s">
        <v>9984</v>
      </c>
      <c r="N205" s="22" t="s">
        <v>1732</v>
      </c>
      <c r="O205" s="22" t="s">
        <v>1826</v>
      </c>
      <c r="P205" s="22" t="s">
        <v>1880</v>
      </c>
      <c r="Q205" s="1605" t="s">
        <v>1131</v>
      </c>
      <c r="R205" s="54" t="s">
        <v>8584</v>
      </c>
      <c r="S205" s="1606" t="s">
        <v>111</v>
      </c>
      <c r="T205" s="1601" t="s">
        <v>5487</v>
      </c>
      <c r="U205" s="1601" t="s">
        <v>5487</v>
      </c>
      <c r="V205" s="24" t="s">
        <v>9939</v>
      </c>
      <c r="W205" s="90" t="s">
        <v>9934</v>
      </c>
      <c r="X205" s="24" t="s">
        <v>110</v>
      </c>
      <c r="Y205" s="24">
        <v>1</v>
      </c>
      <c r="Z205" s="24" t="s">
        <v>448</v>
      </c>
      <c r="AA205" s="24" t="s">
        <v>448</v>
      </c>
      <c r="AB205" s="30">
        <v>15.96</v>
      </c>
      <c r="AC205" s="30"/>
      <c r="AD205" s="30">
        <v>15.96</v>
      </c>
      <c r="AE205" s="59"/>
      <c r="AF205" s="59"/>
      <c r="AG205" s="35" t="s">
        <v>1104</v>
      </c>
      <c r="AH205" s="202" t="s">
        <v>19</v>
      </c>
      <c r="AI205" s="35" t="s">
        <v>1880</v>
      </c>
      <c r="AJ205" s="54" t="s">
        <v>9942</v>
      </c>
    </row>
    <row r="206" spans="1:36" s="11" customFormat="1" ht="26.25" customHeight="1" x14ac:dyDescent="0.15">
      <c r="A206" s="8">
        <f t="shared" si="0"/>
        <v>204</v>
      </c>
      <c r="B206" s="36" t="s">
        <v>9929</v>
      </c>
      <c r="C206" s="71" t="s">
        <v>10013</v>
      </c>
      <c r="D206" s="1606" t="s">
        <v>9987</v>
      </c>
      <c r="E206" s="1606" t="s">
        <v>111</v>
      </c>
      <c r="F206" s="29" t="s">
        <v>6009</v>
      </c>
      <c r="G206" s="53" t="s">
        <v>9986</v>
      </c>
      <c r="H206" s="1478" t="s">
        <v>448</v>
      </c>
      <c r="I206" s="1478" t="s">
        <v>448</v>
      </c>
      <c r="J206" s="1478" t="s">
        <v>448</v>
      </c>
      <c r="K206" s="1605" t="s">
        <v>3649</v>
      </c>
      <c r="L206" s="1605" t="s">
        <v>4750</v>
      </c>
      <c r="M206" s="1590" t="s">
        <v>9985</v>
      </c>
      <c r="N206" s="22" t="s">
        <v>1734</v>
      </c>
      <c r="O206" s="22" t="s">
        <v>1826</v>
      </c>
      <c r="P206" s="22" t="s">
        <v>1880</v>
      </c>
      <c r="Q206" s="1605" t="s">
        <v>1131</v>
      </c>
      <c r="R206" s="54" t="s">
        <v>8584</v>
      </c>
      <c r="S206" s="1606" t="s">
        <v>111</v>
      </c>
      <c r="T206" s="1601" t="s">
        <v>5487</v>
      </c>
      <c r="U206" s="1601" t="s">
        <v>5487</v>
      </c>
      <c r="V206" s="24" t="s">
        <v>9939</v>
      </c>
      <c r="W206" s="90" t="s">
        <v>9934</v>
      </c>
      <c r="X206" s="24" t="s">
        <v>110</v>
      </c>
      <c r="Y206" s="24">
        <v>1</v>
      </c>
      <c r="Z206" s="24" t="s">
        <v>448</v>
      </c>
      <c r="AA206" s="24" t="s">
        <v>448</v>
      </c>
      <c r="AB206" s="30">
        <v>15.96</v>
      </c>
      <c r="AC206" s="30"/>
      <c r="AD206" s="30">
        <v>15.96</v>
      </c>
      <c r="AE206" s="59"/>
      <c r="AF206" s="59"/>
      <c r="AG206" s="35" t="s">
        <v>1104</v>
      </c>
      <c r="AH206" s="202" t="s">
        <v>19</v>
      </c>
      <c r="AI206" s="35" t="s">
        <v>1880</v>
      </c>
      <c r="AJ206" s="54" t="s">
        <v>9942</v>
      </c>
    </row>
    <row r="207" spans="1:36" s="11" customFormat="1" ht="26.25" customHeight="1" x14ac:dyDescent="0.15">
      <c r="A207" s="8">
        <f t="shared" si="0"/>
        <v>205</v>
      </c>
      <c r="B207" s="36" t="s">
        <v>9930</v>
      </c>
      <c r="C207" s="1606" t="s">
        <v>111</v>
      </c>
      <c r="D207" s="1606" t="s">
        <v>9989</v>
      </c>
      <c r="E207" s="1606" t="s">
        <v>111</v>
      </c>
      <c r="F207" s="29" t="s">
        <v>5796</v>
      </c>
      <c r="G207" s="53" t="s">
        <v>9967</v>
      </c>
      <c r="H207" s="1478" t="s">
        <v>448</v>
      </c>
      <c r="I207" s="1478" t="s">
        <v>448</v>
      </c>
      <c r="J207" s="1478" t="s">
        <v>448</v>
      </c>
      <c r="K207" s="1605" t="s">
        <v>3649</v>
      </c>
      <c r="L207" s="1605" t="s">
        <v>4750</v>
      </c>
      <c r="M207" s="1590" t="s">
        <v>9931</v>
      </c>
      <c r="N207" s="1595" t="s">
        <v>9931</v>
      </c>
      <c r="O207" s="1592" t="s">
        <v>5478</v>
      </c>
      <c r="P207" s="22" t="s">
        <v>1880</v>
      </c>
      <c r="Q207" s="1591" t="s">
        <v>4676</v>
      </c>
      <c r="R207" s="54" t="s">
        <v>8584</v>
      </c>
      <c r="S207" s="1606" t="s">
        <v>111</v>
      </c>
      <c r="T207" s="1601" t="s">
        <v>5487</v>
      </c>
      <c r="U207" s="1601" t="s">
        <v>5487</v>
      </c>
      <c r="V207" s="24" t="s">
        <v>9939</v>
      </c>
      <c r="W207" s="90" t="s">
        <v>9934</v>
      </c>
      <c r="X207" s="24" t="s">
        <v>110</v>
      </c>
      <c r="Y207" s="24">
        <v>1</v>
      </c>
      <c r="Z207" s="24" t="s">
        <v>448</v>
      </c>
      <c r="AA207" s="24" t="s">
        <v>448</v>
      </c>
      <c r="AB207" s="30">
        <v>13.8</v>
      </c>
      <c r="AC207" s="30"/>
      <c r="AD207" s="30">
        <v>13.8</v>
      </c>
      <c r="AE207" s="59"/>
      <c r="AF207" s="59"/>
      <c r="AG207" s="35" t="s">
        <v>1104</v>
      </c>
      <c r="AH207" s="202" t="s">
        <v>19</v>
      </c>
      <c r="AI207" s="35" t="s">
        <v>1880</v>
      </c>
      <c r="AJ207" s="54" t="s">
        <v>9942</v>
      </c>
    </row>
    <row r="208" spans="1:36" s="11" customFormat="1" ht="26.25" customHeight="1" x14ac:dyDescent="0.15">
      <c r="A208" s="8">
        <f t="shared" si="0"/>
        <v>206</v>
      </c>
      <c r="B208" s="36" t="s">
        <v>9993</v>
      </c>
      <c r="C208" s="1606" t="s">
        <v>111</v>
      </c>
      <c r="D208" s="1606" t="s">
        <v>9992</v>
      </c>
      <c r="E208" s="1606" t="s">
        <v>111</v>
      </c>
      <c r="F208" s="29" t="s">
        <v>8984</v>
      </c>
      <c r="G208" s="53" t="s">
        <v>9968</v>
      </c>
      <c r="H208" s="1478" t="s">
        <v>448</v>
      </c>
      <c r="I208" s="1478" t="s">
        <v>448</v>
      </c>
      <c r="J208" s="1478" t="s">
        <v>448</v>
      </c>
      <c r="K208" s="1606" t="s">
        <v>2135</v>
      </c>
      <c r="L208" s="1606" t="s">
        <v>2533</v>
      </c>
      <c r="M208" s="21" t="s">
        <v>4134</v>
      </c>
      <c r="N208" s="1605" t="s">
        <v>4135</v>
      </c>
      <c r="O208" s="22" t="s">
        <v>1826</v>
      </c>
      <c r="P208" s="22" t="s">
        <v>1880</v>
      </c>
      <c r="Q208" s="1605" t="s">
        <v>1131</v>
      </c>
      <c r="R208" s="54" t="s">
        <v>8584</v>
      </c>
      <c r="S208" s="1606" t="s">
        <v>111</v>
      </c>
      <c r="T208" s="1601" t="s">
        <v>5487</v>
      </c>
      <c r="U208" s="1601" t="s">
        <v>5487</v>
      </c>
      <c r="V208" s="24" t="s">
        <v>9939</v>
      </c>
      <c r="W208" s="90" t="s">
        <v>9934</v>
      </c>
      <c r="X208" s="24" t="s">
        <v>110</v>
      </c>
      <c r="Y208" s="24">
        <v>1</v>
      </c>
      <c r="Z208" s="24" t="s">
        <v>448</v>
      </c>
      <c r="AA208" s="24" t="s">
        <v>448</v>
      </c>
      <c r="AB208" s="30">
        <v>14.16</v>
      </c>
      <c r="AC208" s="30"/>
      <c r="AD208" s="30">
        <v>14.16</v>
      </c>
      <c r="AE208" s="59"/>
      <c r="AF208" s="59"/>
      <c r="AG208" s="35" t="s">
        <v>1104</v>
      </c>
      <c r="AH208" s="202" t="s">
        <v>19</v>
      </c>
      <c r="AI208" s="35" t="s">
        <v>1880</v>
      </c>
      <c r="AJ208" s="54" t="s">
        <v>9942</v>
      </c>
    </row>
    <row r="209" spans="1:36" s="11" customFormat="1" ht="26.25" customHeight="1" x14ac:dyDescent="0.15">
      <c r="A209" s="8">
        <f t="shared" si="0"/>
        <v>207</v>
      </c>
      <c r="B209" s="36" t="s">
        <v>9995</v>
      </c>
      <c r="C209" s="1606" t="s">
        <v>111</v>
      </c>
      <c r="D209" s="1606" t="s">
        <v>9994</v>
      </c>
      <c r="E209" s="1606" t="s">
        <v>111</v>
      </c>
      <c r="F209" s="29" t="s">
        <v>8194</v>
      </c>
      <c r="G209" s="53" t="s">
        <v>9969</v>
      </c>
      <c r="H209" s="1478" t="s">
        <v>448</v>
      </c>
      <c r="I209" s="1478" t="s">
        <v>448</v>
      </c>
      <c r="J209" s="1478" t="s">
        <v>448</v>
      </c>
      <c r="K209" s="1606" t="s">
        <v>2135</v>
      </c>
      <c r="L209" s="1606" t="s">
        <v>2533</v>
      </c>
      <c r="M209" s="21" t="s">
        <v>4143</v>
      </c>
      <c r="N209" s="1605" t="s">
        <v>4144</v>
      </c>
      <c r="O209" s="22" t="s">
        <v>1826</v>
      </c>
      <c r="P209" s="22" t="s">
        <v>1880</v>
      </c>
      <c r="Q209" s="1605" t="s">
        <v>1131</v>
      </c>
      <c r="R209" s="54" t="s">
        <v>8584</v>
      </c>
      <c r="S209" s="1606" t="s">
        <v>111</v>
      </c>
      <c r="T209" s="1601" t="s">
        <v>5487</v>
      </c>
      <c r="U209" s="1601" t="s">
        <v>5487</v>
      </c>
      <c r="V209" s="24" t="s">
        <v>9939</v>
      </c>
      <c r="W209" s="90" t="s">
        <v>9934</v>
      </c>
      <c r="X209" s="24" t="s">
        <v>110</v>
      </c>
      <c r="Y209" s="24">
        <v>1</v>
      </c>
      <c r="Z209" s="24" t="s">
        <v>448</v>
      </c>
      <c r="AA209" s="24" t="s">
        <v>448</v>
      </c>
      <c r="AB209" s="30">
        <v>14.16</v>
      </c>
      <c r="AC209" s="30"/>
      <c r="AD209" s="30">
        <v>14.16</v>
      </c>
      <c r="AE209" s="59"/>
      <c r="AF209" s="59"/>
      <c r="AG209" s="35" t="s">
        <v>1104</v>
      </c>
      <c r="AH209" s="202" t="s">
        <v>19</v>
      </c>
      <c r="AI209" s="35" t="s">
        <v>1880</v>
      </c>
      <c r="AJ209" s="54" t="s">
        <v>9942</v>
      </c>
    </row>
    <row r="210" spans="1:36" s="11" customFormat="1" ht="26.25" customHeight="1" x14ac:dyDescent="0.15">
      <c r="A210" s="8">
        <f t="shared" si="0"/>
        <v>208</v>
      </c>
      <c r="B210" s="36" t="s">
        <v>10006</v>
      </c>
      <c r="C210" s="1594" t="s">
        <v>111</v>
      </c>
      <c r="D210" s="1658" t="s">
        <v>10202</v>
      </c>
      <c r="E210" s="1594" t="s">
        <v>111</v>
      </c>
      <c r="F210" s="29" t="s">
        <v>8922</v>
      </c>
      <c r="G210" s="53" t="s">
        <v>9932</v>
      </c>
      <c r="H210" s="26" t="s">
        <v>19</v>
      </c>
      <c r="I210" s="26" t="s">
        <v>19</v>
      </c>
      <c r="J210" s="26" t="s">
        <v>19</v>
      </c>
      <c r="K210" s="1593" t="s">
        <v>3649</v>
      </c>
      <c r="L210" s="1593" t="s">
        <v>4750</v>
      </c>
      <c r="M210" s="1593" t="s">
        <v>7054</v>
      </c>
      <c r="N210" s="22" t="s">
        <v>4780</v>
      </c>
      <c r="O210" s="1593" t="s">
        <v>5431</v>
      </c>
      <c r="P210" s="1594" t="s">
        <v>111</v>
      </c>
      <c r="Q210" s="1593" t="s">
        <v>1131</v>
      </c>
      <c r="R210" s="54" t="s">
        <v>4753</v>
      </c>
      <c r="S210" s="1594" t="s">
        <v>111</v>
      </c>
      <c r="T210" s="1593" t="s">
        <v>5487</v>
      </c>
      <c r="U210" s="1593" t="s">
        <v>5487</v>
      </c>
      <c r="V210" s="24" t="s">
        <v>9933</v>
      </c>
      <c r="W210" s="90" t="s">
        <v>9934</v>
      </c>
      <c r="X210" s="24" t="s">
        <v>110</v>
      </c>
      <c r="Y210" s="24">
        <v>1</v>
      </c>
      <c r="Z210" s="1594" t="s">
        <v>111</v>
      </c>
      <c r="AA210" s="1594" t="s">
        <v>111</v>
      </c>
      <c r="AB210" s="30">
        <v>15</v>
      </c>
      <c r="AC210" s="30"/>
      <c r="AD210" s="30">
        <v>15</v>
      </c>
      <c r="AE210" s="59"/>
      <c r="AF210" s="59"/>
      <c r="AG210" s="35" t="s">
        <v>1104</v>
      </c>
      <c r="AH210" s="202" t="s">
        <v>19</v>
      </c>
      <c r="AI210" s="35" t="s">
        <v>1880</v>
      </c>
      <c r="AJ210" s="1591"/>
    </row>
    <row r="211" spans="1:36" s="11" customFormat="1" ht="26.25" customHeight="1" x14ac:dyDescent="0.15">
      <c r="A211" s="8">
        <f t="shared" si="0"/>
        <v>209</v>
      </c>
      <c r="B211" s="36" t="s">
        <v>9999</v>
      </c>
      <c r="C211" s="1606" t="s">
        <v>111</v>
      </c>
      <c r="D211" s="1606" t="s">
        <v>9998</v>
      </c>
      <c r="E211" s="1606" t="s">
        <v>111</v>
      </c>
      <c r="F211" s="151" t="s">
        <v>8007</v>
      </c>
      <c r="G211" s="54" t="s">
        <v>9970</v>
      </c>
      <c r="H211" s="26" t="s">
        <v>448</v>
      </c>
      <c r="I211" s="26" t="s">
        <v>448</v>
      </c>
      <c r="J211" s="26" t="s">
        <v>448</v>
      </c>
      <c r="K211" s="1606" t="s">
        <v>2135</v>
      </c>
      <c r="L211" s="1606" t="s">
        <v>2533</v>
      </c>
      <c r="M211" s="21" t="s">
        <v>3634</v>
      </c>
      <c r="N211" s="1606" t="s">
        <v>3635</v>
      </c>
      <c r="O211" s="1606" t="s">
        <v>1826</v>
      </c>
      <c r="P211" s="1606" t="s">
        <v>111</v>
      </c>
      <c r="Q211" s="22" t="s">
        <v>512</v>
      </c>
      <c r="R211" s="54" t="s">
        <v>9971</v>
      </c>
      <c r="S211" s="1606" t="s">
        <v>111</v>
      </c>
      <c r="T211" s="1601" t="s">
        <v>5487</v>
      </c>
      <c r="U211" s="1601" t="s">
        <v>5487</v>
      </c>
      <c r="V211" s="24" t="s">
        <v>9954</v>
      </c>
      <c r="W211" s="90" t="s">
        <v>9861</v>
      </c>
      <c r="X211" s="24" t="s">
        <v>110</v>
      </c>
      <c r="Y211" s="24">
        <v>1</v>
      </c>
      <c r="Z211" s="1606" t="s">
        <v>111</v>
      </c>
      <c r="AA211" s="1606" t="s">
        <v>111</v>
      </c>
      <c r="AB211" s="30">
        <v>12</v>
      </c>
      <c r="AC211" s="30"/>
      <c r="AD211" s="30">
        <v>12</v>
      </c>
      <c r="AE211" s="59"/>
      <c r="AF211" s="59"/>
      <c r="AG211" s="35" t="s">
        <v>1104</v>
      </c>
      <c r="AH211" s="202" t="s">
        <v>19</v>
      </c>
      <c r="AI211" s="35" t="s">
        <v>1880</v>
      </c>
      <c r="AJ211" s="54" t="s">
        <v>10512</v>
      </c>
    </row>
    <row r="212" spans="1:36" s="11" customFormat="1" ht="26.25" customHeight="1" x14ac:dyDescent="0.15">
      <c r="A212" s="8">
        <f t="shared" si="0"/>
        <v>210</v>
      </c>
      <c r="B212" s="36" t="s">
        <v>9935</v>
      </c>
      <c r="C212" s="1606" t="s">
        <v>111</v>
      </c>
      <c r="D212" s="1606" t="s">
        <v>111</v>
      </c>
      <c r="E212" s="1606" t="s">
        <v>111</v>
      </c>
      <c r="F212" s="151" t="s">
        <v>8008</v>
      </c>
      <c r="G212" s="54" t="s">
        <v>9972</v>
      </c>
      <c r="H212" s="26" t="s">
        <v>448</v>
      </c>
      <c r="I212" s="26" t="s">
        <v>448</v>
      </c>
      <c r="J212" s="26" t="s">
        <v>448</v>
      </c>
      <c r="K212" s="1606" t="s">
        <v>2135</v>
      </c>
      <c r="L212" s="1606" t="s">
        <v>2533</v>
      </c>
      <c r="M212" s="44" t="s">
        <v>3644</v>
      </c>
      <c r="N212" s="71" t="s">
        <v>3633</v>
      </c>
      <c r="O212" s="1606" t="s">
        <v>1826</v>
      </c>
      <c r="P212" s="1606" t="s">
        <v>111</v>
      </c>
      <c r="Q212" s="22" t="s">
        <v>512</v>
      </c>
      <c r="R212" s="54" t="s">
        <v>9971</v>
      </c>
      <c r="S212" s="1606" t="s">
        <v>111</v>
      </c>
      <c r="T212" s="1601" t="s">
        <v>5487</v>
      </c>
      <c r="U212" s="1601" t="s">
        <v>5487</v>
      </c>
      <c r="V212" s="24" t="s">
        <v>9954</v>
      </c>
      <c r="W212" s="90" t="s">
        <v>9861</v>
      </c>
      <c r="X212" s="24" t="s">
        <v>110</v>
      </c>
      <c r="Y212" s="24">
        <v>1</v>
      </c>
      <c r="Z212" s="1606" t="s">
        <v>111</v>
      </c>
      <c r="AA212" s="1606" t="s">
        <v>111</v>
      </c>
      <c r="AB212" s="30">
        <v>24</v>
      </c>
      <c r="AC212" s="30"/>
      <c r="AD212" s="30">
        <v>24</v>
      </c>
      <c r="AE212" s="59"/>
      <c r="AF212" s="59"/>
      <c r="AG212" s="35" t="s">
        <v>1104</v>
      </c>
      <c r="AH212" s="202" t="s">
        <v>19</v>
      </c>
      <c r="AI212" s="35" t="s">
        <v>1880</v>
      </c>
      <c r="AJ212" s="54" t="s">
        <v>10513</v>
      </c>
    </row>
    <row r="213" spans="1:36" s="11" customFormat="1" ht="26.25" customHeight="1" x14ac:dyDescent="0.15">
      <c r="A213" s="8">
        <f t="shared" si="0"/>
        <v>211</v>
      </c>
      <c r="B213" s="36" t="s">
        <v>9936</v>
      </c>
      <c r="C213" s="1606" t="s">
        <v>111</v>
      </c>
      <c r="D213" s="1606" t="s">
        <v>111</v>
      </c>
      <c r="E213" s="1606" t="s">
        <v>111</v>
      </c>
      <c r="F213" s="151" t="s">
        <v>9726</v>
      </c>
      <c r="G213" s="54" t="s">
        <v>9973</v>
      </c>
      <c r="H213" s="26" t="s">
        <v>448</v>
      </c>
      <c r="I213" s="26" t="s">
        <v>448</v>
      </c>
      <c r="J213" s="26" t="s">
        <v>448</v>
      </c>
      <c r="K213" s="1606" t="s">
        <v>2135</v>
      </c>
      <c r="L213" s="1606" t="s">
        <v>2533</v>
      </c>
      <c r="M213" s="1605" t="s">
        <v>1010</v>
      </c>
      <c r="N213" s="2" t="s">
        <v>1011</v>
      </c>
      <c r="O213" s="1606" t="s">
        <v>1826</v>
      </c>
      <c r="P213" s="1606" t="s">
        <v>111</v>
      </c>
      <c r="Q213" s="22" t="s">
        <v>512</v>
      </c>
      <c r="R213" s="54" t="s">
        <v>9971</v>
      </c>
      <c r="S213" s="1606" t="s">
        <v>111</v>
      </c>
      <c r="T213" s="1601" t="s">
        <v>5487</v>
      </c>
      <c r="U213" s="1601" t="s">
        <v>5487</v>
      </c>
      <c r="V213" s="24" t="s">
        <v>9954</v>
      </c>
      <c r="W213" s="90" t="s">
        <v>9861</v>
      </c>
      <c r="X213" s="24" t="s">
        <v>110</v>
      </c>
      <c r="Y213" s="24">
        <v>1</v>
      </c>
      <c r="Z213" s="1606" t="s">
        <v>111</v>
      </c>
      <c r="AA213" s="1606" t="s">
        <v>111</v>
      </c>
      <c r="AB213" s="30">
        <v>12</v>
      </c>
      <c r="AC213" s="30"/>
      <c r="AD213" s="30">
        <v>12</v>
      </c>
      <c r="AE213" s="59"/>
      <c r="AF213" s="59"/>
      <c r="AG213" s="35" t="s">
        <v>1104</v>
      </c>
      <c r="AH213" s="202" t="s">
        <v>19</v>
      </c>
      <c r="AI213" s="35" t="s">
        <v>1880</v>
      </c>
      <c r="AJ213" s="54" t="s">
        <v>10512</v>
      </c>
    </row>
    <row r="214" spans="1:36" s="11" customFormat="1" ht="26.25" customHeight="1" x14ac:dyDescent="0.15">
      <c r="A214" s="8">
        <f t="shared" si="0"/>
        <v>212</v>
      </c>
      <c r="B214" s="36" t="s">
        <v>9975</v>
      </c>
      <c r="C214" s="1606" t="s">
        <v>111</v>
      </c>
      <c r="D214" s="1606" t="s">
        <v>111</v>
      </c>
      <c r="E214" s="1606" t="s">
        <v>111</v>
      </c>
      <c r="F214" s="54" t="s">
        <v>8010</v>
      </c>
      <c r="G214" s="54" t="s">
        <v>9977</v>
      </c>
      <c r="H214" s="26" t="s">
        <v>448</v>
      </c>
      <c r="I214" s="26" t="s">
        <v>448</v>
      </c>
      <c r="J214" s="26" t="s">
        <v>448</v>
      </c>
      <c r="K214" s="1606" t="s">
        <v>2135</v>
      </c>
      <c r="L214" s="1606" t="s">
        <v>2533</v>
      </c>
      <c r="M214" s="21" t="s">
        <v>6631</v>
      </c>
      <c r="N214" s="71" t="s">
        <v>7888</v>
      </c>
      <c r="O214" s="1606" t="s">
        <v>1826</v>
      </c>
      <c r="P214" s="1606" t="s">
        <v>111</v>
      </c>
      <c r="Q214" s="22" t="s">
        <v>512</v>
      </c>
      <c r="R214" s="54" t="s">
        <v>9971</v>
      </c>
      <c r="S214" s="1606" t="s">
        <v>111</v>
      </c>
      <c r="T214" s="1601" t="s">
        <v>5487</v>
      </c>
      <c r="U214" s="1601" t="s">
        <v>5487</v>
      </c>
      <c r="V214" s="24" t="s">
        <v>9954</v>
      </c>
      <c r="W214" s="90" t="s">
        <v>9861</v>
      </c>
      <c r="X214" s="24" t="s">
        <v>110</v>
      </c>
      <c r="Y214" s="24">
        <v>1</v>
      </c>
      <c r="Z214" s="1606" t="s">
        <v>111</v>
      </c>
      <c r="AA214" s="1606" t="s">
        <v>111</v>
      </c>
      <c r="AB214" s="30">
        <v>12</v>
      </c>
      <c r="AC214" s="30"/>
      <c r="AD214" s="30">
        <v>12</v>
      </c>
      <c r="AE214" s="59"/>
      <c r="AF214" s="59"/>
      <c r="AG214" s="35" t="s">
        <v>1104</v>
      </c>
      <c r="AH214" s="202" t="s">
        <v>19</v>
      </c>
      <c r="AI214" s="35" t="s">
        <v>1880</v>
      </c>
      <c r="AJ214" s="54" t="s">
        <v>10513</v>
      </c>
    </row>
    <row r="215" spans="1:36" s="11" customFormat="1" ht="26.25" customHeight="1" x14ac:dyDescent="0.15">
      <c r="A215" s="8">
        <f t="shared" si="0"/>
        <v>213</v>
      </c>
      <c r="B215" s="36" t="s">
        <v>9976</v>
      </c>
      <c r="C215" s="1606" t="s">
        <v>111</v>
      </c>
      <c r="D215" s="1606" t="s">
        <v>111</v>
      </c>
      <c r="E215" s="1606" t="s">
        <v>111</v>
      </c>
      <c r="F215" s="54" t="s">
        <v>8010</v>
      </c>
      <c r="G215" s="54" t="s">
        <v>9977</v>
      </c>
      <c r="H215" s="26" t="s">
        <v>448</v>
      </c>
      <c r="I215" s="26" t="s">
        <v>448</v>
      </c>
      <c r="J215" s="26" t="s">
        <v>448</v>
      </c>
      <c r="K215" s="1606" t="s">
        <v>2135</v>
      </c>
      <c r="L215" s="1606" t="s">
        <v>2533</v>
      </c>
      <c r="M215" s="1606" t="s">
        <v>4587</v>
      </c>
      <c r="N215" s="21" t="s">
        <v>9974</v>
      </c>
      <c r="O215" s="1606" t="s">
        <v>1826</v>
      </c>
      <c r="P215" s="1606" t="s">
        <v>111</v>
      </c>
      <c r="Q215" s="22" t="s">
        <v>512</v>
      </c>
      <c r="R215" s="54" t="s">
        <v>9971</v>
      </c>
      <c r="S215" s="1606" t="s">
        <v>111</v>
      </c>
      <c r="T215" s="1601" t="s">
        <v>5487</v>
      </c>
      <c r="U215" s="1601" t="s">
        <v>5487</v>
      </c>
      <c r="V215" s="24" t="s">
        <v>9954</v>
      </c>
      <c r="W215" s="90" t="s">
        <v>9861</v>
      </c>
      <c r="X215" s="24" t="s">
        <v>110</v>
      </c>
      <c r="Y215" s="24">
        <v>1</v>
      </c>
      <c r="Z215" s="1606" t="s">
        <v>111</v>
      </c>
      <c r="AA215" s="1606" t="s">
        <v>111</v>
      </c>
      <c r="AB215" s="30">
        <v>12</v>
      </c>
      <c r="AC215" s="30"/>
      <c r="AD215" s="30">
        <v>12</v>
      </c>
      <c r="AE215" s="59"/>
      <c r="AF215" s="59"/>
      <c r="AG215" s="35" t="s">
        <v>1104</v>
      </c>
      <c r="AH215" s="202" t="s">
        <v>19</v>
      </c>
      <c r="AI215" s="35" t="s">
        <v>1880</v>
      </c>
      <c r="AJ215" s="54" t="s">
        <v>10512</v>
      </c>
    </row>
    <row r="216" spans="1:36" s="11" customFormat="1" ht="26.25" customHeight="1" x14ac:dyDescent="0.15">
      <c r="A216" s="8">
        <f t="shared" si="0"/>
        <v>214</v>
      </c>
      <c r="B216" s="36" t="s">
        <v>9997</v>
      </c>
      <c r="C216" s="1606" t="s">
        <v>111</v>
      </c>
      <c r="D216" s="1606" t="s">
        <v>9996</v>
      </c>
      <c r="E216" s="1606" t="s">
        <v>111</v>
      </c>
      <c r="F216" s="54" t="s">
        <v>8559</v>
      </c>
      <c r="G216" s="54" t="s">
        <v>9978</v>
      </c>
      <c r="H216" s="26" t="s">
        <v>448</v>
      </c>
      <c r="I216" s="26" t="s">
        <v>448</v>
      </c>
      <c r="J216" s="26" t="s">
        <v>448</v>
      </c>
      <c r="K216" s="1606" t="s">
        <v>2135</v>
      </c>
      <c r="L216" s="1606" t="s">
        <v>2533</v>
      </c>
      <c r="M216" s="21" t="s">
        <v>3636</v>
      </c>
      <c r="N216" s="1606" t="s">
        <v>3637</v>
      </c>
      <c r="O216" s="1606" t="s">
        <v>2142</v>
      </c>
      <c r="P216" s="1606" t="s">
        <v>111</v>
      </c>
      <c r="Q216" s="22" t="s">
        <v>512</v>
      </c>
      <c r="R216" s="54" t="s">
        <v>9979</v>
      </c>
      <c r="S216" s="1606" t="s">
        <v>111</v>
      </c>
      <c r="T216" s="1605" t="s">
        <v>5487</v>
      </c>
      <c r="U216" s="1605" t="s">
        <v>5487</v>
      </c>
      <c r="V216" s="24" t="s">
        <v>9954</v>
      </c>
      <c r="W216" s="90" t="s">
        <v>9861</v>
      </c>
      <c r="X216" s="24" t="s">
        <v>110</v>
      </c>
      <c r="Y216" s="24">
        <v>1</v>
      </c>
      <c r="Z216" s="1606" t="s">
        <v>111</v>
      </c>
      <c r="AA216" s="1606" t="s">
        <v>111</v>
      </c>
      <c r="AB216" s="30">
        <v>12</v>
      </c>
      <c r="AC216" s="30"/>
      <c r="AD216" s="30">
        <v>12</v>
      </c>
      <c r="AE216" s="59"/>
      <c r="AF216" s="59"/>
      <c r="AG216" s="35" t="s">
        <v>1104</v>
      </c>
      <c r="AH216" s="202" t="s">
        <v>19</v>
      </c>
      <c r="AI216" s="35" t="s">
        <v>1880</v>
      </c>
      <c r="AJ216" s="54" t="s">
        <v>10512</v>
      </c>
    </row>
    <row r="217" spans="1:36" s="11" customFormat="1" ht="26.25" customHeight="1" x14ac:dyDescent="0.15">
      <c r="A217" s="8">
        <f t="shared" si="0"/>
        <v>215</v>
      </c>
      <c r="B217" s="36" t="s">
        <v>10015</v>
      </c>
      <c r="C217" s="1609" t="s">
        <v>111</v>
      </c>
      <c r="D217" s="1609" t="s">
        <v>111</v>
      </c>
      <c r="E217" s="1609" t="s">
        <v>111</v>
      </c>
      <c r="F217" s="29" t="s">
        <v>8516</v>
      </c>
      <c r="G217" s="99" t="s">
        <v>8961</v>
      </c>
      <c r="H217" s="26" t="s">
        <v>448</v>
      </c>
      <c r="I217" s="26" t="s">
        <v>448</v>
      </c>
      <c r="J217" s="26" t="s">
        <v>448</v>
      </c>
      <c r="K217" s="1" t="s">
        <v>23</v>
      </c>
      <c r="L217" s="142" t="s">
        <v>1448</v>
      </c>
      <c r="M217" s="329" t="s">
        <v>3491</v>
      </c>
      <c r="N217" s="330" t="s">
        <v>2466</v>
      </c>
      <c r="O217" s="1609" t="s">
        <v>2142</v>
      </c>
      <c r="P217" s="1609" t="s">
        <v>111</v>
      </c>
      <c r="Q217" s="1608" t="s">
        <v>4676</v>
      </c>
      <c r="R217" s="54" t="s">
        <v>1819</v>
      </c>
      <c r="S217" s="22" t="s">
        <v>1880</v>
      </c>
      <c r="T217" s="1608" t="s">
        <v>3591</v>
      </c>
      <c r="U217" s="1608" t="s">
        <v>3591</v>
      </c>
      <c r="V217" s="24" t="s">
        <v>10016</v>
      </c>
      <c r="W217" s="499"/>
      <c r="X217" s="484"/>
      <c r="Y217" s="484"/>
      <c r="Z217" s="484"/>
      <c r="AA217" s="484"/>
      <c r="AB217" s="30"/>
      <c r="AC217" s="30">
        <v>8</v>
      </c>
      <c r="AD217" s="30">
        <v>8</v>
      </c>
      <c r="AE217" s="59"/>
      <c r="AF217" s="59"/>
      <c r="AG217" s="35" t="s">
        <v>1104</v>
      </c>
      <c r="AH217" s="202" t="s">
        <v>19</v>
      </c>
      <c r="AI217" s="35" t="s">
        <v>1880</v>
      </c>
      <c r="AJ217" s="54" t="s">
        <v>10017</v>
      </c>
    </row>
    <row r="218" spans="1:36" s="11" customFormat="1" ht="26.25" customHeight="1" x14ac:dyDescent="0.15">
      <c r="A218" s="8">
        <f t="shared" si="0"/>
        <v>216</v>
      </c>
      <c r="B218" s="36" t="s">
        <v>10033</v>
      </c>
      <c r="C218" s="1612" t="s">
        <v>111</v>
      </c>
      <c r="D218" s="1612" t="s">
        <v>111</v>
      </c>
      <c r="E218" s="1612" t="s">
        <v>111</v>
      </c>
      <c r="F218" s="29" t="s">
        <v>10042</v>
      </c>
      <c r="G218" s="98" t="s">
        <v>10076</v>
      </c>
      <c r="H218" s="26" t="s">
        <v>448</v>
      </c>
      <c r="I218" s="26" t="s">
        <v>448</v>
      </c>
      <c r="J218" s="26" t="s">
        <v>448</v>
      </c>
      <c r="K218" s="1610" t="s">
        <v>4691</v>
      </c>
      <c r="L218" s="1610" t="s">
        <v>1124</v>
      </c>
      <c r="M218" s="1610" t="s">
        <v>10077</v>
      </c>
      <c r="N218" s="22" t="s">
        <v>4780</v>
      </c>
      <c r="O218" s="1619" t="s">
        <v>2142</v>
      </c>
      <c r="P218" s="1619" t="s">
        <v>111</v>
      </c>
      <c r="Q218" s="1611" t="s">
        <v>1131</v>
      </c>
      <c r="R218" s="54" t="s">
        <v>4753</v>
      </c>
      <c r="S218" s="22" t="s">
        <v>1880</v>
      </c>
      <c r="T218" s="1611" t="s">
        <v>3591</v>
      </c>
      <c r="U218" s="1611" t="s">
        <v>3591</v>
      </c>
      <c r="V218" s="24" t="s">
        <v>10035</v>
      </c>
      <c r="W218" s="271" t="s">
        <v>10078</v>
      </c>
      <c r="X218" s="24" t="s">
        <v>110</v>
      </c>
      <c r="Y218" s="24">
        <v>1</v>
      </c>
      <c r="Z218" s="1619" t="s">
        <v>111</v>
      </c>
      <c r="AA218" s="1619" t="s">
        <v>111</v>
      </c>
      <c r="AB218" s="30">
        <v>5.2560000000000002</v>
      </c>
      <c r="AC218" s="30"/>
      <c r="AD218" s="30">
        <v>5.2560000000000002</v>
      </c>
      <c r="AE218" s="59"/>
      <c r="AF218" s="59"/>
      <c r="AG218" s="35" t="s">
        <v>1104</v>
      </c>
      <c r="AH218" s="202" t="s">
        <v>19</v>
      </c>
      <c r="AI218" s="35" t="s">
        <v>1880</v>
      </c>
      <c r="AJ218" s="54" t="s">
        <v>10036</v>
      </c>
    </row>
    <row r="219" spans="1:36" s="11" customFormat="1" ht="26.25" customHeight="1" x14ac:dyDescent="0.15">
      <c r="A219" s="8">
        <f t="shared" si="0"/>
        <v>217</v>
      </c>
      <c r="B219" s="36" t="s">
        <v>10034</v>
      </c>
      <c r="C219" s="1612" t="s">
        <v>111</v>
      </c>
      <c r="D219" s="1612" t="s">
        <v>111</v>
      </c>
      <c r="E219" s="1612" t="s">
        <v>111</v>
      </c>
      <c r="F219" s="29" t="s">
        <v>10042</v>
      </c>
      <c r="G219" s="98" t="s">
        <v>10079</v>
      </c>
      <c r="H219" s="26" t="s">
        <v>448</v>
      </c>
      <c r="I219" s="26" t="s">
        <v>448</v>
      </c>
      <c r="J219" s="26" t="s">
        <v>448</v>
      </c>
      <c r="K219" s="1617" t="s">
        <v>4691</v>
      </c>
      <c r="L219" s="1617" t="s">
        <v>1124</v>
      </c>
      <c r="M219" s="1617" t="s">
        <v>10077</v>
      </c>
      <c r="N219" s="22" t="s">
        <v>4780</v>
      </c>
      <c r="O219" s="1619" t="s">
        <v>2142</v>
      </c>
      <c r="P219" s="1619" t="s">
        <v>111</v>
      </c>
      <c r="Q219" s="1618" t="s">
        <v>1131</v>
      </c>
      <c r="R219" s="54" t="s">
        <v>116</v>
      </c>
      <c r="S219" s="22" t="s">
        <v>1880</v>
      </c>
      <c r="T219" s="1611" t="s">
        <v>3591</v>
      </c>
      <c r="U219" s="1611" t="s">
        <v>3591</v>
      </c>
      <c r="V219" s="24" t="s">
        <v>10035</v>
      </c>
      <c r="W219" s="271" t="s">
        <v>10078</v>
      </c>
      <c r="X219" s="24" t="s">
        <v>110</v>
      </c>
      <c r="Y219" s="24">
        <v>1</v>
      </c>
      <c r="Z219" s="1619" t="s">
        <v>111</v>
      </c>
      <c r="AA219" s="1619" t="s">
        <v>111</v>
      </c>
      <c r="AB219" s="30"/>
      <c r="AC219" s="30">
        <v>6.3490000000000002</v>
      </c>
      <c r="AD219" s="30">
        <v>6.3490000000000002</v>
      </c>
      <c r="AE219" s="59"/>
      <c r="AF219" s="59"/>
      <c r="AG219" s="35" t="s">
        <v>1104</v>
      </c>
      <c r="AH219" s="202" t="s">
        <v>19</v>
      </c>
      <c r="AI219" s="35" t="s">
        <v>1880</v>
      </c>
      <c r="AJ219" s="54" t="s">
        <v>10036</v>
      </c>
    </row>
    <row r="220" spans="1:36" s="11" customFormat="1" ht="26.25" customHeight="1" x14ac:dyDescent="0.15">
      <c r="A220" s="8">
        <f t="shared" si="0"/>
        <v>218</v>
      </c>
      <c r="B220" s="36" t="s">
        <v>10100</v>
      </c>
      <c r="C220" s="1612" t="s">
        <v>111</v>
      </c>
      <c r="D220" s="1612" t="s">
        <v>111</v>
      </c>
      <c r="E220" s="36" t="s">
        <v>10316</v>
      </c>
      <c r="F220" s="29" t="s">
        <v>10043</v>
      </c>
      <c r="G220" s="98" t="s">
        <v>10106</v>
      </c>
      <c r="H220" s="26" t="s">
        <v>448</v>
      </c>
      <c r="I220" s="26" t="s">
        <v>448</v>
      </c>
      <c r="J220" s="26" t="s">
        <v>448</v>
      </c>
      <c r="K220" s="1610" t="s">
        <v>3649</v>
      </c>
      <c r="L220" s="1610" t="s">
        <v>5383</v>
      </c>
      <c r="M220" s="1610" t="s">
        <v>10107</v>
      </c>
      <c r="N220" s="22" t="s">
        <v>4780</v>
      </c>
      <c r="O220" s="1632" t="s">
        <v>1826</v>
      </c>
      <c r="P220" s="1632" t="s">
        <v>111</v>
      </c>
      <c r="Q220" s="1631" t="s">
        <v>1131</v>
      </c>
      <c r="R220" s="54" t="s">
        <v>2224</v>
      </c>
      <c r="S220" s="22" t="s">
        <v>1880</v>
      </c>
      <c r="T220" s="1611" t="s">
        <v>5487</v>
      </c>
      <c r="U220" s="1611" t="s">
        <v>5487</v>
      </c>
      <c r="V220" s="24" t="s">
        <v>10035</v>
      </c>
      <c r="W220" s="271" t="s">
        <v>10113</v>
      </c>
      <c r="X220" s="24" t="s">
        <v>110</v>
      </c>
      <c r="Y220" s="24">
        <v>1</v>
      </c>
      <c r="Z220" s="1632" t="s">
        <v>5710</v>
      </c>
      <c r="AA220" s="1632" t="s">
        <v>111</v>
      </c>
      <c r="AB220" s="96">
        <v>6.98</v>
      </c>
      <c r="AC220" s="96"/>
      <c r="AD220" s="96">
        <v>6.98</v>
      </c>
      <c r="AE220" s="59"/>
      <c r="AF220" s="59"/>
      <c r="AG220" s="35" t="s">
        <v>1104</v>
      </c>
      <c r="AH220" s="202" t="s">
        <v>19</v>
      </c>
      <c r="AI220" s="35" t="s">
        <v>1880</v>
      </c>
      <c r="AJ220" s="54" t="s">
        <v>10036</v>
      </c>
    </row>
    <row r="221" spans="1:36" s="11" customFormat="1" ht="26.25" customHeight="1" x14ac:dyDescent="0.15">
      <c r="A221" s="8">
        <f t="shared" si="0"/>
        <v>219</v>
      </c>
      <c r="B221" s="36" t="s">
        <v>10101</v>
      </c>
      <c r="C221" s="1632" t="s">
        <v>111</v>
      </c>
      <c r="D221" s="1632" t="s">
        <v>111</v>
      </c>
      <c r="E221" s="36" t="s">
        <v>10317</v>
      </c>
      <c r="F221" s="29" t="s">
        <v>10043</v>
      </c>
      <c r="G221" s="98" t="s">
        <v>10106</v>
      </c>
      <c r="H221" s="26" t="s">
        <v>448</v>
      </c>
      <c r="I221" s="26" t="s">
        <v>448</v>
      </c>
      <c r="J221" s="26" t="s">
        <v>448</v>
      </c>
      <c r="K221" s="1630" t="s">
        <v>3649</v>
      </c>
      <c r="L221" s="1630" t="s">
        <v>5383</v>
      </c>
      <c r="M221" s="1630" t="s">
        <v>10108</v>
      </c>
      <c r="N221" s="22" t="s">
        <v>4780</v>
      </c>
      <c r="O221" s="1632" t="s">
        <v>1826</v>
      </c>
      <c r="P221" s="1632" t="s">
        <v>111</v>
      </c>
      <c r="Q221" s="1631" t="s">
        <v>1131</v>
      </c>
      <c r="R221" s="54" t="s">
        <v>2224</v>
      </c>
      <c r="S221" s="22" t="s">
        <v>1880</v>
      </c>
      <c r="T221" s="1631" t="s">
        <v>5487</v>
      </c>
      <c r="U221" s="1631" t="s">
        <v>5487</v>
      </c>
      <c r="V221" s="24" t="s">
        <v>10035</v>
      </c>
      <c r="W221" s="271" t="s">
        <v>10113</v>
      </c>
      <c r="X221" s="24" t="s">
        <v>110</v>
      </c>
      <c r="Y221" s="24">
        <v>1</v>
      </c>
      <c r="Z221" s="1632" t="s">
        <v>5710</v>
      </c>
      <c r="AA221" s="1632" t="s">
        <v>111</v>
      </c>
      <c r="AB221" s="96">
        <v>6.98</v>
      </c>
      <c r="AC221" s="96"/>
      <c r="AD221" s="96">
        <v>6.98</v>
      </c>
      <c r="AE221" s="59"/>
      <c r="AF221" s="59"/>
      <c r="AG221" s="35" t="s">
        <v>1104</v>
      </c>
      <c r="AH221" s="202" t="s">
        <v>19</v>
      </c>
      <c r="AI221" s="35" t="s">
        <v>1880</v>
      </c>
      <c r="AJ221" s="54" t="s">
        <v>10036</v>
      </c>
    </row>
    <row r="222" spans="1:36" s="11" customFormat="1" ht="26.25" customHeight="1" x14ac:dyDescent="0.15">
      <c r="A222" s="8">
        <f t="shared" si="0"/>
        <v>220</v>
      </c>
      <c r="B222" s="36" t="s">
        <v>10102</v>
      </c>
      <c r="C222" s="1632" t="s">
        <v>111</v>
      </c>
      <c r="D222" s="1632" t="s">
        <v>111</v>
      </c>
      <c r="E222" s="36" t="s">
        <v>10506</v>
      </c>
      <c r="F222" s="29" t="s">
        <v>10043</v>
      </c>
      <c r="G222" s="98" t="s">
        <v>10106</v>
      </c>
      <c r="H222" s="26" t="s">
        <v>448</v>
      </c>
      <c r="I222" s="26" t="s">
        <v>448</v>
      </c>
      <c r="J222" s="26" t="s">
        <v>448</v>
      </c>
      <c r="K222" s="1630" t="s">
        <v>3649</v>
      </c>
      <c r="L222" s="1630" t="s">
        <v>5383</v>
      </c>
      <c r="M222" s="1630" t="s">
        <v>10109</v>
      </c>
      <c r="N222" s="22" t="s">
        <v>4780</v>
      </c>
      <c r="O222" s="1632" t="s">
        <v>1826</v>
      </c>
      <c r="P222" s="1632" t="s">
        <v>111</v>
      </c>
      <c r="Q222" s="1631" t="s">
        <v>1131</v>
      </c>
      <c r="R222" s="54" t="s">
        <v>2224</v>
      </c>
      <c r="S222" s="22" t="s">
        <v>1880</v>
      </c>
      <c r="T222" s="1631" t="s">
        <v>5487</v>
      </c>
      <c r="U222" s="1631" t="s">
        <v>5487</v>
      </c>
      <c r="V222" s="24" t="s">
        <v>10035</v>
      </c>
      <c r="W222" s="271" t="s">
        <v>10113</v>
      </c>
      <c r="X222" s="24" t="s">
        <v>110</v>
      </c>
      <c r="Y222" s="24">
        <v>1</v>
      </c>
      <c r="Z222" s="1632" t="s">
        <v>5710</v>
      </c>
      <c r="AA222" s="1632" t="s">
        <v>111</v>
      </c>
      <c r="AB222" s="96">
        <v>6.98</v>
      </c>
      <c r="AC222" s="96"/>
      <c r="AD222" s="96">
        <v>6.98</v>
      </c>
      <c r="AE222" s="59"/>
      <c r="AF222" s="59"/>
      <c r="AG222" s="35" t="s">
        <v>1104</v>
      </c>
      <c r="AH222" s="202" t="s">
        <v>19</v>
      </c>
      <c r="AI222" s="35" t="s">
        <v>1880</v>
      </c>
      <c r="AJ222" s="54" t="s">
        <v>10036</v>
      </c>
    </row>
    <row r="223" spans="1:36" s="11" customFormat="1" ht="26.25" customHeight="1" x14ac:dyDescent="0.15">
      <c r="A223" s="8">
        <f t="shared" si="0"/>
        <v>221</v>
      </c>
      <c r="B223" s="36" t="s">
        <v>10103</v>
      </c>
      <c r="C223" s="1632" t="s">
        <v>111</v>
      </c>
      <c r="D223" s="1632" t="s">
        <v>111</v>
      </c>
      <c r="E223" s="1632" t="s">
        <v>10318</v>
      </c>
      <c r="F223" s="29" t="s">
        <v>10043</v>
      </c>
      <c r="G223" s="98" t="s">
        <v>10106</v>
      </c>
      <c r="H223" s="26" t="s">
        <v>448</v>
      </c>
      <c r="I223" s="26" t="s">
        <v>448</v>
      </c>
      <c r="J223" s="26" t="s">
        <v>448</v>
      </c>
      <c r="K223" s="1630" t="s">
        <v>3649</v>
      </c>
      <c r="L223" s="1630" t="s">
        <v>5383</v>
      </c>
      <c r="M223" s="1630" t="s">
        <v>10110</v>
      </c>
      <c r="N223" s="22" t="s">
        <v>4780</v>
      </c>
      <c r="O223" s="1632" t="s">
        <v>1826</v>
      </c>
      <c r="P223" s="1632" t="s">
        <v>111</v>
      </c>
      <c r="Q223" s="1631" t="s">
        <v>1131</v>
      </c>
      <c r="R223" s="54" t="s">
        <v>2224</v>
      </c>
      <c r="S223" s="22" t="s">
        <v>1880</v>
      </c>
      <c r="T223" s="1631" t="s">
        <v>5487</v>
      </c>
      <c r="U223" s="1631" t="s">
        <v>5487</v>
      </c>
      <c r="V223" s="24" t="s">
        <v>10035</v>
      </c>
      <c r="W223" s="271" t="s">
        <v>10113</v>
      </c>
      <c r="X223" s="24" t="s">
        <v>110</v>
      </c>
      <c r="Y223" s="24">
        <v>1</v>
      </c>
      <c r="Z223" s="1632" t="s">
        <v>5710</v>
      </c>
      <c r="AA223" s="1632" t="s">
        <v>111</v>
      </c>
      <c r="AB223" s="96">
        <v>6.98</v>
      </c>
      <c r="AC223" s="96"/>
      <c r="AD223" s="96">
        <v>6.98</v>
      </c>
      <c r="AE223" s="59"/>
      <c r="AF223" s="59"/>
      <c r="AG223" s="35" t="s">
        <v>1104</v>
      </c>
      <c r="AH223" s="202" t="s">
        <v>19</v>
      </c>
      <c r="AI223" s="35" t="s">
        <v>1880</v>
      </c>
      <c r="AJ223" s="54" t="s">
        <v>10036</v>
      </c>
    </row>
    <row r="224" spans="1:36" s="11" customFormat="1" ht="26.25" customHeight="1" x14ac:dyDescent="0.15">
      <c r="A224" s="8">
        <f t="shared" si="0"/>
        <v>222</v>
      </c>
      <c r="B224" s="36" t="s">
        <v>10104</v>
      </c>
      <c r="C224" s="1632" t="s">
        <v>111</v>
      </c>
      <c r="D224" s="1632" t="s">
        <v>111</v>
      </c>
      <c r="E224" s="36" t="s">
        <v>10462</v>
      </c>
      <c r="F224" s="29" t="s">
        <v>10043</v>
      </c>
      <c r="G224" s="98" t="s">
        <v>10106</v>
      </c>
      <c r="H224" s="26" t="s">
        <v>448</v>
      </c>
      <c r="I224" s="26" t="s">
        <v>448</v>
      </c>
      <c r="J224" s="26" t="s">
        <v>448</v>
      </c>
      <c r="K224" s="1630" t="s">
        <v>3649</v>
      </c>
      <c r="L224" s="1630" t="s">
        <v>5383</v>
      </c>
      <c r="M224" s="1630" t="s">
        <v>10111</v>
      </c>
      <c r="N224" s="22" t="s">
        <v>4780</v>
      </c>
      <c r="O224" s="1632" t="s">
        <v>2142</v>
      </c>
      <c r="P224" s="1632" t="s">
        <v>111</v>
      </c>
      <c r="Q224" s="1631" t="s">
        <v>4676</v>
      </c>
      <c r="R224" s="54" t="s">
        <v>2224</v>
      </c>
      <c r="S224" s="22" t="s">
        <v>1880</v>
      </c>
      <c r="T224" s="1631" t="s">
        <v>5487</v>
      </c>
      <c r="U224" s="1631" t="s">
        <v>5487</v>
      </c>
      <c r="V224" s="24" t="s">
        <v>10035</v>
      </c>
      <c r="W224" s="271" t="s">
        <v>10113</v>
      </c>
      <c r="X224" s="24" t="s">
        <v>110</v>
      </c>
      <c r="Y224" s="24">
        <v>1</v>
      </c>
      <c r="Z224" s="1632" t="s">
        <v>5710</v>
      </c>
      <c r="AA224" s="1632" t="s">
        <v>111</v>
      </c>
      <c r="AB224" s="96">
        <v>6.98</v>
      </c>
      <c r="AC224" s="96"/>
      <c r="AD224" s="96">
        <v>6.98</v>
      </c>
      <c r="AE224" s="59"/>
      <c r="AF224" s="59"/>
      <c r="AG224" s="35" t="s">
        <v>1104</v>
      </c>
      <c r="AH224" s="202" t="s">
        <v>19</v>
      </c>
      <c r="AI224" s="35" t="s">
        <v>1880</v>
      </c>
      <c r="AJ224" s="54" t="s">
        <v>10036</v>
      </c>
    </row>
    <row r="225" spans="1:36" s="11" customFormat="1" ht="26.25" customHeight="1" x14ac:dyDescent="0.15">
      <c r="A225" s="8">
        <f t="shared" si="0"/>
        <v>223</v>
      </c>
      <c r="B225" s="36" t="s">
        <v>10105</v>
      </c>
      <c r="C225" s="1632" t="s">
        <v>111</v>
      </c>
      <c r="D225" s="1632" t="s">
        <v>111</v>
      </c>
      <c r="E225" s="36" t="s">
        <v>10444</v>
      </c>
      <c r="F225" s="29" t="s">
        <v>10043</v>
      </c>
      <c r="G225" s="98" t="s">
        <v>10106</v>
      </c>
      <c r="H225" s="26" t="s">
        <v>448</v>
      </c>
      <c r="I225" s="26" t="s">
        <v>448</v>
      </c>
      <c r="J225" s="26" t="s">
        <v>448</v>
      </c>
      <c r="K225" s="1630" t="s">
        <v>3649</v>
      </c>
      <c r="L225" s="1630" t="s">
        <v>5383</v>
      </c>
      <c r="M225" s="1630" t="s">
        <v>10112</v>
      </c>
      <c r="N225" s="22" t="s">
        <v>4780</v>
      </c>
      <c r="O225" s="1632" t="s">
        <v>2142</v>
      </c>
      <c r="P225" s="1632" t="s">
        <v>111</v>
      </c>
      <c r="Q225" s="1631" t="s">
        <v>4676</v>
      </c>
      <c r="R225" s="54" t="s">
        <v>2224</v>
      </c>
      <c r="S225" s="22" t="s">
        <v>1880</v>
      </c>
      <c r="T225" s="1631" t="s">
        <v>5487</v>
      </c>
      <c r="U225" s="1631" t="s">
        <v>5487</v>
      </c>
      <c r="V225" s="24" t="s">
        <v>10035</v>
      </c>
      <c r="W225" s="271" t="s">
        <v>10113</v>
      </c>
      <c r="X225" s="24" t="s">
        <v>110</v>
      </c>
      <c r="Y225" s="24">
        <v>1</v>
      </c>
      <c r="Z225" s="1632" t="s">
        <v>5710</v>
      </c>
      <c r="AA225" s="1632" t="s">
        <v>111</v>
      </c>
      <c r="AB225" s="96">
        <v>6.98</v>
      </c>
      <c r="AC225" s="96"/>
      <c r="AD225" s="96">
        <v>6.98</v>
      </c>
      <c r="AE225" s="59"/>
      <c r="AF225" s="59"/>
      <c r="AG225" s="35" t="s">
        <v>1104</v>
      </c>
      <c r="AH225" s="202" t="s">
        <v>19</v>
      </c>
      <c r="AI225" s="35" t="s">
        <v>1880</v>
      </c>
      <c r="AJ225" s="54" t="s">
        <v>10036</v>
      </c>
    </row>
    <row r="226" spans="1:36" s="11" customFormat="1" ht="26.25" customHeight="1" x14ac:dyDescent="0.15">
      <c r="A226" s="8">
        <f t="shared" si="0"/>
        <v>224</v>
      </c>
      <c r="B226" s="36" t="s">
        <v>10037</v>
      </c>
      <c r="C226" s="1612" t="s">
        <v>111</v>
      </c>
      <c r="D226" s="1612" t="s">
        <v>111</v>
      </c>
      <c r="E226" s="1612" t="s">
        <v>10319</v>
      </c>
      <c r="F226" s="29" t="s">
        <v>10044</v>
      </c>
      <c r="G226" s="98" t="s">
        <v>10114</v>
      </c>
      <c r="H226" s="26" t="s">
        <v>448</v>
      </c>
      <c r="I226" s="26" t="s">
        <v>448</v>
      </c>
      <c r="J226" s="26" t="s">
        <v>448</v>
      </c>
      <c r="K226" s="1630" t="s">
        <v>3649</v>
      </c>
      <c r="L226" s="1630" t="s">
        <v>5383</v>
      </c>
      <c r="M226" s="1610" t="s">
        <v>10115</v>
      </c>
      <c r="N226" s="22" t="s">
        <v>4780</v>
      </c>
      <c r="O226" s="1632" t="s">
        <v>1826</v>
      </c>
      <c r="P226" s="1632" t="s">
        <v>111</v>
      </c>
      <c r="Q226" s="1631" t="s">
        <v>1131</v>
      </c>
      <c r="R226" s="54" t="s">
        <v>2224</v>
      </c>
      <c r="S226" s="22" t="s">
        <v>1880</v>
      </c>
      <c r="T226" s="1611" t="s">
        <v>5487</v>
      </c>
      <c r="U226" s="1611" t="s">
        <v>5487</v>
      </c>
      <c r="V226" s="24" t="s">
        <v>10035</v>
      </c>
      <c r="W226" s="271" t="s">
        <v>10113</v>
      </c>
      <c r="X226" s="24" t="s">
        <v>110</v>
      </c>
      <c r="Y226" s="24">
        <v>1</v>
      </c>
      <c r="Z226" s="1632" t="s">
        <v>5710</v>
      </c>
      <c r="AA226" s="1632" t="s">
        <v>111</v>
      </c>
      <c r="AB226" s="30">
        <v>6.98</v>
      </c>
      <c r="AC226" s="30"/>
      <c r="AD226" s="30">
        <v>6.98</v>
      </c>
      <c r="AE226" s="59"/>
      <c r="AF226" s="59"/>
      <c r="AG226" s="35" t="s">
        <v>1104</v>
      </c>
      <c r="AH226" s="202" t="s">
        <v>19</v>
      </c>
      <c r="AI226" s="35" t="s">
        <v>1880</v>
      </c>
      <c r="AJ226" s="54" t="s">
        <v>10036</v>
      </c>
    </row>
    <row r="227" spans="1:36" s="11" customFormat="1" ht="26.25" customHeight="1" x14ac:dyDescent="0.15">
      <c r="A227" s="8">
        <f t="shared" si="0"/>
        <v>225</v>
      </c>
      <c r="B227" s="36" t="s">
        <v>10038</v>
      </c>
      <c r="C227" s="1612" t="s">
        <v>111</v>
      </c>
      <c r="D227" s="1612" t="s">
        <v>111</v>
      </c>
      <c r="E227" s="36" t="s">
        <v>10441</v>
      </c>
      <c r="F227" s="29" t="s">
        <v>10045</v>
      </c>
      <c r="G227" s="98" t="s">
        <v>10116</v>
      </c>
      <c r="H227" s="26" t="s">
        <v>448</v>
      </c>
      <c r="I227" s="26" t="s">
        <v>448</v>
      </c>
      <c r="J227" s="26" t="s">
        <v>448</v>
      </c>
      <c r="K227" s="1630" t="s">
        <v>3649</v>
      </c>
      <c r="L227" s="1630" t="s">
        <v>5383</v>
      </c>
      <c r="M227" s="1610" t="s">
        <v>10117</v>
      </c>
      <c r="N227" s="22" t="s">
        <v>4780</v>
      </c>
      <c r="O227" s="1632" t="s">
        <v>2142</v>
      </c>
      <c r="P227" s="1632" t="s">
        <v>111</v>
      </c>
      <c r="Q227" s="1631" t="s">
        <v>4676</v>
      </c>
      <c r="R227" s="54" t="s">
        <v>2224</v>
      </c>
      <c r="S227" s="22" t="s">
        <v>1880</v>
      </c>
      <c r="T227" s="1611" t="s">
        <v>5487</v>
      </c>
      <c r="U227" s="1611" t="s">
        <v>5487</v>
      </c>
      <c r="V227" s="24" t="s">
        <v>10035</v>
      </c>
      <c r="W227" s="271" t="s">
        <v>10113</v>
      </c>
      <c r="X227" s="24" t="s">
        <v>110</v>
      </c>
      <c r="Y227" s="24">
        <v>1</v>
      </c>
      <c r="Z227" s="1632" t="s">
        <v>5710</v>
      </c>
      <c r="AA227" s="1632" t="s">
        <v>111</v>
      </c>
      <c r="AB227" s="30">
        <v>6.98</v>
      </c>
      <c r="AC227" s="30"/>
      <c r="AD227" s="30">
        <v>6.98</v>
      </c>
      <c r="AE227" s="59"/>
      <c r="AF227" s="59"/>
      <c r="AG227" s="35" t="s">
        <v>1104</v>
      </c>
      <c r="AH227" s="202" t="s">
        <v>19</v>
      </c>
      <c r="AI227" s="35" t="s">
        <v>1880</v>
      </c>
      <c r="AJ227" s="54" t="s">
        <v>10036</v>
      </c>
    </row>
    <row r="228" spans="1:36" s="11" customFormat="1" ht="26.25" customHeight="1" x14ac:dyDescent="0.15">
      <c r="A228" s="8">
        <f t="shared" si="0"/>
        <v>226</v>
      </c>
      <c r="B228" s="36" t="s">
        <v>10039</v>
      </c>
      <c r="C228" s="1612" t="s">
        <v>111</v>
      </c>
      <c r="D228" s="1612" t="s">
        <v>111</v>
      </c>
      <c r="E228" s="36" t="s">
        <v>10514</v>
      </c>
      <c r="F228" s="29" t="s">
        <v>10046</v>
      </c>
      <c r="G228" s="98" t="s">
        <v>10118</v>
      </c>
      <c r="H228" s="26" t="s">
        <v>448</v>
      </c>
      <c r="I228" s="26" t="s">
        <v>448</v>
      </c>
      <c r="J228" s="26" t="s">
        <v>448</v>
      </c>
      <c r="K228" s="1630" t="s">
        <v>3649</v>
      </c>
      <c r="L228" s="1630" t="s">
        <v>5383</v>
      </c>
      <c r="M228" s="1610" t="s">
        <v>10119</v>
      </c>
      <c r="N228" s="22" t="s">
        <v>4780</v>
      </c>
      <c r="O228" s="1632" t="s">
        <v>2142</v>
      </c>
      <c r="P228" s="1632" t="s">
        <v>111</v>
      </c>
      <c r="Q228" s="1631" t="s">
        <v>4676</v>
      </c>
      <c r="R228" s="54" t="s">
        <v>2224</v>
      </c>
      <c r="S228" s="22" t="s">
        <v>1880</v>
      </c>
      <c r="T228" s="1611" t="s">
        <v>5487</v>
      </c>
      <c r="U228" s="1611" t="s">
        <v>5487</v>
      </c>
      <c r="V228" s="24" t="s">
        <v>10035</v>
      </c>
      <c r="W228" s="271" t="s">
        <v>10113</v>
      </c>
      <c r="X228" s="24" t="s">
        <v>110</v>
      </c>
      <c r="Y228" s="24">
        <v>1</v>
      </c>
      <c r="Z228" s="1632" t="s">
        <v>5710</v>
      </c>
      <c r="AA228" s="1632" t="s">
        <v>111</v>
      </c>
      <c r="AB228" s="30">
        <v>6.98</v>
      </c>
      <c r="AC228" s="30"/>
      <c r="AD228" s="30">
        <v>6.98</v>
      </c>
      <c r="AE228" s="59"/>
      <c r="AF228" s="59"/>
      <c r="AG228" s="35" t="s">
        <v>1104</v>
      </c>
      <c r="AH228" s="202" t="s">
        <v>19</v>
      </c>
      <c r="AI228" s="35" t="s">
        <v>1880</v>
      </c>
      <c r="AJ228" s="54" t="s">
        <v>10036</v>
      </c>
    </row>
    <row r="229" spans="1:36" s="11" customFormat="1" ht="26.25" customHeight="1" x14ac:dyDescent="0.15">
      <c r="A229" s="8">
        <f t="shared" si="0"/>
        <v>227</v>
      </c>
      <c r="B229" s="36" t="s">
        <v>10120</v>
      </c>
      <c r="C229" s="1612" t="s">
        <v>111</v>
      </c>
      <c r="D229" s="1612" t="s">
        <v>111</v>
      </c>
      <c r="E229" s="36" t="s">
        <v>10503</v>
      </c>
      <c r="F229" s="29" t="s">
        <v>10047</v>
      </c>
      <c r="G229" s="98" t="s">
        <v>10122</v>
      </c>
      <c r="H229" s="26" t="s">
        <v>448</v>
      </c>
      <c r="I229" s="26" t="s">
        <v>448</v>
      </c>
      <c r="J229" s="26" t="s">
        <v>448</v>
      </c>
      <c r="K229" s="1630" t="s">
        <v>3649</v>
      </c>
      <c r="L229" s="1630" t="s">
        <v>5383</v>
      </c>
      <c r="M229" s="1610" t="s">
        <v>10123</v>
      </c>
      <c r="N229" s="22" t="s">
        <v>4780</v>
      </c>
      <c r="O229" s="1632" t="s">
        <v>2142</v>
      </c>
      <c r="P229" s="1632" t="s">
        <v>111</v>
      </c>
      <c r="Q229" s="1631" t="s">
        <v>4676</v>
      </c>
      <c r="R229" s="54" t="s">
        <v>2224</v>
      </c>
      <c r="S229" s="22" t="s">
        <v>1880</v>
      </c>
      <c r="T229" s="1611" t="s">
        <v>5487</v>
      </c>
      <c r="U229" s="1611" t="s">
        <v>5487</v>
      </c>
      <c r="V229" s="24" t="s">
        <v>10035</v>
      </c>
      <c r="W229" s="271" t="s">
        <v>10113</v>
      </c>
      <c r="X229" s="24" t="s">
        <v>110</v>
      </c>
      <c r="Y229" s="24">
        <v>1</v>
      </c>
      <c r="Z229" s="1632" t="s">
        <v>5710</v>
      </c>
      <c r="AA229" s="1632" t="s">
        <v>111</v>
      </c>
      <c r="AB229" s="30">
        <v>6.98</v>
      </c>
      <c r="AC229" s="30"/>
      <c r="AD229" s="30">
        <v>6.98</v>
      </c>
      <c r="AE229" s="59"/>
      <c r="AF229" s="59"/>
      <c r="AG229" s="35" t="s">
        <v>1104</v>
      </c>
      <c r="AH229" s="202" t="s">
        <v>19</v>
      </c>
      <c r="AI229" s="35" t="s">
        <v>1880</v>
      </c>
      <c r="AJ229" s="54" t="s">
        <v>10036</v>
      </c>
    </row>
    <row r="230" spans="1:36" s="11" customFormat="1" ht="26.25" customHeight="1" x14ac:dyDescent="0.15">
      <c r="A230" s="8">
        <f t="shared" si="0"/>
        <v>228</v>
      </c>
      <c r="B230" s="36" t="s">
        <v>10121</v>
      </c>
      <c r="C230" s="1632" t="s">
        <v>111</v>
      </c>
      <c r="D230" s="1632" t="s">
        <v>111</v>
      </c>
      <c r="E230" s="36" t="s">
        <v>10457</v>
      </c>
      <c r="F230" s="29" t="s">
        <v>10047</v>
      </c>
      <c r="G230" s="98" t="s">
        <v>10122</v>
      </c>
      <c r="H230" s="26" t="s">
        <v>448</v>
      </c>
      <c r="I230" s="26" t="s">
        <v>448</v>
      </c>
      <c r="J230" s="26" t="s">
        <v>448</v>
      </c>
      <c r="K230" s="1630" t="s">
        <v>3649</v>
      </c>
      <c r="L230" s="1630" t="s">
        <v>5383</v>
      </c>
      <c r="M230" s="1630" t="s">
        <v>10124</v>
      </c>
      <c r="N230" s="22" t="s">
        <v>4780</v>
      </c>
      <c r="O230" s="1632" t="s">
        <v>2142</v>
      </c>
      <c r="P230" s="1632" t="s">
        <v>111</v>
      </c>
      <c r="Q230" s="1631" t="s">
        <v>4676</v>
      </c>
      <c r="R230" s="54" t="s">
        <v>2224</v>
      </c>
      <c r="S230" s="22" t="s">
        <v>1880</v>
      </c>
      <c r="T230" s="1631" t="s">
        <v>5487</v>
      </c>
      <c r="U230" s="1631" t="s">
        <v>5487</v>
      </c>
      <c r="V230" s="24" t="s">
        <v>10035</v>
      </c>
      <c r="W230" s="271" t="s">
        <v>10113</v>
      </c>
      <c r="X230" s="24" t="s">
        <v>110</v>
      </c>
      <c r="Y230" s="24">
        <v>1</v>
      </c>
      <c r="Z230" s="1632" t="s">
        <v>5710</v>
      </c>
      <c r="AA230" s="1632" t="s">
        <v>111</v>
      </c>
      <c r="AB230" s="30">
        <v>6.98</v>
      </c>
      <c r="AC230" s="30"/>
      <c r="AD230" s="30">
        <v>6.98</v>
      </c>
      <c r="AE230" s="59"/>
      <c r="AF230" s="59"/>
      <c r="AG230" s="35" t="s">
        <v>1104</v>
      </c>
      <c r="AH230" s="202" t="s">
        <v>19</v>
      </c>
      <c r="AI230" s="35" t="s">
        <v>1880</v>
      </c>
      <c r="AJ230" s="54" t="s">
        <v>10036</v>
      </c>
    </row>
    <row r="231" spans="1:36" s="11" customFormat="1" ht="26.25" customHeight="1" x14ac:dyDescent="0.15">
      <c r="A231" s="8">
        <f t="shared" si="0"/>
        <v>229</v>
      </c>
      <c r="B231" s="36" t="s">
        <v>10040</v>
      </c>
      <c r="C231" s="1612" t="s">
        <v>111</v>
      </c>
      <c r="D231" s="1612" t="s">
        <v>111</v>
      </c>
      <c r="E231" s="1612" t="s">
        <v>111</v>
      </c>
      <c r="F231" s="29" t="s">
        <v>6028</v>
      </c>
      <c r="G231" s="99" t="s">
        <v>8961</v>
      </c>
      <c r="H231" s="26" t="s">
        <v>448</v>
      </c>
      <c r="I231" s="26" t="s">
        <v>448</v>
      </c>
      <c r="J231" s="26" t="s">
        <v>448</v>
      </c>
      <c r="K231" s="1639" t="s">
        <v>4195</v>
      </c>
      <c r="L231" s="1639" t="s">
        <v>4945</v>
      </c>
      <c r="M231" s="1639" t="s">
        <v>4946</v>
      </c>
      <c r="N231" s="22" t="s">
        <v>6439</v>
      </c>
      <c r="O231" s="22" t="s">
        <v>1826</v>
      </c>
      <c r="P231" s="1641" t="s">
        <v>111</v>
      </c>
      <c r="Q231" s="1640" t="s">
        <v>1818</v>
      </c>
      <c r="R231" s="54" t="s">
        <v>116</v>
      </c>
      <c r="S231" s="1641" t="s">
        <v>111</v>
      </c>
      <c r="T231" s="1640" t="s">
        <v>5489</v>
      </c>
      <c r="U231" s="1640" t="s">
        <v>5489</v>
      </c>
      <c r="V231" s="24" t="s">
        <v>9152</v>
      </c>
      <c r="W231" s="499"/>
      <c r="X231" s="484"/>
      <c r="Y231" s="484"/>
      <c r="Z231" s="24" t="s">
        <v>10096</v>
      </c>
      <c r="AA231" s="24" t="s">
        <v>10136</v>
      </c>
      <c r="AB231" s="30"/>
      <c r="AC231" s="30">
        <v>6</v>
      </c>
      <c r="AD231" s="30">
        <v>6</v>
      </c>
      <c r="AE231" s="59"/>
      <c r="AF231" s="59"/>
      <c r="AG231" s="35" t="s">
        <v>1104</v>
      </c>
      <c r="AH231" s="202" t="s">
        <v>19</v>
      </c>
      <c r="AI231" s="35" t="s">
        <v>1880</v>
      </c>
      <c r="AJ231" s="54" t="s">
        <v>10041</v>
      </c>
    </row>
    <row r="232" spans="1:36" s="11" customFormat="1" ht="26.25" customHeight="1" x14ac:dyDescent="0.15">
      <c r="A232" s="8">
        <f t="shared" si="0"/>
        <v>230</v>
      </c>
      <c r="B232" s="36" t="s">
        <v>10049</v>
      </c>
      <c r="C232" s="71" t="s">
        <v>10057</v>
      </c>
      <c r="D232" s="1614" t="s">
        <v>111</v>
      </c>
      <c r="E232" s="611" t="s">
        <v>10321</v>
      </c>
      <c r="F232" s="29" t="s">
        <v>7807</v>
      </c>
      <c r="G232" s="53" t="s">
        <v>7811</v>
      </c>
      <c r="H232" s="26" t="s">
        <v>448</v>
      </c>
      <c r="I232" s="26" t="s">
        <v>448</v>
      </c>
      <c r="J232" s="26" t="s">
        <v>448</v>
      </c>
      <c r="K232" s="1615" t="s">
        <v>3649</v>
      </c>
      <c r="L232" s="1615" t="s">
        <v>4750</v>
      </c>
      <c r="M232" s="1615" t="s">
        <v>10065</v>
      </c>
      <c r="N232" s="22" t="s">
        <v>4780</v>
      </c>
      <c r="O232" s="1615" t="s">
        <v>5478</v>
      </c>
      <c r="P232" s="1616" t="s">
        <v>111</v>
      </c>
      <c r="Q232" s="1615" t="s">
        <v>4676</v>
      </c>
      <c r="R232" s="54" t="s">
        <v>10072</v>
      </c>
      <c r="S232" s="22" t="s">
        <v>1880</v>
      </c>
      <c r="T232" s="1613" t="s">
        <v>5487</v>
      </c>
      <c r="U232" s="1613" t="s">
        <v>5487</v>
      </c>
      <c r="V232" s="24" t="s">
        <v>9217</v>
      </c>
      <c r="W232" s="90" t="s">
        <v>10048</v>
      </c>
      <c r="X232" s="24" t="s">
        <v>110</v>
      </c>
      <c r="Y232" s="24">
        <v>1</v>
      </c>
      <c r="Z232" s="24" t="s">
        <v>6842</v>
      </c>
      <c r="AA232" s="24" t="s">
        <v>448</v>
      </c>
      <c r="AB232" s="30">
        <v>40</v>
      </c>
      <c r="AC232" s="30"/>
      <c r="AD232" s="30">
        <v>40</v>
      </c>
      <c r="AE232" s="59"/>
      <c r="AF232" s="59"/>
      <c r="AG232" s="35" t="s">
        <v>1104</v>
      </c>
      <c r="AH232" s="202" t="s">
        <v>19</v>
      </c>
      <c r="AI232" s="35" t="s">
        <v>1880</v>
      </c>
      <c r="AJ232" s="1611"/>
    </row>
    <row r="233" spans="1:36" s="11" customFormat="1" ht="26.25" customHeight="1" x14ac:dyDescent="0.15">
      <c r="A233" s="8">
        <f t="shared" si="0"/>
        <v>231</v>
      </c>
      <c r="B233" s="36" t="s">
        <v>10050</v>
      </c>
      <c r="C233" s="71" t="s">
        <v>10058</v>
      </c>
      <c r="D233" s="1616" t="s">
        <v>111</v>
      </c>
      <c r="E233" s="1616" t="s">
        <v>111</v>
      </c>
      <c r="F233" s="29" t="s">
        <v>7807</v>
      </c>
      <c r="G233" s="53" t="s">
        <v>7811</v>
      </c>
      <c r="H233" s="26" t="s">
        <v>448</v>
      </c>
      <c r="I233" s="26" t="s">
        <v>448</v>
      </c>
      <c r="J233" s="26" t="s">
        <v>448</v>
      </c>
      <c r="K233" s="1615" t="s">
        <v>3649</v>
      </c>
      <c r="L233" s="1615" t="s">
        <v>4750</v>
      </c>
      <c r="M233" s="1615" t="s">
        <v>10066</v>
      </c>
      <c r="N233" s="22" t="s">
        <v>4780</v>
      </c>
      <c r="O233" s="1615" t="s">
        <v>5431</v>
      </c>
      <c r="P233" s="1616" t="s">
        <v>111</v>
      </c>
      <c r="Q233" s="1615" t="s">
        <v>1131</v>
      </c>
      <c r="R233" s="54" t="s">
        <v>10073</v>
      </c>
      <c r="S233" s="22" t="s">
        <v>1880</v>
      </c>
      <c r="T233" s="1615" t="s">
        <v>5487</v>
      </c>
      <c r="U233" s="1615" t="s">
        <v>5487</v>
      </c>
      <c r="V233" s="24" t="s">
        <v>9217</v>
      </c>
      <c r="W233" s="90" t="s">
        <v>10048</v>
      </c>
      <c r="X233" s="24" t="s">
        <v>110</v>
      </c>
      <c r="Y233" s="24">
        <v>1</v>
      </c>
      <c r="Z233" s="24" t="s">
        <v>6842</v>
      </c>
      <c r="AA233" s="24" t="s">
        <v>448</v>
      </c>
      <c r="AB233" s="30">
        <v>145.9</v>
      </c>
      <c r="AC233" s="30"/>
      <c r="AD233" s="30">
        <v>145.9</v>
      </c>
      <c r="AE233" s="59"/>
      <c r="AF233" s="59"/>
      <c r="AG233" s="35" t="s">
        <v>1104</v>
      </c>
      <c r="AH233" s="202" t="s">
        <v>19</v>
      </c>
      <c r="AI233" s="35" t="s">
        <v>1880</v>
      </c>
      <c r="AJ233" s="1611"/>
    </row>
    <row r="234" spans="1:36" s="11" customFormat="1" ht="42.75" customHeight="1" x14ac:dyDescent="0.15">
      <c r="A234" s="8">
        <f t="shared" si="0"/>
        <v>232</v>
      </c>
      <c r="B234" s="36" t="s">
        <v>10051</v>
      </c>
      <c r="C234" s="71" t="s">
        <v>10059</v>
      </c>
      <c r="D234" s="1616" t="s">
        <v>111</v>
      </c>
      <c r="E234" s="1671" t="s">
        <v>10734</v>
      </c>
      <c r="F234" s="29" t="s">
        <v>7807</v>
      </c>
      <c r="G234" s="53" t="s">
        <v>7811</v>
      </c>
      <c r="H234" s="26" t="s">
        <v>448</v>
      </c>
      <c r="I234" s="26" t="s">
        <v>448</v>
      </c>
      <c r="J234" s="26" t="s">
        <v>448</v>
      </c>
      <c r="K234" s="1615" t="s">
        <v>3649</v>
      </c>
      <c r="L234" s="1615" t="s">
        <v>4750</v>
      </c>
      <c r="M234" s="1615" t="s">
        <v>10067</v>
      </c>
      <c r="N234" s="22" t="s">
        <v>4780</v>
      </c>
      <c r="O234" s="1615" t="s">
        <v>5478</v>
      </c>
      <c r="P234" s="1616" t="s">
        <v>111</v>
      </c>
      <c r="Q234" s="1615" t="s">
        <v>4676</v>
      </c>
      <c r="R234" s="54" t="s">
        <v>10072</v>
      </c>
      <c r="S234" s="22" t="s">
        <v>1880</v>
      </c>
      <c r="T234" s="1615" t="s">
        <v>5487</v>
      </c>
      <c r="U234" s="1615" t="s">
        <v>5487</v>
      </c>
      <c r="V234" s="24" t="s">
        <v>9217</v>
      </c>
      <c r="W234" s="90" t="s">
        <v>10048</v>
      </c>
      <c r="X234" s="24" t="s">
        <v>110</v>
      </c>
      <c r="Y234" s="24">
        <v>1</v>
      </c>
      <c r="Z234" s="24" t="s">
        <v>6842</v>
      </c>
      <c r="AA234" s="24" t="s">
        <v>448</v>
      </c>
      <c r="AB234" s="30">
        <v>45.3</v>
      </c>
      <c r="AC234" s="30"/>
      <c r="AD234" s="30">
        <v>45.3</v>
      </c>
      <c r="AE234" s="59"/>
      <c r="AF234" s="59"/>
      <c r="AG234" s="35" t="s">
        <v>1104</v>
      </c>
      <c r="AH234" s="202" t="s">
        <v>19</v>
      </c>
      <c r="AI234" s="35" t="s">
        <v>1880</v>
      </c>
      <c r="AJ234" s="1611"/>
    </row>
    <row r="235" spans="1:36" s="11" customFormat="1" ht="43.5" customHeight="1" x14ac:dyDescent="0.15">
      <c r="A235" s="8">
        <f t="shared" si="0"/>
        <v>233</v>
      </c>
      <c r="B235" s="36" t="s">
        <v>10052</v>
      </c>
      <c r="C235" s="71" t="s">
        <v>10060</v>
      </c>
      <c r="D235" s="1616" t="s">
        <v>111</v>
      </c>
      <c r="E235" s="1749" t="s">
        <v>10938</v>
      </c>
      <c r="F235" s="29" t="s">
        <v>7807</v>
      </c>
      <c r="G235" s="53" t="s">
        <v>7811</v>
      </c>
      <c r="H235" s="26" t="s">
        <v>448</v>
      </c>
      <c r="I235" s="26" t="s">
        <v>448</v>
      </c>
      <c r="J235" s="26" t="s">
        <v>448</v>
      </c>
      <c r="K235" s="1615" t="s">
        <v>3649</v>
      </c>
      <c r="L235" s="1615" t="s">
        <v>4750</v>
      </c>
      <c r="M235" s="1615" t="s">
        <v>10075</v>
      </c>
      <c r="N235" s="22" t="s">
        <v>4780</v>
      </c>
      <c r="O235" s="1615" t="s">
        <v>5431</v>
      </c>
      <c r="P235" s="1616" t="s">
        <v>111</v>
      </c>
      <c r="Q235" s="1615" t="s">
        <v>1131</v>
      </c>
      <c r="R235" s="54" t="s">
        <v>10074</v>
      </c>
      <c r="S235" s="22" t="s">
        <v>1880</v>
      </c>
      <c r="T235" s="1615" t="s">
        <v>5487</v>
      </c>
      <c r="U235" s="1615" t="s">
        <v>5487</v>
      </c>
      <c r="V235" s="24" t="s">
        <v>9217</v>
      </c>
      <c r="W235" s="90" t="s">
        <v>10048</v>
      </c>
      <c r="X235" s="24" t="s">
        <v>110</v>
      </c>
      <c r="Y235" s="24">
        <v>1</v>
      </c>
      <c r="Z235" s="24" t="s">
        <v>6842</v>
      </c>
      <c r="AA235" s="24" t="s">
        <v>448</v>
      </c>
      <c r="AB235" s="30">
        <v>100.55</v>
      </c>
      <c r="AC235" s="30"/>
      <c r="AD235" s="30">
        <v>100.55</v>
      </c>
      <c r="AE235" s="59"/>
      <c r="AF235" s="59"/>
      <c r="AG235" s="35" t="s">
        <v>1104</v>
      </c>
      <c r="AH235" s="202" t="s">
        <v>19</v>
      </c>
      <c r="AI235" s="35" t="s">
        <v>1880</v>
      </c>
      <c r="AJ235" s="1611"/>
    </row>
    <row r="236" spans="1:36" s="11" customFormat="1" ht="26.25" customHeight="1" x14ac:dyDescent="0.15">
      <c r="A236" s="8">
        <f t="shared" si="0"/>
        <v>234</v>
      </c>
      <c r="B236" s="36" t="s">
        <v>10053</v>
      </c>
      <c r="C236" s="71" t="s">
        <v>10061</v>
      </c>
      <c r="D236" s="1616" t="s">
        <v>111</v>
      </c>
      <c r="E236" s="1749" t="s">
        <v>10782</v>
      </c>
      <c r="F236" s="29" t="s">
        <v>7807</v>
      </c>
      <c r="G236" s="53" t="s">
        <v>7811</v>
      </c>
      <c r="H236" s="26" t="s">
        <v>448</v>
      </c>
      <c r="I236" s="26" t="s">
        <v>448</v>
      </c>
      <c r="J236" s="26" t="s">
        <v>448</v>
      </c>
      <c r="K236" s="1615" t="s">
        <v>3649</v>
      </c>
      <c r="L236" s="1615" t="s">
        <v>4750</v>
      </c>
      <c r="M236" s="1615" t="s">
        <v>10068</v>
      </c>
      <c r="N236" s="22" t="s">
        <v>4780</v>
      </c>
      <c r="O236" s="1615" t="s">
        <v>5431</v>
      </c>
      <c r="P236" s="1616" t="s">
        <v>111</v>
      </c>
      <c r="Q236" s="1615" t="s">
        <v>1131</v>
      </c>
      <c r="R236" s="54" t="s">
        <v>10073</v>
      </c>
      <c r="S236" s="22" t="s">
        <v>1880</v>
      </c>
      <c r="T236" s="1615" t="s">
        <v>5487</v>
      </c>
      <c r="U236" s="1615" t="s">
        <v>5487</v>
      </c>
      <c r="V236" s="24" t="s">
        <v>9217</v>
      </c>
      <c r="W236" s="90" t="s">
        <v>10048</v>
      </c>
      <c r="X236" s="24" t="s">
        <v>110</v>
      </c>
      <c r="Y236" s="24">
        <v>1</v>
      </c>
      <c r="Z236" s="24" t="s">
        <v>6842</v>
      </c>
      <c r="AA236" s="24" t="s">
        <v>448</v>
      </c>
      <c r="AB236" s="30">
        <v>179.44800000000001</v>
      </c>
      <c r="AC236" s="30"/>
      <c r="AD236" s="30">
        <v>179.44800000000001</v>
      </c>
      <c r="AE236" s="59"/>
      <c r="AF236" s="59"/>
      <c r="AG236" s="35" t="s">
        <v>1104</v>
      </c>
      <c r="AH236" s="202" t="s">
        <v>19</v>
      </c>
      <c r="AI236" s="35" t="s">
        <v>1880</v>
      </c>
      <c r="AJ236" s="1611"/>
    </row>
    <row r="237" spans="1:36" s="11" customFormat="1" ht="26.25" customHeight="1" x14ac:dyDescent="0.15">
      <c r="A237" s="8">
        <f t="shared" si="0"/>
        <v>235</v>
      </c>
      <c r="B237" s="36" t="s">
        <v>10054</v>
      </c>
      <c r="C237" s="71" t="s">
        <v>10062</v>
      </c>
      <c r="D237" s="1616" t="s">
        <v>111</v>
      </c>
      <c r="E237" s="36" t="s">
        <v>11046</v>
      </c>
      <c r="F237" s="29" t="s">
        <v>7807</v>
      </c>
      <c r="G237" s="53" t="s">
        <v>7811</v>
      </c>
      <c r="H237" s="26" t="s">
        <v>448</v>
      </c>
      <c r="I237" s="26" t="s">
        <v>448</v>
      </c>
      <c r="J237" s="26" t="s">
        <v>448</v>
      </c>
      <c r="K237" s="1615" t="s">
        <v>3649</v>
      </c>
      <c r="L237" s="1615" t="s">
        <v>4750</v>
      </c>
      <c r="M237" s="1615" t="s">
        <v>10069</v>
      </c>
      <c r="N237" s="22" t="s">
        <v>4780</v>
      </c>
      <c r="O237" s="1615" t="s">
        <v>5478</v>
      </c>
      <c r="P237" s="1616" t="s">
        <v>111</v>
      </c>
      <c r="Q237" s="1615" t="s">
        <v>4676</v>
      </c>
      <c r="R237" s="54" t="s">
        <v>1886</v>
      </c>
      <c r="S237" s="22" t="s">
        <v>1880</v>
      </c>
      <c r="T237" s="1615" t="s">
        <v>5487</v>
      </c>
      <c r="U237" s="1615" t="s">
        <v>5487</v>
      </c>
      <c r="V237" s="24" t="s">
        <v>9217</v>
      </c>
      <c r="W237" s="90" t="s">
        <v>10048</v>
      </c>
      <c r="X237" s="24" t="s">
        <v>110</v>
      </c>
      <c r="Y237" s="24">
        <v>1</v>
      </c>
      <c r="Z237" s="24" t="s">
        <v>5710</v>
      </c>
      <c r="AA237" s="24" t="s">
        <v>448</v>
      </c>
      <c r="AB237" s="30">
        <v>39.856000000000002</v>
      </c>
      <c r="AC237" s="30"/>
      <c r="AD237" s="30">
        <v>39.856000000000002</v>
      </c>
      <c r="AE237" s="59"/>
      <c r="AF237" s="59"/>
      <c r="AG237" s="35" t="s">
        <v>1104</v>
      </c>
      <c r="AH237" s="202" t="s">
        <v>19</v>
      </c>
      <c r="AI237" s="35" t="s">
        <v>1880</v>
      </c>
      <c r="AJ237" s="1611"/>
    </row>
    <row r="238" spans="1:36" s="11" customFormat="1" ht="26.25" customHeight="1" x14ac:dyDescent="0.15">
      <c r="A238" s="8">
        <f t="shared" si="0"/>
        <v>236</v>
      </c>
      <c r="B238" s="36" t="s">
        <v>10055</v>
      </c>
      <c r="C238" s="71" t="s">
        <v>10063</v>
      </c>
      <c r="D238" s="1616" t="s">
        <v>111</v>
      </c>
      <c r="E238" s="36" t="s">
        <v>11047</v>
      </c>
      <c r="F238" s="29" t="s">
        <v>7807</v>
      </c>
      <c r="G238" s="53" t="s">
        <v>7811</v>
      </c>
      <c r="H238" s="26" t="s">
        <v>448</v>
      </c>
      <c r="I238" s="26" t="s">
        <v>448</v>
      </c>
      <c r="J238" s="26" t="s">
        <v>448</v>
      </c>
      <c r="K238" s="1615" t="s">
        <v>3649</v>
      </c>
      <c r="L238" s="1615" t="s">
        <v>4750</v>
      </c>
      <c r="M238" s="1615" t="s">
        <v>10070</v>
      </c>
      <c r="N238" s="22" t="s">
        <v>4780</v>
      </c>
      <c r="O238" s="1615" t="s">
        <v>5478</v>
      </c>
      <c r="P238" s="1616" t="s">
        <v>111</v>
      </c>
      <c r="Q238" s="1615" t="s">
        <v>4676</v>
      </c>
      <c r="R238" s="54" t="s">
        <v>1886</v>
      </c>
      <c r="S238" s="22" t="s">
        <v>1880</v>
      </c>
      <c r="T238" s="1615" t="s">
        <v>5487</v>
      </c>
      <c r="U238" s="1615" t="s">
        <v>5487</v>
      </c>
      <c r="V238" s="24" t="s">
        <v>9217</v>
      </c>
      <c r="W238" s="90" t="s">
        <v>10048</v>
      </c>
      <c r="X238" s="24" t="s">
        <v>110</v>
      </c>
      <c r="Y238" s="24">
        <v>1</v>
      </c>
      <c r="Z238" s="24" t="s">
        <v>5710</v>
      </c>
      <c r="AA238" s="24" t="s">
        <v>448</v>
      </c>
      <c r="AB238" s="30">
        <v>39.856000000000002</v>
      </c>
      <c r="AC238" s="30"/>
      <c r="AD238" s="30">
        <v>39.856000000000002</v>
      </c>
      <c r="AE238" s="59"/>
      <c r="AF238" s="59"/>
      <c r="AG238" s="35" t="s">
        <v>1104</v>
      </c>
      <c r="AH238" s="202" t="s">
        <v>19</v>
      </c>
      <c r="AI238" s="35" t="s">
        <v>1880</v>
      </c>
      <c r="AJ238" s="1585"/>
    </row>
    <row r="239" spans="1:36" s="11" customFormat="1" ht="26.25" customHeight="1" x14ac:dyDescent="0.15">
      <c r="A239" s="8">
        <f t="shared" si="0"/>
        <v>237</v>
      </c>
      <c r="B239" s="36" t="s">
        <v>10056</v>
      </c>
      <c r="C239" s="71" t="s">
        <v>10064</v>
      </c>
      <c r="D239" s="1616" t="s">
        <v>111</v>
      </c>
      <c r="E239" s="1671" t="s">
        <v>10322</v>
      </c>
      <c r="F239" s="29" t="s">
        <v>7807</v>
      </c>
      <c r="G239" s="53" t="s">
        <v>7811</v>
      </c>
      <c r="H239" s="26" t="s">
        <v>448</v>
      </c>
      <c r="I239" s="26" t="s">
        <v>448</v>
      </c>
      <c r="J239" s="26" t="s">
        <v>448</v>
      </c>
      <c r="K239" s="1615" t="s">
        <v>3649</v>
      </c>
      <c r="L239" s="1615" t="s">
        <v>4750</v>
      </c>
      <c r="M239" s="1615" t="s">
        <v>10071</v>
      </c>
      <c r="N239" s="22" t="s">
        <v>4780</v>
      </c>
      <c r="O239" s="1615" t="s">
        <v>5478</v>
      </c>
      <c r="P239" s="1616" t="s">
        <v>111</v>
      </c>
      <c r="Q239" s="1615" t="s">
        <v>4676</v>
      </c>
      <c r="R239" s="54" t="s">
        <v>10072</v>
      </c>
      <c r="S239" s="22" t="s">
        <v>1880</v>
      </c>
      <c r="T239" s="1615" t="s">
        <v>5487</v>
      </c>
      <c r="U239" s="1615" t="s">
        <v>5487</v>
      </c>
      <c r="V239" s="24" t="s">
        <v>9217</v>
      </c>
      <c r="W239" s="90" t="s">
        <v>10048</v>
      </c>
      <c r="X239" s="24" t="s">
        <v>110</v>
      </c>
      <c r="Y239" s="24">
        <v>1</v>
      </c>
      <c r="Z239" s="24" t="s">
        <v>6842</v>
      </c>
      <c r="AA239" s="24" t="s">
        <v>448</v>
      </c>
      <c r="AB239" s="30">
        <v>43</v>
      </c>
      <c r="AC239" s="30"/>
      <c r="AD239" s="30">
        <v>43</v>
      </c>
      <c r="AE239" s="59"/>
      <c r="AF239" s="59"/>
      <c r="AG239" s="35" t="s">
        <v>1104</v>
      </c>
      <c r="AH239" s="202" t="s">
        <v>19</v>
      </c>
      <c r="AI239" s="35" t="s">
        <v>1880</v>
      </c>
      <c r="AJ239" s="1615"/>
    </row>
    <row r="240" spans="1:36" s="11" customFormat="1" ht="26.25" customHeight="1" x14ac:dyDescent="0.15">
      <c r="A240" s="8">
        <f t="shared" si="0"/>
        <v>238</v>
      </c>
      <c r="B240" s="36" t="s">
        <v>10085</v>
      </c>
      <c r="C240" s="71" t="s">
        <v>10087</v>
      </c>
      <c r="D240" s="1626" t="s">
        <v>111</v>
      </c>
      <c r="E240" s="1626" t="s">
        <v>111</v>
      </c>
      <c r="F240" s="29" t="s">
        <v>10090</v>
      </c>
      <c r="G240" s="53" t="s">
        <v>10089</v>
      </c>
      <c r="H240" s="26" t="s">
        <v>448</v>
      </c>
      <c r="I240" s="26" t="s">
        <v>448</v>
      </c>
      <c r="J240" s="26" t="s">
        <v>448</v>
      </c>
      <c r="K240" s="1625" t="s">
        <v>3649</v>
      </c>
      <c r="L240" s="1625" t="s">
        <v>4750</v>
      </c>
      <c r="M240" s="1625" t="s">
        <v>10088</v>
      </c>
      <c r="N240" s="22" t="s">
        <v>4780</v>
      </c>
      <c r="O240" s="1624" t="s">
        <v>5431</v>
      </c>
      <c r="P240" s="1626" t="s">
        <v>111</v>
      </c>
      <c r="Q240" s="1625" t="s">
        <v>1131</v>
      </c>
      <c r="R240" s="54" t="s">
        <v>2210</v>
      </c>
      <c r="S240" s="22" t="s">
        <v>1880</v>
      </c>
      <c r="T240" s="1625" t="s">
        <v>5487</v>
      </c>
      <c r="U240" s="1625" t="s">
        <v>5487</v>
      </c>
      <c r="V240" s="24" t="s">
        <v>10086</v>
      </c>
      <c r="W240" s="90" t="s">
        <v>10091</v>
      </c>
      <c r="X240" s="24" t="s">
        <v>108</v>
      </c>
      <c r="Y240" s="10">
        <v>1</v>
      </c>
      <c r="Z240" s="24" t="s">
        <v>448</v>
      </c>
      <c r="AA240" s="24" t="s">
        <v>448</v>
      </c>
      <c r="AB240" s="30">
        <v>201.88800000000001</v>
      </c>
      <c r="AC240" s="30"/>
      <c r="AD240" s="30">
        <v>201.88800000000001</v>
      </c>
      <c r="AE240" s="59"/>
      <c r="AF240" s="59"/>
      <c r="AG240" s="35" t="s">
        <v>1104</v>
      </c>
      <c r="AH240" s="202" t="s">
        <v>19</v>
      </c>
      <c r="AI240" s="35" t="s">
        <v>1880</v>
      </c>
      <c r="AJ240" s="1623"/>
    </row>
    <row r="241" spans="1:36" s="11" customFormat="1" ht="26.25" customHeight="1" x14ac:dyDescent="0.15">
      <c r="A241" s="8">
        <f t="shared" si="0"/>
        <v>239</v>
      </c>
      <c r="B241" s="36" t="s">
        <v>10092</v>
      </c>
      <c r="C241" s="1626" t="s">
        <v>111</v>
      </c>
      <c r="D241" s="1626" t="s">
        <v>10645</v>
      </c>
      <c r="E241" s="1626" t="s">
        <v>111</v>
      </c>
      <c r="F241" s="29" t="s">
        <v>10093</v>
      </c>
      <c r="G241" s="53" t="s">
        <v>10094</v>
      </c>
      <c r="H241" s="26" t="s">
        <v>448</v>
      </c>
      <c r="I241" s="26" t="s">
        <v>448</v>
      </c>
      <c r="J241" s="26" t="s">
        <v>448</v>
      </c>
      <c r="K241" s="1461" t="s">
        <v>23</v>
      </c>
      <c r="L241" s="1461" t="s">
        <v>151</v>
      </c>
      <c r="M241" s="1461" t="s">
        <v>10095</v>
      </c>
      <c r="N241" s="22" t="s">
        <v>4780</v>
      </c>
      <c r="O241" s="1626" t="s">
        <v>5431</v>
      </c>
      <c r="P241" s="1626" t="s">
        <v>111</v>
      </c>
      <c r="Q241" s="1625" t="s">
        <v>1131</v>
      </c>
      <c r="R241" s="54" t="s">
        <v>116</v>
      </c>
      <c r="S241" s="22" t="s">
        <v>1880</v>
      </c>
      <c r="T241" s="1623" t="s">
        <v>5489</v>
      </c>
      <c r="U241" s="1625" t="s">
        <v>5489</v>
      </c>
      <c r="V241" s="24" t="s">
        <v>10086</v>
      </c>
      <c r="W241" s="90" t="s">
        <v>10096</v>
      </c>
      <c r="X241" s="24" t="s">
        <v>110</v>
      </c>
      <c r="Y241" s="24">
        <v>1</v>
      </c>
      <c r="Z241" s="24" t="s">
        <v>10097</v>
      </c>
      <c r="AA241" s="24" t="s">
        <v>10098</v>
      </c>
      <c r="AB241" s="30"/>
      <c r="AC241" s="30">
        <v>3.8</v>
      </c>
      <c r="AD241" s="30">
        <v>3.8</v>
      </c>
      <c r="AE241" s="59"/>
      <c r="AF241" s="59"/>
      <c r="AG241" s="35" t="s">
        <v>1104</v>
      </c>
      <c r="AH241" s="202" t="s">
        <v>19</v>
      </c>
      <c r="AI241" s="35" t="s">
        <v>1880</v>
      </c>
      <c r="AJ241" s="1623"/>
    </row>
    <row r="242" spans="1:36" s="11" customFormat="1" ht="26.25" customHeight="1" x14ac:dyDescent="0.15">
      <c r="A242" s="8">
        <f t="shared" si="0"/>
        <v>240</v>
      </c>
      <c r="B242" s="36" t="s">
        <v>10099</v>
      </c>
      <c r="C242" s="1628" t="s">
        <v>111</v>
      </c>
      <c r="D242" s="1628" t="s">
        <v>111</v>
      </c>
      <c r="E242" s="1628" t="s">
        <v>111</v>
      </c>
      <c r="F242" s="29" t="s">
        <v>7635</v>
      </c>
      <c r="G242" s="99" t="s">
        <v>8961</v>
      </c>
      <c r="H242" s="26" t="s">
        <v>448</v>
      </c>
      <c r="I242" s="26" t="s">
        <v>448</v>
      </c>
      <c r="J242" s="26" t="s">
        <v>448</v>
      </c>
      <c r="K242" s="26" t="s">
        <v>448</v>
      </c>
      <c r="L242" s="26" t="s">
        <v>448</v>
      </c>
      <c r="M242" s="26" t="s">
        <v>448</v>
      </c>
      <c r="N242" s="26" t="s">
        <v>448</v>
      </c>
      <c r="O242" s="26" t="s">
        <v>448</v>
      </c>
      <c r="P242" s="26" t="s">
        <v>448</v>
      </c>
      <c r="Q242" s="26" t="s">
        <v>448</v>
      </c>
      <c r="R242" s="53" t="s">
        <v>448</v>
      </c>
      <c r="S242" s="22" t="s">
        <v>1880</v>
      </c>
      <c r="T242" s="1622" t="s">
        <v>414</v>
      </c>
      <c r="U242" s="1627" t="s">
        <v>414</v>
      </c>
      <c r="V242" s="24" t="s">
        <v>10086</v>
      </c>
      <c r="W242" s="26" t="s">
        <v>448</v>
      </c>
      <c r="X242" s="26" t="s">
        <v>448</v>
      </c>
      <c r="Y242" s="26" t="s">
        <v>448</v>
      </c>
      <c r="Z242" s="26" t="s">
        <v>448</v>
      </c>
      <c r="AA242" s="26" t="s">
        <v>448</v>
      </c>
      <c r="AB242" s="30">
        <v>292.35079999999999</v>
      </c>
      <c r="AC242" s="30"/>
      <c r="AD242" s="30">
        <v>292.35079999999999</v>
      </c>
      <c r="AE242" s="59" t="s">
        <v>6457</v>
      </c>
      <c r="AF242" s="59" t="s">
        <v>6457</v>
      </c>
      <c r="AG242" s="35" t="s">
        <v>1104</v>
      </c>
      <c r="AH242" s="202" t="s">
        <v>19</v>
      </c>
      <c r="AI242" s="35" t="s">
        <v>1880</v>
      </c>
      <c r="AJ242" s="54" t="s">
        <v>10244</v>
      </c>
    </row>
    <row r="243" spans="1:36" s="11" customFormat="1" ht="26.25" customHeight="1" x14ac:dyDescent="0.15">
      <c r="A243" s="8">
        <f t="shared" si="0"/>
        <v>241</v>
      </c>
      <c r="B243" s="36" t="s">
        <v>10168</v>
      </c>
      <c r="C243" s="1635" t="s">
        <v>111</v>
      </c>
      <c r="D243" s="711" t="s">
        <v>10167</v>
      </c>
      <c r="E243" s="1635" t="s">
        <v>111</v>
      </c>
      <c r="F243" s="29" t="s">
        <v>449</v>
      </c>
      <c r="G243" s="98" t="s">
        <v>10140</v>
      </c>
      <c r="H243" s="26" t="s">
        <v>448</v>
      </c>
      <c r="I243" s="26" t="s">
        <v>448</v>
      </c>
      <c r="J243" s="26" t="s">
        <v>448</v>
      </c>
      <c r="K243" s="1636" t="s">
        <v>4791</v>
      </c>
      <c r="L243" s="1636" t="s">
        <v>2419</v>
      </c>
      <c r="M243" s="1636" t="s">
        <v>6738</v>
      </c>
      <c r="N243" s="22" t="s">
        <v>6549</v>
      </c>
      <c r="O243" s="22" t="s">
        <v>5431</v>
      </c>
      <c r="P243" s="22" t="s">
        <v>1880</v>
      </c>
      <c r="Q243" s="1637" t="s">
        <v>1131</v>
      </c>
      <c r="R243" s="54" t="s">
        <v>4882</v>
      </c>
      <c r="S243" s="22" t="s">
        <v>1880</v>
      </c>
      <c r="T243" s="1629" t="s">
        <v>446</v>
      </c>
      <c r="U243" s="1629" t="s">
        <v>446</v>
      </c>
      <c r="V243" s="24" t="s">
        <v>10126</v>
      </c>
      <c r="W243" s="271" t="s">
        <v>10141</v>
      </c>
      <c r="X243" s="24" t="s">
        <v>110</v>
      </c>
      <c r="Y243" s="24">
        <v>1</v>
      </c>
      <c r="Z243" s="26" t="s">
        <v>448</v>
      </c>
      <c r="AA243" s="26" t="s">
        <v>448</v>
      </c>
      <c r="AB243" s="30">
        <v>13.79</v>
      </c>
      <c r="AC243" s="30"/>
      <c r="AD243" s="30">
        <v>13.79</v>
      </c>
      <c r="AE243" s="59"/>
      <c r="AF243" s="59"/>
      <c r="AG243" s="35" t="s">
        <v>1104</v>
      </c>
      <c r="AH243" s="202" t="s">
        <v>19</v>
      </c>
      <c r="AI243" s="35" t="s">
        <v>1880</v>
      </c>
      <c r="AJ243" s="54" t="s">
        <v>10127</v>
      </c>
    </row>
    <row r="244" spans="1:36" s="11" customFormat="1" ht="26.25" customHeight="1" x14ac:dyDescent="0.15">
      <c r="A244" s="8">
        <f t="shared" si="0"/>
        <v>242</v>
      </c>
      <c r="B244" s="36" t="s">
        <v>10125</v>
      </c>
      <c r="C244" s="1635" t="s">
        <v>111</v>
      </c>
      <c r="D244" s="711" t="s">
        <v>10135</v>
      </c>
      <c r="E244" s="1635" t="s">
        <v>111</v>
      </c>
      <c r="F244" s="29" t="s">
        <v>6639</v>
      </c>
      <c r="G244" s="98" t="s">
        <v>10142</v>
      </c>
      <c r="H244" s="26" t="s">
        <v>448</v>
      </c>
      <c r="I244" s="26" t="s">
        <v>448</v>
      </c>
      <c r="J244" s="26" t="s">
        <v>448</v>
      </c>
      <c r="K244" s="1636" t="s">
        <v>4791</v>
      </c>
      <c r="L244" s="1636" t="s">
        <v>3101</v>
      </c>
      <c r="M244" s="1636" t="s">
        <v>6641</v>
      </c>
      <c r="N244" s="22" t="s">
        <v>7829</v>
      </c>
      <c r="O244" s="1637" t="s">
        <v>5431</v>
      </c>
      <c r="P244" s="1638" t="s">
        <v>111</v>
      </c>
      <c r="Q244" s="1637" t="s">
        <v>1131</v>
      </c>
      <c r="R244" s="54" t="s">
        <v>5500</v>
      </c>
      <c r="S244" s="22" t="s">
        <v>1880</v>
      </c>
      <c r="T244" s="1633" t="s">
        <v>446</v>
      </c>
      <c r="U244" s="1633" t="s">
        <v>446</v>
      </c>
      <c r="V244" s="24" t="s">
        <v>10126</v>
      </c>
      <c r="W244" s="271" t="s">
        <v>10131</v>
      </c>
      <c r="X244" s="24" t="s">
        <v>108</v>
      </c>
      <c r="Y244" s="10">
        <v>1</v>
      </c>
      <c r="Z244" s="26" t="s">
        <v>448</v>
      </c>
      <c r="AA244" s="26" t="s">
        <v>448</v>
      </c>
      <c r="AB244" s="30">
        <v>5.75</v>
      </c>
      <c r="AC244" s="30"/>
      <c r="AD244" s="30">
        <v>5.75</v>
      </c>
      <c r="AE244" s="59"/>
      <c r="AF244" s="59"/>
      <c r="AG244" s="35" t="s">
        <v>1104</v>
      </c>
      <c r="AH244" s="202" t="s">
        <v>19</v>
      </c>
      <c r="AI244" s="35" t="s">
        <v>1880</v>
      </c>
      <c r="AJ244" s="54" t="s">
        <v>10127</v>
      </c>
    </row>
    <row r="245" spans="1:36" s="11" customFormat="1" ht="26.25" customHeight="1" x14ac:dyDescent="0.15">
      <c r="A245" s="8">
        <f t="shared" si="0"/>
        <v>243</v>
      </c>
      <c r="B245" s="36" t="s">
        <v>10134</v>
      </c>
      <c r="C245" s="71" t="s">
        <v>10128</v>
      </c>
      <c r="D245" s="1635" t="s">
        <v>111</v>
      </c>
      <c r="E245" s="1635" t="s">
        <v>111</v>
      </c>
      <c r="F245" s="29" t="s">
        <v>10132</v>
      </c>
      <c r="G245" s="53" t="s">
        <v>10133</v>
      </c>
      <c r="H245" s="26" t="s">
        <v>448</v>
      </c>
      <c r="I245" s="26" t="s">
        <v>448</v>
      </c>
      <c r="J245" s="26" t="s">
        <v>448</v>
      </c>
      <c r="K245" s="1634" t="s">
        <v>5374</v>
      </c>
      <c r="L245" s="1634" t="s">
        <v>5419</v>
      </c>
      <c r="M245" s="1634" t="s">
        <v>10129</v>
      </c>
      <c r="N245" s="22" t="s">
        <v>4780</v>
      </c>
      <c r="O245" s="1635" t="s">
        <v>5431</v>
      </c>
      <c r="P245" s="1635" t="s">
        <v>111</v>
      </c>
      <c r="Q245" s="1634" t="s">
        <v>1131</v>
      </c>
      <c r="R245" s="54" t="s">
        <v>10461</v>
      </c>
      <c r="S245" s="22" t="s">
        <v>1880</v>
      </c>
      <c r="T245" s="1634" t="s">
        <v>446</v>
      </c>
      <c r="U245" s="1634" t="s">
        <v>446</v>
      </c>
      <c r="V245" s="24" t="s">
        <v>10130</v>
      </c>
      <c r="W245" s="90" t="s">
        <v>10131</v>
      </c>
      <c r="X245" s="24" t="s">
        <v>110</v>
      </c>
      <c r="Y245" s="24">
        <v>1</v>
      </c>
      <c r="Z245" s="24" t="s">
        <v>448</v>
      </c>
      <c r="AA245" s="24" t="s">
        <v>448</v>
      </c>
      <c r="AB245" s="30">
        <v>44.5</v>
      </c>
      <c r="AC245" s="30"/>
      <c r="AD245" s="30">
        <v>44.5</v>
      </c>
      <c r="AE245" s="59"/>
      <c r="AF245" s="59"/>
      <c r="AG245" s="35" t="s">
        <v>1104</v>
      </c>
      <c r="AH245" s="202" t="s">
        <v>19</v>
      </c>
      <c r="AI245" s="35" t="s">
        <v>1880</v>
      </c>
      <c r="AJ245" s="1615"/>
    </row>
    <row r="246" spans="1:36" s="11" customFormat="1" ht="26.25" customHeight="1" x14ac:dyDescent="0.15">
      <c r="A246" s="8">
        <f t="shared" si="0"/>
        <v>244</v>
      </c>
      <c r="B246" s="36" t="s">
        <v>10138</v>
      </c>
      <c r="C246" s="71" t="s">
        <v>10143</v>
      </c>
      <c r="D246" s="1646" t="s">
        <v>111</v>
      </c>
      <c r="E246" s="1646" t="s">
        <v>111</v>
      </c>
      <c r="F246" s="29" t="s">
        <v>6969</v>
      </c>
      <c r="G246" s="53" t="s">
        <v>10144</v>
      </c>
      <c r="H246" s="1646" t="s">
        <v>8664</v>
      </c>
      <c r="I246" s="1646" t="s">
        <v>8665</v>
      </c>
      <c r="J246" s="1646" t="s">
        <v>8666</v>
      </c>
      <c r="K246" s="1646" t="s">
        <v>2328</v>
      </c>
      <c r="L246" s="1646" t="s">
        <v>2327</v>
      </c>
      <c r="M246" s="1646" t="s">
        <v>4271</v>
      </c>
      <c r="N246" s="1646" t="s">
        <v>4780</v>
      </c>
      <c r="O246" s="1646" t="s">
        <v>1826</v>
      </c>
      <c r="P246" s="1646" t="s">
        <v>111</v>
      </c>
      <c r="Q246" s="1645" t="s">
        <v>445</v>
      </c>
      <c r="R246" s="54" t="s">
        <v>9853</v>
      </c>
      <c r="S246" s="1646" t="s">
        <v>111</v>
      </c>
      <c r="T246" s="1645" t="s">
        <v>446</v>
      </c>
      <c r="U246" s="1643" t="s">
        <v>446</v>
      </c>
      <c r="V246" s="24" t="s">
        <v>10139</v>
      </c>
      <c r="W246" s="90" t="s">
        <v>10145</v>
      </c>
      <c r="X246" s="24" t="s">
        <v>110</v>
      </c>
      <c r="Y246" s="24">
        <v>4</v>
      </c>
      <c r="Z246" s="24" t="s">
        <v>448</v>
      </c>
      <c r="AA246" s="24" t="s">
        <v>448</v>
      </c>
      <c r="AB246" s="30">
        <v>14.3</v>
      </c>
      <c r="AC246" s="30"/>
      <c r="AD246" s="30">
        <v>14.3</v>
      </c>
      <c r="AE246" s="59"/>
      <c r="AF246" s="59"/>
      <c r="AG246" s="35" t="s">
        <v>1104</v>
      </c>
      <c r="AH246" s="202" t="s">
        <v>19</v>
      </c>
      <c r="AI246" s="35" t="s">
        <v>1880</v>
      </c>
      <c r="AJ246" s="1643"/>
    </row>
    <row r="247" spans="1:36" s="11" customFormat="1" ht="26.25" customHeight="1" x14ac:dyDescent="0.15">
      <c r="A247" s="8">
        <f t="shared" si="0"/>
        <v>245</v>
      </c>
      <c r="B247" s="36" t="s">
        <v>10146</v>
      </c>
      <c r="C247" s="1646" t="s">
        <v>111</v>
      </c>
      <c r="D247" s="1646" t="s">
        <v>111</v>
      </c>
      <c r="E247" s="1646" t="s">
        <v>111</v>
      </c>
      <c r="F247" s="29" t="s">
        <v>10148</v>
      </c>
      <c r="G247" s="53" t="s">
        <v>10149</v>
      </c>
      <c r="H247" s="26" t="s">
        <v>448</v>
      </c>
      <c r="I247" s="26" t="s">
        <v>448</v>
      </c>
      <c r="J247" s="26" t="s">
        <v>448</v>
      </c>
      <c r="K247" s="1644" t="s">
        <v>3649</v>
      </c>
      <c r="L247" s="1644" t="s">
        <v>4750</v>
      </c>
      <c r="M247" s="1644" t="s">
        <v>9870</v>
      </c>
      <c r="N247" s="22" t="s">
        <v>4780</v>
      </c>
      <c r="O247" s="22" t="s">
        <v>5431</v>
      </c>
      <c r="P247" s="1646" t="s">
        <v>111</v>
      </c>
      <c r="Q247" s="1645" t="s">
        <v>1131</v>
      </c>
      <c r="R247" s="54" t="s">
        <v>6261</v>
      </c>
      <c r="S247" s="1646" t="s">
        <v>111</v>
      </c>
      <c r="T247" s="1645" t="s">
        <v>5487</v>
      </c>
      <c r="U247" s="1645" t="s">
        <v>5487</v>
      </c>
      <c r="V247" s="24" t="s">
        <v>8405</v>
      </c>
      <c r="W247" s="90" t="s">
        <v>10139</v>
      </c>
      <c r="X247" s="24" t="s">
        <v>110</v>
      </c>
      <c r="Y247" s="24">
        <v>2</v>
      </c>
      <c r="Z247" s="24" t="s">
        <v>448</v>
      </c>
      <c r="AA247" s="24" t="s">
        <v>448</v>
      </c>
      <c r="AB247" s="30">
        <v>15</v>
      </c>
      <c r="AC247" s="30"/>
      <c r="AD247" s="30">
        <v>15</v>
      </c>
      <c r="AE247" s="59"/>
      <c r="AF247" s="59"/>
      <c r="AG247" s="35" t="s">
        <v>1104</v>
      </c>
      <c r="AH247" s="202" t="s">
        <v>19</v>
      </c>
      <c r="AI247" s="35" t="s">
        <v>1880</v>
      </c>
      <c r="AJ247" s="1645"/>
    </row>
    <row r="248" spans="1:36" s="11" customFormat="1" ht="26.25" customHeight="1" x14ac:dyDescent="0.15">
      <c r="A248" s="8">
        <f t="shared" si="0"/>
        <v>246</v>
      </c>
      <c r="B248" s="36" t="s">
        <v>10147</v>
      </c>
      <c r="C248" s="1646" t="s">
        <v>111</v>
      </c>
      <c r="D248" s="1646" t="s">
        <v>111</v>
      </c>
      <c r="E248" s="1646" t="s">
        <v>111</v>
      </c>
      <c r="F248" s="29" t="s">
        <v>6582</v>
      </c>
      <c r="G248" s="53" t="s">
        <v>6583</v>
      </c>
      <c r="H248" s="26" t="s">
        <v>448</v>
      </c>
      <c r="I248" s="26" t="s">
        <v>448</v>
      </c>
      <c r="J248" s="26" t="s">
        <v>448</v>
      </c>
      <c r="K248" s="1" t="s">
        <v>1457</v>
      </c>
      <c r="L248" s="142" t="s">
        <v>225</v>
      </c>
      <c r="M248" s="1" t="s">
        <v>5316</v>
      </c>
      <c r="N248" s="22" t="s">
        <v>4780</v>
      </c>
      <c r="O248" s="22" t="s">
        <v>5478</v>
      </c>
      <c r="P248" s="1646" t="s">
        <v>111</v>
      </c>
      <c r="Q248" s="1645" t="s">
        <v>4676</v>
      </c>
      <c r="R248" s="54" t="s">
        <v>9299</v>
      </c>
      <c r="S248" s="1646" t="s">
        <v>111</v>
      </c>
      <c r="T248" s="1645" t="s">
        <v>5487</v>
      </c>
      <c r="U248" s="1645" t="s">
        <v>5487</v>
      </c>
      <c r="V248" s="24" t="s">
        <v>8405</v>
      </c>
      <c r="W248" s="90" t="s">
        <v>10086</v>
      </c>
      <c r="X248" s="24" t="s">
        <v>2359</v>
      </c>
      <c r="Y248" s="24">
        <v>1</v>
      </c>
      <c r="Z248" s="24" t="s">
        <v>10150</v>
      </c>
      <c r="AA248" s="24" t="s">
        <v>10151</v>
      </c>
      <c r="AB248" s="30"/>
      <c r="AC248" s="30">
        <v>12</v>
      </c>
      <c r="AD248" s="30">
        <v>12</v>
      </c>
      <c r="AE248" s="59"/>
      <c r="AF248" s="59"/>
      <c r="AG248" s="35" t="s">
        <v>1104</v>
      </c>
      <c r="AH248" s="202" t="s">
        <v>19</v>
      </c>
      <c r="AI248" s="35" t="s">
        <v>1880</v>
      </c>
      <c r="AJ248" s="1645"/>
    </row>
    <row r="249" spans="1:36" s="11" customFormat="1" ht="26.25" customHeight="1" x14ac:dyDescent="0.15">
      <c r="A249" s="8">
        <f t="shared" si="0"/>
        <v>247</v>
      </c>
      <c r="B249" s="36"/>
      <c r="C249" s="26"/>
      <c r="D249" s="711"/>
      <c r="E249" s="26"/>
      <c r="F249" s="29"/>
      <c r="G249" s="53"/>
      <c r="H249" s="53"/>
      <c r="I249" s="53"/>
      <c r="J249" s="53"/>
      <c r="K249" s="1392"/>
      <c r="L249" s="1392"/>
      <c r="M249" s="1392"/>
      <c r="N249" s="22"/>
      <c r="O249" s="1394"/>
      <c r="P249" s="1394"/>
      <c r="Q249" s="1393"/>
      <c r="R249" s="54"/>
      <c r="S249" s="1394"/>
      <c r="T249" s="1393"/>
      <c r="U249" s="1393"/>
      <c r="V249" s="24"/>
      <c r="W249" s="90"/>
      <c r="X249" s="24"/>
      <c r="Y249" s="24"/>
      <c r="Z249" s="24"/>
      <c r="AA249" s="24"/>
      <c r="AB249" s="30"/>
      <c r="AC249" s="30"/>
      <c r="AD249" s="30"/>
      <c r="AE249" s="59"/>
      <c r="AF249" s="59"/>
      <c r="AG249" s="1394"/>
      <c r="AH249" s="202"/>
      <c r="AI249" s="133"/>
      <c r="AJ249" s="1393"/>
    </row>
    <row r="250" spans="1:36" s="11" customFormat="1" ht="26.25" customHeight="1" x14ac:dyDescent="0.15">
      <c r="A250" s="8"/>
      <c r="B250" s="36"/>
      <c r="C250" s="26"/>
      <c r="D250" s="26"/>
      <c r="E250" s="26"/>
      <c r="F250" s="29"/>
      <c r="G250" s="53"/>
      <c r="H250" s="53"/>
      <c r="I250" s="53"/>
      <c r="J250" s="53"/>
      <c r="K250" s="1392"/>
      <c r="L250" s="1"/>
      <c r="M250" s="37"/>
      <c r="N250" s="22"/>
      <c r="O250" s="22"/>
      <c r="P250" s="22"/>
      <c r="Q250" s="1393"/>
      <c r="R250" s="54"/>
      <c r="S250" s="22"/>
      <c r="T250" s="1393"/>
      <c r="U250" s="1393"/>
      <c r="V250" s="24"/>
      <c r="W250" s="90"/>
      <c r="X250" s="146" t="s">
        <v>3144</v>
      </c>
      <c r="Y250" s="146"/>
      <c r="Z250" s="146"/>
      <c r="AA250" s="146"/>
      <c r="AB250" s="148">
        <f>SUM(AB3:AB249)</f>
        <v>3395.5942000000014</v>
      </c>
      <c r="AC250" s="148">
        <f>SUM(AC3:AC249)</f>
        <v>1696.3406670000008</v>
      </c>
      <c r="AD250" s="148">
        <f>SUM(AD3:AD249)</f>
        <v>5091.9348669999972</v>
      </c>
      <c r="AE250" s="702"/>
      <c r="AF250" s="702"/>
      <c r="AG250" s="35"/>
      <c r="AH250" s="35"/>
      <c r="AI250" s="35"/>
      <c r="AJ250" s="1393"/>
    </row>
    <row r="251" spans="1:36" x14ac:dyDescent="0.15">
      <c r="C251" t="s">
        <v>4680</v>
      </c>
    </row>
    <row r="512" spans="26:26" x14ac:dyDescent="0.15">
      <c r="Z512" t="s">
        <v>7027</v>
      </c>
    </row>
    <row r="513" spans="26:26" x14ac:dyDescent="0.15">
      <c r="Z513" t="s">
        <v>7028</v>
      </c>
    </row>
    <row r="514" spans="26:26" x14ac:dyDescent="0.15">
      <c r="Z514" t="s">
        <v>7029</v>
      </c>
    </row>
  </sheetData>
  <autoFilter ref="A2:AJ251" xr:uid="{00000000-0009-0000-0000-000000000000}"/>
  <mergeCells count="1">
    <mergeCell ref="A1:AI1"/>
  </mergeCells>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C058-178F-4994-B209-ACD8E8C876EE}">
  <dimension ref="A1:AJ507"/>
  <sheetViews>
    <sheetView zoomScaleNormal="100" workbookViewId="0">
      <pane xSplit="2" ySplit="2" topLeftCell="C26" activePane="bottomRight" state="frozen"/>
      <selection pane="topRight" activeCell="C1" sqref="C1"/>
      <selection pane="bottomLeft" activeCell="A3" sqref="A3"/>
      <selection pane="bottomRight" activeCell="A35" sqref="A35:XFD35"/>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3" max="13" width="16.875" customWidth="1"/>
    <col min="14" max="14" width="13.875" customWidth="1"/>
    <col min="17" max="17" width="14.625" customWidth="1"/>
    <col min="18" max="18" width="24.7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2" width="12.25" style="38" customWidth="1"/>
    <col min="33" max="33" width="10.875" customWidth="1"/>
    <col min="34" max="34" width="13.75" customWidth="1"/>
    <col min="36" max="36" width="37.875" customWidth="1"/>
  </cols>
  <sheetData>
    <row r="1" spans="1:36" s="3" customFormat="1" ht="33" customHeight="1" x14ac:dyDescent="0.15">
      <c r="A1" s="1953" t="s">
        <v>10153</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c r="AG1" s="1953"/>
      <c r="AH1" s="1953"/>
      <c r="AI1" s="1953"/>
    </row>
    <row r="2" spans="1:36" s="4" customFormat="1" ht="27.95" customHeight="1" x14ac:dyDescent="0.15">
      <c r="A2" s="25" t="s">
        <v>0</v>
      </c>
      <c r="B2" s="25" t="s">
        <v>1</v>
      </c>
      <c r="C2" s="25" t="s">
        <v>2</v>
      </c>
      <c r="D2" s="25" t="s">
        <v>3</v>
      </c>
      <c r="E2" s="25" t="s">
        <v>958</v>
      </c>
      <c r="F2" s="25" t="s">
        <v>4</v>
      </c>
      <c r="G2" s="25" t="s">
        <v>5</v>
      </c>
      <c r="H2" s="25" t="s">
        <v>8651</v>
      </c>
      <c r="I2" s="25" t="s">
        <v>8652</v>
      </c>
      <c r="J2" s="25" t="s">
        <v>8653</v>
      </c>
      <c r="K2" s="25" t="s">
        <v>7</v>
      </c>
      <c r="L2" s="25" t="s">
        <v>6</v>
      </c>
      <c r="M2" s="25" t="s">
        <v>419</v>
      </c>
      <c r="N2" s="25" t="s">
        <v>420</v>
      </c>
      <c r="O2" s="25" t="s">
        <v>1825</v>
      </c>
      <c r="P2" s="25" t="s">
        <v>1857</v>
      </c>
      <c r="Q2" s="25" t="s">
        <v>10</v>
      </c>
      <c r="R2" s="25" t="s">
        <v>8</v>
      </c>
      <c r="S2" s="25" t="s">
        <v>9</v>
      </c>
      <c r="T2" s="25" t="s">
        <v>3342</v>
      </c>
      <c r="U2" s="25" t="s">
        <v>3343</v>
      </c>
      <c r="V2" s="25" t="s">
        <v>2126</v>
      </c>
      <c r="W2" s="49" t="s">
        <v>2127</v>
      </c>
      <c r="X2" s="32" t="s">
        <v>14</v>
      </c>
      <c r="Y2" s="32" t="s">
        <v>13</v>
      </c>
      <c r="Z2" s="25" t="s">
        <v>11</v>
      </c>
      <c r="AA2" s="25" t="s">
        <v>12</v>
      </c>
      <c r="AB2" s="134" t="s">
        <v>429</v>
      </c>
      <c r="AC2" s="134" t="s">
        <v>2183</v>
      </c>
      <c r="AD2" s="134" t="s">
        <v>431</v>
      </c>
      <c r="AE2" s="134" t="s">
        <v>6455</v>
      </c>
      <c r="AF2" s="134" t="s">
        <v>6456</v>
      </c>
      <c r="AG2" s="25" t="s">
        <v>2124</v>
      </c>
      <c r="AH2" s="25" t="s">
        <v>2123</v>
      </c>
      <c r="AI2" s="25" t="s">
        <v>2125</v>
      </c>
      <c r="AJ2" s="25" t="s">
        <v>3252</v>
      </c>
    </row>
    <row r="3" spans="1:36" s="11" customFormat="1" ht="26.25" customHeight="1" x14ac:dyDescent="0.15">
      <c r="A3" s="8">
        <f>ROW()-2</f>
        <v>1</v>
      </c>
      <c r="B3" s="36" t="s">
        <v>8415</v>
      </c>
      <c r="C3" s="26" t="s">
        <v>19</v>
      </c>
      <c r="D3" s="26" t="s">
        <v>19</v>
      </c>
      <c r="E3" s="26" t="s">
        <v>19</v>
      </c>
      <c r="F3" s="29" t="s">
        <v>5939</v>
      </c>
      <c r="G3" s="53" t="s">
        <v>8419</v>
      </c>
      <c r="H3" s="26" t="s">
        <v>448</v>
      </c>
      <c r="I3" s="26" t="s">
        <v>448</v>
      </c>
      <c r="J3" s="26" t="s">
        <v>448</v>
      </c>
      <c r="K3" s="1182" t="s">
        <v>2475</v>
      </c>
      <c r="L3" s="302" t="s">
        <v>1789</v>
      </c>
      <c r="M3" s="1182" t="s">
        <v>3902</v>
      </c>
      <c r="N3" s="1184" t="s">
        <v>4780</v>
      </c>
      <c r="O3" s="22" t="s">
        <v>5431</v>
      </c>
      <c r="P3" s="1184" t="s">
        <v>1880</v>
      </c>
      <c r="Q3" s="1183" t="s">
        <v>1131</v>
      </c>
      <c r="R3" s="151" t="s">
        <v>7451</v>
      </c>
      <c r="S3" s="22" t="s">
        <v>1880</v>
      </c>
      <c r="T3" s="1183" t="s">
        <v>1785</v>
      </c>
      <c r="U3" s="1183" t="s">
        <v>1785</v>
      </c>
      <c r="V3" s="24" t="s">
        <v>8420</v>
      </c>
      <c r="W3" s="90" t="s">
        <v>8421</v>
      </c>
      <c r="X3" s="24" t="s">
        <v>2359</v>
      </c>
      <c r="Y3" s="24">
        <v>1</v>
      </c>
      <c r="Z3" s="24" t="s">
        <v>448</v>
      </c>
      <c r="AA3" s="24" t="s">
        <v>448</v>
      </c>
      <c r="AB3" s="30">
        <v>4</v>
      </c>
      <c r="AC3" s="30"/>
      <c r="AD3" s="30">
        <v>4</v>
      </c>
      <c r="AE3" s="59"/>
      <c r="AF3" s="59"/>
      <c r="AG3" s="35" t="s">
        <v>1104</v>
      </c>
      <c r="AH3" s="202" t="s">
        <v>19</v>
      </c>
      <c r="AI3" s="35" t="s">
        <v>1880</v>
      </c>
      <c r="AJ3" s="1183"/>
    </row>
    <row r="4" spans="1:36" s="11" customFormat="1" ht="26.25" customHeight="1" x14ac:dyDescent="0.15">
      <c r="A4" s="8">
        <f t="shared" ref="A4:A242" si="0">ROW()-2</f>
        <v>2</v>
      </c>
      <c r="B4" s="36" t="s">
        <v>8422</v>
      </c>
      <c r="C4" s="1184" t="s">
        <v>111</v>
      </c>
      <c r="D4" s="1184" t="s">
        <v>111</v>
      </c>
      <c r="E4" s="1184" t="s">
        <v>111</v>
      </c>
      <c r="F4" s="29" t="s">
        <v>412</v>
      </c>
      <c r="G4" s="53" t="s">
        <v>5092</v>
      </c>
      <c r="H4" s="26" t="s">
        <v>448</v>
      </c>
      <c r="I4" s="26" t="s">
        <v>448</v>
      </c>
      <c r="J4" s="26" t="s">
        <v>448</v>
      </c>
      <c r="K4" s="1182" t="s">
        <v>1147</v>
      </c>
      <c r="L4" s="1" t="s">
        <v>2067</v>
      </c>
      <c r="M4" s="37" t="s">
        <v>1808</v>
      </c>
      <c r="N4" s="22" t="s">
        <v>1138</v>
      </c>
      <c r="O4" s="22" t="s">
        <v>1826</v>
      </c>
      <c r="P4" s="1184" t="s">
        <v>111</v>
      </c>
      <c r="Q4" s="1183" t="s">
        <v>1818</v>
      </c>
      <c r="R4" s="222" t="s">
        <v>8699</v>
      </c>
      <c r="S4" s="71" t="s">
        <v>19</v>
      </c>
      <c r="T4" s="1183" t="s">
        <v>1811</v>
      </c>
      <c r="U4" s="1183" t="s">
        <v>2072</v>
      </c>
      <c r="V4" s="24" t="s">
        <v>8420</v>
      </c>
      <c r="W4" s="90" t="s">
        <v>8426</v>
      </c>
      <c r="X4" s="24" t="s">
        <v>2359</v>
      </c>
      <c r="Y4" s="24">
        <v>1</v>
      </c>
      <c r="Z4" s="24" t="s">
        <v>8427</v>
      </c>
      <c r="AA4" s="24" t="s">
        <v>8634</v>
      </c>
      <c r="AB4" s="30"/>
      <c r="AC4" s="30">
        <v>5.5054999999999996</v>
      </c>
      <c r="AD4" s="30">
        <v>5.5054999999999996</v>
      </c>
      <c r="AE4" s="59"/>
      <c r="AF4" s="59"/>
      <c r="AG4" s="35" t="s">
        <v>1104</v>
      </c>
      <c r="AH4" s="202" t="s">
        <v>1880</v>
      </c>
      <c r="AI4" s="35" t="s">
        <v>1880</v>
      </c>
      <c r="AJ4" s="1183"/>
    </row>
    <row r="5" spans="1:36" s="11" customFormat="1" ht="26.25" customHeight="1" x14ac:dyDescent="0.15">
      <c r="A5" s="8">
        <f t="shared" si="0"/>
        <v>3</v>
      </c>
      <c r="B5" s="36" t="s">
        <v>8423</v>
      </c>
      <c r="C5" s="1184" t="s">
        <v>111</v>
      </c>
      <c r="D5" s="1184" t="s">
        <v>111</v>
      </c>
      <c r="E5" s="1184" t="s">
        <v>111</v>
      </c>
      <c r="F5" s="29" t="s">
        <v>412</v>
      </c>
      <c r="G5" s="53" t="s">
        <v>5092</v>
      </c>
      <c r="H5" s="26" t="s">
        <v>448</v>
      </c>
      <c r="I5" s="26" t="s">
        <v>448</v>
      </c>
      <c r="J5" s="26" t="s">
        <v>448</v>
      </c>
      <c r="K5" s="1182" t="s">
        <v>1147</v>
      </c>
      <c r="L5" s="1" t="s">
        <v>2067</v>
      </c>
      <c r="M5" s="37" t="s">
        <v>3801</v>
      </c>
      <c r="N5" s="22" t="s">
        <v>1138</v>
      </c>
      <c r="O5" s="22" t="s">
        <v>1826</v>
      </c>
      <c r="P5" s="1184" t="s">
        <v>111</v>
      </c>
      <c r="Q5" s="1183" t="s">
        <v>1818</v>
      </c>
      <c r="R5" s="222" t="s">
        <v>8699</v>
      </c>
      <c r="S5" s="71" t="s">
        <v>19</v>
      </c>
      <c r="T5" s="1183" t="s">
        <v>1811</v>
      </c>
      <c r="U5" s="1183" t="s">
        <v>2072</v>
      </c>
      <c r="V5" s="24" t="s">
        <v>8420</v>
      </c>
      <c r="W5" s="90" t="s">
        <v>8426</v>
      </c>
      <c r="X5" s="24" t="s">
        <v>2359</v>
      </c>
      <c r="Y5" s="24">
        <v>1</v>
      </c>
      <c r="Z5" s="24" t="s">
        <v>8427</v>
      </c>
      <c r="AA5" s="24" t="s">
        <v>8634</v>
      </c>
      <c r="AB5" s="30"/>
      <c r="AC5" s="30">
        <v>5.5054999999999996</v>
      </c>
      <c r="AD5" s="30">
        <v>5.5054999999999996</v>
      </c>
      <c r="AE5" s="59"/>
      <c r="AF5" s="59"/>
      <c r="AG5" s="35" t="s">
        <v>1104</v>
      </c>
      <c r="AH5" s="202" t="s">
        <v>1880</v>
      </c>
      <c r="AI5" s="35" t="s">
        <v>1880</v>
      </c>
      <c r="AJ5" s="1183"/>
    </row>
    <row r="6" spans="1:36" s="11" customFormat="1" ht="26.25" customHeight="1" x14ac:dyDescent="0.15">
      <c r="A6" s="8">
        <f t="shared" si="0"/>
        <v>4</v>
      </c>
      <c r="B6" s="36" t="s">
        <v>8424</v>
      </c>
      <c r="C6" s="1184" t="s">
        <v>111</v>
      </c>
      <c r="D6" s="1184" t="s">
        <v>111</v>
      </c>
      <c r="E6" s="1184" t="s">
        <v>111</v>
      </c>
      <c r="F6" s="29" t="s">
        <v>6520</v>
      </c>
      <c r="G6" s="53" t="s">
        <v>5092</v>
      </c>
      <c r="H6" s="26" t="s">
        <v>448</v>
      </c>
      <c r="I6" s="26" t="s">
        <v>448</v>
      </c>
      <c r="J6" s="26" t="s">
        <v>448</v>
      </c>
      <c r="K6" s="1182" t="s">
        <v>1147</v>
      </c>
      <c r="L6" s="1" t="s">
        <v>2067</v>
      </c>
      <c r="M6" s="37" t="s">
        <v>3962</v>
      </c>
      <c r="N6" s="22" t="s">
        <v>1820</v>
      </c>
      <c r="O6" s="22" t="s">
        <v>1826</v>
      </c>
      <c r="P6" s="1184" t="s">
        <v>111</v>
      </c>
      <c r="Q6" s="1183" t="s">
        <v>1818</v>
      </c>
      <c r="R6" s="222" t="s">
        <v>8699</v>
      </c>
      <c r="S6" s="71" t="s">
        <v>19</v>
      </c>
      <c r="T6" s="1183" t="s">
        <v>1811</v>
      </c>
      <c r="U6" s="1183" t="s">
        <v>2072</v>
      </c>
      <c r="V6" s="24" t="s">
        <v>8420</v>
      </c>
      <c r="W6" s="90" t="s">
        <v>8426</v>
      </c>
      <c r="X6" s="24" t="s">
        <v>2359</v>
      </c>
      <c r="Y6" s="24">
        <v>1</v>
      </c>
      <c r="Z6" s="24" t="s">
        <v>8427</v>
      </c>
      <c r="AA6" s="24" t="s">
        <v>8634</v>
      </c>
      <c r="AB6" s="30"/>
      <c r="AC6" s="30">
        <v>5.5054999999999996</v>
      </c>
      <c r="AD6" s="30">
        <v>5.5054999999999996</v>
      </c>
      <c r="AE6" s="59"/>
      <c r="AF6" s="59"/>
      <c r="AG6" s="35" t="s">
        <v>1104</v>
      </c>
      <c r="AH6" s="202" t="s">
        <v>1880</v>
      </c>
      <c r="AI6" s="35" t="s">
        <v>1880</v>
      </c>
      <c r="AJ6" s="1183"/>
    </row>
    <row r="7" spans="1:36" s="11" customFormat="1" ht="26.25" customHeight="1" x14ac:dyDescent="0.15">
      <c r="A7" s="8">
        <f t="shared" si="0"/>
        <v>5</v>
      </c>
      <c r="B7" s="36" t="s">
        <v>8425</v>
      </c>
      <c r="C7" s="1184" t="s">
        <v>111</v>
      </c>
      <c r="D7" s="1184" t="s">
        <v>111</v>
      </c>
      <c r="E7" s="1184" t="s">
        <v>111</v>
      </c>
      <c r="F7" s="55" t="s">
        <v>504</v>
      </c>
      <c r="G7" s="53" t="s">
        <v>5092</v>
      </c>
      <c r="H7" s="26" t="s">
        <v>448</v>
      </c>
      <c r="I7" s="26" t="s">
        <v>448</v>
      </c>
      <c r="J7" s="26" t="s">
        <v>448</v>
      </c>
      <c r="K7" s="42" t="s">
        <v>507</v>
      </c>
      <c r="L7" s="42" t="s">
        <v>506</v>
      </c>
      <c r="M7" s="27" t="s">
        <v>508</v>
      </c>
      <c r="N7" s="27" t="s">
        <v>491</v>
      </c>
      <c r="O7" s="22" t="s">
        <v>5431</v>
      </c>
      <c r="P7" s="1184" t="s">
        <v>111</v>
      </c>
      <c r="Q7" s="1184" t="s">
        <v>1818</v>
      </c>
      <c r="R7" s="222" t="s">
        <v>8699</v>
      </c>
      <c r="S7" s="22" t="s">
        <v>1880</v>
      </c>
      <c r="T7" s="1183" t="s">
        <v>1811</v>
      </c>
      <c r="U7" s="1183" t="s">
        <v>5487</v>
      </c>
      <c r="V7" s="24" t="s">
        <v>8420</v>
      </c>
      <c r="W7" s="90" t="s">
        <v>8426</v>
      </c>
      <c r="X7" s="24" t="s">
        <v>2359</v>
      </c>
      <c r="Y7" s="24">
        <v>1</v>
      </c>
      <c r="Z7" s="24" t="s">
        <v>8427</v>
      </c>
      <c r="AA7" s="24" t="s">
        <v>8634</v>
      </c>
      <c r="AB7" s="30"/>
      <c r="AC7" s="30">
        <v>5.5054999999999996</v>
      </c>
      <c r="AD7" s="30">
        <v>5.5054999999999996</v>
      </c>
      <c r="AE7" s="59"/>
      <c r="AF7" s="59"/>
      <c r="AG7" s="35" t="s">
        <v>1104</v>
      </c>
      <c r="AH7" s="202" t="s">
        <v>19</v>
      </c>
      <c r="AI7" s="35" t="s">
        <v>1880</v>
      </c>
      <c r="AJ7" s="1183"/>
    </row>
    <row r="8" spans="1:36" s="11" customFormat="1" ht="26.25" customHeight="1" x14ac:dyDescent="0.15">
      <c r="A8" s="8">
        <f t="shared" si="0"/>
        <v>6</v>
      </c>
      <c r="B8" s="36" t="s">
        <v>8429</v>
      </c>
      <c r="C8" s="1184" t="s">
        <v>111</v>
      </c>
      <c r="D8" s="1184" t="s">
        <v>111</v>
      </c>
      <c r="E8" s="1184" t="s">
        <v>111</v>
      </c>
      <c r="F8" s="29" t="s">
        <v>6117</v>
      </c>
      <c r="G8" s="53" t="s">
        <v>5092</v>
      </c>
      <c r="H8" s="26" t="s">
        <v>448</v>
      </c>
      <c r="I8" s="26" t="s">
        <v>448</v>
      </c>
      <c r="J8" s="26" t="s">
        <v>448</v>
      </c>
      <c r="K8" s="1" t="s">
        <v>23</v>
      </c>
      <c r="L8" s="142" t="s">
        <v>28</v>
      </c>
      <c r="M8" s="329" t="s">
        <v>3881</v>
      </c>
      <c r="N8" s="22" t="s">
        <v>6119</v>
      </c>
      <c r="O8" s="22" t="s">
        <v>5431</v>
      </c>
      <c r="P8" s="1184" t="s">
        <v>111</v>
      </c>
      <c r="Q8" s="1184" t="s">
        <v>1818</v>
      </c>
      <c r="R8" s="222" t="s">
        <v>8699</v>
      </c>
      <c r="S8" s="22" t="s">
        <v>1880</v>
      </c>
      <c r="T8" s="1183" t="s">
        <v>1811</v>
      </c>
      <c r="U8" s="1183" t="s">
        <v>5487</v>
      </c>
      <c r="V8" s="24" t="s">
        <v>8420</v>
      </c>
      <c r="W8" s="90" t="s">
        <v>8426</v>
      </c>
      <c r="X8" s="24" t="s">
        <v>2359</v>
      </c>
      <c r="Y8" s="24">
        <v>1</v>
      </c>
      <c r="Z8" s="24" t="s">
        <v>8427</v>
      </c>
      <c r="AA8" s="24" t="s">
        <v>8634</v>
      </c>
      <c r="AB8" s="30"/>
      <c r="AC8" s="30">
        <v>5.5054999999999996</v>
      </c>
      <c r="AD8" s="30">
        <v>5.5054999999999996</v>
      </c>
      <c r="AE8" s="59"/>
      <c r="AF8" s="59"/>
      <c r="AG8" s="35" t="s">
        <v>1104</v>
      </c>
      <c r="AH8" s="202" t="s">
        <v>19</v>
      </c>
      <c r="AI8" s="35" t="s">
        <v>1880</v>
      </c>
      <c r="AJ8" s="1183"/>
    </row>
    <row r="9" spans="1:36" s="11" customFormat="1" ht="26.25" customHeight="1" x14ac:dyDescent="0.15">
      <c r="A9" s="8">
        <f t="shared" si="0"/>
        <v>7</v>
      </c>
      <c r="B9" s="36" t="s">
        <v>8430</v>
      </c>
      <c r="C9" s="1184" t="s">
        <v>111</v>
      </c>
      <c r="D9" s="1184" t="s">
        <v>111</v>
      </c>
      <c r="E9" s="1184" t="s">
        <v>111</v>
      </c>
      <c r="F9" s="29" t="s">
        <v>6385</v>
      </c>
      <c r="G9" s="53" t="s">
        <v>5092</v>
      </c>
      <c r="H9" s="26" t="s">
        <v>448</v>
      </c>
      <c r="I9" s="26" t="s">
        <v>448</v>
      </c>
      <c r="J9" s="26" t="s">
        <v>448</v>
      </c>
      <c r="K9" s="1182" t="s">
        <v>4195</v>
      </c>
      <c r="L9" s="1182" t="s">
        <v>4196</v>
      </c>
      <c r="M9" s="1182" t="s">
        <v>7148</v>
      </c>
      <c r="N9" s="22" t="s">
        <v>7149</v>
      </c>
      <c r="O9" s="1183" t="s">
        <v>5431</v>
      </c>
      <c r="P9" s="1184" t="s">
        <v>111</v>
      </c>
      <c r="Q9" s="1184" t="s">
        <v>1818</v>
      </c>
      <c r="R9" s="222" t="s">
        <v>8699</v>
      </c>
      <c r="S9" s="1184" t="s">
        <v>19</v>
      </c>
      <c r="T9" s="1183" t="s">
        <v>1811</v>
      </c>
      <c r="U9" s="1183" t="s">
        <v>2072</v>
      </c>
      <c r="V9" s="24" t="s">
        <v>8420</v>
      </c>
      <c r="W9" s="90" t="s">
        <v>8426</v>
      </c>
      <c r="X9" s="24" t="s">
        <v>2359</v>
      </c>
      <c r="Y9" s="24">
        <v>1</v>
      </c>
      <c r="Z9" s="24" t="s">
        <v>8427</v>
      </c>
      <c r="AA9" s="24" t="s">
        <v>8634</v>
      </c>
      <c r="AB9" s="30"/>
      <c r="AC9" s="30">
        <v>5.5054999999999996</v>
      </c>
      <c r="AD9" s="30">
        <v>5.5054999999999996</v>
      </c>
      <c r="AE9" s="59"/>
      <c r="AF9" s="59"/>
      <c r="AG9" s="35" t="s">
        <v>1104</v>
      </c>
      <c r="AH9" s="202" t="s">
        <v>19</v>
      </c>
      <c r="AI9" s="35" t="s">
        <v>1880</v>
      </c>
      <c r="AJ9" s="1183"/>
    </row>
    <row r="10" spans="1:36" s="11" customFormat="1" ht="26.25" customHeight="1" x14ac:dyDescent="0.15">
      <c r="A10" s="8">
        <f t="shared" si="0"/>
        <v>8</v>
      </c>
      <c r="B10" s="36" t="s">
        <v>8431</v>
      </c>
      <c r="C10" s="1184" t="s">
        <v>111</v>
      </c>
      <c r="D10" s="1184" t="s">
        <v>111</v>
      </c>
      <c r="E10" s="1184" t="s">
        <v>111</v>
      </c>
      <c r="F10" s="29" t="s">
        <v>4423</v>
      </c>
      <c r="G10" s="53" t="s">
        <v>5092</v>
      </c>
      <c r="H10" s="26" t="s">
        <v>448</v>
      </c>
      <c r="I10" s="26" t="s">
        <v>448</v>
      </c>
      <c r="J10" s="26" t="s">
        <v>448</v>
      </c>
      <c r="K10" s="1182" t="s">
        <v>1147</v>
      </c>
      <c r="L10" s="1182" t="s">
        <v>2067</v>
      </c>
      <c r="M10" s="1182" t="s">
        <v>4426</v>
      </c>
      <c r="N10" s="22" t="s">
        <v>1138</v>
      </c>
      <c r="O10" s="1183" t="s">
        <v>5431</v>
      </c>
      <c r="P10" s="1184" t="s">
        <v>111</v>
      </c>
      <c r="Q10" s="1184" t="s">
        <v>1818</v>
      </c>
      <c r="R10" s="222" t="s">
        <v>8699</v>
      </c>
      <c r="S10" s="1184" t="s">
        <v>19</v>
      </c>
      <c r="T10" s="1183" t="s">
        <v>1811</v>
      </c>
      <c r="U10" s="1183" t="s">
        <v>2072</v>
      </c>
      <c r="V10" s="24" t="s">
        <v>8420</v>
      </c>
      <c r="W10" s="90" t="s">
        <v>8426</v>
      </c>
      <c r="X10" s="24" t="s">
        <v>2359</v>
      </c>
      <c r="Y10" s="24">
        <v>1</v>
      </c>
      <c r="Z10" s="24" t="s">
        <v>8427</v>
      </c>
      <c r="AA10" s="24" t="s">
        <v>8634</v>
      </c>
      <c r="AB10" s="30"/>
      <c r="AC10" s="30">
        <v>5.5054999999999996</v>
      </c>
      <c r="AD10" s="30">
        <v>5.5054999999999996</v>
      </c>
      <c r="AE10" s="59"/>
      <c r="AF10" s="59"/>
      <c r="AG10" s="35" t="s">
        <v>1104</v>
      </c>
      <c r="AH10" s="202" t="s">
        <v>19</v>
      </c>
      <c r="AI10" s="35" t="s">
        <v>1880</v>
      </c>
      <c r="AJ10" s="1183"/>
    </row>
    <row r="11" spans="1:36" s="11" customFormat="1" ht="26.25" customHeight="1" x14ac:dyDescent="0.15">
      <c r="A11" s="8">
        <f t="shared" si="0"/>
        <v>9</v>
      </c>
      <c r="B11" s="36" t="s">
        <v>8432</v>
      </c>
      <c r="C11" s="1184" t="s">
        <v>111</v>
      </c>
      <c r="D11" s="1184" t="s">
        <v>111</v>
      </c>
      <c r="E11" s="1184" t="s">
        <v>111</v>
      </c>
      <c r="F11" s="29" t="s">
        <v>6521</v>
      </c>
      <c r="G11" s="53" t="s">
        <v>5092</v>
      </c>
      <c r="H11" s="26" t="s">
        <v>448</v>
      </c>
      <c r="I11" s="26" t="s">
        <v>448</v>
      </c>
      <c r="J11" s="26" t="s">
        <v>448</v>
      </c>
      <c r="K11" s="1182" t="s">
        <v>1147</v>
      </c>
      <c r="L11" s="1182" t="s">
        <v>2067</v>
      </c>
      <c r="M11" s="1182" t="s">
        <v>2340</v>
      </c>
      <c r="N11" s="22" t="s">
        <v>1138</v>
      </c>
      <c r="O11" s="1184" t="s">
        <v>1826</v>
      </c>
      <c r="P11" s="1184" t="s">
        <v>111</v>
      </c>
      <c r="Q11" s="28" t="s">
        <v>25</v>
      </c>
      <c r="R11" s="222" t="s">
        <v>8699</v>
      </c>
      <c r="S11" s="1184" t="s">
        <v>19</v>
      </c>
      <c r="T11" s="1183" t="s">
        <v>1811</v>
      </c>
      <c r="U11" s="1183" t="s">
        <v>2072</v>
      </c>
      <c r="V11" s="24" t="s">
        <v>8420</v>
      </c>
      <c r="W11" s="90" t="s">
        <v>8426</v>
      </c>
      <c r="X11" s="24" t="s">
        <v>2359</v>
      </c>
      <c r="Y11" s="24">
        <v>1</v>
      </c>
      <c r="Z11" s="24" t="s">
        <v>8427</v>
      </c>
      <c r="AA11" s="24" t="s">
        <v>8634</v>
      </c>
      <c r="AB11" s="30"/>
      <c r="AC11" s="30">
        <v>5.5054999999999996</v>
      </c>
      <c r="AD11" s="30">
        <v>5.5054999999999996</v>
      </c>
      <c r="AE11" s="59"/>
      <c r="AF11" s="59"/>
      <c r="AG11" s="1184" t="s">
        <v>1104</v>
      </c>
      <c r="AH11" s="202" t="s">
        <v>1880</v>
      </c>
      <c r="AI11" s="133" t="s">
        <v>1880</v>
      </c>
      <c r="AJ11" s="1183"/>
    </row>
    <row r="12" spans="1:36" s="11" customFormat="1" ht="26.25" customHeight="1" x14ac:dyDescent="0.15">
      <c r="A12" s="8">
        <f t="shared" si="0"/>
        <v>10</v>
      </c>
      <c r="B12" s="36" t="s">
        <v>8433</v>
      </c>
      <c r="C12" s="1184" t="s">
        <v>111</v>
      </c>
      <c r="D12" s="1184" t="s">
        <v>111</v>
      </c>
      <c r="E12" s="1184" t="s">
        <v>111</v>
      </c>
      <c r="F12" s="29" t="s">
        <v>6522</v>
      </c>
      <c r="G12" s="53" t="s">
        <v>5092</v>
      </c>
      <c r="H12" s="26" t="s">
        <v>448</v>
      </c>
      <c r="I12" s="26" t="s">
        <v>448</v>
      </c>
      <c r="J12" s="26" t="s">
        <v>448</v>
      </c>
      <c r="K12" s="1182" t="s">
        <v>1147</v>
      </c>
      <c r="L12" s="1182" t="s">
        <v>2067</v>
      </c>
      <c r="M12" s="1182" t="s">
        <v>4481</v>
      </c>
      <c r="N12" s="22" t="s">
        <v>4640</v>
      </c>
      <c r="O12" s="1184" t="s">
        <v>1826</v>
      </c>
      <c r="P12" s="1184" t="s">
        <v>111</v>
      </c>
      <c r="Q12" s="28" t="s">
        <v>25</v>
      </c>
      <c r="R12" s="222" t="s">
        <v>8699</v>
      </c>
      <c r="S12" s="1184" t="s">
        <v>19</v>
      </c>
      <c r="T12" s="1183" t="s">
        <v>1811</v>
      </c>
      <c r="U12" s="1183" t="s">
        <v>2072</v>
      </c>
      <c r="V12" s="24" t="s">
        <v>8420</v>
      </c>
      <c r="W12" s="90" t="s">
        <v>8426</v>
      </c>
      <c r="X12" s="24" t="s">
        <v>2359</v>
      </c>
      <c r="Y12" s="24">
        <v>1</v>
      </c>
      <c r="Z12" s="24" t="s">
        <v>8427</v>
      </c>
      <c r="AA12" s="24" t="s">
        <v>8634</v>
      </c>
      <c r="AB12" s="30"/>
      <c r="AC12" s="30">
        <v>5.5054999999999996</v>
      </c>
      <c r="AD12" s="30">
        <v>5.5054999999999996</v>
      </c>
      <c r="AE12" s="59"/>
      <c r="AF12" s="59"/>
      <c r="AG12" s="1184" t="s">
        <v>1104</v>
      </c>
      <c r="AH12" s="202" t="s">
        <v>1880</v>
      </c>
      <c r="AI12" s="133" t="s">
        <v>1880</v>
      </c>
      <c r="AJ12" s="1183"/>
    </row>
    <row r="13" spans="1:36" s="11" customFormat="1" ht="26.25" customHeight="1" x14ac:dyDescent="0.15">
      <c r="A13" s="8">
        <f t="shared" si="0"/>
        <v>11</v>
      </c>
      <c r="B13" s="36" t="s">
        <v>8434</v>
      </c>
      <c r="C13" s="1184" t="s">
        <v>111</v>
      </c>
      <c r="D13" s="1184" t="s">
        <v>111</v>
      </c>
      <c r="E13" s="1184" t="s">
        <v>111</v>
      </c>
      <c r="F13" s="29" t="s">
        <v>438</v>
      </c>
      <c r="G13" s="53" t="s">
        <v>5092</v>
      </c>
      <c r="H13" s="26" t="s">
        <v>448</v>
      </c>
      <c r="I13" s="26" t="s">
        <v>448</v>
      </c>
      <c r="J13" s="26" t="s">
        <v>448</v>
      </c>
      <c r="K13" s="1182" t="s">
        <v>1147</v>
      </c>
      <c r="L13" s="1182" t="s">
        <v>2067</v>
      </c>
      <c r="M13" s="1182" t="s">
        <v>1821</v>
      </c>
      <c r="N13" s="22" t="s">
        <v>3805</v>
      </c>
      <c r="O13" s="1184" t="s">
        <v>1826</v>
      </c>
      <c r="P13" s="1184" t="s">
        <v>111</v>
      </c>
      <c r="Q13" s="28" t="s">
        <v>25</v>
      </c>
      <c r="R13" s="222" t="s">
        <v>8699</v>
      </c>
      <c r="S13" s="1184" t="s">
        <v>19</v>
      </c>
      <c r="T13" s="1183" t="s">
        <v>1811</v>
      </c>
      <c r="U13" s="1183" t="s">
        <v>2072</v>
      </c>
      <c r="V13" s="24" t="s">
        <v>8420</v>
      </c>
      <c r="W13" s="90" t="s">
        <v>8426</v>
      </c>
      <c r="X13" s="24" t="s">
        <v>2359</v>
      </c>
      <c r="Y13" s="24">
        <v>1</v>
      </c>
      <c r="Z13" s="24" t="s">
        <v>8427</v>
      </c>
      <c r="AA13" s="24" t="s">
        <v>8634</v>
      </c>
      <c r="AB13" s="30"/>
      <c r="AC13" s="30">
        <v>5.5054999999999996</v>
      </c>
      <c r="AD13" s="30">
        <v>5.5054999999999996</v>
      </c>
      <c r="AE13" s="59"/>
      <c r="AF13" s="59"/>
      <c r="AG13" s="1184" t="s">
        <v>1104</v>
      </c>
      <c r="AH13" s="202" t="s">
        <v>1880</v>
      </c>
      <c r="AI13" s="133" t="s">
        <v>1880</v>
      </c>
      <c r="AJ13" s="1183"/>
    </row>
    <row r="14" spans="1:36" s="11" customFormat="1" ht="26.25" customHeight="1" x14ac:dyDescent="0.15">
      <c r="A14" s="8">
        <v>12</v>
      </c>
      <c r="B14" s="36" t="s">
        <v>8435</v>
      </c>
      <c r="C14" s="71" t="s">
        <v>8458</v>
      </c>
      <c r="D14" s="1184" t="s">
        <v>111</v>
      </c>
      <c r="E14" s="1184" t="s">
        <v>111</v>
      </c>
      <c r="F14" s="29" t="s">
        <v>6813</v>
      </c>
      <c r="G14" s="53" t="s">
        <v>7589</v>
      </c>
      <c r="H14" s="26" t="s">
        <v>448</v>
      </c>
      <c r="I14" s="26" t="s">
        <v>448</v>
      </c>
      <c r="J14" s="26" t="s">
        <v>448</v>
      </c>
      <c r="K14" s="1183" t="s">
        <v>4195</v>
      </c>
      <c r="L14" s="1183" t="s">
        <v>4196</v>
      </c>
      <c r="M14" s="1183" t="s">
        <v>5912</v>
      </c>
      <c r="N14" s="22" t="s">
        <v>4780</v>
      </c>
      <c r="O14" s="22" t="s">
        <v>5431</v>
      </c>
      <c r="P14" s="1184" t="s">
        <v>111</v>
      </c>
      <c r="Q14" s="1183" t="s">
        <v>2441</v>
      </c>
      <c r="R14" s="54" t="s">
        <v>6929</v>
      </c>
      <c r="S14" s="22" t="s">
        <v>1880</v>
      </c>
      <c r="T14" s="1183" t="s">
        <v>7428</v>
      </c>
      <c r="U14" s="1183" t="s">
        <v>2072</v>
      </c>
      <c r="V14" s="24" t="s">
        <v>8420</v>
      </c>
      <c r="W14" s="90" t="s">
        <v>8230</v>
      </c>
      <c r="X14" s="10" t="s">
        <v>1800</v>
      </c>
      <c r="Y14" s="10">
        <v>1</v>
      </c>
      <c r="Z14" s="24" t="s">
        <v>448</v>
      </c>
      <c r="AA14" s="24" t="s">
        <v>448</v>
      </c>
      <c r="AB14" s="136">
        <v>36.591996999999999</v>
      </c>
      <c r="AC14" s="30"/>
      <c r="AD14" s="136">
        <v>36.591996999999999</v>
      </c>
      <c r="AE14" s="59"/>
      <c r="AF14" s="59"/>
      <c r="AG14" s="35" t="s">
        <v>1104</v>
      </c>
      <c r="AH14" s="202" t="s">
        <v>19</v>
      </c>
      <c r="AI14" s="35" t="s">
        <v>1880</v>
      </c>
      <c r="AJ14" s="1183"/>
    </row>
    <row r="15" spans="1:36" s="11" customFormat="1" ht="26.25" customHeight="1" x14ac:dyDescent="0.15">
      <c r="A15" s="8">
        <f t="shared" si="0"/>
        <v>13</v>
      </c>
      <c r="B15" s="36" t="s">
        <v>8416</v>
      </c>
      <c r="C15" s="71" t="s">
        <v>8459</v>
      </c>
      <c r="D15" s="1184" t="s">
        <v>111</v>
      </c>
      <c r="E15" s="1184" t="s">
        <v>111</v>
      </c>
      <c r="F15" s="29" t="s">
        <v>6213</v>
      </c>
      <c r="G15" s="53" t="s">
        <v>8436</v>
      </c>
      <c r="H15" s="26" t="s">
        <v>448</v>
      </c>
      <c r="I15" s="26" t="s">
        <v>448</v>
      </c>
      <c r="J15" s="26" t="s">
        <v>448</v>
      </c>
      <c r="K15" s="1183" t="s">
        <v>4195</v>
      </c>
      <c r="L15" s="1183" t="s">
        <v>4728</v>
      </c>
      <c r="M15" s="1183" t="s">
        <v>6215</v>
      </c>
      <c r="N15" s="22" t="s">
        <v>6216</v>
      </c>
      <c r="O15" s="22" t="s">
        <v>5431</v>
      </c>
      <c r="P15" s="1184" t="s">
        <v>1860</v>
      </c>
      <c r="Q15" s="28" t="s">
        <v>138</v>
      </c>
      <c r="R15" s="54" t="s">
        <v>4534</v>
      </c>
      <c r="S15" s="22" t="s">
        <v>1880</v>
      </c>
      <c r="T15" s="1183" t="s">
        <v>1894</v>
      </c>
      <c r="U15" s="1183" t="s">
        <v>1894</v>
      </c>
      <c r="V15" s="24" t="s">
        <v>8420</v>
      </c>
      <c r="W15" s="90" t="s">
        <v>6545</v>
      </c>
      <c r="X15" s="24" t="s">
        <v>110</v>
      </c>
      <c r="Y15" s="24">
        <v>2</v>
      </c>
      <c r="Z15" s="24" t="s">
        <v>448</v>
      </c>
      <c r="AA15" s="24" t="s">
        <v>448</v>
      </c>
      <c r="AB15" s="30">
        <v>9.1</v>
      </c>
      <c r="AC15" s="30"/>
      <c r="AD15" s="30">
        <v>9.1</v>
      </c>
      <c r="AE15" s="59"/>
      <c r="AF15" s="59"/>
      <c r="AG15" s="35" t="s">
        <v>1104</v>
      </c>
      <c r="AH15" s="202" t="s">
        <v>19</v>
      </c>
      <c r="AI15" s="35" t="s">
        <v>1880</v>
      </c>
      <c r="AJ15" s="1183"/>
    </row>
    <row r="16" spans="1:36" s="11" customFormat="1" ht="26.25" customHeight="1" x14ac:dyDescent="0.15">
      <c r="A16" s="8">
        <f t="shared" si="0"/>
        <v>14</v>
      </c>
      <c r="B16" s="36" t="s">
        <v>8417</v>
      </c>
      <c r="C16" s="71" t="s">
        <v>8460</v>
      </c>
      <c r="D16" s="1184" t="s">
        <v>111</v>
      </c>
      <c r="E16" s="1184" t="s">
        <v>111</v>
      </c>
      <c r="F16" s="29" t="s">
        <v>8454</v>
      </c>
      <c r="G16" s="53" t="s">
        <v>8455</v>
      </c>
      <c r="H16" s="26" t="s">
        <v>448</v>
      </c>
      <c r="I16" s="26" t="s">
        <v>448</v>
      </c>
      <c r="J16" s="26" t="s">
        <v>448</v>
      </c>
      <c r="K16" s="1183" t="s">
        <v>4791</v>
      </c>
      <c r="L16" s="1183" t="s">
        <v>6451</v>
      </c>
      <c r="M16" s="1183" t="s">
        <v>8452</v>
      </c>
      <c r="N16" s="22" t="s">
        <v>8453</v>
      </c>
      <c r="O16" s="22" t="s">
        <v>5431</v>
      </c>
      <c r="P16" s="1184" t="s">
        <v>111</v>
      </c>
      <c r="Q16" s="28" t="s">
        <v>25</v>
      </c>
      <c r="R16" s="54" t="s">
        <v>2224</v>
      </c>
      <c r="S16" s="22" t="s">
        <v>1880</v>
      </c>
      <c r="T16" s="1183" t="s">
        <v>446</v>
      </c>
      <c r="U16" s="1183" t="s">
        <v>446</v>
      </c>
      <c r="V16" s="24" t="s">
        <v>8420</v>
      </c>
      <c r="W16" s="90" t="s">
        <v>8457</v>
      </c>
      <c r="X16" s="10" t="s">
        <v>1800</v>
      </c>
      <c r="Y16" s="10">
        <v>1</v>
      </c>
      <c r="Z16" s="24" t="s">
        <v>8441</v>
      </c>
      <c r="AA16" s="24" t="s">
        <v>8456</v>
      </c>
      <c r="AB16" s="30">
        <v>5</v>
      </c>
      <c r="AC16" s="30"/>
      <c r="AD16" s="30">
        <v>5</v>
      </c>
      <c r="AE16" s="59"/>
      <c r="AF16" s="59"/>
      <c r="AG16" s="35" t="s">
        <v>1104</v>
      </c>
      <c r="AH16" s="202" t="s">
        <v>19</v>
      </c>
      <c r="AI16" s="35" t="s">
        <v>1880</v>
      </c>
      <c r="AJ16" s="1183"/>
    </row>
    <row r="17" spans="1:36" s="11" customFormat="1" ht="26.25" customHeight="1" x14ac:dyDescent="0.15">
      <c r="A17" s="8">
        <f t="shared" si="0"/>
        <v>15</v>
      </c>
      <c r="B17" s="36" t="s">
        <v>8418</v>
      </c>
      <c r="C17" s="1184" t="s">
        <v>111</v>
      </c>
      <c r="D17" s="1184" t="s">
        <v>111</v>
      </c>
      <c r="E17" s="1184" t="s">
        <v>111</v>
      </c>
      <c r="F17" s="29" t="s">
        <v>5635</v>
      </c>
      <c r="G17" s="53" t="s">
        <v>8440</v>
      </c>
      <c r="H17" s="26" t="s">
        <v>448</v>
      </c>
      <c r="I17" s="26" t="s">
        <v>448</v>
      </c>
      <c r="J17" s="26" t="s">
        <v>448</v>
      </c>
      <c r="K17" s="1182" t="s">
        <v>4712</v>
      </c>
      <c r="L17" s="1182" t="s">
        <v>4196</v>
      </c>
      <c r="M17" s="1182" t="s">
        <v>5637</v>
      </c>
      <c r="N17" s="22" t="s">
        <v>4780</v>
      </c>
      <c r="O17" s="22" t="s">
        <v>5431</v>
      </c>
      <c r="P17" s="1184" t="s">
        <v>111</v>
      </c>
      <c r="Q17" s="1183" t="s">
        <v>1131</v>
      </c>
      <c r="R17" s="54" t="s">
        <v>5638</v>
      </c>
      <c r="S17" s="22" t="s">
        <v>1880</v>
      </c>
      <c r="T17" s="1183" t="s">
        <v>5571</v>
      </c>
      <c r="U17" s="1183" t="s">
        <v>5571</v>
      </c>
      <c r="V17" s="24" t="s">
        <v>8420</v>
      </c>
      <c r="W17" s="90" t="s">
        <v>8443</v>
      </c>
      <c r="X17" s="24" t="s">
        <v>2359</v>
      </c>
      <c r="Y17" s="24">
        <v>1</v>
      </c>
      <c r="Z17" s="24" t="s">
        <v>8441</v>
      </c>
      <c r="AA17" s="24" t="s">
        <v>6470</v>
      </c>
      <c r="AB17" s="30"/>
      <c r="AC17" s="30">
        <v>20.5</v>
      </c>
      <c r="AD17" s="30">
        <v>20.5</v>
      </c>
      <c r="AE17" s="59"/>
      <c r="AF17" s="59"/>
      <c r="AG17" s="35" t="s">
        <v>1104</v>
      </c>
      <c r="AH17" s="202" t="s">
        <v>19</v>
      </c>
      <c r="AI17" s="35" t="s">
        <v>1880</v>
      </c>
      <c r="AJ17" s="1183"/>
    </row>
    <row r="18" spans="1:36" s="11" customFormat="1" ht="26.25" customHeight="1" x14ac:dyDescent="0.15">
      <c r="A18" s="8">
        <f t="shared" si="0"/>
        <v>16</v>
      </c>
      <c r="B18" s="36" t="s">
        <v>8437</v>
      </c>
      <c r="C18" s="1184" t="s">
        <v>111</v>
      </c>
      <c r="D18" s="1184" t="s">
        <v>111</v>
      </c>
      <c r="E18" s="1184" t="s">
        <v>111</v>
      </c>
      <c r="F18" s="29" t="s">
        <v>5640</v>
      </c>
      <c r="G18" s="53" t="s">
        <v>8442</v>
      </c>
      <c r="H18" s="26" t="s">
        <v>448</v>
      </c>
      <c r="I18" s="26" t="s">
        <v>448</v>
      </c>
      <c r="J18" s="26" t="s">
        <v>448</v>
      </c>
      <c r="K18" s="1182" t="s">
        <v>4712</v>
      </c>
      <c r="L18" s="1182" t="s">
        <v>4196</v>
      </c>
      <c r="M18" s="1182" t="s">
        <v>5430</v>
      </c>
      <c r="N18" s="22" t="s">
        <v>4780</v>
      </c>
      <c r="O18" s="22" t="s">
        <v>5431</v>
      </c>
      <c r="P18" s="1184" t="s">
        <v>111</v>
      </c>
      <c r="Q18" s="1183" t="s">
        <v>1131</v>
      </c>
      <c r="R18" s="54" t="s">
        <v>5638</v>
      </c>
      <c r="S18" s="22" t="s">
        <v>1880</v>
      </c>
      <c r="T18" s="1183" t="s">
        <v>5571</v>
      </c>
      <c r="U18" s="1183" t="s">
        <v>5571</v>
      </c>
      <c r="V18" s="24" t="s">
        <v>8420</v>
      </c>
      <c r="W18" s="90" t="s">
        <v>8443</v>
      </c>
      <c r="X18" s="24" t="s">
        <v>2359</v>
      </c>
      <c r="Y18" s="24">
        <v>1</v>
      </c>
      <c r="Z18" s="24" t="s">
        <v>8441</v>
      </c>
      <c r="AA18" s="24" t="s">
        <v>6470</v>
      </c>
      <c r="AB18" s="30"/>
      <c r="AC18" s="30">
        <v>23.5</v>
      </c>
      <c r="AD18" s="30">
        <v>23.5</v>
      </c>
      <c r="AE18" s="59"/>
      <c r="AF18" s="59"/>
      <c r="AG18" s="35" t="s">
        <v>1104</v>
      </c>
      <c r="AH18" s="202" t="s">
        <v>19</v>
      </c>
      <c r="AI18" s="35" t="s">
        <v>1880</v>
      </c>
      <c r="AJ18" s="1183"/>
    </row>
    <row r="19" spans="1:36" s="11" customFormat="1" ht="26.25" customHeight="1" x14ac:dyDescent="0.15">
      <c r="A19" s="8">
        <f t="shared" si="0"/>
        <v>17</v>
      </c>
      <c r="B19" s="36" t="s">
        <v>8438</v>
      </c>
      <c r="C19" s="1184" t="s">
        <v>111</v>
      </c>
      <c r="D19" s="1184" t="s">
        <v>111</v>
      </c>
      <c r="E19" s="1184" t="s">
        <v>111</v>
      </c>
      <c r="F19" s="29" t="s">
        <v>5642</v>
      </c>
      <c r="G19" s="53" t="s">
        <v>8444</v>
      </c>
      <c r="H19" s="26" t="s">
        <v>448</v>
      </c>
      <c r="I19" s="26" t="s">
        <v>448</v>
      </c>
      <c r="J19" s="26" t="s">
        <v>448</v>
      </c>
      <c r="K19" s="1182" t="s">
        <v>4712</v>
      </c>
      <c r="L19" s="1182" t="s">
        <v>4196</v>
      </c>
      <c r="M19" s="1182" t="s">
        <v>5395</v>
      </c>
      <c r="N19" s="22" t="s">
        <v>4780</v>
      </c>
      <c r="O19" s="22" t="s">
        <v>5431</v>
      </c>
      <c r="P19" s="1184" t="s">
        <v>111</v>
      </c>
      <c r="Q19" s="1183" t="s">
        <v>1131</v>
      </c>
      <c r="R19" s="54" t="s">
        <v>5638</v>
      </c>
      <c r="S19" s="22" t="s">
        <v>1880</v>
      </c>
      <c r="T19" s="1183" t="s">
        <v>5571</v>
      </c>
      <c r="U19" s="1183" t="s">
        <v>5571</v>
      </c>
      <c r="V19" s="24" t="s">
        <v>8420</v>
      </c>
      <c r="W19" s="90" t="s">
        <v>8443</v>
      </c>
      <c r="X19" s="24" t="s">
        <v>2359</v>
      </c>
      <c r="Y19" s="24">
        <v>1</v>
      </c>
      <c r="Z19" s="24" t="s">
        <v>8441</v>
      </c>
      <c r="AA19" s="24" t="s">
        <v>6470</v>
      </c>
      <c r="AB19" s="30"/>
      <c r="AC19" s="30">
        <v>23</v>
      </c>
      <c r="AD19" s="30">
        <v>23</v>
      </c>
      <c r="AE19" s="59"/>
      <c r="AF19" s="59"/>
      <c r="AG19" s="35" t="s">
        <v>1104</v>
      </c>
      <c r="AH19" s="202" t="s">
        <v>19</v>
      </c>
      <c r="AI19" s="35" t="s">
        <v>1880</v>
      </c>
      <c r="AJ19" s="1183"/>
    </row>
    <row r="20" spans="1:36" s="11" customFormat="1" ht="26.25" customHeight="1" x14ac:dyDescent="0.15">
      <c r="A20" s="8">
        <f t="shared" si="0"/>
        <v>18</v>
      </c>
      <c r="B20" s="36" t="s">
        <v>8439</v>
      </c>
      <c r="C20" s="1184" t="s">
        <v>111</v>
      </c>
      <c r="D20" s="1184" t="s">
        <v>111</v>
      </c>
      <c r="E20" s="1184" t="s">
        <v>111</v>
      </c>
      <c r="F20" s="29" t="s">
        <v>5644</v>
      </c>
      <c r="G20" s="53" t="s">
        <v>8445</v>
      </c>
      <c r="H20" s="26" t="s">
        <v>448</v>
      </c>
      <c r="I20" s="26" t="s">
        <v>448</v>
      </c>
      <c r="J20" s="26" t="s">
        <v>448</v>
      </c>
      <c r="K20" s="1182" t="s">
        <v>4712</v>
      </c>
      <c r="L20" s="1182" t="s">
        <v>4196</v>
      </c>
      <c r="M20" s="1182" t="s">
        <v>5646</v>
      </c>
      <c r="N20" s="22" t="s">
        <v>4780</v>
      </c>
      <c r="O20" s="22" t="s">
        <v>5431</v>
      </c>
      <c r="P20" s="1184" t="s">
        <v>111</v>
      </c>
      <c r="Q20" s="1183" t="s">
        <v>1131</v>
      </c>
      <c r="R20" s="54" t="s">
        <v>5638</v>
      </c>
      <c r="S20" s="22" t="s">
        <v>1880</v>
      </c>
      <c r="T20" s="1183" t="s">
        <v>5571</v>
      </c>
      <c r="U20" s="1183" t="s">
        <v>5571</v>
      </c>
      <c r="V20" s="24" t="s">
        <v>8420</v>
      </c>
      <c r="W20" s="90" t="s">
        <v>8443</v>
      </c>
      <c r="X20" s="24" t="s">
        <v>2359</v>
      </c>
      <c r="Y20" s="24">
        <v>1</v>
      </c>
      <c r="Z20" s="24" t="s">
        <v>8441</v>
      </c>
      <c r="AA20" s="24" t="s">
        <v>6470</v>
      </c>
      <c r="AB20" s="30"/>
      <c r="AC20" s="30">
        <v>23</v>
      </c>
      <c r="AD20" s="30">
        <v>23</v>
      </c>
      <c r="AE20" s="59"/>
      <c r="AF20" s="59"/>
      <c r="AG20" s="35" t="s">
        <v>1104</v>
      </c>
      <c r="AH20" s="202" t="s">
        <v>19</v>
      </c>
      <c r="AI20" s="35" t="s">
        <v>1880</v>
      </c>
      <c r="AJ20" s="1183"/>
    </row>
    <row r="21" spans="1:36" s="11" customFormat="1" ht="26.25" customHeight="1" x14ac:dyDescent="0.15">
      <c r="A21" s="8">
        <f t="shared" si="0"/>
        <v>19</v>
      </c>
      <c r="B21" s="36" t="s">
        <v>8446</v>
      </c>
      <c r="C21" s="26" t="s">
        <v>19</v>
      </c>
      <c r="D21" s="26" t="s">
        <v>19</v>
      </c>
      <c r="E21" s="26" t="s">
        <v>19</v>
      </c>
      <c r="F21" s="29" t="s">
        <v>8050</v>
      </c>
      <c r="G21" s="53" t="s">
        <v>8449</v>
      </c>
      <c r="H21" s="26" t="s">
        <v>448</v>
      </c>
      <c r="I21" s="26" t="s">
        <v>448</v>
      </c>
      <c r="J21" s="26" t="s">
        <v>448</v>
      </c>
      <c r="K21" s="1182" t="s">
        <v>4195</v>
      </c>
      <c r="L21" s="1182" t="s">
        <v>5419</v>
      </c>
      <c r="M21" s="1182" t="s">
        <v>7675</v>
      </c>
      <c r="N21" s="22" t="s">
        <v>4780</v>
      </c>
      <c r="O21" s="1184" t="s">
        <v>5478</v>
      </c>
      <c r="P21" s="1184" t="s">
        <v>111</v>
      </c>
      <c r="Q21" s="1183" t="s">
        <v>4676</v>
      </c>
      <c r="R21" s="54" t="s">
        <v>116</v>
      </c>
      <c r="S21" s="1184" t="s">
        <v>111</v>
      </c>
      <c r="T21" s="1183" t="s">
        <v>414</v>
      </c>
      <c r="U21" s="1183" t="s">
        <v>414</v>
      </c>
      <c r="V21" s="24" t="s">
        <v>8420</v>
      </c>
      <c r="W21" s="90" t="s">
        <v>8450</v>
      </c>
      <c r="X21" s="24" t="s">
        <v>110</v>
      </c>
      <c r="Y21" s="24">
        <v>1</v>
      </c>
      <c r="Z21" s="24" t="s">
        <v>8441</v>
      </c>
      <c r="AA21" s="24" t="s">
        <v>6470</v>
      </c>
      <c r="AB21" s="30"/>
      <c r="AC21" s="30">
        <v>10.35</v>
      </c>
      <c r="AD21" s="30">
        <v>10.35</v>
      </c>
      <c r="AE21" s="59"/>
      <c r="AF21" s="59"/>
      <c r="AG21" s="1184" t="s">
        <v>1104</v>
      </c>
      <c r="AH21" s="202" t="s">
        <v>1880</v>
      </c>
      <c r="AI21" s="133" t="s">
        <v>1880</v>
      </c>
      <c r="AJ21" s="1183"/>
    </row>
    <row r="22" spans="1:36" s="11" customFormat="1" ht="26.25" customHeight="1" x14ac:dyDescent="0.15">
      <c r="A22" s="8">
        <f t="shared" si="0"/>
        <v>20</v>
      </c>
      <c r="B22" s="36" t="s">
        <v>8447</v>
      </c>
      <c r="C22" s="26" t="s">
        <v>19</v>
      </c>
      <c r="D22" s="26" t="s">
        <v>9463</v>
      </c>
      <c r="E22" s="26" t="s">
        <v>19</v>
      </c>
      <c r="F22" s="29" t="s">
        <v>2481</v>
      </c>
      <c r="G22" s="53" t="s">
        <v>5092</v>
      </c>
      <c r="H22" s="26" t="s">
        <v>448</v>
      </c>
      <c r="I22" s="26" t="s">
        <v>448</v>
      </c>
      <c r="J22" s="26" t="s">
        <v>448</v>
      </c>
      <c r="K22" s="1182" t="s">
        <v>1147</v>
      </c>
      <c r="L22" s="1182" t="s">
        <v>1789</v>
      </c>
      <c r="M22" s="37" t="s">
        <v>2484</v>
      </c>
      <c r="N22" s="22" t="s">
        <v>2485</v>
      </c>
      <c r="O22" s="22" t="s">
        <v>1826</v>
      </c>
      <c r="P22" s="1184" t="s">
        <v>111</v>
      </c>
      <c r="Q22" s="1183" t="s">
        <v>1131</v>
      </c>
      <c r="R22" s="54" t="s">
        <v>116</v>
      </c>
      <c r="S22" s="71" t="s">
        <v>19</v>
      </c>
      <c r="T22" s="1183" t="s">
        <v>1811</v>
      </c>
      <c r="U22" s="1183" t="s">
        <v>414</v>
      </c>
      <c r="V22" s="24" t="s">
        <v>8420</v>
      </c>
      <c r="W22" s="90" t="s">
        <v>8450</v>
      </c>
      <c r="X22" s="24" t="s">
        <v>110</v>
      </c>
      <c r="Y22" s="24">
        <v>1</v>
      </c>
      <c r="Z22" s="24" t="s">
        <v>8441</v>
      </c>
      <c r="AA22" s="24" t="s">
        <v>6470</v>
      </c>
      <c r="AB22" s="30"/>
      <c r="AC22" s="30">
        <v>14.55</v>
      </c>
      <c r="AD22" s="30">
        <v>14.55</v>
      </c>
      <c r="AE22" s="59"/>
      <c r="AF22" s="59"/>
      <c r="AG22" s="35" t="s">
        <v>1104</v>
      </c>
      <c r="AH22" s="202" t="s">
        <v>1880</v>
      </c>
      <c r="AI22" s="35" t="s">
        <v>1880</v>
      </c>
      <c r="AJ22" s="1183"/>
    </row>
    <row r="23" spans="1:36" s="11" customFormat="1" ht="26.25" customHeight="1" x14ac:dyDescent="0.15">
      <c r="A23" s="8">
        <f t="shared" si="0"/>
        <v>21</v>
      </c>
      <c r="B23" s="36" t="s">
        <v>8448</v>
      </c>
      <c r="C23" s="26" t="s">
        <v>19</v>
      </c>
      <c r="D23" s="26" t="s">
        <v>19</v>
      </c>
      <c r="E23" s="26" t="s">
        <v>19</v>
      </c>
      <c r="F23" s="29" t="s">
        <v>6616</v>
      </c>
      <c r="G23" s="53" t="s">
        <v>8451</v>
      </c>
      <c r="H23" s="26" t="s">
        <v>448</v>
      </c>
      <c r="I23" s="26" t="s">
        <v>448</v>
      </c>
      <c r="J23" s="26" t="s">
        <v>448</v>
      </c>
      <c r="K23" s="1182" t="s">
        <v>1147</v>
      </c>
      <c r="L23" s="1182" t="s">
        <v>1789</v>
      </c>
      <c r="M23" s="1183" t="s">
        <v>3486</v>
      </c>
      <c r="N23" s="22" t="s">
        <v>2180</v>
      </c>
      <c r="O23" s="22" t="s">
        <v>2142</v>
      </c>
      <c r="P23" s="22" t="s">
        <v>1880</v>
      </c>
      <c r="Q23" s="1183" t="s">
        <v>4676</v>
      </c>
      <c r="R23" s="54" t="s">
        <v>116</v>
      </c>
      <c r="S23" s="22" t="s">
        <v>1880</v>
      </c>
      <c r="T23" s="1183" t="s">
        <v>1811</v>
      </c>
      <c r="U23" s="1183" t="s">
        <v>1811</v>
      </c>
      <c r="V23" s="24" t="s">
        <v>8420</v>
      </c>
      <c r="W23" s="90" t="s">
        <v>8450</v>
      </c>
      <c r="X23" s="24" t="s">
        <v>110</v>
      </c>
      <c r="Y23" s="24">
        <v>1</v>
      </c>
      <c r="Z23" s="24" t="s">
        <v>8441</v>
      </c>
      <c r="AA23" s="24" t="s">
        <v>6470</v>
      </c>
      <c r="AB23" s="30"/>
      <c r="AC23" s="30">
        <v>10.35</v>
      </c>
      <c r="AD23" s="30">
        <v>10.35</v>
      </c>
      <c r="AE23" s="59"/>
      <c r="AF23" s="59"/>
      <c r="AG23" s="35" t="s">
        <v>1104</v>
      </c>
      <c r="AH23" s="202" t="s">
        <v>1880</v>
      </c>
      <c r="AI23" s="35" t="s">
        <v>1880</v>
      </c>
      <c r="AJ23" s="1183"/>
    </row>
    <row r="24" spans="1:36" s="11" customFormat="1" ht="26.25" customHeight="1" x14ac:dyDescent="0.15">
      <c r="A24" s="8">
        <f t="shared" si="0"/>
        <v>22</v>
      </c>
      <c r="B24" s="36" t="s">
        <v>8463</v>
      </c>
      <c r="C24" s="1187" t="s">
        <v>111</v>
      </c>
      <c r="D24" s="1187" t="s">
        <v>111</v>
      </c>
      <c r="E24" s="1187" t="s">
        <v>111</v>
      </c>
      <c r="F24" s="29" t="s">
        <v>6231</v>
      </c>
      <c r="G24" s="53" t="s">
        <v>8464</v>
      </c>
      <c r="H24" s="26" t="s">
        <v>448</v>
      </c>
      <c r="I24" s="26" t="s">
        <v>448</v>
      </c>
      <c r="J24" s="26" t="s">
        <v>448</v>
      </c>
      <c r="K24" s="1185" t="s">
        <v>4195</v>
      </c>
      <c r="L24" s="1186" t="s">
        <v>4728</v>
      </c>
      <c r="M24" s="1185" t="s">
        <v>6233</v>
      </c>
      <c r="N24" s="22" t="s">
        <v>6236</v>
      </c>
      <c r="O24" s="22" t="s">
        <v>5431</v>
      </c>
      <c r="P24" s="1187" t="s">
        <v>1880</v>
      </c>
      <c r="Q24" s="216" t="s">
        <v>25</v>
      </c>
      <c r="R24" s="54" t="s">
        <v>8525</v>
      </c>
      <c r="S24" s="22" t="s">
        <v>1880</v>
      </c>
      <c r="T24" s="1186" t="s">
        <v>1894</v>
      </c>
      <c r="U24" s="1186" t="s">
        <v>1894</v>
      </c>
      <c r="V24" s="24" t="s">
        <v>8465</v>
      </c>
      <c r="W24" s="90" t="s">
        <v>8466</v>
      </c>
      <c r="X24" s="24" t="s">
        <v>110</v>
      </c>
      <c r="Y24" s="24">
        <v>2</v>
      </c>
      <c r="Z24" s="24" t="s">
        <v>8466</v>
      </c>
      <c r="AA24" s="24" t="s">
        <v>8528</v>
      </c>
      <c r="AB24" s="30"/>
      <c r="AC24" s="30">
        <v>18.399999999999999</v>
      </c>
      <c r="AD24" s="30">
        <v>18.399999999999999</v>
      </c>
      <c r="AE24" s="59"/>
      <c r="AF24" s="59"/>
      <c r="AG24" s="35" t="s">
        <v>1104</v>
      </c>
      <c r="AH24" s="202" t="s">
        <v>19</v>
      </c>
      <c r="AI24" s="35" t="s">
        <v>1880</v>
      </c>
      <c r="AJ24" s="1186"/>
    </row>
    <row r="25" spans="1:36" s="11" customFormat="1" ht="26.25" customHeight="1" x14ac:dyDescent="0.15">
      <c r="A25" s="8">
        <f t="shared" si="0"/>
        <v>23</v>
      </c>
      <c r="B25" s="36" t="s">
        <v>8467</v>
      </c>
      <c r="C25" s="1187" t="s">
        <v>111</v>
      </c>
      <c r="D25" s="1187" t="s">
        <v>111</v>
      </c>
      <c r="E25" s="1187" t="s">
        <v>111</v>
      </c>
      <c r="F25" s="29" t="s">
        <v>6213</v>
      </c>
      <c r="G25" s="53" t="s">
        <v>8468</v>
      </c>
      <c r="H25" s="26" t="s">
        <v>448</v>
      </c>
      <c r="I25" s="26" t="s">
        <v>448</v>
      </c>
      <c r="J25" s="26" t="s">
        <v>448</v>
      </c>
      <c r="K25" s="1186" t="s">
        <v>4195</v>
      </c>
      <c r="L25" s="1186" t="s">
        <v>4728</v>
      </c>
      <c r="M25" s="1186" t="s">
        <v>6215</v>
      </c>
      <c r="N25" s="22" t="s">
        <v>6216</v>
      </c>
      <c r="O25" s="22" t="s">
        <v>5431</v>
      </c>
      <c r="P25" s="1187" t="s">
        <v>1880</v>
      </c>
      <c r="Q25" s="216" t="s">
        <v>25</v>
      </c>
      <c r="R25" s="54" t="s">
        <v>8525</v>
      </c>
      <c r="S25" s="22" t="s">
        <v>1880</v>
      </c>
      <c r="T25" s="1186" t="s">
        <v>1894</v>
      </c>
      <c r="U25" s="1186" t="s">
        <v>1894</v>
      </c>
      <c r="V25" s="24" t="s">
        <v>8469</v>
      </c>
      <c r="W25" s="90" t="s">
        <v>8470</v>
      </c>
      <c r="X25" s="24" t="s">
        <v>110</v>
      </c>
      <c r="Y25" s="24">
        <v>2</v>
      </c>
      <c r="Z25" s="24" t="s">
        <v>8470</v>
      </c>
      <c r="AA25" s="24" t="s">
        <v>8532</v>
      </c>
      <c r="AB25" s="30"/>
      <c r="AC25" s="30">
        <v>18.399999999999999</v>
      </c>
      <c r="AD25" s="30">
        <v>18.399999999999999</v>
      </c>
      <c r="AE25" s="59"/>
      <c r="AF25" s="59"/>
      <c r="AG25" s="35" t="s">
        <v>1104</v>
      </c>
      <c r="AH25" s="202" t="s">
        <v>19</v>
      </c>
      <c r="AI25" s="35" t="s">
        <v>1880</v>
      </c>
      <c r="AJ25" s="1186"/>
    </row>
    <row r="26" spans="1:36" s="11" customFormat="1" ht="26.25" customHeight="1" x14ac:dyDescent="0.15">
      <c r="A26" s="8">
        <f t="shared" si="0"/>
        <v>24</v>
      </c>
      <c r="B26" s="36" t="s">
        <v>8474</v>
      </c>
      <c r="C26" s="26" t="s">
        <v>19</v>
      </c>
      <c r="D26" s="26" t="s">
        <v>19</v>
      </c>
      <c r="E26" s="26" t="s">
        <v>19</v>
      </c>
      <c r="F26" s="29" t="s">
        <v>6639</v>
      </c>
      <c r="G26" s="53" t="s">
        <v>8478</v>
      </c>
      <c r="H26" s="26" t="s">
        <v>448</v>
      </c>
      <c r="I26" s="26" t="s">
        <v>448</v>
      </c>
      <c r="J26" s="26" t="s">
        <v>448</v>
      </c>
      <c r="K26" s="1188" t="s">
        <v>4791</v>
      </c>
      <c r="L26" s="1188" t="s">
        <v>3101</v>
      </c>
      <c r="M26" s="1188" t="s">
        <v>6641</v>
      </c>
      <c r="N26" s="22" t="s">
        <v>7829</v>
      </c>
      <c r="O26" s="1189" t="s">
        <v>5431</v>
      </c>
      <c r="P26" s="1190" t="s">
        <v>111</v>
      </c>
      <c r="Q26" s="1189" t="s">
        <v>1131</v>
      </c>
      <c r="R26" s="54" t="s">
        <v>116</v>
      </c>
      <c r="S26" s="22" t="s">
        <v>1880</v>
      </c>
      <c r="T26" s="1189" t="s">
        <v>446</v>
      </c>
      <c r="U26" s="1189" t="s">
        <v>446</v>
      </c>
      <c r="V26" s="24" t="s">
        <v>8479</v>
      </c>
      <c r="W26" s="90" t="s">
        <v>8480</v>
      </c>
      <c r="X26" s="24" t="s">
        <v>110</v>
      </c>
      <c r="Y26" s="24">
        <v>1</v>
      </c>
      <c r="Z26" s="24" t="s">
        <v>8441</v>
      </c>
      <c r="AA26" s="24" t="s">
        <v>6470</v>
      </c>
      <c r="AB26" s="30"/>
      <c r="AC26" s="30">
        <v>8</v>
      </c>
      <c r="AD26" s="30">
        <v>8</v>
      </c>
      <c r="AE26" s="59"/>
      <c r="AF26" s="59"/>
      <c r="AG26" s="35" t="s">
        <v>1104</v>
      </c>
      <c r="AH26" s="202" t="s">
        <v>19</v>
      </c>
      <c r="AI26" s="35" t="s">
        <v>1880</v>
      </c>
      <c r="AJ26" s="1189"/>
    </row>
    <row r="27" spans="1:36" s="11" customFormat="1" ht="26.25" customHeight="1" x14ac:dyDescent="0.15">
      <c r="A27" s="8">
        <f t="shared" si="0"/>
        <v>25</v>
      </c>
      <c r="B27" s="36" t="s">
        <v>8475</v>
      </c>
      <c r="C27" s="26" t="s">
        <v>19</v>
      </c>
      <c r="D27" s="26" t="s">
        <v>19</v>
      </c>
      <c r="E27" s="26" t="s">
        <v>19</v>
      </c>
      <c r="F27" s="29" t="s">
        <v>6582</v>
      </c>
      <c r="G27" s="53" t="s">
        <v>8481</v>
      </c>
      <c r="H27" s="26" t="s">
        <v>448</v>
      </c>
      <c r="I27" s="26" t="s">
        <v>448</v>
      </c>
      <c r="J27" s="26" t="s">
        <v>448</v>
      </c>
      <c r="K27" s="1" t="s">
        <v>1457</v>
      </c>
      <c r="L27" s="142" t="s">
        <v>225</v>
      </c>
      <c r="M27" s="1" t="s">
        <v>5316</v>
      </c>
      <c r="N27" s="22" t="s">
        <v>4780</v>
      </c>
      <c r="O27" s="22" t="s">
        <v>5478</v>
      </c>
      <c r="P27" s="1190" t="s">
        <v>111</v>
      </c>
      <c r="Q27" s="1189" t="s">
        <v>4676</v>
      </c>
      <c r="R27" s="54" t="s">
        <v>116</v>
      </c>
      <c r="S27" s="1190" t="s">
        <v>111</v>
      </c>
      <c r="T27" s="1189" t="s">
        <v>5487</v>
      </c>
      <c r="U27" s="1189" t="s">
        <v>5487</v>
      </c>
      <c r="V27" s="24" t="s">
        <v>8479</v>
      </c>
      <c r="W27" s="90" t="s">
        <v>7629</v>
      </c>
      <c r="X27" s="1190" t="s">
        <v>2359</v>
      </c>
      <c r="Y27" s="24">
        <v>3</v>
      </c>
      <c r="Z27" s="24" t="s">
        <v>8482</v>
      </c>
      <c r="AA27" s="24" t="s">
        <v>8483</v>
      </c>
      <c r="AB27" s="30"/>
      <c r="AC27" s="30">
        <v>12</v>
      </c>
      <c r="AD27" s="30">
        <v>12</v>
      </c>
      <c r="AE27" s="59"/>
      <c r="AF27" s="59"/>
      <c r="AG27" s="1190" t="s">
        <v>1104</v>
      </c>
      <c r="AH27" s="202" t="s">
        <v>1880</v>
      </c>
      <c r="AI27" s="133" t="s">
        <v>1880</v>
      </c>
      <c r="AJ27" s="1189"/>
    </row>
    <row r="28" spans="1:36" s="11" customFormat="1" ht="26.25" customHeight="1" x14ac:dyDescent="0.15">
      <c r="A28" s="8">
        <f t="shared" si="0"/>
        <v>26</v>
      </c>
      <c r="B28" s="36" t="s">
        <v>8476</v>
      </c>
      <c r="C28" s="26" t="s">
        <v>19</v>
      </c>
      <c r="D28" s="26" t="s">
        <v>19</v>
      </c>
      <c r="E28" s="26" t="s">
        <v>19</v>
      </c>
      <c r="F28" s="52" t="s">
        <v>2492</v>
      </c>
      <c r="G28" s="53" t="s">
        <v>8484</v>
      </c>
      <c r="H28" s="26" t="s">
        <v>448</v>
      </c>
      <c r="I28" s="26" t="s">
        <v>448</v>
      </c>
      <c r="J28" s="26" t="s">
        <v>448</v>
      </c>
      <c r="K28" s="1188" t="s">
        <v>1147</v>
      </c>
      <c r="L28" s="1188" t="s">
        <v>1789</v>
      </c>
      <c r="M28" s="1189" t="s">
        <v>3485</v>
      </c>
      <c r="N28" s="22" t="s">
        <v>2141</v>
      </c>
      <c r="O28" s="22" t="s">
        <v>2142</v>
      </c>
      <c r="P28" s="22" t="s">
        <v>1880</v>
      </c>
      <c r="Q28" s="1189" t="s">
        <v>2422</v>
      </c>
      <c r="R28" s="47" t="s">
        <v>1819</v>
      </c>
      <c r="S28" s="22" t="s">
        <v>1880</v>
      </c>
      <c r="T28" s="1189" t="s">
        <v>1811</v>
      </c>
      <c r="U28" s="1189" t="s">
        <v>3591</v>
      </c>
      <c r="V28" s="24" t="s">
        <v>8479</v>
      </c>
      <c r="W28" s="50" t="s">
        <v>8485</v>
      </c>
      <c r="X28" s="1190" t="s">
        <v>2359</v>
      </c>
      <c r="Y28" s="1190">
        <v>1</v>
      </c>
      <c r="Z28" s="24" t="s">
        <v>8441</v>
      </c>
      <c r="AA28" s="24" t="s">
        <v>6470</v>
      </c>
      <c r="AB28" s="30"/>
      <c r="AC28" s="136">
        <v>10.199999999999999</v>
      </c>
      <c r="AD28" s="136">
        <v>10.199999999999999</v>
      </c>
      <c r="AE28" s="59"/>
      <c r="AF28" s="59"/>
      <c r="AG28" s="35" t="s">
        <v>1104</v>
      </c>
      <c r="AH28" s="202" t="s">
        <v>1880</v>
      </c>
      <c r="AI28" s="35" t="s">
        <v>1880</v>
      </c>
      <c r="AJ28" s="1189"/>
    </row>
    <row r="29" spans="1:36" s="11" customFormat="1" ht="26.25" customHeight="1" x14ac:dyDescent="0.15">
      <c r="A29" s="8">
        <f t="shared" si="0"/>
        <v>27</v>
      </c>
      <c r="B29" s="36" t="s">
        <v>8486</v>
      </c>
      <c r="C29" s="26" t="s">
        <v>19</v>
      </c>
      <c r="D29" s="26" t="s">
        <v>19</v>
      </c>
      <c r="E29" s="26" t="s">
        <v>19</v>
      </c>
      <c r="F29" s="29" t="s">
        <v>2492</v>
      </c>
      <c r="G29" s="53" t="s">
        <v>8488</v>
      </c>
      <c r="H29" s="26" t="s">
        <v>448</v>
      </c>
      <c r="I29" s="26" t="s">
        <v>448</v>
      </c>
      <c r="J29" s="26" t="s">
        <v>448</v>
      </c>
      <c r="K29" s="1188" t="s">
        <v>1147</v>
      </c>
      <c r="L29" s="1188" t="s">
        <v>1789</v>
      </c>
      <c r="M29" s="1188" t="s">
        <v>2494</v>
      </c>
      <c r="N29" s="22" t="s">
        <v>2495</v>
      </c>
      <c r="O29" s="22" t="s">
        <v>1826</v>
      </c>
      <c r="P29" s="1190" t="s">
        <v>111</v>
      </c>
      <c r="Q29" s="1189" t="s">
        <v>1818</v>
      </c>
      <c r="R29" s="54" t="s">
        <v>1819</v>
      </c>
      <c r="S29" s="71" t="s">
        <v>19</v>
      </c>
      <c r="T29" s="1189" t="s">
        <v>1811</v>
      </c>
      <c r="U29" s="1191" t="s">
        <v>3591</v>
      </c>
      <c r="V29" s="24" t="s">
        <v>8479</v>
      </c>
      <c r="W29" s="50" t="s">
        <v>8485</v>
      </c>
      <c r="X29" s="1190" t="s">
        <v>2359</v>
      </c>
      <c r="Y29" s="1190">
        <v>1</v>
      </c>
      <c r="Z29" s="24" t="s">
        <v>8441</v>
      </c>
      <c r="AA29" s="24" t="s">
        <v>6470</v>
      </c>
      <c r="AB29" s="30"/>
      <c r="AC29" s="30">
        <v>9.1999999999999993</v>
      </c>
      <c r="AD29" s="30">
        <v>9.1999999999999993</v>
      </c>
      <c r="AE29" s="59"/>
      <c r="AF29" s="59"/>
      <c r="AG29" s="35" t="s">
        <v>1104</v>
      </c>
      <c r="AH29" s="202" t="s">
        <v>1880</v>
      </c>
      <c r="AI29" s="35" t="s">
        <v>1880</v>
      </c>
      <c r="AJ29" s="1189"/>
    </row>
    <row r="30" spans="1:36" s="11" customFormat="1" ht="26.25" customHeight="1" x14ac:dyDescent="0.15">
      <c r="A30" s="8">
        <f t="shared" si="0"/>
        <v>28</v>
      </c>
      <c r="B30" s="36" t="s">
        <v>8487</v>
      </c>
      <c r="C30" s="26" t="s">
        <v>19</v>
      </c>
      <c r="D30" s="26" t="s">
        <v>19</v>
      </c>
      <c r="E30" s="26" t="s">
        <v>19</v>
      </c>
      <c r="F30" s="29" t="s">
        <v>2492</v>
      </c>
      <c r="G30" s="53" t="s">
        <v>8488</v>
      </c>
      <c r="H30" s="26" t="s">
        <v>448</v>
      </c>
      <c r="I30" s="26" t="s">
        <v>448</v>
      </c>
      <c r="J30" s="26" t="s">
        <v>448</v>
      </c>
      <c r="K30" s="1188" t="s">
        <v>1147</v>
      </c>
      <c r="L30" s="1188" t="s">
        <v>1789</v>
      </c>
      <c r="M30" s="1188" t="s">
        <v>2498</v>
      </c>
      <c r="N30" s="22" t="s">
        <v>1138</v>
      </c>
      <c r="O30" s="22" t="s">
        <v>1826</v>
      </c>
      <c r="P30" s="1190" t="s">
        <v>111</v>
      </c>
      <c r="Q30" s="1189" t="s">
        <v>1818</v>
      </c>
      <c r="R30" s="54" t="s">
        <v>1819</v>
      </c>
      <c r="S30" s="71" t="s">
        <v>19</v>
      </c>
      <c r="T30" s="1189" t="s">
        <v>1811</v>
      </c>
      <c r="U30" s="1296" t="s">
        <v>3591</v>
      </c>
      <c r="V30" s="24" t="s">
        <v>8479</v>
      </c>
      <c r="W30" s="50" t="s">
        <v>8485</v>
      </c>
      <c r="X30" s="1190" t="s">
        <v>2359</v>
      </c>
      <c r="Y30" s="1190">
        <v>1</v>
      </c>
      <c r="Z30" s="24" t="s">
        <v>8441</v>
      </c>
      <c r="AA30" s="24" t="s">
        <v>6470</v>
      </c>
      <c r="AB30" s="30"/>
      <c r="AC30" s="30">
        <v>9.1999999999999993</v>
      </c>
      <c r="AD30" s="30">
        <v>9.1999999999999993</v>
      </c>
      <c r="AE30" s="59"/>
      <c r="AF30" s="59"/>
      <c r="AG30" s="35" t="s">
        <v>1104</v>
      </c>
      <c r="AH30" s="202" t="s">
        <v>1880</v>
      </c>
      <c r="AI30" s="35" t="s">
        <v>1880</v>
      </c>
      <c r="AJ30" s="1189"/>
    </row>
    <row r="31" spans="1:36" s="11" customFormat="1" ht="26.25" customHeight="1" x14ac:dyDescent="0.15">
      <c r="A31" s="8">
        <f t="shared" si="0"/>
        <v>29</v>
      </c>
      <c r="B31" s="36" t="s">
        <v>8477</v>
      </c>
      <c r="C31" s="1190" t="s">
        <v>111</v>
      </c>
      <c r="D31" s="1190" t="s">
        <v>111</v>
      </c>
      <c r="E31" s="1190" t="s">
        <v>111</v>
      </c>
      <c r="F31" s="29" t="s">
        <v>8489</v>
      </c>
      <c r="G31" s="29" t="s">
        <v>8490</v>
      </c>
      <c r="H31" s="26" t="s">
        <v>448</v>
      </c>
      <c r="I31" s="26" t="s">
        <v>448</v>
      </c>
      <c r="J31" s="26" t="s">
        <v>448</v>
      </c>
      <c r="K31" s="1189" t="s">
        <v>4712</v>
      </c>
      <c r="L31" s="1189" t="s">
        <v>1124</v>
      </c>
      <c r="M31" s="1189" t="s">
        <v>5961</v>
      </c>
      <c r="N31" s="1190" t="s">
        <v>4780</v>
      </c>
      <c r="O31" s="1190" t="s">
        <v>5431</v>
      </c>
      <c r="P31" s="1190" t="s">
        <v>111</v>
      </c>
      <c r="Q31" s="1189" t="s">
        <v>1131</v>
      </c>
      <c r="R31" s="54" t="s">
        <v>116</v>
      </c>
      <c r="S31" s="1190" t="s">
        <v>111</v>
      </c>
      <c r="T31" s="1189" t="s">
        <v>5571</v>
      </c>
      <c r="U31" s="1189" t="s">
        <v>5571</v>
      </c>
      <c r="V31" s="24" t="s">
        <v>8479</v>
      </c>
      <c r="W31" s="90" t="s">
        <v>8482</v>
      </c>
      <c r="X31" s="1190" t="s">
        <v>2359</v>
      </c>
      <c r="Y31" s="1190">
        <v>1</v>
      </c>
      <c r="Z31" s="24" t="s">
        <v>8491</v>
      </c>
      <c r="AA31" s="24" t="s">
        <v>8492</v>
      </c>
      <c r="AB31" s="30"/>
      <c r="AC31" s="30">
        <v>8</v>
      </c>
      <c r="AD31" s="30">
        <v>8</v>
      </c>
      <c r="AE31" s="59"/>
      <c r="AF31" s="59"/>
      <c r="AG31" s="35" t="s">
        <v>1104</v>
      </c>
      <c r="AH31" s="202" t="s">
        <v>19</v>
      </c>
      <c r="AI31" s="35" t="s">
        <v>1880</v>
      </c>
      <c r="AJ31" s="1189"/>
    </row>
    <row r="32" spans="1:36" s="11" customFormat="1" ht="26.25" customHeight="1" x14ac:dyDescent="0.15">
      <c r="A32" s="8">
        <f t="shared" si="0"/>
        <v>30</v>
      </c>
      <c r="B32" s="36" t="s">
        <v>8493</v>
      </c>
      <c r="C32" s="71" t="s">
        <v>6454</v>
      </c>
      <c r="D32" s="1194" t="s">
        <v>111</v>
      </c>
      <c r="E32" s="1194" t="s">
        <v>111</v>
      </c>
      <c r="F32" s="29" t="s">
        <v>7184</v>
      </c>
      <c r="G32" s="53" t="s">
        <v>8499</v>
      </c>
      <c r="H32" s="26" t="s">
        <v>448</v>
      </c>
      <c r="I32" s="26" t="s">
        <v>448</v>
      </c>
      <c r="J32" s="26" t="s">
        <v>448</v>
      </c>
      <c r="K32" s="1194" t="s">
        <v>3649</v>
      </c>
      <c r="L32" s="1194" t="s">
        <v>6451</v>
      </c>
      <c r="M32" s="37" t="s">
        <v>6452</v>
      </c>
      <c r="N32" s="22" t="s">
        <v>4780</v>
      </c>
      <c r="O32" s="22" t="s">
        <v>1826</v>
      </c>
      <c r="P32" s="1194" t="s">
        <v>111</v>
      </c>
      <c r="Q32" s="1193" t="s">
        <v>445</v>
      </c>
      <c r="R32" s="54" t="s">
        <v>6453</v>
      </c>
      <c r="S32" s="22" t="s">
        <v>1880</v>
      </c>
      <c r="T32" s="1193" t="s">
        <v>5487</v>
      </c>
      <c r="U32" s="1193" t="s">
        <v>5487</v>
      </c>
      <c r="V32" s="24" t="s">
        <v>8500</v>
      </c>
      <c r="W32" s="90" t="s">
        <v>7386</v>
      </c>
      <c r="X32" s="24" t="s">
        <v>110</v>
      </c>
      <c r="Y32" s="24">
        <v>2</v>
      </c>
      <c r="Z32" s="24" t="s">
        <v>448</v>
      </c>
      <c r="AA32" s="24" t="s">
        <v>448</v>
      </c>
      <c r="AB32" s="30">
        <v>14.9</v>
      </c>
      <c r="AC32" s="30"/>
      <c r="AD32" s="30">
        <v>14.9</v>
      </c>
      <c r="AE32" s="59"/>
      <c r="AF32" s="59"/>
      <c r="AG32" s="35" t="s">
        <v>1104</v>
      </c>
      <c r="AH32" s="202" t="s">
        <v>19</v>
      </c>
      <c r="AI32" s="35" t="s">
        <v>1880</v>
      </c>
      <c r="AJ32" s="1193" t="s">
        <v>8501</v>
      </c>
    </row>
    <row r="33" spans="1:36" s="11" customFormat="1" ht="26.25" customHeight="1" x14ac:dyDescent="0.15">
      <c r="A33" s="8">
        <f t="shared" si="0"/>
        <v>31</v>
      </c>
      <c r="B33" s="36" t="s">
        <v>8494</v>
      </c>
      <c r="C33" s="1194" t="s">
        <v>111</v>
      </c>
      <c r="D33" s="1194" t="s">
        <v>111</v>
      </c>
      <c r="E33" s="1194" t="s">
        <v>111</v>
      </c>
      <c r="F33" s="29" t="s">
        <v>6670</v>
      </c>
      <c r="G33" s="53" t="s">
        <v>8504</v>
      </c>
      <c r="H33" s="26" t="s">
        <v>448</v>
      </c>
      <c r="I33" s="26" t="s">
        <v>448</v>
      </c>
      <c r="J33" s="26" t="s">
        <v>448</v>
      </c>
      <c r="K33" s="1192" t="s">
        <v>2113</v>
      </c>
      <c r="L33" s="1192" t="s">
        <v>1779</v>
      </c>
      <c r="M33" s="1192" t="s">
        <v>1778</v>
      </c>
      <c r="N33" s="22" t="s">
        <v>1777</v>
      </c>
      <c r="O33" s="1194" t="s">
        <v>1826</v>
      </c>
      <c r="P33" s="1194" t="s">
        <v>111</v>
      </c>
      <c r="Q33" s="1193" t="s">
        <v>445</v>
      </c>
      <c r="R33" s="54" t="s">
        <v>8503</v>
      </c>
      <c r="S33" s="1194" t="s">
        <v>111</v>
      </c>
      <c r="T33" s="1193" t="s">
        <v>5489</v>
      </c>
      <c r="U33" s="1193" t="s">
        <v>5489</v>
      </c>
      <c r="V33" s="24" t="s">
        <v>8505</v>
      </c>
      <c r="W33" s="90" t="s">
        <v>8506</v>
      </c>
      <c r="X33" s="1194" t="s">
        <v>2359</v>
      </c>
      <c r="Y33" s="1194">
        <v>2</v>
      </c>
      <c r="Z33" s="24" t="s">
        <v>448</v>
      </c>
      <c r="AA33" s="24" t="s">
        <v>448</v>
      </c>
      <c r="AB33" s="30">
        <v>6.7</v>
      </c>
      <c r="AC33" s="30"/>
      <c r="AD33" s="30">
        <v>6.7</v>
      </c>
      <c r="AE33" s="59"/>
      <c r="AF33" s="59"/>
      <c r="AG33" s="1194" t="s">
        <v>1104</v>
      </c>
      <c r="AH33" s="202" t="s">
        <v>1880</v>
      </c>
      <c r="AI33" s="133" t="s">
        <v>1880</v>
      </c>
      <c r="AJ33" s="1193"/>
    </row>
    <row r="34" spans="1:36" s="11" customFormat="1" ht="26.25" customHeight="1" x14ac:dyDescent="0.15">
      <c r="A34" s="8">
        <f t="shared" si="0"/>
        <v>32</v>
      </c>
      <c r="B34" s="36" t="s">
        <v>8495</v>
      </c>
      <c r="C34" s="1194" t="s">
        <v>111</v>
      </c>
      <c r="D34" s="1194" t="s">
        <v>111</v>
      </c>
      <c r="E34" s="1194" t="s">
        <v>111</v>
      </c>
      <c r="F34" s="29" t="s">
        <v>6670</v>
      </c>
      <c r="G34" s="53" t="s">
        <v>6671</v>
      </c>
      <c r="H34" s="26" t="s">
        <v>448</v>
      </c>
      <c r="I34" s="26" t="s">
        <v>448</v>
      </c>
      <c r="J34" s="26" t="s">
        <v>448</v>
      </c>
      <c r="K34" s="1192" t="s">
        <v>2113</v>
      </c>
      <c r="L34" s="1192" t="s">
        <v>1779</v>
      </c>
      <c r="M34" s="1192" t="s">
        <v>1778</v>
      </c>
      <c r="N34" s="22" t="s">
        <v>1777</v>
      </c>
      <c r="O34" s="1194" t="s">
        <v>1826</v>
      </c>
      <c r="P34" s="1194" t="s">
        <v>111</v>
      </c>
      <c r="Q34" s="1193" t="s">
        <v>1131</v>
      </c>
      <c r="R34" s="54" t="s">
        <v>116</v>
      </c>
      <c r="S34" s="1194" t="s">
        <v>111</v>
      </c>
      <c r="T34" s="1193" t="s">
        <v>5489</v>
      </c>
      <c r="U34" s="1193" t="s">
        <v>5489</v>
      </c>
      <c r="V34" s="24" t="s">
        <v>8505</v>
      </c>
      <c r="W34" s="90" t="s">
        <v>8506</v>
      </c>
      <c r="X34" s="1194" t="s">
        <v>2359</v>
      </c>
      <c r="Y34" s="1194">
        <v>2</v>
      </c>
      <c r="Z34" s="24" t="s">
        <v>8441</v>
      </c>
      <c r="AA34" s="24" t="s">
        <v>6470</v>
      </c>
      <c r="AB34" s="30"/>
      <c r="AC34" s="30">
        <v>8</v>
      </c>
      <c r="AD34" s="30">
        <v>8</v>
      </c>
      <c r="AE34" s="59"/>
      <c r="AF34" s="59"/>
      <c r="AG34" s="1194" t="s">
        <v>1104</v>
      </c>
      <c r="AH34" s="202" t="s">
        <v>1880</v>
      </c>
      <c r="AI34" s="133" t="s">
        <v>1880</v>
      </c>
      <c r="AJ34" s="1193"/>
    </row>
    <row r="35" spans="1:36" s="11" customFormat="1" ht="26.25" customHeight="1" x14ac:dyDescent="0.15">
      <c r="A35" s="8">
        <f t="shared" si="0"/>
        <v>33</v>
      </c>
      <c r="B35" s="36" t="s">
        <v>8496</v>
      </c>
      <c r="C35" s="1194" t="s">
        <v>111</v>
      </c>
      <c r="D35" s="1194" t="s">
        <v>11636</v>
      </c>
      <c r="E35" s="1194" t="s">
        <v>111</v>
      </c>
      <c r="F35" s="29" t="s">
        <v>7698</v>
      </c>
      <c r="G35" s="53" t="s">
        <v>7724</v>
      </c>
      <c r="H35" s="26" t="s">
        <v>448</v>
      </c>
      <c r="I35" s="26" t="s">
        <v>448</v>
      </c>
      <c r="J35" s="26" t="s">
        <v>448</v>
      </c>
      <c r="K35" s="1193" t="s">
        <v>3649</v>
      </c>
      <c r="L35" s="1193" t="s">
        <v>3101</v>
      </c>
      <c r="M35" s="1193" t="s">
        <v>6106</v>
      </c>
      <c r="N35" s="22" t="s">
        <v>7702</v>
      </c>
      <c r="O35" s="1194" t="s">
        <v>1826</v>
      </c>
      <c r="P35" s="1194" t="s">
        <v>111</v>
      </c>
      <c r="Q35" s="28" t="s">
        <v>25</v>
      </c>
      <c r="R35" s="151" t="s">
        <v>2423</v>
      </c>
      <c r="S35" s="1194" t="s">
        <v>111</v>
      </c>
      <c r="T35" s="1193" t="s">
        <v>446</v>
      </c>
      <c r="U35" s="1193" t="s">
        <v>446</v>
      </c>
      <c r="V35" s="24" t="s">
        <v>8500</v>
      </c>
      <c r="W35" s="90" t="s">
        <v>8507</v>
      </c>
      <c r="X35" s="24" t="s">
        <v>110</v>
      </c>
      <c r="Y35" s="24">
        <v>1</v>
      </c>
      <c r="Z35" s="24" t="s">
        <v>8508</v>
      </c>
      <c r="AA35" s="24" t="s">
        <v>8509</v>
      </c>
      <c r="AB35" s="30"/>
      <c r="AC35" s="30">
        <v>21</v>
      </c>
      <c r="AD35" s="30">
        <v>21</v>
      </c>
      <c r="AE35" s="59"/>
      <c r="AF35" s="59"/>
      <c r="AG35" s="1194" t="s">
        <v>1104</v>
      </c>
      <c r="AH35" s="202" t="s">
        <v>1880</v>
      </c>
      <c r="AI35" s="133" t="s">
        <v>1880</v>
      </c>
      <c r="AJ35" s="1193"/>
    </row>
    <row r="36" spans="1:36" s="11" customFormat="1" ht="26.25" customHeight="1" x14ac:dyDescent="0.15">
      <c r="A36" s="8">
        <f t="shared" si="0"/>
        <v>34</v>
      </c>
      <c r="B36" s="36" t="s">
        <v>8497</v>
      </c>
      <c r="C36" s="1194" t="s">
        <v>111</v>
      </c>
      <c r="D36" s="1194" t="s">
        <v>111</v>
      </c>
      <c r="E36" s="1194" t="s">
        <v>111</v>
      </c>
      <c r="F36" s="29" t="s">
        <v>7184</v>
      </c>
      <c r="G36" s="53" t="s">
        <v>8510</v>
      </c>
      <c r="H36" s="26" t="s">
        <v>448</v>
      </c>
      <c r="I36" s="26" t="s">
        <v>448</v>
      </c>
      <c r="J36" s="26" t="s">
        <v>448</v>
      </c>
      <c r="K36" s="18" t="s">
        <v>1449</v>
      </c>
      <c r="L36" s="18" t="s">
        <v>7186</v>
      </c>
      <c r="M36" s="1192" t="s">
        <v>7187</v>
      </c>
      <c r="N36" s="1194" t="s">
        <v>4780</v>
      </c>
      <c r="O36" s="22" t="s">
        <v>5431</v>
      </c>
      <c r="P36" s="1194" t="s">
        <v>111</v>
      </c>
      <c r="Q36" s="1194" t="s">
        <v>1818</v>
      </c>
      <c r="R36" s="54" t="s">
        <v>116</v>
      </c>
      <c r="S36" s="22" t="s">
        <v>1880</v>
      </c>
      <c r="T36" s="1193" t="s">
        <v>5487</v>
      </c>
      <c r="U36" s="1193" t="s">
        <v>5487</v>
      </c>
      <c r="V36" s="24" t="s">
        <v>8500</v>
      </c>
      <c r="W36" s="90" t="s">
        <v>8511</v>
      </c>
      <c r="X36" s="1194" t="s">
        <v>2359</v>
      </c>
      <c r="Y36" s="1194">
        <v>1</v>
      </c>
      <c r="Z36" s="24" t="s">
        <v>6545</v>
      </c>
      <c r="AA36" s="24" t="s">
        <v>6470</v>
      </c>
      <c r="AB36" s="30"/>
      <c r="AC36" s="30">
        <v>8</v>
      </c>
      <c r="AD36" s="30">
        <v>8</v>
      </c>
      <c r="AE36" s="59"/>
      <c r="AF36" s="59"/>
      <c r="AG36" s="35" t="s">
        <v>1104</v>
      </c>
      <c r="AH36" s="202" t="s">
        <v>19</v>
      </c>
      <c r="AI36" s="35" t="s">
        <v>1880</v>
      </c>
      <c r="AJ36" s="1193"/>
    </row>
    <row r="37" spans="1:36" s="11" customFormat="1" ht="26.25" customHeight="1" x14ac:dyDescent="0.15">
      <c r="A37" s="8">
        <f t="shared" si="0"/>
        <v>35</v>
      </c>
      <c r="B37" s="36" t="s">
        <v>8498</v>
      </c>
      <c r="C37" s="1194" t="s">
        <v>111</v>
      </c>
      <c r="D37" s="1194" t="s">
        <v>111</v>
      </c>
      <c r="E37" s="1194" t="s">
        <v>111</v>
      </c>
      <c r="F37" s="29" t="s">
        <v>5946</v>
      </c>
      <c r="G37" s="29" t="s">
        <v>8512</v>
      </c>
      <c r="H37" s="26" t="s">
        <v>448</v>
      </c>
      <c r="I37" s="26" t="s">
        <v>448</v>
      </c>
      <c r="J37" s="26" t="s">
        <v>448</v>
      </c>
      <c r="K37" s="1192" t="s">
        <v>5948</v>
      </c>
      <c r="L37" s="1192" t="s">
        <v>4692</v>
      </c>
      <c r="M37" s="1192" t="s">
        <v>5952</v>
      </c>
      <c r="N37" s="22" t="s">
        <v>4780</v>
      </c>
      <c r="O37" s="22" t="s">
        <v>5431</v>
      </c>
      <c r="P37" s="1194" t="s">
        <v>111</v>
      </c>
      <c r="Q37" s="1193" t="s">
        <v>1131</v>
      </c>
      <c r="R37" s="151" t="s">
        <v>6423</v>
      </c>
      <c r="S37" s="1194" t="s">
        <v>19</v>
      </c>
      <c r="T37" s="1193" t="s">
        <v>446</v>
      </c>
      <c r="U37" s="1193" t="s">
        <v>446</v>
      </c>
      <c r="V37" s="24" t="s">
        <v>8500</v>
      </c>
      <c r="W37" s="90" t="s">
        <v>8513</v>
      </c>
      <c r="X37" s="24" t="s">
        <v>110</v>
      </c>
      <c r="Y37" s="24">
        <v>1</v>
      </c>
      <c r="Z37" s="24" t="s">
        <v>8514</v>
      </c>
      <c r="AA37" s="24" t="s">
        <v>8515</v>
      </c>
      <c r="AB37" s="30"/>
      <c r="AC37" s="30">
        <v>3.5</v>
      </c>
      <c r="AD37" s="30">
        <v>3.5</v>
      </c>
      <c r="AE37" s="59"/>
      <c r="AF37" s="59"/>
      <c r="AG37" s="35" t="s">
        <v>1104</v>
      </c>
      <c r="AH37" s="202" t="s">
        <v>19</v>
      </c>
      <c r="AI37" s="35" t="s">
        <v>1880</v>
      </c>
      <c r="AJ37" s="1193"/>
    </row>
    <row r="38" spans="1:36" s="11" customFormat="1" ht="26.25" customHeight="1" x14ac:dyDescent="0.15">
      <c r="A38" s="8">
        <f t="shared" si="0"/>
        <v>36</v>
      </c>
      <c r="B38" s="36" t="s">
        <v>8521</v>
      </c>
      <c r="C38" s="1196" t="s">
        <v>111</v>
      </c>
      <c r="D38" s="1196" t="s">
        <v>111</v>
      </c>
      <c r="E38" s="1196" t="s">
        <v>111</v>
      </c>
      <c r="F38" s="29" t="s">
        <v>8516</v>
      </c>
      <c r="G38" s="29" t="s">
        <v>8520</v>
      </c>
      <c r="H38" s="26" t="s">
        <v>448</v>
      </c>
      <c r="I38" s="26" t="s">
        <v>448</v>
      </c>
      <c r="J38" s="26" t="s">
        <v>448</v>
      </c>
      <c r="K38" s="1" t="s">
        <v>23</v>
      </c>
      <c r="L38" s="142" t="s">
        <v>1448</v>
      </c>
      <c r="M38" s="329" t="s">
        <v>3491</v>
      </c>
      <c r="N38" s="330" t="s">
        <v>2466</v>
      </c>
      <c r="O38" s="1196" t="s">
        <v>2142</v>
      </c>
      <c r="P38" s="1196" t="s">
        <v>111</v>
      </c>
      <c r="Q38" s="1195" t="s">
        <v>4676</v>
      </c>
      <c r="R38" s="54" t="s">
        <v>1819</v>
      </c>
      <c r="S38" s="22" t="s">
        <v>1880</v>
      </c>
      <c r="T38" s="1195" t="s">
        <v>1152</v>
      </c>
      <c r="U38" s="1195" t="s">
        <v>1152</v>
      </c>
      <c r="V38" s="24" t="s">
        <v>8517</v>
      </c>
      <c r="W38" s="90" t="s">
        <v>8518</v>
      </c>
      <c r="X38" s="24" t="s">
        <v>110</v>
      </c>
      <c r="Y38" s="24">
        <v>1</v>
      </c>
      <c r="Z38" s="24" t="s">
        <v>8441</v>
      </c>
      <c r="AA38" s="24" t="s">
        <v>6470</v>
      </c>
      <c r="AB38" s="30"/>
      <c r="AC38" s="30">
        <v>8</v>
      </c>
      <c r="AD38" s="30">
        <v>8</v>
      </c>
      <c r="AE38" s="59"/>
      <c r="AF38" s="59"/>
      <c r="AG38" s="1196" t="s">
        <v>1104</v>
      </c>
      <c r="AH38" s="202" t="s">
        <v>1880</v>
      </c>
      <c r="AI38" s="133" t="s">
        <v>1880</v>
      </c>
      <c r="AJ38" s="1195" t="s">
        <v>8519</v>
      </c>
    </row>
    <row r="39" spans="1:36" s="11" customFormat="1" ht="26.25" customHeight="1" x14ac:dyDescent="0.15">
      <c r="A39" s="8">
        <f t="shared" si="0"/>
        <v>37</v>
      </c>
      <c r="B39" s="36" t="s">
        <v>8522</v>
      </c>
      <c r="C39" s="1199" t="s">
        <v>111</v>
      </c>
      <c r="D39" s="1199" t="s">
        <v>111</v>
      </c>
      <c r="E39" s="1199" t="s">
        <v>111</v>
      </c>
      <c r="F39" s="29" t="s">
        <v>6248</v>
      </c>
      <c r="G39" s="53" t="s">
        <v>8524</v>
      </c>
      <c r="H39" s="26" t="s">
        <v>448</v>
      </c>
      <c r="I39" s="26" t="s">
        <v>448</v>
      </c>
      <c r="J39" s="26" t="s">
        <v>448</v>
      </c>
      <c r="K39" s="1197" t="s">
        <v>4195</v>
      </c>
      <c r="L39" s="1197" t="s">
        <v>4728</v>
      </c>
      <c r="M39" s="1197" t="s">
        <v>5399</v>
      </c>
      <c r="N39" s="22" t="s">
        <v>6250</v>
      </c>
      <c r="O39" s="22" t="s">
        <v>5431</v>
      </c>
      <c r="P39" s="1199" t="s">
        <v>1880</v>
      </c>
      <c r="Q39" s="1198" t="s">
        <v>1131</v>
      </c>
      <c r="R39" s="54" t="s">
        <v>8525</v>
      </c>
      <c r="S39" s="22" t="s">
        <v>1880</v>
      </c>
      <c r="T39" s="1198" t="s">
        <v>1894</v>
      </c>
      <c r="U39" s="1198" t="s">
        <v>1894</v>
      </c>
      <c r="V39" s="24" t="s">
        <v>8428</v>
      </c>
      <c r="W39" s="90" t="s">
        <v>8526</v>
      </c>
      <c r="X39" s="24" t="s">
        <v>110</v>
      </c>
      <c r="Y39" s="24">
        <v>2</v>
      </c>
      <c r="Z39" s="24" t="s">
        <v>8527</v>
      </c>
      <c r="AA39" s="24" t="s">
        <v>8528</v>
      </c>
      <c r="AB39" s="30"/>
      <c r="AC39" s="30">
        <v>18.399999999999999</v>
      </c>
      <c r="AD39" s="30">
        <v>18.399999999999999</v>
      </c>
      <c r="AE39" s="59"/>
      <c r="AF39" s="59"/>
      <c r="AG39" s="35" t="s">
        <v>1104</v>
      </c>
      <c r="AH39" s="202" t="s">
        <v>19</v>
      </c>
      <c r="AI39" s="35" t="s">
        <v>1880</v>
      </c>
      <c r="AJ39" s="1198"/>
    </row>
    <row r="40" spans="1:36" s="11" customFormat="1" ht="26.25" customHeight="1" x14ac:dyDescent="0.15">
      <c r="A40" s="8">
        <f t="shared" si="0"/>
        <v>38</v>
      </c>
      <c r="B40" s="36" t="s">
        <v>8523</v>
      </c>
      <c r="C40" s="1199" t="s">
        <v>111</v>
      </c>
      <c r="D40" s="1199" t="s">
        <v>111</v>
      </c>
      <c r="E40" s="1199" t="s">
        <v>111</v>
      </c>
      <c r="F40" s="29" t="s">
        <v>5623</v>
      </c>
      <c r="G40" s="53" t="s">
        <v>8529</v>
      </c>
      <c r="H40" s="26" t="s">
        <v>448</v>
      </c>
      <c r="I40" s="26" t="s">
        <v>448</v>
      </c>
      <c r="J40" s="26" t="s">
        <v>448</v>
      </c>
      <c r="K40" s="1199" t="s">
        <v>2012</v>
      </c>
      <c r="L40" s="1199" t="s">
        <v>2437</v>
      </c>
      <c r="M40" s="1199" t="s">
        <v>6658</v>
      </c>
      <c r="N40" s="22" t="s">
        <v>4780</v>
      </c>
      <c r="O40" s="1199" t="s">
        <v>1826</v>
      </c>
      <c r="P40" s="1199" t="s">
        <v>111</v>
      </c>
      <c r="Q40" s="22" t="s">
        <v>454</v>
      </c>
      <c r="R40" s="54" t="s">
        <v>116</v>
      </c>
      <c r="S40" s="1199" t="s">
        <v>111</v>
      </c>
      <c r="T40" s="1198" t="s">
        <v>5571</v>
      </c>
      <c r="U40" s="1198" t="s">
        <v>5571</v>
      </c>
      <c r="V40" s="24" t="s">
        <v>8428</v>
      </c>
      <c r="W40" s="90" t="s">
        <v>8530</v>
      </c>
      <c r="X40" s="10" t="s">
        <v>1800</v>
      </c>
      <c r="Y40" s="10">
        <v>1</v>
      </c>
      <c r="Z40" s="24" t="s">
        <v>8482</v>
      </c>
      <c r="AA40" s="24" t="s">
        <v>8531</v>
      </c>
      <c r="AB40" s="30"/>
      <c r="AC40" s="30">
        <v>10</v>
      </c>
      <c r="AD40" s="30">
        <v>10</v>
      </c>
      <c r="AE40" s="59"/>
      <c r="AF40" s="59"/>
      <c r="AG40" s="1199" t="s">
        <v>1104</v>
      </c>
      <c r="AH40" s="202" t="s">
        <v>1880</v>
      </c>
      <c r="AI40" s="133" t="s">
        <v>1880</v>
      </c>
      <c r="AJ40" s="1198"/>
    </row>
    <row r="41" spans="1:36" s="11" customFormat="1" ht="26.25" customHeight="1" x14ac:dyDescent="0.15">
      <c r="A41" s="8">
        <f t="shared" si="0"/>
        <v>39</v>
      </c>
      <c r="B41" s="36" t="s">
        <v>8533</v>
      </c>
      <c r="C41" s="26" t="s">
        <v>19</v>
      </c>
      <c r="D41" s="26" t="s">
        <v>19</v>
      </c>
      <c r="E41" s="26" t="s">
        <v>19</v>
      </c>
      <c r="F41" s="29" t="s">
        <v>5975</v>
      </c>
      <c r="G41" s="53" t="s">
        <v>8535</v>
      </c>
      <c r="H41" s="26" t="s">
        <v>448</v>
      </c>
      <c r="I41" s="26" t="s">
        <v>448</v>
      </c>
      <c r="J41" s="26" t="s">
        <v>448</v>
      </c>
      <c r="K41" s="1200" t="s">
        <v>5448</v>
      </c>
      <c r="L41" s="1200" t="s">
        <v>1124</v>
      </c>
      <c r="M41" s="1200" t="s">
        <v>5449</v>
      </c>
      <c r="N41" s="22" t="s">
        <v>6198</v>
      </c>
      <c r="O41" s="22" t="s">
        <v>1826</v>
      </c>
      <c r="P41" s="1202" t="s">
        <v>1880</v>
      </c>
      <c r="Q41" s="216" t="s">
        <v>25</v>
      </c>
      <c r="R41" s="54" t="s">
        <v>116</v>
      </c>
      <c r="S41" s="22" t="s">
        <v>1880</v>
      </c>
      <c r="T41" s="1201" t="s">
        <v>5487</v>
      </c>
      <c r="U41" s="1201" t="s">
        <v>5487</v>
      </c>
      <c r="V41" s="24" t="s">
        <v>8536</v>
      </c>
      <c r="W41" s="90" t="s">
        <v>8530</v>
      </c>
      <c r="X41" s="24" t="s">
        <v>110</v>
      </c>
      <c r="Y41" s="24">
        <v>1</v>
      </c>
      <c r="Z41" s="24" t="s">
        <v>8441</v>
      </c>
      <c r="AA41" s="24" t="s">
        <v>6470</v>
      </c>
      <c r="AB41" s="30"/>
      <c r="AC41" s="30">
        <v>8</v>
      </c>
      <c r="AD41" s="30">
        <v>8</v>
      </c>
      <c r="AE41" s="59"/>
      <c r="AF41" s="59"/>
      <c r="AG41" s="35" t="s">
        <v>1104</v>
      </c>
      <c r="AH41" s="202" t="s">
        <v>19</v>
      </c>
      <c r="AI41" s="35" t="s">
        <v>1880</v>
      </c>
      <c r="AJ41" s="1201"/>
    </row>
    <row r="42" spans="1:36" s="11" customFormat="1" ht="26.25" customHeight="1" x14ac:dyDescent="0.15">
      <c r="A42" s="8">
        <f t="shared" si="0"/>
        <v>40</v>
      </c>
      <c r="B42" s="36" t="s">
        <v>8534</v>
      </c>
      <c r="C42" s="26" t="s">
        <v>19</v>
      </c>
      <c r="D42" s="26" t="s">
        <v>19</v>
      </c>
      <c r="E42" s="26" t="s">
        <v>19</v>
      </c>
      <c r="F42" s="29" t="s">
        <v>5975</v>
      </c>
      <c r="G42" s="53" t="s">
        <v>8535</v>
      </c>
      <c r="H42" s="26" t="s">
        <v>448</v>
      </c>
      <c r="I42" s="26" t="s">
        <v>448</v>
      </c>
      <c r="J42" s="26" t="s">
        <v>448</v>
      </c>
      <c r="K42" s="1200" t="s">
        <v>5448</v>
      </c>
      <c r="L42" s="1200" t="s">
        <v>1124</v>
      </c>
      <c r="M42" s="1200" t="s">
        <v>5454</v>
      </c>
      <c r="N42" s="22" t="s">
        <v>6204</v>
      </c>
      <c r="O42" s="22" t="s">
        <v>1826</v>
      </c>
      <c r="P42" s="1202" t="s">
        <v>1880</v>
      </c>
      <c r="Q42" s="216" t="s">
        <v>25</v>
      </c>
      <c r="R42" s="54" t="s">
        <v>116</v>
      </c>
      <c r="S42" s="22" t="s">
        <v>1880</v>
      </c>
      <c r="T42" s="1201" t="s">
        <v>5487</v>
      </c>
      <c r="U42" s="1201" t="s">
        <v>5487</v>
      </c>
      <c r="V42" s="24" t="s">
        <v>8536</v>
      </c>
      <c r="W42" s="90" t="s">
        <v>8530</v>
      </c>
      <c r="X42" s="24" t="s">
        <v>110</v>
      </c>
      <c r="Y42" s="24">
        <v>1</v>
      </c>
      <c r="Z42" s="24" t="s">
        <v>8441</v>
      </c>
      <c r="AA42" s="24" t="s">
        <v>6470</v>
      </c>
      <c r="AB42" s="30"/>
      <c r="AC42" s="30">
        <v>8</v>
      </c>
      <c r="AD42" s="30">
        <v>8</v>
      </c>
      <c r="AE42" s="59"/>
      <c r="AF42" s="59"/>
      <c r="AG42" s="35" t="s">
        <v>1104</v>
      </c>
      <c r="AH42" s="202" t="s">
        <v>19</v>
      </c>
      <c r="AI42" s="35" t="s">
        <v>1880</v>
      </c>
      <c r="AJ42" s="1201"/>
    </row>
    <row r="43" spans="1:36" s="11" customFormat="1" ht="26.25" customHeight="1" x14ac:dyDescent="0.15">
      <c r="A43" s="8">
        <f t="shared" si="0"/>
        <v>41</v>
      </c>
      <c r="B43" s="36" t="s">
        <v>8537</v>
      </c>
      <c r="C43" s="26" t="s">
        <v>19</v>
      </c>
      <c r="D43" s="26" t="s">
        <v>19</v>
      </c>
      <c r="E43" s="26" t="s">
        <v>19</v>
      </c>
      <c r="F43" s="159" t="s">
        <v>8538</v>
      </c>
      <c r="G43" s="1212" t="s">
        <v>7178</v>
      </c>
      <c r="H43" s="26" t="s">
        <v>448</v>
      </c>
      <c r="I43" s="26" t="s">
        <v>448</v>
      </c>
      <c r="J43" s="26" t="s">
        <v>448</v>
      </c>
      <c r="K43" s="1213" t="s">
        <v>1881</v>
      </c>
      <c r="L43" s="1213" t="s">
        <v>2437</v>
      </c>
      <c r="M43" s="164" t="s">
        <v>1951</v>
      </c>
      <c r="N43" s="1213" t="s">
        <v>5905</v>
      </c>
      <c r="O43" s="1213" t="s">
        <v>1826</v>
      </c>
      <c r="P43" s="1213" t="s">
        <v>111</v>
      </c>
      <c r="Q43" s="1213" t="s">
        <v>1818</v>
      </c>
      <c r="R43" s="1214" t="s">
        <v>1819</v>
      </c>
      <c r="S43" s="164" t="s">
        <v>1880</v>
      </c>
      <c r="T43" s="1215" t="s">
        <v>3248</v>
      </c>
      <c r="U43" s="1206" t="s">
        <v>3248</v>
      </c>
      <c r="V43" s="24" t="s">
        <v>8539</v>
      </c>
      <c r="W43" s="90" t="s">
        <v>8540</v>
      </c>
      <c r="X43" s="1204" t="s">
        <v>2359</v>
      </c>
      <c r="Y43" s="1204">
        <v>1</v>
      </c>
      <c r="Z43" s="366" t="s">
        <v>8427</v>
      </c>
      <c r="AA43" s="211" t="s">
        <v>8541</v>
      </c>
      <c r="AB43" s="30"/>
      <c r="AC43" s="30">
        <v>4.66</v>
      </c>
      <c r="AD43" s="30">
        <v>4.66</v>
      </c>
      <c r="AE43" s="59"/>
      <c r="AF43" s="59"/>
      <c r="AG43" s="35" t="s">
        <v>1104</v>
      </c>
      <c r="AH43" s="202" t="s">
        <v>19</v>
      </c>
      <c r="AI43" s="35" t="s">
        <v>1880</v>
      </c>
      <c r="AJ43" s="1203"/>
    </row>
    <row r="44" spans="1:36" s="11" customFormat="1" ht="26.25" customHeight="1" x14ac:dyDescent="0.15">
      <c r="A44" s="8">
        <f t="shared" si="0"/>
        <v>42</v>
      </c>
      <c r="B44" s="36" t="s">
        <v>8542</v>
      </c>
      <c r="C44" s="26" t="s">
        <v>19</v>
      </c>
      <c r="D44" s="26" t="s">
        <v>19</v>
      </c>
      <c r="E44" s="1210" t="s">
        <v>19</v>
      </c>
      <c r="F44" s="726"/>
      <c r="G44" s="726"/>
      <c r="H44" s="26" t="s">
        <v>448</v>
      </c>
      <c r="I44" s="26" t="s">
        <v>448</v>
      </c>
      <c r="J44" s="26" t="s">
        <v>448</v>
      </c>
      <c r="K44" s="726"/>
      <c r="L44" s="726"/>
      <c r="M44" s="726"/>
      <c r="N44" s="726"/>
      <c r="O44" s="726"/>
      <c r="P44" s="726"/>
      <c r="Q44" s="726"/>
      <c r="R44" s="726"/>
      <c r="S44" s="726"/>
      <c r="T44" s="726"/>
      <c r="U44" s="726"/>
      <c r="V44" s="1211" t="s">
        <v>8544</v>
      </c>
      <c r="W44" s="499"/>
      <c r="X44" s="206"/>
      <c r="Y44" s="206"/>
      <c r="Z44" s="24" t="s">
        <v>448</v>
      </c>
      <c r="AA44" s="24" t="s">
        <v>448</v>
      </c>
      <c r="AB44" s="30">
        <v>30</v>
      </c>
      <c r="AC44" s="30"/>
      <c r="AD44" s="30">
        <v>30</v>
      </c>
      <c r="AE44" s="59" t="s">
        <v>6457</v>
      </c>
      <c r="AF44" s="59" t="s">
        <v>6457</v>
      </c>
      <c r="AG44" s="1205" t="s">
        <v>1104</v>
      </c>
      <c r="AH44" s="202" t="s">
        <v>1880</v>
      </c>
      <c r="AI44" s="133" t="s">
        <v>1880</v>
      </c>
      <c r="AJ44" s="1183" t="s">
        <v>8545</v>
      </c>
    </row>
    <row r="45" spans="1:36" s="11" customFormat="1" ht="26.25" customHeight="1" x14ac:dyDescent="0.15">
      <c r="A45" s="8">
        <f t="shared" si="0"/>
        <v>43</v>
      </c>
      <c r="B45" s="36" t="s">
        <v>8550</v>
      </c>
      <c r="C45" s="26" t="s">
        <v>19</v>
      </c>
      <c r="D45" s="26" t="s">
        <v>19</v>
      </c>
      <c r="E45" s="26" t="s">
        <v>19</v>
      </c>
      <c r="F45" s="1216" t="s">
        <v>8547</v>
      </c>
      <c r="G45" s="1217" t="s">
        <v>7589</v>
      </c>
      <c r="H45" s="26" t="s">
        <v>448</v>
      </c>
      <c r="I45" s="26" t="s">
        <v>448</v>
      </c>
      <c r="J45" s="26" t="s">
        <v>448</v>
      </c>
      <c r="K45" s="1213" t="s">
        <v>2475</v>
      </c>
      <c r="L45" s="1213" t="s">
        <v>2067</v>
      </c>
      <c r="M45" s="164" t="s">
        <v>8551</v>
      </c>
      <c r="N45" s="1213" t="s">
        <v>3822</v>
      </c>
      <c r="O45" s="1213" t="s">
        <v>1826</v>
      </c>
      <c r="P45" s="1213" t="s">
        <v>111</v>
      </c>
      <c r="Q45" s="1213" t="s">
        <v>1818</v>
      </c>
      <c r="R45" s="1208" t="s">
        <v>5500</v>
      </c>
      <c r="S45" s="164" t="s">
        <v>1880</v>
      </c>
      <c r="T45" s="1207" t="s">
        <v>5487</v>
      </c>
      <c r="U45" s="1207" t="s">
        <v>5487</v>
      </c>
      <c r="V45" s="24" t="s">
        <v>8548</v>
      </c>
      <c r="W45" s="90" t="s">
        <v>8549</v>
      </c>
      <c r="X45" s="1209" t="s">
        <v>2359</v>
      </c>
      <c r="Y45" s="1209">
        <v>1</v>
      </c>
      <c r="Z45" s="24" t="s">
        <v>448</v>
      </c>
      <c r="AA45" s="24" t="s">
        <v>448</v>
      </c>
      <c r="AB45" s="30">
        <v>10</v>
      </c>
      <c r="AC45" s="30"/>
      <c r="AD45" s="30">
        <v>10</v>
      </c>
      <c r="AE45" s="59"/>
      <c r="AF45" s="59"/>
      <c r="AG45" s="1209" t="s">
        <v>1104</v>
      </c>
      <c r="AH45" s="202" t="s">
        <v>1880</v>
      </c>
      <c r="AI45" s="133" t="s">
        <v>1880</v>
      </c>
      <c r="AJ45" s="1183"/>
    </row>
    <row r="46" spans="1:36" s="11" customFormat="1" ht="26.25" customHeight="1" x14ac:dyDescent="0.15">
      <c r="A46" s="8">
        <f t="shared" si="0"/>
        <v>44</v>
      </c>
      <c r="B46" s="36" t="s">
        <v>8563</v>
      </c>
      <c r="C46" s="26" t="s">
        <v>19</v>
      </c>
      <c r="D46" s="26" t="s">
        <v>19</v>
      </c>
      <c r="E46" s="36" t="s">
        <v>8844</v>
      </c>
      <c r="F46" s="29" t="s">
        <v>8554</v>
      </c>
      <c r="G46" s="53" t="s">
        <v>8555</v>
      </c>
      <c r="H46" s="26" t="s">
        <v>448</v>
      </c>
      <c r="I46" s="26" t="s">
        <v>448</v>
      </c>
      <c r="J46" s="26" t="s">
        <v>448</v>
      </c>
      <c r="K46" s="1219" t="s">
        <v>2135</v>
      </c>
      <c r="L46" s="1219" t="s">
        <v>2533</v>
      </c>
      <c r="M46" s="21" t="s">
        <v>3629</v>
      </c>
      <c r="N46" s="71" t="s">
        <v>3645</v>
      </c>
      <c r="O46" s="1219" t="s">
        <v>2142</v>
      </c>
      <c r="P46" s="1219" t="s">
        <v>111</v>
      </c>
      <c r="Q46" s="22" t="s">
        <v>575</v>
      </c>
      <c r="R46" s="54" t="s">
        <v>8556</v>
      </c>
      <c r="S46" s="1219" t="s">
        <v>111</v>
      </c>
      <c r="T46" s="1218" t="s">
        <v>5487</v>
      </c>
      <c r="U46" s="1218" t="s">
        <v>5487</v>
      </c>
      <c r="V46" s="24" t="s">
        <v>8557</v>
      </c>
      <c r="W46" s="130" t="s">
        <v>8558</v>
      </c>
      <c r="X46" s="1219" t="s">
        <v>2359</v>
      </c>
      <c r="Y46" s="1219">
        <v>1</v>
      </c>
      <c r="Z46" s="24" t="s">
        <v>448</v>
      </c>
      <c r="AA46" s="24" t="s">
        <v>448</v>
      </c>
      <c r="AB46" s="150">
        <v>12.95</v>
      </c>
      <c r="AC46" s="150"/>
      <c r="AD46" s="150">
        <v>12.95</v>
      </c>
      <c r="AE46" s="701"/>
      <c r="AF46" s="701"/>
      <c r="AG46" s="1219" t="s">
        <v>1104</v>
      </c>
      <c r="AH46" s="202" t="s">
        <v>1880</v>
      </c>
      <c r="AI46" s="133" t="s">
        <v>1880</v>
      </c>
      <c r="AJ46" s="1218"/>
    </row>
    <row r="47" spans="1:36" s="11" customFormat="1" ht="26.25" customHeight="1" x14ac:dyDescent="0.15">
      <c r="A47" s="8">
        <f t="shared" si="0"/>
        <v>45</v>
      </c>
      <c r="B47" s="36" t="s">
        <v>8564</v>
      </c>
      <c r="C47" s="26" t="s">
        <v>19</v>
      </c>
      <c r="D47" s="26" t="s">
        <v>19</v>
      </c>
      <c r="E47" s="36" t="s">
        <v>8845</v>
      </c>
      <c r="F47" s="54" t="s">
        <v>8559</v>
      </c>
      <c r="G47" s="54" t="s">
        <v>8560</v>
      </c>
      <c r="H47" s="26" t="s">
        <v>448</v>
      </c>
      <c r="I47" s="26" t="s">
        <v>448</v>
      </c>
      <c r="J47" s="26" t="s">
        <v>448</v>
      </c>
      <c r="K47" s="1219" t="s">
        <v>2135</v>
      </c>
      <c r="L47" s="1219" t="s">
        <v>2533</v>
      </c>
      <c r="M47" s="21" t="s">
        <v>3636</v>
      </c>
      <c r="N47" s="1219" t="s">
        <v>3637</v>
      </c>
      <c r="O47" s="1219" t="s">
        <v>2142</v>
      </c>
      <c r="P47" s="1219" t="s">
        <v>111</v>
      </c>
      <c r="Q47" s="22" t="s">
        <v>575</v>
      </c>
      <c r="R47" s="54" t="s">
        <v>8556</v>
      </c>
      <c r="S47" s="1219" t="s">
        <v>111</v>
      </c>
      <c r="T47" s="1218" t="s">
        <v>5487</v>
      </c>
      <c r="U47" s="1218" t="s">
        <v>5487</v>
      </c>
      <c r="V47" s="24" t="s">
        <v>8557</v>
      </c>
      <c r="W47" s="130" t="s">
        <v>8558</v>
      </c>
      <c r="X47" s="1219" t="s">
        <v>2359</v>
      </c>
      <c r="Y47" s="1219">
        <v>1</v>
      </c>
      <c r="Z47" s="24" t="s">
        <v>448</v>
      </c>
      <c r="AA47" s="24" t="s">
        <v>448</v>
      </c>
      <c r="AB47" s="150">
        <v>12.95</v>
      </c>
      <c r="AC47" s="150"/>
      <c r="AD47" s="150">
        <v>12.95</v>
      </c>
      <c r="AE47" s="701"/>
      <c r="AF47" s="701"/>
      <c r="AG47" s="1219" t="s">
        <v>1104</v>
      </c>
      <c r="AH47" s="202" t="s">
        <v>1880</v>
      </c>
      <c r="AI47" s="133" t="s">
        <v>1880</v>
      </c>
      <c r="AJ47" s="1218"/>
    </row>
    <row r="48" spans="1:36" s="11" customFormat="1" ht="26.25" customHeight="1" x14ac:dyDescent="0.15">
      <c r="A48" s="8">
        <f t="shared" si="0"/>
        <v>46</v>
      </c>
      <c r="B48" s="36" t="s">
        <v>8552</v>
      </c>
      <c r="C48" s="26" t="s">
        <v>19</v>
      </c>
      <c r="D48" s="26" t="s">
        <v>19</v>
      </c>
      <c r="E48" s="611" t="s">
        <v>9255</v>
      </c>
      <c r="F48" s="151" t="s">
        <v>8007</v>
      </c>
      <c r="G48" s="54" t="s">
        <v>8561</v>
      </c>
      <c r="H48" s="26" t="s">
        <v>448</v>
      </c>
      <c r="I48" s="26" t="s">
        <v>448</v>
      </c>
      <c r="J48" s="26" t="s">
        <v>448</v>
      </c>
      <c r="K48" s="1219" t="s">
        <v>2135</v>
      </c>
      <c r="L48" s="1219" t="s">
        <v>2533</v>
      </c>
      <c r="M48" s="21" t="s">
        <v>3630</v>
      </c>
      <c r="N48" s="2" t="s">
        <v>1018</v>
      </c>
      <c r="O48" s="1219" t="s">
        <v>2142</v>
      </c>
      <c r="P48" s="1219" t="s">
        <v>111</v>
      </c>
      <c r="Q48" s="22" t="s">
        <v>575</v>
      </c>
      <c r="R48" s="54" t="s">
        <v>8556</v>
      </c>
      <c r="S48" s="1219" t="s">
        <v>111</v>
      </c>
      <c r="T48" s="1218" t="s">
        <v>5487</v>
      </c>
      <c r="U48" s="1218" t="s">
        <v>5487</v>
      </c>
      <c r="V48" s="24" t="s">
        <v>8557</v>
      </c>
      <c r="W48" s="130" t="s">
        <v>8558</v>
      </c>
      <c r="X48" s="1219" t="s">
        <v>2359</v>
      </c>
      <c r="Y48" s="1219">
        <v>1</v>
      </c>
      <c r="Z48" s="24" t="s">
        <v>448</v>
      </c>
      <c r="AA48" s="24" t="s">
        <v>448</v>
      </c>
      <c r="AB48" s="150">
        <v>12.95</v>
      </c>
      <c r="AC48" s="150"/>
      <c r="AD48" s="150">
        <v>12.95</v>
      </c>
      <c r="AE48" s="701"/>
      <c r="AF48" s="701"/>
      <c r="AG48" s="1219" t="s">
        <v>1104</v>
      </c>
      <c r="AH48" s="202" t="s">
        <v>1880</v>
      </c>
      <c r="AI48" s="133" t="s">
        <v>1880</v>
      </c>
      <c r="AJ48" s="1218"/>
    </row>
    <row r="49" spans="1:36" s="11" customFormat="1" ht="26.25" customHeight="1" x14ac:dyDescent="0.15">
      <c r="A49" s="8">
        <f t="shared" si="0"/>
        <v>47</v>
      </c>
      <c r="B49" s="36" t="s">
        <v>8553</v>
      </c>
      <c r="C49" s="26" t="s">
        <v>19</v>
      </c>
      <c r="D49" s="26" t="s">
        <v>19</v>
      </c>
      <c r="E49" s="36" t="s">
        <v>8846</v>
      </c>
      <c r="F49" s="151" t="s">
        <v>8007</v>
      </c>
      <c r="G49" s="54" t="s">
        <v>8561</v>
      </c>
      <c r="H49" s="26" t="s">
        <v>448</v>
      </c>
      <c r="I49" s="26" t="s">
        <v>448</v>
      </c>
      <c r="J49" s="26" t="s">
        <v>448</v>
      </c>
      <c r="K49" s="1219" t="s">
        <v>2135</v>
      </c>
      <c r="L49" s="1219" t="s">
        <v>2533</v>
      </c>
      <c r="M49" s="21" t="s">
        <v>3631</v>
      </c>
      <c r="N49" s="1219" t="s">
        <v>3632</v>
      </c>
      <c r="O49" s="1219" t="s">
        <v>2142</v>
      </c>
      <c r="P49" s="1219" t="s">
        <v>111</v>
      </c>
      <c r="Q49" s="22" t="s">
        <v>575</v>
      </c>
      <c r="R49" s="54" t="s">
        <v>8556</v>
      </c>
      <c r="S49" s="1219" t="s">
        <v>111</v>
      </c>
      <c r="T49" s="1218" t="s">
        <v>5487</v>
      </c>
      <c r="U49" s="1218" t="s">
        <v>5487</v>
      </c>
      <c r="V49" s="24" t="s">
        <v>8557</v>
      </c>
      <c r="W49" s="130" t="s">
        <v>8558</v>
      </c>
      <c r="X49" s="1219" t="s">
        <v>2359</v>
      </c>
      <c r="Y49" s="1219">
        <v>1</v>
      </c>
      <c r="Z49" s="24" t="s">
        <v>448</v>
      </c>
      <c r="AA49" s="24" t="s">
        <v>448</v>
      </c>
      <c r="AB49" s="150">
        <v>12.95</v>
      </c>
      <c r="AC49" s="150"/>
      <c r="AD49" s="150">
        <v>12.95</v>
      </c>
      <c r="AE49" s="701"/>
      <c r="AF49" s="701"/>
      <c r="AG49" s="1219" t="s">
        <v>1104</v>
      </c>
      <c r="AH49" s="202" t="s">
        <v>1880</v>
      </c>
      <c r="AI49" s="133" t="s">
        <v>1880</v>
      </c>
      <c r="AJ49" s="1218"/>
    </row>
    <row r="50" spans="1:36" s="11" customFormat="1" ht="26.25" customHeight="1" x14ac:dyDescent="0.15">
      <c r="A50" s="8">
        <f t="shared" si="0"/>
        <v>48</v>
      </c>
      <c r="B50" s="36" t="s">
        <v>8562</v>
      </c>
      <c r="C50" s="26" t="s">
        <v>19</v>
      </c>
      <c r="D50" s="26" t="s">
        <v>19</v>
      </c>
      <c r="E50" s="26" t="s">
        <v>19</v>
      </c>
      <c r="F50" s="29" t="s">
        <v>3836</v>
      </c>
      <c r="G50" s="54" t="s">
        <v>7178</v>
      </c>
      <c r="H50" s="26" t="s">
        <v>448</v>
      </c>
      <c r="I50" s="26" t="s">
        <v>448</v>
      </c>
      <c r="J50" s="26" t="s">
        <v>448</v>
      </c>
      <c r="K50" s="1220" t="s">
        <v>4195</v>
      </c>
      <c r="L50" s="1220" t="s">
        <v>4937</v>
      </c>
      <c r="M50" s="1220" t="s">
        <v>4938</v>
      </c>
      <c r="N50" s="1220" t="s">
        <v>4939</v>
      </c>
      <c r="O50" s="22" t="s">
        <v>1826</v>
      </c>
      <c r="P50" s="1221" t="s">
        <v>1880</v>
      </c>
      <c r="Q50" s="216" t="s">
        <v>25</v>
      </c>
      <c r="R50" s="54" t="s">
        <v>851</v>
      </c>
      <c r="S50" s="1221" t="s">
        <v>111</v>
      </c>
      <c r="T50" s="1220" t="s">
        <v>1152</v>
      </c>
      <c r="U50" s="1220" t="s">
        <v>1785</v>
      </c>
      <c r="V50" s="24" t="s">
        <v>8557</v>
      </c>
      <c r="W50" s="90" t="s">
        <v>8565</v>
      </c>
      <c r="X50" s="1221" t="s">
        <v>2359</v>
      </c>
      <c r="Y50" s="1221">
        <v>1</v>
      </c>
      <c r="Z50" s="24" t="s">
        <v>7904</v>
      </c>
      <c r="AA50" s="24" t="s">
        <v>8566</v>
      </c>
      <c r="AB50" s="30"/>
      <c r="AC50" s="30">
        <v>8</v>
      </c>
      <c r="AD50" s="30">
        <v>8</v>
      </c>
      <c r="AE50" s="59"/>
      <c r="AF50" s="59"/>
      <c r="AG50" s="1221" t="s">
        <v>1104</v>
      </c>
      <c r="AH50" s="202" t="s">
        <v>1880</v>
      </c>
      <c r="AI50" s="133" t="s">
        <v>1880</v>
      </c>
      <c r="AJ50" s="1220"/>
    </row>
    <row r="51" spans="1:36" s="11" customFormat="1" ht="39" customHeight="1" x14ac:dyDescent="0.15">
      <c r="A51" s="8">
        <f t="shared" si="0"/>
        <v>49</v>
      </c>
      <c r="B51" s="36" t="s">
        <v>8572</v>
      </c>
      <c r="C51" s="26" t="s">
        <v>19</v>
      </c>
      <c r="D51" s="26" t="s">
        <v>19</v>
      </c>
      <c r="E51" s="611" t="s">
        <v>9092</v>
      </c>
      <c r="F51" s="29" t="s">
        <v>8567</v>
      </c>
      <c r="G51" s="53" t="s">
        <v>8568</v>
      </c>
      <c r="H51" s="26" t="s">
        <v>448</v>
      </c>
      <c r="I51" s="26" t="s">
        <v>448</v>
      </c>
      <c r="J51" s="26" t="s">
        <v>448</v>
      </c>
      <c r="K51" s="1222" t="s">
        <v>4712</v>
      </c>
      <c r="L51" s="1222" t="s">
        <v>4692</v>
      </c>
      <c r="M51" s="1222" t="s">
        <v>8569</v>
      </c>
      <c r="N51" s="22" t="s">
        <v>4780</v>
      </c>
      <c r="O51" s="22" t="s">
        <v>1826</v>
      </c>
      <c r="P51" s="1224" t="s">
        <v>1880</v>
      </c>
      <c r="Q51" s="216" t="s">
        <v>25</v>
      </c>
      <c r="R51" s="54" t="s">
        <v>5708</v>
      </c>
      <c r="S51" s="1224" t="s">
        <v>111</v>
      </c>
      <c r="T51" s="1223" t="s">
        <v>5571</v>
      </c>
      <c r="U51" s="1223" t="s">
        <v>5571</v>
      </c>
      <c r="V51" s="24" t="s">
        <v>8570</v>
      </c>
      <c r="W51" s="90" t="s">
        <v>8571</v>
      </c>
      <c r="X51" s="1224" t="s">
        <v>2359</v>
      </c>
      <c r="Y51" s="1224">
        <v>1</v>
      </c>
      <c r="Z51" s="24" t="s">
        <v>6843</v>
      </c>
      <c r="AA51" s="24" t="s">
        <v>448</v>
      </c>
      <c r="AB51" s="30">
        <v>26.9</v>
      </c>
      <c r="AC51" s="30"/>
      <c r="AD51" s="30">
        <v>26.9</v>
      </c>
      <c r="AE51" s="59"/>
      <c r="AF51" s="59"/>
      <c r="AG51" s="1224" t="s">
        <v>1104</v>
      </c>
      <c r="AH51" s="202" t="s">
        <v>1880</v>
      </c>
      <c r="AI51" s="133" t="s">
        <v>1880</v>
      </c>
      <c r="AJ51" s="1223" t="s">
        <v>8847</v>
      </c>
    </row>
    <row r="52" spans="1:36" s="11" customFormat="1" ht="26.25" customHeight="1" x14ac:dyDescent="0.15">
      <c r="A52" s="8">
        <f t="shared" si="0"/>
        <v>50</v>
      </c>
      <c r="B52" s="36" t="s">
        <v>8573</v>
      </c>
      <c r="C52" s="26" t="s">
        <v>19</v>
      </c>
      <c r="D52" s="26" t="s">
        <v>9268</v>
      </c>
      <c r="E52" s="26" t="s">
        <v>19</v>
      </c>
      <c r="F52" s="29" t="s">
        <v>6227</v>
      </c>
      <c r="G52" s="53" t="s">
        <v>8576</v>
      </c>
      <c r="H52" s="26" t="s">
        <v>448</v>
      </c>
      <c r="I52" s="26" t="s">
        <v>448</v>
      </c>
      <c r="J52" s="26" t="s">
        <v>448</v>
      </c>
      <c r="K52" s="1225" t="s">
        <v>4712</v>
      </c>
      <c r="L52" s="1225" t="s">
        <v>4728</v>
      </c>
      <c r="M52" s="1225" t="s">
        <v>5458</v>
      </c>
      <c r="N52" s="22" t="s">
        <v>4780</v>
      </c>
      <c r="O52" s="22" t="s">
        <v>5431</v>
      </c>
      <c r="P52" s="1226" t="s">
        <v>1880</v>
      </c>
      <c r="Q52" s="216" t="s">
        <v>25</v>
      </c>
      <c r="R52" s="54" t="s">
        <v>8525</v>
      </c>
      <c r="S52" s="22" t="s">
        <v>1880</v>
      </c>
      <c r="T52" s="1225" t="s">
        <v>1894</v>
      </c>
      <c r="U52" s="1225" t="s">
        <v>1894</v>
      </c>
      <c r="V52" s="24" t="s">
        <v>8577</v>
      </c>
      <c r="W52" s="90" t="s">
        <v>8470</v>
      </c>
      <c r="X52" s="24" t="s">
        <v>110</v>
      </c>
      <c r="Y52" s="24">
        <v>1</v>
      </c>
      <c r="Z52" s="24" t="s">
        <v>8470</v>
      </c>
      <c r="AA52" s="24" t="s">
        <v>8532</v>
      </c>
      <c r="AB52" s="30"/>
      <c r="AC52" s="30">
        <v>18.399999999999999</v>
      </c>
      <c r="AD52" s="30">
        <v>18.399999999999999</v>
      </c>
      <c r="AE52" s="59"/>
      <c r="AF52" s="59"/>
      <c r="AG52" s="35" t="s">
        <v>1104</v>
      </c>
      <c r="AH52" s="202" t="s">
        <v>19</v>
      </c>
      <c r="AI52" s="35" t="s">
        <v>1880</v>
      </c>
      <c r="AJ52" s="1225"/>
    </row>
    <row r="53" spans="1:36" s="11" customFormat="1" ht="26.25" customHeight="1" x14ac:dyDescent="0.15">
      <c r="A53" s="8">
        <f t="shared" si="0"/>
        <v>51</v>
      </c>
      <c r="B53" s="36" t="s">
        <v>8574</v>
      </c>
      <c r="C53" s="26" t="s">
        <v>19</v>
      </c>
      <c r="D53" s="26" t="s">
        <v>19</v>
      </c>
      <c r="E53" s="26" t="s">
        <v>19</v>
      </c>
      <c r="F53" s="29" t="s">
        <v>6061</v>
      </c>
      <c r="G53" s="53" t="s">
        <v>8578</v>
      </c>
      <c r="H53" s="26" t="s">
        <v>448</v>
      </c>
      <c r="I53" s="26" t="s">
        <v>448</v>
      </c>
      <c r="J53" s="26" t="s">
        <v>448</v>
      </c>
      <c r="K53" s="1225" t="s">
        <v>4712</v>
      </c>
      <c r="L53" s="1225" t="s">
        <v>4728</v>
      </c>
      <c r="M53" s="1225" t="s">
        <v>6062</v>
      </c>
      <c r="N53" s="22" t="s">
        <v>4780</v>
      </c>
      <c r="O53" s="22" t="s">
        <v>5431</v>
      </c>
      <c r="P53" s="1226" t="s">
        <v>1880</v>
      </c>
      <c r="Q53" s="216" t="s">
        <v>25</v>
      </c>
      <c r="R53" s="54" t="s">
        <v>8525</v>
      </c>
      <c r="S53" s="1226" t="s">
        <v>19</v>
      </c>
      <c r="T53" s="1225" t="s">
        <v>1151</v>
      </c>
      <c r="U53" s="1225" t="s">
        <v>1151</v>
      </c>
      <c r="V53" s="24" t="s">
        <v>8577</v>
      </c>
      <c r="W53" s="90" t="s">
        <v>8470</v>
      </c>
      <c r="X53" s="24" t="s">
        <v>110</v>
      </c>
      <c r="Y53" s="24">
        <v>1</v>
      </c>
      <c r="Z53" s="24" t="s">
        <v>8470</v>
      </c>
      <c r="AA53" s="24" t="s">
        <v>8532</v>
      </c>
      <c r="AB53" s="30"/>
      <c r="AC53" s="30">
        <v>18.399999999999999</v>
      </c>
      <c r="AD53" s="30">
        <v>18.399999999999999</v>
      </c>
      <c r="AE53" s="59"/>
      <c r="AF53" s="59"/>
      <c r="AG53" s="35" t="s">
        <v>1104</v>
      </c>
      <c r="AH53" s="202" t="s">
        <v>19</v>
      </c>
      <c r="AI53" s="35" t="s">
        <v>1880</v>
      </c>
      <c r="AJ53" s="1225"/>
    </row>
    <row r="54" spans="1:36" s="11" customFormat="1" ht="26.25" customHeight="1" x14ac:dyDescent="0.15">
      <c r="A54" s="8">
        <f t="shared" si="0"/>
        <v>52</v>
      </c>
      <c r="B54" s="36" t="s">
        <v>8579</v>
      </c>
      <c r="C54" s="26" t="s">
        <v>19</v>
      </c>
      <c r="D54" s="26" t="s">
        <v>19</v>
      </c>
      <c r="E54" s="26" t="s">
        <v>19</v>
      </c>
      <c r="F54" s="29" t="s">
        <v>8582</v>
      </c>
      <c r="G54" s="53" t="s">
        <v>8583</v>
      </c>
      <c r="H54" s="26" t="s">
        <v>448</v>
      </c>
      <c r="I54" s="26" t="s">
        <v>448</v>
      </c>
      <c r="J54" s="26" t="s">
        <v>448</v>
      </c>
      <c r="K54" s="1228" t="s">
        <v>3649</v>
      </c>
      <c r="L54" s="1228" t="s">
        <v>4750</v>
      </c>
      <c r="M54" s="1228" t="s">
        <v>8033</v>
      </c>
      <c r="N54" s="22" t="s">
        <v>4780</v>
      </c>
      <c r="O54" s="22" t="s">
        <v>1826</v>
      </c>
      <c r="P54" s="1229" t="s">
        <v>1880</v>
      </c>
      <c r="Q54" s="216" t="s">
        <v>25</v>
      </c>
      <c r="R54" s="54" t="s">
        <v>8584</v>
      </c>
      <c r="S54" s="1229" t="s">
        <v>19</v>
      </c>
      <c r="T54" s="1223" t="s">
        <v>5487</v>
      </c>
      <c r="U54" s="1223" t="s">
        <v>5487</v>
      </c>
      <c r="V54" s="24" t="s">
        <v>8577</v>
      </c>
      <c r="W54" s="90" t="s">
        <v>8585</v>
      </c>
      <c r="X54" s="24" t="s">
        <v>110</v>
      </c>
      <c r="Y54" s="24">
        <v>1</v>
      </c>
      <c r="Z54" s="24" t="s">
        <v>448</v>
      </c>
      <c r="AA54" s="24" t="s">
        <v>448</v>
      </c>
      <c r="AB54" s="30">
        <v>7.6150000000000002</v>
      </c>
      <c r="AC54" s="30"/>
      <c r="AD54" s="30">
        <v>7.6150000000000002</v>
      </c>
      <c r="AE54" s="59"/>
      <c r="AF54" s="59"/>
      <c r="AG54" s="35" t="s">
        <v>1104</v>
      </c>
      <c r="AH54" s="202" t="s">
        <v>19</v>
      </c>
      <c r="AI54" s="35" t="s">
        <v>1880</v>
      </c>
      <c r="AJ54" s="1228"/>
    </row>
    <row r="55" spans="1:36" s="11" customFormat="1" ht="26.25" customHeight="1" x14ac:dyDescent="0.15">
      <c r="A55" s="8">
        <f t="shared" si="0"/>
        <v>53</v>
      </c>
      <c r="B55" s="36" t="s">
        <v>8580</v>
      </c>
      <c r="C55" s="26" t="s">
        <v>19</v>
      </c>
      <c r="D55" s="26" t="s">
        <v>19</v>
      </c>
      <c r="E55" s="26" t="s">
        <v>19</v>
      </c>
      <c r="F55" s="29" t="s">
        <v>8582</v>
      </c>
      <c r="G55" s="53" t="s">
        <v>8583</v>
      </c>
      <c r="H55" s="26" t="s">
        <v>448</v>
      </c>
      <c r="I55" s="26" t="s">
        <v>448</v>
      </c>
      <c r="J55" s="26" t="s">
        <v>448</v>
      </c>
      <c r="K55" s="1228" t="s">
        <v>3649</v>
      </c>
      <c r="L55" s="1228" t="s">
        <v>4750</v>
      </c>
      <c r="M55" s="1228" t="s">
        <v>8034</v>
      </c>
      <c r="N55" s="22" t="s">
        <v>4780</v>
      </c>
      <c r="O55" s="22" t="s">
        <v>5431</v>
      </c>
      <c r="P55" s="1229" t="s">
        <v>1880</v>
      </c>
      <c r="Q55" s="216" t="s">
        <v>25</v>
      </c>
      <c r="R55" s="54" t="s">
        <v>8584</v>
      </c>
      <c r="S55" s="1229" t="s">
        <v>19</v>
      </c>
      <c r="T55" s="1228" t="s">
        <v>5487</v>
      </c>
      <c r="U55" s="1228" t="s">
        <v>5487</v>
      </c>
      <c r="V55" s="24" t="s">
        <v>8577</v>
      </c>
      <c r="W55" s="90" t="s">
        <v>8585</v>
      </c>
      <c r="X55" s="24" t="s">
        <v>110</v>
      </c>
      <c r="Y55" s="24">
        <v>1</v>
      </c>
      <c r="Z55" s="24" t="s">
        <v>448</v>
      </c>
      <c r="AA55" s="24" t="s">
        <v>448</v>
      </c>
      <c r="AB55" s="30">
        <v>7.6150000000000002</v>
      </c>
      <c r="AC55" s="30"/>
      <c r="AD55" s="30">
        <v>7.6150000000000002</v>
      </c>
      <c r="AE55" s="59"/>
      <c r="AF55" s="59"/>
      <c r="AG55" s="35" t="s">
        <v>1104</v>
      </c>
      <c r="AH55" s="202" t="s">
        <v>19</v>
      </c>
      <c r="AI55" s="35" t="s">
        <v>1880</v>
      </c>
      <c r="AJ55" s="1228"/>
    </row>
    <row r="56" spans="1:36" s="11" customFormat="1" ht="26.25" customHeight="1" x14ac:dyDescent="0.15">
      <c r="A56" s="8">
        <f t="shared" si="0"/>
        <v>54</v>
      </c>
      <c r="B56" s="36" t="s">
        <v>8581</v>
      </c>
      <c r="C56" s="26" t="s">
        <v>19</v>
      </c>
      <c r="D56" s="26" t="s">
        <v>19</v>
      </c>
      <c r="E56" s="26" t="s">
        <v>19</v>
      </c>
      <c r="F56" s="29" t="s">
        <v>8582</v>
      </c>
      <c r="G56" s="53" t="s">
        <v>8583</v>
      </c>
      <c r="H56" s="26" t="s">
        <v>448</v>
      </c>
      <c r="I56" s="26" t="s">
        <v>448</v>
      </c>
      <c r="J56" s="26" t="s">
        <v>448</v>
      </c>
      <c r="K56" s="1228" t="s">
        <v>3649</v>
      </c>
      <c r="L56" s="1228" t="s">
        <v>4750</v>
      </c>
      <c r="M56" s="1228" t="s">
        <v>8040</v>
      </c>
      <c r="N56" s="22" t="s">
        <v>4780</v>
      </c>
      <c r="O56" s="22" t="s">
        <v>5431</v>
      </c>
      <c r="P56" s="1229" t="s">
        <v>1880</v>
      </c>
      <c r="Q56" s="216" t="s">
        <v>25</v>
      </c>
      <c r="R56" s="54" t="s">
        <v>8584</v>
      </c>
      <c r="S56" s="1229" t="s">
        <v>19</v>
      </c>
      <c r="T56" s="1228" t="s">
        <v>5487</v>
      </c>
      <c r="U56" s="1228" t="s">
        <v>5487</v>
      </c>
      <c r="V56" s="24" t="s">
        <v>8577</v>
      </c>
      <c r="W56" s="90" t="s">
        <v>8585</v>
      </c>
      <c r="X56" s="24" t="s">
        <v>110</v>
      </c>
      <c r="Y56" s="24">
        <v>1</v>
      </c>
      <c r="Z56" s="24" t="s">
        <v>448</v>
      </c>
      <c r="AA56" s="24" t="s">
        <v>448</v>
      </c>
      <c r="AB56" s="30">
        <v>9.73</v>
      </c>
      <c r="AC56" s="30"/>
      <c r="AD56" s="30">
        <v>9.73</v>
      </c>
      <c r="AE56" s="59"/>
      <c r="AF56" s="59"/>
      <c r="AG56" s="35" t="s">
        <v>1104</v>
      </c>
      <c r="AH56" s="202" t="s">
        <v>19</v>
      </c>
      <c r="AI56" s="35" t="s">
        <v>1880</v>
      </c>
      <c r="AJ56" s="1228"/>
    </row>
    <row r="57" spans="1:36" s="11" customFormat="1" ht="26.25" customHeight="1" x14ac:dyDescent="0.15">
      <c r="A57" s="8">
        <f t="shared" si="0"/>
        <v>55</v>
      </c>
      <c r="B57" s="36" t="s">
        <v>8575</v>
      </c>
      <c r="C57" s="26" t="s">
        <v>19</v>
      </c>
      <c r="D57" s="26" t="s">
        <v>19</v>
      </c>
      <c r="E57" s="26" t="s">
        <v>19</v>
      </c>
      <c r="F57" s="29" t="s">
        <v>8586</v>
      </c>
      <c r="G57" s="53" t="s">
        <v>8587</v>
      </c>
      <c r="H57" s="26" t="s">
        <v>448</v>
      </c>
      <c r="I57" s="26" t="s">
        <v>448</v>
      </c>
      <c r="J57" s="26" t="s">
        <v>448</v>
      </c>
      <c r="K57" s="1227" t="s">
        <v>994</v>
      </c>
      <c r="L57" s="1227" t="s">
        <v>993</v>
      </c>
      <c r="M57" s="1227" t="s">
        <v>8588</v>
      </c>
      <c r="N57" s="22" t="s">
        <v>4780</v>
      </c>
      <c r="O57" s="22" t="s">
        <v>5431</v>
      </c>
      <c r="P57" s="1229" t="s">
        <v>1880</v>
      </c>
      <c r="Q57" s="216" t="s">
        <v>25</v>
      </c>
      <c r="R57" s="54" t="s">
        <v>8584</v>
      </c>
      <c r="S57" s="1229" t="s">
        <v>19</v>
      </c>
      <c r="T57" s="1228" t="s">
        <v>5487</v>
      </c>
      <c r="U57" s="1228" t="s">
        <v>5487</v>
      </c>
      <c r="V57" s="24" t="s">
        <v>8577</v>
      </c>
      <c r="W57" s="90" t="s">
        <v>8585</v>
      </c>
      <c r="X57" s="24" t="s">
        <v>110</v>
      </c>
      <c r="Y57" s="24">
        <v>1</v>
      </c>
      <c r="Z57" s="24" t="s">
        <v>448</v>
      </c>
      <c r="AA57" s="24" t="s">
        <v>448</v>
      </c>
      <c r="AB57" s="30">
        <v>7.6150000000000002</v>
      </c>
      <c r="AC57" s="30"/>
      <c r="AD57" s="30">
        <v>7.6150000000000002</v>
      </c>
      <c r="AE57" s="59"/>
      <c r="AF57" s="59"/>
      <c r="AG57" s="35" t="s">
        <v>1104</v>
      </c>
      <c r="AH57" s="202" t="s">
        <v>19</v>
      </c>
      <c r="AI57" s="35" t="s">
        <v>1880</v>
      </c>
      <c r="AJ57" s="1223"/>
    </row>
    <row r="58" spans="1:36" s="11" customFormat="1" ht="26.25" customHeight="1" x14ac:dyDescent="0.15">
      <c r="A58" s="8">
        <f t="shared" si="0"/>
        <v>56</v>
      </c>
      <c r="B58" s="36" t="s">
        <v>8589</v>
      </c>
      <c r="C58" s="26" t="s">
        <v>19</v>
      </c>
      <c r="D58" s="26" t="s">
        <v>19</v>
      </c>
      <c r="E58" s="26" t="s">
        <v>19</v>
      </c>
      <c r="F58" s="29" t="s">
        <v>6099</v>
      </c>
      <c r="G58" s="29" t="s">
        <v>8590</v>
      </c>
      <c r="H58" s="26" t="s">
        <v>448</v>
      </c>
      <c r="I58" s="26" t="s">
        <v>448</v>
      </c>
      <c r="J58" s="26" t="s">
        <v>448</v>
      </c>
      <c r="K58" s="1230" t="s">
        <v>4691</v>
      </c>
      <c r="L58" s="1230" t="s">
        <v>4750</v>
      </c>
      <c r="M58" s="1230" t="s">
        <v>5366</v>
      </c>
      <c r="N58" s="22" t="s">
        <v>6101</v>
      </c>
      <c r="O58" s="22" t="s">
        <v>5431</v>
      </c>
      <c r="P58" s="1232" t="s">
        <v>111</v>
      </c>
      <c r="Q58" s="1231" t="s">
        <v>1131</v>
      </c>
      <c r="R58" s="54" t="s">
        <v>1122</v>
      </c>
      <c r="S58" s="22" t="s">
        <v>1880</v>
      </c>
      <c r="T58" s="1231" t="s">
        <v>5571</v>
      </c>
      <c r="U58" s="1231" t="s">
        <v>5571</v>
      </c>
      <c r="V58" s="24" t="s">
        <v>8591</v>
      </c>
      <c r="W58" s="90" t="s">
        <v>8571</v>
      </c>
      <c r="X58" s="10" t="s">
        <v>1800</v>
      </c>
      <c r="Y58" s="10">
        <v>1</v>
      </c>
      <c r="Z58" s="24" t="s">
        <v>8441</v>
      </c>
      <c r="AA58" s="24" t="s">
        <v>8405</v>
      </c>
      <c r="AB58" s="30"/>
      <c r="AC58" s="30">
        <v>17.5</v>
      </c>
      <c r="AD58" s="30">
        <v>17.5</v>
      </c>
      <c r="AE58" s="59"/>
      <c r="AF58" s="59"/>
      <c r="AG58" s="35" t="s">
        <v>1104</v>
      </c>
      <c r="AH58" s="202" t="s">
        <v>19</v>
      </c>
      <c r="AI58" s="35" t="s">
        <v>1880</v>
      </c>
      <c r="AJ58" s="1231"/>
    </row>
    <row r="59" spans="1:36" s="11" customFormat="1" ht="26.25" customHeight="1" x14ac:dyDescent="0.15">
      <c r="A59" s="8">
        <f t="shared" si="0"/>
        <v>57</v>
      </c>
      <c r="B59" s="36" t="s">
        <v>8592</v>
      </c>
      <c r="C59" s="26" t="s">
        <v>19</v>
      </c>
      <c r="D59" s="711" t="s">
        <v>8593</v>
      </c>
      <c r="E59" s="26" t="s">
        <v>19</v>
      </c>
      <c r="F59" s="29" t="s">
        <v>6227</v>
      </c>
      <c r="G59" s="29" t="s">
        <v>8599</v>
      </c>
      <c r="H59" s="26" t="s">
        <v>448</v>
      </c>
      <c r="I59" s="26" t="s">
        <v>448</v>
      </c>
      <c r="J59" s="26" t="s">
        <v>448</v>
      </c>
      <c r="K59" s="1233" t="s">
        <v>4712</v>
      </c>
      <c r="L59" s="1233" t="s">
        <v>4728</v>
      </c>
      <c r="M59" s="1233" t="s">
        <v>5458</v>
      </c>
      <c r="N59" s="22" t="s">
        <v>4780</v>
      </c>
      <c r="O59" s="22" t="s">
        <v>5431</v>
      </c>
      <c r="P59" s="1234" t="s">
        <v>4713</v>
      </c>
      <c r="Q59" s="28" t="s">
        <v>25</v>
      </c>
      <c r="R59" s="151" t="s">
        <v>1796</v>
      </c>
      <c r="S59" s="22" t="s">
        <v>1880</v>
      </c>
      <c r="T59" s="1233" t="s">
        <v>1894</v>
      </c>
      <c r="U59" s="1233" t="s">
        <v>1894</v>
      </c>
      <c r="V59" s="24" t="s">
        <v>8594</v>
      </c>
      <c r="W59" s="90" t="s">
        <v>8600</v>
      </c>
      <c r="X59" s="24" t="s">
        <v>110</v>
      </c>
      <c r="Y59" s="24">
        <v>1</v>
      </c>
      <c r="Z59" s="24" t="s">
        <v>448</v>
      </c>
      <c r="AA59" s="24" t="s">
        <v>448</v>
      </c>
      <c r="AB59" s="30">
        <v>4.7619999999999996</v>
      </c>
      <c r="AC59" s="30"/>
      <c r="AD59" s="30">
        <v>4.7619999999999996</v>
      </c>
      <c r="AE59" s="59"/>
      <c r="AF59" s="59"/>
      <c r="AG59" s="35" t="s">
        <v>1104</v>
      </c>
      <c r="AH59" s="202" t="s">
        <v>19</v>
      </c>
      <c r="AI59" s="35" t="s">
        <v>1880</v>
      </c>
      <c r="AJ59" s="1233" t="s">
        <v>8595</v>
      </c>
    </row>
    <row r="60" spans="1:36" s="11" customFormat="1" ht="26.25" customHeight="1" x14ac:dyDescent="0.15">
      <c r="A60" s="8">
        <f t="shared" si="0"/>
        <v>58</v>
      </c>
      <c r="B60" s="36" t="s">
        <v>8601</v>
      </c>
      <c r="C60" s="26" t="s">
        <v>19</v>
      </c>
      <c r="D60" s="26" t="s">
        <v>19</v>
      </c>
      <c r="E60" s="26" t="s">
        <v>19</v>
      </c>
      <c r="F60" s="29" t="s">
        <v>7384</v>
      </c>
      <c r="G60" s="53" t="s">
        <v>7385</v>
      </c>
      <c r="H60" s="26" t="s">
        <v>448</v>
      </c>
      <c r="I60" s="26" t="s">
        <v>448</v>
      </c>
      <c r="J60" s="26" t="s">
        <v>448</v>
      </c>
      <c r="K60" s="1236" t="s">
        <v>5003</v>
      </c>
      <c r="L60" s="1236" t="s">
        <v>4728</v>
      </c>
      <c r="M60" s="1236" t="s">
        <v>5004</v>
      </c>
      <c r="N60" s="22" t="s">
        <v>5714</v>
      </c>
      <c r="O60" s="22" t="s">
        <v>5431</v>
      </c>
      <c r="P60" s="1237" t="s">
        <v>111</v>
      </c>
      <c r="Q60" s="1236" t="s">
        <v>1131</v>
      </c>
      <c r="R60" s="54" t="s">
        <v>6183</v>
      </c>
      <c r="S60" s="22" t="s">
        <v>1880</v>
      </c>
      <c r="T60" s="1235" t="s">
        <v>5489</v>
      </c>
      <c r="U60" s="1235" t="s">
        <v>5489</v>
      </c>
      <c r="V60" s="24" t="s">
        <v>8605</v>
      </c>
      <c r="W60" s="90" t="s">
        <v>8606</v>
      </c>
      <c r="X60" s="10" t="s">
        <v>1800</v>
      </c>
      <c r="Y60" s="10">
        <v>1</v>
      </c>
      <c r="Z60" s="24" t="s">
        <v>448</v>
      </c>
      <c r="AA60" s="24" t="s">
        <v>448</v>
      </c>
      <c r="AB60" s="30">
        <v>3</v>
      </c>
      <c r="AC60" s="30"/>
      <c r="AD60" s="30">
        <v>3</v>
      </c>
      <c r="AE60" s="59"/>
      <c r="AF60" s="59"/>
      <c r="AG60" s="35" t="s">
        <v>1104</v>
      </c>
      <c r="AH60" s="202" t="s">
        <v>19</v>
      </c>
      <c r="AI60" s="35" t="s">
        <v>1880</v>
      </c>
      <c r="AJ60" s="1235"/>
    </row>
    <row r="61" spans="1:36" s="11" customFormat="1" ht="26.25" customHeight="1" x14ac:dyDescent="0.15">
      <c r="A61" s="8">
        <f t="shared" si="0"/>
        <v>59</v>
      </c>
      <c r="B61" s="36" t="s">
        <v>8602</v>
      </c>
      <c r="C61" s="26" t="s">
        <v>19</v>
      </c>
      <c r="D61" s="26" t="s">
        <v>19</v>
      </c>
      <c r="E61" s="26" t="s">
        <v>19</v>
      </c>
      <c r="F61" s="29" t="s">
        <v>7912</v>
      </c>
      <c r="G61" s="99" t="s">
        <v>8195</v>
      </c>
      <c r="H61" s="26" t="s">
        <v>448</v>
      </c>
      <c r="I61" s="26" t="s">
        <v>448</v>
      </c>
      <c r="J61" s="26" t="s">
        <v>448</v>
      </c>
      <c r="K61" s="1236" t="s">
        <v>4712</v>
      </c>
      <c r="L61" s="1236" t="s">
        <v>4692</v>
      </c>
      <c r="M61" s="1236" t="s">
        <v>6331</v>
      </c>
      <c r="N61" s="1237" t="s">
        <v>4780</v>
      </c>
      <c r="O61" s="1237" t="s">
        <v>1826</v>
      </c>
      <c r="P61" s="1237" t="s">
        <v>111</v>
      </c>
      <c r="Q61" s="1237" t="s">
        <v>1818</v>
      </c>
      <c r="R61" s="151" t="s">
        <v>4644</v>
      </c>
      <c r="S61" s="22" t="s">
        <v>1880</v>
      </c>
      <c r="T61" s="1236" t="s">
        <v>5571</v>
      </c>
      <c r="U61" s="1236" t="s">
        <v>5571</v>
      </c>
      <c r="V61" s="24" t="s">
        <v>8605</v>
      </c>
      <c r="W61" s="499"/>
      <c r="X61" s="484"/>
      <c r="Y61" s="484"/>
      <c r="Z61" s="24" t="s">
        <v>448</v>
      </c>
      <c r="AA61" s="24" t="s">
        <v>448</v>
      </c>
      <c r="AB61" s="30">
        <v>1.5</v>
      </c>
      <c r="AC61" s="30"/>
      <c r="AD61" s="30">
        <v>1.5</v>
      </c>
      <c r="AE61" s="59"/>
      <c r="AF61" s="59"/>
      <c r="AG61" s="1237" t="s">
        <v>1104</v>
      </c>
      <c r="AH61" s="202" t="s">
        <v>19</v>
      </c>
      <c r="AI61" s="35" t="s">
        <v>1880</v>
      </c>
      <c r="AJ61" s="1236"/>
    </row>
    <row r="62" spans="1:36" s="11" customFormat="1" ht="26.25" customHeight="1" x14ac:dyDescent="0.15">
      <c r="A62" s="8">
        <f t="shared" si="0"/>
        <v>60</v>
      </c>
      <c r="B62" s="36" t="s">
        <v>8603</v>
      </c>
      <c r="C62" s="26" t="s">
        <v>19</v>
      </c>
      <c r="D62" s="26" t="s">
        <v>10238</v>
      </c>
      <c r="E62" s="26" t="s">
        <v>19</v>
      </c>
      <c r="F62" s="29" t="s">
        <v>7912</v>
      </c>
      <c r="G62" s="99" t="s">
        <v>8195</v>
      </c>
      <c r="H62" s="26" t="s">
        <v>448</v>
      </c>
      <c r="I62" s="26" t="s">
        <v>448</v>
      </c>
      <c r="J62" s="26" t="s">
        <v>448</v>
      </c>
      <c r="K62" s="1236" t="s">
        <v>4712</v>
      </c>
      <c r="L62" s="1236" t="s">
        <v>4692</v>
      </c>
      <c r="M62" s="1236" t="s">
        <v>6331</v>
      </c>
      <c r="N62" s="1237" t="s">
        <v>4780</v>
      </c>
      <c r="O62" s="1237" t="s">
        <v>1826</v>
      </c>
      <c r="P62" s="1237" t="s">
        <v>111</v>
      </c>
      <c r="Q62" s="1237" t="s">
        <v>1818</v>
      </c>
      <c r="R62" s="54" t="s">
        <v>5500</v>
      </c>
      <c r="S62" s="22" t="s">
        <v>1880</v>
      </c>
      <c r="T62" s="1236" t="s">
        <v>5571</v>
      </c>
      <c r="U62" s="1236" t="s">
        <v>5571</v>
      </c>
      <c r="V62" s="24" t="s">
        <v>8605</v>
      </c>
      <c r="W62" s="499"/>
      <c r="X62" s="484"/>
      <c r="Y62" s="484"/>
      <c r="Z62" s="24" t="s">
        <v>448</v>
      </c>
      <c r="AA62" s="24" t="s">
        <v>448</v>
      </c>
      <c r="AB62" s="30">
        <v>0.4</v>
      </c>
      <c r="AC62" s="30"/>
      <c r="AD62" s="30">
        <v>0.4</v>
      </c>
      <c r="AE62" s="59"/>
      <c r="AF62" s="59"/>
      <c r="AG62" s="1237" t="s">
        <v>1104</v>
      </c>
      <c r="AH62" s="202" t="s">
        <v>19</v>
      </c>
      <c r="AI62" s="35" t="s">
        <v>1880</v>
      </c>
      <c r="AJ62" s="1235"/>
    </row>
    <row r="63" spans="1:36" s="11" customFormat="1" ht="26.25" customHeight="1" x14ac:dyDescent="0.15">
      <c r="A63" s="8">
        <f t="shared" si="0"/>
        <v>61</v>
      </c>
      <c r="B63" s="36" t="s">
        <v>8604</v>
      </c>
      <c r="C63" s="26" t="s">
        <v>19</v>
      </c>
      <c r="D63" s="26" t="s">
        <v>19</v>
      </c>
      <c r="E63" s="26" t="s">
        <v>19</v>
      </c>
      <c r="F63" s="29" t="s">
        <v>7960</v>
      </c>
      <c r="G63" s="99" t="s">
        <v>8195</v>
      </c>
      <c r="H63" s="26" t="s">
        <v>448</v>
      </c>
      <c r="I63" s="26" t="s">
        <v>448</v>
      </c>
      <c r="J63" s="26" t="s">
        <v>448</v>
      </c>
      <c r="K63" s="1236" t="s">
        <v>1487</v>
      </c>
      <c r="L63" s="1236" t="s">
        <v>1416</v>
      </c>
      <c r="M63" s="1236" t="s">
        <v>7959</v>
      </c>
      <c r="N63" s="1237" t="s">
        <v>4780</v>
      </c>
      <c r="O63" s="1237" t="s">
        <v>1826</v>
      </c>
      <c r="P63" s="1237" t="s">
        <v>111</v>
      </c>
      <c r="Q63" s="1237" t="s">
        <v>1818</v>
      </c>
      <c r="R63" s="151" t="s">
        <v>4644</v>
      </c>
      <c r="S63" s="22" t="s">
        <v>1880</v>
      </c>
      <c r="T63" s="1236" t="s">
        <v>5571</v>
      </c>
      <c r="U63" s="1236" t="s">
        <v>5571</v>
      </c>
      <c r="V63" s="24" t="s">
        <v>8605</v>
      </c>
      <c r="W63" s="499"/>
      <c r="X63" s="484"/>
      <c r="Y63" s="484"/>
      <c r="Z63" s="24" t="s">
        <v>448</v>
      </c>
      <c r="AA63" s="24" t="s">
        <v>448</v>
      </c>
      <c r="AB63" s="30">
        <v>1.5</v>
      </c>
      <c r="AC63" s="30"/>
      <c r="AD63" s="30">
        <v>1.5</v>
      </c>
      <c r="AE63" s="59"/>
      <c r="AF63" s="59"/>
      <c r="AG63" s="1237" t="s">
        <v>1104</v>
      </c>
      <c r="AH63" s="202" t="s">
        <v>19</v>
      </c>
      <c r="AI63" s="35" t="s">
        <v>1880</v>
      </c>
      <c r="AJ63" s="1236"/>
    </row>
    <row r="64" spans="1:36" s="11" customFormat="1" ht="26.25" customHeight="1" x14ac:dyDescent="0.15">
      <c r="A64" s="8">
        <f t="shared" si="0"/>
        <v>62</v>
      </c>
      <c r="B64" s="36" t="s">
        <v>8626</v>
      </c>
      <c r="C64" s="26" t="s">
        <v>19</v>
      </c>
      <c r="D64" s="26" t="s">
        <v>19</v>
      </c>
      <c r="E64" s="26" t="s">
        <v>19</v>
      </c>
      <c r="F64" s="29" t="s">
        <v>7258</v>
      </c>
      <c r="G64" s="29" t="s">
        <v>8607</v>
      </c>
      <c r="H64" s="26" t="s">
        <v>448</v>
      </c>
      <c r="I64" s="26" t="s">
        <v>448</v>
      </c>
      <c r="J64" s="26" t="s">
        <v>448</v>
      </c>
      <c r="K64" s="1239" t="s">
        <v>4712</v>
      </c>
      <c r="L64" s="1239" t="s">
        <v>1124</v>
      </c>
      <c r="M64" s="1239" t="s">
        <v>7260</v>
      </c>
      <c r="N64" s="1240" t="s">
        <v>4780</v>
      </c>
      <c r="O64" s="1240" t="s">
        <v>5431</v>
      </c>
      <c r="P64" s="1240" t="s">
        <v>111</v>
      </c>
      <c r="Q64" s="1239" t="s">
        <v>1131</v>
      </c>
      <c r="R64" s="54" t="s">
        <v>116</v>
      </c>
      <c r="S64" s="1240" t="s">
        <v>111</v>
      </c>
      <c r="T64" s="1239" t="s">
        <v>5571</v>
      </c>
      <c r="U64" s="1239" t="s">
        <v>5571</v>
      </c>
      <c r="V64" s="24" t="s">
        <v>8605</v>
      </c>
      <c r="W64" s="90" t="s">
        <v>8608</v>
      </c>
      <c r="X64" s="10" t="s">
        <v>1800</v>
      </c>
      <c r="Y64" s="10">
        <v>1</v>
      </c>
      <c r="Z64" s="24" t="s">
        <v>8608</v>
      </c>
      <c r="AA64" s="24" t="s">
        <v>8609</v>
      </c>
      <c r="AB64" s="30"/>
      <c r="AC64" s="30">
        <v>8.5</v>
      </c>
      <c r="AD64" s="30">
        <v>8.5</v>
      </c>
      <c r="AE64" s="59"/>
      <c r="AF64" s="59"/>
      <c r="AG64" s="35" t="s">
        <v>1104</v>
      </c>
      <c r="AH64" s="202" t="s">
        <v>19</v>
      </c>
      <c r="AI64" s="35" t="s">
        <v>1880</v>
      </c>
      <c r="AJ64" s="1239"/>
    </row>
    <row r="65" spans="1:36" s="11" customFormat="1" ht="26.25" customHeight="1" x14ac:dyDescent="0.15">
      <c r="A65" s="8">
        <f t="shared" si="0"/>
        <v>63</v>
      </c>
      <c r="B65" s="36" t="s">
        <v>8610</v>
      </c>
      <c r="C65" s="26" t="s">
        <v>19</v>
      </c>
      <c r="D65" s="26" t="s">
        <v>19</v>
      </c>
      <c r="E65" s="26" t="s">
        <v>19</v>
      </c>
      <c r="F65" s="29" t="s">
        <v>9314</v>
      </c>
      <c r="G65" s="53" t="s">
        <v>8613</v>
      </c>
      <c r="H65" s="26" t="s">
        <v>448</v>
      </c>
      <c r="I65" s="26" t="s">
        <v>448</v>
      </c>
      <c r="J65" s="26" t="s">
        <v>448</v>
      </c>
      <c r="K65" s="1238" t="s">
        <v>4195</v>
      </c>
      <c r="L65" s="1239" t="s">
        <v>4728</v>
      </c>
      <c r="M65" s="1238" t="s">
        <v>5406</v>
      </c>
      <c r="N65" s="22" t="s">
        <v>3984</v>
      </c>
      <c r="O65" s="22" t="s">
        <v>5478</v>
      </c>
      <c r="P65" s="1240" t="s">
        <v>1880</v>
      </c>
      <c r="Q65" s="1239" t="s">
        <v>4676</v>
      </c>
      <c r="R65" s="54" t="s">
        <v>6971</v>
      </c>
      <c r="S65" s="22" t="s">
        <v>1880</v>
      </c>
      <c r="T65" s="1239" t="s">
        <v>1894</v>
      </c>
      <c r="U65" s="1239" t="s">
        <v>1894</v>
      </c>
      <c r="V65" s="24" t="s">
        <v>8605</v>
      </c>
      <c r="W65" s="90" t="s">
        <v>8614</v>
      </c>
      <c r="X65" s="10" t="s">
        <v>1800</v>
      </c>
      <c r="Y65" s="10">
        <v>1</v>
      </c>
      <c r="Z65" s="24" t="s">
        <v>8615</v>
      </c>
      <c r="AA65" s="24" t="s">
        <v>8616</v>
      </c>
      <c r="AB65" s="30"/>
      <c r="AC65" s="30">
        <v>9.4</v>
      </c>
      <c r="AD65" s="30">
        <v>9.4</v>
      </c>
      <c r="AE65" s="59"/>
      <c r="AF65" s="59"/>
      <c r="AG65" s="35" t="s">
        <v>1104</v>
      </c>
      <c r="AH65" s="202" t="s">
        <v>19</v>
      </c>
      <c r="AI65" s="35" t="s">
        <v>1880</v>
      </c>
      <c r="AJ65" s="1239"/>
    </row>
    <row r="66" spans="1:36" s="11" customFormat="1" ht="26.25" customHeight="1" x14ac:dyDescent="0.15">
      <c r="A66" s="8">
        <f t="shared" si="0"/>
        <v>64</v>
      </c>
      <c r="B66" s="36" t="s">
        <v>8611</v>
      </c>
      <c r="C66" s="26" t="s">
        <v>19</v>
      </c>
      <c r="D66" s="26" t="s">
        <v>19</v>
      </c>
      <c r="E66" s="26" t="s">
        <v>19</v>
      </c>
      <c r="F66" s="29" t="s">
        <v>9314</v>
      </c>
      <c r="G66" s="53" t="s">
        <v>8613</v>
      </c>
      <c r="H66" s="26" t="s">
        <v>448</v>
      </c>
      <c r="I66" s="26" t="s">
        <v>448</v>
      </c>
      <c r="J66" s="26" t="s">
        <v>448</v>
      </c>
      <c r="K66" s="1239" t="s">
        <v>4195</v>
      </c>
      <c r="L66" s="1239" t="s">
        <v>4728</v>
      </c>
      <c r="M66" s="1239" t="s">
        <v>5673</v>
      </c>
      <c r="N66" s="22" t="s">
        <v>5674</v>
      </c>
      <c r="O66" s="22" t="s">
        <v>5478</v>
      </c>
      <c r="P66" s="1240" t="s">
        <v>1880</v>
      </c>
      <c r="Q66" s="1239" t="s">
        <v>4676</v>
      </c>
      <c r="R66" s="54" t="s">
        <v>6971</v>
      </c>
      <c r="S66" s="22" t="s">
        <v>1880</v>
      </c>
      <c r="T66" s="1239" t="s">
        <v>1894</v>
      </c>
      <c r="U66" s="1239" t="s">
        <v>1894</v>
      </c>
      <c r="V66" s="24" t="s">
        <v>8605</v>
      </c>
      <c r="W66" s="90" t="s">
        <v>8614</v>
      </c>
      <c r="X66" s="10" t="s">
        <v>1800</v>
      </c>
      <c r="Y66" s="10">
        <v>1</v>
      </c>
      <c r="Z66" s="24" t="s">
        <v>8615</v>
      </c>
      <c r="AA66" s="24" t="s">
        <v>8616</v>
      </c>
      <c r="AB66" s="30"/>
      <c r="AC66" s="30">
        <v>9.4</v>
      </c>
      <c r="AD66" s="30">
        <v>9.4</v>
      </c>
      <c r="AE66" s="59"/>
      <c r="AF66" s="59"/>
      <c r="AG66" s="35" t="s">
        <v>1104</v>
      </c>
      <c r="AH66" s="202" t="s">
        <v>19</v>
      </c>
      <c r="AI66" s="35" t="s">
        <v>1880</v>
      </c>
      <c r="AJ66" s="1239"/>
    </row>
    <row r="67" spans="1:36" s="11" customFormat="1" ht="26.25" customHeight="1" x14ac:dyDescent="0.15">
      <c r="A67" s="8">
        <f t="shared" si="0"/>
        <v>65</v>
      </c>
      <c r="B67" s="36" t="s">
        <v>8612</v>
      </c>
      <c r="C67" s="26" t="s">
        <v>19</v>
      </c>
      <c r="D67" s="26" t="s">
        <v>19</v>
      </c>
      <c r="E67" s="26" t="s">
        <v>19</v>
      </c>
      <c r="F67" s="29" t="s">
        <v>9314</v>
      </c>
      <c r="G67" s="53" t="s">
        <v>8613</v>
      </c>
      <c r="H67" s="26" t="s">
        <v>448</v>
      </c>
      <c r="I67" s="26" t="s">
        <v>448</v>
      </c>
      <c r="J67" s="26" t="s">
        <v>448</v>
      </c>
      <c r="K67" s="1240" t="s">
        <v>1881</v>
      </c>
      <c r="L67" s="1240" t="s">
        <v>1146</v>
      </c>
      <c r="M67" s="21" t="s">
        <v>3554</v>
      </c>
      <c r="N67" s="1240" t="s">
        <v>3555</v>
      </c>
      <c r="O67" s="1240" t="s">
        <v>2142</v>
      </c>
      <c r="P67" s="1240" t="s">
        <v>1880</v>
      </c>
      <c r="Q67" s="1240" t="s">
        <v>2422</v>
      </c>
      <c r="R67" s="54" t="s">
        <v>6971</v>
      </c>
      <c r="S67" s="1240" t="s">
        <v>111</v>
      </c>
      <c r="T67" s="1240" t="s">
        <v>1151</v>
      </c>
      <c r="U67" s="1240" t="s">
        <v>1151</v>
      </c>
      <c r="V67" s="24" t="s">
        <v>8605</v>
      </c>
      <c r="W67" s="90" t="s">
        <v>8614</v>
      </c>
      <c r="X67" s="10" t="s">
        <v>1800</v>
      </c>
      <c r="Y67" s="10">
        <v>1</v>
      </c>
      <c r="Z67" s="1240" t="s">
        <v>8617</v>
      </c>
      <c r="AA67" s="1240" t="s">
        <v>8618</v>
      </c>
      <c r="AB67" s="150"/>
      <c r="AC67" s="150">
        <v>9.4</v>
      </c>
      <c r="AD67" s="150">
        <v>9.4</v>
      </c>
      <c r="AE67" s="59"/>
      <c r="AF67" s="59"/>
      <c r="AG67" s="1240" t="s">
        <v>1104</v>
      </c>
      <c r="AH67" s="202" t="s">
        <v>1880</v>
      </c>
      <c r="AI67" s="133" t="s">
        <v>1880</v>
      </c>
      <c r="AJ67" s="1239"/>
    </row>
    <row r="68" spans="1:36" s="11" customFormat="1" ht="83.25" customHeight="1" x14ac:dyDescent="0.15">
      <c r="A68" s="8">
        <f t="shared" si="0"/>
        <v>66</v>
      </c>
      <c r="B68" s="36" t="s">
        <v>8627</v>
      </c>
      <c r="C68" s="26" t="s">
        <v>19</v>
      </c>
      <c r="D68" s="26" t="s">
        <v>19</v>
      </c>
      <c r="E68" s="26" t="s">
        <v>19</v>
      </c>
      <c r="F68" s="29" t="s">
        <v>5803</v>
      </c>
      <c r="G68" s="53" t="s">
        <v>8619</v>
      </c>
      <c r="H68" s="26" t="s">
        <v>448</v>
      </c>
      <c r="I68" s="26" t="s">
        <v>448</v>
      </c>
      <c r="J68" s="26" t="s">
        <v>448</v>
      </c>
      <c r="K68" s="1238" t="s">
        <v>3649</v>
      </c>
      <c r="L68" s="1238" t="s">
        <v>4196</v>
      </c>
      <c r="M68" s="1238" t="s">
        <v>5804</v>
      </c>
      <c r="N68" s="22" t="s">
        <v>4780</v>
      </c>
      <c r="O68" s="1240" t="s">
        <v>1826</v>
      </c>
      <c r="P68" s="1240" t="s">
        <v>111</v>
      </c>
      <c r="Q68" s="28" t="s">
        <v>25</v>
      </c>
      <c r="R68" s="222" t="s">
        <v>8697</v>
      </c>
      <c r="S68" s="1240" t="s">
        <v>111</v>
      </c>
      <c r="T68" s="1239" t="s">
        <v>5487</v>
      </c>
      <c r="U68" s="1239" t="s">
        <v>5487</v>
      </c>
      <c r="V68" s="24" t="s">
        <v>8015</v>
      </c>
      <c r="W68" s="90" t="s">
        <v>8606</v>
      </c>
      <c r="X68" s="1240" t="s">
        <v>2359</v>
      </c>
      <c r="Y68" s="1240">
        <v>1</v>
      </c>
      <c r="Z68" s="24" t="s">
        <v>8620</v>
      </c>
      <c r="AA68" s="24" t="s">
        <v>8621</v>
      </c>
      <c r="AB68" s="30"/>
      <c r="AC68" s="30">
        <v>38.5</v>
      </c>
      <c r="AD68" s="30">
        <v>38.5</v>
      </c>
      <c r="AE68" s="59"/>
      <c r="AF68" s="59"/>
      <c r="AG68" s="1240" t="s">
        <v>1104</v>
      </c>
      <c r="AH68" s="202" t="s">
        <v>1880</v>
      </c>
      <c r="AI68" s="133" t="s">
        <v>1880</v>
      </c>
      <c r="AJ68" s="1235" t="s">
        <v>9055</v>
      </c>
    </row>
    <row r="69" spans="1:36" s="11" customFormat="1" ht="26.25" customHeight="1" x14ac:dyDescent="0.15">
      <c r="A69" s="8">
        <f t="shared" si="0"/>
        <v>67</v>
      </c>
      <c r="B69" s="36" t="s">
        <v>8628</v>
      </c>
      <c r="C69" s="26" t="s">
        <v>19</v>
      </c>
      <c r="D69" s="26" t="s">
        <v>19</v>
      </c>
      <c r="E69" s="26" t="s">
        <v>19</v>
      </c>
      <c r="F69" s="29" t="s">
        <v>5746</v>
      </c>
      <c r="G69" s="53" t="s">
        <v>5747</v>
      </c>
      <c r="H69" s="26" t="s">
        <v>448</v>
      </c>
      <c r="I69" s="26" t="s">
        <v>448</v>
      </c>
      <c r="J69" s="26" t="s">
        <v>448</v>
      </c>
      <c r="K69" s="1238" t="s">
        <v>4208</v>
      </c>
      <c r="L69" s="1238" t="s">
        <v>6751</v>
      </c>
      <c r="M69" s="1238" t="s">
        <v>6752</v>
      </c>
      <c r="N69" s="22" t="s">
        <v>6753</v>
      </c>
      <c r="O69" s="22" t="s">
        <v>5478</v>
      </c>
      <c r="P69" s="22" t="s">
        <v>1880</v>
      </c>
      <c r="Q69" s="1239" t="s">
        <v>2422</v>
      </c>
      <c r="R69" s="54" t="s">
        <v>116</v>
      </c>
      <c r="S69" s="22" t="s">
        <v>1880</v>
      </c>
      <c r="T69" s="1239" t="s">
        <v>5487</v>
      </c>
      <c r="U69" s="1239" t="s">
        <v>5487</v>
      </c>
      <c r="V69" s="24" t="s">
        <v>8015</v>
      </c>
      <c r="W69" s="90" t="s">
        <v>8549</v>
      </c>
      <c r="X69" s="24" t="s">
        <v>110</v>
      </c>
      <c r="Y69" s="24">
        <v>2</v>
      </c>
      <c r="Z69" s="24" t="s">
        <v>8441</v>
      </c>
      <c r="AA69" s="24" t="s">
        <v>6470</v>
      </c>
      <c r="AB69" s="30"/>
      <c r="AC69" s="30">
        <v>7.5</v>
      </c>
      <c r="AD69" s="30">
        <v>7.5</v>
      </c>
      <c r="AE69" s="59"/>
      <c r="AF69" s="59"/>
      <c r="AG69" s="35" t="s">
        <v>1104</v>
      </c>
      <c r="AH69" s="202" t="s">
        <v>19</v>
      </c>
      <c r="AI69" s="35" t="s">
        <v>1880</v>
      </c>
      <c r="AJ69" s="1239"/>
    </row>
    <row r="70" spans="1:36" s="11" customFormat="1" ht="26.25" customHeight="1" x14ac:dyDescent="0.15">
      <c r="A70" s="8">
        <f t="shared" si="0"/>
        <v>68</v>
      </c>
      <c r="B70" s="36" t="s">
        <v>8622</v>
      </c>
      <c r="C70" s="26" t="s">
        <v>19</v>
      </c>
      <c r="D70" s="26" t="s">
        <v>19</v>
      </c>
      <c r="E70" s="26" t="s">
        <v>19</v>
      </c>
      <c r="F70" s="54" t="s">
        <v>2020</v>
      </c>
      <c r="G70" s="54" t="s">
        <v>8623</v>
      </c>
      <c r="H70" s="26" t="s">
        <v>448</v>
      </c>
      <c r="I70" s="26" t="s">
        <v>448</v>
      </c>
      <c r="J70" s="26" t="s">
        <v>448</v>
      </c>
      <c r="K70" s="1238" t="s">
        <v>4712</v>
      </c>
      <c r="L70" s="1238" t="s">
        <v>8121</v>
      </c>
      <c r="M70" s="1238" t="s">
        <v>6397</v>
      </c>
      <c r="N70" s="330" t="s">
        <v>8624</v>
      </c>
      <c r="O70" s="1240" t="s">
        <v>1826</v>
      </c>
      <c r="P70" s="1240" t="s">
        <v>111</v>
      </c>
      <c r="Q70" s="1240" t="s">
        <v>1818</v>
      </c>
      <c r="R70" s="151" t="s">
        <v>7439</v>
      </c>
      <c r="S70" s="22" t="s">
        <v>1880</v>
      </c>
      <c r="T70" s="1239" t="s">
        <v>5571</v>
      </c>
      <c r="U70" s="1239" t="s">
        <v>5571</v>
      </c>
      <c r="V70" s="24" t="s">
        <v>8015</v>
      </c>
      <c r="W70" s="90" t="s">
        <v>7955</v>
      </c>
      <c r="X70" s="24" t="s">
        <v>110</v>
      </c>
      <c r="Y70" s="24">
        <v>2</v>
      </c>
      <c r="Z70" s="24" t="s">
        <v>8615</v>
      </c>
      <c r="AA70" s="24" t="s">
        <v>8625</v>
      </c>
      <c r="AB70" s="30">
        <v>4.5</v>
      </c>
      <c r="AC70" s="30">
        <v>9</v>
      </c>
      <c r="AD70" s="30">
        <v>13.5</v>
      </c>
      <c r="AE70" s="59"/>
      <c r="AF70" s="59"/>
      <c r="AG70" s="35" t="s">
        <v>1104</v>
      </c>
      <c r="AH70" s="202" t="s">
        <v>19</v>
      </c>
      <c r="AI70" s="35" t="s">
        <v>1880</v>
      </c>
      <c r="AJ70" s="1239"/>
    </row>
    <row r="71" spans="1:36" s="11" customFormat="1" ht="26.25" customHeight="1" x14ac:dyDescent="0.15">
      <c r="A71" s="8">
        <f t="shared" si="0"/>
        <v>69</v>
      </c>
      <c r="B71" s="36" t="s">
        <v>8629</v>
      </c>
      <c r="C71" s="26" t="s">
        <v>19</v>
      </c>
      <c r="D71" s="26" t="s">
        <v>19</v>
      </c>
      <c r="E71" s="26" t="s">
        <v>19</v>
      </c>
      <c r="F71" s="29" t="s">
        <v>8630</v>
      </c>
      <c r="G71" s="53" t="s">
        <v>8631</v>
      </c>
      <c r="H71" s="26" t="s">
        <v>448</v>
      </c>
      <c r="I71" s="26" t="s">
        <v>448</v>
      </c>
      <c r="J71" s="26" t="s">
        <v>448</v>
      </c>
      <c r="K71" s="1" t="s">
        <v>1449</v>
      </c>
      <c r="L71" s="142" t="s">
        <v>28</v>
      </c>
      <c r="M71" s="329" t="s">
        <v>7447</v>
      </c>
      <c r="N71" s="22" t="s">
        <v>1138</v>
      </c>
      <c r="O71" s="22" t="s">
        <v>5431</v>
      </c>
      <c r="P71" s="1242" t="s">
        <v>111</v>
      </c>
      <c r="Q71" s="1242" t="s">
        <v>6704</v>
      </c>
      <c r="R71" s="54" t="s">
        <v>4644</v>
      </c>
      <c r="S71" s="22" t="s">
        <v>1880</v>
      </c>
      <c r="T71" s="1241" t="s">
        <v>2072</v>
      </c>
      <c r="U71" s="1241" t="s">
        <v>5487</v>
      </c>
      <c r="V71" s="24" t="s">
        <v>8632</v>
      </c>
      <c r="W71" s="90" t="s">
        <v>8633</v>
      </c>
      <c r="X71" s="1242" t="s">
        <v>2359</v>
      </c>
      <c r="Y71" s="1242">
        <v>1</v>
      </c>
      <c r="Z71" s="24" t="s">
        <v>448</v>
      </c>
      <c r="AA71" s="24" t="s">
        <v>448</v>
      </c>
      <c r="AB71" s="30">
        <v>3</v>
      </c>
      <c r="AC71" s="30"/>
      <c r="AD71" s="30">
        <v>3</v>
      </c>
      <c r="AE71" s="59"/>
      <c r="AF71" s="59"/>
      <c r="AG71" s="35" t="s">
        <v>1104</v>
      </c>
      <c r="AH71" s="202" t="s">
        <v>19</v>
      </c>
      <c r="AI71" s="35" t="s">
        <v>1880</v>
      </c>
      <c r="AJ71" s="1241"/>
    </row>
    <row r="72" spans="1:36" s="11" customFormat="1" ht="26.25" customHeight="1" x14ac:dyDescent="0.15">
      <c r="A72" s="8">
        <f t="shared" si="0"/>
        <v>70</v>
      </c>
      <c r="B72" s="36" t="s">
        <v>8637</v>
      </c>
      <c r="C72" s="26" t="s">
        <v>19</v>
      </c>
      <c r="D72" s="26" t="s">
        <v>19</v>
      </c>
      <c r="E72" s="26" t="s">
        <v>19</v>
      </c>
      <c r="F72" s="29" t="s">
        <v>5063</v>
      </c>
      <c r="G72" s="53" t="s">
        <v>5068</v>
      </c>
      <c r="H72" s="26" t="s">
        <v>448</v>
      </c>
      <c r="I72" s="26" t="s">
        <v>448</v>
      </c>
      <c r="J72" s="26" t="s">
        <v>448</v>
      </c>
      <c r="K72" s="1243" t="s">
        <v>4195</v>
      </c>
      <c r="L72" s="1243" t="s">
        <v>1124</v>
      </c>
      <c r="M72" s="1243" t="s">
        <v>5970</v>
      </c>
      <c r="N72" s="22" t="s">
        <v>4780</v>
      </c>
      <c r="O72" s="22" t="s">
        <v>5431</v>
      </c>
      <c r="P72" s="1245" t="s">
        <v>111</v>
      </c>
      <c r="Q72" s="1244" t="s">
        <v>1131</v>
      </c>
      <c r="R72" s="54" t="s">
        <v>116</v>
      </c>
      <c r="S72" s="22" t="s">
        <v>1880</v>
      </c>
      <c r="T72" s="1244" t="s">
        <v>5489</v>
      </c>
      <c r="U72" s="1244" t="s">
        <v>5489</v>
      </c>
      <c r="V72" s="24" t="s">
        <v>6058</v>
      </c>
      <c r="W72" s="90" t="s">
        <v>8606</v>
      </c>
      <c r="X72" s="1245" t="s">
        <v>2359</v>
      </c>
      <c r="Y72" s="1245">
        <v>1</v>
      </c>
      <c r="Z72" s="24" t="s">
        <v>8635</v>
      </c>
      <c r="AA72" s="24" t="s">
        <v>8636</v>
      </c>
      <c r="AB72" s="30"/>
      <c r="AC72" s="30">
        <v>7.8</v>
      </c>
      <c r="AD72" s="30">
        <v>7.8</v>
      </c>
      <c r="AE72" s="59"/>
      <c r="AF72" s="59"/>
      <c r="AG72" s="35" t="s">
        <v>1104</v>
      </c>
      <c r="AH72" s="202" t="s">
        <v>19</v>
      </c>
      <c r="AI72" s="35" t="s">
        <v>1880</v>
      </c>
      <c r="AJ72" s="1244"/>
    </row>
    <row r="73" spans="1:36" s="11" customFormat="1" ht="26.25" customHeight="1" x14ac:dyDescent="0.15">
      <c r="A73" s="8">
        <f t="shared" si="0"/>
        <v>71</v>
      </c>
      <c r="B73" s="36" t="s">
        <v>8638</v>
      </c>
      <c r="C73" s="26" t="s">
        <v>19</v>
      </c>
      <c r="D73" s="26" t="s">
        <v>19</v>
      </c>
      <c r="E73" s="26" t="s">
        <v>19</v>
      </c>
      <c r="F73" s="29" t="s">
        <v>6068</v>
      </c>
      <c r="G73" s="53" t="s">
        <v>6069</v>
      </c>
      <c r="H73" s="26" t="s">
        <v>448</v>
      </c>
      <c r="I73" s="26" t="s">
        <v>448</v>
      </c>
      <c r="J73" s="26" t="s">
        <v>448</v>
      </c>
      <c r="K73" s="1244" t="s">
        <v>4195</v>
      </c>
      <c r="L73" s="1244" t="s">
        <v>1124</v>
      </c>
      <c r="M73" s="1244" t="s">
        <v>4706</v>
      </c>
      <c r="N73" s="22" t="s">
        <v>4168</v>
      </c>
      <c r="O73" s="22" t="s">
        <v>1826</v>
      </c>
      <c r="P73" s="1245" t="s">
        <v>111</v>
      </c>
      <c r="Q73" s="221" t="s">
        <v>1818</v>
      </c>
      <c r="R73" s="222" t="s">
        <v>1819</v>
      </c>
      <c r="S73" s="22" t="s">
        <v>1880</v>
      </c>
      <c r="T73" s="1244" t="s">
        <v>5489</v>
      </c>
      <c r="U73" s="1244" t="s">
        <v>5489</v>
      </c>
      <c r="V73" s="24" t="s">
        <v>6058</v>
      </c>
      <c r="W73" s="90" t="s">
        <v>8606</v>
      </c>
      <c r="X73" s="1245" t="s">
        <v>2359</v>
      </c>
      <c r="Y73" s="1245">
        <v>1</v>
      </c>
      <c r="Z73" s="24" t="s">
        <v>8635</v>
      </c>
      <c r="AA73" s="24" t="s">
        <v>8636</v>
      </c>
      <c r="AB73" s="30"/>
      <c r="AC73" s="30">
        <v>7.8</v>
      </c>
      <c r="AD73" s="30">
        <v>7.8</v>
      </c>
      <c r="AE73" s="59"/>
      <c r="AF73" s="59"/>
      <c r="AG73" s="35" t="s">
        <v>1104</v>
      </c>
      <c r="AH73" s="202" t="s">
        <v>19</v>
      </c>
      <c r="AI73" s="35" t="s">
        <v>1880</v>
      </c>
      <c r="AJ73" s="1244"/>
    </row>
    <row r="74" spans="1:36" s="11" customFormat="1" ht="26.25" customHeight="1" x14ac:dyDescent="0.15">
      <c r="A74" s="8">
        <f t="shared" si="0"/>
        <v>72</v>
      </c>
      <c r="B74" s="36" t="s">
        <v>8643</v>
      </c>
      <c r="C74" s="26" t="s">
        <v>19</v>
      </c>
      <c r="D74" s="26" t="s">
        <v>19</v>
      </c>
      <c r="E74" s="611" t="s">
        <v>8843</v>
      </c>
      <c r="F74" s="29" t="s">
        <v>8640</v>
      </c>
      <c r="G74" s="53" t="s">
        <v>8641</v>
      </c>
      <c r="H74" s="26" t="s">
        <v>448</v>
      </c>
      <c r="I74" s="26" t="s">
        <v>8654</v>
      </c>
      <c r="J74" s="53" t="s">
        <v>8655</v>
      </c>
      <c r="K74" s="1246" t="s">
        <v>4712</v>
      </c>
      <c r="L74" s="26" t="s">
        <v>448</v>
      </c>
      <c r="M74" s="1246" t="s">
        <v>8642</v>
      </c>
      <c r="N74" s="1831" t="s">
        <v>11093</v>
      </c>
      <c r="O74" s="22" t="s">
        <v>1826</v>
      </c>
      <c r="P74" s="1248" t="s">
        <v>111</v>
      </c>
      <c r="Q74" s="221" t="s">
        <v>1818</v>
      </c>
      <c r="R74" s="54" t="s">
        <v>1928</v>
      </c>
      <c r="S74" s="22" t="s">
        <v>1880</v>
      </c>
      <c r="T74" s="1247" t="s">
        <v>5571</v>
      </c>
      <c r="U74" s="1247" t="s">
        <v>5571</v>
      </c>
      <c r="V74" s="24" t="s">
        <v>8639</v>
      </c>
      <c r="W74" s="90" t="s">
        <v>8606</v>
      </c>
      <c r="X74" s="1248" t="s">
        <v>2359</v>
      </c>
      <c r="Y74" s="1248">
        <v>1</v>
      </c>
      <c r="Z74" s="24" t="s">
        <v>6842</v>
      </c>
      <c r="AA74" s="24" t="s">
        <v>448</v>
      </c>
      <c r="AB74" s="30">
        <v>41.521900000000002</v>
      </c>
      <c r="AC74" s="30"/>
      <c r="AD74" s="30">
        <v>41.521900000000002</v>
      </c>
      <c r="AE74" s="59"/>
      <c r="AF74" s="59"/>
      <c r="AG74" s="35" t="s">
        <v>1104</v>
      </c>
      <c r="AH74" s="202" t="s">
        <v>19</v>
      </c>
      <c r="AI74" s="35" t="s">
        <v>1880</v>
      </c>
      <c r="AJ74" s="1247"/>
    </row>
    <row r="75" spans="1:36" s="11" customFormat="1" ht="26.25" customHeight="1" x14ac:dyDescent="0.15">
      <c r="A75" s="8">
        <f t="shared" si="0"/>
        <v>73</v>
      </c>
      <c r="B75" s="36" t="s">
        <v>8644</v>
      </c>
      <c r="C75" s="71" t="s">
        <v>8662</v>
      </c>
      <c r="D75" s="26" t="s">
        <v>19</v>
      </c>
      <c r="E75" s="26" t="s">
        <v>19</v>
      </c>
      <c r="F75" s="29" t="s">
        <v>8648</v>
      </c>
      <c r="G75" s="53" t="s">
        <v>8649</v>
      </c>
      <c r="H75" s="26" t="s">
        <v>448</v>
      </c>
      <c r="I75" s="1249" t="s">
        <v>8656</v>
      </c>
      <c r="J75" s="1249" t="s">
        <v>8657</v>
      </c>
      <c r="K75" s="1249" t="s">
        <v>4791</v>
      </c>
      <c r="L75" s="1249" t="s">
        <v>4792</v>
      </c>
      <c r="M75" s="1249" t="s">
        <v>8650</v>
      </c>
      <c r="N75" s="22" t="s">
        <v>4780</v>
      </c>
      <c r="O75" s="22" t="s">
        <v>1826</v>
      </c>
      <c r="P75" s="1250" t="s">
        <v>111</v>
      </c>
      <c r="Q75" s="1249" t="s">
        <v>1131</v>
      </c>
      <c r="R75" s="54" t="s">
        <v>2224</v>
      </c>
      <c r="S75" s="22" t="s">
        <v>1880</v>
      </c>
      <c r="T75" s="1247" t="s">
        <v>446</v>
      </c>
      <c r="U75" s="1249" t="s">
        <v>446</v>
      </c>
      <c r="V75" s="24" t="s">
        <v>8639</v>
      </c>
      <c r="W75" s="90" t="s">
        <v>8661</v>
      </c>
      <c r="X75" s="24" t="s">
        <v>108</v>
      </c>
      <c r="Y75" s="10">
        <v>1</v>
      </c>
      <c r="Z75" s="24" t="s">
        <v>5710</v>
      </c>
      <c r="AA75" s="24" t="s">
        <v>448</v>
      </c>
      <c r="AB75" s="30">
        <v>23.8</v>
      </c>
      <c r="AC75" s="30"/>
      <c r="AD75" s="30">
        <v>23.8</v>
      </c>
      <c r="AE75" s="59"/>
      <c r="AF75" s="59"/>
      <c r="AG75" s="35" t="s">
        <v>1104</v>
      </c>
      <c r="AH75" s="202" t="s">
        <v>19</v>
      </c>
      <c r="AI75" s="35" t="s">
        <v>1880</v>
      </c>
      <c r="AJ75" s="1247"/>
    </row>
    <row r="76" spans="1:36" s="11" customFormat="1" ht="26.25" customHeight="1" x14ac:dyDescent="0.15">
      <c r="A76" s="8">
        <f t="shared" si="0"/>
        <v>74</v>
      </c>
      <c r="B76" s="36" t="s">
        <v>8645</v>
      </c>
      <c r="C76" s="71" t="s">
        <v>8663</v>
      </c>
      <c r="D76" s="26" t="s">
        <v>19</v>
      </c>
      <c r="E76" s="26" t="s">
        <v>19</v>
      </c>
      <c r="F76" s="29" t="s">
        <v>8648</v>
      </c>
      <c r="G76" s="53" t="s">
        <v>8649</v>
      </c>
      <c r="H76" s="26" t="s">
        <v>448</v>
      </c>
      <c r="I76" s="1249" t="s">
        <v>8656</v>
      </c>
      <c r="J76" s="1249" t="s">
        <v>8657</v>
      </c>
      <c r="K76" s="1249" t="s">
        <v>4791</v>
      </c>
      <c r="L76" s="1249" t="s">
        <v>4792</v>
      </c>
      <c r="M76" s="1249" t="s">
        <v>8650</v>
      </c>
      <c r="N76" s="22" t="s">
        <v>4780</v>
      </c>
      <c r="O76" s="22" t="s">
        <v>1826</v>
      </c>
      <c r="P76" s="1250" t="s">
        <v>111</v>
      </c>
      <c r="Q76" s="1249" t="s">
        <v>8658</v>
      </c>
      <c r="R76" s="54" t="s">
        <v>8659</v>
      </c>
      <c r="S76" s="22" t="s">
        <v>1880</v>
      </c>
      <c r="T76" s="1249" t="s">
        <v>446</v>
      </c>
      <c r="U76" s="1249" t="s">
        <v>446</v>
      </c>
      <c r="V76" s="24" t="s">
        <v>8639</v>
      </c>
      <c r="W76" s="90" t="s">
        <v>8661</v>
      </c>
      <c r="X76" s="24" t="s">
        <v>108</v>
      </c>
      <c r="Y76" s="10">
        <v>1</v>
      </c>
      <c r="Z76" s="24" t="s">
        <v>448</v>
      </c>
      <c r="AA76" s="24" t="s">
        <v>448</v>
      </c>
      <c r="AB76" s="30">
        <v>42.6</v>
      </c>
      <c r="AC76" s="30"/>
      <c r="AD76" s="30">
        <v>42.6</v>
      </c>
      <c r="AE76" s="59"/>
      <c r="AF76" s="59"/>
      <c r="AG76" s="35" t="s">
        <v>1104</v>
      </c>
      <c r="AH76" s="202" t="s">
        <v>19</v>
      </c>
      <c r="AI76" s="35" t="s">
        <v>1880</v>
      </c>
      <c r="AJ76" s="1249"/>
    </row>
    <row r="77" spans="1:36" s="11" customFormat="1" ht="26.25" customHeight="1" x14ac:dyDescent="0.15">
      <c r="A77" s="8">
        <f t="shared" si="0"/>
        <v>75</v>
      </c>
      <c r="B77" s="36" t="s">
        <v>8646</v>
      </c>
      <c r="C77" s="71" t="s">
        <v>8647</v>
      </c>
      <c r="D77" s="26" t="s">
        <v>19</v>
      </c>
      <c r="E77" s="26" t="s">
        <v>19</v>
      </c>
      <c r="F77" s="29" t="s">
        <v>8648</v>
      </c>
      <c r="G77" s="53" t="s">
        <v>8649</v>
      </c>
      <c r="H77" s="26" t="s">
        <v>448</v>
      </c>
      <c r="I77" s="1249" t="s">
        <v>8656</v>
      </c>
      <c r="J77" s="1249" t="s">
        <v>8657</v>
      </c>
      <c r="K77" s="1249" t="s">
        <v>4791</v>
      </c>
      <c r="L77" s="1249" t="s">
        <v>4792</v>
      </c>
      <c r="M77" s="1249" t="s">
        <v>8650</v>
      </c>
      <c r="N77" s="22" t="s">
        <v>4780</v>
      </c>
      <c r="O77" s="22" t="s">
        <v>1826</v>
      </c>
      <c r="P77" s="1250" t="s">
        <v>111</v>
      </c>
      <c r="Q77" s="1249" t="s">
        <v>445</v>
      </c>
      <c r="R77" s="54" t="s">
        <v>8660</v>
      </c>
      <c r="S77" s="22" t="s">
        <v>1880</v>
      </c>
      <c r="T77" s="1249" t="s">
        <v>446</v>
      </c>
      <c r="U77" s="1249" t="s">
        <v>446</v>
      </c>
      <c r="V77" s="24" t="s">
        <v>8639</v>
      </c>
      <c r="W77" s="90" t="s">
        <v>8661</v>
      </c>
      <c r="X77" s="24" t="s">
        <v>108</v>
      </c>
      <c r="Y77" s="10">
        <v>1</v>
      </c>
      <c r="Z77" s="24" t="s">
        <v>448</v>
      </c>
      <c r="AA77" s="24" t="s">
        <v>448</v>
      </c>
      <c r="AB77" s="30">
        <v>26.2</v>
      </c>
      <c r="AC77" s="30"/>
      <c r="AD77" s="30">
        <v>26.2</v>
      </c>
      <c r="AE77" s="59"/>
      <c r="AF77" s="59"/>
      <c r="AG77" s="35" t="s">
        <v>1104</v>
      </c>
      <c r="AH77" s="202" t="s">
        <v>19</v>
      </c>
      <c r="AI77" s="35" t="s">
        <v>1880</v>
      </c>
      <c r="AJ77" s="1249"/>
    </row>
    <row r="78" spans="1:36" s="11" customFormat="1" ht="26.25" customHeight="1" x14ac:dyDescent="0.15">
      <c r="A78" s="8">
        <f t="shared" si="0"/>
        <v>76</v>
      </c>
      <c r="B78" s="36" t="s">
        <v>8672</v>
      </c>
      <c r="C78" s="26" t="s">
        <v>19</v>
      </c>
      <c r="D78" s="26" t="s">
        <v>19</v>
      </c>
      <c r="E78" s="26" t="s">
        <v>19</v>
      </c>
      <c r="F78" s="29" t="s">
        <v>6969</v>
      </c>
      <c r="G78" s="29" t="s">
        <v>8667</v>
      </c>
      <c r="H78" s="1253" t="s">
        <v>8664</v>
      </c>
      <c r="I78" s="1253" t="s">
        <v>8665</v>
      </c>
      <c r="J78" s="1253" t="s">
        <v>8666</v>
      </c>
      <c r="K78" s="1253" t="s">
        <v>2328</v>
      </c>
      <c r="L78" s="1253" t="s">
        <v>2327</v>
      </c>
      <c r="M78" s="1253" t="s">
        <v>4271</v>
      </c>
      <c r="N78" s="1253" t="s">
        <v>4780</v>
      </c>
      <c r="O78" s="1253" t="s">
        <v>1826</v>
      </c>
      <c r="P78" s="1253" t="s">
        <v>111</v>
      </c>
      <c r="Q78" s="22" t="s">
        <v>454</v>
      </c>
      <c r="R78" s="54" t="s">
        <v>8668</v>
      </c>
      <c r="S78" s="1253" t="s">
        <v>111</v>
      </c>
      <c r="T78" s="1252" t="s">
        <v>446</v>
      </c>
      <c r="U78" s="1252" t="s">
        <v>446</v>
      </c>
      <c r="V78" s="24" t="s">
        <v>8639</v>
      </c>
      <c r="W78" s="90" t="s">
        <v>8669</v>
      </c>
      <c r="X78" s="1253" t="s">
        <v>2359</v>
      </c>
      <c r="Y78" s="1253">
        <v>2</v>
      </c>
      <c r="Z78" s="24" t="s">
        <v>8615</v>
      </c>
      <c r="AA78" s="24" t="s">
        <v>8670</v>
      </c>
      <c r="AB78" s="30">
        <v>2.0099999999999998</v>
      </c>
      <c r="AC78" s="30">
        <v>27.434999999999999</v>
      </c>
      <c r="AD78" s="30">
        <v>29.445</v>
      </c>
      <c r="AE78" s="59"/>
      <c r="AF78" s="59"/>
      <c r="AG78" s="1253" t="s">
        <v>1104</v>
      </c>
      <c r="AH78" s="202" t="s">
        <v>1880</v>
      </c>
      <c r="AI78" s="133" t="s">
        <v>1880</v>
      </c>
      <c r="AJ78" s="1252"/>
    </row>
    <row r="79" spans="1:36" s="11" customFormat="1" ht="26.25" customHeight="1" x14ac:dyDescent="0.15">
      <c r="A79" s="8">
        <f t="shared" si="0"/>
        <v>77</v>
      </c>
      <c r="B79" s="36" t="s">
        <v>8673</v>
      </c>
      <c r="C79" s="26" t="s">
        <v>19</v>
      </c>
      <c r="D79" s="26" t="s">
        <v>19</v>
      </c>
      <c r="E79" s="26" t="s">
        <v>19</v>
      </c>
      <c r="F79" s="29" t="s">
        <v>1121</v>
      </c>
      <c r="G79" s="29" t="s">
        <v>8671</v>
      </c>
      <c r="H79" s="1253" t="s">
        <v>8664</v>
      </c>
      <c r="I79" s="1253" t="s">
        <v>8665</v>
      </c>
      <c r="J79" s="1253" t="s">
        <v>8666</v>
      </c>
      <c r="K79" s="1251" t="s">
        <v>2112</v>
      </c>
      <c r="L79" s="1251" t="s">
        <v>1124</v>
      </c>
      <c r="M79" s="1251" t="s">
        <v>1125</v>
      </c>
      <c r="N79" s="22" t="s">
        <v>1126</v>
      </c>
      <c r="O79" s="22" t="s">
        <v>5431</v>
      </c>
      <c r="P79" s="1253" t="s">
        <v>111</v>
      </c>
      <c r="Q79" s="1252" t="s">
        <v>1131</v>
      </c>
      <c r="R79" s="54" t="s">
        <v>8668</v>
      </c>
      <c r="S79" s="1253" t="s">
        <v>111</v>
      </c>
      <c r="T79" s="1247" t="s">
        <v>446</v>
      </c>
      <c r="U79" s="1252" t="s">
        <v>446</v>
      </c>
      <c r="V79" s="24" t="s">
        <v>8639</v>
      </c>
      <c r="W79" s="90" t="s">
        <v>8614</v>
      </c>
      <c r="X79" s="24" t="s">
        <v>110</v>
      </c>
      <c r="Y79" s="24">
        <v>1</v>
      </c>
      <c r="Z79" s="24" t="s">
        <v>8615</v>
      </c>
      <c r="AA79" s="24" t="s">
        <v>8670</v>
      </c>
      <c r="AB79" s="30">
        <v>20.88</v>
      </c>
      <c r="AC79" s="30">
        <v>65.655000000000001</v>
      </c>
      <c r="AD79" s="30">
        <v>86.534999999999997</v>
      </c>
      <c r="AE79" s="59"/>
      <c r="AF79" s="59"/>
      <c r="AG79" s="1253" t="s">
        <v>1104</v>
      </c>
      <c r="AH79" s="202" t="s">
        <v>1880</v>
      </c>
      <c r="AI79" s="133" t="s">
        <v>1880</v>
      </c>
      <c r="AJ79" s="1247"/>
    </row>
    <row r="80" spans="1:36" s="11" customFormat="1" ht="26.25" customHeight="1" x14ac:dyDescent="0.15">
      <c r="A80" s="8">
        <f t="shared" si="0"/>
        <v>78</v>
      </c>
      <c r="B80" s="36" t="s">
        <v>8674</v>
      </c>
      <c r="C80" s="26" t="s">
        <v>19</v>
      </c>
      <c r="D80" s="26" t="s">
        <v>19</v>
      </c>
      <c r="E80" s="26" t="s">
        <v>19</v>
      </c>
      <c r="F80" s="29" t="s">
        <v>6385</v>
      </c>
      <c r="G80" s="53" t="s">
        <v>5092</v>
      </c>
      <c r="H80" s="26" t="s">
        <v>8679</v>
      </c>
      <c r="I80" s="26" t="s">
        <v>8680</v>
      </c>
      <c r="J80" s="26" t="s">
        <v>8681</v>
      </c>
      <c r="K80" s="1251" t="s">
        <v>4195</v>
      </c>
      <c r="L80" s="1251" t="s">
        <v>4196</v>
      </c>
      <c r="M80" s="1251" t="s">
        <v>7148</v>
      </c>
      <c r="N80" s="22" t="s">
        <v>7149</v>
      </c>
      <c r="O80" s="1252" t="s">
        <v>5431</v>
      </c>
      <c r="P80" s="1253" t="s">
        <v>111</v>
      </c>
      <c r="Q80" s="1253" t="s">
        <v>1818</v>
      </c>
      <c r="R80" s="222" t="s">
        <v>8691</v>
      </c>
      <c r="S80" s="1253" t="s">
        <v>19</v>
      </c>
      <c r="T80" s="1252" t="s">
        <v>7428</v>
      </c>
      <c r="U80" s="1252" t="s">
        <v>2072</v>
      </c>
      <c r="V80" s="24" t="s">
        <v>8639</v>
      </c>
      <c r="W80" s="90" t="s">
        <v>8634</v>
      </c>
      <c r="X80" s="24" t="s">
        <v>2359</v>
      </c>
      <c r="Y80" s="24">
        <v>1</v>
      </c>
      <c r="Z80" s="24" t="s">
        <v>8677</v>
      </c>
      <c r="AA80" s="24" t="s">
        <v>8678</v>
      </c>
      <c r="AB80" s="30"/>
      <c r="AC80" s="30">
        <v>14.8</v>
      </c>
      <c r="AD80" s="30">
        <v>14.8</v>
      </c>
      <c r="AE80" s="59"/>
      <c r="AF80" s="59"/>
      <c r="AG80" s="35" t="s">
        <v>1104</v>
      </c>
      <c r="AH80" s="202" t="s">
        <v>19</v>
      </c>
      <c r="AI80" s="35" t="s">
        <v>1880</v>
      </c>
      <c r="AJ80" s="1252"/>
    </row>
    <row r="81" spans="1:36" s="11" customFormat="1" ht="26.25" customHeight="1" x14ac:dyDescent="0.15">
      <c r="A81" s="8">
        <f t="shared" si="0"/>
        <v>79</v>
      </c>
      <c r="B81" s="36" t="s">
        <v>8675</v>
      </c>
      <c r="C81" s="26" t="s">
        <v>19</v>
      </c>
      <c r="D81" s="26" t="s">
        <v>19</v>
      </c>
      <c r="E81" s="26" t="s">
        <v>19</v>
      </c>
      <c r="F81" s="29" t="s">
        <v>4423</v>
      </c>
      <c r="G81" s="53" t="s">
        <v>5092</v>
      </c>
      <c r="H81" s="26" t="s">
        <v>8679</v>
      </c>
      <c r="I81" s="26" t="s">
        <v>8680</v>
      </c>
      <c r="J81" s="26" t="s">
        <v>8681</v>
      </c>
      <c r="K81" s="1251" t="s">
        <v>1147</v>
      </c>
      <c r="L81" s="1251" t="s">
        <v>2067</v>
      </c>
      <c r="M81" s="1251" t="s">
        <v>4426</v>
      </c>
      <c r="N81" s="22" t="s">
        <v>1138</v>
      </c>
      <c r="O81" s="1252" t="s">
        <v>5431</v>
      </c>
      <c r="P81" s="1253" t="s">
        <v>111</v>
      </c>
      <c r="Q81" s="1253" t="s">
        <v>1818</v>
      </c>
      <c r="R81" s="222" t="s">
        <v>8691</v>
      </c>
      <c r="S81" s="1253" t="s">
        <v>19</v>
      </c>
      <c r="T81" s="1252" t="s">
        <v>7428</v>
      </c>
      <c r="U81" s="1252" t="s">
        <v>2072</v>
      </c>
      <c r="V81" s="24" t="s">
        <v>8639</v>
      </c>
      <c r="W81" s="90" t="s">
        <v>8634</v>
      </c>
      <c r="X81" s="24" t="s">
        <v>2359</v>
      </c>
      <c r="Y81" s="24">
        <v>1</v>
      </c>
      <c r="Z81" s="24" t="s">
        <v>8677</v>
      </c>
      <c r="AA81" s="24" t="s">
        <v>8678</v>
      </c>
      <c r="AB81" s="30"/>
      <c r="AC81" s="30">
        <v>14.8</v>
      </c>
      <c r="AD81" s="30">
        <v>14.8</v>
      </c>
      <c r="AE81" s="59"/>
      <c r="AF81" s="59"/>
      <c r="AG81" s="35" t="s">
        <v>1104</v>
      </c>
      <c r="AH81" s="202" t="s">
        <v>19</v>
      </c>
      <c r="AI81" s="35" t="s">
        <v>1880</v>
      </c>
      <c r="AJ81" s="1252"/>
    </row>
    <row r="82" spans="1:36" s="11" customFormat="1" ht="26.25" customHeight="1" x14ac:dyDescent="0.15">
      <c r="A82" s="8">
        <f t="shared" si="0"/>
        <v>80</v>
      </c>
      <c r="B82" s="36" t="s">
        <v>8676</v>
      </c>
      <c r="C82" s="26" t="s">
        <v>19</v>
      </c>
      <c r="D82" s="26" t="s">
        <v>19</v>
      </c>
      <c r="E82" s="26" t="s">
        <v>19</v>
      </c>
      <c r="F82" s="29" t="s">
        <v>6117</v>
      </c>
      <c r="G82" s="53" t="s">
        <v>5092</v>
      </c>
      <c r="H82" s="26" t="s">
        <v>8679</v>
      </c>
      <c r="I82" s="26" t="s">
        <v>8680</v>
      </c>
      <c r="J82" s="26" t="s">
        <v>8681</v>
      </c>
      <c r="K82" s="1" t="s">
        <v>23</v>
      </c>
      <c r="L82" s="142" t="s">
        <v>28</v>
      </c>
      <c r="M82" s="329" t="s">
        <v>3881</v>
      </c>
      <c r="N82" s="22" t="s">
        <v>6119</v>
      </c>
      <c r="O82" s="22" t="s">
        <v>5431</v>
      </c>
      <c r="P82" s="1253" t="s">
        <v>111</v>
      </c>
      <c r="Q82" s="1253" t="s">
        <v>1818</v>
      </c>
      <c r="R82" s="222" t="s">
        <v>8691</v>
      </c>
      <c r="S82" s="22" t="s">
        <v>1880</v>
      </c>
      <c r="T82" s="1252" t="s">
        <v>7428</v>
      </c>
      <c r="U82" s="1252" t="s">
        <v>5487</v>
      </c>
      <c r="V82" s="24" t="s">
        <v>8639</v>
      </c>
      <c r="W82" s="90" t="s">
        <v>8634</v>
      </c>
      <c r="X82" s="24" t="s">
        <v>2359</v>
      </c>
      <c r="Y82" s="24">
        <v>1</v>
      </c>
      <c r="Z82" s="24" t="s">
        <v>8677</v>
      </c>
      <c r="AA82" s="24" t="s">
        <v>8678</v>
      </c>
      <c r="AB82" s="30"/>
      <c r="AC82" s="30">
        <v>14.8</v>
      </c>
      <c r="AD82" s="30">
        <v>14.8</v>
      </c>
      <c r="AE82" s="59"/>
      <c r="AF82" s="59"/>
      <c r="AG82" s="35" t="s">
        <v>1104</v>
      </c>
      <c r="AH82" s="202" t="s">
        <v>19</v>
      </c>
      <c r="AI82" s="35" t="s">
        <v>1880</v>
      </c>
      <c r="AJ82" s="1252"/>
    </row>
    <row r="83" spans="1:36" s="11" customFormat="1" ht="26.25" customHeight="1" x14ac:dyDescent="0.15">
      <c r="A83" s="8">
        <f t="shared" si="0"/>
        <v>81</v>
      </c>
      <c r="B83" s="36" t="s">
        <v>8682</v>
      </c>
      <c r="C83" s="26" t="s">
        <v>19</v>
      </c>
      <c r="D83" s="26" t="s">
        <v>19</v>
      </c>
      <c r="E83" s="26" t="s">
        <v>19</v>
      </c>
      <c r="F83" s="29" t="s">
        <v>412</v>
      </c>
      <c r="G83" s="53" t="s">
        <v>5092</v>
      </c>
      <c r="H83" s="26" t="s">
        <v>8679</v>
      </c>
      <c r="I83" s="26" t="s">
        <v>8680</v>
      </c>
      <c r="J83" s="26" t="s">
        <v>8681</v>
      </c>
      <c r="K83" s="1251" t="s">
        <v>1147</v>
      </c>
      <c r="L83" s="1" t="s">
        <v>2067</v>
      </c>
      <c r="M83" s="37" t="s">
        <v>1808</v>
      </c>
      <c r="N83" s="22" t="s">
        <v>1138</v>
      </c>
      <c r="O83" s="22" t="s">
        <v>1826</v>
      </c>
      <c r="P83" s="1253" t="s">
        <v>111</v>
      </c>
      <c r="Q83" s="1252" t="s">
        <v>1818</v>
      </c>
      <c r="R83" s="222" t="s">
        <v>8691</v>
      </c>
      <c r="S83" s="71" t="s">
        <v>19</v>
      </c>
      <c r="T83" s="1252" t="s">
        <v>7428</v>
      </c>
      <c r="U83" s="1252" t="s">
        <v>5487</v>
      </c>
      <c r="V83" s="24" t="s">
        <v>8639</v>
      </c>
      <c r="W83" s="90" t="s">
        <v>8634</v>
      </c>
      <c r="X83" s="24" t="s">
        <v>2359</v>
      </c>
      <c r="Y83" s="24">
        <v>1</v>
      </c>
      <c r="Z83" s="24" t="s">
        <v>8677</v>
      </c>
      <c r="AA83" s="24" t="s">
        <v>8678</v>
      </c>
      <c r="AB83" s="30"/>
      <c r="AC83" s="30">
        <v>14.8</v>
      </c>
      <c r="AD83" s="30">
        <v>14.8</v>
      </c>
      <c r="AE83" s="59"/>
      <c r="AF83" s="59"/>
      <c r="AG83" s="35" t="s">
        <v>1104</v>
      </c>
      <c r="AH83" s="202" t="s">
        <v>1880</v>
      </c>
      <c r="AI83" s="35" t="s">
        <v>1880</v>
      </c>
      <c r="AJ83" s="1252"/>
    </row>
    <row r="84" spans="1:36" s="11" customFormat="1" ht="26.25" customHeight="1" x14ac:dyDescent="0.15">
      <c r="A84" s="8">
        <f t="shared" si="0"/>
        <v>82</v>
      </c>
      <c r="B84" s="36" t="s">
        <v>8683</v>
      </c>
      <c r="C84" s="26" t="s">
        <v>19</v>
      </c>
      <c r="D84" s="26" t="s">
        <v>19</v>
      </c>
      <c r="E84" s="26" t="s">
        <v>19</v>
      </c>
      <c r="F84" s="29" t="s">
        <v>412</v>
      </c>
      <c r="G84" s="53" t="s">
        <v>5092</v>
      </c>
      <c r="H84" s="26" t="s">
        <v>8679</v>
      </c>
      <c r="I84" s="26" t="s">
        <v>8680</v>
      </c>
      <c r="J84" s="26" t="s">
        <v>8681</v>
      </c>
      <c r="K84" s="1251" t="s">
        <v>1147</v>
      </c>
      <c r="L84" s="1" t="s">
        <v>2067</v>
      </c>
      <c r="M84" s="37" t="s">
        <v>3801</v>
      </c>
      <c r="N84" s="22" t="s">
        <v>1138</v>
      </c>
      <c r="O84" s="22" t="s">
        <v>1826</v>
      </c>
      <c r="P84" s="1253" t="s">
        <v>111</v>
      </c>
      <c r="Q84" s="1252" t="s">
        <v>1818</v>
      </c>
      <c r="R84" s="222" t="s">
        <v>8691</v>
      </c>
      <c r="S84" s="71" t="s">
        <v>19</v>
      </c>
      <c r="T84" s="1252" t="s">
        <v>7428</v>
      </c>
      <c r="U84" s="1252" t="s">
        <v>5487</v>
      </c>
      <c r="V84" s="24" t="s">
        <v>8639</v>
      </c>
      <c r="W84" s="90" t="s">
        <v>8634</v>
      </c>
      <c r="X84" s="24" t="s">
        <v>2359</v>
      </c>
      <c r="Y84" s="24">
        <v>1</v>
      </c>
      <c r="Z84" s="24" t="s">
        <v>8677</v>
      </c>
      <c r="AA84" s="24" t="s">
        <v>8678</v>
      </c>
      <c r="AB84" s="30"/>
      <c r="AC84" s="30">
        <v>14.8</v>
      </c>
      <c r="AD84" s="30">
        <v>14.8</v>
      </c>
      <c r="AE84" s="59"/>
      <c r="AF84" s="59"/>
      <c r="AG84" s="35" t="s">
        <v>1104</v>
      </c>
      <c r="AH84" s="202" t="s">
        <v>1880</v>
      </c>
      <c r="AI84" s="35" t="s">
        <v>1880</v>
      </c>
      <c r="AJ84" s="1252"/>
    </row>
    <row r="85" spans="1:36" s="11" customFormat="1" ht="26.25" customHeight="1" x14ac:dyDescent="0.15">
      <c r="A85" s="8">
        <f t="shared" si="0"/>
        <v>83</v>
      </c>
      <c r="B85" s="36" t="s">
        <v>8684</v>
      </c>
      <c r="C85" s="26" t="s">
        <v>19</v>
      </c>
      <c r="D85" s="26" t="s">
        <v>19</v>
      </c>
      <c r="E85" s="26" t="s">
        <v>19</v>
      </c>
      <c r="F85" s="29" t="s">
        <v>6520</v>
      </c>
      <c r="G85" s="53" t="s">
        <v>5092</v>
      </c>
      <c r="H85" s="26" t="s">
        <v>8679</v>
      </c>
      <c r="I85" s="26" t="s">
        <v>8680</v>
      </c>
      <c r="J85" s="26" t="s">
        <v>8681</v>
      </c>
      <c r="K85" s="1251" t="s">
        <v>1147</v>
      </c>
      <c r="L85" s="1" t="s">
        <v>2067</v>
      </c>
      <c r="M85" s="37" t="s">
        <v>3962</v>
      </c>
      <c r="N85" s="22" t="s">
        <v>1820</v>
      </c>
      <c r="O85" s="22" t="s">
        <v>1826</v>
      </c>
      <c r="P85" s="1253" t="s">
        <v>111</v>
      </c>
      <c r="Q85" s="1252" t="s">
        <v>1818</v>
      </c>
      <c r="R85" s="222" t="s">
        <v>8691</v>
      </c>
      <c r="S85" s="71" t="s">
        <v>19</v>
      </c>
      <c r="T85" s="1252" t="s">
        <v>7428</v>
      </c>
      <c r="U85" s="1252" t="s">
        <v>5487</v>
      </c>
      <c r="V85" s="24" t="s">
        <v>8639</v>
      </c>
      <c r="W85" s="90" t="s">
        <v>8634</v>
      </c>
      <c r="X85" s="24" t="s">
        <v>2359</v>
      </c>
      <c r="Y85" s="24">
        <v>1</v>
      </c>
      <c r="Z85" s="24" t="s">
        <v>8677</v>
      </c>
      <c r="AA85" s="24" t="s">
        <v>8678</v>
      </c>
      <c r="AB85" s="30"/>
      <c r="AC85" s="30">
        <v>14.8</v>
      </c>
      <c r="AD85" s="30">
        <v>14.8</v>
      </c>
      <c r="AE85" s="59"/>
      <c r="AF85" s="59"/>
      <c r="AG85" s="35" t="s">
        <v>1104</v>
      </c>
      <c r="AH85" s="202" t="s">
        <v>1880</v>
      </c>
      <c r="AI85" s="35" t="s">
        <v>1880</v>
      </c>
      <c r="AJ85" s="1252"/>
    </row>
    <row r="86" spans="1:36" s="11" customFormat="1" ht="26.25" customHeight="1" x14ac:dyDescent="0.15">
      <c r="A86" s="8">
        <f t="shared" si="0"/>
        <v>84</v>
      </c>
      <c r="B86" s="36" t="s">
        <v>8685</v>
      </c>
      <c r="C86" s="26" t="s">
        <v>19</v>
      </c>
      <c r="D86" s="26" t="s">
        <v>19</v>
      </c>
      <c r="E86" s="26" t="s">
        <v>19</v>
      </c>
      <c r="F86" s="55" t="s">
        <v>504</v>
      </c>
      <c r="G86" s="53" t="s">
        <v>5092</v>
      </c>
      <c r="H86" s="26" t="s">
        <v>8679</v>
      </c>
      <c r="I86" s="26" t="s">
        <v>8680</v>
      </c>
      <c r="J86" s="26" t="s">
        <v>8681</v>
      </c>
      <c r="K86" s="42" t="s">
        <v>507</v>
      </c>
      <c r="L86" s="42" t="s">
        <v>506</v>
      </c>
      <c r="M86" s="27" t="s">
        <v>508</v>
      </c>
      <c r="N86" s="27" t="s">
        <v>491</v>
      </c>
      <c r="O86" s="22" t="s">
        <v>5431</v>
      </c>
      <c r="P86" s="1253" t="s">
        <v>111</v>
      </c>
      <c r="Q86" s="1253" t="s">
        <v>1818</v>
      </c>
      <c r="R86" s="222" t="s">
        <v>8691</v>
      </c>
      <c r="S86" s="22" t="s">
        <v>1880</v>
      </c>
      <c r="T86" s="1252" t="s">
        <v>7428</v>
      </c>
      <c r="U86" s="1252" t="s">
        <v>5487</v>
      </c>
      <c r="V86" s="24" t="s">
        <v>8639</v>
      </c>
      <c r="W86" s="90" t="s">
        <v>8634</v>
      </c>
      <c r="X86" s="24" t="s">
        <v>2359</v>
      </c>
      <c r="Y86" s="24">
        <v>1</v>
      </c>
      <c r="Z86" s="24" t="s">
        <v>8677</v>
      </c>
      <c r="AA86" s="24" t="s">
        <v>8678</v>
      </c>
      <c r="AB86" s="30"/>
      <c r="AC86" s="30">
        <v>14.8</v>
      </c>
      <c r="AD86" s="30">
        <v>14.8</v>
      </c>
      <c r="AE86" s="59"/>
      <c r="AF86" s="59"/>
      <c r="AG86" s="35" t="s">
        <v>1104</v>
      </c>
      <c r="AH86" s="202" t="s">
        <v>19</v>
      </c>
      <c r="AI86" s="35" t="s">
        <v>1880</v>
      </c>
      <c r="AJ86" s="1252"/>
    </row>
    <row r="87" spans="1:36" s="11" customFormat="1" ht="26.25" customHeight="1" x14ac:dyDescent="0.15">
      <c r="A87" s="8">
        <f t="shared" si="0"/>
        <v>85</v>
      </c>
      <c r="B87" s="36" t="s">
        <v>8690</v>
      </c>
      <c r="C87" s="26" t="s">
        <v>19</v>
      </c>
      <c r="D87" s="26" t="s">
        <v>19</v>
      </c>
      <c r="E87" s="26" t="s">
        <v>19</v>
      </c>
      <c r="F87" s="29" t="s">
        <v>6521</v>
      </c>
      <c r="G87" s="53" t="s">
        <v>5092</v>
      </c>
      <c r="H87" s="26" t="s">
        <v>8679</v>
      </c>
      <c r="I87" s="26" t="s">
        <v>8680</v>
      </c>
      <c r="J87" s="26" t="s">
        <v>8681</v>
      </c>
      <c r="K87" s="1251" t="s">
        <v>1147</v>
      </c>
      <c r="L87" s="1251" t="s">
        <v>2067</v>
      </c>
      <c r="M87" s="1251" t="s">
        <v>2340</v>
      </c>
      <c r="N87" s="22" t="s">
        <v>1138</v>
      </c>
      <c r="O87" s="1253" t="s">
        <v>1826</v>
      </c>
      <c r="P87" s="1253" t="s">
        <v>111</v>
      </c>
      <c r="Q87" s="28" t="s">
        <v>25</v>
      </c>
      <c r="R87" s="222" t="s">
        <v>8691</v>
      </c>
      <c r="S87" s="1253" t="s">
        <v>19</v>
      </c>
      <c r="T87" s="1252" t="s">
        <v>7428</v>
      </c>
      <c r="U87" s="1252" t="s">
        <v>5487</v>
      </c>
      <c r="V87" s="24" t="s">
        <v>8639</v>
      </c>
      <c r="W87" s="90" t="s">
        <v>8634</v>
      </c>
      <c r="X87" s="24" t="s">
        <v>2359</v>
      </c>
      <c r="Y87" s="24">
        <v>1</v>
      </c>
      <c r="Z87" s="24" t="s">
        <v>8677</v>
      </c>
      <c r="AA87" s="24" t="s">
        <v>8678</v>
      </c>
      <c r="AB87" s="30"/>
      <c r="AC87" s="30">
        <v>14.8</v>
      </c>
      <c r="AD87" s="30">
        <v>14.8</v>
      </c>
      <c r="AE87" s="59"/>
      <c r="AF87" s="59"/>
      <c r="AG87" s="1253" t="s">
        <v>1104</v>
      </c>
      <c r="AH87" s="202" t="s">
        <v>1880</v>
      </c>
      <c r="AI87" s="133" t="s">
        <v>1880</v>
      </c>
      <c r="AJ87" s="1252"/>
    </row>
    <row r="88" spans="1:36" s="11" customFormat="1" ht="26.25" customHeight="1" x14ac:dyDescent="0.15">
      <c r="A88" s="8">
        <f t="shared" si="0"/>
        <v>86</v>
      </c>
      <c r="B88" s="36" t="s">
        <v>8686</v>
      </c>
      <c r="C88" s="26" t="s">
        <v>19</v>
      </c>
      <c r="D88" s="26" t="s">
        <v>9317</v>
      </c>
      <c r="E88" s="26" t="s">
        <v>19</v>
      </c>
      <c r="F88" s="29" t="s">
        <v>6522</v>
      </c>
      <c r="G88" s="53" t="s">
        <v>5092</v>
      </c>
      <c r="H88" s="26" t="s">
        <v>8679</v>
      </c>
      <c r="I88" s="26" t="s">
        <v>8680</v>
      </c>
      <c r="J88" s="26" t="s">
        <v>8681</v>
      </c>
      <c r="K88" s="1251" t="s">
        <v>1147</v>
      </c>
      <c r="L88" s="1251" t="s">
        <v>2067</v>
      </c>
      <c r="M88" s="1251" t="s">
        <v>4481</v>
      </c>
      <c r="N88" s="22" t="s">
        <v>4640</v>
      </c>
      <c r="O88" s="1253" t="s">
        <v>1826</v>
      </c>
      <c r="P88" s="1253" t="s">
        <v>111</v>
      </c>
      <c r="Q88" s="28" t="s">
        <v>25</v>
      </c>
      <c r="R88" s="222" t="s">
        <v>8691</v>
      </c>
      <c r="S88" s="1253" t="s">
        <v>19</v>
      </c>
      <c r="T88" s="1252" t="s">
        <v>7428</v>
      </c>
      <c r="U88" s="1252" t="s">
        <v>5487</v>
      </c>
      <c r="V88" s="24" t="s">
        <v>8639</v>
      </c>
      <c r="W88" s="90" t="s">
        <v>8634</v>
      </c>
      <c r="X88" s="24" t="s">
        <v>2359</v>
      </c>
      <c r="Y88" s="24">
        <v>1</v>
      </c>
      <c r="Z88" s="24" t="s">
        <v>8677</v>
      </c>
      <c r="AA88" s="24" t="s">
        <v>8678</v>
      </c>
      <c r="AB88" s="30"/>
      <c r="AC88" s="30">
        <v>14.8</v>
      </c>
      <c r="AD88" s="30">
        <v>14.8</v>
      </c>
      <c r="AE88" s="59"/>
      <c r="AF88" s="59"/>
      <c r="AG88" s="1253" t="s">
        <v>1104</v>
      </c>
      <c r="AH88" s="202" t="s">
        <v>1880</v>
      </c>
      <c r="AI88" s="133" t="s">
        <v>1880</v>
      </c>
      <c r="AJ88" s="1252"/>
    </row>
    <row r="89" spans="1:36" s="11" customFormat="1" ht="26.25" customHeight="1" x14ac:dyDescent="0.15">
      <c r="A89" s="8">
        <f t="shared" si="0"/>
        <v>87</v>
      </c>
      <c r="B89" s="36" t="s">
        <v>8687</v>
      </c>
      <c r="C89" s="26" t="s">
        <v>19</v>
      </c>
      <c r="D89" s="26" t="s">
        <v>19</v>
      </c>
      <c r="E89" s="26" t="s">
        <v>19</v>
      </c>
      <c r="F89" s="29" t="s">
        <v>438</v>
      </c>
      <c r="G89" s="53" t="s">
        <v>5092</v>
      </c>
      <c r="H89" s="26" t="s">
        <v>8679</v>
      </c>
      <c r="I89" s="26" t="s">
        <v>8680</v>
      </c>
      <c r="J89" s="26" t="s">
        <v>8681</v>
      </c>
      <c r="K89" s="1251" t="s">
        <v>1147</v>
      </c>
      <c r="L89" s="1251" t="s">
        <v>2067</v>
      </c>
      <c r="M89" s="1251" t="s">
        <v>1821</v>
      </c>
      <c r="N89" s="22" t="s">
        <v>3805</v>
      </c>
      <c r="O89" s="1253" t="s">
        <v>1826</v>
      </c>
      <c r="P89" s="1253" t="s">
        <v>111</v>
      </c>
      <c r="Q89" s="28" t="s">
        <v>25</v>
      </c>
      <c r="R89" s="222" t="s">
        <v>8691</v>
      </c>
      <c r="S89" s="1253" t="s">
        <v>19</v>
      </c>
      <c r="T89" s="1252" t="s">
        <v>7428</v>
      </c>
      <c r="U89" s="1252" t="s">
        <v>5487</v>
      </c>
      <c r="V89" s="24" t="s">
        <v>8639</v>
      </c>
      <c r="W89" s="90" t="s">
        <v>8634</v>
      </c>
      <c r="X89" s="24" t="s">
        <v>2359</v>
      </c>
      <c r="Y89" s="24">
        <v>1</v>
      </c>
      <c r="Z89" s="24" t="s">
        <v>8677</v>
      </c>
      <c r="AA89" s="24" t="s">
        <v>8678</v>
      </c>
      <c r="AB89" s="30"/>
      <c r="AC89" s="30">
        <v>14.8</v>
      </c>
      <c r="AD89" s="30">
        <v>14.8</v>
      </c>
      <c r="AE89" s="59"/>
      <c r="AF89" s="59"/>
      <c r="AG89" s="1253" t="s">
        <v>1104</v>
      </c>
      <c r="AH89" s="202" t="s">
        <v>1880</v>
      </c>
      <c r="AI89" s="133" t="s">
        <v>1880</v>
      </c>
      <c r="AJ89" s="1252"/>
    </row>
    <row r="90" spans="1:36" s="11" customFormat="1" ht="26.25" customHeight="1" x14ac:dyDescent="0.15">
      <c r="A90" s="8">
        <f t="shared" si="0"/>
        <v>88</v>
      </c>
      <c r="B90" s="36" t="s">
        <v>8688</v>
      </c>
      <c r="C90" s="26" t="s">
        <v>19</v>
      </c>
      <c r="D90" s="26" t="s">
        <v>9269</v>
      </c>
      <c r="E90" s="26" t="s">
        <v>19</v>
      </c>
      <c r="F90" s="29" t="s">
        <v>5922</v>
      </c>
      <c r="G90" s="53" t="s">
        <v>5092</v>
      </c>
      <c r="H90" s="26" t="s">
        <v>8679</v>
      </c>
      <c r="I90" s="26" t="s">
        <v>8680</v>
      </c>
      <c r="J90" s="26" t="s">
        <v>8681</v>
      </c>
      <c r="K90" s="1251" t="s">
        <v>4195</v>
      </c>
      <c r="L90" s="1251" t="s">
        <v>4196</v>
      </c>
      <c r="M90" s="1251" t="s">
        <v>6871</v>
      </c>
      <c r="N90" s="22" t="s">
        <v>6872</v>
      </c>
      <c r="O90" s="1253" t="s">
        <v>1826</v>
      </c>
      <c r="P90" s="1253" t="s">
        <v>111</v>
      </c>
      <c r="Q90" s="221" t="s">
        <v>1818</v>
      </c>
      <c r="R90" s="222" t="s">
        <v>8691</v>
      </c>
      <c r="S90" s="1253" t="s">
        <v>19</v>
      </c>
      <c r="T90" s="1252" t="s">
        <v>7428</v>
      </c>
      <c r="U90" s="1252" t="s">
        <v>5487</v>
      </c>
      <c r="V90" s="24" t="s">
        <v>8639</v>
      </c>
      <c r="W90" s="90" t="s">
        <v>8634</v>
      </c>
      <c r="X90" s="24" t="s">
        <v>2359</v>
      </c>
      <c r="Y90" s="24">
        <v>1</v>
      </c>
      <c r="Z90" s="24" t="s">
        <v>8677</v>
      </c>
      <c r="AA90" s="24" t="s">
        <v>8678</v>
      </c>
      <c r="AB90" s="30"/>
      <c r="AC90" s="30">
        <v>14.8</v>
      </c>
      <c r="AD90" s="30">
        <v>14.8</v>
      </c>
      <c r="AE90" s="59"/>
      <c r="AF90" s="59"/>
      <c r="AG90" s="1253" t="s">
        <v>1104</v>
      </c>
      <c r="AH90" s="202" t="s">
        <v>1880</v>
      </c>
      <c r="AI90" s="133" t="s">
        <v>1880</v>
      </c>
      <c r="AJ90" s="1247"/>
    </row>
    <row r="91" spans="1:36" s="11" customFormat="1" ht="26.25" customHeight="1" x14ac:dyDescent="0.15">
      <c r="A91" s="8">
        <f t="shared" si="0"/>
        <v>89</v>
      </c>
      <c r="B91" s="36" t="s">
        <v>8689</v>
      </c>
      <c r="C91" s="26" t="s">
        <v>19</v>
      </c>
      <c r="D91" s="26" t="s">
        <v>9263</v>
      </c>
      <c r="E91" s="26" t="s">
        <v>19</v>
      </c>
      <c r="F91" s="29" t="s">
        <v>7311</v>
      </c>
      <c r="G91" s="53" t="s">
        <v>5092</v>
      </c>
      <c r="H91" s="26" t="s">
        <v>8679</v>
      </c>
      <c r="I91" s="26" t="s">
        <v>8680</v>
      </c>
      <c r="J91" s="26" t="s">
        <v>8681</v>
      </c>
      <c r="K91" s="1252" t="s">
        <v>4195</v>
      </c>
      <c r="L91" s="1252" t="s">
        <v>4196</v>
      </c>
      <c r="M91" s="1252" t="s">
        <v>8302</v>
      </c>
      <c r="N91" s="22" t="s">
        <v>7308</v>
      </c>
      <c r="O91" s="1253" t="s">
        <v>1826</v>
      </c>
      <c r="P91" s="1253" t="s">
        <v>111</v>
      </c>
      <c r="Q91" s="1252" t="s">
        <v>1131</v>
      </c>
      <c r="R91" s="222" t="s">
        <v>8691</v>
      </c>
      <c r="S91" s="1253" t="s">
        <v>19</v>
      </c>
      <c r="T91" s="1252" t="s">
        <v>7428</v>
      </c>
      <c r="U91" s="1252" t="s">
        <v>5487</v>
      </c>
      <c r="V91" s="24" t="s">
        <v>8639</v>
      </c>
      <c r="W91" s="90" t="s">
        <v>8634</v>
      </c>
      <c r="X91" s="24" t="s">
        <v>2359</v>
      </c>
      <c r="Y91" s="24">
        <v>1</v>
      </c>
      <c r="Z91" s="24" t="s">
        <v>8677</v>
      </c>
      <c r="AA91" s="24" t="s">
        <v>8678</v>
      </c>
      <c r="AB91" s="30"/>
      <c r="AC91" s="30">
        <v>14.8</v>
      </c>
      <c r="AD91" s="30">
        <v>14.8</v>
      </c>
      <c r="AE91" s="59"/>
      <c r="AF91" s="59"/>
      <c r="AG91" s="1253" t="s">
        <v>1104</v>
      </c>
      <c r="AH91" s="202" t="s">
        <v>1880</v>
      </c>
      <c r="AI91" s="133" t="s">
        <v>1880</v>
      </c>
      <c r="AJ91" s="1247"/>
    </row>
    <row r="92" spans="1:36" s="11" customFormat="1" ht="26.25" customHeight="1" x14ac:dyDescent="0.15">
      <c r="A92" s="8">
        <f t="shared" si="0"/>
        <v>90</v>
      </c>
      <c r="B92" s="36" t="s">
        <v>8692</v>
      </c>
      <c r="C92" s="26" t="s">
        <v>19</v>
      </c>
      <c r="D92" s="26" t="s">
        <v>19</v>
      </c>
      <c r="E92" s="26" t="s">
        <v>19</v>
      </c>
      <c r="F92" s="29" t="s">
        <v>8693</v>
      </c>
      <c r="G92" s="53" t="s">
        <v>8694</v>
      </c>
      <c r="H92" s="26" t="s">
        <v>8679</v>
      </c>
      <c r="I92" s="26" t="s">
        <v>8680</v>
      </c>
      <c r="J92" s="26" t="s">
        <v>8681</v>
      </c>
      <c r="K92" s="1255" t="s">
        <v>4195</v>
      </c>
      <c r="L92" s="1255" t="s">
        <v>4196</v>
      </c>
      <c r="M92" s="1254" t="s">
        <v>8695</v>
      </c>
      <c r="N92" s="22" t="s">
        <v>4780</v>
      </c>
      <c r="O92" s="1256" t="s">
        <v>1826</v>
      </c>
      <c r="P92" s="1256" t="s">
        <v>111</v>
      </c>
      <c r="Q92" s="1255" t="s">
        <v>138</v>
      </c>
      <c r="R92" s="54" t="s">
        <v>4534</v>
      </c>
      <c r="S92" s="1256" t="s">
        <v>19</v>
      </c>
      <c r="T92" s="1255" t="s">
        <v>5487</v>
      </c>
      <c r="U92" s="1255" t="s">
        <v>5487</v>
      </c>
      <c r="V92" s="24" t="s">
        <v>8696</v>
      </c>
      <c r="W92" s="90" t="s">
        <v>8606</v>
      </c>
      <c r="X92" s="24" t="s">
        <v>2359</v>
      </c>
      <c r="Y92" s="24">
        <v>1</v>
      </c>
      <c r="Z92" s="24" t="s">
        <v>448</v>
      </c>
      <c r="AA92" s="24" t="s">
        <v>448</v>
      </c>
      <c r="AB92" s="30">
        <v>10</v>
      </c>
      <c r="AC92" s="30"/>
      <c r="AD92" s="30">
        <v>10</v>
      </c>
      <c r="AE92" s="59"/>
      <c r="AF92" s="59"/>
      <c r="AG92" s="1256" t="s">
        <v>1104</v>
      </c>
      <c r="AH92" s="202" t="s">
        <v>1880</v>
      </c>
      <c r="AI92" s="133" t="s">
        <v>1880</v>
      </c>
      <c r="AJ92" s="1255"/>
    </row>
    <row r="93" spans="1:36" s="11" customFormat="1" ht="25.5" customHeight="1" x14ac:dyDescent="0.15">
      <c r="A93" s="8">
        <f t="shared" si="0"/>
        <v>91</v>
      </c>
      <c r="B93" s="36" t="s">
        <v>8751</v>
      </c>
      <c r="C93" s="71" t="s">
        <v>8807</v>
      </c>
      <c r="D93" s="26" t="s">
        <v>19</v>
      </c>
      <c r="E93" s="26" t="s">
        <v>19</v>
      </c>
      <c r="F93" s="29" t="s">
        <v>6688</v>
      </c>
      <c r="G93" s="53" t="s">
        <v>8701</v>
      </c>
      <c r="H93" s="26" t="s">
        <v>448</v>
      </c>
      <c r="I93" s="26" t="s">
        <v>8702</v>
      </c>
      <c r="J93" s="26" t="s">
        <v>8703</v>
      </c>
      <c r="K93" s="1259" t="s">
        <v>2032</v>
      </c>
      <c r="L93" s="102" t="s">
        <v>819</v>
      </c>
      <c r="M93" s="37" t="s">
        <v>1129</v>
      </c>
      <c r="N93" s="22" t="s">
        <v>856</v>
      </c>
      <c r="O93" s="22" t="s">
        <v>1826</v>
      </c>
      <c r="P93" s="22" t="s">
        <v>1880</v>
      </c>
      <c r="Q93" s="1260" t="s">
        <v>102</v>
      </c>
      <c r="R93" s="54" t="s">
        <v>4402</v>
      </c>
      <c r="S93" s="22" t="s">
        <v>1880</v>
      </c>
      <c r="T93" s="1260" t="s">
        <v>446</v>
      </c>
      <c r="U93" s="1260" t="s">
        <v>446</v>
      </c>
      <c r="V93" s="24" t="s">
        <v>8700</v>
      </c>
      <c r="W93" s="90" t="s">
        <v>8704</v>
      </c>
      <c r="X93" s="1261" t="s">
        <v>2359</v>
      </c>
      <c r="Y93" s="1261">
        <v>1</v>
      </c>
      <c r="Z93" s="24" t="s">
        <v>448</v>
      </c>
      <c r="AA93" s="24" t="s">
        <v>448</v>
      </c>
      <c r="AB93" s="30">
        <v>4.8499999999999996</v>
      </c>
      <c r="AC93" s="30"/>
      <c r="AD93" s="30">
        <v>4.8499999999999996</v>
      </c>
      <c r="AE93" s="59"/>
      <c r="AF93" s="59"/>
      <c r="AG93" s="35" t="s">
        <v>1104</v>
      </c>
      <c r="AH93" s="202" t="s">
        <v>19</v>
      </c>
      <c r="AI93" s="35" t="s">
        <v>1880</v>
      </c>
      <c r="AJ93" s="1260"/>
    </row>
    <row r="94" spans="1:36" s="11" customFormat="1" ht="25.5" customHeight="1" x14ac:dyDescent="0.15">
      <c r="A94" s="8">
        <f t="shared" si="0"/>
        <v>92</v>
      </c>
      <c r="B94" s="36" t="s">
        <v>8752</v>
      </c>
      <c r="C94" s="71" t="s">
        <v>8808</v>
      </c>
      <c r="D94" s="26" t="s">
        <v>19</v>
      </c>
      <c r="E94" s="26" t="s">
        <v>19</v>
      </c>
      <c r="F94" s="58" t="s">
        <v>8705</v>
      </c>
      <c r="G94" s="53" t="s">
        <v>8706</v>
      </c>
      <c r="H94" s="26" t="s">
        <v>448</v>
      </c>
      <c r="I94" s="26" t="s">
        <v>8702</v>
      </c>
      <c r="J94" s="26" t="s">
        <v>8703</v>
      </c>
      <c r="K94" s="1262" t="s">
        <v>2032</v>
      </c>
      <c r="L94" s="1262" t="s">
        <v>2031</v>
      </c>
      <c r="M94" s="1263" t="s">
        <v>2039</v>
      </c>
      <c r="N94" s="1263" t="s">
        <v>2038</v>
      </c>
      <c r="O94" s="22" t="s">
        <v>1826</v>
      </c>
      <c r="P94" s="22" t="s">
        <v>1880</v>
      </c>
      <c r="Q94" s="1263" t="s">
        <v>102</v>
      </c>
      <c r="R94" s="54" t="s">
        <v>4402</v>
      </c>
      <c r="S94" s="22" t="s">
        <v>1880</v>
      </c>
      <c r="T94" s="1257" t="s">
        <v>446</v>
      </c>
      <c r="U94" s="1257" t="s">
        <v>446</v>
      </c>
      <c r="V94" s="24" t="s">
        <v>8700</v>
      </c>
      <c r="W94" s="90" t="s">
        <v>8704</v>
      </c>
      <c r="X94" s="1264" t="s">
        <v>2359</v>
      </c>
      <c r="Y94" s="1264">
        <v>1</v>
      </c>
      <c r="Z94" s="24" t="s">
        <v>448</v>
      </c>
      <c r="AA94" s="24" t="s">
        <v>448</v>
      </c>
      <c r="AB94" s="30">
        <v>4.8499999999999996</v>
      </c>
      <c r="AC94" s="30"/>
      <c r="AD94" s="30">
        <v>4.8499999999999996</v>
      </c>
      <c r="AE94" s="59"/>
      <c r="AF94" s="59"/>
      <c r="AG94" s="1258" t="s">
        <v>1104</v>
      </c>
      <c r="AH94" s="202" t="s">
        <v>1880</v>
      </c>
      <c r="AI94" s="133" t="s">
        <v>1880</v>
      </c>
      <c r="AJ94" s="1257"/>
    </row>
    <row r="95" spans="1:36" s="11" customFormat="1" ht="25.5" customHeight="1" x14ac:dyDescent="0.15">
      <c r="A95" s="8">
        <f t="shared" si="0"/>
        <v>93</v>
      </c>
      <c r="B95" s="36" t="s">
        <v>8750</v>
      </c>
      <c r="C95" s="71" t="s">
        <v>8809</v>
      </c>
      <c r="D95" s="26" t="s">
        <v>19</v>
      </c>
      <c r="E95" s="26" t="s">
        <v>19</v>
      </c>
      <c r="F95" s="54" t="s">
        <v>2037</v>
      </c>
      <c r="G95" s="53" t="s">
        <v>8741</v>
      </c>
      <c r="H95" s="26" t="s">
        <v>448</v>
      </c>
      <c r="I95" s="26" t="s">
        <v>8702</v>
      </c>
      <c r="J95" s="26" t="s">
        <v>8703</v>
      </c>
      <c r="K95" s="1269" t="s">
        <v>2032</v>
      </c>
      <c r="L95" s="1269" t="s">
        <v>2031</v>
      </c>
      <c r="M95" s="1270" t="s">
        <v>2041</v>
      </c>
      <c r="N95" s="1270" t="s">
        <v>2040</v>
      </c>
      <c r="O95" s="22" t="s">
        <v>1826</v>
      </c>
      <c r="P95" s="22" t="s">
        <v>1880</v>
      </c>
      <c r="Q95" s="1263" t="s">
        <v>102</v>
      </c>
      <c r="R95" s="54" t="s">
        <v>4402</v>
      </c>
      <c r="S95" s="22" t="s">
        <v>1880</v>
      </c>
      <c r="T95" s="1257" t="s">
        <v>446</v>
      </c>
      <c r="U95" s="1257" t="s">
        <v>446</v>
      </c>
      <c r="V95" s="24" t="s">
        <v>8700</v>
      </c>
      <c r="W95" s="90" t="s">
        <v>8704</v>
      </c>
      <c r="X95" s="1264" t="s">
        <v>2359</v>
      </c>
      <c r="Y95" s="1264">
        <v>1</v>
      </c>
      <c r="Z95" s="24" t="s">
        <v>448</v>
      </c>
      <c r="AA95" s="24" t="s">
        <v>448</v>
      </c>
      <c r="AB95" s="30">
        <v>4.8499999999999996</v>
      </c>
      <c r="AC95" s="30"/>
      <c r="AD95" s="30">
        <v>4.8499999999999996</v>
      </c>
      <c r="AE95" s="59"/>
      <c r="AF95" s="59"/>
      <c r="AG95" s="1258" t="s">
        <v>1104</v>
      </c>
      <c r="AH95" s="202" t="s">
        <v>1880</v>
      </c>
      <c r="AI95" s="133" t="s">
        <v>1880</v>
      </c>
      <c r="AJ95" s="1257"/>
    </row>
    <row r="96" spans="1:36" s="11" customFormat="1" ht="26.25" customHeight="1" x14ac:dyDescent="0.15">
      <c r="A96" s="8">
        <f t="shared" si="0"/>
        <v>94</v>
      </c>
      <c r="B96" s="36" t="s">
        <v>8753</v>
      </c>
      <c r="C96" s="26" t="s">
        <v>19</v>
      </c>
      <c r="D96" s="26" t="s">
        <v>19</v>
      </c>
      <c r="E96" s="26" t="s">
        <v>19</v>
      </c>
      <c r="F96" s="29" t="s">
        <v>6262</v>
      </c>
      <c r="G96" s="53" t="s">
        <v>8742</v>
      </c>
      <c r="H96" s="26" t="s">
        <v>8754</v>
      </c>
      <c r="I96" s="26" t="s">
        <v>8755</v>
      </c>
      <c r="J96" s="26" t="s">
        <v>8756</v>
      </c>
      <c r="K96" s="1269" t="s">
        <v>4195</v>
      </c>
      <c r="L96" s="1269" t="s">
        <v>4721</v>
      </c>
      <c r="M96" s="1269" t="s">
        <v>6264</v>
      </c>
      <c r="N96" s="22" t="s">
        <v>6265</v>
      </c>
      <c r="O96" s="22" t="s">
        <v>5478</v>
      </c>
      <c r="P96" s="1271" t="s">
        <v>1880</v>
      </c>
      <c r="Q96" s="1270" t="s">
        <v>4676</v>
      </c>
      <c r="R96" s="54" t="s">
        <v>1122</v>
      </c>
      <c r="S96" s="22" t="s">
        <v>1880</v>
      </c>
      <c r="T96" s="1270" t="s">
        <v>5489</v>
      </c>
      <c r="U96" s="1270" t="s">
        <v>5489</v>
      </c>
      <c r="V96" s="24" t="s">
        <v>8700</v>
      </c>
      <c r="W96" s="90" t="s">
        <v>8743</v>
      </c>
      <c r="X96" s="24" t="s">
        <v>108</v>
      </c>
      <c r="Y96" s="10">
        <v>1</v>
      </c>
      <c r="Z96" s="24" t="s">
        <v>8744</v>
      </c>
      <c r="AA96" s="24" t="s">
        <v>8745</v>
      </c>
      <c r="AB96" s="30"/>
      <c r="AC96" s="30">
        <v>9</v>
      </c>
      <c r="AD96" s="30">
        <v>9</v>
      </c>
      <c r="AE96" s="59"/>
      <c r="AF96" s="59"/>
      <c r="AG96" s="35" t="s">
        <v>1104</v>
      </c>
      <c r="AH96" s="202" t="s">
        <v>19</v>
      </c>
      <c r="AI96" s="35" t="s">
        <v>1880</v>
      </c>
      <c r="AJ96" s="1270"/>
    </row>
    <row r="97" spans="1:36" s="11" customFormat="1" ht="26.25" customHeight="1" x14ac:dyDescent="0.15">
      <c r="A97" s="8">
        <f t="shared" si="0"/>
        <v>95</v>
      </c>
      <c r="B97" s="36" t="s">
        <v>8746</v>
      </c>
      <c r="C97" s="26" t="s">
        <v>19</v>
      </c>
      <c r="D97" s="711" t="s">
        <v>8806</v>
      </c>
      <c r="E97" s="26" t="s">
        <v>19</v>
      </c>
      <c r="F97" s="29" t="s">
        <v>6099</v>
      </c>
      <c r="G97" s="29" t="s">
        <v>8748</v>
      </c>
      <c r="H97" s="26" t="s">
        <v>8757</v>
      </c>
      <c r="I97" s="26" t="s">
        <v>8759</v>
      </c>
      <c r="J97" s="26" t="s">
        <v>8758</v>
      </c>
      <c r="K97" s="1269" t="s">
        <v>4691</v>
      </c>
      <c r="L97" s="1269" t="s">
        <v>4750</v>
      </c>
      <c r="M97" s="1269" t="s">
        <v>5366</v>
      </c>
      <c r="N97" s="22" t="s">
        <v>6101</v>
      </c>
      <c r="O97" s="22" t="s">
        <v>5431</v>
      </c>
      <c r="P97" s="1271" t="s">
        <v>111</v>
      </c>
      <c r="Q97" s="1270" t="s">
        <v>1131</v>
      </c>
      <c r="R97" s="54" t="s">
        <v>4753</v>
      </c>
      <c r="S97" s="22" t="s">
        <v>1880</v>
      </c>
      <c r="T97" s="1265" t="s">
        <v>5571</v>
      </c>
      <c r="U97" s="1270" t="s">
        <v>5571</v>
      </c>
      <c r="V97" s="24" t="s">
        <v>8709</v>
      </c>
      <c r="W97" s="90" t="s">
        <v>8704</v>
      </c>
      <c r="X97" s="1271" t="s">
        <v>2359</v>
      </c>
      <c r="Y97" s="1271">
        <v>1</v>
      </c>
      <c r="Z97" s="24" t="s">
        <v>448</v>
      </c>
      <c r="AA97" s="24" t="s">
        <v>448</v>
      </c>
      <c r="AB97" s="30">
        <v>8.8376000000000001</v>
      </c>
      <c r="AC97" s="30"/>
      <c r="AD97" s="30">
        <v>8.8376000000000001</v>
      </c>
      <c r="AE97" s="59"/>
      <c r="AF97" s="59"/>
      <c r="AG97" s="35" t="s">
        <v>1104</v>
      </c>
      <c r="AH97" s="202" t="s">
        <v>19</v>
      </c>
      <c r="AI97" s="35" t="s">
        <v>1880</v>
      </c>
      <c r="AJ97" s="1265"/>
    </row>
    <row r="98" spans="1:36" s="11" customFormat="1" ht="26.25" customHeight="1" x14ac:dyDescent="0.15">
      <c r="A98" s="8">
        <f t="shared" si="0"/>
        <v>96</v>
      </c>
      <c r="B98" s="36" t="s">
        <v>8747</v>
      </c>
      <c r="C98" s="26" t="s">
        <v>19</v>
      </c>
      <c r="D98" s="711" t="s">
        <v>8760</v>
      </c>
      <c r="E98" s="26" t="s">
        <v>19</v>
      </c>
      <c r="F98" s="29" t="s">
        <v>6099</v>
      </c>
      <c r="G98" s="29" t="s">
        <v>8748</v>
      </c>
      <c r="H98" s="26" t="s">
        <v>8757</v>
      </c>
      <c r="I98" s="26" t="s">
        <v>8759</v>
      </c>
      <c r="J98" s="26" t="s">
        <v>8758</v>
      </c>
      <c r="K98" s="1269" t="s">
        <v>4691</v>
      </c>
      <c r="L98" s="1269" t="s">
        <v>4750</v>
      </c>
      <c r="M98" s="1269" t="s">
        <v>5366</v>
      </c>
      <c r="N98" s="22" t="s">
        <v>6101</v>
      </c>
      <c r="O98" s="22" t="s">
        <v>5431</v>
      </c>
      <c r="P98" s="1271" t="s">
        <v>111</v>
      </c>
      <c r="Q98" s="1270" t="s">
        <v>445</v>
      </c>
      <c r="R98" s="54" t="s">
        <v>4753</v>
      </c>
      <c r="S98" s="22" t="s">
        <v>1880</v>
      </c>
      <c r="T98" s="1270" t="s">
        <v>5571</v>
      </c>
      <c r="U98" s="1270" t="s">
        <v>5571</v>
      </c>
      <c r="V98" s="24" t="s">
        <v>8709</v>
      </c>
      <c r="W98" s="90" t="s">
        <v>8704</v>
      </c>
      <c r="X98" s="1271" t="s">
        <v>2359</v>
      </c>
      <c r="Y98" s="1271">
        <v>1</v>
      </c>
      <c r="Z98" s="24" t="s">
        <v>448</v>
      </c>
      <c r="AA98" s="24" t="s">
        <v>448</v>
      </c>
      <c r="AB98" s="30">
        <v>3.24</v>
      </c>
      <c r="AC98" s="30"/>
      <c r="AD98" s="30">
        <v>3.24</v>
      </c>
      <c r="AE98" s="59"/>
      <c r="AF98" s="59"/>
      <c r="AG98" s="35" t="s">
        <v>1104</v>
      </c>
      <c r="AH98" s="202" t="s">
        <v>19</v>
      </c>
      <c r="AI98" s="35" t="s">
        <v>1880</v>
      </c>
      <c r="AJ98" s="1270"/>
    </row>
    <row r="99" spans="1:36" s="11" customFormat="1" ht="26.25" customHeight="1" x14ac:dyDescent="0.15">
      <c r="A99" s="8">
        <f t="shared" si="0"/>
        <v>97</v>
      </c>
      <c r="B99" s="36" t="s">
        <v>8722</v>
      </c>
      <c r="C99" s="26" t="s">
        <v>19</v>
      </c>
      <c r="D99" s="26" t="s">
        <v>19</v>
      </c>
      <c r="E99" s="36" t="s">
        <v>8787</v>
      </c>
      <c r="F99" s="151" t="s">
        <v>8707</v>
      </c>
      <c r="G99" s="54" t="s">
        <v>8708</v>
      </c>
      <c r="H99" s="26" t="s">
        <v>448</v>
      </c>
      <c r="I99" s="26" t="s">
        <v>448</v>
      </c>
      <c r="J99" s="26" t="s">
        <v>448</v>
      </c>
      <c r="K99" s="1266" t="s">
        <v>2135</v>
      </c>
      <c r="L99" s="1266" t="s">
        <v>2533</v>
      </c>
      <c r="M99" s="1267" t="s">
        <v>8729</v>
      </c>
      <c r="N99" s="1265" t="s">
        <v>8737</v>
      </c>
      <c r="O99" s="1266" t="s">
        <v>1826</v>
      </c>
      <c r="P99" s="1266" t="s">
        <v>111</v>
      </c>
      <c r="Q99" s="1265" t="s">
        <v>102</v>
      </c>
      <c r="R99" s="54" t="s">
        <v>8584</v>
      </c>
      <c r="S99" s="22" t="s">
        <v>1880</v>
      </c>
      <c r="T99" s="1265" t="s">
        <v>5487</v>
      </c>
      <c r="U99" s="1265" t="s">
        <v>5487</v>
      </c>
      <c r="V99" s="24" t="s">
        <v>8709</v>
      </c>
      <c r="W99" s="90" t="s">
        <v>8710</v>
      </c>
      <c r="X99" s="1266" t="s">
        <v>2359</v>
      </c>
      <c r="Y99" s="1266">
        <v>1</v>
      </c>
      <c r="Z99" s="24" t="s">
        <v>448</v>
      </c>
      <c r="AA99" s="24" t="s">
        <v>448</v>
      </c>
      <c r="AB99" s="30">
        <v>8.65</v>
      </c>
      <c r="AC99" s="30"/>
      <c r="AD99" s="30">
        <v>8.65</v>
      </c>
      <c r="AE99" s="59"/>
      <c r="AF99" s="59"/>
      <c r="AG99" s="1266" t="s">
        <v>1104</v>
      </c>
      <c r="AH99" s="202" t="s">
        <v>1880</v>
      </c>
      <c r="AI99" s="133" t="s">
        <v>1880</v>
      </c>
      <c r="AJ99" s="1265"/>
    </row>
    <row r="100" spans="1:36" s="11" customFormat="1" ht="26.25" customHeight="1" x14ac:dyDescent="0.15">
      <c r="A100" s="8">
        <f t="shared" si="0"/>
        <v>98</v>
      </c>
      <c r="B100" s="36" t="s">
        <v>8723</v>
      </c>
      <c r="C100" s="26" t="s">
        <v>19</v>
      </c>
      <c r="D100" s="26" t="s">
        <v>19</v>
      </c>
      <c r="E100" s="36" t="s">
        <v>8788</v>
      </c>
      <c r="F100" s="151" t="s">
        <v>8707</v>
      </c>
      <c r="G100" s="54" t="s">
        <v>8708</v>
      </c>
      <c r="H100" s="26" t="s">
        <v>448</v>
      </c>
      <c r="I100" s="26" t="s">
        <v>448</v>
      </c>
      <c r="J100" s="26" t="s">
        <v>448</v>
      </c>
      <c r="K100" s="1268" t="s">
        <v>2135</v>
      </c>
      <c r="L100" s="1268" t="s">
        <v>2533</v>
      </c>
      <c r="M100" s="1267" t="s">
        <v>8730</v>
      </c>
      <c r="N100" s="1267" t="s">
        <v>8726</v>
      </c>
      <c r="O100" s="1268" t="s">
        <v>1826</v>
      </c>
      <c r="P100" s="1268" t="s">
        <v>111</v>
      </c>
      <c r="Q100" s="1267" t="s">
        <v>102</v>
      </c>
      <c r="R100" s="54" t="s">
        <v>8584</v>
      </c>
      <c r="S100" s="22" t="s">
        <v>1880</v>
      </c>
      <c r="T100" s="1267" t="s">
        <v>5487</v>
      </c>
      <c r="U100" s="1267" t="s">
        <v>5487</v>
      </c>
      <c r="V100" s="24" t="s">
        <v>8709</v>
      </c>
      <c r="W100" s="90" t="s">
        <v>8710</v>
      </c>
      <c r="X100" s="1268" t="s">
        <v>2359</v>
      </c>
      <c r="Y100" s="1268">
        <v>1</v>
      </c>
      <c r="Z100" s="24" t="s">
        <v>448</v>
      </c>
      <c r="AA100" s="24" t="s">
        <v>448</v>
      </c>
      <c r="AB100" s="30">
        <v>8.65</v>
      </c>
      <c r="AC100" s="30"/>
      <c r="AD100" s="30">
        <v>8.65</v>
      </c>
      <c r="AE100" s="59"/>
      <c r="AF100" s="59"/>
      <c r="AG100" s="1268" t="s">
        <v>1104</v>
      </c>
      <c r="AH100" s="202" t="s">
        <v>1880</v>
      </c>
      <c r="AI100" s="133" t="s">
        <v>1880</v>
      </c>
      <c r="AJ100" s="1267"/>
    </row>
    <row r="101" spans="1:36" s="11" customFormat="1" ht="26.25" customHeight="1" x14ac:dyDescent="0.15">
      <c r="A101" s="8">
        <f t="shared" si="0"/>
        <v>99</v>
      </c>
      <c r="B101" s="36" t="s">
        <v>8711</v>
      </c>
      <c r="C101" s="26" t="s">
        <v>19</v>
      </c>
      <c r="D101" s="26" t="s">
        <v>19</v>
      </c>
      <c r="E101" s="36" t="s">
        <v>8789</v>
      </c>
      <c r="F101" s="151" t="s">
        <v>8007</v>
      </c>
      <c r="G101" s="53" t="s">
        <v>8712</v>
      </c>
      <c r="H101" s="26" t="s">
        <v>448</v>
      </c>
      <c r="I101" s="26" t="s">
        <v>448</v>
      </c>
      <c r="J101" s="26" t="s">
        <v>448</v>
      </c>
      <c r="K101" s="1266" t="s">
        <v>2135</v>
      </c>
      <c r="L101" s="1266" t="s">
        <v>2533</v>
      </c>
      <c r="M101" s="21" t="s">
        <v>3634</v>
      </c>
      <c r="N101" s="1266" t="s">
        <v>3635</v>
      </c>
      <c r="O101" s="1266" t="s">
        <v>1826</v>
      </c>
      <c r="P101" s="1266" t="s">
        <v>111</v>
      </c>
      <c r="Q101" s="1265" t="s">
        <v>102</v>
      </c>
      <c r="R101" s="54" t="s">
        <v>8584</v>
      </c>
      <c r="S101" s="22" t="s">
        <v>1880</v>
      </c>
      <c r="T101" s="1265" t="s">
        <v>5487</v>
      </c>
      <c r="U101" s="1265" t="s">
        <v>5487</v>
      </c>
      <c r="V101" s="24" t="s">
        <v>8709</v>
      </c>
      <c r="W101" s="90" t="s">
        <v>8710</v>
      </c>
      <c r="X101" s="1266" t="s">
        <v>2359</v>
      </c>
      <c r="Y101" s="1266">
        <v>1</v>
      </c>
      <c r="Z101" s="24" t="s">
        <v>448</v>
      </c>
      <c r="AA101" s="24" t="s">
        <v>448</v>
      </c>
      <c r="AB101" s="30">
        <v>8.65</v>
      </c>
      <c r="AC101" s="30"/>
      <c r="AD101" s="30">
        <v>8.65</v>
      </c>
      <c r="AE101" s="59"/>
      <c r="AF101" s="59"/>
      <c r="AG101" s="1266" t="s">
        <v>1104</v>
      </c>
      <c r="AH101" s="202" t="s">
        <v>1880</v>
      </c>
      <c r="AI101" s="133" t="s">
        <v>1880</v>
      </c>
      <c r="AJ101" s="1265"/>
    </row>
    <row r="102" spans="1:36" s="11" customFormat="1" ht="26.25" customHeight="1" x14ac:dyDescent="0.15">
      <c r="A102" s="8">
        <f t="shared" si="0"/>
        <v>100</v>
      </c>
      <c r="B102" s="36" t="s">
        <v>8727</v>
      </c>
      <c r="C102" s="26" t="s">
        <v>19</v>
      </c>
      <c r="D102" s="26" t="s">
        <v>19</v>
      </c>
      <c r="E102" s="36" t="s">
        <v>8790</v>
      </c>
      <c r="F102" s="151" t="s">
        <v>8008</v>
      </c>
      <c r="G102" s="53" t="s">
        <v>8713</v>
      </c>
      <c r="H102" s="26" t="s">
        <v>448</v>
      </c>
      <c r="I102" s="26" t="s">
        <v>448</v>
      </c>
      <c r="J102" s="26" t="s">
        <v>448</v>
      </c>
      <c r="K102" s="1266" t="s">
        <v>2135</v>
      </c>
      <c r="L102" s="1266" t="s">
        <v>2533</v>
      </c>
      <c r="M102" s="1267" t="s">
        <v>8724</v>
      </c>
      <c r="N102" s="71" t="s">
        <v>8731</v>
      </c>
      <c r="O102" s="1266" t="s">
        <v>1826</v>
      </c>
      <c r="P102" s="1266" t="s">
        <v>111</v>
      </c>
      <c r="Q102" s="1265" t="s">
        <v>102</v>
      </c>
      <c r="R102" s="54" t="s">
        <v>8584</v>
      </c>
      <c r="S102" s="22" t="s">
        <v>1880</v>
      </c>
      <c r="T102" s="1265" t="s">
        <v>5487</v>
      </c>
      <c r="U102" s="1265" t="s">
        <v>5487</v>
      </c>
      <c r="V102" s="24" t="s">
        <v>8709</v>
      </c>
      <c r="W102" s="90" t="s">
        <v>8710</v>
      </c>
      <c r="X102" s="1266" t="s">
        <v>2359</v>
      </c>
      <c r="Y102" s="1266">
        <v>1</v>
      </c>
      <c r="Z102" s="24" t="s">
        <v>448</v>
      </c>
      <c r="AA102" s="24" t="s">
        <v>448</v>
      </c>
      <c r="AB102" s="30">
        <v>8.65</v>
      </c>
      <c r="AC102" s="30"/>
      <c r="AD102" s="30">
        <v>8.65</v>
      </c>
      <c r="AE102" s="59"/>
      <c r="AF102" s="59"/>
      <c r="AG102" s="1266" t="s">
        <v>1104</v>
      </c>
      <c r="AH102" s="202" t="s">
        <v>1880</v>
      </c>
      <c r="AI102" s="133" t="s">
        <v>1880</v>
      </c>
      <c r="AJ102" s="1265"/>
    </row>
    <row r="103" spans="1:36" s="11" customFormat="1" ht="26.25" customHeight="1" x14ac:dyDescent="0.15">
      <c r="A103" s="8">
        <f t="shared" si="0"/>
        <v>101</v>
      </c>
      <c r="B103" s="36" t="s">
        <v>8728</v>
      </c>
      <c r="C103" s="26" t="s">
        <v>19</v>
      </c>
      <c r="D103" s="26" t="s">
        <v>19</v>
      </c>
      <c r="E103" s="36" t="s">
        <v>8791</v>
      </c>
      <c r="F103" s="151" t="s">
        <v>8008</v>
      </c>
      <c r="G103" s="53" t="s">
        <v>8713</v>
      </c>
      <c r="H103" s="26" t="s">
        <v>448</v>
      </c>
      <c r="I103" s="26" t="s">
        <v>448</v>
      </c>
      <c r="J103" s="26" t="s">
        <v>448</v>
      </c>
      <c r="K103" s="1268" t="s">
        <v>2135</v>
      </c>
      <c r="L103" s="1268" t="s">
        <v>2533</v>
      </c>
      <c r="M103" s="1267" t="s">
        <v>8725</v>
      </c>
      <c r="N103" s="71" t="s">
        <v>8732</v>
      </c>
      <c r="O103" s="1268" t="s">
        <v>1826</v>
      </c>
      <c r="P103" s="1268" t="s">
        <v>111</v>
      </c>
      <c r="Q103" s="1267" t="s">
        <v>102</v>
      </c>
      <c r="R103" s="54" t="s">
        <v>8584</v>
      </c>
      <c r="S103" s="22" t="s">
        <v>1880</v>
      </c>
      <c r="T103" s="1267" t="s">
        <v>5487</v>
      </c>
      <c r="U103" s="1267" t="s">
        <v>5487</v>
      </c>
      <c r="V103" s="24" t="s">
        <v>8709</v>
      </c>
      <c r="W103" s="90" t="s">
        <v>8710</v>
      </c>
      <c r="X103" s="1268" t="s">
        <v>2359</v>
      </c>
      <c r="Y103" s="1268">
        <v>1</v>
      </c>
      <c r="Z103" s="24" t="s">
        <v>448</v>
      </c>
      <c r="AA103" s="24" t="s">
        <v>448</v>
      </c>
      <c r="AB103" s="30">
        <v>8.65</v>
      </c>
      <c r="AC103" s="30"/>
      <c r="AD103" s="30">
        <v>8.65</v>
      </c>
      <c r="AE103" s="59"/>
      <c r="AF103" s="59"/>
      <c r="AG103" s="1268" t="s">
        <v>1104</v>
      </c>
      <c r="AH103" s="202" t="s">
        <v>1880</v>
      </c>
      <c r="AI103" s="133" t="s">
        <v>1880</v>
      </c>
      <c r="AJ103" s="1267"/>
    </row>
    <row r="104" spans="1:36" s="11" customFormat="1" ht="26.25" customHeight="1" x14ac:dyDescent="0.15">
      <c r="A104" s="8">
        <f t="shared" si="0"/>
        <v>102</v>
      </c>
      <c r="B104" s="36" t="s">
        <v>8714</v>
      </c>
      <c r="C104" s="26" t="s">
        <v>19</v>
      </c>
      <c r="D104" s="26" t="s">
        <v>19</v>
      </c>
      <c r="E104" s="36" t="s">
        <v>8792</v>
      </c>
      <c r="F104" s="29" t="s">
        <v>8715</v>
      </c>
      <c r="G104" s="53" t="s">
        <v>8716</v>
      </c>
      <c r="H104" s="26" t="s">
        <v>448</v>
      </c>
      <c r="I104" s="26" t="s">
        <v>448</v>
      </c>
      <c r="J104" s="26" t="s">
        <v>448</v>
      </c>
      <c r="K104" s="1266" t="s">
        <v>2135</v>
      </c>
      <c r="L104" s="1266" t="s">
        <v>2533</v>
      </c>
      <c r="M104" s="1265" t="s">
        <v>1010</v>
      </c>
      <c r="N104" s="2" t="s">
        <v>1011</v>
      </c>
      <c r="O104" s="1266" t="s">
        <v>1826</v>
      </c>
      <c r="P104" s="1266" t="s">
        <v>111</v>
      </c>
      <c r="Q104" s="1265" t="s">
        <v>102</v>
      </c>
      <c r="R104" s="54" t="s">
        <v>8584</v>
      </c>
      <c r="S104" s="22" t="s">
        <v>1880</v>
      </c>
      <c r="T104" s="1265" t="s">
        <v>5487</v>
      </c>
      <c r="U104" s="1265" t="s">
        <v>5487</v>
      </c>
      <c r="V104" s="24" t="s">
        <v>8709</v>
      </c>
      <c r="W104" s="90" t="s">
        <v>8710</v>
      </c>
      <c r="X104" s="1266" t="s">
        <v>2359</v>
      </c>
      <c r="Y104" s="1266">
        <v>1</v>
      </c>
      <c r="Z104" s="24" t="s">
        <v>448</v>
      </c>
      <c r="AA104" s="24" t="s">
        <v>448</v>
      </c>
      <c r="AB104" s="30">
        <v>8.65</v>
      </c>
      <c r="AC104" s="30"/>
      <c r="AD104" s="30">
        <v>8.65</v>
      </c>
      <c r="AE104" s="59"/>
      <c r="AF104" s="59"/>
      <c r="AG104" s="1266" t="s">
        <v>1104</v>
      </c>
      <c r="AH104" s="202" t="s">
        <v>1880</v>
      </c>
      <c r="AI104" s="133" t="s">
        <v>1880</v>
      </c>
      <c r="AJ104" s="1265"/>
    </row>
    <row r="105" spans="1:36" s="11" customFormat="1" ht="26.25" customHeight="1" x14ac:dyDescent="0.15">
      <c r="A105" s="8">
        <f t="shared" si="0"/>
        <v>103</v>
      </c>
      <c r="B105" s="36" t="s">
        <v>8717</v>
      </c>
      <c r="C105" s="26" t="s">
        <v>19</v>
      </c>
      <c r="D105" s="26" t="s">
        <v>19</v>
      </c>
      <c r="E105" s="36" t="s">
        <v>8793</v>
      </c>
      <c r="F105" s="54" t="s">
        <v>8010</v>
      </c>
      <c r="G105" s="53" t="s">
        <v>8721</v>
      </c>
      <c r="H105" s="26" t="s">
        <v>448</v>
      </c>
      <c r="I105" s="26" t="s">
        <v>448</v>
      </c>
      <c r="J105" s="26" t="s">
        <v>448</v>
      </c>
      <c r="K105" s="1266" t="s">
        <v>2135</v>
      </c>
      <c r="L105" s="1266" t="s">
        <v>2533</v>
      </c>
      <c r="M105" s="1267" t="s">
        <v>8734</v>
      </c>
      <c r="N105" s="21" t="s">
        <v>8733</v>
      </c>
      <c r="O105" s="1266" t="s">
        <v>1826</v>
      </c>
      <c r="P105" s="1266" t="s">
        <v>111</v>
      </c>
      <c r="Q105" s="22" t="s">
        <v>454</v>
      </c>
      <c r="R105" s="54" t="s">
        <v>8584</v>
      </c>
      <c r="S105" s="22" t="s">
        <v>1880</v>
      </c>
      <c r="T105" s="1265" t="s">
        <v>5487</v>
      </c>
      <c r="U105" s="1265" t="s">
        <v>5487</v>
      </c>
      <c r="V105" s="24" t="s">
        <v>8709</v>
      </c>
      <c r="W105" s="90" t="s">
        <v>8710</v>
      </c>
      <c r="X105" s="1266" t="s">
        <v>2359</v>
      </c>
      <c r="Y105" s="1266">
        <v>1</v>
      </c>
      <c r="Z105" s="24" t="s">
        <v>448</v>
      </c>
      <c r="AA105" s="24" t="s">
        <v>448</v>
      </c>
      <c r="AB105" s="30">
        <v>8.65</v>
      </c>
      <c r="AC105" s="30"/>
      <c r="AD105" s="30">
        <v>8.65</v>
      </c>
      <c r="AE105" s="59"/>
      <c r="AF105" s="59"/>
      <c r="AG105" s="1266" t="s">
        <v>1104</v>
      </c>
      <c r="AH105" s="202" t="s">
        <v>1880</v>
      </c>
      <c r="AI105" s="133" t="s">
        <v>1880</v>
      </c>
      <c r="AJ105" s="1265"/>
    </row>
    <row r="106" spans="1:36" s="11" customFormat="1" ht="26.25" customHeight="1" x14ac:dyDescent="0.15">
      <c r="A106" s="8">
        <f t="shared" si="0"/>
        <v>104</v>
      </c>
      <c r="B106" s="36" t="s">
        <v>8718</v>
      </c>
      <c r="C106" s="26" t="s">
        <v>19</v>
      </c>
      <c r="D106" s="26" t="s">
        <v>19</v>
      </c>
      <c r="E106" s="36" t="s">
        <v>8794</v>
      </c>
      <c r="F106" s="54" t="s">
        <v>8010</v>
      </c>
      <c r="G106" s="53" t="s">
        <v>8720</v>
      </c>
      <c r="H106" s="26" t="s">
        <v>448</v>
      </c>
      <c r="I106" s="26" t="s">
        <v>448</v>
      </c>
      <c r="J106" s="26" t="s">
        <v>448</v>
      </c>
      <c r="K106" s="1266" t="s">
        <v>2135</v>
      </c>
      <c r="L106" s="1266" t="s">
        <v>2533</v>
      </c>
      <c r="M106" s="1267" t="s">
        <v>8735</v>
      </c>
      <c r="N106" s="21" t="s">
        <v>5900</v>
      </c>
      <c r="O106" s="1266" t="s">
        <v>1826</v>
      </c>
      <c r="P106" s="1266" t="s">
        <v>111</v>
      </c>
      <c r="Q106" s="22" t="s">
        <v>454</v>
      </c>
      <c r="R106" s="54" t="s">
        <v>8584</v>
      </c>
      <c r="S106" s="22" t="s">
        <v>1880</v>
      </c>
      <c r="T106" s="1265" t="s">
        <v>5487</v>
      </c>
      <c r="U106" s="1265" t="s">
        <v>5487</v>
      </c>
      <c r="V106" s="24" t="s">
        <v>8709</v>
      </c>
      <c r="W106" s="90" t="s">
        <v>8710</v>
      </c>
      <c r="X106" s="1266" t="s">
        <v>2359</v>
      </c>
      <c r="Y106" s="1266">
        <v>1</v>
      </c>
      <c r="Z106" s="24" t="s">
        <v>448</v>
      </c>
      <c r="AA106" s="24" t="s">
        <v>448</v>
      </c>
      <c r="AB106" s="30">
        <v>8.65</v>
      </c>
      <c r="AC106" s="30"/>
      <c r="AD106" s="30">
        <v>8.65</v>
      </c>
      <c r="AE106" s="59"/>
      <c r="AF106" s="59"/>
      <c r="AG106" s="1266" t="s">
        <v>1104</v>
      </c>
      <c r="AH106" s="202" t="s">
        <v>1880</v>
      </c>
      <c r="AI106" s="133" t="s">
        <v>1880</v>
      </c>
      <c r="AJ106" s="1265"/>
    </row>
    <row r="107" spans="1:36" s="11" customFormat="1" ht="26.25" customHeight="1" x14ac:dyDescent="0.15">
      <c r="A107" s="8">
        <f t="shared" si="0"/>
        <v>105</v>
      </c>
      <c r="B107" s="36" t="s">
        <v>8719</v>
      </c>
      <c r="C107" s="26" t="s">
        <v>19</v>
      </c>
      <c r="D107" s="26" t="s">
        <v>19</v>
      </c>
      <c r="E107" s="36" t="s">
        <v>8795</v>
      </c>
      <c r="F107" s="54" t="s">
        <v>8010</v>
      </c>
      <c r="G107" s="53" t="s">
        <v>8720</v>
      </c>
      <c r="H107" s="26" t="s">
        <v>448</v>
      </c>
      <c r="I107" s="26" t="s">
        <v>448</v>
      </c>
      <c r="J107" s="26" t="s">
        <v>448</v>
      </c>
      <c r="K107" s="1266" t="s">
        <v>2135</v>
      </c>
      <c r="L107" s="1266" t="s">
        <v>2533</v>
      </c>
      <c r="M107" s="1267" t="s">
        <v>8736</v>
      </c>
      <c r="N107" s="1268" t="s">
        <v>4587</v>
      </c>
      <c r="O107" s="1266" t="s">
        <v>1826</v>
      </c>
      <c r="P107" s="1266" t="s">
        <v>111</v>
      </c>
      <c r="Q107" s="22" t="s">
        <v>454</v>
      </c>
      <c r="R107" s="54" t="s">
        <v>8584</v>
      </c>
      <c r="S107" s="22" t="s">
        <v>1880</v>
      </c>
      <c r="T107" s="1265" t="s">
        <v>5487</v>
      </c>
      <c r="U107" s="1265" t="s">
        <v>5487</v>
      </c>
      <c r="V107" s="24" t="s">
        <v>8709</v>
      </c>
      <c r="W107" s="90" t="s">
        <v>8710</v>
      </c>
      <c r="X107" s="1266" t="s">
        <v>2359</v>
      </c>
      <c r="Y107" s="1266">
        <v>1</v>
      </c>
      <c r="Z107" s="24" t="s">
        <v>448</v>
      </c>
      <c r="AA107" s="24" t="s">
        <v>448</v>
      </c>
      <c r="AB107" s="30">
        <v>5.5</v>
      </c>
      <c r="AC107" s="30"/>
      <c r="AD107" s="30">
        <v>5.5</v>
      </c>
      <c r="AE107" s="59"/>
      <c r="AF107" s="59"/>
      <c r="AG107" s="1266" t="s">
        <v>1104</v>
      </c>
      <c r="AH107" s="202" t="s">
        <v>1880</v>
      </c>
      <c r="AI107" s="133" t="s">
        <v>1880</v>
      </c>
      <c r="AJ107" s="1265"/>
    </row>
    <row r="108" spans="1:36" s="11" customFormat="1" ht="26.25" customHeight="1" x14ac:dyDescent="0.15">
      <c r="A108" s="8">
        <f t="shared" si="0"/>
        <v>106</v>
      </c>
      <c r="B108" s="36" t="s">
        <v>8738</v>
      </c>
      <c r="C108" s="26" t="s">
        <v>19</v>
      </c>
      <c r="D108" s="26" t="s">
        <v>19</v>
      </c>
      <c r="E108" s="26" t="s">
        <v>19</v>
      </c>
      <c r="F108" s="29" t="s">
        <v>6048</v>
      </c>
      <c r="G108" s="99" t="s">
        <v>8749</v>
      </c>
      <c r="H108" s="26" t="s">
        <v>448</v>
      </c>
      <c r="I108" s="26" t="s">
        <v>448</v>
      </c>
      <c r="J108" s="26" t="s">
        <v>448</v>
      </c>
      <c r="K108" s="1273" t="s">
        <v>2012</v>
      </c>
      <c r="L108" s="1273" t="s">
        <v>2054</v>
      </c>
      <c r="M108" s="1272" t="s">
        <v>617</v>
      </c>
      <c r="N108" s="1273" t="s">
        <v>5226</v>
      </c>
      <c r="O108" s="1273" t="s">
        <v>1826</v>
      </c>
      <c r="P108" s="1273" t="s">
        <v>111</v>
      </c>
      <c r="Q108" s="1255" t="s">
        <v>6692</v>
      </c>
      <c r="R108" s="54" t="s">
        <v>6692</v>
      </c>
      <c r="S108" s="22" t="s">
        <v>1880</v>
      </c>
      <c r="T108" s="1255" t="s">
        <v>5571</v>
      </c>
      <c r="U108" s="1255" t="s">
        <v>5571</v>
      </c>
      <c r="V108" s="24" t="s">
        <v>8740</v>
      </c>
      <c r="W108" s="90" t="s">
        <v>448</v>
      </c>
      <c r="X108" s="24" t="s">
        <v>448</v>
      </c>
      <c r="Y108" s="24" t="s">
        <v>448</v>
      </c>
      <c r="Z108" s="24" t="s">
        <v>448</v>
      </c>
      <c r="AA108" s="24" t="s">
        <v>448</v>
      </c>
      <c r="AB108" s="30">
        <v>3</v>
      </c>
      <c r="AC108" s="30"/>
      <c r="AD108" s="30">
        <v>3</v>
      </c>
      <c r="AE108" s="59"/>
      <c r="AF108" s="59"/>
      <c r="AG108" s="1273" t="s">
        <v>1104</v>
      </c>
      <c r="AH108" s="202" t="s">
        <v>1880</v>
      </c>
      <c r="AI108" s="133" t="s">
        <v>1880</v>
      </c>
      <c r="AJ108" s="1255" t="s">
        <v>8739</v>
      </c>
    </row>
    <row r="109" spans="1:36" s="11" customFormat="1" ht="26.25" customHeight="1" x14ac:dyDescent="0.15">
      <c r="A109" s="8">
        <f t="shared" si="0"/>
        <v>107</v>
      </c>
      <c r="B109" s="36" t="s">
        <v>8761</v>
      </c>
      <c r="C109" s="26" t="s">
        <v>19</v>
      </c>
      <c r="D109" s="26" t="s">
        <v>19</v>
      </c>
      <c r="E109" s="26" t="s">
        <v>19</v>
      </c>
      <c r="F109" s="29" t="s">
        <v>8763</v>
      </c>
      <c r="G109" s="53" t="s">
        <v>8764</v>
      </c>
      <c r="H109" s="26" t="s">
        <v>8765</v>
      </c>
      <c r="I109" s="26" t="s">
        <v>8766</v>
      </c>
      <c r="J109" s="26" t="s">
        <v>8767</v>
      </c>
      <c r="K109" s="1274" t="s">
        <v>4195</v>
      </c>
      <c r="L109" s="1274" t="s">
        <v>5419</v>
      </c>
      <c r="M109" s="1274" t="s">
        <v>8768</v>
      </c>
      <c r="N109" s="22" t="s">
        <v>4780</v>
      </c>
      <c r="O109" s="1279" t="s">
        <v>1826</v>
      </c>
      <c r="P109" s="1279" t="s">
        <v>111</v>
      </c>
      <c r="Q109" s="22" t="s">
        <v>454</v>
      </c>
      <c r="R109" s="54" t="s">
        <v>2192</v>
      </c>
      <c r="S109" s="22" t="s">
        <v>1880</v>
      </c>
      <c r="T109" s="1275" t="s">
        <v>5489</v>
      </c>
      <c r="U109" s="1278" t="s">
        <v>5489</v>
      </c>
      <c r="V109" s="24" t="s">
        <v>8775</v>
      </c>
      <c r="W109" s="24" t="s">
        <v>8770</v>
      </c>
      <c r="X109" s="24" t="s">
        <v>108</v>
      </c>
      <c r="Y109" s="10">
        <v>1</v>
      </c>
      <c r="Z109" s="24" t="s">
        <v>5710</v>
      </c>
      <c r="AA109" s="24" t="s">
        <v>448</v>
      </c>
      <c r="AB109" s="30">
        <v>42.177999999999997</v>
      </c>
      <c r="AC109" s="30"/>
      <c r="AD109" s="30">
        <v>42.177999999999997</v>
      </c>
      <c r="AE109" s="59" t="s">
        <v>6457</v>
      </c>
      <c r="AF109" s="59" t="s">
        <v>6457</v>
      </c>
      <c r="AG109" s="1279" t="s">
        <v>1104</v>
      </c>
      <c r="AH109" s="202" t="s">
        <v>1880</v>
      </c>
      <c r="AI109" s="133" t="s">
        <v>1880</v>
      </c>
      <c r="AJ109" s="1275" t="s">
        <v>11562</v>
      </c>
    </row>
    <row r="110" spans="1:36" s="11" customFormat="1" ht="26.25" customHeight="1" x14ac:dyDescent="0.15">
      <c r="A110" s="8">
        <f t="shared" si="0"/>
        <v>108</v>
      </c>
      <c r="B110" s="36" t="s">
        <v>8762</v>
      </c>
      <c r="C110" s="26" t="s">
        <v>19</v>
      </c>
      <c r="D110" s="26" t="s">
        <v>19</v>
      </c>
      <c r="E110" s="26" t="s">
        <v>19</v>
      </c>
      <c r="F110" s="29" t="s">
        <v>8763</v>
      </c>
      <c r="G110" s="53" t="s">
        <v>8764</v>
      </c>
      <c r="H110" s="26" t="s">
        <v>8765</v>
      </c>
      <c r="I110" s="26" t="s">
        <v>8766</v>
      </c>
      <c r="J110" s="26" t="s">
        <v>8767</v>
      </c>
      <c r="K110" s="1277" t="s">
        <v>4195</v>
      </c>
      <c r="L110" s="1277" t="s">
        <v>5419</v>
      </c>
      <c r="M110" s="1274" t="s">
        <v>8769</v>
      </c>
      <c r="N110" s="22" t="s">
        <v>4780</v>
      </c>
      <c r="O110" s="1279" t="s">
        <v>1826</v>
      </c>
      <c r="P110" s="1279" t="s">
        <v>111</v>
      </c>
      <c r="Q110" s="22" t="s">
        <v>454</v>
      </c>
      <c r="R110" s="54" t="s">
        <v>2224</v>
      </c>
      <c r="S110" s="22" t="s">
        <v>1880</v>
      </c>
      <c r="T110" s="1278" t="s">
        <v>5489</v>
      </c>
      <c r="U110" s="1278" t="s">
        <v>5489</v>
      </c>
      <c r="V110" s="24" t="s">
        <v>8775</v>
      </c>
      <c r="W110" s="24" t="s">
        <v>8770</v>
      </c>
      <c r="X110" s="24" t="s">
        <v>108</v>
      </c>
      <c r="Y110" s="10">
        <v>1</v>
      </c>
      <c r="Z110" s="24" t="s">
        <v>5710</v>
      </c>
      <c r="AA110" s="24" t="s">
        <v>448</v>
      </c>
      <c r="AB110" s="30">
        <v>20.321999999999999</v>
      </c>
      <c r="AC110" s="30"/>
      <c r="AD110" s="30">
        <v>20.321999999999999</v>
      </c>
      <c r="AE110" s="59" t="s">
        <v>6457</v>
      </c>
      <c r="AF110" s="59" t="s">
        <v>6457</v>
      </c>
      <c r="AG110" s="1279" t="s">
        <v>1104</v>
      </c>
      <c r="AH110" s="202" t="s">
        <v>1880</v>
      </c>
      <c r="AI110" s="133" t="s">
        <v>1880</v>
      </c>
      <c r="AJ110" s="1931" t="s">
        <v>11562</v>
      </c>
    </row>
    <row r="111" spans="1:36" s="11" customFormat="1" ht="26.25" customHeight="1" x14ac:dyDescent="0.15">
      <c r="A111" s="8">
        <f t="shared" si="0"/>
        <v>109</v>
      </c>
      <c r="B111" s="36" t="s">
        <v>8771</v>
      </c>
      <c r="C111" s="26" t="s">
        <v>19</v>
      </c>
      <c r="D111" s="26" t="s">
        <v>19</v>
      </c>
      <c r="E111" s="26" t="s">
        <v>19</v>
      </c>
      <c r="F111" s="29" t="s">
        <v>8772</v>
      </c>
      <c r="G111" s="53" t="s">
        <v>8773</v>
      </c>
      <c r="H111" s="26" t="s">
        <v>448</v>
      </c>
      <c r="I111" s="26" t="s">
        <v>448</v>
      </c>
      <c r="J111" s="26" t="s">
        <v>448</v>
      </c>
      <c r="K111" s="1274" t="s">
        <v>4195</v>
      </c>
      <c r="L111" s="1274" t="s">
        <v>6714</v>
      </c>
      <c r="M111" s="1274" t="s">
        <v>8774</v>
      </c>
      <c r="N111" s="22" t="s">
        <v>4780</v>
      </c>
      <c r="O111" s="1276" t="s">
        <v>5431</v>
      </c>
      <c r="P111" s="1281" t="s">
        <v>111</v>
      </c>
      <c r="Q111" s="1275" t="s">
        <v>445</v>
      </c>
      <c r="R111" s="54" t="s">
        <v>3523</v>
      </c>
      <c r="S111" s="22" t="s">
        <v>1880</v>
      </c>
      <c r="T111" s="1280" t="s">
        <v>5489</v>
      </c>
      <c r="U111" s="1280" t="s">
        <v>5489</v>
      </c>
      <c r="V111" s="24" t="s">
        <v>8775</v>
      </c>
      <c r="W111" s="90" t="s">
        <v>8709</v>
      </c>
      <c r="X111" s="1281" t="s">
        <v>2359</v>
      </c>
      <c r="Y111" s="1281">
        <v>1</v>
      </c>
      <c r="Z111" s="24" t="s">
        <v>448</v>
      </c>
      <c r="AA111" s="24" t="s">
        <v>448</v>
      </c>
      <c r="AB111" s="30">
        <v>20.97</v>
      </c>
      <c r="AC111" s="30"/>
      <c r="AD111" s="30">
        <v>20.97</v>
      </c>
      <c r="AE111" s="59"/>
      <c r="AF111" s="59"/>
      <c r="AG111" s="1281" t="s">
        <v>1104</v>
      </c>
      <c r="AH111" s="202" t="s">
        <v>1880</v>
      </c>
      <c r="AI111" s="133" t="s">
        <v>1880</v>
      </c>
      <c r="AJ111" s="1275"/>
    </row>
    <row r="112" spans="1:36" s="11" customFormat="1" ht="26.25" customHeight="1" x14ac:dyDescent="0.15">
      <c r="A112" s="8">
        <f t="shared" si="0"/>
        <v>110</v>
      </c>
      <c r="B112" s="36" t="s">
        <v>8776</v>
      </c>
      <c r="C112" s="26" t="s">
        <v>19</v>
      </c>
      <c r="D112" s="26" t="s">
        <v>19</v>
      </c>
      <c r="E112" s="26" t="s">
        <v>19</v>
      </c>
      <c r="F112" s="29" t="s">
        <v>5984</v>
      </c>
      <c r="G112" s="99" t="s">
        <v>8749</v>
      </c>
      <c r="H112" s="26" t="s">
        <v>448</v>
      </c>
      <c r="I112" s="26" t="s">
        <v>448</v>
      </c>
      <c r="J112" s="26" t="s">
        <v>448</v>
      </c>
      <c r="K112" s="1282" t="s">
        <v>4195</v>
      </c>
      <c r="L112" s="1282" t="s">
        <v>5383</v>
      </c>
      <c r="M112" s="1282" t="s">
        <v>6890</v>
      </c>
      <c r="N112" s="22" t="s">
        <v>5986</v>
      </c>
      <c r="O112" s="1283" t="s">
        <v>1826</v>
      </c>
      <c r="P112" s="1283" t="s">
        <v>111</v>
      </c>
      <c r="Q112" s="221" t="s">
        <v>1818</v>
      </c>
      <c r="R112" s="151" t="s">
        <v>7451</v>
      </c>
      <c r="S112" s="22" t="s">
        <v>1880</v>
      </c>
      <c r="T112" s="1282" t="s">
        <v>5489</v>
      </c>
      <c r="U112" s="1282" t="s">
        <v>5489</v>
      </c>
      <c r="V112" s="24" t="s">
        <v>8775</v>
      </c>
      <c r="W112" s="90" t="s">
        <v>448</v>
      </c>
      <c r="X112" s="24" t="s">
        <v>448</v>
      </c>
      <c r="Y112" s="24" t="s">
        <v>448</v>
      </c>
      <c r="Z112" s="24" t="s">
        <v>448</v>
      </c>
      <c r="AA112" s="24" t="s">
        <v>448</v>
      </c>
      <c r="AB112" s="30">
        <v>3.9620000000000002</v>
      </c>
      <c r="AC112" s="30"/>
      <c r="AD112" s="30">
        <v>3.9620000000000002</v>
      </c>
      <c r="AE112" s="59"/>
      <c r="AF112" s="59"/>
      <c r="AG112" s="1283" t="s">
        <v>1104</v>
      </c>
      <c r="AH112" s="202" t="s">
        <v>1880</v>
      </c>
      <c r="AI112" s="133" t="s">
        <v>1880</v>
      </c>
      <c r="AJ112" s="1275"/>
    </row>
    <row r="113" spans="1:36" s="11" customFormat="1" ht="26.25" customHeight="1" x14ac:dyDescent="0.15">
      <c r="A113" s="8">
        <f t="shared" si="0"/>
        <v>111</v>
      </c>
      <c r="B113" s="36" t="s">
        <v>8784</v>
      </c>
      <c r="C113" s="26" t="s">
        <v>19</v>
      </c>
      <c r="D113" s="26" t="s">
        <v>19</v>
      </c>
      <c r="E113" s="26" t="s">
        <v>19</v>
      </c>
      <c r="F113" s="29" t="s">
        <v>5840</v>
      </c>
      <c r="G113" s="53" t="s">
        <v>8781</v>
      </c>
      <c r="H113" s="26" t="s">
        <v>448</v>
      </c>
      <c r="I113" s="26" t="s">
        <v>448</v>
      </c>
      <c r="J113" s="26" t="s">
        <v>448</v>
      </c>
      <c r="K113" s="1" t="s">
        <v>1457</v>
      </c>
      <c r="L113" s="142" t="s">
        <v>167</v>
      </c>
      <c r="M113" s="1" t="s">
        <v>5843</v>
      </c>
      <c r="N113" s="22" t="s">
        <v>5844</v>
      </c>
      <c r="O113" s="1285" t="s">
        <v>1826</v>
      </c>
      <c r="P113" s="1285" t="s">
        <v>111</v>
      </c>
      <c r="Q113" s="1284" t="s">
        <v>1131</v>
      </c>
      <c r="R113" s="54" t="s">
        <v>8780</v>
      </c>
      <c r="S113" s="1285" t="s">
        <v>111</v>
      </c>
      <c r="T113" s="1284" t="s">
        <v>5487</v>
      </c>
      <c r="U113" s="1284" t="s">
        <v>5487</v>
      </c>
      <c r="V113" s="24" t="s">
        <v>8775</v>
      </c>
      <c r="W113" s="90" t="s">
        <v>8777</v>
      </c>
      <c r="X113" s="1285" t="s">
        <v>2359</v>
      </c>
      <c r="Y113" s="1285">
        <v>1</v>
      </c>
      <c r="Z113" s="24" t="s">
        <v>8778</v>
      </c>
      <c r="AA113" s="24" t="s">
        <v>8779</v>
      </c>
      <c r="AB113" s="30"/>
      <c r="AC113" s="30">
        <v>21</v>
      </c>
      <c r="AD113" s="30">
        <v>21</v>
      </c>
      <c r="AE113" s="59"/>
      <c r="AF113" s="59"/>
      <c r="AG113" s="1285" t="s">
        <v>1104</v>
      </c>
      <c r="AH113" s="202" t="s">
        <v>1880</v>
      </c>
      <c r="AI113" s="133" t="s">
        <v>1880</v>
      </c>
      <c r="AJ113" s="1284"/>
    </row>
    <row r="114" spans="1:36" s="11" customFormat="1" ht="26.25" customHeight="1" x14ac:dyDescent="0.15">
      <c r="A114" s="8">
        <f t="shared" si="0"/>
        <v>112</v>
      </c>
      <c r="B114" s="36" t="s">
        <v>8785</v>
      </c>
      <c r="C114" s="26" t="s">
        <v>19</v>
      </c>
      <c r="D114" s="26" t="s">
        <v>19</v>
      </c>
      <c r="E114" s="26" t="s">
        <v>19</v>
      </c>
      <c r="F114" s="29" t="s">
        <v>5846</v>
      </c>
      <c r="G114" s="53" t="s">
        <v>8782</v>
      </c>
      <c r="H114" s="26" t="s">
        <v>448</v>
      </c>
      <c r="I114" s="26" t="s">
        <v>448</v>
      </c>
      <c r="J114" s="26" t="s">
        <v>448</v>
      </c>
      <c r="K114" s="1" t="s">
        <v>1457</v>
      </c>
      <c r="L114" s="142" t="s">
        <v>167</v>
      </c>
      <c r="M114" s="1" t="s">
        <v>5848</v>
      </c>
      <c r="N114" s="22" t="s">
        <v>5847</v>
      </c>
      <c r="O114" s="1285" t="s">
        <v>1826</v>
      </c>
      <c r="P114" s="1285" t="s">
        <v>111</v>
      </c>
      <c r="Q114" s="1284" t="s">
        <v>1131</v>
      </c>
      <c r="R114" s="54" t="s">
        <v>8780</v>
      </c>
      <c r="S114" s="1285" t="s">
        <v>111</v>
      </c>
      <c r="T114" s="1284" t="s">
        <v>5487</v>
      </c>
      <c r="U114" s="1284" t="s">
        <v>5487</v>
      </c>
      <c r="V114" s="24" t="s">
        <v>8775</v>
      </c>
      <c r="W114" s="90" t="s">
        <v>8777</v>
      </c>
      <c r="X114" s="1285" t="s">
        <v>2359</v>
      </c>
      <c r="Y114" s="1285">
        <v>1</v>
      </c>
      <c r="Z114" s="24" t="s">
        <v>8778</v>
      </c>
      <c r="AA114" s="24" t="s">
        <v>8779</v>
      </c>
      <c r="AB114" s="30"/>
      <c r="AC114" s="30">
        <v>21</v>
      </c>
      <c r="AD114" s="30">
        <v>21</v>
      </c>
      <c r="AE114" s="59"/>
      <c r="AF114" s="59"/>
      <c r="AG114" s="1285" t="s">
        <v>1104</v>
      </c>
      <c r="AH114" s="202" t="s">
        <v>1880</v>
      </c>
      <c r="AI114" s="133" t="s">
        <v>1880</v>
      </c>
      <c r="AJ114" s="1284"/>
    </row>
    <row r="115" spans="1:36" s="11" customFormat="1" ht="26.25" customHeight="1" x14ac:dyDescent="0.15">
      <c r="A115" s="8">
        <f t="shared" si="0"/>
        <v>113</v>
      </c>
      <c r="B115" s="36" t="s">
        <v>8786</v>
      </c>
      <c r="C115" s="26" t="s">
        <v>19</v>
      </c>
      <c r="D115" s="26" t="s">
        <v>19</v>
      </c>
      <c r="E115" s="26" t="s">
        <v>19</v>
      </c>
      <c r="F115" s="29" t="s">
        <v>5858</v>
      </c>
      <c r="G115" s="53" t="s">
        <v>8783</v>
      </c>
      <c r="H115" s="26" t="s">
        <v>448</v>
      </c>
      <c r="I115" s="26" t="s">
        <v>448</v>
      </c>
      <c r="J115" s="26" t="s">
        <v>448</v>
      </c>
      <c r="K115" s="1" t="s">
        <v>1457</v>
      </c>
      <c r="L115" s="142" t="s">
        <v>167</v>
      </c>
      <c r="M115" s="1" t="s">
        <v>5855</v>
      </c>
      <c r="N115" s="22" t="s">
        <v>5854</v>
      </c>
      <c r="O115" s="22" t="s">
        <v>5478</v>
      </c>
      <c r="P115" s="1285" t="s">
        <v>111</v>
      </c>
      <c r="Q115" s="1284" t="s">
        <v>4676</v>
      </c>
      <c r="R115" s="54" t="s">
        <v>8780</v>
      </c>
      <c r="S115" s="1285" t="s">
        <v>111</v>
      </c>
      <c r="T115" s="1284" t="s">
        <v>5487</v>
      </c>
      <c r="U115" s="1284" t="s">
        <v>5487</v>
      </c>
      <c r="V115" s="24" t="s">
        <v>8775</v>
      </c>
      <c r="W115" s="90" t="s">
        <v>8777</v>
      </c>
      <c r="X115" s="1285" t="s">
        <v>2359</v>
      </c>
      <c r="Y115" s="1285">
        <v>1</v>
      </c>
      <c r="Z115" s="24" t="s">
        <v>8778</v>
      </c>
      <c r="AA115" s="24" t="s">
        <v>8779</v>
      </c>
      <c r="AB115" s="30"/>
      <c r="AC115" s="30">
        <v>21</v>
      </c>
      <c r="AD115" s="30">
        <v>21</v>
      </c>
      <c r="AE115" s="59"/>
      <c r="AF115" s="59"/>
      <c r="AG115" s="1285" t="s">
        <v>1104</v>
      </c>
      <c r="AH115" s="202" t="s">
        <v>1880</v>
      </c>
      <c r="AI115" s="133" t="s">
        <v>1880</v>
      </c>
      <c r="AJ115" s="1284"/>
    </row>
    <row r="116" spans="1:36" s="11" customFormat="1" ht="26.25" customHeight="1" x14ac:dyDescent="0.15">
      <c r="A116" s="8">
        <f t="shared" si="0"/>
        <v>114</v>
      </c>
      <c r="B116" s="36" t="s">
        <v>8796</v>
      </c>
      <c r="C116" s="26" t="s">
        <v>19</v>
      </c>
      <c r="D116" s="26" t="s">
        <v>19</v>
      </c>
      <c r="E116" s="26" t="s">
        <v>19</v>
      </c>
      <c r="F116" s="29" t="s">
        <v>8800</v>
      </c>
      <c r="G116" s="53" t="s">
        <v>8801</v>
      </c>
      <c r="H116" s="26" t="s">
        <v>448</v>
      </c>
      <c r="I116" s="26" t="s">
        <v>448</v>
      </c>
      <c r="J116" s="26" t="s">
        <v>448</v>
      </c>
      <c r="K116" s="1287" t="s">
        <v>1449</v>
      </c>
      <c r="L116" s="1287" t="s">
        <v>188</v>
      </c>
      <c r="M116" s="1287" t="s">
        <v>8343</v>
      </c>
      <c r="N116" s="22" t="s">
        <v>6271</v>
      </c>
      <c r="O116" s="1289" t="s">
        <v>1826</v>
      </c>
      <c r="P116" s="1289" t="s">
        <v>111</v>
      </c>
      <c r="Q116" s="1288" t="s">
        <v>1131</v>
      </c>
      <c r="R116" s="151" t="s">
        <v>1819</v>
      </c>
      <c r="S116" s="1289" t="s">
        <v>111</v>
      </c>
      <c r="T116" s="1288" t="s">
        <v>5487</v>
      </c>
      <c r="U116" s="1286" t="s">
        <v>5487</v>
      </c>
      <c r="V116" s="24" t="s">
        <v>8797</v>
      </c>
      <c r="W116" s="90" t="s">
        <v>8777</v>
      </c>
      <c r="X116" s="1289" t="s">
        <v>2359</v>
      </c>
      <c r="Y116" s="1289">
        <v>2</v>
      </c>
      <c r="Z116" s="24" t="s">
        <v>8441</v>
      </c>
      <c r="AA116" s="24" t="s">
        <v>6470</v>
      </c>
      <c r="AB116" s="30"/>
      <c r="AC116" s="30">
        <v>7</v>
      </c>
      <c r="AD116" s="30">
        <v>7</v>
      </c>
      <c r="AE116" s="59"/>
      <c r="AF116" s="59"/>
      <c r="AG116" s="1289" t="s">
        <v>1104</v>
      </c>
      <c r="AH116" s="202" t="s">
        <v>1880</v>
      </c>
      <c r="AI116" s="133" t="s">
        <v>1880</v>
      </c>
      <c r="AJ116" s="1286"/>
    </row>
    <row r="117" spans="1:36" s="11" customFormat="1" ht="26.25" customHeight="1" x14ac:dyDescent="0.15">
      <c r="A117" s="8">
        <f t="shared" si="0"/>
        <v>115</v>
      </c>
      <c r="B117" s="36" t="s">
        <v>8802</v>
      </c>
      <c r="C117" s="26" t="s">
        <v>19</v>
      </c>
      <c r="D117" s="26" t="s">
        <v>9267</v>
      </c>
      <c r="E117" s="26" t="s">
        <v>19</v>
      </c>
      <c r="F117" s="29" t="s">
        <v>5746</v>
      </c>
      <c r="G117" s="99" t="s">
        <v>8805</v>
      </c>
      <c r="H117" s="26" t="s">
        <v>448</v>
      </c>
      <c r="I117" s="26" t="s">
        <v>448</v>
      </c>
      <c r="J117" s="26" t="s">
        <v>448</v>
      </c>
      <c r="K117" s="1290" t="s">
        <v>4208</v>
      </c>
      <c r="L117" s="1290" t="s">
        <v>6751</v>
      </c>
      <c r="M117" s="1290" t="s">
        <v>6752</v>
      </c>
      <c r="N117" s="22" t="s">
        <v>6753</v>
      </c>
      <c r="O117" s="22" t="s">
        <v>5478</v>
      </c>
      <c r="P117" s="22" t="s">
        <v>1880</v>
      </c>
      <c r="Q117" s="1291" t="s">
        <v>2422</v>
      </c>
      <c r="R117" s="54" t="s">
        <v>8803</v>
      </c>
      <c r="S117" s="22" t="s">
        <v>1880</v>
      </c>
      <c r="T117" s="1291" t="s">
        <v>5487</v>
      </c>
      <c r="U117" s="1291" t="s">
        <v>5487</v>
      </c>
      <c r="V117" s="24" t="s">
        <v>8804</v>
      </c>
      <c r="W117" s="90" t="s">
        <v>8777</v>
      </c>
      <c r="X117" s="484"/>
      <c r="Y117" s="484"/>
      <c r="Z117" s="24" t="s">
        <v>448</v>
      </c>
      <c r="AA117" s="24" t="s">
        <v>448</v>
      </c>
      <c r="AB117" s="30">
        <v>4.8</v>
      </c>
      <c r="AC117" s="30"/>
      <c r="AD117" s="30">
        <v>4.8</v>
      </c>
      <c r="AE117" s="59"/>
      <c r="AF117" s="59"/>
      <c r="AG117" s="35" t="s">
        <v>1104</v>
      </c>
      <c r="AH117" s="202" t="s">
        <v>19</v>
      </c>
      <c r="AI117" s="35" t="s">
        <v>1880</v>
      </c>
      <c r="AJ117" s="1291"/>
    </row>
    <row r="118" spans="1:36" s="11" customFormat="1" ht="26.25" customHeight="1" x14ac:dyDescent="0.15">
      <c r="A118" s="8">
        <f t="shared" si="0"/>
        <v>116</v>
      </c>
      <c r="B118" s="36" t="s">
        <v>8811</v>
      </c>
      <c r="C118" s="26" t="s">
        <v>19</v>
      </c>
      <c r="D118" s="26" t="s">
        <v>19</v>
      </c>
      <c r="E118" s="26" t="s">
        <v>19</v>
      </c>
      <c r="F118" s="29" t="s">
        <v>7554</v>
      </c>
      <c r="G118" s="53" t="s">
        <v>8814</v>
      </c>
      <c r="H118" s="26" t="s">
        <v>448</v>
      </c>
      <c r="I118" s="26" t="s">
        <v>448</v>
      </c>
      <c r="J118" s="26" t="s">
        <v>448</v>
      </c>
      <c r="K118" s="1293" t="s">
        <v>4712</v>
      </c>
      <c r="L118" s="1293" t="s">
        <v>4750</v>
      </c>
      <c r="M118" s="1293" t="s">
        <v>7556</v>
      </c>
      <c r="N118" s="22" t="s">
        <v>7557</v>
      </c>
      <c r="O118" s="22" t="s">
        <v>5431</v>
      </c>
      <c r="P118" s="1295" t="s">
        <v>1880</v>
      </c>
      <c r="Q118" s="1294" t="s">
        <v>1131</v>
      </c>
      <c r="R118" s="151" t="s">
        <v>1819</v>
      </c>
      <c r="S118" s="22" t="s">
        <v>1880</v>
      </c>
      <c r="T118" s="1294" t="s">
        <v>5571</v>
      </c>
      <c r="U118" s="1294" t="s">
        <v>5571</v>
      </c>
      <c r="V118" s="24" t="s">
        <v>8328</v>
      </c>
      <c r="W118" s="90" t="s">
        <v>8815</v>
      </c>
      <c r="X118" s="24" t="s">
        <v>110</v>
      </c>
      <c r="Y118" s="24">
        <v>1</v>
      </c>
      <c r="Z118" s="90" t="s">
        <v>8441</v>
      </c>
      <c r="AA118" s="90" t="s">
        <v>6470</v>
      </c>
      <c r="AB118" s="30">
        <v>2.4</v>
      </c>
      <c r="AC118" s="30">
        <v>8.9</v>
      </c>
      <c r="AD118" s="30">
        <v>11.3</v>
      </c>
      <c r="AE118" s="59"/>
      <c r="AF118" s="59"/>
      <c r="AG118" s="35" t="s">
        <v>1104</v>
      </c>
      <c r="AH118" s="202" t="s">
        <v>19</v>
      </c>
      <c r="AI118" s="35" t="s">
        <v>1880</v>
      </c>
      <c r="AJ118" s="1294"/>
    </row>
    <row r="119" spans="1:36" s="11" customFormat="1" ht="26.25" customHeight="1" x14ac:dyDescent="0.15">
      <c r="A119" s="8">
        <f t="shared" si="0"/>
        <v>117</v>
      </c>
      <c r="B119" s="36" t="s">
        <v>8812</v>
      </c>
      <c r="C119" s="26" t="s">
        <v>19</v>
      </c>
      <c r="D119" s="26" t="s">
        <v>9260</v>
      </c>
      <c r="E119" s="26" t="s">
        <v>19</v>
      </c>
      <c r="F119" s="151" t="s">
        <v>4285</v>
      </c>
      <c r="G119" s="98" t="s">
        <v>8816</v>
      </c>
      <c r="H119" s="26" t="s">
        <v>448</v>
      </c>
      <c r="I119" s="26" t="s">
        <v>448</v>
      </c>
      <c r="J119" s="26" t="s">
        <v>448</v>
      </c>
      <c r="K119" s="1295" t="s">
        <v>2012</v>
      </c>
      <c r="L119" s="1295" t="s">
        <v>2533</v>
      </c>
      <c r="M119" s="1295" t="s">
        <v>4287</v>
      </c>
      <c r="N119" s="1295" t="s">
        <v>4286</v>
      </c>
      <c r="O119" s="1295" t="s">
        <v>1826</v>
      </c>
      <c r="P119" s="1295" t="s">
        <v>111</v>
      </c>
      <c r="Q119" s="1295" t="s">
        <v>1818</v>
      </c>
      <c r="R119" s="54" t="s">
        <v>8817</v>
      </c>
      <c r="S119" s="22" t="s">
        <v>1880</v>
      </c>
      <c r="T119" s="1294" t="s">
        <v>3248</v>
      </c>
      <c r="U119" s="1294" t="s">
        <v>3248</v>
      </c>
      <c r="V119" s="24" t="s">
        <v>8328</v>
      </c>
      <c r="W119" s="90" t="s">
        <v>8777</v>
      </c>
      <c r="X119" s="24" t="s">
        <v>110</v>
      </c>
      <c r="Y119" s="24">
        <v>1</v>
      </c>
      <c r="Z119" s="24" t="s">
        <v>8441</v>
      </c>
      <c r="AA119" s="24" t="s">
        <v>6470</v>
      </c>
      <c r="AB119" s="30">
        <v>9.9</v>
      </c>
      <c r="AC119" s="30">
        <v>8.9</v>
      </c>
      <c r="AD119" s="30">
        <v>18.8</v>
      </c>
      <c r="AE119" s="59"/>
      <c r="AF119" s="59"/>
      <c r="AG119" s="35" t="s">
        <v>1104</v>
      </c>
      <c r="AH119" s="202" t="s">
        <v>19</v>
      </c>
      <c r="AI119" s="35" t="s">
        <v>1880</v>
      </c>
      <c r="AJ119" s="1292"/>
    </row>
    <row r="120" spans="1:36" s="11" customFormat="1" ht="26.25" customHeight="1" x14ac:dyDescent="0.15">
      <c r="A120" s="8">
        <f t="shared" si="0"/>
        <v>118</v>
      </c>
      <c r="B120" s="36" t="s">
        <v>8813</v>
      </c>
      <c r="C120" s="71" t="s">
        <v>8818</v>
      </c>
      <c r="D120" s="26" t="s">
        <v>19</v>
      </c>
      <c r="E120" s="26" t="s">
        <v>19</v>
      </c>
      <c r="F120" s="29" t="s">
        <v>8819</v>
      </c>
      <c r="G120" s="53" t="s">
        <v>8820</v>
      </c>
      <c r="H120" s="26" t="s">
        <v>448</v>
      </c>
      <c r="I120" s="26" t="s">
        <v>448</v>
      </c>
      <c r="J120" s="26" t="s">
        <v>448</v>
      </c>
      <c r="K120" s="1294" t="s">
        <v>4195</v>
      </c>
      <c r="L120" s="1294" t="s">
        <v>4721</v>
      </c>
      <c r="M120" s="1294" t="s">
        <v>8821</v>
      </c>
      <c r="N120" s="22" t="s">
        <v>4780</v>
      </c>
      <c r="O120" s="1295" t="s">
        <v>1826</v>
      </c>
      <c r="P120" s="1295" t="s">
        <v>111</v>
      </c>
      <c r="Q120" s="1292" t="s">
        <v>445</v>
      </c>
      <c r="R120" s="54" t="s">
        <v>3523</v>
      </c>
      <c r="S120" s="22" t="s">
        <v>1880</v>
      </c>
      <c r="T120" s="1294" t="s">
        <v>5489</v>
      </c>
      <c r="U120" s="1292" t="s">
        <v>5489</v>
      </c>
      <c r="V120" s="24" t="s">
        <v>8328</v>
      </c>
      <c r="W120" s="90" t="s">
        <v>8797</v>
      </c>
      <c r="X120" s="24" t="s">
        <v>110</v>
      </c>
      <c r="Y120" s="24">
        <v>1</v>
      </c>
      <c r="Z120" s="24" t="s">
        <v>448</v>
      </c>
      <c r="AA120" s="24" t="s">
        <v>448</v>
      </c>
      <c r="AB120" s="30">
        <v>5.66</v>
      </c>
      <c r="AC120" s="30"/>
      <c r="AD120" s="30">
        <v>5.66</v>
      </c>
      <c r="AE120" s="59"/>
      <c r="AF120" s="59"/>
      <c r="AG120" s="35" t="s">
        <v>1104</v>
      </c>
      <c r="AH120" s="202" t="s">
        <v>19</v>
      </c>
      <c r="AI120" s="35" t="s">
        <v>1880</v>
      </c>
      <c r="AJ120" s="1292"/>
    </row>
    <row r="121" spans="1:36" s="11" customFormat="1" ht="26.25" customHeight="1" x14ac:dyDescent="0.15">
      <c r="A121" s="8">
        <f t="shared" si="0"/>
        <v>119</v>
      </c>
      <c r="B121" s="36" t="s">
        <v>9256</v>
      </c>
      <c r="C121" s="71" t="s">
        <v>9257</v>
      </c>
      <c r="D121" s="26" t="s">
        <v>19</v>
      </c>
      <c r="E121" s="36" t="s">
        <v>9254</v>
      </c>
      <c r="F121" s="29" t="s">
        <v>5827</v>
      </c>
      <c r="G121" s="53" t="s">
        <v>7589</v>
      </c>
      <c r="H121" s="26" t="s">
        <v>448</v>
      </c>
      <c r="I121" s="26" t="s">
        <v>448</v>
      </c>
      <c r="J121" s="26" t="s">
        <v>448</v>
      </c>
      <c r="K121" s="1298" t="s">
        <v>4195</v>
      </c>
      <c r="L121" s="1298" t="s">
        <v>4196</v>
      </c>
      <c r="M121" s="1298" t="s">
        <v>5912</v>
      </c>
      <c r="N121" s="22" t="s">
        <v>4780</v>
      </c>
      <c r="O121" s="1299" t="s">
        <v>1826</v>
      </c>
      <c r="P121" s="1299" t="s">
        <v>111</v>
      </c>
      <c r="Q121" s="1298" t="s">
        <v>1131</v>
      </c>
      <c r="R121" s="54" t="s">
        <v>5708</v>
      </c>
      <c r="S121" s="22" t="s">
        <v>1880</v>
      </c>
      <c r="T121" s="1297" t="s">
        <v>8824</v>
      </c>
      <c r="U121" s="1298" t="s">
        <v>8824</v>
      </c>
      <c r="V121" s="24" t="s">
        <v>8825</v>
      </c>
      <c r="W121" s="90" t="s">
        <v>9183</v>
      </c>
      <c r="X121" s="24" t="s">
        <v>110</v>
      </c>
      <c r="Y121" s="24">
        <v>2</v>
      </c>
      <c r="Z121" s="24" t="s">
        <v>5711</v>
      </c>
      <c r="AA121" s="24" t="s">
        <v>448</v>
      </c>
      <c r="AB121" s="30">
        <v>63.5</v>
      </c>
      <c r="AC121" s="30"/>
      <c r="AD121" s="30">
        <v>63.5</v>
      </c>
      <c r="AE121" s="59"/>
      <c r="AF121" s="59"/>
      <c r="AG121" s="35" t="s">
        <v>1104</v>
      </c>
      <c r="AH121" s="202" t="s">
        <v>19</v>
      </c>
      <c r="AI121" s="35" t="s">
        <v>1880</v>
      </c>
      <c r="AJ121" s="54" t="s">
        <v>9190</v>
      </c>
    </row>
    <row r="122" spans="1:36" s="11" customFormat="1" ht="26.25" customHeight="1" x14ac:dyDescent="0.15">
      <c r="A122" s="8">
        <f t="shared" si="0"/>
        <v>120</v>
      </c>
      <c r="B122" s="36" t="s">
        <v>8822</v>
      </c>
      <c r="C122" s="26" t="s">
        <v>19</v>
      </c>
      <c r="D122" s="26" t="s">
        <v>19</v>
      </c>
      <c r="E122" s="26" t="s">
        <v>19</v>
      </c>
      <c r="F122" s="29" t="s">
        <v>8196</v>
      </c>
      <c r="G122" s="53" t="s">
        <v>8851</v>
      </c>
      <c r="H122" s="26" t="s">
        <v>448</v>
      </c>
      <c r="I122" s="26" t="s">
        <v>448</v>
      </c>
      <c r="J122" s="26" t="s">
        <v>448</v>
      </c>
      <c r="K122" s="1301" t="s">
        <v>3649</v>
      </c>
      <c r="L122" s="1301" t="s">
        <v>5419</v>
      </c>
      <c r="M122" s="1301" t="s">
        <v>8198</v>
      </c>
      <c r="N122" s="22" t="s">
        <v>4780</v>
      </c>
      <c r="O122" s="22" t="s">
        <v>5431</v>
      </c>
      <c r="P122" s="1302" t="s">
        <v>1880</v>
      </c>
      <c r="Q122" s="1301" t="s">
        <v>1131</v>
      </c>
      <c r="R122" s="151" t="s">
        <v>1819</v>
      </c>
      <c r="S122" s="22" t="s">
        <v>1880</v>
      </c>
      <c r="T122" s="1301" t="s">
        <v>5487</v>
      </c>
      <c r="U122" s="1301" t="s">
        <v>5487</v>
      </c>
      <c r="V122" s="24" t="s">
        <v>8826</v>
      </c>
      <c r="W122" s="90" t="s">
        <v>8804</v>
      </c>
      <c r="X122" s="24" t="s">
        <v>110</v>
      </c>
      <c r="Y122" s="24">
        <v>1</v>
      </c>
      <c r="Z122" s="24" t="s">
        <v>8827</v>
      </c>
      <c r="AA122" s="24" t="s">
        <v>8828</v>
      </c>
      <c r="AB122" s="30"/>
      <c r="AC122" s="30">
        <v>8</v>
      </c>
      <c r="AD122" s="30">
        <v>8</v>
      </c>
      <c r="AE122" s="59"/>
      <c r="AF122" s="59"/>
      <c r="AG122" s="35" t="s">
        <v>1104</v>
      </c>
      <c r="AH122" s="202" t="s">
        <v>19</v>
      </c>
      <c r="AI122" s="35" t="s">
        <v>1880</v>
      </c>
      <c r="AJ122" s="1297"/>
    </row>
    <row r="123" spans="1:36" s="11" customFormat="1" ht="26.25" customHeight="1" x14ac:dyDescent="0.15">
      <c r="A123" s="8">
        <f t="shared" si="0"/>
        <v>121</v>
      </c>
      <c r="B123" s="36" t="s">
        <v>8829</v>
      </c>
      <c r="C123" s="26" t="s">
        <v>19</v>
      </c>
      <c r="D123" s="26" t="s">
        <v>19</v>
      </c>
      <c r="E123" s="26" t="s">
        <v>19</v>
      </c>
      <c r="F123" s="149" t="s">
        <v>845</v>
      </c>
      <c r="G123" s="53" t="s">
        <v>8852</v>
      </c>
      <c r="H123" s="26" t="s">
        <v>448</v>
      </c>
      <c r="I123" s="26" t="s">
        <v>448</v>
      </c>
      <c r="J123" s="26" t="s">
        <v>448</v>
      </c>
      <c r="K123" s="18" t="s">
        <v>1829</v>
      </c>
      <c r="L123" s="142" t="s">
        <v>849</v>
      </c>
      <c r="M123" s="21" t="s">
        <v>852</v>
      </c>
      <c r="N123" s="22" t="s">
        <v>855</v>
      </c>
      <c r="O123" s="22" t="s">
        <v>1826</v>
      </c>
      <c r="P123" s="22" t="s">
        <v>1880</v>
      </c>
      <c r="Q123" s="1301" t="s">
        <v>102</v>
      </c>
      <c r="R123" s="54" t="s">
        <v>851</v>
      </c>
      <c r="S123" s="22" t="s">
        <v>1880</v>
      </c>
      <c r="T123" s="1301" t="s">
        <v>5487</v>
      </c>
      <c r="U123" s="1301" t="s">
        <v>5487</v>
      </c>
      <c r="V123" s="24" t="s">
        <v>8826</v>
      </c>
      <c r="W123" s="90" t="s">
        <v>8804</v>
      </c>
      <c r="X123" s="24" t="s">
        <v>110</v>
      </c>
      <c r="Y123" s="24">
        <v>1</v>
      </c>
      <c r="Z123" s="24" t="s">
        <v>8831</v>
      </c>
      <c r="AA123" s="24" t="s">
        <v>8832</v>
      </c>
      <c r="AB123" s="30"/>
      <c r="AC123" s="30">
        <v>8</v>
      </c>
      <c r="AD123" s="30">
        <v>8</v>
      </c>
      <c r="AE123" s="59"/>
      <c r="AF123" s="59"/>
      <c r="AG123" s="35" t="s">
        <v>1104</v>
      </c>
      <c r="AH123" s="202" t="s">
        <v>19</v>
      </c>
      <c r="AI123" s="35" t="s">
        <v>1880</v>
      </c>
      <c r="AJ123" s="1297"/>
    </row>
    <row r="124" spans="1:36" s="11" customFormat="1" ht="26.25" customHeight="1" x14ac:dyDescent="0.15">
      <c r="A124" s="8">
        <f t="shared" si="0"/>
        <v>122</v>
      </c>
      <c r="B124" s="36" t="s">
        <v>8830</v>
      </c>
      <c r="C124" s="26" t="s">
        <v>19</v>
      </c>
      <c r="D124" s="26" t="s">
        <v>19</v>
      </c>
      <c r="E124" s="26" t="s">
        <v>19</v>
      </c>
      <c r="F124" s="149" t="s">
        <v>845</v>
      </c>
      <c r="G124" s="53" t="s">
        <v>8852</v>
      </c>
      <c r="H124" s="26" t="s">
        <v>448</v>
      </c>
      <c r="I124" s="26" t="s">
        <v>448</v>
      </c>
      <c r="J124" s="26" t="s">
        <v>448</v>
      </c>
      <c r="K124" s="1300" t="s">
        <v>2135</v>
      </c>
      <c r="L124" s="1300" t="s">
        <v>1789</v>
      </c>
      <c r="M124" s="1300" t="s">
        <v>7783</v>
      </c>
      <c r="N124" s="22" t="s">
        <v>4780</v>
      </c>
      <c r="O124" s="22" t="s">
        <v>5478</v>
      </c>
      <c r="P124" s="1302" t="s">
        <v>111</v>
      </c>
      <c r="Q124" s="1301" t="s">
        <v>4676</v>
      </c>
      <c r="R124" s="54" t="s">
        <v>851</v>
      </c>
      <c r="S124" s="22" t="s">
        <v>1880</v>
      </c>
      <c r="T124" s="1301" t="s">
        <v>5487</v>
      </c>
      <c r="U124" s="1301" t="s">
        <v>5487</v>
      </c>
      <c r="V124" s="24" t="s">
        <v>8826</v>
      </c>
      <c r="W124" s="90" t="s">
        <v>8804</v>
      </c>
      <c r="X124" s="24" t="s">
        <v>110</v>
      </c>
      <c r="Y124" s="24">
        <v>1</v>
      </c>
      <c r="Z124" s="24" t="s">
        <v>8831</v>
      </c>
      <c r="AA124" s="24" t="s">
        <v>8832</v>
      </c>
      <c r="AB124" s="30"/>
      <c r="AC124" s="30">
        <v>7</v>
      </c>
      <c r="AD124" s="30">
        <v>7</v>
      </c>
      <c r="AE124" s="59"/>
      <c r="AF124" s="59"/>
      <c r="AG124" s="35" t="s">
        <v>1104</v>
      </c>
      <c r="AH124" s="202" t="s">
        <v>19</v>
      </c>
      <c r="AI124" s="35" t="s">
        <v>1880</v>
      </c>
      <c r="AJ124" s="1301"/>
    </row>
    <row r="125" spans="1:36" s="11" customFormat="1" ht="26.25" customHeight="1" x14ac:dyDescent="0.15">
      <c r="A125" s="8">
        <f t="shared" si="0"/>
        <v>123</v>
      </c>
      <c r="B125" s="36" t="s">
        <v>8823</v>
      </c>
      <c r="C125" s="26" t="s">
        <v>19</v>
      </c>
      <c r="D125" s="26" t="s">
        <v>19</v>
      </c>
      <c r="E125" s="26" t="s">
        <v>19</v>
      </c>
      <c r="F125" s="29" t="s">
        <v>6803</v>
      </c>
      <c r="G125" s="53" t="s">
        <v>7811</v>
      </c>
      <c r="H125" s="26" t="s">
        <v>8833</v>
      </c>
      <c r="I125" s="26" t="s">
        <v>8834</v>
      </c>
      <c r="J125" s="53" t="s">
        <v>8835</v>
      </c>
      <c r="K125" s="1254" t="s">
        <v>4195</v>
      </c>
      <c r="L125" s="1254" t="s">
        <v>3101</v>
      </c>
      <c r="M125" s="1254" t="s">
        <v>8836</v>
      </c>
      <c r="N125" s="22" t="s">
        <v>4780</v>
      </c>
      <c r="O125" s="22" t="s">
        <v>1826</v>
      </c>
      <c r="P125" s="1302" t="s">
        <v>111</v>
      </c>
      <c r="Q125" s="1255" t="s">
        <v>445</v>
      </c>
      <c r="R125" s="54" t="s">
        <v>4534</v>
      </c>
      <c r="S125" s="22" t="s">
        <v>1880</v>
      </c>
      <c r="T125" s="1255" t="s">
        <v>1894</v>
      </c>
      <c r="U125" s="1255" t="s">
        <v>1894</v>
      </c>
      <c r="V125" s="24" t="s">
        <v>8826</v>
      </c>
      <c r="W125" s="90" t="s">
        <v>8837</v>
      </c>
      <c r="X125" s="24" t="s">
        <v>110</v>
      </c>
      <c r="Y125" s="24">
        <v>1</v>
      </c>
      <c r="Z125" s="24" t="s">
        <v>448</v>
      </c>
      <c r="AA125" s="24" t="s">
        <v>448</v>
      </c>
      <c r="AB125" s="30">
        <v>7.7</v>
      </c>
      <c r="AC125" s="30"/>
      <c r="AD125" s="30">
        <v>7.7</v>
      </c>
      <c r="AE125" s="59"/>
      <c r="AF125" s="59"/>
      <c r="AG125" s="35" t="s">
        <v>1104</v>
      </c>
      <c r="AH125" s="202" t="s">
        <v>19</v>
      </c>
      <c r="AI125" s="35" t="s">
        <v>1880</v>
      </c>
      <c r="AJ125" s="1255"/>
    </row>
    <row r="126" spans="1:36" s="11" customFormat="1" ht="26.25" customHeight="1" x14ac:dyDescent="0.15">
      <c r="A126" s="8">
        <f t="shared" si="0"/>
        <v>124</v>
      </c>
      <c r="B126" s="36" t="s">
        <v>8838</v>
      </c>
      <c r="C126" s="26" t="s">
        <v>19</v>
      </c>
      <c r="D126" s="26" t="s">
        <v>19</v>
      </c>
      <c r="E126" s="26" t="s">
        <v>19</v>
      </c>
      <c r="F126" s="29" t="s">
        <v>7912</v>
      </c>
      <c r="G126" s="53" t="s">
        <v>8853</v>
      </c>
      <c r="H126" s="26" t="s">
        <v>448</v>
      </c>
      <c r="I126" s="26" t="s">
        <v>448</v>
      </c>
      <c r="J126" s="26" t="s">
        <v>448</v>
      </c>
      <c r="K126" s="1308" t="s">
        <v>4712</v>
      </c>
      <c r="L126" s="1308" t="s">
        <v>4692</v>
      </c>
      <c r="M126" s="1308" t="s">
        <v>6331</v>
      </c>
      <c r="N126" s="1309" t="s">
        <v>4780</v>
      </c>
      <c r="O126" s="1309" t="s">
        <v>1826</v>
      </c>
      <c r="P126" s="1309" t="s">
        <v>111</v>
      </c>
      <c r="Q126" s="1309" t="s">
        <v>1818</v>
      </c>
      <c r="R126" s="151" t="s">
        <v>1819</v>
      </c>
      <c r="S126" s="22" t="s">
        <v>1880</v>
      </c>
      <c r="T126" s="1308" t="s">
        <v>5571</v>
      </c>
      <c r="U126" s="1308" t="s">
        <v>5571</v>
      </c>
      <c r="V126" s="24" t="s">
        <v>8842</v>
      </c>
      <c r="W126" s="90" t="s">
        <v>8854</v>
      </c>
      <c r="X126" s="24" t="s">
        <v>110</v>
      </c>
      <c r="Y126" s="24">
        <v>1</v>
      </c>
      <c r="Z126" s="24" t="s">
        <v>8855</v>
      </c>
      <c r="AA126" s="24" t="s">
        <v>8856</v>
      </c>
      <c r="AB126" s="30"/>
      <c r="AC126" s="30">
        <v>10</v>
      </c>
      <c r="AD126" s="30">
        <v>10</v>
      </c>
      <c r="AE126" s="59"/>
      <c r="AF126" s="59"/>
      <c r="AG126" s="1309" t="s">
        <v>1104</v>
      </c>
      <c r="AH126" s="202" t="s">
        <v>19</v>
      </c>
      <c r="AI126" s="35" t="s">
        <v>1880</v>
      </c>
      <c r="AJ126" s="1308"/>
    </row>
    <row r="127" spans="1:36" s="11" customFormat="1" ht="26.25" customHeight="1" x14ac:dyDescent="0.15">
      <c r="A127" s="8">
        <f t="shared" si="0"/>
        <v>125</v>
      </c>
      <c r="B127" s="36" t="s">
        <v>8839</v>
      </c>
      <c r="C127" s="26" t="s">
        <v>19</v>
      </c>
      <c r="D127" s="26" t="s">
        <v>19</v>
      </c>
      <c r="E127" s="26" t="s">
        <v>19</v>
      </c>
      <c r="F127" s="29" t="s">
        <v>3886</v>
      </c>
      <c r="G127" s="53" t="s">
        <v>8857</v>
      </c>
      <c r="H127" s="26" t="s">
        <v>448</v>
      </c>
      <c r="I127" s="26" t="s">
        <v>448</v>
      </c>
      <c r="J127" s="26" t="s">
        <v>448</v>
      </c>
      <c r="K127" s="1308" t="s">
        <v>4712</v>
      </c>
      <c r="L127" s="1308" t="s">
        <v>4692</v>
      </c>
      <c r="M127" s="1308" t="s">
        <v>6050</v>
      </c>
      <c r="N127" s="1309" t="s">
        <v>7038</v>
      </c>
      <c r="O127" s="1309" t="s">
        <v>1826</v>
      </c>
      <c r="P127" s="1309" t="s">
        <v>111</v>
      </c>
      <c r="Q127" s="1309" t="s">
        <v>1818</v>
      </c>
      <c r="R127" s="151" t="s">
        <v>1819</v>
      </c>
      <c r="S127" s="22" t="s">
        <v>1880</v>
      </c>
      <c r="T127" s="1308" t="s">
        <v>5571</v>
      </c>
      <c r="U127" s="1308" t="s">
        <v>5571</v>
      </c>
      <c r="V127" s="24" t="s">
        <v>8842</v>
      </c>
      <c r="W127" s="90" t="s">
        <v>8854</v>
      </c>
      <c r="X127" s="24" t="s">
        <v>110</v>
      </c>
      <c r="Y127" s="24">
        <v>1</v>
      </c>
      <c r="Z127" s="24" t="s">
        <v>8855</v>
      </c>
      <c r="AA127" s="24" t="s">
        <v>8856</v>
      </c>
      <c r="AB127" s="30"/>
      <c r="AC127" s="30">
        <v>11</v>
      </c>
      <c r="AD127" s="30">
        <v>11</v>
      </c>
      <c r="AE127" s="59"/>
      <c r="AF127" s="59"/>
      <c r="AG127" s="1309" t="s">
        <v>1104</v>
      </c>
      <c r="AH127" s="202" t="s">
        <v>19</v>
      </c>
      <c r="AI127" s="35" t="s">
        <v>1880</v>
      </c>
      <c r="AJ127" s="1308"/>
    </row>
    <row r="128" spans="1:36" s="11" customFormat="1" ht="26.25" customHeight="1" x14ac:dyDescent="0.15">
      <c r="A128" s="8">
        <f t="shared" si="0"/>
        <v>126</v>
      </c>
      <c r="B128" s="36" t="s">
        <v>8840</v>
      </c>
      <c r="C128" s="26" t="s">
        <v>19</v>
      </c>
      <c r="D128" s="26" t="s">
        <v>19</v>
      </c>
      <c r="E128" s="26" t="s">
        <v>19</v>
      </c>
      <c r="F128" s="29" t="s">
        <v>7960</v>
      </c>
      <c r="G128" s="53" t="s">
        <v>8858</v>
      </c>
      <c r="H128" s="26" t="s">
        <v>448</v>
      </c>
      <c r="I128" s="26" t="s">
        <v>448</v>
      </c>
      <c r="J128" s="26" t="s">
        <v>448</v>
      </c>
      <c r="K128" s="1308" t="s">
        <v>1487</v>
      </c>
      <c r="L128" s="1308" t="s">
        <v>1416</v>
      </c>
      <c r="M128" s="1308" t="s">
        <v>7959</v>
      </c>
      <c r="N128" s="1309" t="s">
        <v>4780</v>
      </c>
      <c r="O128" s="1309" t="s">
        <v>1826</v>
      </c>
      <c r="P128" s="1309" t="s">
        <v>111</v>
      </c>
      <c r="Q128" s="1309" t="s">
        <v>1818</v>
      </c>
      <c r="R128" s="151" t="s">
        <v>1819</v>
      </c>
      <c r="S128" s="22" t="s">
        <v>1880</v>
      </c>
      <c r="T128" s="1308" t="s">
        <v>5571</v>
      </c>
      <c r="U128" s="1308" t="s">
        <v>5571</v>
      </c>
      <c r="V128" s="24" t="s">
        <v>8842</v>
      </c>
      <c r="W128" s="90" t="s">
        <v>8854</v>
      </c>
      <c r="X128" s="24" t="s">
        <v>110</v>
      </c>
      <c r="Y128" s="24">
        <v>1</v>
      </c>
      <c r="Z128" s="24" t="s">
        <v>8855</v>
      </c>
      <c r="AA128" s="24" t="s">
        <v>8856</v>
      </c>
      <c r="AB128" s="30"/>
      <c r="AC128" s="30">
        <v>10</v>
      </c>
      <c r="AD128" s="30">
        <v>10</v>
      </c>
      <c r="AE128" s="59"/>
      <c r="AF128" s="59"/>
      <c r="AG128" s="1309" t="s">
        <v>1104</v>
      </c>
      <c r="AH128" s="202" t="s">
        <v>19</v>
      </c>
      <c r="AI128" s="35" t="s">
        <v>1880</v>
      </c>
      <c r="AJ128" s="1308"/>
    </row>
    <row r="129" spans="1:36" s="11" customFormat="1" ht="26.25" customHeight="1" x14ac:dyDescent="0.15">
      <c r="A129" s="8">
        <f t="shared" si="0"/>
        <v>127</v>
      </c>
      <c r="B129" s="36" t="s">
        <v>8841</v>
      </c>
      <c r="C129" s="26" t="s">
        <v>19</v>
      </c>
      <c r="D129" s="26" t="s">
        <v>19</v>
      </c>
      <c r="E129" s="26" t="s">
        <v>19</v>
      </c>
      <c r="F129" s="29" t="s">
        <v>8264</v>
      </c>
      <c r="G129" s="53" t="s">
        <v>8859</v>
      </c>
      <c r="H129" s="26" t="s">
        <v>448</v>
      </c>
      <c r="I129" s="26" t="s">
        <v>448</v>
      </c>
      <c r="J129" s="26" t="s">
        <v>448</v>
      </c>
      <c r="K129" s="1308" t="s">
        <v>4712</v>
      </c>
      <c r="L129" s="1308" t="s">
        <v>4692</v>
      </c>
      <c r="M129" s="1308" t="s">
        <v>8326</v>
      </c>
      <c r="N129" s="22" t="s">
        <v>8266</v>
      </c>
      <c r="O129" s="1309" t="s">
        <v>1826</v>
      </c>
      <c r="P129" s="1309" t="s">
        <v>111</v>
      </c>
      <c r="Q129" s="1308" t="s">
        <v>1131</v>
      </c>
      <c r="R129" s="151" t="s">
        <v>1819</v>
      </c>
      <c r="S129" s="22" t="s">
        <v>1880</v>
      </c>
      <c r="T129" s="1308" t="s">
        <v>3248</v>
      </c>
      <c r="U129" s="1308" t="s">
        <v>3248</v>
      </c>
      <c r="V129" s="24" t="s">
        <v>8842</v>
      </c>
      <c r="W129" s="90" t="s">
        <v>8854</v>
      </c>
      <c r="X129" s="24" t="s">
        <v>2359</v>
      </c>
      <c r="Y129" s="24">
        <v>1</v>
      </c>
      <c r="Z129" s="24" t="s">
        <v>8860</v>
      </c>
      <c r="AA129" s="24" t="s">
        <v>8861</v>
      </c>
      <c r="AB129" s="30"/>
      <c r="AC129" s="30">
        <v>10</v>
      </c>
      <c r="AD129" s="30">
        <v>10</v>
      </c>
      <c r="AE129" s="59"/>
      <c r="AF129" s="59"/>
      <c r="AG129" s="35" t="s">
        <v>1104</v>
      </c>
      <c r="AH129" s="202" t="s">
        <v>19</v>
      </c>
      <c r="AI129" s="35" t="s">
        <v>1880</v>
      </c>
      <c r="AJ129" s="1308"/>
    </row>
    <row r="130" spans="1:36" s="11" customFormat="1" ht="26.25" customHeight="1" x14ac:dyDescent="0.15">
      <c r="A130" s="8">
        <f t="shared" si="0"/>
        <v>128</v>
      </c>
      <c r="B130" s="36" t="s">
        <v>8848</v>
      </c>
      <c r="C130" s="26" t="s">
        <v>19</v>
      </c>
      <c r="D130" s="26" t="s">
        <v>19</v>
      </c>
      <c r="E130" s="26" t="s">
        <v>19</v>
      </c>
      <c r="F130" s="29" t="s">
        <v>3082</v>
      </c>
      <c r="G130" s="53" t="s">
        <v>5647</v>
      </c>
      <c r="H130" s="26" t="s">
        <v>448</v>
      </c>
      <c r="I130" s="26" t="s">
        <v>448</v>
      </c>
      <c r="J130" s="26" t="s">
        <v>448</v>
      </c>
      <c r="K130" s="1307" t="s">
        <v>4195</v>
      </c>
      <c r="L130" s="1307" t="s">
        <v>2007</v>
      </c>
      <c r="M130" s="1307" t="s">
        <v>5633</v>
      </c>
      <c r="N130" s="22" t="s">
        <v>4780</v>
      </c>
      <c r="O130" s="22" t="s">
        <v>5431</v>
      </c>
      <c r="P130" s="1309" t="s">
        <v>111</v>
      </c>
      <c r="Q130" s="1308" t="s">
        <v>1131</v>
      </c>
      <c r="R130" s="54" t="s">
        <v>116</v>
      </c>
      <c r="S130" s="22" t="s">
        <v>1880</v>
      </c>
      <c r="T130" s="1308" t="s">
        <v>1894</v>
      </c>
      <c r="U130" s="1308" t="s">
        <v>1894</v>
      </c>
      <c r="V130" s="24" t="s">
        <v>8849</v>
      </c>
      <c r="W130" s="90" t="s">
        <v>8854</v>
      </c>
      <c r="X130" s="24" t="s">
        <v>108</v>
      </c>
      <c r="Y130" s="10">
        <v>1</v>
      </c>
      <c r="Z130" s="24" t="s">
        <v>8441</v>
      </c>
      <c r="AA130" s="24" t="s">
        <v>6470</v>
      </c>
      <c r="AB130" s="30"/>
      <c r="AC130" s="30">
        <v>9.3000000000000007</v>
      </c>
      <c r="AD130" s="30">
        <v>9.3000000000000007</v>
      </c>
      <c r="AE130" s="59"/>
      <c r="AF130" s="59"/>
      <c r="AG130" s="35" t="s">
        <v>1104</v>
      </c>
      <c r="AH130" s="202" t="s">
        <v>19</v>
      </c>
      <c r="AI130" s="35" t="s">
        <v>1880</v>
      </c>
      <c r="AJ130" s="1305"/>
    </row>
    <row r="131" spans="1:36" s="11" customFormat="1" ht="26.25" customHeight="1" x14ac:dyDescent="0.15">
      <c r="A131" s="8">
        <f t="shared" si="0"/>
        <v>129</v>
      </c>
      <c r="B131" s="36" t="s">
        <v>8850</v>
      </c>
      <c r="C131" s="26" t="s">
        <v>19</v>
      </c>
      <c r="D131" s="26" t="s">
        <v>19</v>
      </c>
      <c r="E131" s="26" t="s">
        <v>19</v>
      </c>
      <c r="F131" s="29" t="s">
        <v>8862</v>
      </c>
      <c r="G131" s="53" t="s">
        <v>8863</v>
      </c>
      <c r="H131" s="26" t="s">
        <v>448</v>
      </c>
      <c r="I131" s="26" t="s">
        <v>448</v>
      </c>
      <c r="J131" s="26" t="s">
        <v>448</v>
      </c>
      <c r="K131" s="1304" t="s">
        <v>4195</v>
      </c>
      <c r="L131" s="1304" t="s">
        <v>4721</v>
      </c>
      <c r="M131" s="1304" t="s">
        <v>8865</v>
      </c>
      <c r="N131" s="22" t="s">
        <v>9943</v>
      </c>
      <c r="O131" s="22" t="s">
        <v>5431</v>
      </c>
      <c r="P131" s="1309" t="s">
        <v>111</v>
      </c>
      <c r="Q131" s="1308" t="s">
        <v>1131</v>
      </c>
      <c r="R131" s="54" t="s">
        <v>2196</v>
      </c>
      <c r="S131" s="1306"/>
      <c r="T131" s="1305" t="s">
        <v>5489</v>
      </c>
      <c r="U131" s="1305" t="s">
        <v>5489</v>
      </c>
      <c r="V131" s="24" t="s">
        <v>8849</v>
      </c>
      <c r="W131" s="90" t="s">
        <v>8864</v>
      </c>
      <c r="X131" s="24" t="s">
        <v>2359</v>
      </c>
      <c r="Y131" s="24">
        <v>1</v>
      </c>
      <c r="Z131" s="24" t="s">
        <v>6842</v>
      </c>
      <c r="AA131" s="24" t="s">
        <v>448</v>
      </c>
      <c r="AB131" s="30">
        <v>18.600000000000001</v>
      </c>
      <c r="AC131" s="30"/>
      <c r="AD131" s="30">
        <v>18.600000000000001</v>
      </c>
      <c r="AE131" s="59"/>
      <c r="AF131" s="59"/>
      <c r="AG131" s="35" t="s">
        <v>1104</v>
      </c>
      <c r="AH131" s="202" t="s">
        <v>19</v>
      </c>
      <c r="AI131" s="35" t="s">
        <v>1880</v>
      </c>
      <c r="AJ131" s="1305"/>
    </row>
    <row r="132" spans="1:36" s="11" customFormat="1" ht="26.25" customHeight="1" x14ac:dyDescent="0.15">
      <c r="A132" s="8">
        <f t="shared" si="0"/>
        <v>130</v>
      </c>
      <c r="B132" s="36" t="s">
        <v>8866</v>
      </c>
      <c r="C132" s="26" t="s">
        <v>19</v>
      </c>
      <c r="D132" s="26" t="s">
        <v>19</v>
      </c>
      <c r="E132" s="26" t="s">
        <v>19</v>
      </c>
      <c r="F132" s="151" t="s">
        <v>8889</v>
      </c>
      <c r="G132" s="54" t="s">
        <v>8890</v>
      </c>
      <c r="H132" s="26" t="s">
        <v>448</v>
      </c>
      <c r="I132" s="26" t="s">
        <v>448</v>
      </c>
      <c r="J132" s="26" t="s">
        <v>448</v>
      </c>
      <c r="K132" s="1321" t="s">
        <v>2135</v>
      </c>
      <c r="L132" s="1321" t="s">
        <v>2533</v>
      </c>
      <c r="M132" s="1320" t="s">
        <v>1010</v>
      </c>
      <c r="N132" s="2" t="s">
        <v>1011</v>
      </c>
      <c r="O132" s="1321" t="s">
        <v>1826</v>
      </c>
      <c r="P132" s="1321" t="s">
        <v>111</v>
      </c>
      <c r="Q132" s="22" t="s">
        <v>454</v>
      </c>
      <c r="R132" s="151" t="s">
        <v>1819</v>
      </c>
      <c r="S132" s="1321" t="s">
        <v>111</v>
      </c>
      <c r="T132" s="1320" t="s">
        <v>5487</v>
      </c>
      <c r="U132" s="1320" t="s">
        <v>5487</v>
      </c>
      <c r="V132" s="24" t="s">
        <v>8849</v>
      </c>
      <c r="W132" s="90" t="s">
        <v>8891</v>
      </c>
      <c r="X132" s="24" t="s">
        <v>2359</v>
      </c>
      <c r="Y132" s="24">
        <v>1</v>
      </c>
      <c r="Z132" s="24" t="s">
        <v>8892</v>
      </c>
      <c r="AA132" s="24" t="s">
        <v>8893</v>
      </c>
      <c r="AB132" s="30"/>
      <c r="AC132" s="30">
        <v>7</v>
      </c>
      <c r="AD132" s="30">
        <v>7</v>
      </c>
      <c r="AE132" s="59"/>
      <c r="AF132" s="59"/>
      <c r="AG132" s="35" t="s">
        <v>1104</v>
      </c>
      <c r="AH132" s="202" t="s">
        <v>19</v>
      </c>
      <c r="AI132" s="35" t="s">
        <v>1880</v>
      </c>
      <c r="AJ132" s="1305"/>
    </row>
    <row r="133" spans="1:36" s="11" customFormat="1" ht="26.25" customHeight="1" x14ac:dyDescent="0.15">
      <c r="A133" s="8">
        <f t="shared" si="0"/>
        <v>131</v>
      </c>
      <c r="B133" s="36" t="s">
        <v>8867</v>
      </c>
      <c r="C133" s="26" t="s">
        <v>19</v>
      </c>
      <c r="D133" s="26" t="s">
        <v>19</v>
      </c>
      <c r="E133" s="26" t="s">
        <v>19</v>
      </c>
      <c r="F133" s="151" t="s">
        <v>8707</v>
      </c>
      <c r="G133" s="54" t="s">
        <v>8894</v>
      </c>
      <c r="H133" s="26" t="s">
        <v>448</v>
      </c>
      <c r="I133" s="26" t="s">
        <v>448</v>
      </c>
      <c r="J133" s="26" t="s">
        <v>448</v>
      </c>
      <c r="K133" s="1321" t="s">
        <v>2135</v>
      </c>
      <c r="L133" s="1321" t="s">
        <v>2533</v>
      </c>
      <c r="M133" s="21" t="s">
        <v>3667</v>
      </c>
      <c r="N133" s="1320" t="s">
        <v>3668</v>
      </c>
      <c r="O133" s="1321" t="s">
        <v>1826</v>
      </c>
      <c r="P133" s="1321" t="s">
        <v>111</v>
      </c>
      <c r="Q133" s="22" t="s">
        <v>454</v>
      </c>
      <c r="R133" s="151" t="s">
        <v>1819</v>
      </c>
      <c r="S133" s="1321" t="s">
        <v>111</v>
      </c>
      <c r="T133" s="1320" t="s">
        <v>5487</v>
      </c>
      <c r="U133" s="1320" t="s">
        <v>5487</v>
      </c>
      <c r="V133" s="24" t="s">
        <v>8849</v>
      </c>
      <c r="W133" s="90" t="s">
        <v>8891</v>
      </c>
      <c r="X133" s="24" t="s">
        <v>2359</v>
      </c>
      <c r="Y133" s="24">
        <v>1</v>
      </c>
      <c r="Z133" s="24" t="s">
        <v>8892</v>
      </c>
      <c r="AA133" s="24" t="s">
        <v>8893</v>
      </c>
      <c r="AB133" s="30"/>
      <c r="AC133" s="30">
        <v>7</v>
      </c>
      <c r="AD133" s="30">
        <v>7</v>
      </c>
      <c r="AE133" s="59"/>
      <c r="AF133" s="59"/>
      <c r="AG133" s="35" t="s">
        <v>1104</v>
      </c>
      <c r="AH133" s="202" t="s">
        <v>19</v>
      </c>
      <c r="AI133" s="35" t="s">
        <v>1880</v>
      </c>
      <c r="AJ133" s="1305"/>
    </row>
    <row r="134" spans="1:36" s="11" customFormat="1" ht="26.25" customHeight="1" x14ac:dyDescent="0.15">
      <c r="A134" s="8">
        <f t="shared" si="0"/>
        <v>132</v>
      </c>
      <c r="B134" s="36" t="s">
        <v>8868</v>
      </c>
      <c r="C134" s="26" t="s">
        <v>19</v>
      </c>
      <c r="D134" s="26" t="s">
        <v>19</v>
      </c>
      <c r="E134" s="26" t="s">
        <v>19</v>
      </c>
      <c r="F134" s="54" t="s">
        <v>8559</v>
      </c>
      <c r="G134" s="54" t="s">
        <v>8895</v>
      </c>
      <c r="H134" s="26" t="s">
        <v>448</v>
      </c>
      <c r="I134" s="26" t="s">
        <v>448</v>
      </c>
      <c r="J134" s="26" t="s">
        <v>448</v>
      </c>
      <c r="K134" s="1321" t="s">
        <v>2135</v>
      </c>
      <c r="L134" s="1321" t="s">
        <v>2533</v>
      </c>
      <c r="M134" s="21" t="s">
        <v>3636</v>
      </c>
      <c r="N134" s="1321" t="s">
        <v>3637</v>
      </c>
      <c r="O134" s="1321" t="s">
        <v>2142</v>
      </c>
      <c r="P134" s="1321" t="s">
        <v>111</v>
      </c>
      <c r="Q134" s="22" t="s">
        <v>575</v>
      </c>
      <c r="R134" s="151" t="s">
        <v>1819</v>
      </c>
      <c r="S134" s="1321" t="s">
        <v>111</v>
      </c>
      <c r="T134" s="1320" t="s">
        <v>5487</v>
      </c>
      <c r="U134" s="1320" t="s">
        <v>5487</v>
      </c>
      <c r="V134" s="24" t="s">
        <v>8849</v>
      </c>
      <c r="W134" s="90" t="s">
        <v>8891</v>
      </c>
      <c r="X134" s="24" t="s">
        <v>2359</v>
      </c>
      <c r="Y134" s="24">
        <v>1</v>
      </c>
      <c r="Z134" s="24" t="s">
        <v>8892</v>
      </c>
      <c r="AA134" s="24" t="s">
        <v>8893</v>
      </c>
      <c r="AB134" s="30"/>
      <c r="AC134" s="30">
        <v>7</v>
      </c>
      <c r="AD134" s="30">
        <v>7</v>
      </c>
      <c r="AE134" s="59"/>
      <c r="AF134" s="59"/>
      <c r="AG134" s="35" t="s">
        <v>1104</v>
      </c>
      <c r="AH134" s="202" t="s">
        <v>19</v>
      </c>
      <c r="AI134" s="35" t="s">
        <v>1880</v>
      </c>
      <c r="AJ134" s="1305"/>
    </row>
    <row r="135" spans="1:36" s="11" customFormat="1" ht="26.25" customHeight="1" x14ac:dyDescent="0.15">
      <c r="A135" s="8">
        <f t="shared" si="0"/>
        <v>133</v>
      </c>
      <c r="B135" s="36" t="s">
        <v>8869</v>
      </c>
      <c r="C135" s="26" t="s">
        <v>19</v>
      </c>
      <c r="D135" s="26" t="s">
        <v>19</v>
      </c>
      <c r="E135" s="26" t="s">
        <v>19</v>
      </c>
      <c r="F135" s="151" t="s">
        <v>8007</v>
      </c>
      <c r="G135" s="54" t="s">
        <v>8896</v>
      </c>
      <c r="H135" s="26" t="s">
        <v>448</v>
      </c>
      <c r="I135" s="26" t="s">
        <v>448</v>
      </c>
      <c r="J135" s="26" t="s">
        <v>448</v>
      </c>
      <c r="K135" s="1321" t="s">
        <v>2135</v>
      </c>
      <c r="L135" s="1321" t="s">
        <v>2533</v>
      </c>
      <c r="M135" s="21" t="s">
        <v>3634</v>
      </c>
      <c r="N135" s="1321" t="s">
        <v>3635</v>
      </c>
      <c r="O135" s="1321" t="s">
        <v>1826</v>
      </c>
      <c r="P135" s="1321" t="s">
        <v>111</v>
      </c>
      <c r="Q135" s="22" t="s">
        <v>454</v>
      </c>
      <c r="R135" s="151" t="s">
        <v>1819</v>
      </c>
      <c r="S135" s="1321" t="s">
        <v>111</v>
      </c>
      <c r="T135" s="1320" t="s">
        <v>5487</v>
      </c>
      <c r="U135" s="1320" t="s">
        <v>5487</v>
      </c>
      <c r="V135" s="24" t="s">
        <v>8849</v>
      </c>
      <c r="W135" s="90" t="s">
        <v>8891</v>
      </c>
      <c r="X135" s="24" t="s">
        <v>2359</v>
      </c>
      <c r="Y135" s="24">
        <v>1</v>
      </c>
      <c r="Z135" s="24" t="s">
        <v>8892</v>
      </c>
      <c r="AA135" s="24" t="s">
        <v>8893</v>
      </c>
      <c r="AB135" s="30"/>
      <c r="AC135" s="30">
        <v>7</v>
      </c>
      <c r="AD135" s="30">
        <v>7</v>
      </c>
      <c r="AE135" s="59"/>
      <c r="AF135" s="59"/>
      <c r="AG135" s="35" t="s">
        <v>1104</v>
      </c>
      <c r="AH135" s="202" t="s">
        <v>19</v>
      </c>
      <c r="AI135" s="35" t="s">
        <v>1880</v>
      </c>
      <c r="AJ135" s="1311"/>
    </row>
    <row r="136" spans="1:36" s="11" customFormat="1" ht="26.25" customHeight="1" x14ac:dyDescent="0.15">
      <c r="A136" s="8">
        <f t="shared" si="0"/>
        <v>134</v>
      </c>
      <c r="B136" s="36" t="s">
        <v>8870</v>
      </c>
      <c r="C136" s="26" t="s">
        <v>19</v>
      </c>
      <c r="D136" s="26" t="s">
        <v>19</v>
      </c>
      <c r="E136" s="26" t="s">
        <v>19</v>
      </c>
      <c r="F136" s="151" t="s">
        <v>8008</v>
      </c>
      <c r="G136" s="54" t="s">
        <v>8897</v>
      </c>
      <c r="H136" s="26" t="s">
        <v>448</v>
      </c>
      <c r="I136" s="26" t="s">
        <v>448</v>
      </c>
      <c r="J136" s="26" t="s">
        <v>448</v>
      </c>
      <c r="K136" s="1321" t="s">
        <v>2135</v>
      </c>
      <c r="L136" s="1321" t="s">
        <v>2533</v>
      </c>
      <c r="M136" s="44" t="s">
        <v>3644</v>
      </c>
      <c r="N136" s="71" t="s">
        <v>3633</v>
      </c>
      <c r="O136" s="1321" t="s">
        <v>1826</v>
      </c>
      <c r="P136" s="1321" t="s">
        <v>111</v>
      </c>
      <c r="Q136" s="22" t="s">
        <v>454</v>
      </c>
      <c r="R136" s="151" t="s">
        <v>1819</v>
      </c>
      <c r="S136" s="1321" t="s">
        <v>111</v>
      </c>
      <c r="T136" s="1320" t="s">
        <v>5487</v>
      </c>
      <c r="U136" s="1320" t="s">
        <v>5487</v>
      </c>
      <c r="V136" s="24" t="s">
        <v>8849</v>
      </c>
      <c r="W136" s="90" t="s">
        <v>8891</v>
      </c>
      <c r="X136" s="24" t="s">
        <v>2359</v>
      </c>
      <c r="Y136" s="24">
        <v>1</v>
      </c>
      <c r="Z136" s="24" t="s">
        <v>8892</v>
      </c>
      <c r="AA136" s="24" t="s">
        <v>8893</v>
      </c>
      <c r="AB136" s="30"/>
      <c r="AC136" s="30">
        <v>7</v>
      </c>
      <c r="AD136" s="30">
        <v>7</v>
      </c>
      <c r="AE136" s="59"/>
      <c r="AF136" s="59"/>
      <c r="AG136" s="35" t="s">
        <v>1104</v>
      </c>
      <c r="AH136" s="202" t="s">
        <v>19</v>
      </c>
      <c r="AI136" s="35" t="s">
        <v>1880</v>
      </c>
      <c r="AJ136" s="1311"/>
    </row>
    <row r="137" spans="1:36" s="11" customFormat="1" ht="26.25" customHeight="1" x14ac:dyDescent="0.15">
      <c r="A137" s="8">
        <f t="shared" si="0"/>
        <v>135</v>
      </c>
      <c r="B137" s="36" t="s">
        <v>8871</v>
      </c>
      <c r="C137" s="26" t="s">
        <v>19</v>
      </c>
      <c r="D137" s="26" t="s">
        <v>19</v>
      </c>
      <c r="E137" s="26" t="s">
        <v>19</v>
      </c>
      <c r="F137" s="151" t="s">
        <v>8007</v>
      </c>
      <c r="G137" s="54" t="s">
        <v>8898</v>
      </c>
      <c r="H137" s="26" t="s">
        <v>448</v>
      </c>
      <c r="I137" s="26" t="s">
        <v>448</v>
      </c>
      <c r="J137" s="26" t="s">
        <v>448</v>
      </c>
      <c r="K137" s="1321" t="s">
        <v>2135</v>
      </c>
      <c r="L137" s="1321" t="s">
        <v>2533</v>
      </c>
      <c r="M137" s="21" t="s">
        <v>3630</v>
      </c>
      <c r="N137" s="2" t="s">
        <v>1018</v>
      </c>
      <c r="O137" s="1321" t="s">
        <v>2142</v>
      </c>
      <c r="P137" s="1321" t="s">
        <v>111</v>
      </c>
      <c r="Q137" s="22" t="s">
        <v>575</v>
      </c>
      <c r="R137" s="151" t="s">
        <v>1819</v>
      </c>
      <c r="S137" s="1321" t="s">
        <v>111</v>
      </c>
      <c r="T137" s="1320" t="s">
        <v>5487</v>
      </c>
      <c r="U137" s="1320" t="s">
        <v>5487</v>
      </c>
      <c r="V137" s="24" t="s">
        <v>8849</v>
      </c>
      <c r="W137" s="90" t="s">
        <v>8891</v>
      </c>
      <c r="X137" s="24" t="s">
        <v>2359</v>
      </c>
      <c r="Y137" s="24">
        <v>1</v>
      </c>
      <c r="Z137" s="24" t="s">
        <v>8892</v>
      </c>
      <c r="AA137" s="24" t="s">
        <v>8893</v>
      </c>
      <c r="AB137" s="30"/>
      <c r="AC137" s="30">
        <v>7</v>
      </c>
      <c r="AD137" s="30">
        <v>7</v>
      </c>
      <c r="AE137" s="59"/>
      <c r="AF137" s="59"/>
      <c r="AG137" s="35" t="s">
        <v>1104</v>
      </c>
      <c r="AH137" s="202" t="s">
        <v>19</v>
      </c>
      <c r="AI137" s="35" t="s">
        <v>1880</v>
      </c>
      <c r="AJ137" s="1311"/>
    </row>
    <row r="138" spans="1:36" s="11" customFormat="1" ht="26.25" customHeight="1" x14ac:dyDescent="0.15">
      <c r="A138" s="8">
        <f t="shared" si="0"/>
        <v>136</v>
      </c>
      <c r="B138" s="36" t="s">
        <v>8872</v>
      </c>
      <c r="C138" s="26" t="s">
        <v>19</v>
      </c>
      <c r="D138" s="26" t="s">
        <v>19</v>
      </c>
      <c r="E138" s="26" t="s">
        <v>19</v>
      </c>
      <c r="F138" s="151" t="s">
        <v>8899</v>
      </c>
      <c r="G138" s="54" t="s">
        <v>8900</v>
      </c>
      <c r="H138" s="26" t="s">
        <v>448</v>
      </c>
      <c r="I138" s="26" t="s">
        <v>448</v>
      </c>
      <c r="J138" s="26" t="s">
        <v>448</v>
      </c>
      <c r="K138" s="1321" t="s">
        <v>2135</v>
      </c>
      <c r="L138" s="1321" t="s">
        <v>2533</v>
      </c>
      <c r="M138" s="21" t="s">
        <v>3629</v>
      </c>
      <c r="N138" s="71" t="s">
        <v>3645</v>
      </c>
      <c r="O138" s="1321" t="s">
        <v>2142</v>
      </c>
      <c r="P138" s="1321" t="s">
        <v>111</v>
      </c>
      <c r="Q138" s="22" t="s">
        <v>575</v>
      </c>
      <c r="R138" s="151" t="s">
        <v>1819</v>
      </c>
      <c r="S138" s="1321" t="s">
        <v>111</v>
      </c>
      <c r="T138" s="1320" t="s">
        <v>5487</v>
      </c>
      <c r="U138" s="1320" t="s">
        <v>5487</v>
      </c>
      <c r="V138" s="24" t="s">
        <v>8849</v>
      </c>
      <c r="W138" s="90" t="s">
        <v>8891</v>
      </c>
      <c r="X138" s="24" t="s">
        <v>2359</v>
      </c>
      <c r="Y138" s="24">
        <v>1</v>
      </c>
      <c r="Z138" s="24" t="s">
        <v>8892</v>
      </c>
      <c r="AA138" s="24" t="s">
        <v>8893</v>
      </c>
      <c r="AB138" s="30"/>
      <c r="AC138" s="30">
        <v>7</v>
      </c>
      <c r="AD138" s="30">
        <v>7</v>
      </c>
      <c r="AE138" s="59"/>
      <c r="AF138" s="59"/>
      <c r="AG138" s="35" t="s">
        <v>1104</v>
      </c>
      <c r="AH138" s="202" t="s">
        <v>19</v>
      </c>
      <c r="AI138" s="35" t="s">
        <v>1880</v>
      </c>
      <c r="AJ138" s="1311"/>
    </row>
    <row r="139" spans="1:36" s="11" customFormat="1" ht="26.25" customHeight="1" x14ac:dyDescent="0.15">
      <c r="A139" s="8">
        <f t="shared" si="0"/>
        <v>137</v>
      </c>
      <c r="B139" s="36" t="s">
        <v>8873</v>
      </c>
      <c r="C139" s="26" t="s">
        <v>19</v>
      </c>
      <c r="D139" s="26" t="s">
        <v>19</v>
      </c>
      <c r="E139" s="26" t="s">
        <v>19</v>
      </c>
      <c r="F139" s="54" t="s">
        <v>8010</v>
      </c>
      <c r="G139" s="54" t="s">
        <v>8901</v>
      </c>
      <c r="H139" s="26" t="s">
        <v>448</v>
      </c>
      <c r="I139" s="26" t="s">
        <v>448</v>
      </c>
      <c r="J139" s="26" t="s">
        <v>448</v>
      </c>
      <c r="K139" s="1321" t="s">
        <v>2135</v>
      </c>
      <c r="L139" s="1321" t="s">
        <v>2533</v>
      </c>
      <c r="M139" s="21" t="s">
        <v>6631</v>
      </c>
      <c r="N139" s="71" t="s">
        <v>7888</v>
      </c>
      <c r="O139" s="1321" t="s">
        <v>1826</v>
      </c>
      <c r="P139" s="1321" t="s">
        <v>111</v>
      </c>
      <c r="Q139" s="22" t="s">
        <v>454</v>
      </c>
      <c r="R139" s="151" t="s">
        <v>1819</v>
      </c>
      <c r="S139" s="1321" t="s">
        <v>111</v>
      </c>
      <c r="T139" s="1320" t="s">
        <v>5487</v>
      </c>
      <c r="U139" s="1320" t="s">
        <v>5487</v>
      </c>
      <c r="V139" s="24" t="s">
        <v>8849</v>
      </c>
      <c r="W139" s="90" t="s">
        <v>8891</v>
      </c>
      <c r="X139" s="24" t="s">
        <v>2359</v>
      </c>
      <c r="Y139" s="24">
        <v>1</v>
      </c>
      <c r="Z139" s="24" t="s">
        <v>8892</v>
      </c>
      <c r="AA139" s="24" t="s">
        <v>8893</v>
      </c>
      <c r="AB139" s="30"/>
      <c r="AC139" s="30">
        <v>7</v>
      </c>
      <c r="AD139" s="30">
        <v>7</v>
      </c>
      <c r="AE139" s="59"/>
      <c r="AF139" s="59"/>
      <c r="AG139" s="35" t="s">
        <v>1104</v>
      </c>
      <c r="AH139" s="202" t="s">
        <v>19</v>
      </c>
      <c r="AI139" s="35" t="s">
        <v>1880</v>
      </c>
      <c r="AJ139" s="1311"/>
    </row>
    <row r="140" spans="1:36" s="11" customFormat="1" ht="26.25" customHeight="1" x14ac:dyDescent="0.15">
      <c r="A140" s="8">
        <f t="shared" si="0"/>
        <v>138</v>
      </c>
      <c r="B140" s="36" t="s">
        <v>8874</v>
      </c>
      <c r="C140" s="26" t="s">
        <v>19</v>
      </c>
      <c r="D140" s="26" t="s">
        <v>19</v>
      </c>
      <c r="E140" s="26" t="s">
        <v>19</v>
      </c>
      <c r="F140" s="54" t="s">
        <v>8010</v>
      </c>
      <c r="G140" s="54" t="s">
        <v>8902</v>
      </c>
      <c r="H140" s="26" t="s">
        <v>448</v>
      </c>
      <c r="I140" s="26" t="s">
        <v>448</v>
      </c>
      <c r="J140" s="26" t="s">
        <v>448</v>
      </c>
      <c r="K140" s="1321" t="s">
        <v>2135</v>
      </c>
      <c r="L140" s="1321" t="s">
        <v>2533</v>
      </c>
      <c r="M140" s="21" t="s">
        <v>5900</v>
      </c>
      <c r="N140" s="1321" t="s">
        <v>4780</v>
      </c>
      <c r="O140" s="1321" t="s">
        <v>1826</v>
      </c>
      <c r="P140" s="1321" t="s">
        <v>111</v>
      </c>
      <c r="Q140" s="22" t="s">
        <v>454</v>
      </c>
      <c r="R140" s="151" t="s">
        <v>1819</v>
      </c>
      <c r="S140" s="1321" t="s">
        <v>111</v>
      </c>
      <c r="T140" s="1320" t="s">
        <v>5487</v>
      </c>
      <c r="U140" s="1320" t="s">
        <v>5487</v>
      </c>
      <c r="V140" s="24" t="s">
        <v>8849</v>
      </c>
      <c r="W140" s="90" t="s">
        <v>8891</v>
      </c>
      <c r="X140" s="24" t="s">
        <v>2359</v>
      </c>
      <c r="Y140" s="24">
        <v>1</v>
      </c>
      <c r="Z140" s="24" t="s">
        <v>8892</v>
      </c>
      <c r="AA140" s="24" t="s">
        <v>8893</v>
      </c>
      <c r="AB140" s="30"/>
      <c r="AC140" s="30">
        <v>7</v>
      </c>
      <c r="AD140" s="30">
        <v>7</v>
      </c>
      <c r="AE140" s="59"/>
      <c r="AF140" s="59"/>
      <c r="AG140" s="35" t="s">
        <v>1104</v>
      </c>
      <c r="AH140" s="202" t="s">
        <v>19</v>
      </c>
      <c r="AI140" s="35" t="s">
        <v>1880</v>
      </c>
      <c r="AJ140" s="1303"/>
    </row>
    <row r="141" spans="1:36" s="11" customFormat="1" ht="26.25" customHeight="1" x14ac:dyDescent="0.15">
      <c r="A141" s="8">
        <f t="shared" si="0"/>
        <v>139</v>
      </c>
      <c r="B141" s="36" t="s">
        <v>8875</v>
      </c>
      <c r="C141" s="26" t="s">
        <v>19</v>
      </c>
      <c r="D141" s="26" t="s">
        <v>19</v>
      </c>
      <c r="E141" s="26" t="s">
        <v>19</v>
      </c>
      <c r="F141" s="54" t="s">
        <v>8010</v>
      </c>
      <c r="G141" s="54" t="s">
        <v>8903</v>
      </c>
      <c r="H141" s="26" t="s">
        <v>448</v>
      </c>
      <c r="I141" s="26" t="s">
        <v>448</v>
      </c>
      <c r="J141" s="26" t="s">
        <v>448</v>
      </c>
      <c r="K141" s="1321" t="s">
        <v>2135</v>
      </c>
      <c r="L141" s="1321" t="s">
        <v>2533</v>
      </c>
      <c r="M141" s="1321" t="s">
        <v>4587</v>
      </c>
      <c r="N141" s="1321" t="s">
        <v>4780</v>
      </c>
      <c r="O141" s="1321" t="s">
        <v>1826</v>
      </c>
      <c r="P141" s="1321" t="s">
        <v>111</v>
      </c>
      <c r="Q141" s="22" t="s">
        <v>454</v>
      </c>
      <c r="R141" s="151" t="s">
        <v>1819</v>
      </c>
      <c r="S141" s="1321" t="s">
        <v>111</v>
      </c>
      <c r="T141" s="1320" t="s">
        <v>5487</v>
      </c>
      <c r="U141" s="1320" t="s">
        <v>5487</v>
      </c>
      <c r="V141" s="24" t="s">
        <v>8849</v>
      </c>
      <c r="W141" s="90" t="s">
        <v>8891</v>
      </c>
      <c r="X141" s="24" t="s">
        <v>2359</v>
      </c>
      <c r="Y141" s="24">
        <v>1</v>
      </c>
      <c r="Z141" s="24" t="s">
        <v>8892</v>
      </c>
      <c r="AA141" s="24" t="s">
        <v>8893</v>
      </c>
      <c r="AB141" s="30"/>
      <c r="AC141" s="30">
        <v>7</v>
      </c>
      <c r="AD141" s="30">
        <v>7</v>
      </c>
      <c r="AE141" s="59"/>
      <c r="AF141" s="59"/>
      <c r="AG141" s="35" t="s">
        <v>1104</v>
      </c>
      <c r="AH141" s="202" t="s">
        <v>19</v>
      </c>
      <c r="AI141" s="35" t="s">
        <v>1880</v>
      </c>
      <c r="AJ141" s="1303"/>
    </row>
    <row r="142" spans="1:36" s="11" customFormat="1" ht="26.25" customHeight="1" x14ac:dyDescent="0.15">
      <c r="A142" s="8">
        <f t="shared" si="0"/>
        <v>140</v>
      </c>
      <c r="B142" s="36" t="s">
        <v>8876</v>
      </c>
      <c r="C142" s="26" t="s">
        <v>19</v>
      </c>
      <c r="D142" s="26" t="s">
        <v>19</v>
      </c>
      <c r="E142" s="26" t="s">
        <v>19</v>
      </c>
      <c r="F142" s="151" t="s">
        <v>8007</v>
      </c>
      <c r="G142" s="54" t="s">
        <v>8904</v>
      </c>
      <c r="H142" s="26" t="s">
        <v>448</v>
      </c>
      <c r="I142" s="26" t="s">
        <v>448</v>
      </c>
      <c r="J142" s="26" t="s">
        <v>448</v>
      </c>
      <c r="K142" s="1321" t="s">
        <v>2135</v>
      </c>
      <c r="L142" s="1321" t="s">
        <v>2533</v>
      </c>
      <c r="M142" s="21" t="s">
        <v>3631</v>
      </c>
      <c r="N142" s="1321" t="s">
        <v>3632</v>
      </c>
      <c r="O142" s="1321" t="s">
        <v>2142</v>
      </c>
      <c r="P142" s="1321" t="s">
        <v>111</v>
      </c>
      <c r="Q142" s="22" t="s">
        <v>575</v>
      </c>
      <c r="R142" s="151" t="s">
        <v>1819</v>
      </c>
      <c r="S142" s="1321" t="s">
        <v>111</v>
      </c>
      <c r="T142" s="1320" t="s">
        <v>5487</v>
      </c>
      <c r="U142" s="1320" t="s">
        <v>5487</v>
      </c>
      <c r="V142" s="24" t="s">
        <v>8849</v>
      </c>
      <c r="W142" s="90" t="s">
        <v>8891</v>
      </c>
      <c r="X142" s="24" t="s">
        <v>2359</v>
      </c>
      <c r="Y142" s="24">
        <v>1</v>
      </c>
      <c r="Z142" s="24" t="s">
        <v>8892</v>
      </c>
      <c r="AA142" s="24" t="s">
        <v>8893</v>
      </c>
      <c r="AB142" s="30"/>
      <c r="AC142" s="30">
        <v>7</v>
      </c>
      <c r="AD142" s="30">
        <v>7</v>
      </c>
      <c r="AE142" s="59"/>
      <c r="AF142" s="59"/>
      <c r="AG142" s="35" t="s">
        <v>1104</v>
      </c>
      <c r="AH142" s="202" t="s">
        <v>19</v>
      </c>
      <c r="AI142" s="35" t="s">
        <v>1880</v>
      </c>
      <c r="AJ142" s="1303"/>
    </row>
    <row r="143" spans="1:36" s="11" customFormat="1" ht="26.25" customHeight="1" x14ac:dyDescent="0.15">
      <c r="A143" s="8">
        <f t="shared" si="0"/>
        <v>141</v>
      </c>
      <c r="B143" s="36" t="s">
        <v>8877</v>
      </c>
      <c r="C143" s="26" t="s">
        <v>19</v>
      </c>
      <c r="D143" s="26" t="s">
        <v>19</v>
      </c>
      <c r="E143" s="26" t="s">
        <v>19</v>
      </c>
      <c r="F143" s="29" t="s">
        <v>8878</v>
      </c>
      <c r="G143" s="53" t="s">
        <v>8879</v>
      </c>
      <c r="H143" s="26" t="s">
        <v>19</v>
      </c>
      <c r="I143" s="26" t="s">
        <v>19</v>
      </c>
      <c r="J143" s="26" t="s">
        <v>19</v>
      </c>
      <c r="K143" s="1312" t="s">
        <v>3649</v>
      </c>
      <c r="L143" s="1312" t="s">
        <v>7742</v>
      </c>
      <c r="M143" s="1312" t="s">
        <v>7743</v>
      </c>
      <c r="N143" s="22" t="s">
        <v>7744</v>
      </c>
      <c r="O143" s="22" t="s">
        <v>5431</v>
      </c>
      <c r="P143" s="1314" t="s">
        <v>111</v>
      </c>
      <c r="Q143" s="1311" t="s">
        <v>1131</v>
      </c>
      <c r="R143" s="54" t="s">
        <v>5500</v>
      </c>
      <c r="S143" s="22" t="s">
        <v>1880</v>
      </c>
      <c r="T143" s="1313" t="s">
        <v>5487</v>
      </c>
      <c r="U143" s="1313" t="s">
        <v>5487</v>
      </c>
      <c r="V143" s="24" t="s">
        <v>8880</v>
      </c>
      <c r="W143" s="90" t="s">
        <v>8831</v>
      </c>
      <c r="X143" s="24" t="s">
        <v>2359</v>
      </c>
      <c r="Y143" s="24">
        <v>1</v>
      </c>
      <c r="Z143" s="24" t="s">
        <v>448</v>
      </c>
      <c r="AA143" s="24" t="s">
        <v>448</v>
      </c>
      <c r="AB143" s="30">
        <v>2.5499999999999998</v>
      </c>
      <c r="AC143" s="30"/>
      <c r="AD143" s="30">
        <v>2.5499999999999998</v>
      </c>
      <c r="AE143" s="59"/>
      <c r="AF143" s="59"/>
      <c r="AG143" s="35" t="s">
        <v>1104</v>
      </c>
      <c r="AH143" s="202" t="s">
        <v>19</v>
      </c>
      <c r="AI143" s="35" t="s">
        <v>1880</v>
      </c>
      <c r="AJ143" s="1311"/>
    </row>
    <row r="144" spans="1:36" s="11" customFormat="1" ht="26.25" customHeight="1" x14ac:dyDescent="0.15">
      <c r="A144" s="8">
        <f t="shared" si="0"/>
        <v>142</v>
      </c>
      <c r="B144" s="36" t="s">
        <v>8883</v>
      </c>
      <c r="C144" s="26" t="s">
        <v>19</v>
      </c>
      <c r="D144" s="26" t="s">
        <v>9262</v>
      </c>
      <c r="E144" s="26" t="s">
        <v>19</v>
      </c>
      <c r="F144" s="29" t="s">
        <v>7546</v>
      </c>
      <c r="G144" s="53" t="s">
        <v>8881</v>
      </c>
      <c r="H144" s="26" t="s">
        <v>19</v>
      </c>
      <c r="I144" s="26" t="s">
        <v>19</v>
      </c>
      <c r="J144" s="26" t="s">
        <v>19</v>
      </c>
      <c r="K144" s="1310" t="s">
        <v>4208</v>
      </c>
      <c r="L144" s="1310" t="s">
        <v>8888</v>
      </c>
      <c r="M144" s="1315" t="s">
        <v>7621</v>
      </c>
      <c r="N144" s="1315" t="s">
        <v>8882</v>
      </c>
      <c r="O144" s="22" t="s">
        <v>5431</v>
      </c>
      <c r="P144" s="1314" t="s">
        <v>111</v>
      </c>
      <c r="Q144" s="1313" t="s">
        <v>1131</v>
      </c>
      <c r="R144" s="54" t="s">
        <v>8803</v>
      </c>
      <c r="S144" s="22" t="s">
        <v>1880</v>
      </c>
      <c r="T144" s="1313" t="s">
        <v>5487</v>
      </c>
      <c r="U144" s="1313" t="s">
        <v>5487</v>
      </c>
      <c r="V144" s="24" t="s">
        <v>8880</v>
      </c>
      <c r="W144" s="90" t="s">
        <v>8854</v>
      </c>
      <c r="X144" s="24" t="s">
        <v>2359</v>
      </c>
      <c r="Y144" s="24">
        <v>1</v>
      </c>
      <c r="Z144" s="24" t="s">
        <v>448</v>
      </c>
      <c r="AA144" s="24" t="s">
        <v>448</v>
      </c>
      <c r="AB144" s="30">
        <v>4</v>
      </c>
      <c r="AC144" s="30"/>
      <c r="AD144" s="30">
        <v>4</v>
      </c>
      <c r="AE144" s="59"/>
      <c r="AF144" s="59"/>
      <c r="AG144" s="35" t="s">
        <v>1104</v>
      </c>
      <c r="AH144" s="202" t="s">
        <v>19</v>
      </c>
      <c r="AI144" s="35" t="s">
        <v>1880</v>
      </c>
      <c r="AJ144" s="1311"/>
    </row>
    <row r="145" spans="1:36" s="11" customFormat="1" ht="26.25" customHeight="1" x14ac:dyDescent="0.15">
      <c r="A145" s="8">
        <f t="shared" si="0"/>
        <v>143</v>
      </c>
      <c r="B145" s="36" t="s">
        <v>8886</v>
      </c>
      <c r="C145" s="26" t="s">
        <v>19</v>
      </c>
      <c r="D145" s="26" t="s">
        <v>19</v>
      </c>
      <c r="E145" s="26" t="s">
        <v>19</v>
      </c>
      <c r="F145" s="29" t="s">
        <v>6618</v>
      </c>
      <c r="G145" s="53" t="s">
        <v>6624</v>
      </c>
      <c r="H145" s="26" t="s">
        <v>19</v>
      </c>
      <c r="I145" s="26" t="s">
        <v>19</v>
      </c>
      <c r="J145" s="26" t="s">
        <v>19</v>
      </c>
      <c r="K145" s="1316" t="s">
        <v>2135</v>
      </c>
      <c r="L145" s="1316" t="s">
        <v>2327</v>
      </c>
      <c r="M145" s="1317" t="s">
        <v>6619</v>
      </c>
      <c r="N145" s="22" t="s">
        <v>3651</v>
      </c>
      <c r="O145" s="22" t="s">
        <v>5431</v>
      </c>
      <c r="P145" s="22" t="s">
        <v>1880</v>
      </c>
      <c r="Q145" s="1317" t="s">
        <v>1131</v>
      </c>
      <c r="R145" s="54" t="s">
        <v>1122</v>
      </c>
      <c r="S145" s="22" t="s">
        <v>1880</v>
      </c>
      <c r="T145" s="1317" t="s">
        <v>5487</v>
      </c>
      <c r="U145" s="1317" t="s">
        <v>5487</v>
      </c>
      <c r="V145" s="24" t="s">
        <v>8880</v>
      </c>
      <c r="W145" s="90" t="s">
        <v>8854</v>
      </c>
      <c r="X145" s="24" t="s">
        <v>2359</v>
      </c>
      <c r="Y145" s="24">
        <v>2</v>
      </c>
      <c r="Z145" s="24" t="s">
        <v>8884</v>
      </c>
      <c r="AA145" s="24" t="s">
        <v>8885</v>
      </c>
      <c r="AB145" s="30"/>
      <c r="AC145" s="30">
        <v>14</v>
      </c>
      <c r="AD145" s="30">
        <v>14</v>
      </c>
      <c r="AE145" s="59"/>
      <c r="AF145" s="59"/>
      <c r="AG145" s="35" t="s">
        <v>1104</v>
      </c>
      <c r="AH145" s="202" t="s">
        <v>19</v>
      </c>
      <c r="AI145" s="35" t="s">
        <v>1880</v>
      </c>
      <c r="AJ145" s="1311"/>
    </row>
    <row r="146" spans="1:36" s="11" customFormat="1" ht="26.25" customHeight="1" x14ac:dyDescent="0.15">
      <c r="A146" s="8">
        <f t="shared" si="0"/>
        <v>144</v>
      </c>
      <c r="B146" s="36" t="s">
        <v>8887</v>
      </c>
      <c r="C146" s="26" t="s">
        <v>19</v>
      </c>
      <c r="D146" s="26" t="s">
        <v>19</v>
      </c>
      <c r="E146" s="26" t="s">
        <v>19</v>
      </c>
      <c r="F146" s="29" t="s">
        <v>5656</v>
      </c>
      <c r="G146" s="53" t="s">
        <v>6563</v>
      </c>
      <c r="H146" s="26" t="s">
        <v>19</v>
      </c>
      <c r="I146" s="26" t="s">
        <v>19</v>
      </c>
      <c r="J146" s="26" t="s">
        <v>19</v>
      </c>
      <c r="K146" s="1322" t="s">
        <v>4691</v>
      </c>
      <c r="L146" s="1322" t="s">
        <v>4728</v>
      </c>
      <c r="M146" s="1322" t="s">
        <v>5658</v>
      </c>
      <c r="N146" s="22" t="s">
        <v>5659</v>
      </c>
      <c r="O146" s="22" t="s">
        <v>5431</v>
      </c>
      <c r="P146" s="1324" t="s">
        <v>1880</v>
      </c>
      <c r="Q146" s="1323" t="s">
        <v>25</v>
      </c>
      <c r="R146" s="151" t="s">
        <v>7451</v>
      </c>
      <c r="S146" s="22" t="s">
        <v>1880</v>
      </c>
      <c r="T146" s="1323" t="s">
        <v>1894</v>
      </c>
      <c r="U146" s="1323" t="s">
        <v>1894</v>
      </c>
      <c r="V146" s="24" t="s">
        <v>8880</v>
      </c>
      <c r="W146" s="90" t="s">
        <v>8854</v>
      </c>
      <c r="X146" s="24" t="s">
        <v>2359</v>
      </c>
      <c r="Y146" s="24">
        <v>1</v>
      </c>
      <c r="Z146" s="24" t="s">
        <v>448</v>
      </c>
      <c r="AA146" s="24" t="s">
        <v>448</v>
      </c>
      <c r="AB146" s="30">
        <v>2.8</v>
      </c>
      <c r="AC146" s="30"/>
      <c r="AD146" s="30">
        <v>2.8</v>
      </c>
      <c r="AE146" s="59"/>
      <c r="AF146" s="59"/>
      <c r="AG146" s="35" t="s">
        <v>1104</v>
      </c>
      <c r="AH146" s="202" t="s">
        <v>19</v>
      </c>
      <c r="AI146" s="35" t="s">
        <v>1880</v>
      </c>
      <c r="AJ146" s="1318"/>
    </row>
    <row r="147" spans="1:36" s="11" customFormat="1" ht="26.25" customHeight="1" x14ac:dyDescent="0.15">
      <c r="A147" s="8">
        <f t="shared" si="0"/>
        <v>145</v>
      </c>
      <c r="B147" s="36" t="s">
        <v>8905</v>
      </c>
      <c r="C147" s="26" t="s">
        <v>19</v>
      </c>
      <c r="D147" s="26" t="s">
        <v>19</v>
      </c>
      <c r="E147" s="26" t="s">
        <v>19</v>
      </c>
      <c r="F147" s="29" t="s">
        <v>1792</v>
      </c>
      <c r="G147" s="53" t="s">
        <v>8907</v>
      </c>
      <c r="H147" s="26" t="s">
        <v>19</v>
      </c>
      <c r="I147" s="26" t="s">
        <v>19</v>
      </c>
      <c r="J147" s="26" t="s">
        <v>19</v>
      </c>
      <c r="K147" s="1322" t="s">
        <v>4691</v>
      </c>
      <c r="L147" s="1323" t="s">
        <v>4728</v>
      </c>
      <c r="M147" s="1322" t="s">
        <v>5784</v>
      </c>
      <c r="N147" s="22" t="s">
        <v>1795</v>
      </c>
      <c r="O147" s="22" t="s">
        <v>5431</v>
      </c>
      <c r="P147" s="1324" t="s">
        <v>1880</v>
      </c>
      <c r="Q147" s="1323" t="s">
        <v>25</v>
      </c>
      <c r="R147" s="151" t="s">
        <v>7451</v>
      </c>
      <c r="S147" s="22" t="s">
        <v>1880</v>
      </c>
      <c r="T147" s="1319" t="s">
        <v>1894</v>
      </c>
      <c r="U147" s="1319" t="s">
        <v>1894</v>
      </c>
      <c r="V147" s="24" t="s">
        <v>8880</v>
      </c>
      <c r="W147" s="90" t="s">
        <v>8854</v>
      </c>
      <c r="X147" s="24" t="s">
        <v>2359</v>
      </c>
      <c r="Y147" s="24">
        <v>1</v>
      </c>
      <c r="Z147" s="24" t="s">
        <v>448</v>
      </c>
      <c r="AA147" s="24" t="s">
        <v>448</v>
      </c>
      <c r="AB147" s="30">
        <v>2.8</v>
      </c>
      <c r="AC147" s="30"/>
      <c r="AD147" s="30">
        <v>2.8</v>
      </c>
      <c r="AE147" s="59"/>
      <c r="AF147" s="59"/>
      <c r="AG147" s="35" t="s">
        <v>1104</v>
      </c>
      <c r="AH147" s="202" t="s">
        <v>19</v>
      </c>
      <c r="AI147" s="35" t="s">
        <v>1880</v>
      </c>
      <c r="AJ147" s="1318"/>
    </row>
    <row r="148" spans="1:36" s="11" customFormat="1" ht="26.25" customHeight="1" x14ac:dyDescent="0.15">
      <c r="A148" s="8">
        <f t="shared" si="0"/>
        <v>146</v>
      </c>
      <c r="B148" s="36" t="s">
        <v>8906</v>
      </c>
      <c r="C148" s="26" t="s">
        <v>19</v>
      </c>
      <c r="D148" s="26" t="s">
        <v>19</v>
      </c>
      <c r="E148" s="36" t="s">
        <v>9207</v>
      </c>
      <c r="F148" s="29" t="s">
        <v>1792</v>
      </c>
      <c r="G148" s="53" t="s">
        <v>8907</v>
      </c>
      <c r="H148" s="26" t="s">
        <v>19</v>
      </c>
      <c r="I148" s="26" t="s">
        <v>19</v>
      </c>
      <c r="J148" s="26" t="s">
        <v>19</v>
      </c>
      <c r="K148" s="1322" t="s">
        <v>4691</v>
      </c>
      <c r="L148" s="1323" t="s">
        <v>4728</v>
      </c>
      <c r="M148" s="1322" t="s">
        <v>5784</v>
      </c>
      <c r="N148" s="22" t="s">
        <v>1795</v>
      </c>
      <c r="O148" s="22" t="s">
        <v>5431</v>
      </c>
      <c r="P148" s="1324" t="s">
        <v>1880</v>
      </c>
      <c r="Q148" s="1311" t="s">
        <v>445</v>
      </c>
      <c r="R148" s="54" t="s">
        <v>4753</v>
      </c>
      <c r="S148" s="22" t="s">
        <v>1880</v>
      </c>
      <c r="T148" s="1323" t="s">
        <v>1894</v>
      </c>
      <c r="U148" s="1323" t="s">
        <v>1894</v>
      </c>
      <c r="V148" s="24" t="s">
        <v>8880</v>
      </c>
      <c r="W148" s="90" t="s">
        <v>8854</v>
      </c>
      <c r="X148" s="24" t="s">
        <v>2359</v>
      </c>
      <c r="Y148" s="24">
        <v>1</v>
      </c>
      <c r="Z148" s="24" t="s">
        <v>448</v>
      </c>
      <c r="AA148" s="24" t="s">
        <v>448</v>
      </c>
      <c r="AB148" s="30">
        <v>3.5032000000000001</v>
      </c>
      <c r="AC148" s="30"/>
      <c r="AD148" s="30">
        <v>3.5032000000000001</v>
      </c>
      <c r="AE148" s="59"/>
      <c r="AF148" s="59"/>
      <c r="AG148" s="35" t="s">
        <v>1104</v>
      </c>
      <c r="AH148" s="202" t="s">
        <v>19</v>
      </c>
      <c r="AI148" s="35" t="s">
        <v>1880</v>
      </c>
      <c r="AJ148" s="1311"/>
    </row>
    <row r="149" spans="1:36" s="11" customFormat="1" ht="26.25" customHeight="1" x14ac:dyDescent="0.15">
      <c r="A149" s="8">
        <f t="shared" si="0"/>
        <v>147</v>
      </c>
      <c r="B149" s="36" t="s">
        <v>8908</v>
      </c>
      <c r="C149" s="26" t="s">
        <v>19</v>
      </c>
      <c r="D149" s="26" t="s">
        <v>19</v>
      </c>
      <c r="E149" s="26" t="s">
        <v>19</v>
      </c>
      <c r="F149" s="29" t="s">
        <v>3082</v>
      </c>
      <c r="G149" s="53" t="s">
        <v>8916</v>
      </c>
      <c r="H149" s="26" t="s">
        <v>448</v>
      </c>
      <c r="I149" s="26" t="s">
        <v>448</v>
      </c>
      <c r="J149" s="26" t="s">
        <v>448</v>
      </c>
      <c r="K149" s="1325" t="s">
        <v>4195</v>
      </c>
      <c r="L149" s="1325" t="s">
        <v>2007</v>
      </c>
      <c r="M149" s="1325" t="s">
        <v>5633</v>
      </c>
      <c r="N149" s="22" t="s">
        <v>4780</v>
      </c>
      <c r="O149" s="22" t="s">
        <v>5431</v>
      </c>
      <c r="P149" s="1327" t="s">
        <v>111</v>
      </c>
      <c r="Q149" s="1326" t="s">
        <v>1131</v>
      </c>
      <c r="R149" s="54" t="s">
        <v>8917</v>
      </c>
      <c r="S149" s="22" t="s">
        <v>1880</v>
      </c>
      <c r="T149" s="1326" t="s">
        <v>1894</v>
      </c>
      <c r="U149" s="1326" t="s">
        <v>1894</v>
      </c>
      <c r="V149" s="24" t="s">
        <v>8918</v>
      </c>
      <c r="W149" s="90" t="s">
        <v>8919</v>
      </c>
      <c r="X149" s="24" t="s">
        <v>2359</v>
      </c>
      <c r="Y149" s="24">
        <v>2</v>
      </c>
      <c r="Z149" s="24" t="s">
        <v>448</v>
      </c>
      <c r="AA149" s="24" t="s">
        <v>448</v>
      </c>
      <c r="AB149" s="30">
        <v>19.278500000000001</v>
      </c>
      <c r="AC149" s="30"/>
      <c r="AD149" s="30">
        <v>19.278500000000001</v>
      </c>
      <c r="AE149" s="59"/>
      <c r="AF149" s="59"/>
      <c r="AG149" s="35" t="s">
        <v>1104</v>
      </c>
      <c r="AH149" s="202" t="s">
        <v>19</v>
      </c>
      <c r="AI149" s="35" t="s">
        <v>1880</v>
      </c>
      <c r="AJ149" s="1326"/>
    </row>
    <row r="150" spans="1:36" s="11" customFormat="1" ht="26.25" customHeight="1" x14ac:dyDescent="0.15">
      <c r="A150" s="8">
        <f t="shared" si="0"/>
        <v>148</v>
      </c>
      <c r="B150" s="36" t="s">
        <v>8909</v>
      </c>
      <c r="C150" s="26" t="s">
        <v>19</v>
      </c>
      <c r="D150" s="26" t="s">
        <v>19</v>
      </c>
      <c r="E150" s="26" t="s">
        <v>19</v>
      </c>
      <c r="F150" s="53" t="s">
        <v>7047</v>
      </c>
      <c r="G150" s="29" t="s">
        <v>8921</v>
      </c>
      <c r="H150" s="26" t="s">
        <v>448</v>
      </c>
      <c r="I150" s="26" t="s">
        <v>448</v>
      </c>
      <c r="J150" s="26" t="s">
        <v>448</v>
      </c>
      <c r="K150" s="1325" t="s">
        <v>3649</v>
      </c>
      <c r="L150" s="1325" t="s">
        <v>4750</v>
      </c>
      <c r="M150" s="1325" t="s">
        <v>7076</v>
      </c>
      <c r="N150" s="22" t="s">
        <v>8056</v>
      </c>
      <c r="O150" s="22" t="s">
        <v>5431</v>
      </c>
      <c r="P150" s="1327" t="s">
        <v>111</v>
      </c>
      <c r="Q150" s="22" t="s">
        <v>454</v>
      </c>
      <c r="R150" s="151" t="s">
        <v>1819</v>
      </c>
      <c r="S150" s="1327" t="s">
        <v>111</v>
      </c>
      <c r="T150" s="1326" t="s">
        <v>5487</v>
      </c>
      <c r="U150" s="1326" t="s">
        <v>5487</v>
      </c>
      <c r="V150" s="24" t="s">
        <v>8918</v>
      </c>
      <c r="W150" s="90" t="s">
        <v>8826</v>
      </c>
      <c r="X150" s="24" t="s">
        <v>2359</v>
      </c>
      <c r="Y150" s="24">
        <v>1</v>
      </c>
      <c r="Z150" s="24" t="s">
        <v>8826</v>
      </c>
      <c r="AA150" s="24" t="s">
        <v>8920</v>
      </c>
      <c r="AB150" s="30"/>
      <c r="AC150" s="30">
        <v>7</v>
      </c>
      <c r="AD150" s="30">
        <v>7</v>
      </c>
      <c r="AE150" s="59"/>
      <c r="AF150" s="59"/>
      <c r="AG150" s="35" t="s">
        <v>1104</v>
      </c>
      <c r="AH150" s="202" t="s">
        <v>19</v>
      </c>
      <c r="AI150" s="35" t="s">
        <v>1880</v>
      </c>
      <c r="AJ150" s="1326"/>
    </row>
    <row r="151" spans="1:36" s="11" customFormat="1" ht="26.25" customHeight="1" x14ac:dyDescent="0.15">
      <c r="A151" s="8">
        <f t="shared" si="0"/>
        <v>149</v>
      </c>
      <c r="B151" s="36" t="s">
        <v>8910</v>
      </c>
      <c r="C151" s="26" t="s">
        <v>19</v>
      </c>
      <c r="D151" s="26" t="s">
        <v>19</v>
      </c>
      <c r="E151" s="26" t="s">
        <v>19</v>
      </c>
      <c r="F151" s="53" t="s">
        <v>8922</v>
      </c>
      <c r="G151" s="53" t="s">
        <v>8923</v>
      </c>
      <c r="H151" s="26" t="s">
        <v>448</v>
      </c>
      <c r="I151" s="26" t="s">
        <v>448</v>
      </c>
      <c r="J151" s="26" t="s">
        <v>448</v>
      </c>
      <c r="K151" s="1325" t="s">
        <v>3649</v>
      </c>
      <c r="L151" s="1325" t="s">
        <v>4750</v>
      </c>
      <c r="M151" s="1325" t="s">
        <v>7054</v>
      </c>
      <c r="N151" s="22" t="s">
        <v>4780</v>
      </c>
      <c r="O151" s="22" t="s">
        <v>5431</v>
      </c>
      <c r="P151" s="1327" t="s">
        <v>111</v>
      </c>
      <c r="Q151" s="22" t="s">
        <v>454</v>
      </c>
      <c r="R151" s="151" t="s">
        <v>1819</v>
      </c>
      <c r="S151" s="1327" t="s">
        <v>111</v>
      </c>
      <c r="T151" s="1326" t="s">
        <v>5487</v>
      </c>
      <c r="U151" s="1326" t="s">
        <v>5487</v>
      </c>
      <c r="V151" s="24" t="s">
        <v>8918</v>
      </c>
      <c r="W151" s="90" t="s">
        <v>8826</v>
      </c>
      <c r="X151" s="24" t="s">
        <v>2359</v>
      </c>
      <c r="Y151" s="24">
        <v>1</v>
      </c>
      <c r="Z151" s="24" t="s">
        <v>8826</v>
      </c>
      <c r="AA151" s="24" t="s">
        <v>8920</v>
      </c>
      <c r="AB151" s="30"/>
      <c r="AC151" s="30">
        <v>7</v>
      </c>
      <c r="AD151" s="30">
        <v>7</v>
      </c>
      <c r="AE151" s="59"/>
      <c r="AF151" s="59"/>
      <c r="AG151" s="35" t="s">
        <v>1104</v>
      </c>
      <c r="AH151" s="202" t="s">
        <v>19</v>
      </c>
      <c r="AI151" s="35" t="s">
        <v>1880</v>
      </c>
      <c r="AJ151" s="1326"/>
    </row>
    <row r="152" spans="1:36" s="11" customFormat="1" ht="26.25" customHeight="1" x14ac:dyDescent="0.15">
      <c r="A152" s="8">
        <f t="shared" si="0"/>
        <v>150</v>
      </c>
      <c r="B152" s="36" t="s">
        <v>8911</v>
      </c>
      <c r="C152" s="26" t="s">
        <v>19</v>
      </c>
      <c r="D152" s="26" t="s">
        <v>19</v>
      </c>
      <c r="E152" s="26" t="s">
        <v>19</v>
      </c>
      <c r="F152" s="29" t="s">
        <v>8031</v>
      </c>
      <c r="G152" s="53" t="s">
        <v>8924</v>
      </c>
      <c r="H152" s="26" t="s">
        <v>448</v>
      </c>
      <c r="I152" s="26" t="s">
        <v>448</v>
      </c>
      <c r="J152" s="26" t="s">
        <v>448</v>
      </c>
      <c r="K152" s="1326" t="s">
        <v>3649</v>
      </c>
      <c r="L152" s="1326" t="s">
        <v>4750</v>
      </c>
      <c r="M152" s="1326" t="s">
        <v>8033</v>
      </c>
      <c r="N152" s="22" t="s">
        <v>1138</v>
      </c>
      <c r="O152" s="1327" t="s">
        <v>1826</v>
      </c>
      <c r="P152" s="1327" t="s">
        <v>111</v>
      </c>
      <c r="Q152" s="1326" t="s">
        <v>1131</v>
      </c>
      <c r="R152" s="151" t="s">
        <v>1819</v>
      </c>
      <c r="S152" s="1327" t="s">
        <v>111</v>
      </c>
      <c r="T152" s="1326" t="s">
        <v>5487</v>
      </c>
      <c r="U152" s="1326" t="s">
        <v>5487</v>
      </c>
      <c r="V152" s="24" t="s">
        <v>8918</v>
      </c>
      <c r="W152" s="90" t="s">
        <v>8826</v>
      </c>
      <c r="X152" s="24" t="s">
        <v>2359</v>
      </c>
      <c r="Y152" s="24">
        <v>1</v>
      </c>
      <c r="Z152" s="24" t="s">
        <v>8826</v>
      </c>
      <c r="AA152" s="24" t="s">
        <v>8920</v>
      </c>
      <c r="AB152" s="30"/>
      <c r="AC152" s="30">
        <v>7</v>
      </c>
      <c r="AD152" s="30">
        <v>7</v>
      </c>
      <c r="AE152" s="59"/>
      <c r="AF152" s="59"/>
      <c r="AG152" s="35" t="s">
        <v>1104</v>
      </c>
      <c r="AH152" s="202" t="s">
        <v>19</v>
      </c>
      <c r="AI152" s="35" t="s">
        <v>1880</v>
      </c>
      <c r="AJ152" s="1326"/>
    </row>
    <row r="153" spans="1:36" s="11" customFormat="1" ht="26.25" customHeight="1" x14ac:dyDescent="0.15">
      <c r="A153" s="8">
        <f t="shared" si="0"/>
        <v>151</v>
      </c>
      <c r="B153" s="36" t="s">
        <v>8912</v>
      </c>
      <c r="C153" s="26" t="s">
        <v>19</v>
      </c>
      <c r="D153" s="26" t="s">
        <v>19</v>
      </c>
      <c r="E153" s="26" t="s">
        <v>19</v>
      </c>
      <c r="F153" s="29" t="s">
        <v>8031</v>
      </c>
      <c r="G153" s="53" t="s">
        <v>8924</v>
      </c>
      <c r="H153" s="26" t="s">
        <v>448</v>
      </c>
      <c r="I153" s="26" t="s">
        <v>448</v>
      </c>
      <c r="J153" s="26" t="s">
        <v>448</v>
      </c>
      <c r="K153" s="1326" t="s">
        <v>3649</v>
      </c>
      <c r="L153" s="1326" t="s">
        <v>4750</v>
      </c>
      <c r="M153" s="1326" t="s">
        <v>8034</v>
      </c>
      <c r="N153" s="22" t="s">
        <v>1138</v>
      </c>
      <c r="O153" s="1327" t="s">
        <v>1826</v>
      </c>
      <c r="P153" s="1327" t="s">
        <v>111</v>
      </c>
      <c r="Q153" s="1326" t="s">
        <v>1131</v>
      </c>
      <c r="R153" s="151" t="s">
        <v>1819</v>
      </c>
      <c r="S153" s="1327" t="s">
        <v>111</v>
      </c>
      <c r="T153" s="1326" t="s">
        <v>5487</v>
      </c>
      <c r="U153" s="1326" t="s">
        <v>5487</v>
      </c>
      <c r="V153" s="24" t="s">
        <v>8918</v>
      </c>
      <c r="W153" s="90" t="s">
        <v>8826</v>
      </c>
      <c r="X153" s="24" t="s">
        <v>2359</v>
      </c>
      <c r="Y153" s="24">
        <v>1</v>
      </c>
      <c r="Z153" s="24" t="s">
        <v>8826</v>
      </c>
      <c r="AA153" s="24" t="s">
        <v>8920</v>
      </c>
      <c r="AB153" s="30"/>
      <c r="AC153" s="30">
        <v>7</v>
      </c>
      <c r="AD153" s="30">
        <v>7</v>
      </c>
      <c r="AE153" s="59"/>
      <c r="AF153" s="59"/>
      <c r="AG153" s="35" t="s">
        <v>1104</v>
      </c>
      <c r="AH153" s="202" t="s">
        <v>19</v>
      </c>
      <c r="AI153" s="35" t="s">
        <v>1880</v>
      </c>
      <c r="AJ153" s="1326"/>
    </row>
    <row r="154" spans="1:36" s="11" customFormat="1" ht="26.25" customHeight="1" x14ac:dyDescent="0.15">
      <c r="A154" s="8">
        <f t="shared" si="0"/>
        <v>152</v>
      </c>
      <c r="B154" s="36" t="s">
        <v>8913</v>
      </c>
      <c r="C154" s="26" t="s">
        <v>19</v>
      </c>
      <c r="D154" s="26" t="s">
        <v>19</v>
      </c>
      <c r="E154" s="26" t="s">
        <v>19</v>
      </c>
      <c r="F154" s="29" t="s">
        <v>8031</v>
      </c>
      <c r="G154" s="53" t="s">
        <v>8924</v>
      </c>
      <c r="H154" s="26" t="s">
        <v>448</v>
      </c>
      <c r="I154" s="26" t="s">
        <v>448</v>
      </c>
      <c r="J154" s="26" t="s">
        <v>448</v>
      </c>
      <c r="K154" s="1326" t="s">
        <v>3649</v>
      </c>
      <c r="L154" s="1326" t="s">
        <v>4750</v>
      </c>
      <c r="M154" s="1326" t="s">
        <v>8040</v>
      </c>
      <c r="N154" s="22" t="s">
        <v>8053</v>
      </c>
      <c r="O154" s="22" t="s">
        <v>5431</v>
      </c>
      <c r="P154" s="1327" t="s">
        <v>111</v>
      </c>
      <c r="Q154" s="1326" t="s">
        <v>1131</v>
      </c>
      <c r="R154" s="151" t="s">
        <v>1819</v>
      </c>
      <c r="S154" s="1327" t="s">
        <v>111</v>
      </c>
      <c r="T154" s="1326" t="s">
        <v>5487</v>
      </c>
      <c r="U154" s="1326" t="s">
        <v>5487</v>
      </c>
      <c r="V154" s="24" t="s">
        <v>8918</v>
      </c>
      <c r="W154" s="90" t="s">
        <v>8826</v>
      </c>
      <c r="X154" s="24" t="s">
        <v>2359</v>
      </c>
      <c r="Y154" s="24">
        <v>1</v>
      </c>
      <c r="Z154" s="24" t="s">
        <v>8826</v>
      </c>
      <c r="AA154" s="24" t="s">
        <v>8920</v>
      </c>
      <c r="AB154" s="30"/>
      <c r="AC154" s="30">
        <v>7</v>
      </c>
      <c r="AD154" s="30">
        <v>7</v>
      </c>
      <c r="AE154" s="59"/>
      <c r="AF154" s="59"/>
      <c r="AG154" s="35" t="s">
        <v>1104</v>
      </c>
      <c r="AH154" s="202" t="s">
        <v>19</v>
      </c>
      <c r="AI154" s="35" t="s">
        <v>1880</v>
      </c>
      <c r="AJ154" s="1326"/>
    </row>
    <row r="155" spans="1:36" s="11" customFormat="1" ht="26.25" customHeight="1" x14ac:dyDescent="0.15">
      <c r="A155" s="8">
        <f t="shared" si="0"/>
        <v>153</v>
      </c>
      <c r="B155" s="36" t="s">
        <v>8914</v>
      </c>
      <c r="C155" s="26" t="s">
        <v>19</v>
      </c>
      <c r="D155" s="26" t="s">
        <v>19</v>
      </c>
      <c r="E155" s="26" t="s">
        <v>19</v>
      </c>
      <c r="F155" s="29" t="s">
        <v>8044</v>
      </c>
      <c r="G155" s="53" t="s">
        <v>8927</v>
      </c>
      <c r="H155" s="26" t="s">
        <v>448</v>
      </c>
      <c r="I155" s="26" t="s">
        <v>448</v>
      </c>
      <c r="J155" s="26" t="s">
        <v>448</v>
      </c>
      <c r="K155" s="1326" t="s">
        <v>3649</v>
      </c>
      <c r="L155" s="1326" t="s">
        <v>4750</v>
      </c>
      <c r="M155" s="1326" t="s">
        <v>8039</v>
      </c>
      <c r="N155" s="22" t="s">
        <v>8052</v>
      </c>
      <c r="O155" s="22" t="s">
        <v>5431</v>
      </c>
      <c r="P155" s="1327" t="s">
        <v>111</v>
      </c>
      <c r="Q155" s="1326" t="s">
        <v>1131</v>
      </c>
      <c r="R155" s="151" t="s">
        <v>1819</v>
      </c>
      <c r="S155" s="1327" t="s">
        <v>111</v>
      </c>
      <c r="T155" s="1326" t="s">
        <v>5487</v>
      </c>
      <c r="U155" s="1326" t="s">
        <v>5487</v>
      </c>
      <c r="V155" s="24" t="s">
        <v>8918</v>
      </c>
      <c r="W155" s="90" t="s">
        <v>8826</v>
      </c>
      <c r="X155" s="24" t="s">
        <v>2359</v>
      </c>
      <c r="Y155" s="24">
        <v>1</v>
      </c>
      <c r="Z155" s="24" t="s">
        <v>8925</v>
      </c>
      <c r="AA155" s="24" t="s">
        <v>8926</v>
      </c>
      <c r="AB155" s="30"/>
      <c r="AC155" s="30">
        <v>7</v>
      </c>
      <c r="AD155" s="30">
        <v>7</v>
      </c>
      <c r="AE155" s="59"/>
      <c r="AF155" s="59"/>
      <c r="AG155" s="35" t="s">
        <v>1104</v>
      </c>
      <c r="AH155" s="202" t="s">
        <v>19</v>
      </c>
      <c r="AI155" s="35" t="s">
        <v>1880</v>
      </c>
      <c r="AJ155" s="1326"/>
    </row>
    <row r="156" spans="1:36" s="11" customFormat="1" ht="26.25" customHeight="1" x14ac:dyDescent="0.15">
      <c r="A156" s="8">
        <f t="shared" si="0"/>
        <v>154</v>
      </c>
      <c r="B156" s="36" t="s">
        <v>8915</v>
      </c>
      <c r="C156" s="26" t="s">
        <v>19</v>
      </c>
      <c r="D156" s="26" t="s">
        <v>19</v>
      </c>
      <c r="E156" s="26" t="s">
        <v>19</v>
      </c>
      <c r="F156" s="29" t="s">
        <v>5664</v>
      </c>
      <c r="G156" s="53" t="s">
        <v>8928</v>
      </c>
      <c r="H156" s="26" t="s">
        <v>448</v>
      </c>
      <c r="I156" s="26" t="s">
        <v>448</v>
      </c>
      <c r="J156" s="26" t="s">
        <v>448</v>
      </c>
      <c r="K156" s="1325" t="s">
        <v>4691</v>
      </c>
      <c r="L156" s="1325" t="s">
        <v>4728</v>
      </c>
      <c r="M156" s="1325" t="s">
        <v>5666</v>
      </c>
      <c r="N156" s="22" t="s">
        <v>4780</v>
      </c>
      <c r="O156" s="22" t="s">
        <v>5431</v>
      </c>
      <c r="P156" s="1327" t="s">
        <v>111</v>
      </c>
      <c r="Q156" s="1326" t="s">
        <v>1131</v>
      </c>
      <c r="R156" s="151" t="s">
        <v>7451</v>
      </c>
      <c r="S156" s="1327" t="s">
        <v>111</v>
      </c>
      <c r="T156" s="1326" t="s">
        <v>1894</v>
      </c>
      <c r="U156" s="1326" t="s">
        <v>1894</v>
      </c>
      <c r="V156" s="24" t="s">
        <v>8918</v>
      </c>
      <c r="W156" s="90" t="s">
        <v>8929</v>
      </c>
      <c r="X156" s="24" t="s">
        <v>2359</v>
      </c>
      <c r="Y156" s="24">
        <v>2</v>
      </c>
      <c r="Z156" s="24" t="s">
        <v>448</v>
      </c>
      <c r="AA156" s="24" t="s">
        <v>448</v>
      </c>
      <c r="AB156" s="30">
        <v>2.8</v>
      </c>
      <c r="AC156" s="30"/>
      <c r="AD156" s="30">
        <v>2.8</v>
      </c>
      <c r="AE156" s="59"/>
      <c r="AF156" s="59"/>
      <c r="AG156" s="35" t="s">
        <v>1104</v>
      </c>
      <c r="AH156" s="202" t="s">
        <v>19</v>
      </c>
      <c r="AI156" s="35" t="s">
        <v>1880</v>
      </c>
      <c r="AJ156" s="1326"/>
    </row>
    <row r="157" spans="1:36" s="11" customFormat="1" ht="26.25" customHeight="1" x14ac:dyDescent="0.15">
      <c r="A157" s="8">
        <f t="shared" si="0"/>
        <v>155</v>
      </c>
      <c r="B157" s="36" t="s">
        <v>8947</v>
      </c>
      <c r="C157" s="26" t="s">
        <v>19</v>
      </c>
      <c r="D157" s="26" t="s">
        <v>19</v>
      </c>
      <c r="E157" s="26" t="s">
        <v>19</v>
      </c>
      <c r="F157" s="29" t="s">
        <v>6773</v>
      </c>
      <c r="G157" s="53" t="s">
        <v>8931</v>
      </c>
      <c r="H157" s="26" t="s">
        <v>448</v>
      </c>
      <c r="I157" s="26" t="s">
        <v>448</v>
      </c>
      <c r="J157" s="26" t="s">
        <v>448</v>
      </c>
      <c r="K157" s="1331" t="s">
        <v>4691</v>
      </c>
      <c r="L157" s="1331" t="s">
        <v>4728</v>
      </c>
      <c r="M157" s="1331" t="s">
        <v>8271</v>
      </c>
      <c r="N157" s="22" t="s">
        <v>4780</v>
      </c>
      <c r="O157" s="22" t="s">
        <v>5431</v>
      </c>
      <c r="P157" s="1332" t="s">
        <v>111</v>
      </c>
      <c r="Q157" s="1331" t="s">
        <v>1131</v>
      </c>
      <c r="R157" s="151" t="s">
        <v>7451</v>
      </c>
      <c r="S157" s="1332" t="s">
        <v>111</v>
      </c>
      <c r="T157" s="1328" t="s">
        <v>1894</v>
      </c>
      <c r="U157" s="1328" t="s">
        <v>1894</v>
      </c>
      <c r="V157" s="24" t="s">
        <v>8930</v>
      </c>
      <c r="W157" s="90" t="s">
        <v>8919</v>
      </c>
      <c r="X157" s="24" t="s">
        <v>2359</v>
      </c>
      <c r="Y157" s="24">
        <v>2</v>
      </c>
      <c r="Z157" s="24" t="s">
        <v>448</v>
      </c>
      <c r="AA157" s="24" t="s">
        <v>448</v>
      </c>
      <c r="AB157" s="30">
        <v>2.8</v>
      </c>
      <c r="AC157" s="30"/>
      <c r="AD157" s="30">
        <v>2.8</v>
      </c>
      <c r="AE157" s="59"/>
      <c r="AF157" s="59"/>
      <c r="AG157" s="35" t="s">
        <v>1104</v>
      </c>
      <c r="AH157" s="202" t="s">
        <v>19</v>
      </c>
      <c r="AI157" s="35" t="s">
        <v>1880</v>
      </c>
      <c r="AJ157" s="1326"/>
    </row>
    <row r="158" spans="1:36" s="11" customFormat="1" ht="26.25" customHeight="1" x14ac:dyDescent="0.15">
      <c r="A158" s="8">
        <f t="shared" si="0"/>
        <v>156</v>
      </c>
      <c r="B158" s="36" t="s">
        <v>8948</v>
      </c>
      <c r="C158" s="26" t="s">
        <v>19</v>
      </c>
      <c r="D158" s="26" t="s">
        <v>19</v>
      </c>
      <c r="E158" s="26" t="s">
        <v>19</v>
      </c>
      <c r="F158" s="29" t="s">
        <v>5870</v>
      </c>
      <c r="G158" s="53" t="s">
        <v>7226</v>
      </c>
      <c r="H158" s="26" t="s">
        <v>448</v>
      </c>
      <c r="I158" s="26" t="s">
        <v>448</v>
      </c>
      <c r="J158" s="26" t="s">
        <v>448</v>
      </c>
      <c r="K158" s="1330" t="s">
        <v>4691</v>
      </c>
      <c r="L158" s="1330" t="s">
        <v>6836</v>
      </c>
      <c r="M158" s="1330" t="s">
        <v>8952</v>
      </c>
      <c r="N158" s="1332" t="s">
        <v>4780</v>
      </c>
      <c r="O158" s="22" t="s">
        <v>5431</v>
      </c>
      <c r="P158" s="1332" t="s">
        <v>1880</v>
      </c>
      <c r="Q158" s="1331" t="s">
        <v>5730</v>
      </c>
      <c r="R158" s="54" t="s">
        <v>4753</v>
      </c>
      <c r="S158" s="1332" t="s">
        <v>111</v>
      </c>
      <c r="T158" s="1329" t="s">
        <v>5571</v>
      </c>
      <c r="U158" s="1329" t="s">
        <v>5571</v>
      </c>
      <c r="V158" s="24" t="s">
        <v>8932</v>
      </c>
      <c r="W158" s="90" t="s">
        <v>8951</v>
      </c>
      <c r="X158" s="24" t="s">
        <v>108</v>
      </c>
      <c r="Y158" s="10">
        <v>1</v>
      </c>
      <c r="Z158" s="24" t="s">
        <v>448</v>
      </c>
      <c r="AA158" s="24" t="s">
        <v>448</v>
      </c>
      <c r="AB158" s="30">
        <v>1.1000000000000001</v>
      </c>
      <c r="AC158" s="30"/>
      <c r="AD158" s="30">
        <v>1.1000000000000001</v>
      </c>
      <c r="AE158" s="59" t="s">
        <v>6457</v>
      </c>
      <c r="AF158" s="59" t="s">
        <v>6457</v>
      </c>
      <c r="AG158" s="35" t="s">
        <v>1104</v>
      </c>
      <c r="AH158" s="202" t="s">
        <v>19</v>
      </c>
      <c r="AI158" s="35" t="s">
        <v>1880</v>
      </c>
      <c r="AJ158" s="1329"/>
    </row>
    <row r="159" spans="1:36" s="11" customFormat="1" ht="26.25" customHeight="1" x14ac:dyDescent="0.15">
      <c r="A159" s="8">
        <f t="shared" si="0"/>
        <v>157</v>
      </c>
      <c r="B159" s="36" t="s">
        <v>8949</v>
      </c>
      <c r="C159" s="26" t="s">
        <v>19</v>
      </c>
      <c r="D159" s="26" t="s">
        <v>19</v>
      </c>
      <c r="E159" s="26" t="s">
        <v>19</v>
      </c>
      <c r="F159" s="29" t="s">
        <v>5870</v>
      </c>
      <c r="G159" s="53" t="s">
        <v>7226</v>
      </c>
      <c r="H159" s="26" t="s">
        <v>448</v>
      </c>
      <c r="I159" s="26" t="s">
        <v>448</v>
      </c>
      <c r="J159" s="26" t="s">
        <v>448</v>
      </c>
      <c r="K159" s="1330" t="s">
        <v>4691</v>
      </c>
      <c r="L159" s="1330" t="s">
        <v>6836</v>
      </c>
      <c r="M159" s="1330" t="s">
        <v>7227</v>
      </c>
      <c r="N159" s="1332" t="s">
        <v>4780</v>
      </c>
      <c r="O159" s="22" t="s">
        <v>5431</v>
      </c>
      <c r="P159" s="1332" t="s">
        <v>1880</v>
      </c>
      <c r="Q159" s="1331" t="s">
        <v>1131</v>
      </c>
      <c r="R159" s="54" t="s">
        <v>4753</v>
      </c>
      <c r="S159" s="1332" t="s">
        <v>111</v>
      </c>
      <c r="T159" s="1331" t="s">
        <v>5571</v>
      </c>
      <c r="U159" s="1331" t="s">
        <v>5571</v>
      </c>
      <c r="V159" s="24" t="s">
        <v>8932</v>
      </c>
      <c r="W159" s="90" t="s">
        <v>8951</v>
      </c>
      <c r="X159" s="24" t="s">
        <v>108</v>
      </c>
      <c r="Y159" s="10">
        <v>1</v>
      </c>
      <c r="Z159" s="24" t="s">
        <v>448</v>
      </c>
      <c r="AA159" s="24" t="s">
        <v>448</v>
      </c>
      <c r="AB159" s="30">
        <v>18.100000000000001</v>
      </c>
      <c r="AC159" s="30"/>
      <c r="AD159" s="30">
        <v>18.100000000000001</v>
      </c>
      <c r="AE159" s="59" t="s">
        <v>6457</v>
      </c>
      <c r="AF159" s="59" t="s">
        <v>6457</v>
      </c>
      <c r="AG159" s="35" t="s">
        <v>1104</v>
      </c>
      <c r="AH159" s="202" t="s">
        <v>19</v>
      </c>
      <c r="AI159" s="35" t="s">
        <v>1880</v>
      </c>
      <c r="AJ159" s="1331"/>
    </row>
    <row r="160" spans="1:36" s="11" customFormat="1" ht="26.25" customHeight="1" x14ac:dyDescent="0.15">
      <c r="A160" s="8">
        <f t="shared" si="0"/>
        <v>158</v>
      </c>
      <c r="B160" s="36" t="s">
        <v>8950</v>
      </c>
      <c r="C160" s="26" t="s">
        <v>19</v>
      </c>
      <c r="D160" s="26" t="s">
        <v>19</v>
      </c>
      <c r="E160" s="26" t="s">
        <v>19</v>
      </c>
      <c r="F160" s="29" t="s">
        <v>5870</v>
      </c>
      <c r="G160" s="53" t="s">
        <v>7226</v>
      </c>
      <c r="H160" s="26" t="s">
        <v>448</v>
      </c>
      <c r="I160" s="26" t="s">
        <v>448</v>
      </c>
      <c r="J160" s="26" t="s">
        <v>448</v>
      </c>
      <c r="K160" s="1330" t="s">
        <v>4691</v>
      </c>
      <c r="L160" s="1330" t="s">
        <v>6836</v>
      </c>
      <c r="M160" s="1330" t="s">
        <v>7227</v>
      </c>
      <c r="N160" s="1332" t="s">
        <v>4780</v>
      </c>
      <c r="O160" s="22" t="s">
        <v>5431</v>
      </c>
      <c r="P160" s="1332" t="s">
        <v>1880</v>
      </c>
      <c r="Q160" s="1331" t="s">
        <v>445</v>
      </c>
      <c r="R160" s="54" t="s">
        <v>4753</v>
      </c>
      <c r="S160" s="1332" t="s">
        <v>111</v>
      </c>
      <c r="T160" s="1331" t="s">
        <v>5571</v>
      </c>
      <c r="U160" s="1331" t="s">
        <v>5571</v>
      </c>
      <c r="V160" s="24" t="s">
        <v>8932</v>
      </c>
      <c r="W160" s="90" t="s">
        <v>8951</v>
      </c>
      <c r="X160" s="24" t="s">
        <v>108</v>
      </c>
      <c r="Y160" s="10">
        <v>1</v>
      </c>
      <c r="Z160" s="24" t="s">
        <v>448</v>
      </c>
      <c r="AA160" s="24" t="s">
        <v>448</v>
      </c>
      <c r="AB160" s="30">
        <v>0.7</v>
      </c>
      <c r="AC160" s="30"/>
      <c r="AD160" s="30">
        <v>0.7</v>
      </c>
      <c r="AE160" s="59" t="s">
        <v>6457</v>
      </c>
      <c r="AF160" s="59" t="s">
        <v>6457</v>
      </c>
      <c r="AG160" s="35" t="s">
        <v>1104</v>
      </c>
      <c r="AH160" s="202" t="s">
        <v>19</v>
      </c>
      <c r="AI160" s="35" t="s">
        <v>1880</v>
      </c>
      <c r="AJ160" s="1331"/>
    </row>
    <row r="161" spans="1:36" s="11" customFormat="1" ht="26.25" customHeight="1" x14ac:dyDescent="0.15">
      <c r="A161" s="8">
        <f t="shared" si="0"/>
        <v>159</v>
      </c>
      <c r="B161" s="36" t="s">
        <v>8933</v>
      </c>
      <c r="C161" s="71" t="s">
        <v>8957</v>
      </c>
      <c r="D161" s="26" t="s">
        <v>19</v>
      </c>
      <c r="E161" s="26" t="s">
        <v>19</v>
      </c>
      <c r="F161" s="29" t="s">
        <v>8953</v>
      </c>
      <c r="G161" s="53" t="s">
        <v>8954</v>
      </c>
      <c r="H161" s="26" t="s">
        <v>19</v>
      </c>
      <c r="I161" s="26" t="s">
        <v>19</v>
      </c>
      <c r="J161" s="26" t="s">
        <v>19</v>
      </c>
      <c r="K161" s="1331" t="s">
        <v>3649</v>
      </c>
      <c r="L161" s="1331" t="s">
        <v>1124</v>
      </c>
      <c r="M161" s="1331" t="s">
        <v>8955</v>
      </c>
      <c r="N161" s="1341" t="s">
        <v>4780</v>
      </c>
      <c r="O161" s="22" t="s">
        <v>5431</v>
      </c>
      <c r="P161" s="1332" t="s">
        <v>1880</v>
      </c>
      <c r="Q161" s="1331" t="s">
        <v>1131</v>
      </c>
      <c r="R161" s="54" t="s">
        <v>2210</v>
      </c>
      <c r="S161" s="1332" t="s">
        <v>111</v>
      </c>
      <c r="T161" s="1329" t="s">
        <v>5487</v>
      </c>
      <c r="U161" s="1329" t="s">
        <v>5487</v>
      </c>
      <c r="V161" s="24" t="s">
        <v>8932</v>
      </c>
      <c r="W161" s="90" t="s">
        <v>8956</v>
      </c>
      <c r="X161" s="24" t="s">
        <v>2359</v>
      </c>
      <c r="Y161" s="24">
        <v>2</v>
      </c>
      <c r="Z161" s="24" t="s">
        <v>448</v>
      </c>
      <c r="AA161" s="24" t="s">
        <v>448</v>
      </c>
      <c r="AB161" s="30">
        <v>13.98</v>
      </c>
      <c r="AC161" s="30"/>
      <c r="AD161" s="30">
        <v>13.98</v>
      </c>
      <c r="AE161" s="59"/>
      <c r="AF161" s="59"/>
      <c r="AG161" s="35" t="s">
        <v>1104</v>
      </c>
      <c r="AH161" s="202" t="s">
        <v>19</v>
      </c>
      <c r="AI161" s="35" t="s">
        <v>1880</v>
      </c>
      <c r="AJ161" s="1329"/>
    </row>
    <row r="162" spans="1:36" s="11" customFormat="1" ht="26.25" customHeight="1" x14ac:dyDescent="0.15">
      <c r="A162" s="8">
        <f t="shared" si="0"/>
        <v>160</v>
      </c>
      <c r="B162" s="36" t="s">
        <v>8960</v>
      </c>
      <c r="C162" s="26" t="s">
        <v>19</v>
      </c>
      <c r="D162" s="26" t="s">
        <v>19</v>
      </c>
      <c r="E162" s="26" t="s">
        <v>19</v>
      </c>
      <c r="F162" s="151" t="s">
        <v>3552</v>
      </c>
      <c r="G162" s="54" t="s">
        <v>8958</v>
      </c>
      <c r="H162" s="26" t="s">
        <v>19</v>
      </c>
      <c r="I162" s="26" t="s">
        <v>19</v>
      </c>
      <c r="J162" s="26" t="s">
        <v>19</v>
      </c>
      <c r="K162" s="1335" t="s">
        <v>1881</v>
      </c>
      <c r="L162" s="1335" t="s">
        <v>1146</v>
      </c>
      <c r="M162" s="21" t="s">
        <v>3554</v>
      </c>
      <c r="N162" s="1335" t="s">
        <v>3555</v>
      </c>
      <c r="O162" s="22" t="s">
        <v>5478</v>
      </c>
      <c r="P162" s="1335" t="s">
        <v>1880</v>
      </c>
      <c r="Q162" s="1334" t="s">
        <v>4676</v>
      </c>
      <c r="R162" s="151" t="s">
        <v>7451</v>
      </c>
      <c r="S162" s="1335" t="s">
        <v>111</v>
      </c>
      <c r="T162" s="1329" t="s">
        <v>1894</v>
      </c>
      <c r="U162" s="1329" t="s">
        <v>1894</v>
      </c>
      <c r="V162" s="24" t="s">
        <v>8932</v>
      </c>
      <c r="W162" s="90" t="s">
        <v>8959</v>
      </c>
      <c r="X162" s="24" t="s">
        <v>2359</v>
      </c>
      <c r="Y162" s="24">
        <v>2</v>
      </c>
      <c r="Z162" s="24" t="s">
        <v>448</v>
      </c>
      <c r="AA162" s="24" t="s">
        <v>448</v>
      </c>
      <c r="AB162" s="30">
        <v>2.8</v>
      </c>
      <c r="AC162" s="30"/>
      <c r="AD162" s="30">
        <v>2.8</v>
      </c>
      <c r="AE162" s="59"/>
      <c r="AF162" s="59"/>
      <c r="AG162" s="35" t="s">
        <v>1104</v>
      </c>
      <c r="AH162" s="202" t="s">
        <v>19</v>
      </c>
      <c r="AI162" s="35" t="s">
        <v>1880</v>
      </c>
      <c r="AJ162" s="1329"/>
    </row>
    <row r="163" spans="1:36" s="11" customFormat="1" ht="26.25" customHeight="1" x14ac:dyDescent="0.15">
      <c r="A163" s="8">
        <f t="shared" si="0"/>
        <v>161</v>
      </c>
      <c r="B163" s="36" t="s">
        <v>8934</v>
      </c>
      <c r="C163" s="26" t="s">
        <v>19</v>
      </c>
      <c r="D163" s="26" t="s">
        <v>9821</v>
      </c>
      <c r="E163" s="26" t="s">
        <v>19</v>
      </c>
      <c r="F163" s="29" t="s">
        <v>6028</v>
      </c>
      <c r="G163" s="99" t="s">
        <v>8961</v>
      </c>
      <c r="H163" s="26" t="s">
        <v>19</v>
      </c>
      <c r="I163" s="26" t="s">
        <v>19</v>
      </c>
      <c r="J163" s="26" t="s">
        <v>19</v>
      </c>
      <c r="K163" s="1333" t="s">
        <v>4195</v>
      </c>
      <c r="L163" s="1333" t="s">
        <v>4945</v>
      </c>
      <c r="M163" s="1333" t="s">
        <v>4946</v>
      </c>
      <c r="N163" s="22" t="s">
        <v>6439</v>
      </c>
      <c r="O163" s="22" t="s">
        <v>1826</v>
      </c>
      <c r="P163" s="1335" t="s">
        <v>111</v>
      </c>
      <c r="Q163" s="1334" t="s">
        <v>1818</v>
      </c>
      <c r="R163" s="54" t="s">
        <v>116</v>
      </c>
      <c r="S163" s="1335" t="s">
        <v>111</v>
      </c>
      <c r="T163" s="1329" t="s">
        <v>5489</v>
      </c>
      <c r="U163" s="1329" t="s">
        <v>5489</v>
      </c>
      <c r="V163" s="24" t="s">
        <v>8932</v>
      </c>
      <c r="W163" s="499"/>
      <c r="X163" s="484"/>
      <c r="Y163" s="484"/>
      <c r="Z163" s="24" t="s">
        <v>9009</v>
      </c>
      <c r="AA163" s="24" t="s">
        <v>9010</v>
      </c>
      <c r="AB163" s="30"/>
      <c r="AC163" s="30">
        <v>6</v>
      </c>
      <c r="AD163" s="30">
        <v>6</v>
      </c>
      <c r="AE163" s="59"/>
      <c r="AF163" s="59"/>
      <c r="AG163" s="35" t="s">
        <v>1104</v>
      </c>
      <c r="AH163" s="202" t="s">
        <v>19</v>
      </c>
      <c r="AI163" s="35" t="s">
        <v>1880</v>
      </c>
      <c r="AJ163" s="1329" t="s">
        <v>8935</v>
      </c>
    </row>
    <row r="164" spans="1:36" s="11" customFormat="1" ht="26.25" customHeight="1" x14ac:dyDescent="0.15">
      <c r="A164" s="8">
        <f t="shared" si="0"/>
        <v>162</v>
      </c>
      <c r="B164" s="36" t="s">
        <v>8989</v>
      </c>
      <c r="C164" s="26" t="s">
        <v>19</v>
      </c>
      <c r="D164" s="26" t="s">
        <v>9271</v>
      </c>
      <c r="E164" s="26" t="s">
        <v>19</v>
      </c>
      <c r="F164" s="29" t="s">
        <v>7546</v>
      </c>
      <c r="G164" s="98" t="s">
        <v>8986</v>
      </c>
      <c r="H164" s="26" t="s">
        <v>19</v>
      </c>
      <c r="I164" s="26" t="s">
        <v>19</v>
      </c>
      <c r="J164" s="26" t="s">
        <v>19</v>
      </c>
      <c r="K164" s="1333" t="s">
        <v>4208</v>
      </c>
      <c r="L164" s="1333" t="s">
        <v>8888</v>
      </c>
      <c r="M164" s="1333" t="s">
        <v>7621</v>
      </c>
      <c r="N164" s="1333" t="s">
        <v>8882</v>
      </c>
      <c r="O164" s="22" t="s">
        <v>5431</v>
      </c>
      <c r="P164" s="1335" t="s">
        <v>111</v>
      </c>
      <c r="Q164" s="1334" t="s">
        <v>1131</v>
      </c>
      <c r="R164" s="54" t="s">
        <v>116</v>
      </c>
      <c r="S164" s="1337" t="s">
        <v>111</v>
      </c>
      <c r="T164" s="1329" t="s">
        <v>5487</v>
      </c>
      <c r="U164" s="1329" t="s">
        <v>5487</v>
      </c>
      <c r="V164" s="24" t="s">
        <v>8932</v>
      </c>
      <c r="W164" s="271" t="s">
        <v>8777</v>
      </c>
      <c r="X164" s="211" t="s">
        <v>110</v>
      </c>
      <c r="Y164" s="211">
        <v>1</v>
      </c>
      <c r="Z164" s="211" t="s">
        <v>8987</v>
      </c>
      <c r="AA164" s="211" t="s">
        <v>8988</v>
      </c>
      <c r="AB164" s="30"/>
      <c r="AC164" s="30">
        <v>12</v>
      </c>
      <c r="AD164" s="30">
        <v>12</v>
      </c>
      <c r="AE164" s="59"/>
      <c r="AF164" s="59"/>
      <c r="AG164" s="35" t="s">
        <v>1104</v>
      </c>
      <c r="AH164" s="202" t="s">
        <v>19</v>
      </c>
      <c r="AI164" s="35" t="s">
        <v>1880</v>
      </c>
      <c r="AJ164" s="1329" t="s">
        <v>8936</v>
      </c>
    </row>
    <row r="165" spans="1:36" s="11" customFormat="1" ht="26.25" customHeight="1" x14ac:dyDescent="0.15">
      <c r="A165" s="8">
        <f t="shared" si="0"/>
        <v>163</v>
      </c>
      <c r="B165" s="36" t="s">
        <v>8990</v>
      </c>
      <c r="C165" s="26" t="s">
        <v>19</v>
      </c>
      <c r="D165" s="26" t="s">
        <v>9318</v>
      </c>
      <c r="E165" s="26" t="s">
        <v>19</v>
      </c>
      <c r="F165" s="29" t="s">
        <v>8194</v>
      </c>
      <c r="G165" s="99" t="s">
        <v>8968</v>
      </c>
      <c r="H165" s="26" t="s">
        <v>19</v>
      </c>
      <c r="I165" s="26" t="s">
        <v>19</v>
      </c>
      <c r="J165" s="26" t="s">
        <v>19</v>
      </c>
      <c r="K165" s="1337" t="s">
        <v>2135</v>
      </c>
      <c r="L165" s="1337" t="s">
        <v>2533</v>
      </c>
      <c r="M165" s="21" t="s">
        <v>4143</v>
      </c>
      <c r="N165" s="1336" t="s">
        <v>4144</v>
      </c>
      <c r="O165" s="22" t="s">
        <v>5431</v>
      </c>
      <c r="P165" s="1337" t="s">
        <v>111</v>
      </c>
      <c r="Q165" s="1336" t="s">
        <v>1131</v>
      </c>
      <c r="R165" s="54" t="s">
        <v>6266</v>
      </c>
      <c r="S165" s="1337" t="s">
        <v>111</v>
      </c>
      <c r="T165" s="1329" t="s">
        <v>5487</v>
      </c>
      <c r="U165" s="1329" t="s">
        <v>5487</v>
      </c>
      <c r="V165" s="24" t="s">
        <v>8932</v>
      </c>
      <c r="W165" s="90" t="s">
        <v>8969</v>
      </c>
      <c r="X165" s="484"/>
      <c r="Y165" s="484"/>
      <c r="Z165" s="24" t="s">
        <v>8775</v>
      </c>
      <c r="AA165" s="24" t="s">
        <v>8970</v>
      </c>
      <c r="AB165" s="30"/>
      <c r="AC165" s="30">
        <v>20.399999999999999</v>
      </c>
      <c r="AD165" s="30">
        <v>20.399999999999999</v>
      </c>
      <c r="AE165" s="59"/>
      <c r="AF165" s="59"/>
      <c r="AG165" s="35" t="s">
        <v>1104</v>
      </c>
      <c r="AH165" s="202" t="s">
        <v>19</v>
      </c>
      <c r="AI165" s="35" t="s">
        <v>1880</v>
      </c>
      <c r="AJ165" s="1329" t="s">
        <v>8942</v>
      </c>
    </row>
    <row r="166" spans="1:36" s="11" customFormat="1" ht="26.25" customHeight="1" x14ac:dyDescent="0.15">
      <c r="A166" s="8">
        <f t="shared" si="0"/>
        <v>164</v>
      </c>
      <c r="B166" s="36" t="s">
        <v>8991</v>
      </c>
      <c r="C166" s="26" t="s">
        <v>19</v>
      </c>
      <c r="D166" s="26" t="s">
        <v>19</v>
      </c>
      <c r="E166" s="26" t="s">
        <v>19</v>
      </c>
      <c r="F166" s="29" t="s">
        <v>8971</v>
      </c>
      <c r="G166" s="99" t="s">
        <v>8972</v>
      </c>
      <c r="H166" s="26" t="s">
        <v>19</v>
      </c>
      <c r="I166" s="26" t="s">
        <v>19</v>
      </c>
      <c r="J166" s="26" t="s">
        <v>19</v>
      </c>
      <c r="K166" s="1340" t="s">
        <v>2135</v>
      </c>
      <c r="L166" s="1340" t="s">
        <v>2533</v>
      </c>
      <c r="M166" s="21" t="s">
        <v>8973</v>
      </c>
      <c r="N166" s="22" t="s">
        <v>4780</v>
      </c>
      <c r="O166" s="22" t="s">
        <v>5431</v>
      </c>
      <c r="P166" s="1340" t="s">
        <v>111</v>
      </c>
      <c r="Q166" s="1339" t="s">
        <v>1131</v>
      </c>
      <c r="R166" s="54" t="s">
        <v>6266</v>
      </c>
      <c r="S166" s="1340" t="s">
        <v>111</v>
      </c>
      <c r="T166" s="1329" t="s">
        <v>5487</v>
      </c>
      <c r="U166" s="1329" t="s">
        <v>5487</v>
      </c>
      <c r="V166" s="24" t="s">
        <v>8932</v>
      </c>
      <c r="W166" s="90" t="s">
        <v>8969</v>
      </c>
      <c r="X166" s="484"/>
      <c r="Y166" s="484"/>
      <c r="Z166" s="24" t="s">
        <v>8775</v>
      </c>
      <c r="AA166" s="24" t="s">
        <v>8970</v>
      </c>
      <c r="AB166" s="30"/>
      <c r="AC166" s="30">
        <v>20.399999999999999</v>
      </c>
      <c r="AD166" s="30">
        <v>20.399999999999999</v>
      </c>
      <c r="AE166" s="59"/>
      <c r="AF166" s="59"/>
      <c r="AG166" s="35" t="s">
        <v>1104</v>
      </c>
      <c r="AH166" s="202" t="s">
        <v>19</v>
      </c>
      <c r="AI166" s="35" t="s">
        <v>1880</v>
      </c>
      <c r="AJ166" s="1329" t="s">
        <v>8942</v>
      </c>
    </row>
    <row r="167" spans="1:36" s="11" customFormat="1" ht="26.25" customHeight="1" x14ac:dyDescent="0.15">
      <c r="A167" s="8">
        <f t="shared" si="0"/>
        <v>165</v>
      </c>
      <c r="B167" s="36" t="s">
        <v>8992</v>
      </c>
      <c r="C167" s="26" t="s">
        <v>19</v>
      </c>
      <c r="D167" s="26" t="s">
        <v>9819</v>
      </c>
      <c r="E167" s="26" t="s">
        <v>19</v>
      </c>
      <c r="F167" s="29" t="s">
        <v>5796</v>
      </c>
      <c r="G167" s="99" t="s">
        <v>8975</v>
      </c>
      <c r="H167" s="26" t="s">
        <v>19</v>
      </c>
      <c r="I167" s="26" t="s">
        <v>19</v>
      </c>
      <c r="J167" s="26" t="s">
        <v>19</v>
      </c>
      <c r="K167" s="1340" t="s">
        <v>2135</v>
      </c>
      <c r="L167" s="1340" t="s">
        <v>2533</v>
      </c>
      <c r="M167" s="21" t="s">
        <v>5390</v>
      </c>
      <c r="N167" s="1340" t="s">
        <v>1138</v>
      </c>
      <c r="O167" s="1340" t="s">
        <v>2142</v>
      </c>
      <c r="P167" s="1340" t="s">
        <v>111</v>
      </c>
      <c r="Q167" s="1340" t="s">
        <v>2422</v>
      </c>
      <c r="R167" s="151" t="s">
        <v>2423</v>
      </c>
      <c r="S167" s="1340" t="s">
        <v>111</v>
      </c>
      <c r="T167" s="1329" t="s">
        <v>5487</v>
      </c>
      <c r="U167" s="1329" t="s">
        <v>5487</v>
      </c>
      <c r="V167" s="24" t="s">
        <v>8932</v>
      </c>
      <c r="W167" s="90" t="s">
        <v>8969</v>
      </c>
      <c r="X167" s="484"/>
      <c r="Y167" s="484"/>
      <c r="Z167" s="24" t="s">
        <v>8775</v>
      </c>
      <c r="AA167" s="24" t="s">
        <v>8970</v>
      </c>
      <c r="AB167" s="30"/>
      <c r="AC167" s="30">
        <v>20.399999999999999</v>
      </c>
      <c r="AD167" s="30">
        <v>20.399999999999999</v>
      </c>
      <c r="AE167" s="59"/>
      <c r="AF167" s="59"/>
      <c r="AG167" s="35" t="s">
        <v>1104</v>
      </c>
      <c r="AH167" s="202" t="s">
        <v>19</v>
      </c>
      <c r="AI167" s="35" t="s">
        <v>1880</v>
      </c>
      <c r="AJ167" s="1329" t="s">
        <v>8942</v>
      </c>
    </row>
    <row r="168" spans="1:36" s="11" customFormat="1" ht="26.25" customHeight="1" x14ac:dyDescent="0.15">
      <c r="A168" s="8">
        <f t="shared" si="0"/>
        <v>166</v>
      </c>
      <c r="B168" s="36" t="s">
        <v>8993</v>
      </c>
      <c r="C168" s="26" t="s">
        <v>19</v>
      </c>
      <c r="D168" s="26" t="s">
        <v>9822</v>
      </c>
      <c r="E168" s="26" t="s">
        <v>19</v>
      </c>
      <c r="F168" s="29" t="s">
        <v>8974</v>
      </c>
      <c r="G168" s="99" t="s">
        <v>8976</v>
      </c>
      <c r="H168" s="26" t="s">
        <v>19</v>
      </c>
      <c r="I168" s="26" t="s">
        <v>19</v>
      </c>
      <c r="J168" s="26" t="s">
        <v>19</v>
      </c>
      <c r="K168" s="1338" t="s">
        <v>3649</v>
      </c>
      <c r="L168" s="1338" t="s">
        <v>4750</v>
      </c>
      <c r="M168" s="1338" t="s">
        <v>5872</v>
      </c>
      <c r="N168" s="22" t="s">
        <v>4780</v>
      </c>
      <c r="O168" s="22" t="s">
        <v>5431</v>
      </c>
      <c r="P168" s="1340" t="s">
        <v>1880</v>
      </c>
      <c r="Q168" s="1340" t="s">
        <v>1818</v>
      </c>
      <c r="R168" s="151" t="s">
        <v>2423</v>
      </c>
      <c r="S168" s="1340" t="s">
        <v>111</v>
      </c>
      <c r="T168" s="1329" t="s">
        <v>5487</v>
      </c>
      <c r="U168" s="1329" t="s">
        <v>5487</v>
      </c>
      <c r="V168" s="24" t="s">
        <v>8932</v>
      </c>
      <c r="W168" s="90" t="s">
        <v>8969</v>
      </c>
      <c r="X168" s="484"/>
      <c r="Y168" s="484"/>
      <c r="Z168" s="24" t="s">
        <v>8775</v>
      </c>
      <c r="AA168" s="24" t="s">
        <v>8970</v>
      </c>
      <c r="AB168" s="30"/>
      <c r="AC168" s="30">
        <v>20.399999999999999</v>
      </c>
      <c r="AD168" s="30">
        <v>20.399999999999999</v>
      </c>
      <c r="AE168" s="59"/>
      <c r="AF168" s="59"/>
      <c r="AG168" s="35" t="s">
        <v>1104</v>
      </c>
      <c r="AH168" s="202" t="s">
        <v>19</v>
      </c>
      <c r="AI168" s="35" t="s">
        <v>1880</v>
      </c>
      <c r="AJ168" s="1329" t="s">
        <v>8942</v>
      </c>
    </row>
    <row r="169" spans="1:36" s="11" customFormat="1" ht="26.25" customHeight="1" x14ac:dyDescent="0.15">
      <c r="A169" s="8">
        <f t="shared" si="0"/>
        <v>167</v>
      </c>
      <c r="B169" s="36" t="s">
        <v>8977</v>
      </c>
      <c r="C169" s="26" t="s">
        <v>19</v>
      </c>
      <c r="D169" s="26" t="s">
        <v>19</v>
      </c>
      <c r="E169" s="26" t="s">
        <v>19</v>
      </c>
      <c r="F169" s="29" t="s">
        <v>6009</v>
      </c>
      <c r="G169" s="99" t="s">
        <v>8980</v>
      </c>
      <c r="H169" s="26" t="s">
        <v>19</v>
      </c>
      <c r="I169" s="26" t="s">
        <v>19</v>
      </c>
      <c r="J169" s="26" t="s">
        <v>19</v>
      </c>
      <c r="K169" s="1338" t="s">
        <v>1449</v>
      </c>
      <c r="L169" s="1338" t="s">
        <v>177</v>
      </c>
      <c r="M169" s="1338" t="s">
        <v>3263</v>
      </c>
      <c r="N169" s="22" t="s">
        <v>1733</v>
      </c>
      <c r="O169" s="22" t="s">
        <v>5431</v>
      </c>
      <c r="P169" s="1340" t="s">
        <v>111</v>
      </c>
      <c r="Q169" s="1339" t="s">
        <v>1131</v>
      </c>
      <c r="R169" s="151" t="s">
        <v>2423</v>
      </c>
      <c r="S169" s="1340" t="s">
        <v>111</v>
      </c>
      <c r="T169" s="1329" t="s">
        <v>5487</v>
      </c>
      <c r="U169" s="1329" t="s">
        <v>5487</v>
      </c>
      <c r="V169" s="24" t="s">
        <v>8932</v>
      </c>
      <c r="W169" s="90" t="s">
        <v>8981</v>
      </c>
      <c r="X169" s="484"/>
      <c r="Y169" s="484"/>
      <c r="Z169" s="24" t="s">
        <v>8775</v>
      </c>
      <c r="AA169" s="24" t="s">
        <v>8970</v>
      </c>
      <c r="AB169" s="30"/>
      <c r="AC169" s="30">
        <v>20.399999999999999</v>
      </c>
      <c r="AD169" s="30">
        <v>20.399999999999999</v>
      </c>
      <c r="AE169" s="59"/>
      <c r="AF169" s="59"/>
      <c r="AG169" s="35" t="s">
        <v>1104</v>
      </c>
      <c r="AH169" s="202" t="s">
        <v>19</v>
      </c>
      <c r="AI169" s="35" t="s">
        <v>1880</v>
      </c>
      <c r="AJ169" s="1329" t="s">
        <v>8943</v>
      </c>
    </row>
    <row r="170" spans="1:36" s="11" customFormat="1" ht="26.25" customHeight="1" x14ac:dyDescent="0.15">
      <c r="A170" s="8">
        <f t="shared" si="0"/>
        <v>168</v>
      </c>
      <c r="B170" s="36" t="s">
        <v>8978</v>
      </c>
      <c r="C170" s="26" t="s">
        <v>19</v>
      </c>
      <c r="D170" s="26" t="s">
        <v>19</v>
      </c>
      <c r="E170" s="26" t="s">
        <v>19</v>
      </c>
      <c r="F170" s="29" t="s">
        <v>6009</v>
      </c>
      <c r="G170" s="99" t="s">
        <v>8980</v>
      </c>
      <c r="H170" s="26" t="s">
        <v>19</v>
      </c>
      <c r="I170" s="26" t="s">
        <v>19</v>
      </c>
      <c r="J170" s="26" t="s">
        <v>19</v>
      </c>
      <c r="K170" s="1338" t="s">
        <v>1449</v>
      </c>
      <c r="L170" s="1338" t="s">
        <v>177</v>
      </c>
      <c r="M170" s="1338" t="s">
        <v>3264</v>
      </c>
      <c r="N170" s="22" t="s">
        <v>1732</v>
      </c>
      <c r="O170" s="22" t="s">
        <v>5431</v>
      </c>
      <c r="P170" s="1340" t="s">
        <v>111</v>
      </c>
      <c r="Q170" s="1339" t="s">
        <v>1131</v>
      </c>
      <c r="R170" s="151" t="s">
        <v>2423</v>
      </c>
      <c r="S170" s="1340" t="s">
        <v>111</v>
      </c>
      <c r="T170" s="1339" t="s">
        <v>5487</v>
      </c>
      <c r="U170" s="1339" t="s">
        <v>5487</v>
      </c>
      <c r="V170" s="24" t="s">
        <v>8932</v>
      </c>
      <c r="W170" s="90" t="s">
        <v>8981</v>
      </c>
      <c r="X170" s="484"/>
      <c r="Y170" s="484"/>
      <c r="Z170" s="24" t="s">
        <v>8775</v>
      </c>
      <c r="AA170" s="24" t="s">
        <v>8970</v>
      </c>
      <c r="AB170" s="30"/>
      <c r="AC170" s="30">
        <v>20.399999999999999</v>
      </c>
      <c r="AD170" s="30">
        <v>20.399999999999999</v>
      </c>
      <c r="AE170" s="59"/>
      <c r="AF170" s="59"/>
      <c r="AG170" s="35" t="s">
        <v>1104</v>
      </c>
      <c r="AH170" s="202" t="s">
        <v>19</v>
      </c>
      <c r="AI170" s="35" t="s">
        <v>1880</v>
      </c>
      <c r="AJ170" s="1339" t="s">
        <v>8943</v>
      </c>
    </row>
    <row r="171" spans="1:36" s="11" customFormat="1" ht="26.25" customHeight="1" x14ac:dyDescent="0.15">
      <c r="A171" s="8">
        <f t="shared" si="0"/>
        <v>169</v>
      </c>
      <c r="B171" s="36" t="s">
        <v>8979</v>
      </c>
      <c r="C171" s="26" t="s">
        <v>19</v>
      </c>
      <c r="D171" s="26" t="s">
        <v>19</v>
      </c>
      <c r="E171" s="26" t="s">
        <v>19</v>
      </c>
      <c r="F171" s="29" t="s">
        <v>6009</v>
      </c>
      <c r="G171" s="99" t="s">
        <v>8980</v>
      </c>
      <c r="H171" s="26" t="s">
        <v>19</v>
      </c>
      <c r="I171" s="26" t="s">
        <v>19</v>
      </c>
      <c r="J171" s="26" t="s">
        <v>19</v>
      </c>
      <c r="K171" s="1338" t="s">
        <v>1449</v>
      </c>
      <c r="L171" s="1338" t="s">
        <v>177</v>
      </c>
      <c r="M171" s="1338" t="s">
        <v>3273</v>
      </c>
      <c r="N171" s="22" t="s">
        <v>1734</v>
      </c>
      <c r="O171" s="22" t="s">
        <v>5431</v>
      </c>
      <c r="P171" s="1340" t="s">
        <v>111</v>
      </c>
      <c r="Q171" s="1339" t="s">
        <v>1131</v>
      </c>
      <c r="R171" s="151" t="s">
        <v>2423</v>
      </c>
      <c r="S171" s="1340" t="s">
        <v>111</v>
      </c>
      <c r="T171" s="1339" t="s">
        <v>5487</v>
      </c>
      <c r="U171" s="1339" t="s">
        <v>5487</v>
      </c>
      <c r="V171" s="24" t="s">
        <v>8932</v>
      </c>
      <c r="W171" s="90" t="s">
        <v>8981</v>
      </c>
      <c r="X171" s="484"/>
      <c r="Y171" s="484"/>
      <c r="Z171" s="24" t="s">
        <v>8775</v>
      </c>
      <c r="AA171" s="24" t="s">
        <v>8970</v>
      </c>
      <c r="AB171" s="30"/>
      <c r="AC171" s="30">
        <v>20.399999999999999</v>
      </c>
      <c r="AD171" s="30">
        <v>20.399999999999999</v>
      </c>
      <c r="AE171" s="59"/>
      <c r="AF171" s="59"/>
      <c r="AG171" s="35" t="s">
        <v>1104</v>
      </c>
      <c r="AH171" s="202" t="s">
        <v>19</v>
      </c>
      <c r="AI171" s="35" t="s">
        <v>1880</v>
      </c>
      <c r="AJ171" s="1339" t="s">
        <v>8943</v>
      </c>
    </row>
    <row r="172" spans="1:36" s="11" customFormat="1" ht="26.25" customHeight="1" x14ac:dyDescent="0.15">
      <c r="A172" s="8">
        <f t="shared" si="0"/>
        <v>170</v>
      </c>
      <c r="B172" s="36" t="s">
        <v>8994</v>
      </c>
      <c r="C172" s="26" t="s">
        <v>19</v>
      </c>
      <c r="D172" s="26" t="s">
        <v>19</v>
      </c>
      <c r="E172" s="26" t="s">
        <v>19</v>
      </c>
      <c r="F172" s="29" t="s">
        <v>8982</v>
      </c>
      <c r="G172" s="99" t="s">
        <v>8983</v>
      </c>
      <c r="H172" s="26" t="s">
        <v>19</v>
      </c>
      <c r="I172" s="26" t="s">
        <v>19</v>
      </c>
      <c r="J172" s="26" t="s">
        <v>19</v>
      </c>
      <c r="K172" s="1338" t="s">
        <v>3649</v>
      </c>
      <c r="L172" s="1338" t="s">
        <v>4750</v>
      </c>
      <c r="M172" s="1338" t="s">
        <v>7022</v>
      </c>
      <c r="N172" s="22" t="s">
        <v>7413</v>
      </c>
      <c r="O172" s="22" t="s">
        <v>5431</v>
      </c>
      <c r="P172" s="1340" t="s">
        <v>111</v>
      </c>
      <c r="Q172" s="1339" t="s">
        <v>1131</v>
      </c>
      <c r="R172" s="151" t="s">
        <v>2423</v>
      </c>
      <c r="S172" s="1340" t="s">
        <v>111</v>
      </c>
      <c r="T172" s="1329" t="s">
        <v>5487</v>
      </c>
      <c r="U172" s="1329" t="s">
        <v>5487</v>
      </c>
      <c r="V172" s="24" t="s">
        <v>8932</v>
      </c>
      <c r="W172" s="90" t="s">
        <v>8981</v>
      </c>
      <c r="X172" s="484"/>
      <c r="Y172" s="484"/>
      <c r="Z172" s="24" t="s">
        <v>8775</v>
      </c>
      <c r="AA172" s="24" t="s">
        <v>8970</v>
      </c>
      <c r="AB172" s="30"/>
      <c r="AC172" s="30">
        <v>20.399999999999999</v>
      </c>
      <c r="AD172" s="30">
        <v>20.399999999999999</v>
      </c>
      <c r="AE172" s="59"/>
      <c r="AF172" s="59"/>
      <c r="AG172" s="35" t="s">
        <v>1104</v>
      </c>
      <c r="AH172" s="202" t="s">
        <v>19</v>
      </c>
      <c r="AI172" s="35" t="s">
        <v>1880</v>
      </c>
      <c r="AJ172" s="1329" t="s">
        <v>8942</v>
      </c>
    </row>
    <row r="173" spans="1:36" s="11" customFormat="1" ht="26.25" customHeight="1" x14ac:dyDescent="0.15">
      <c r="A173" s="8">
        <f t="shared" si="0"/>
        <v>171</v>
      </c>
      <c r="B173" s="36" t="s">
        <v>8995</v>
      </c>
      <c r="C173" s="26" t="s">
        <v>19</v>
      </c>
      <c r="D173" s="26" t="s">
        <v>19</v>
      </c>
      <c r="E173" s="26" t="s">
        <v>19</v>
      </c>
      <c r="F173" s="29" t="s">
        <v>8984</v>
      </c>
      <c r="G173" s="99" t="s">
        <v>8985</v>
      </c>
      <c r="H173" s="26" t="s">
        <v>19</v>
      </c>
      <c r="I173" s="26" t="s">
        <v>19</v>
      </c>
      <c r="J173" s="26" t="s">
        <v>19</v>
      </c>
      <c r="K173" s="1340" t="s">
        <v>2135</v>
      </c>
      <c r="L173" s="1340" t="s">
        <v>2533</v>
      </c>
      <c r="M173" s="21" t="s">
        <v>4134</v>
      </c>
      <c r="N173" s="1339" t="s">
        <v>4135</v>
      </c>
      <c r="O173" s="1340" t="s">
        <v>1826</v>
      </c>
      <c r="P173" s="1340" t="s">
        <v>111</v>
      </c>
      <c r="Q173" s="1340" t="s">
        <v>1818</v>
      </c>
      <c r="R173" s="151" t="s">
        <v>2423</v>
      </c>
      <c r="S173" s="1340" t="s">
        <v>111</v>
      </c>
      <c r="T173" s="1329" t="s">
        <v>5487</v>
      </c>
      <c r="U173" s="1329" t="s">
        <v>5487</v>
      </c>
      <c r="V173" s="24" t="s">
        <v>8932</v>
      </c>
      <c r="W173" s="90" t="s">
        <v>8969</v>
      </c>
      <c r="X173" s="484"/>
      <c r="Y173" s="484"/>
      <c r="Z173" s="24" t="s">
        <v>8775</v>
      </c>
      <c r="AA173" s="24" t="s">
        <v>8970</v>
      </c>
      <c r="AB173" s="30"/>
      <c r="AC173" s="30">
        <v>20.399999999999999</v>
      </c>
      <c r="AD173" s="30">
        <v>20.399999999999999</v>
      </c>
      <c r="AE173" s="59"/>
      <c r="AF173" s="59"/>
      <c r="AG173" s="35" t="s">
        <v>1104</v>
      </c>
      <c r="AH173" s="202" t="s">
        <v>19</v>
      </c>
      <c r="AI173" s="35" t="s">
        <v>1880</v>
      </c>
      <c r="AJ173" s="1329" t="s">
        <v>8942</v>
      </c>
    </row>
    <row r="174" spans="1:36" s="11" customFormat="1" ht="26.25" customHeight="1" x14ac:dyDescent="0.15">
      <c r="A174" s="8">
        <f t="shared" si="0"/>
        <v>172</v>
      </c>
      <c r="B174" s="36" t="s">
        <v>8937</v>
      </c>
      <c r="C174" s="26" t="s">
        <v>19</v>
      </c>
      <c r="D174" s="26" t="s">
        <v>19</v>
      </c>
      <c r="E174" s="26" t="s">
        <v>19</v>
      </c>
      <c r="F174" s="29" t="s">
        <v>8194</v>
      </c>
      <c r="G174" s="99" t="s">
        <v>8967</v>
      </c>
      <c r="H174" s="26" t="s">
        <v>19</v>
      </c>
      <c r="I174" s="26" t="s">
        <v>19</v>
      </c>
      <c r="J174" s="26" t="s">
        <v>19</v>
      </c>
      <c r="K174" s="1335" t="s">
        <v>2135</v>
      </c>
      <c r="L174" s="1335" t="s">
        <v>2533</v>
      </c>
      <c r="M174" s="21" t="s">
        <v>4143</v>
      </c>
      <c r="N174" s="1334" t="s">
        <v>4144</v>
      </c>
      <c r="O174" s="22" t="s">
        <v>5431</v>
      </c>
      <c r="P174" s="1335" t="s">
        <v>111</v>
      </c>
      <c r="Q174" s="1334" t="s">
        <v>1131</v>
      </c>
      <c r="R174" s="54" t="s">
        <v>8997</v>
      </c>
      <c r="S174" s="1340" t="s">
        <v>111</v>
      </c>
      <c r="T174" s="1329" t="s">
        <v>5487</v>
      </c>
      <c r="U174" s="1329" t="s">
        <v>5487</v>
      </c>
      <c r="V174" s="24" t="s">
        <v>8932</v>
      </c>
      <c r="W174" s="90" t="s">
        <v>8854</v>
      </c>
      <c r="X174" s="484"/>
      <c r="Y174" s="484"/>
      <c r="Z174" s="24" t="s">
        <v>448</v>
      </c>
      <c r="AA174" s="24" t="s">
        <v>448</v>
      </c>
      <c r="AB174" s="30">
        <v>4.75</v>
      </c>
      <c r="AC174" s="30"/>
      <c r="AD174" s="30">
        <v>4.75</v>
      </c>
      <c r="AE174" s="59"/>
      <c r="AF174" s="59"/>
      <c r="AG174" s="35" t="s">
        <v>1104</v>
      </c>
      <c r="AH174" s="202" t="s">
        <v>19</v>
      </c>
      <c r="AI174" s="35" t="s">
        <v>1880</v>
      </c>
      <c r="AJ174" s="1329" t="s">
        <v>8944</v>
      </c>
    </row>
    <row r="175" spans="1:36" s="11" customFormat="1" ht="26.25" customHeight="1" x14ac:dyDescent="0.15">
      <c r="A175" s="8">
        <f t="shared" si="0"/>
        <v>173</v>
      </c>
      <c r="B175" s="36" t="s">
        <v>8938</v>
      </c>
      <c r="C175" s="26" t="s">
        <v>19</v>
      </c>
      <c r="D175" s="26" t="s">
        <v>19</v>
      </c>
      <c r="E175" s="26" t="s">
        <v>19</v>
      </c>
      <c r="F175" s="29" t="s">
        <v>8971</v>
      </c>
      <c r="G175" s="99" t="s">
        <v>8996</v>
      </c>
      <c r="H175" s="26" t="s">
        <v>19</v>
      </c>
      <c r="I175" s="26" t="s">
        <v>19</v>
      </c>
      <c r="J175" s="26" t="s">
        <v>19</v>
      </c>
      <c r="K175" s="1340" t="s">
        <v>2135</v>
      </c>
      <c r="L175" s="1340" t="s">
        <v>2533</v>
      </c>
      <c r="M175" s="21" t="s">
        <v>8973</v>
      </c>
      <c r="N175" s="22" t="s">
        <v>4780</v>
      </c>
      <c r="O175" s="22" t="s">
        <v>5431</v>
      </c>
      <c r="P175" s="1340" t="s">
        <v>111</v>
      </c>
      <c r="Q175" s="1339" t="s">
        <v>1131</v>
      </c>
      <c r="R175" s="54" t="s">
        <v>8997</v>
      </c>
      <c r="S175" s="1340" t="s">
        <v>111</v>
      </c>
      <c r="T175" s="1329" t="s">
        <v>5487</v>
      </c>
      <c r="U175" s="1329" t="s">
        <v>5487</v>
      </c>
      <c r="V175" s="24" t="s">
        <v>8932</v>
      </c>
      <c r="W175" s="90" t="s">
        <v>8777</v>
      </c>
      <c r="X175" s="484"/>
      <c r="Y175" s="484"/>
      <c r="Z175" s="24" t="s">
        <v>448</v>
      </c>
      <c r="AA175" s="24" t="s">
        <v>448</v>
      </c>
      <c r="AB175" s="30">
        <v>4.75</v>
      </c>
      <c r="AC175" s="30"/>
      <c r="AD175" s="30">
        <v>4.75</v>
      </c>
      <c r="AE175" s="59"/>
      <c r="AF175" s="59"/>
      <c r="AG175" s="35" t="s">
        <v>1104</v>
      </c>
      <c r="AH175" s="202" t="s">
        <v>19</v>
      </c>
      <c r="AI175" s="35" t="s">
        <v>1880</v>
      </c>
      <c r="AJ175" s="1329" t="s">
        <v>8944</v>
      </c>
    </row>
    <row r="176" spans="1:36" s="11" customFormat="1" ht="26.25" customHeight="1" x14ac:dyDescent="0.15">
      <c r="A176" s="8">
        <f t="shared" si="0"/>
        <v>174</v>
      </c>
      <c r="B176" s="36" t="s">
        <v>8939</v>
      </c>
      <c r="C176" s="26" t="s">
        <v>19</v>
      </c>
      <c r="D176" s="26" t="s">
        <v>19</v>
      </c>
      <c r="E176" s="26" t="s">
        <v>19</v>
      </c>
      <c r="F176" s="29" t="s">
        <v>8974</v>
      </c>
      <c r="G176" s="99" t="s">
        <v>8998</v>
      </c>
      <c r="H176" s="26" t="s">
        <v>19</v>
      </c>
      <c r="I176" s="26" t="s">
        <v>19</v>
      </c>
      <c r="J176" s="26" t="s">
        <v>19</v>
      </c>
      <c r="K176" s="1338" t="s">
        <v>3649</v>
      </c>
      <c r="L176" s="1338" t="s">
        <v>4750</v>
      </c>
      <c r="M176" s="1338" t="s">
        <v>5872</v>
      </c>
      <c r="N176" s="22" t="s">
        <v>4780</v>
      </c>
      <c r="O176" s="22" t="s">
        <v>5431</v>
      </c>
      <c r="P176" s="1340" t="s">
        <v>1880</v>
      </c>
      <c r="Q176" s="1340" t="s">
        <v>1818</v>
      </c>
      <c r="R176" s="54" t="s">
        <v>8997</v>
      </c>
      <c r="S176" s="1340" t="s">
        <v>111</v>
      </c>
      <c r="T176" s="1329" t="s">
        <v>5487</v>
      </c>
      <c r="U176" s="1329" t="s">
        <v>5487</v>
      </c>
      <c r="V176" s="24" t="s">
        <v>8932</v>
      </c>
      <c r="W176" s="90" t="s">
        <v>8777</v>
      </c>
      <c r="X176" s="484"/>
      <c r="Y176" s="484"/>
      <c r="Z176" s="24" t="s">
        <v>448</v>
      </c>
      <c r="AA176" s="24" t="s">
        <v>448</v>
      </c>
      <c r="AB176" s="30">
        <v>4.75</v>
      </c>
      <c r="AC176" s="30"/>
      <c r="AD176" s="30">
        <v>4.75</v>
      </c>
      <c r="AE176" s="59"/>
      <c r="AF176" s="59"/>
      <c r="AG176" s="35" t="s">
        <v>1104</v>
      </c>
      <c r="AH176" s="202" t="s">
        <v>19</v>
      </c>
      <c r="AI176" s="35" t="s">
        <v>1880</v>
      </c>
      <c r="AJ176" s="1329" t="s">
        <v>8944</v>
      </c>
    </row>
    <row r="177" spans="1:36" s="11" customFormat="1" ht="26.25" customHeight="1" x14ac:dyDescent="0.15">
      <c r="A177" s="8">
        <f t="shared" si="0"/>
        <v>175</v>
      </c>
      <c r="B177" s="36" t="s">
        <v>8999</v>
      </c>
      <c r="C177" s="26" t="s">
        <v>19</v>
      </c>
      <c r="D177" s="26" t="s">
        <v>19</v>
      </c>
      <c r="E177" s="26" t="s">
        <v>19</v>
      </c>
      <c r="F177" s="29" t="s">
        <v>6009</v>
      </c>
      <c r="G177" s="99" t="s">
        <v>9002</v>
      </c>
      <c r="H177" s="26" t="s">
        <v>19</v>
      </c>
      <c r="I177" s="26" t="s">
        <v>19</v>
      </c>
      <c r="J177" s="26" t="s">
        <v>19</v>
      </c>
      <c r="K177" s="1338" t="s">
        <v>1449</v>
      </c>
      <c r="L177" s="1338" t="s">
        <v>177</v>
      </c>
      <c r="M177" s="1338" t="s">
        <v>3263</v>
      </c>
      <c r="N177" s="22" t="s">
        <v>1733</v>
      </c>
      <c r="O177" s="22" t="s">
        <v>5431</v>
      </c>
      <c r="P177" s="1340" t="s">
        <v>111</v>
      </c>
      <c r="Q177" s="1339" t="s">
        <v>1131</v>
      </c>
      <c r="R177" s="54" t="s">
        <v>8997</v>
      </c>
      <c r="S177" s="1340" t="s">
        <v>111</v>
      </c>
      <c r="T177" s="1329" t="s">
        <v>5487</v>
      </c>
      <c r="U177" s="1329" t="s">
        <v>5487</v>
      </c>
      <c r="V177" s="24" t="s">
        <v>8932</v>
      </c>
      <c r="W177" s="90" t="s">
        <v>8777</v>
      </c>
      <c r="X177" s="484"/>
      <c r="Y177" s="484"/>
      <c r="Z177" s="24" t="s">
        <v>448</v>
      </c>
      <c r="AA177" s="24" t="s">
        <v>448</v>
      </c>
      <c r="AB177" s="30">
        <v>4.75</v>
      </c>
      <c r="AC177" s="30"/>
      <c r="AD177" s="30">
        <v>4.75</v>
      </c>
      <c r="AE177" s="59"/>
      <c r="AF177" s="59"/>
      <c r="AG177" s="35" t="s">
        <v>1104</v>
      </c>
      <c r="AH177" s="202" t="s">
        <v>19</v>
      </c>
      <c r="AI177" s="35" t="s">
        <v>1880</v>
      </c>
      <c r="AJ177" s="1329" t="s">
        <v>8944</v>
      </c>
    </row>
    <row r="178" spans="1:36" s="11" customFormat="1" ht="26.25" customHeight="1" x14ac:dyDescent="0.15">
      <c r="A178" s="8">
        <f t="shared" si="0"/>
        <v>176</v>
      </c>
      <c r="B178" s="36" t="s">
        <v>9000</v>
      </c>
      <c r="C178" s="26" t="s">
        <v>19</v>
      </c>
      <c r="D178" s="26" t="s">
        <v>19</v>
      </c>
      <c r="E178" s="26" t="s">
        <v>19</v>
      </c>
      <c r="F178" s="29" t="s">
        <v>6009</v>
      </c>
      <c r="G178" s="99" t="s">
        <v>9002</v>
      </c>
      <c r="H178" s="26" t="s">
        <v>19</v>
      </c>
      <c r="I178" s="26" t="s">
        <v>19</v>
      </c>
      <c r="J178" s="26" t="s">
        <v>19</v>
      </c>
      <c r="K178" s="1338" t="s">
        <v>1449</v>
      </c>
      <c r="L178" s="1338" t="s">
        <v>177</v>
      </c>
      <c r="M178" s="1338" t="s">
        <v>3264</v>
      </c>
      <c r="N178" s="22" t="s">
        <v>1732</v>
      </c>
      <c r="O178" s="22" t="s">
        <v>5431</v>
      </c>
      <c r="P178" s="1340" t="s">
        <v>111</v>
      </c>
      <c r="Q178" s="1339" t="s">
        <v>1131</v>
      </c>
      <c r="R178" s="54" t="s">
        <v>8997</v>
      </c>
      <c r="S178" s="1340" t="s">
        <v>111</v>
      </c>
      <c r="T178" s="1339" t="s">
        <v>5487</v>
      </c>
      <c r="U178" s="1339" t="s">
        <v>5487</v>
      </c>
      <c r="V178" s="24" t="s">
        <v>8932</v>
      </c>
      <c r="W178" s="90" t="s">
        <v>8777</v>
      </c>
      <c r="X178" s="484"/>
      <c r="Y178" s="484"/>
      <c r="Z178" s="24" t="s">
        <v>448</v>
      </c>
      <c r="AA178" s="24" t="s">
        <v>448</v>
      </c>
      <c r="AB178" s="30">
        <v>4.75</v>
      </c>
      <c r="AC178" s="30"/>
      <c r="AD178" s="30">
        <v>4.75</v>
      </c>
      <c r="AE178" s="59"/>
      <c r="AF178" s="59"/>
      <c r="AG178" s="35" t="s">
        <v>1104</v>
      </c>
      <c r="AH178" s="202" t="s">
        <v>19</v>
      </c>
      <c r="AI178" s="35" t="s">
        <v>1880</v>
      </c>
      <c r="AJ178" s="1339" t="s">
        <v>8944</v>
      </c>
    </row>
    <row r="179" spans="1:36" s="11" customFormat="1" ht="26.25" customHeight="1" x14ac:dyDescent="0.15">
      <c r="A179" s="8">
        <f t="shared" si="0"/>
        <v>177</v>
      </c>
      <c r="B179" s="36" t="s">
        <v>9001</v>
      </c>
      <c r="C179" s="26" t="s">
        <v>19</v>
      </c>
      <c r="D179" s="26" t="s">
        <v>19</v>
      </c>
      <c r="E179" s="26" t="s">
        <v>19</v>
      </c>
      <c r="F179" s="29" t="s">
        <v>6009</v>
      </c>
      <c r="G179" s="99" t="s">
        <v>9002</v>
      </c>
      <c r="H179" s="26" t="s">
        <v>19</v>
      </c>
      <c r="I179" s="26" t="s">
        <v>19</v>
      </c>
      <c r="J179" s="26" t="s">
        <v>19</v>
      </c>
      <c r="K179" s="1338" t="s">
        <v>1449</v>
      </c>
      <c r="L179" s="1338" t="s">
        <v>177</v>
      </c>
      <c r="M179" s="1338" t="s">
        <v>3273</v>
      </c>
      <c r="N179" s="22" t="s">
        <v>1734</v>
      </c>
      <c r="O179" s="22" t="s">
        <v>5431</v>
      </c>
      <c r="P179" s="1340" t="s">
        <v>111</v>
      </c>
      <c r="Q179" s="1339" t="s">
        <v>1131</v>
      </c>
      <c r="R179" s="54" t="s">
        <v>8997</v>
      </c>
      <c r="S179" s="1340" t="s">
        <v>111</v>
      </c>
      <c r="T179" s="1339" t="s">
        <v>5487</v>
      </c>
      <c r="U179" s="1339" t="s">
        <v>5487</v>
      </c>
      <c r="V179" s="24" t="s">
        <v>8932</v>
      </c>
      <c r="W179" s="90" t="s">
        <v>8777</v>
      </c>
      <c r="X179" s="484"/>
      <c r="Y179" s="484"/>
      <c r="Z179" s="24" t="s">
        <v>448</v>
      </c>
      <c r="AA179" s="24" t="s">
        <v>448</v>
      </c>
      <c r="AB179" s="30">
        <v>4.75</v>
      </c>
      <c r="AC179" s="30"/>
      <c r="AD179" s="30">
        <v>4.75</v>
      </c>
      <c r="AE179" s="59"/>
      <c r="AF179" s="59"/>
      <c r="AG179" s="35" t="s">
        <v>1104</v>
      </c>
      <c r="AH179" s="202" t="s">
        <v>19</v>
      </c>
      <c r="AI179" s="35" t="s">
        <v>1880</v>
      </c>
      <c r="AJ179" s="1339" t="s">
        <v>8944</v>
      </c>
    </row>
    <row r="180" spans="1:36" s="11" customFormat="1" ht="26.25" customHeight="1" x14ac:dyDescent="0.15">
      <c r="A180" s="8">
        <f t="shared" si="0"/>
        <v>178</v>
      </c>
      <c r="B180" s="36" t="s">
        <v>8940</v>
      </c>
      <c r="C180" s="26" t="s">
        <v>19</v>
      </c>
      <c r="D180" s="26" t="s">
        <v>19</v>
      </c>
      <c r="E180" s="26" t="s">
        <v>19</v>
      </c>
      <c r="F180" s="29" t="s">
        <v>8982</v>
      </c>
      <c r="G180" s="99" t="s">
        <v>9003</v>
      </c>
      <c r="H180" s="26" t="s">
        <v>19</v>
      </c>
      <c r="I180" s="26" t="s">
        <v>19</v>
      </c>
      <c r="J180" s="26" t="s">
        <v>19</v>
      </c>
      <c r="K180" s="1338" t="s">
        <v>3649</v>
      </c>
      <c r="L180" s="1338" t="s">
        <v>4750</v>
      </c>
      <c r="M180" s="1338" t="s">
        <v>7022</v>
      </c>
      <c r="N180" s="22" t="s">
        <v>7413</v>
      </c>
      <c r="O180" s="22" t="s">
        <v>5431</v>
      </c>
      <c r="P180" s="1340" t="s">
        <v>111</v>
      </c>
      <c r="Q180" s="1339" t="s">
        <v>1131</v>
      </c>
      <c r="R180" s="54" t="s">
        <v>8997</v>
      </c>
      <c r="S180" s="1340" t="s">
        <v>111</v>
      </c>
      <c r="T180" s="1329" t="s">
        <v>5487</v>
      </c>
      <c r="U180" s="1329" t="s">
        <v>5487</v>
      </c>
      <c r="V180" s="24" t="s">
        <v>8932</v>
      </c>
      <c r="W180" s="90" t="s">
        <v>8777</v>
      </c>
      <c r="X180" s="484"/>
      <c r="Y180" s="484"/>
      <c r="Z180" s="24" t="s">
        <v>448</v>
      </c>
      <c r="AA180" s="24" t="s">
        <v>448</v>
      </c>
      <c r="AB180" s="30">
        <v>4.75</v>
      </c>
      <c r="AC180" s="30"/>
      <c r="AD180" s="30">
        <v>4.75</v>
      </c>
      <c r="AE180" s="59"/>
      <c r="AF180" s="59"/>
      <c r="AG180" s="35" t="s">
        <v>1104</v>
      </c>
      <c r="AH180" s="202" t="s">
        <v>19</v>
      </c>
      <c r="AI180" s="35" t="s">
        <v>1880</v>
      </c>
      <c r="AJ180" s="1329" t="s">
        <v>8944</v>
      </c>
    </row>
    <row r="181" spans="1:36" s="11" customFormat="1" ht="26.25" customHeight="1" x14ac:dyDescent="0.15">
      <c r="A181" s="8">
        <f t="shared" si="0"/>
        <v>179</v>
      </c>
      <c r="B181" s="36" t="s">
        <v>8941</v>
      </c>
      <c r="C181" s="26" t="s">
        <v>19</v>
      </c>
      <c r="D181" s="26" t="s">
        <v>19</v>
      </c>
      <c r="E181" s="26" t="s">
        <v>19</v>
      </c>
      <c r="F181" s="29" t="s">
        <v>8984</v>
      </c>
      <c r="G181" s="99" t="s">
        <v>9004</v>
      </c>
      <c r="H181" s="26" t="s">
        <v>19</v>
      </c>
      <c r="I181" s="26" t="s">
        <v>19</v>
      </c>
      <c r="J181" s="26" t="s">
        <v>19</v>
      </c>
      <c r="K181" s="1340" t="s">
        <v>2135</v>
      </c>
      <c r="L181" s="1340" t="s">
        <v>2533</v>
      </c>
      <c r="M181" s="21" t="s">
        <v>4134</v>
      </c>
      <c r="N181" s="1339" t="s">
        <v>4135</v>
      </c>
      <c r="O181" s="1340" t="s">
        <v>1826</v>
      </c>
      <c r="P181" s="1340" t="s">
        <v>111</v>
      </c>
      <c r="Q181" s="1340" t="s">
        <v>1818</v>
      </c>
      <c r="R181" s="54" t="s">
        <v>8997</v>
      </c>
      <c r="S181" s="1340" t="s">
        <v>111</v>
      </c>
      <c r="T181" s="1329" t="s">
        <v>5487</v>
      </c>
      <c r="U181" s="1329" t="s">
        <v>5487</v>
      </c>
      <c r="V181" s="24" t="s">
        <v>8932</v>
      </c>
      <c r="W181" s="90" t="s">
        <v>8777</v>
      </c>
      <c r="X181" s="484"/>
      <c r="Y181" s="484"/>
      <c r="Z181" s="24" t="s">
        <v>448</v>
      </c>
      <c r="AA181" s="24" t="s">
        <v>448</v>
      </c>
      <c r="AB181" s="30">
        <v>4.75</v>
      </c>
      <c r="AC181" s="30"/>
      <c r="AD181" s="30">
        <v>4.75</v>
      </c>
      <c r="AE181" s="59"/>
      <c r="AF181" s="59"/>
      <c r="AG181" s="35" t="s">
        <v>1104</v>
      </c>
      <c r="AH181" s="202" t="s">
        <v>19</v>
      </c>
      <c r="AI181" s="35" t="s">
        <v>1880</v>
      </c>
      <c r="AJ181" s="1329" t="s">
        <v>8944</v>
      </c>
    </row>
    <row r="182" spans="1:36" s="11" customFormat="1" ht="26.25" customHeight="1" x14ac:dyDescent="0.15">
      <c r="A182" s="8">
        <f t="shared" si="0"/>
        <v>180</v>
      </c>
      <c r="B182" s="36" t="s">
        <v>8945</v>
      </c>
      <c r="C182" s="71" t="s">
        <v>8965</v>
      </c>
      <c r="D182" s="26" t="s">
        <v>19</v>
      </c>
      <c r="E182" s="36" t="s">
        <v>9053</v>
      </c>
      <c r="F182" s="29" t="s">
        <v>6803</v>
      </c>
      <c r="G182" s="53" t="s">
        <v>7811</v>
      </c>
      <c r="H182" s="26" t="s">
        <v>19</v>
      </c>
      <c r="I182" s="26" t="s">
        <v>19</v>
      </c>
      <c r="J182" s="26" t="s">
        <v>19</v>
      </c>
      <c r="K182" s="1334" t="s">
        <v>4195</v>
      </c>
      <c r="L182" s="1334" t="s">
        <v>4692</v>
      </c>
      <c r="M182" s="1334" t="s">
        <v>8962</v>
      </c>
      <c r="N182" s="22" t="s">
        <v>4780</v>
      </c>
      <c r="O182" s="1334" t="s">
        <v>5431</v>
      </c>
      <c r="P182" s="1335" t="s">
        <v>111</v>
      </c>
      <c r="Q182" s="1334" t="s">
        <v>1131</v>
      </c>
      <c r="R182" s="54" t="s">
        <v>5708</v>
      </c>
      <c r="S182" s="26" t="s">
        <v>19</v>
      </c>
      <c r="T182" s="1329" t="s">
        <v>1894</v>
      </c>
      <c r="U182" s="1329" t="s">
        <v>1894</v>
      </c>
      <c r="V182" s="24" t="s">
        <v>8932</v>
      </c>
      <c r="W182" s="90" t="s">
        <v>8964</v>
      </c>
      <c r="X182" s="24" t="s">
        <v>110</v>
      </c>
      <c r="Y182" s="24">
        <v>2</v>
      </c>
      <c r="Z182" s="24" t="s">
        <v>6843</v>
      </c>
      <c r="AA182" s="24" t="s">
        <v>448</v>
      </c>
      <c r="AB182" s="30">
        <v>41</v>
      </c>
      <c r="AC182" s="30"/>
      <c r="AD182" s="30">
        <v>41</v>
      </c>
      <c r="AE182" s="59"/>
      <c r="AF182" s="59"/>
      <c r="AG182" s="35" t="s">
        <v>1104</v>
      </c>
      <c r="AH182" s="202" t="s">
        <v>19</v>
      </c>
      <c r="AI182" s="35" t="s">
        <v>1880</v>
      </c>
      <c r="AJ182" s="1329"/>
    </row>
    <row r="183" spans="1:36" s="11" customFormat="1" ht="26.25" customHeight="1" x14ac:dyDescent="0.15">
      <c r="A183" s="8">
        <f t="shared" si="0"/>
        <v>181</v>
      </c>
      <c r="B183" s="36" t="s">
        <v>8946</v>
      </c>
      <c r="C183" s="71" t="s">
        <v>8966</v>
      </c>
      <c r="D183" s="26" t="s">
        <v>9259</v>
      </c>
      <c r="E183" s="36" t="s">
        <v>9054</v>
      </c>
      <c r="F183" s="29" t="s">
        <v>6803</v>
      </c>
      <c r="G183" s="53" t="s">
        <v>7811</v>
      </c>
      <c r="H183" s="26" t="s">
        <v>19</v>
      </c>
      <c r="I183" s="26" t="s">
        <v>19</v>
      </c>
      <c r="J183" s="26" t="s">
        <v>19</v>
      </c>
      <c r="K183" s="1334" t="s">
        <v>4195</v>
      </c>
      <c r="L183" s="1334" t="s">
        <v>4692</v>
      </c>
      <c r="M183" s="1334" t="s">
        <v>8963</v>
      </c>
      <c r="N183" s="22" t="s">
        <v>4780</v>
      </c>
      <c r="O183" s="1334" t="s">
        <v>5431</v>
      </c>
      <c r="P183" s="1335" t="s">
        <v>111</v>
      </c>
      <c r="Q183" s="1334" t="s">
        <v>1131</v>
      </c>
      <c r="R183" s="54" t="s">
        <v>5708</v>
      </c>
      <c r="S183" s="26" t="s">
        <v>19</v>
      </c>
      <c r="T183" s="1329" t="s">
        <v>1894</v>
      </c>
      <c r="U183" s="1329" t="s">
        <v>1894</v>
      </c>
      <c r="V183" s="24" t="s">
        <v>8932</v>
      </c>
      <c r="W183" s="90" t="s">
        <v>8964</v>
      </c>
      <c r="X183" s="24" t="s">
        <v>110</v>
      </c>
      <c r="Y183" s="24">
        <v>2</v>
      </c>
      <c r="Z183" s="24" t="s">
        <v>6843</v>
      </c>
      <c r="AA183" s="24" t="s">
        <v>448</v>
      </c>
      <c r="AB183" s="30">
        <v>41</v>
      </c>
      <c r="AC183" s="30"/>
      <c r="AD183" s="30">
        <v>41</v>
      </c>
      <c r="AE183" s="59"/>
      <c r="AF183" s="59"/>
      <c r="AG183" s="35" t="s">
        <v>1104</v>
      </c>
      <c r="AH183" s="202" t="s">
        <v>19</v>
      </c>
      <c r="AI183" s="35" t="s">
        <v>1880</v>
      </c>
      <c r="AJ183" s="1329"/>
    </row>
    <row r="184" spans="1:36" s="11" customFormat="1" ht="26.25" customHeight="1" x14ac:dyDescent="0.15">
      <c r="A184" s="8">
        <f t="shared" si="0"/>
        <v>182</v>
      </c>
      <c r="B184" s="36" t="s">
        <v>9005</v>
      </c>
      <c r="C184" s="26" t="s">
        <v>19</v>
      </c>
      <c r="D184" s="26" t="s">
        <v>19</v>
      </c>
      <c r="E184" s="26" t="s">
        <v>19</v>
      </c>
      <c r="F184" s="29" t="s">
        <v>7082</v>
      </c>
      <c r="G184" s="53" t="s">
        <v>9016</v>
      </c>
      <c r="H184" s="26" t="s">
        <v>19</v>
      </c>
      <c r="I184" s="26" t="s">
        <v>19</v>
      </c>
      <c r="J184" s="26" t="s">
        <v>19</v>
      </c>
      <c r="K184" s="1346" t="s">
        <v>5374</v>
      </c>
      <c r="L184" s="1346" t="s">
        <v>5419</v>
      </c>
      <c r="M184" s="1346" t="s">
        <v>9017</v>
      </c>
      <c r="N184" s="22" t="s">
        <v>4780</v>
      </c>
      <c r="O184" s="1346" t="s">
        <v>5431</v>
      </c>
      <c r="P184" s="1347" t="s">
        <v>111</v>
      </c>
      <c r="Q184" s="1346" t="s">
        <v>1131</v>
      </c>
      <c r="R184" s="54" t="s">
        <v>9018</v>
      </c>
      <c r="S184" s="26" t="s">
        <v>19</v>
      </c>
      <c r="T184" s="1342" t="s">
        <v>446</v>
      </c>
      <c r="U184" s="1342" t="s">
        <v>446</v>
      </c>
      <c r="V184" s="24" t="s">
        <v>9008</v>
      </c>
      <c r="W184" s="90" t="s">
        <v>8880</v>
      </c>
      <c r="X184" s="24" t="s">
        <v>110</v>
      </c>
      <c r="Y184" s="24">
        <v>1</v>
      </c>
      <c r="Z184" s="24" t="s">
        <v>448</v>
      </c>
      <c r="AA184" s="24" t="s">
        <v>448</v>
      </c>
      <c r="AB184" s="30">
        <v>3</v>
      </c>
      <c r="AC184" s="30"/>
      <c r="AD184" s="30">
        <v>3</v>
      </c>
      <c r="AE184" s="59"/>
      <c r="AF184" s="59"/>
      <c r="AG184" s="35" t="s">
        <v>1104</v>
      </c>
      <c r="AH184" s="202" t="s">
        <v>19</v>
      </c>
      <c r="AI184" s="35" t="s">
        <v>1880</v>
      </c>
      <c r="AJ184" s="1342"/>
    </row>
    <row r="185" spans="1:36" s="11" customFormat="1" ht="26.25" customHeight="1" x14ac:dyDescent="0.15">
      <c r="A185" s="8">
        <f t="shared" si="0"/>
        <v>183</v>
      </c>
      <c r="B185" s="36" t="s">
        <v>9041</v>
      </c>
      <c r="C185" s="26" t="s">
        <v>19</v>
      </c>
      <c r="D185" s="26" t="s">
        <v>19</v>
      </c>
      <c r="E185" s="26" t="s">
        <v>19</v>
      </c>
      <c r="F185" s="29" t="s">
        <v>5939</v>
      </c>
      <c r="G185" s="53" t="s">
        <v>9020</v>
      </c>
      <c r="H185" s="26" t="s">
        <v>19</v>
      </c>
      <c r="I185" s="26" t="s">
        <v>19</v>
      </c>
      <c r="J185" s="26" t="s">
        <v>19</v>
      </c>
      <c r="K185" s="1346" t="s">
        <v>5374</v>
      </c>
      <c r="L185" s="1346" t="s">
        <v>5419</v>
      </c>
      <c r="M185" s="1346" t="s">
        <v>9019</v>
      </c>
      <c r="N185" s="22" t="s">
        <v>4780</v>
      </c>
      <c r="O185" s="1346" t="s">
        <v>5431</v>
      </c>
      <c r="P185" s="1347" t="s">
        <v>111</v>
      </c>
      <c r="Q185" s="1346" t="s">
        <v>1131</v>
      </c>
      <c r="R185" s="54" t="s">
        <v>9018</v>
      </c>
      <c r="S185" s="26" t="s">
        <v>19</v>
      </c>
      <c r="T185" s="1342" t="s">
        <v>446</v>
      </c>
      <c r="U185" s="1342" t="s">
        <v>446</v>
      </c>
      <c r="V185" s="24" t="s">
        <v>9008</v>
      </c>
      <c r="W185" s="90" t="s">
        <v>8880</v>
      </c>
      <c r="X185" s="24" t="s">
        <v>110</v>
      </c>
      <c r="Y185" s="24">
        <v>1</v>
      </c>
      <c r="Z185" s="24" t="s">
        <v>448</v>
      </c>
      <c r="AA185" s="24" t="s">
        <v>448</v>
      </c>
      <c r="AB185" s="30">
        <v>3.4</v>
      </c>
      <c r="AC185" s="30"/>
      <c r="AD185" s="30">
        <v>3.4</v>
      </c>
      <c r="AE185" s="59"/>
      <c r="AF185" s="59"/>
      <c r="AG185" s="35" t="s">
        <v>1104</v>
      </c>
      <c r="AH185" s="202" t="s">
        <v>19</v>
      </c>
      <c r="AI185" s="35" t="s">
        <v>1880</v>
      </c>
      <c r="AJ185" s="1342"/>
    </row>
    <row r="186" spans="1:36" s="11" customFormat="1" ht="26.25" customHeight="1" x14ac:dyDescent="0.15">
      <c r="A186" s="8">
        <f t="shared" si="0"/>
        <v>184</v>
      </c>
      <c r="B186" s="36" t="s">
        <v>9042</v>
      </c>
      <c r="C186" s="71" t="s">
        <v>9006</v>
      </c>
      <c r="D186" s="26" t="s">
        <v>19</v>
      </c>
      <c r="E186" s="26" t="s">
        <v>19</v>
      </c>
      <c r="F186" s="29" t="s">
        <v>8922</v>
      </c>
      <c r="G186" s="53" t="s">
        <v>9023</v>
      </c>
      <c r="H186" s="26" t="s">
        <v>19</v>
      </c>
      <c r="I186" s="26" t="s">
        <v>19</v>
      </c>
      <c r="J186" s="26" t="s">
        <v>19</v>
      </c>
      <c r="K186" s="1346" t="s">
        <v>3649</v>
      </c>
      <c r="L186" s="1346" t="s">
        <v>4750</v>
      </c>
      <c r="M186" s="1346" t="s">
        <v>9021</v>
      </c>
      <c r="N186" s="22" t="s">
        <v>4780</v>
      </c>
      <c r="O186" s="1346" t="s">
        <v>5431</v>
      </c>
      <c r="P186" s="1347" t="s">
        <v>111</v>
      </c>
      <c r="Q186" s="1346" t="s">
        <v>1131</v>
      </c>
      <c r="R186" s="54" t="s">
        <v>8584</v>
      </c>
      <c r="S186" s="26" t="s">
        <v>19</v>
      </c>
      <c r="T186" s="1342" t="s">
        <v>5487</v>
      </c>
      <c r="U186" s="1342" t="s">
        <v>5487</v>
      </c>
      <c r="V186" s="24" t="s">
        <v>9008</v>
      </c>
      <c r="W186" s="90" t="s">
        <v>9022</v>
      </c>
      <c r="X186" s="24" t="s">
        <v>110</v>
      </c>
      <c r="Y186" s="24">
        <v>1</v>
      </c>
      <c r="Z186" s="24" t="s">
        <v>448</v>
      </c>
      <c r="AA186" s="24" t="s">
        <v>448</v>
      </c>
      <c r="AB186" s="30">
        <v>6.3</v>
      </c>
      <c r="AC186" s="30"/>
      <c r="AD186" s="30">
        <v>6.3</v>
      </c>
      <c r="AE186" s="59"/>
      <c r="AF186" s="59"/>
      <c r="AG186" s="35" t="s">
        <v>1104</v>
      </c>
      <c r="AH186" s="202" t="s">
        <v>19</v>
      </c>
      <c r="AI186" s="35" t="s">
        <v>1880</v>
      </c>
      <c r="AJ186" s="1342"/>
    </row>
    <row r="187" spans="1:36" s="11" customFormat="1" ht="26.25" customHeight="1" x14ac:dyDescent="0.15">
      <c r="A187" s="8">
        <f t="shared" si="0"/>
        <v>185</v>
      </c>
      <c r="B187" s="36" t="s">
        <v>9049</v>
      </c>
      <c r="C187" s="26" t="s">
        <v>19</v>
      </c>
      <c r="D187" s="26" t="s">
        <v>19</v>
      </c>
      <c r="E187" s="26" t="s">
        <v>19</v>
      </c>
      <c r="F187" s="29" t="s">
        <v>7047</v>
      </c>
      <c r="G187" s="53" t="s">
        <v>9051</v>
      </c>
      <c r="H187" s="26" t="s">
        <v>19</v>
      </c>
      <c r="I187" s="26" t="s">
        <v>19</v>
      </c>
      <c r="J187" s="26" t="s">
        <v>19</v>
      </c>
      <c r="K187" s="1351" t="s">
        <v>3649</v>
      </c>
      <c r="L187" s="1351" t="s">
        <v>4750</v>
      </c>
      <c r="M187" s="1351" t="s">
        <v>9052</v>
      </c>
      <c r="N187" s="22" t="s">
        <v>4780</v>
      </c>
      <c r="O187" s="1346" t="s">
        <v>5431</v>
      </c>
      <c r="P187" s="1347" t="s">
        <v>111</v>
      </c>
      <c r="Q187" s="1351" t="s">
        <v>1131</v>
      </c>
      <c r="R187" s="54" t="s">
        <v>8584</v>
      </c>
      <c r="S187" s="26" t="s">
        <v>19</v>
      </c>
      <c r="T187" s="1342" t="s">
        <v>5487</v>
      </c>
      <c r="U187" s="1342" t="s">
        <v>5487</v>
      </c>
      <c r="V187" s="24" t="s">
        <v>9008</v>
      </c>
      <c r="W187" s="90" t="s">
        <v>9022</v>
      </c>
      <c r="X187" s="24" t="s">
        <v>110</v>
      </c>
      <c r="Y187" s="24">
        <v>1</v>
      </c>
      <c r="Z187" s="24" t="s">
        <v>448</v>
      </c>
      <c r="AA187" s="24" t="s">
        <v>448</v>
      </c>
      <c r="AB187" s="30">
        <v>7.5</v>
      </c>
      <c r="AC187" s="30"/>
      <c r="AD187" s="30">
        <v>7.5</v>
      </c>
      <c r="AE187" s="59"/>
      <c r="AF187" s="59"/>
      <c r="AG187" s="35" t="s">
        <v>1104</v>
      </c>
      <c r="AH187" s="202" t="s">
        <v>19</v>
      </c>
      <c r="AI187" s="35" t="s">
        <v>1880</v>
      </c>
      <c r="AJ187" s="1342"/>
    </row>
    <row r="188" spans="1:36" s="11" customFormat="1" ht="26.25" customHeight="1" x14ac:dyDescent="0.15">
      <c r="A188" s="8">
        <f t="shared" si="0"/>
        <v>186</v>
      </c>
      <c r="B188" s="36" t="s">
        <v>9050</v>
      </c>
      <c r="C188" s="71" t="s">
        <v>9007</v>
      </c>
      <c r="D188" s="26" t="s">
        <v>19</v>
      </c>
      <c r="E188" s="26" t="s">
        <v>19</v>
      </c>
      <c r="F188" s="29" t="s">
        <v>7047</v>
      </c>
      <c r="G188" s="53" t="s">
        <v>9051</v>
      </c>
      <c r="H188" s="26" t="s">
        <v>19</v>
      </c>
      <c r="I188" s="26" t="s">
        <v>19</v>
      </c>
      <c r="J188" s="26" t="s">
        <v>19</v>
      </c>
      <c r="K188" s="1351" t="s">
        <v>3649</v>
      </c>
      <c r="L188" s="1351" t="s">
        <v>4750</v>
      </c>
      <c r="M188" s="1357" t="s">
        <v>7076</v>
      </c>
      <c r="N188" s="1357" t="s">
        <v>8055</v>
      </c>
      <c r="O188" s="1351" t="s">
        <v>5431</v>
      </c>
      <c r="P188" s="1352" t="s">
        <v>111</v>
      </c>
      <c r="Q188" s="1351" t="s">
        <v>1131</v>
      </c>
      <c r="R188" s="54" t="s">
        <v>8584</v>
      </c>
      <c r="S188" s="26" t="s">
        <v>19</v>
      </c>
      <c r="T188" s="1351" t="s">
        <v>5487</v>
      </c>
      <c r="U188" s="1351" t="s">
        <v>5487</v>
      </c>
      <c r="V188" s="24" t="s">
        <v>9008</v>
      </c>
      <c r="W188" s="90" t="s">
        <v>9022</v>
      </c>
      <c r="X188" s="24" t="s">
        <v>110</v>
      </c>
      <c r="Y188" s="24">
        <v>1</v>
      </c>
      <c r="Z188" s="24" t="s">
        <v>448</v>
      </c>
      <c r="AA188" s="24" t="s">
        <v>448</v>
      </c>
      <c r="AB188" s="30">
        <v>12.2</v>
      </c>
      <c r="AC188" s="30"/>
      <c r="AD188" s="30">
        <v>12.2</v>
      </c>
      <c r="AE188" s="59"/>
      <c r="AF188" s="59"/>
      <c r="AG188" s="35" t="s">
        <v>1104</v>
      </c>
      <c r="AH188" s="202" t="s">
        <v>19</v>
      </c>
      <c r="AI188" s="35" t="s">
        <v>1880</v>
      </c>
      <c r="AJ188" s="1351"/>
    </row>
    <row r="189" spans="1:36" s="11" customFormat="1" ht="54.75" customHeight="1" x14ac:dyDescent="0.15">
      <c r="A189" s="8">
        <f t="shared" si="0"/>
        <v>187</v>
      </c>
      <c r="B189" s="36" t="s">
        <v>9043</v>
      </c>
      <c r="C189" s="71" t="s">
        <v>9011</v>
      </c>
      <c r="D189" s="26" t="s">
        <v>19</v>
      </c>
      <c r="E189" s="611" t="s">
        <v>9461</v>
      </c>
      <c r="F189" s="29" t="s">
        <v>9024</v>
      </c>
      <c r="G189" s="53" t="s">
        <v>9025</v>
      </c>
      <c r="H189" s="26" t="s">
        <v>19</v>
      </c>
      <c r="I189" s="26" t="s">
        <v>19</v>
      </c>
      <c r="J189" s="26" t="s">
        <v>19</v>
      </c>
      <c r="K189" s="1346" t="s">
        <v>4712</v>
      </c>
      <c r="L189" s="1346" t="s">
        <v>1124</v>
      </c>
      <c r="M189" s="1346" t="s">
        <v>9026</v>
      </c>
      <c r="N189" s="22" t="s">
        <v>4780</v>
      </c>
      <c r="O189" s="1346" t="s">
        <v>5431</v>
      </c>
      <c r="P189" s="1347" t="s">
        <v>111</v>
      </c>
      <c r="Q189" s="1346" t="s">
        <v>1131</v>
      </c>
      <c r="R189" s="54" t="s">
        <v>7343</v>
      </c>
      <c r="S189" s="26" t="s">
        <v>19</v>
      </c>
      <c r="T189" s="1342" t="s">
        <v>5571</v>
      </c>
      <c r="U189" s="1342" t="s">
        <v>5571</v>
      </c>
      <c r="V189" s="24" t="s">
        <v>9012</v>
      </c>
      <c r="W189" s="90" t="s">
        <v>9027</v>
      </c>
      <c r="X189" s="24" t="s">
        <v>110</v>
      </c>
      <c r="Y189" s="24">
        <v>1</v>
      </c>
      <c r="Z189" s="24" t="s">
        <v>5710</v>
      </c>
      <c r="AA189" s="24" t="s">
        <v>448</v>
      </c>
      <c r="AB189" s="30">
        <v>16.863</v>
      </c>
      <c r="AC189" s="30"/>
      <c r="AD189" s="30">
        <v>16.863</v>
      </c>
      <c r="AE189" s="59"/>
      <c r="AF189" s="59"/>
      <c r="AG189" s="35" t="s">
        <v>1104</v>
      </c>
      <c r="AH189" s="202" t="s">
        <v>19</v>
      </c>
      <c r="AI189" s="35" t="s">
        <v>1880</v>
      </c>
      <c r="AJ189" s="1342"/>
    </row>
    <row r="190" spans="1:36" s="11" customFormat="1" ht="26.25" customHeight="1" x14ac:dyDescent="0.15">
      <c r="A190" s="8">
        <f t="shared" si="0"/>
        <v>188</v>
      </c>
      <c r="B190" s="36" t="s">
        <v>9013</v>
      </c>
      <c r="C190" s="26" t="s">
        <v>19</v>
      </c>
      <c r="D190" s="26" t="s">
        <v>19</v>
      </c>
      <c r="E190" s="26" t="s">
        <v>19</v>
      </c>
      <c r="F190" s="29" t="s">
        <v>9064</v>
      </c>
      <c r="G190" s="53" t="s">
        <v>9028</v>
      </c>
      <c r="H190" s="26" t="s">
        <v>19</v>
      </c>
      <c r="I190" s="26" t="s">
        <v>19</v>
      </c>
      <c r="J190" s="26" t="s">
        <v>19</v>
      </c>
      <c r="K190" s="1346" t="s">
        <v>4195</v>
      </c>
      <c r="L190" s="1346" t="s">
        <v>9065</v>
      </c>
      <c r="M190" s="1346" t="s">
        <v>5360</v>
      </c>
      <c r="N190" s="22" t="s">
        <v>9032</v>
      </c>
      <c r="O190" s="1344" t="s">
        <v>5478</v>
      </c>
      <c r="P190" s="1347" t="s">
        <v>111</v>
      </c>
      <c r="Q190" s="1343" t="s">
        <v>4676</v>
      </c>
      <c r="R190" s="54" t="s">
        <v>116</v>
      </c>
      <c r="S190" s="26" t="s">
        <v>19</v>
      </c>
      <c r="T190" s="1343" t="s">
        <v>5489</v>
      </c>
      <c r="U190" s="1343" t="s">
        <v>5489</v>
      </c>
      <c r="V190" s="24" t="s">
        <v>9012</v>
      </c>
      <c r="W190" s="90" t="s">
        <v>9029</v>
      </c>
      <c r="X190" s="24" t="s">
        <v>110</v>
      </c>
      <c r="Y190" s="24">
        <v>1</v>
      </c>
      <c r="Z190" s="24" t="s">
        <v>8374</v>
      </c>
      <c r="AA190" s="24" t="s">
        <v>9030</v>
      </c>
      <c r="AB190" s="30"/>
      <c r="AC190" s="30">
        <v>7</v>
      </c>
      <c r="AD190" s="30">
        <v>7</v>
      </c>
      <c r="AE190" s="59"/>
      <c r="AF190" s="59"/>
      <c r="AG190" s="35" t="s">
        <v>1104</v>
      </c>
      <c r="AH190" s="202" t="s">
        <v>19</v>
      </c>
      <c r="AI190" s="35" t="s">
        <v>1880</v>
      </c>
      <c r="AJ190" s="1343"/>
    </row>
    <row r="191" spans="1:36" s="11" customFormat="1" ht="26.25" customHeight="1" x14ac:dyDescent="0.15">
      <c r="A191" s="8">
        <f t="shared" si="0"/>
        <v>189</v>
      </c>
      <c r="B191" s="36" t="s">
        <v>9014</v>
      </c>
      <c r="C191" s="26" t="s">
        <v>19</v>
      </c>
      <c r="D191" s="26" t="s">
        <v>19</v>
      </c>
      <c r="E191" s="26" t="s">
        <v>19</v>
      </c>
      <c r="F191" s="29" t="s">
        <v>9064</v>
      </c>
      <c r="G191" s="53" t="s">
        <v>9031</v>
      </c>
      <c r="H191" s="26" t="s">
        <v>19</v>
      </c>
      <c r="I191" s="26" t="s">
        <v>19</v>
      </c>
      <c r="J191" s="26" t="s">
        <v>19</v>
      </c>
      <c r="K191" s="1345" t="s">
        <v>94</v>
      </c>
      <c r="L191" s="1361" t="s">
        <v>9065</v>
      </c>
      <c r="M191" s="1345" t="s">
        <v>7097</v>
      </c>
      <c r="N191" s="22" t="s">
        <v>9033</v>
      </c>
      <c r="O191" s="1347" t="s">
        <v>5478</v>
      </c>
      <c r="P191" s="1347" t="s">
        <v>111</v>
      </c>
      <c r="Q191" s="1346" t="s">
        <v>4676</v>
      </c>
      <c r="R191" s="54" t="s">
        <v>116</v>
      </c>
      <c r="S191" s="26" t="s">
        <v>19</v>
      </c>
      <c r="T191" s="1343" t="s">
        <v>5489</v>
      </c>
      <c r="U191" s="1343" t="s">
        <v>5489</v>
      </c>
      <c r="V191" s="24" t="s">
        <v>9012</v>
      </c>
      <c r="W191" s="90" t="s">
        <v>9029</v>
      </c>
      <c r="X191" s="24" t="s">
        <v>110</v>
      </c>
      <c r="Y191" s="24">
        <v>1</v>
      </c>
      <c r="Z191" s="24" t="s">
        <v>9034</v>
      </c>
      <c r="AA191" s="24" t="s">
        <v>9035</v>
      </c>
      <c r="AB191" s="30"/>
      <c r="AC191" s="30">
        <v>7</v>
      </c>
      <c r="AD191" s="30">
        <v>7</v>
      </c>
      <c r="AE191" s="59"/>
      <c r="AF191" s="59"/>
      <c r="AG191" s="35" t="s">
        <v>1104</v>
      </c>
      <c r="AH191" s="202" t="s">
        <v>19</v>
      </c>
      <c r="AI191" s="35" t="s">
        <v>1880</v>
      </c>
      <c r="AJ191" s="1343"/>
    </row>
    <row r="192" spans="1:36" s="11" customFormat="1" ht="26.25" customHeight="1" x14ac:dyDescent="0.15">
      <c r="A192" s="8">
        <f t="shared" si="0"/>
        <v>190</v>
      </c>
      <c r="B192" s="36" t="s">
        <v>9015</v>
      </c>
      <c r="C192" s="26" t="s">
        <v>19</v>
      </c>
      <c r="D192" s="26" t="s">
        <v>19</v>
      </c>
      <c r="E192" s="26" t="s">
        <v>19</v>
      </c>
      <c r="F192" s="29" t="s">
        <v>9064</v>
      </c>
      <c r="G192" s="53" t="s">
        <v>9031</v>
      </c>
      <c r="H192" s="26" t="s">
        <v>19</v>
      </c>
      <c r="I192" s="26" t="s">
        <v>19</v>
      </c>
      <c r="J192" s="26" t="s">
        <v>19</v>
      </c>
      <c r="K192" s="1345" t="s">
        <v>94</v>
      </c>
      <c r="L192" s="1361" t="s">
        <v>9065</v>
      </c>
      <c r="M192" s="1345" t="s">
        <v>7097</v>
      </c>
      <c r="N192" s="22" t="s">
        <v>9033</v>
      </c>
      <c r="O192" s="1347" t="s">
        <v>5478</v>
      </c>
      <c r="P192" s="1347" t="s">
        <v>111</v>
      </c>
      <c r="Q192" s="1346" t="s">
        <v>4676</v>
      </c>
      <c r="R192" s="54" t="s">
        <v>116</v>
      </c>
      <c r="S192" s="26" t="s">
        <v>19</v>
      </c>
      <c r="T192" s="1343" t="s">
        <v>5489</v>
      </c>
      <c r="U192" s="1343" t="s">
        <v>5489</v>
      </c>
      <c r="V192" s="24" t="s">
        <v>9012</v>
      </c>
      <c r="W192" s="90" t="s">
        <v>9029</v>
      </c>
      <c r="X192" s="24" t="s">
        <v>110</v>
      </c>
      <c r="Y192" s="24">
        <v>1</v>
      </c>
      <c r="Z192" s="24" t="s">
        <v>8981</v>
      </c>
      <c r="AA192" s="24" t="s">
        <v>9036</v>
      </c>
      <c r="AB192" s="30"/>
      <c r="AC192" s="30">
        <v>7</v>
      </c>
      <c r="AD192" s="30">
        <v>7</v>
      </c>
      <c r="AE192" s="59"/>
      <c r="AF192" s="59"/>
      <c r="AG192" s="35" t="s">
        <v>1104</v>
      </c>
      <c r="AH192" s="202" t="s">
        <v>19</v>
      </c>
      <c r="AI192" s="35" t="s">
        <v>1880</v>
      </c>
      <c r="AJ192" s="1343"/>
    </row>
    <row r="193" spans="1:36" s="11" customFormat="1" ht="26.25" customHeight="1" x14ac:dyDescent="0.15">
      <c r="A193" s="8">
        <f t="shared" si="0"/>
        <v>191</v>
      </c>
      <c r="B193" s="36" t="s">
        <v>9037</v>
      </c>
      <c r="C193" s="71" t="s">
        <v>9039</v>
      </c>
      <c r="D193" s="26" t="s">
        <v>19</v>
      </c>
      <c r="E193" s="26" t="s">
        <v>19</v>
      </c>
      <c r="F193" s="29" t="s">
        <v>6639</v>
      </c>
      <c r="G193" s="53" t="s">
        <v>9038</v>
      </c>
      <c r="H193" s="26" t="s">
        <v>19</v>
      </c>
      <c r="I193" s="26" t="s">
        <v>19</v>
      </c>
      <c r="J193" s="26" t="s">
        <v>19</v>
      </c>
      <c r="K193" s="1348" t="s">
        <v>4791</v>
      </c>
      <c r="L193" s="1348" t="s">
        <v>3101</v>
      </c>
      <c r="M193" s="1348" t="s">
        <v>6641</v>
      </c>
      <c r="N193" s="22" t="s">
        <v>7829</v>
      </c>
      <c r="O193" s="1348" t="s">
        <v>5431</v>
      </c>
      <c r="P193" s="1349" t="s">
        <v>111</v>
      </c>
      <c r="Q193" s="1348" t="s">
        <v>1131</v>
      </c>
      <c r="R193" s="54" t="s">
        <v>5317</v>
      </c>
      <c r="S193" s="26" t="s">
        <v>19</v>
      </c>
      <c r="T193" s="1348" t="s">
        <v>446</v>
      </c>
      <c r="U193" s="1348" t="s">
        <v>446</v>
      </c>
      <c r="V193" s="24" t="s">
        <v>9040</v>
      </c>
      <c r="W193" s="90" t="s">
        <v>8855</v>
      </c>
      <c r="X193" s="24" t="s">
        <v>110</v>
      </c>
      <c r="Y193" s="24">
        <v>1</v>
      </c>
      <c r="Z193" s="24" t="s">
        <v>448</v>
      </c>
      <c r="AA193" s="24" t="s">
        <v>448</v>
      </c>
      <c r="AB193" s="30">
        <v>4.51</v>
      </c>
      <c r="AC193" s="30"/>
      <c r="AD193" s="30">
        <v>4.51</v>
      </c>
      <c r="AE193" s="59"/>
      <c r="AF193" s="59"/>
      <c r="AG193" s="35" t="s">
        <v>1104</v>
      </c>
      <c r="AH193" s="202" t="s">
        <v>19</v>
      </c>
      <c r="AI193" s="35" t="s">
        <v>1880</v>
      </c>
      <c r="AJ193" s="1348"/>
    </row>
    <row r="194" spans="1:36" s="11" customFormat="1" ht="26.25" customHeight="1" x14ac:dyDescent="0.15">
      <c r="A194" s="8">
        <f t="shared" si="0"/>
        <v>192</v>
      </c>
      <c r="B194" s="36" t="s">
        <v>9044</v>
      </c>
      <c r="C194" s="26" t="s">
        <v>19</v>
      </c>
      <c r="D194" s="711" t="s">
        <v>9141</v>
      </c>
      <c r="E194" s="26" t="s">
        <v>19</v>
      </c>
      <c r="F194" s="149" t="s">
        <v>845</v>
      </c>
      <c r="G194" s="53" t="s">
        <v>9138</v>
      </c>
      <c r="H194" s="26" t="s">
        <v>448</v>
      </c>
      <c r="I194" s="26" t="s">
        <v>448</v>
      </c>
      <c r="J194" s="26" t="s">
        <v>448</v>
      </c>
      <c r="K194" s="18" t="s">
        <v>1829</v>
      </c>
      <c r="L194" s="142" t="s">
        <v>849</v>
      </c>
      <c r="M194" s="21" t="s">
        <v>6766</v>
      </c>
      <c r="N194" s="22" t="s">
        <v>855</v>
      </c>
      <c r="O194" s="22" t="s">
        <v>1826</v>
      </c>
      <c r="P194" s="22" t="s">
        <v>1880</v>
      </c>
      <c r="Q194" s="1355" t="s">
        <v>102</v>
      </c>
      <c r="R194" s="54" t="s">
        <v>6183</v>
      </c>
      <c r="S194" s="22" t="s">
        <v>1880</v>
      </c>
      <c r="T194" s="1350" t="s">
        <v>5487</v>
      </c>
      <c r="U194" s="1350" t="s">
        <v>5487</v>
      </c>
      <c r="V194" s="24" t="s">
        <v>9048</v>
      </c>
      <c r="W194" s="90" t="s">
        <v>9012</v>
      </c>
      <c r="X194" s="24" t="s">
        <v>110</v>
      </c>
      <c r="Y194" s="24">
        <v>1</v>
      </c>
      <c r="Z194" s="24" t="s">
        <v>448</v>
      </c>
      <c r="AA194" s="24" t="s">
        <v>448</v>
      </c>
      <c r="AB194" s="30">
        <v>2.9</v>
      </c>
      <c r="AC194" s="30"/>
      <c r="AD194" s="30">
        <v>2.9</v>
      </c>
      <c r="AE194" s="59"/>
      <c r="AF194" s="59"/>
      <c r="AG194" s="35" t="s">
        <v>1104</v>
      </c>
      <c r="AH194" s="202" t="s">
        <v>19</v>
      </c>
      <c r="AI194" s="35" t="s">
        <v>1880</v>
      </c>
      <c r="AJ194" s="1350"/>
    </row>
    <row r="195" spans="1:36" s="11" customFormat="1" ht="26.25" customHeight="1" x14ac:dyDescent="0.15">
      <c r="A195" s="8">
        <f t="shared" si="0"/>
        <v>193</v>
      </c>
      <c r="B195" s="36" t="s">
        <v>9045</v>
      </c>
      <c r="C195" s="26" t="s">
        <v>19</v>
      </c>
      <c r="D195" s="711" t="s">
        <v>9140</v>
      </c>
      <c r="E195" s="26" t="s">
        <v>19</v>
      </c>
      <c r="F195" s="149" t="s">
        <v>845</v>
      </c>
      <c r="G195" s="53" t="s">
        <v>9138</v>
      </c>
      <c r="H195" s="26" t="s">
        <v>448</v>
      </c>
      <c r="I195" s="26" t="s">
        <v>448</v>
      </c>
      <c r="J195" s="26" t="s">
        <v>448</v>
      </c>
      <c r="K195" s="1354" t="s">
        <v>2135</v>
      </c>
      <c r="L195" s="1354" t="s">
        <v>1789</v>
      </c>
      <c r="M195" s="1354" t="s">
        <v>7783</v>
      </c>
      <c r="N195" s="22" t="s">
        <v>4780</v>
      </c>
      <c r="O195" s="22" t="s">
        <v>5478</v>
      </c>
      <c r="P195" s="1356" t="s">
        <v>111</v>
      </c>
      <c r="Q195" s="1355" t="s">
        <v>4676</v>
      </c>
      <c r="R195" s="54" t="s">
        <v>6183</v>
      </c>
      <c r="S195" s="22" t="s">
        <v>1880</v>
      </c>
      <c r="T195" s="1350" t="s">
        <v>5487</v>
      </c>
      <c r="U195" s="1350" t="s">
        <v>5487</v>
      </c>
      <c r="V195" s="24" t="s">
        <v>9048</v>
      </c>
      <c r="W195" s="90" t="s">
        <v>9012</v>
      </c>
      <c r="X195" s="24" t="s">
        <v>110</v>
      </c>
      <c r="Y195" s="24">
        <v>1</v>
      </c>
      <c r="Z195" s="24" t="s">
        <v>448</v>
      </c>
      <c r="AA195" s="24" t="s">
        <v>448</v>
      </c>
      <c r="AB195" s="30">
        <v>2.9</v>
      </c>
      <c r="AC195" s="30"/>
      <c r="AD195" s="30">
        <v>2.9</v>
      </c>
      <c r="AE195" s="59"/>
      <c r="AF195" s="59"/>
      <c r="AG195" s="35" t="s">
        <v>1104</v>
      </c>
      <c r="AH195" s="202" t="s">
        <v>19</v>
      </c>
      <c r="AI195" s="35" t="s">
        <v>1880</v>
      </c>
      <c r="AJ195" s="1350"/>
    </row>
    <row r="196" spans="1:36" s="11" customFormat="1" ht="26.25" customHeight="1" x14ac:dyDescent="0.15">
      <c r="A196" s="8">
        <f t="shared" si="0"/>
        <v>194</v>
      </c>
      <c r="B196" s="36" t="s">
        <v>9046</v>
      </c>
      <c r="C196" s="26" t="s">
        <v>19</v>
      </c>
      <c r="D196" s="711" t="s">
        <v>9140</v>
      </c>
      <c r="E196" s="26" t="s">
        <v>19</v>
      </c>
      <c r="F196" s="29" t="s">
        <v>9047</v>
      </c>
      <c r="G196" s="53" t="s">
        <v>9139</v>
      </c>
      <c r="H196" s="26" t="s">
        <v>448</v>
      </c>
      <c r="I196" s="26" t="s">
        <v>448</v>
      </c>
      <c r="J196" s="26" t="s">
        <v>448</v>
      </c>
      <c r="K196" s="1355" t="s">
        <v>3649</v>
      </c>
      <c r="L196" s="1355" t="s">
        <v>5419</v>
      </c>
      <c r="M196" s="1355" t="s">
        <v>8198</v>
      </c>
      <c r="N196" s="22" t="s">
        <v>4780</v>
      </c>
      <c r="O196" s="22" t="s">
        <v>5431</v>
      </c>
      <c r="P196" s="1356" t="s">
        <v>1880</v>
      </c>
      <c r="Q196" s="1355" t="s">
        <v>1131</v>
      </c>
      <c r="R196" s="54" t="s">
        <v>6183</v>
      </c>
      <c r="S196" s="22" t="s">
        <v>1880</v>
      </c>
      <c r="T196" s="1350" t="s">
        <v>5487</v>
      </c>
      <c r="U196" s="1350" t="s">
        <v>5487</v>
      </c>
      <c r="V196" s="24" t="s">
        <v>9048</v>
      </c>
      <c r="W196" s="90" t="s">
        <v>9012</v>
      </c>
      <c r="X196" s="24" t="s">
        <v>110</v>
      </c>
      <c r="Y196" s="24">
        <v>1</v>
      </c>
      <c r="Z196" s="24" t="s">
        <v>448</v>
      </c>
      <c r="AA196" s="24" t="s">
        <v>448</v>
      </c>
      <c r="AB196" s="30">
        <v>2.9</v>
      </c>
      <c r="AC196" s="30"/>
      <c r="AD196" s="30">
        <v>2.9</v>
      </c>
      <c r="AE196" s="59"/>
      <c r="AF196" s="59"/>
      <c r="AG196" s="35" t="s">
        <v>1104</v>
      </c>
      <c r="AH196" s="202" t="s">
        <v>19</v>
      </c>
      <c r="AI196" s="35" t="s">
        <v>1880</v>
      </c>
      <c r="AJ196" s="1350"/>
    </row>
    <row r="197" spans="1:36" s="11" customFormat="1" ht="26.25" customHeight="1" x14ac:dyDescent="0.15">
      <c r="A197" s="8">
        <f t="shared" si="0"/>
        <v>195</v>
      </c>
      <c r="B197" s="36" t="s">
        <v>9057</v>
      </c>
      <c r="C197" s="26" t="s">
        <v>19</v>
      </c>
      <c r="D197" s="26" t="s">
        <v>9889</v>
      </c>
      <c r="E197" s="26" t="s">
        <v>19</v>
      </c>
      <c r="F197" s="29" t="s">
        <v>5975</v>
      </c>
      <c r="G197" s="53" t="s">
        <v>9059</v>
      </c>
      <c r="H197" s="26" t="s">
        <v>448</v>
      </c>
      <c r="I197" s="26" t="s">
        <v>448</v>
      </c>
      <c r="J197" s="26" t="s">
        <v>448</v>
      </c>
      <c r="K197" s="1358" t="s">
        <v>5448</v>
      </c>
      <c r="L197" s="1358" t="s">
        <v>1124</v>
      </c>
      <c r="M197" s="1358" t="s">
        <v>5449</v>
      </c>
      <c r="N197" s="22" t="s">
        <v>6198</v>
      </c>
      <c r="O197" s="22" t="s">
        <v>1826</v>
      </c>
      <c r="P197" s="1360" t="s">
        <v>1880</v>
      </c>
      <c r="Q197" s="216" t="s">
        <v>25</v>
      </c>
      <c r="R197" s="54" t="s">
        <v>4402</v>
      </c>
      <c r="S197" s="22" t="s">
        <v>1880</v>
      </c>
      <c r="T197" s="1359" t="s">
        <v>5487</v>
      </c>
      <c r="U197" s="1359" t="s">
        <v>5487</v>
      </c>
      <c r="V197" s="24" t="s">
        <v>9060</v>
      </c>
      <c r="W197" s="90" t="s">
        <v>9061</v>
      </c>
      <c r="X197" s="24" t="s">
        <v>110</v>
      </c>
      <c r="Y197" s="24">
        <v>1</v>
      </c>
      <c r="Z197" s="24" t="s">
        <v>448</v>
      </c>
      <c r="AA197" s="24" t="s">
        <v>448</v>
      </c>
      <c r="AB197" s="30">
        <v>6.9</v>
      </c>
      <c r="AC197" s="30"/>
      <c r="AD197" s="30">
        <v>6.9</v>
      </c>
      <c r="AE197" s="59"/>
      <c r="AF197" s="59"/>
      <c r="AG197" s="35" t="s">
        <v>1104</v>
      </c>
      <c r="AH197" s="202" t="s">
        <v>19</v>
      </c>
      <c r="AI197" s="35" t="s">
        <v>1880</v>
      </c>
      <c r="AJ197" s="1350"/>
    </row>
    <row r="198" spans="1:36" s="11" customFormat="1" ht="26.25" customHeight="1" x14ac:dyDescent="0.15">
      <c r="A198" s="8">
        <f t="shared" si="0"/>
        <v>196</v>
      </c>
      <c r="B198" s="36" t="s">
        <v>9058</v>
      </c>
      <c r="C198" s="26" t="s">
        <v>19</v>
      </c>
      <c r="D198" s="26" t="s">
        <v>9890</v>
      </c>
      <c r="E198" s="26" t="s">
        <v>19</v>
      </c>
      <c r="F198" s="29" t="s">
        <v>5975</v>
      </c>
      <c r="G198" s="53" t="s">
        <v>9059</v>
      </c>
      <c r="H198" s="26" t="s">
        <v>448</v>
      </c>
      <c r="I198" s="26" t="s">
        <v>448</v>
      </c>
      <c r="J198" s="26" t="s">
        <v>448</v>
      </c>
      <c r="K198" s="1358" t="s">
        <v>5448</v>
      </c>
      <c r="L198" s="1358" t="s">
        <v>1124</v>
      </c>
      <c r="M198" s="1358" t="s">
        <v>5454</v>
      </c>
      <c r="N198" s="22" t="s">
        <v>6204</v>
      </c>
      <c r="O198" s="22" t="s">
        <v>1826</v>
      </c>
      <c r="P198" s="1360" t="s">
        <v>1880</v>
      </c>
      <c r="Q198" s="216" t="s">
        <v>25</v>
      </c>
      <c r="R198" s="54" t="s">
        <v>4402</v>
      </c>
      <c r="S198" s="22" t="s">
        <v>1880</v>
      </c>
      <c r="T198" s="1359" t="s">
        <v>5487</v>
      </c>
      <c r="U198" s="1359" t="s">
        <v>5487</v>
      </c>
      <c r="V198" s="24" t="s">
        <v>9060</v>
      </c>
      <c r="W198" s="90" t="s">
        <v>9061</v>
      </c>
      <c r="X198" s="24" t="s">
        <v>110</v>
      </c>
      <c r="Y198" s="24">
        <v>1</v>
      </c>
      <c r="Z198" s="24" t="s">
        <v>448</v>
      </c>
      <c r="AA198" s="24" t="s">
        <v>448</v>
      </c>
      <c r="AB198" s="30">
        <v>6.9</v>
      </c>
      <c r="AC198" s="30"/>
      <c r="AD198" s="30">
        <v>6.9</v>
      </c>
      <c r="AE198" s="59"/>
      <c r="AF198" s="59"/>
      <c r="AG198" s="35" t="s">
        <v>1104</v>
      </c>
      <c r="AH198" s="202" t="s">
        <v>19</v>
      </c>
      <c r="AI198" s="35" t="s">
        <v>1880</v>
      </c>
      <c r="AJ198" s="1359"/>
    </row>
    <row r="199" spans="1:36" s="11" customFormat="1" ht="26.25" customHeight="1" x14ac:dyDescent="0.15">
      <c r="A199" s="8">
        <f t="shared" si="0"/>
        <v>197</v>
      </c>
      <c r="B199" s="36" t="s">
        <v>9069</v>
      </c>
      <c r="C199" s="71" t="s">
        <v>9062</v>
      </c>
      <c r="D199" s="26" t="s">
        <v>19</v>
      </c>
      <c r="E199" s="26" t="s">
        <v>19</v>
      </c>
      <c r="F199" s="29" t="s">
        <v>9056</v>
      </c>
      <c r="G199" s="98" t="s">
        <v>9113</v>
      </c>
      <c r="H199" s="26" t="s">
        <v>448</v>
      </c>
      <c r="I199" s="26" t="s">
        <v>448</v>
      </c>
      <c r="J199" s="26" t="s">
        <v>448</v>
      </c>
      <c r="K199" s="1358" t="s">
        <v>2032</v>
      </c>
      <c r="L199" s="1358" t="s">
        <v>270</v>
      </c>
      <c r="M199" s="21" t="s">
        <v>610</v>
      </c>
      <c r="N199" s="21" t="s">
        <v>609</v>
      </c>
      <c r="O199" s="22" t="s">
        <v>1826</v>
      </c>
      <c r="P199" s="22" t="s">
        <v>1880</v>
      </c>
      <c r="Q199" s="1359" t="s">
        <v>102</v>
      </c>
      <c r="R199" s="54" t="s">
        <v>4402</v>
      </c>
      <c r="S199" s="22" t="s">
        <v>1880</v>
      </c>
      <c r="T199" s="1350" t="s">
        <v>446</v>
      </c>
      <c r="U199" s="1350" t="s">
        <v>446</v>
      </c>
      <c r="V199" s="24" t="s">
        <v>9060</v>
      </c>
      <c r="W199" s="90" t="s">
        <v>9114</v>
      </c>
      <c r="X199" s="24" t="s">
        <v>110</v>
      </c>
      <c r="Y199" s="24">
        <v>1</v>
      </c>
      <c r="Z199" s="24" t="s">
        <v>448</v>
      </c>
      <c r="AA199" s="24" t="s">
        <v>448</v>
      </c>
      <c r="AB199" s="30">
        <v>4.8499999999999996</v>
      </c>
      <c r="AC199" s="30"/>
      <c r="AD199" s="30">
        <v>4.8499999999999996</v>
      </c>
      <c r="AE199" s="59"/>
      <c r="AF199" s="59"/>
      <c r="AG199" s="35" t="s">
        <v>1104</v>
      </c>
      <c r="AH199" s="202" t="s">
        <v>19</v>
      </c>
      <c r="AI199" s="35" t="s">
        <v>1880</v>
      </c>
      <c r="AJ199" s="1350" t="s">
        <v>9063</v>
      </c>
    </row>
    <row r="200" spans="1:36" s="11" customFormat="1" ht="26.25" customHeight="1" x14ac:dyDescent="0.15">
      <c r="A200" s="8">
        <f t="shared" si="0"/>
        <v>198</v>
      </c>
      <c r="B200" s="611" t="s">
        <v>9066</v>
      </c>
      <c r="C200" s="22" t="s">
        <v>1880</v>
      </c>
      <c r="D200" s="22" t="s">
        <v>1880</v>
      </c>
      <c r="E200" s="26" t="s">
        <v>19</v>
      </c>
      <c r="F200" s="22" t="s">
        <v>1880</v>
      </c>
      <c r="G200" s="22" t="s">
        <v>1880</v>
      </c>
      <c r="H200" s="26" t="s">
        <v>448</v>
      </c>
      <c r="I200" s="26" t="s">
        <v>448</v>
      </c>
      <c r="J200" s="26" t="s">
        <v>448</v>
      </c>
      <c r="K200" s="22" t="s">
        <v>1880</v>
      </c>
      <c r="L200" s="22" t="s">
        <v>1880</v>
      </c>
      <c r="M200" s="22" t="s">
        <v>1880</v>
      </c>
      <c r="N200" s="22" t="s">
        <v>1880</v>
      </c>
      <c r="O200" s="22" t="s">
        <v>1880</v>
      </c>
      <c r="P200" s="22" t="s">
        <v>1880</v>
      </c>
      <c r="Q200" s="22" t="s">
        <v>1880</v>
      </c>
      <c r="R200" s="22" t="s">
        <v>1880</v>
      </c>
      <c r="S200" s="22" t="s">
        <v>1880</v>
      </c>
      <c r="T200" s="22" t="s">
        <v>1880</v>
      </c>
      <c r="U200" s="22" t="s">
        <v>1880</v>
      </c>
      <c r="V200" s="22" t="s">
        <v>1880</v>
      </c>
      <c r="W200" s="22" t="s">
        <v>1880</v>
      </c>
      <c r="X200" s="22" t="s">
        <v>1880</v>
      </c>
      <c r="Y200" s="22" t="s">
        <v>1880</v>
      </c>
      <c r="Z200" s="24" t="s">
        <v>448</v>
      </c>
      <c r="AA200" s="24" t="s">
        <v>448</v>
      </c>
      <c r="AB200" s="30">
        <v>0</v>
      </c>
      <c r="AC200" s="30"/>
      <c r="AD200" s="30">
        <v>0</v>
      </c>
      <c r="AE200" s="59"/>
      <c r="AF200" s="59"/>
      <c r="AG200" s="35" t="s">
        <v>1104</v>
      </c>
      <c r="AH200" s="202" t="s">
        <v>19</v>
      </c>
      <c r="AI200" s="35" t="s">
        <v>1880</v>
      </c>
      <c r="AJ200" s="1359" t="s">
        <v>9067</v>
      </c>
    </row>
    <row r="201" spans="1:36" s="11" customFormat="1" ht="26.25" customHeight="1" x14ac:dyDescent="0.15">
      <c r="A201" s="8">
        <f t="shared" si="0"/>
        <v>199</v>
      </c>
      <c r="B201" s="36" t="s">
        <v>9070</v>
      </c>
      <c r="C201" s="22" t="s">
        <v>1880</v>
      </c>
      <c r="D201" s="22" t="s">
        <v>1880</v>
      </c>
      <c r="E201" s="26" t="s">
        <v>19</v>
      </c>
      <c r="F201" s="29" t="s">
        <v>9074</v>
      </c>
      <c r="G201" s="64" t="s">
        <v>9100</v>
      </c>
      <c r="H201" s="26" t="s">
        <v>448</v>
      </c>
      <c r="I201" s="26" t="s">
        <v>448</v>
      </c>
      <c r="J201" s="26" t="s">
        <v>448</v>
      </c>
      <c r="K201" s="1363" t="s">
        <v>4195</v>
      </c>
      <c r="L201" s="1363" t="s">
        <v>3101</v>
      </c>
      <c r="M201" s="1363" t="s">
        <v>9075</v>
      </c>
      <c r="N201" s="22" t="s">
        <v>1880</v>
      </c>
      <c r="O201" s="22" t="s">
        <v>1826</v>
      </c>
      <c r="P201" s="22" t="s">
        <v>1880</v>
      </c>
      <c r="Q201" s="1364" t="s">
        <v>7591</v>
      </c>
      <c r="R201" s="54" t="s">
        <v>8244</v>
      </c>
      <c r="S201" s="22" t="s">
        <v>1880</v>
      </c>
      <c r="T201" s="1364" t="s">
        <v>414</v>
      </c>
      <c r="U201" s="1364" t="s">
        <v>414</v>
      </c>
      <c r="V201" s="24" t="s">
        <v>9076</v>
      </c>
      <c r="W201" s="90" t="s">
        <v>9048</v>
      </c>
      <c r="X201" s="24" t="s">
        <v>110</v>
      </c>
      <c r="Y201" s="24">
        <v>1</v>
      </c>
      <c r="Z201" s="24" t="s">
        <v>448</v>
      </c>
      <c r="AA201" s="24" t="s">
        <v>448</v>
      </c>
      <c r="AB201" s="30">
        <v>62.38</v>
      </c>
      <c r="AC201" s="30"/>
      <c r="AD201" s="30">
        <v>62.38</v>
      </c>
      <c r="AE201" s="59"/>
      <c r="AF201" s="59"/>
      <c r="AG201" s="35" t="s">
        <v>1104</v>
      </c>
      <c r="AH201" s="202" t="s">
        <v>19</v>
      </c>
      <c r="AI201" s="35" t="s">
        <v>1880</v>
      </c>
      <c r="AJ201" s="1364" t="s">
        <v>10137</v>
      </c>
    </row>
    <row r="202" spans="1:36" s="11" customFormat="1" ht="26.25" customHeight="1" x14ac:dyDescent="0.15">
      <c r="A202" s="8">
        <f t="shared" si="0"/>
        <v>200</v>
      </c>
      <c r="B202" s="36" t="s">
        <v>9071</v>
      </c>
      <c r="C202" s="22" t="s">
        <v>1880</v>
      </c>
      <c r="D202" s="22" t="s">
        <v>1880</v>
      </c>
      <c r="E202" s="26" t="s">
        <v>19</v>
      </c>
      <c r="F202" s="29" t="s">
        <v>9074</v>
      </c>
      <c r="G202" s="64" t="s">
        <v>9100</v>
      </c>
      <c r="H202" s="26" t="s">
        <v>448</v>
      </c>
      <c r="I202" s="26" t="s">
        <v>448</v>
      </c>
      <c r="J202" s="26" t="s">
        <v>448</v>
      </c>
      <c r="K202" s="1363" t="s">
        <v>4195</v>
      </c>
      <c r="L202" s="1363" t="s">
        <v>3101</v>
      </c>
      <c r="M202" s="1363" t="s">
        <v>9077</v>
      </c>
      <c r="N202" s="22" t="s">
        <v>1880</v>
      </c>
      <c r="O202" s="22" t="s">
        <v>1826</v>
      </c>
      <c r="P202" s="22" t="s">
        <v>1880</v>
      </c>
      <c r="Q202" s="1364" t="s">
        <v>7591</v>
      </c>
      <c r="R202" s="54" t="s">
        <v>8244</v>
      </c>
      <c r="S202" s="22" t="s">
        <v>1880</v>
      </c>
      <c r="T202" s="1364" t="s">
        <v>414</v>
      </c>
      <c r="U202" s="1364" t="s">
        <v>414</v>
      </c>
      <c r="V202" s="24" t="s">
        <v>9076</v>
      </c>
      <c r="W202" s="90" t="s">
        <v>9048</v>
      </c>
      <c r="X202" s="24" t="s">
        <v>110</v>
      </c>
      <c r="Y202" s="24">
        <v>1</v>
      </c>
      <c r="Z202" s="24" t="s">
        <v>448</v>
      </c>
      <c r="AA202" s="24" t="s">
        <v>448</v>
      </c>
      <c r="AB202" s="30">
        <v>10.55</v>
      </c>
      <c r="AC202" s="30"/>
      <c r="AD202" s="30">
        <v>10.55</v>
      </c>
      <c r="AE202" s="59"/>
      <c r="AF202" s="59"/>
      <c r="AG202" s="35" t="s">
        <v>1104</v>
      </c>
      <c r="AH202" s="202" t="s">
        <v>19</v>
      </c>
      <c r="AI202" s="35" t="s">
        <v>1880</v>
      </c>
      <c r="AJ202" s="1364" t="s">
        <v>9937</v>
      </c>
    </row>
    <row r="203" spans="1:36" s="11" customFormat="1" ht="42" customHeight="1" x14ac:dyDescent="0.15">
      <c r="A203" s="8">
        <f t="shared" si="0"/>
        <v>201</v>
      </c>
      <c r="B203" s="36" t="s">
        <v>9072</v>
      </c>
      <c r="C203" s="22" t="s">
        <v>1880</v>
      </c>
      <c r="D203" s="22" t="s">
        <v>1880</v>
      </c>
      <c r="E203" s="26" t="s">
        <v>19</v>
      </c>
      <c r="F203" s="29" t="s">
        <v>9074</v>
      </c>
      <c r="G203" s="64" t="s">
        <v>9100</v>
      </c>
      <c r="H203" s="26" t="s">
        <v>448</v>
      </c>
      <c r="I203" s="26" t="s">
        <v>448</v>
      </c>
      <c r="J203" s="26" t="s">
        <v>448</v>
      </c>
      <c r="K203" s="1363" t="s">
        <v>4195</v>
      </c>
      <c r="L203" s="1363" t="s">
        <v>3101</v>
      </c>
      <c r="M203" s="1363" t="s">
        <v>9078</v>
      </c>
      <c r="N203" s="22" t="s">
        <v>1880</v>
      </c>
      <c r="O203" s="22" t="s">
        <v>1826</v>
      </c>
      <c r="P203" s="22" t="s">
        <v>1880</v>
      </c>
      <c r="Q203" s="1364" t="s">
        <v>7591</v>
      </c>
      <c r="R203" s="54" t="s">
        <v>8244</v>
      </c>
      <c r="S203" s="22" t="s">
        <v>1880</v>
      </c>
      <c r="T203" s="1364" t="s">
        <v>414</v>
      </c>
      <c r="U203" s="1364" t="s">
        <v>414</v>
      </c>
      <c r="V203" s="24" t="s">
        <v>9076</v>
      </c>
      <c r="W203" s="90" t="s">
        <v>9048</v>
      </c>
      <c r="X203" s="24" t="s">
        <v>110</v>
      </c>
      <c r="Y203" s="24">
        <v>1</v>
      </c>
      <c r="Z203" s="24" t="s">
        <v>448</v>
      </c>
      <c r="AA203" s="24" t="s">
        <v>448</v>
      </c>
      <c r="AB203" s="30">
        <v>96.38</v>
      </c>
      <c r="AC203" s="30"/>
      <c r="AD203" s="30">
        <v>96.38</v>
      </c>
      <c r="AE203" s="59"/>
      <c r="AF203" s="59"/>
      <c r="AG203" s="35" t="s">
        <v>1104</v>
      </c>
      <c r="AH203" s="202" t="s">
        <v>19</v>
      </c>
      <c r="AI203" s="35" t="s">
        <v>1880</v>
      </c>
      <c r="AJ203" s="1364" t="s">
        <v>9886</v>
      </c>
    </row>
    <row r="204" spans="1:36" s="11" customFormat="1" ht="38.25" customHeight="1" x14ac:dyDescent="0.15">
      <c r="A204" s="8">
        <f t="shared" si="0"/>
        <v>202</v>
      </c>
      <c r="B204" s="36" t="s">
        <v>9073</v>
      </c>
      <c r="C204" s="22" t="s">
        <v>1880</v>
      </c>
      <c r="D204" s="22" t="s">
        <v>1880</v>
      </c>
      <c r="E204" s="26" t="s">
        <v>19</v>
      </c>
      <c r="F204" s="29" t="s">
        <v>9074</v>
      </c>
      <c r="G204" s="64" t="s">
        <v>9100</v>
      </c>
      <c r="H204" s="26" t="s">
        <v>448</v>
      </c>
      <c r="I204" s="26" t="s">
        <v>448</v>
      </c>
      <c r="J204" s="26" t="s">
        <v>448</v>
      </c>
      <c r="K204" s="1363" t="s">
        <v>4195</v>
      </c>
      <c r="L204" s="1363" t="s">
        <v>3101</v>
      </c>
      <c r="M204" s="1363" t="s">
        <v>9079</v>
      </c>
      <c r="N204" s="22" t="s">
        <v>1880</v>
      </c>
      <c r="O204" s="22" t="s">
        <v>1826</v>
      </c>
      <c r="P204" s="22" t="s">
        <v>1880</v>
      </c>
      <c r="Q204" s="1364" t="s">
        <v>7591</v>
      </c>
      <c r="R204" s="54" t="s">
        <v>8244</v>
      </c>
      <c r="S204" s="22" t="s">
        <v>1880</v>
      </c>
      <c r="T204" s="1364" t="s">
        <v>414</v>
      </c>
      <c r="U204" s="1364" t="s">
        <v>414</v>
      </c>
      <c r="V204" s="24" t="s">
        <v>9076</v>
      </c>
      <c r="W204" s="90" t="s">
        <v>9048</v>
      </c>
      <c r="X204" s="24" t="s">
        <v>110</v>
      </c>
      <c r="Y204" s="24">
        <v>1</v>
      </c>
      <c r="Z204" s="24" t="s">
        <v>448</v>
      </c>
      <c r="AA204" s="24" t="s">
        <v>448</v>
      </c>
      <c r="AB204" s="30">
        <v>62.25</v>
      </c>
      <c r="AC204" s="30"/>
      <c r="AD204" s="30">
        <v>62.25</v>
      </c>
      <c r="AE204" s="59"/>
      <c r="AF204" s="59"/>
      <c r="AG204" s="35" t="s">
        <v>1104</v>
      </c>
      <c r="AH204" s="202" t="s">
        <v>19</v>
      </c>
      <c r="AI204" s="35" t="s">
        <v>1880</v>
      </c>
      <c r="AJ204" s="1364" t="s">
        <v>9909</v>
      </c>
    </row>
    <row r="205" spans="1:36" s="11" customFormat="1" ht="26.25" customHeight="1" x14ac:dyDescent="0.15">
      <c r="A205" s="8">
        <f t="shared" si="0"/>
        <v>203</v>
      </c>
      <c r="B205" s="36" t="s">
        <v>9080</v>
      </c>
      <c r="C205" s="22" t="s">
        <v>1880</v>
      </c>
      <c r="D205" s="22" t="s">
        <v>1880</v>
      </c>
      <c r="E205" s="26" t="s">
        <v>19</v>
      </c>
      <c r="F205" s="29" t="s">
        <v>7011</v>
      </c>
      <c r="G205" s="53" t="s">
        <v>9082</v>
      </c>
      <c r="H205" s="26" t="s">
        <v>448</v>
      </c>
      <c r="I205" s="26" t="s">
        <v>448</v>
      </c>
      <c r="J205" s="26" t="s">
        <v>448</v>
      </c>
      <c r="K205" s="1365" t="s">
        <v>4712</v>
      </c>
      <c r="L205" s="1365" t="s">
        <v>5383</v>
      </c>
      <c r="M205" s="1365" t="s">
        <v>6990</v>
      </c>
      <c r="N205" s="22" t="s">
        <v>4780</v>
      </c>
      <c r="O205" s="22" t="s">
        <v>1826</v>
      </c>
      <c r="P205" s="22" t="s">
        <v>1880</v>
      </c>
      <c r="Q205" s="1366" t="s">
        <v>102</v>
      </c>
      <c r="R205" s="54" t="s">
        <v>116</v>
      </c>
      <c r="S205" s="22" t="s">
        <v>1880</v>
      </c>
      <c r="T205" s="1364" t="s">
        <v>5571</v>
      </c>
      <c r="U205" s="1364" t="s">
        <v>5571</v>
      </c>
      <c r="V205" s="24" t="s">
        <v>9083</v>
      </c>
      <c r="W205" s="90" t="s">
        <v>9084</v>
      </c>
      <c r="X205" s="24" t="s">
        <v>110</v>
      </c>
      <c r="Y205" s="24">
        <v>1</v>
      </c>
      <c r="Z205" s="24" t="s">
        <v>9084</v>
      </c>
      <c r="AA205" s="24" t="s">
        <v>9085</v>
      </c>
      <c r="AB205" s="30"/>
      <c r="AC205" s="30">
        <v>10</v>
      </c>
      <c r="AD205" s="30">
        <v>10</v>
      </c>
      <c r="AE205" s="59"/>
      <c r="AF205" s="59"/>
      <c r="AG205" s="35" t="s">
        <v>1104</v>
      </c>
      <c r="AH205" s="202" t="s">
        <v>19</v>
      </c>
      <c r="AI205" s="35" t="s">
        <v>1880</v>
      </c>
      <c r="AJ205" s="1364"/>
    </row>
    <row r="206" spans="1:36" s="11" customFormat="1" ht="26.25" customHeight="1" x14ac:dyDescent="0.15">
      <c r="A206" s="8">
        <f t="shared" si="0"/>
        <v>204</v>
      </c>
      <c r="B206" s="36" t="s">
        <v>9081</v>
      </c>
      <c r="C206" s="22" t="s">
        <v>1880</v>
      </c>
      <c r="D206" s="22" t="s">
        <v>1880</v>
      </c>
      <c r="E206" s="26" t="s">
        <v>19</v>
      </c>
      <c r="F206" s="29" t="s">
        <v>9086</v>
      </c>
      <c r="G206" s="53" t="s">
        <v>9087</v>
      </c>
      <c r="H206" s="26" t="s">
        <v>448</v>
      </c>
      <c r="I206" s="26" t="s">
        <v>448</v>
      </c>
      <c r="J206" s="26" t="s">
        <v>448</v>
      </c>
      <c r="K206" s="1366" t="s">
        <v>4712</v>
      </c>
      <c r="L206" s="1366" t="s">
        <v>5383</v>
      </c>
      <c r="M206" s="1366" t="s">
        <v>6882</v>
      </c>
      <c r="N206" s="22" t="s">
        <v>9525</v>
      </c>
      <c r="O206" s="22" t="s">
        <v>1826</v>
      </c>
      <c r="P206" s="22" t="s">
        <v>1880</v>
      </c>
      <c r="Q206" s="1366" t="s">
        <v>102</v>
      </c>
      <c r="R206" s="54" t="s">
        <v>116</v>
      </c>
      <c r="S206" s="22" t="s">
        <v>1880</v>
      </c>
      <c r="T206" s="1366" t="s">
        <v>5571</v>
      </c>
      <c r="U206" s="1366" t="s">
        <v>5571</v>
      </c>
      <c r="V206" s="24" t="s">
        <v>9083</v>
      </c>
      <c r="W206" s="90" t="s">
        <v>9084</v>
      </c>
      <c r="X206" s="24" t="s">
        <v>110</v>
      </c>
      <c r="Y206" s="24">
        <v>1</v>
      </c>
      <c r="Z206" s="24" t="s">
        <v>9084</v>
      </c>
      <c r="AA206" s="24" t="s">
        <v>9085</v>
      </c>
      <c r="AB206" s="30"/>
      <c r="AC206" s="30">
        <v>10</v>
      </c>
      <c r="AD206" s="30">
        <v>10</v>
      </c>
      <c r="AE206" s="59"/>
      <c r="AF206" s="59"/>
      <c r="AG206" s="35" t="s">
        <v>1104</v>
      </c>
      <c r="AH206" s="202" t="s">
        <v>19</v>
      </c>
      <c r="AI206" s="35" t="s">
        <v>1880</v>
      </c>
      <c r="AJ206" s="1364"/>
    </row>
    <row r="207" spans="1:36" s="11" customFormat="1" ht="26.25" customHeight="1" x14ac:dyDescent="0.15">
      <c r="A207" s="8">
        <f t="shared" si="0"/>
        <v>205</v>
      </c>
      <c r="B207" s="36" t="s">
        <v>9142</v>
      </c>
      <c r="C207" s="22" t="s">
        <v>1880</v>
      </c>
      <c r="D207" s="22" t="s">
        <v>1880</v>
      </c>
      <c r="E207" s="26" t="s">
        <v>19</v>
      </c>
      <c r="F207" s="29" t="s">
        <v>9088</v>
      </c>
      <c r="G207" s="53" t="s">
        <v>9143</v>
      </c>
      <c r="H207" s="26" t="s">
        <v>448</v>
      </c>
      <c r="I207" s="26" t="s">
        <v>448</v>
      </c>
      <c r="J207" s="26" t="s">
        <v>448</v>
      </c>
      <c r="K207" s="1" t="s">
        <v>23</v>
      </c>
      <c r="L207" s="142" t="s">
        <v>177</v>
      </c>
      <c r="M207" s="1" t="s">
        <v>5008</v>
      </c>
      <c r="N207" s="1" t="s">
        <v>5009</v>
      </c>
      <c r="O207" s="22" t="s">
        <v>1826</v>
      </c>
      <c r="P207" s="22" t="s">
        <v>1880</v>
      </c>
      <c r="Q207" s="1366" t="s">
        <v>102</v>
      </c>
      <c r="R207" s="54" t="s">
        <v>116</v>
      </c>
      <c r="S207" s="22" t="s">
        <v>1880</v>
      </c>
      <c r="T207" s="1364" t="s">
        <v>1894</v>
      </c>
      <c r="U207" s="1366" t="s">
        <v>1894</v>
      </c>
      <c r="V207" s="24" t="s">
        <v>9083</v>
      </c>
      <c r="W207" s="90" t="s">
        <v>9114</v>
      </c>
      <c r="X207" s="24" t="s">
        <v>110</v>
      </c>
      <c r="Y207" s="24">
        <v>1</v>
      </c>
      <c r="Z207" s="24" t="s">
        <v>8441</v>
      </c>
      <c r="AA207" s="24" t="s">
        <v>6470</v>
      </c>
      <c r="AB207" s="30"/>
      <c r="AC207" s="30">
        <v>9.1</v>
      </c>
      <c r="AD207" s="30">
        <v>9.1</v>
      </c>
      <c r="AE207" s="59"/>
      <c r="AF207" s="59"/>
      <c r="AG207" s="35" t="s">
        <v>1104</v>
      </c>
      <c r="AH207" s="202" t="s">
        <v>19</v>
      </c>
      <c r="AI207" s="35" t="s">
        <v>1880</v>
      </c>
      <c r="AJ207" s="1364" t="s">
        <v>9091</v>
      </c>
    </row>
    <row r="208" spans="1:36" s="11" customFormat="1" ht="26.25" customHeight="1" x14ac:dyDescent="0.15">
      <c r="A208" s="8">
        <f t="shared" si="0"/>
        <v>206</v>
      </c>
      <c r="B208" s="36" t="s">
        <v>9146</v>
      </c>
      <c r="C208" s="22" t="s">
        <v>1880</v>
      </c>
      <c r="D208" s="22" t="s">
        <v>1880</v>
      </c>
      <c r="E208" s="26" t="s">
        <v>19</v>
      </c>
      <c r="F208" s="29" t="s">
        <v>9089</v>
      </c>
      <c r="G208" s="53" t="s">
        <v>9144</v>
      </c>
      <c r="H208" s="26" t="s">
        <v>448</v>
      </c>
      <c r="I208" s="26" t="s">
        <v>448</v>
      </c>
      <c r="J208" s="26" t="s">
        <v>448</v>
      </c>
      <c r="K208" s="1" t="s">
        <v>23</v>
      </c>
      <c r="L208" s="1" t="s">
        <v>177</v>
      </c>
      <c r="M208" s="1" t="s">
        <v>4966</v>
      </c>
      <c r="N208" s="22" t="s">
        <v>3545</v>
      </c>
      <c r="O208" s="22" t="s">
        <v>1826</v>
      </c>
      <c r="P208" s="22" t="s">
        <v>1880</v>
      </c>
      <c r="Q208" s="1366" t="s">
        <v>102</v>
      </c>
      <c r="R208" s="54" t="s">
        <v>116</v>
      </c>
      <c r="S208" s="22" t="s">
        <v>1880</v>
      </c>
      <c r="T208" s="1366" t="s">
        <v>1894</v>
      </c>
      <c r="U208" s="1366" t="s">
        <v>1894</v>
      </c>
      <c r="V208" s="24" t="s">
        <v>9083</v>
      </c>
      <c r="W208" s="90" t="s">
        <v>9114</v>
      </c>
      <c r="X208" s="24" t="s">
        <v>110</v>
      </c>
      <c r="Y208" s="24">
        <v>1</v>
      </c>
      <c r="Z208" s="24" t="s">
        <v>8441</v>
      </c>
      <c r="AA208" s="24" t="s">
        <v>6470</v>
      </c>
      <c r="AB208" s="30"/>
      <c r="AC208" s="30">
        <v>9.1</v>
      </c>
      <c r="AD208" s="30">
        <v>9.1</v>
      </c>
      <c r="AE208" s="59"/>
      <c r="AF208" s="59"/>
      <c r="AG208" s="35" t="s">
        <v>1104</v>
      </c>
      <c r="AH208" s="202" t="s">
        <v>19</v>
      </c>
      <c r="AI208" s="35" t="s">
        <v>1880</v>
      </c>
      <c r="AJ208" s="1366" t="s">
        <v>9091</v>
      </c>
    </row>
    <row r="209" spans="1:36" s="11" customFormat="1" ht="26.25" customHeight="1" x14ac:dyDescent="0.15">
      <c r="A209" s="8">
        <f t="shared" si="0"/>
        <v>207</v>
      </c>
      <c r="B209" s="36" t="s">
        <v>9147</v>
      </c>
      <c r="C209" s="22" t="s">
        <v>1880</v>
      </c>
      <c r="D209" s="22" t="s">
        <v>1880</v>
      </c>
      <c r="E209" s="26" t="s">
        <v>19</v>
      </c>
      <c r="F209" s="29" t="s">
        <v>9090</v>
      </c>
      <c r="G209" s="53" t="s">
        <v>9145</v>
      </c>
      <c r="H209" s="26" t="s">
        <v>448</v>
      </c>
      <c r="I209" s="26" t="s">
        <v>448</v>
      </c>
      <c r="J209" s="26" t="s">
        <v>448</v>
      </c>
      <c r="K209" s="1" t="s">
        <v>23</v>
      </c>
      <c r="L209" s="1" t="s">
        <v>177</v>
      </c>
      <c r="M209" s="1" t="s">
        <v>4969</v>
      </c>
      <c r="N209" s="22" t="s">
        <v>3550</v>
      </c>
      <c r="O209" s="22" t="s">
        <v>1826</v>
      </c>
      <c r="P209" s="22" t="s">
        <v>1880</v>
      </c>
      <c r="Q209" s="1366" t="s">
        <v>102</v>
      </c>
      <c r="R209" s="54" t="s">
        <v>116</v>
      </c>
      <c r="S209" s="22" t="s">
        <v>1880</v>
      </c>
      <c r="T209" s="1366" t="s">
        <v>1894</v>
      </c>
      <c r="U209" s="1366" t="s">
        <v>1894</v>
      </c>
      <c r="V209" s="24" t="s">
        <v>9083</v>
      </c>
      <c r="W209" s="90" t="s">
        <v>9114</v>
      </c>
      <c r="X209" s="24" t="s">
        <v>110</v>
      </c>
      <c r="Y209" s="24">
        <v>1</v>
      </c>
      <c r="Z209" s="24" t="s">
        <v>8441</v>
      </c>
      <c r="AA209" s="24" t="s">
        <v>6470</v>
      </c>
      <c r="AB209" s="30"/>
      <c r="AC209" s="30">
        <v>9.1</v>
      </c>
      <c r="AD209" s="30">
        <v>9.1</v>
      </c>
      <c r="AE209" s="59"/>
      <c r="AF209" s="59"/>
      <c r="AG209" s="35" t="s">
        <v>1104</v>
      </c>
      <c r="AH209" s="202" t="s">
        <v>19</v>
      </c>
      <c r="AI209" s="35" t="s">
        <v>1880</v>
      </c>
      <c r="AJ209" s="1366" t="s">
        <v>9091</v>
      </c>
    </row>
    <row r="210" spans="1:36" s="11" customFormat="1" ht="26.25" customHeight="1" x14ac:dyDescent="0.15">
      <c r="A210" s="8">
        <f t="shared" si="0"/>
        <v>208</v>
      </c>
      <c r="B210" s="36" t="s">
        <v>9093</v>
      </c>
      <c r="C210" s="71" t="s">
        <v>9101</v>
      </c>
      <c r="D210" s="22" t="s">
        <v>1880</v>
      </c>
      <c r="E210" s="26" t="s">
        <v>19</v>
      </c>
      <c r="F210" s="29" t="s">
        <v>6385</v>
      </c>
      <c r="G210" s="98" t="s">
        <v>9104</v>
      </c>
      <c r="H210" s="26" t="s">
        <v>8679</v>
      </c>
      <c r="I210" s="26" t="s">
        <v>8680</v>
      </c>
      <c r="J210" s="26" t="s">
        <v>8681</v>
      </c>
      <c r="K210" s="1368" t="s">
        <v>4195</v>
      </c>
      <c r="L210" s="1368" t="s">
        <v>4196</v>
      </c>
      <c r="M210" s="1368" t="s">
        <v>7148</v>
      </c>
      <c r="N210" s="22" t="s">
        <v>7149</v>
      </c>
      <c r="O210" s="1369" t="s">
        <v>5431</v>
      </c>
      <c r="P210" s="1370" t="s">
        <v>111</v>
      </c>
      <c r="Q210" s="1369" t="s">
        <v>5730</v>
      </c>
      <c r="R210" s="54" t="s">
        <v>6120</v>
      </c>
      <c r="S210" s="22" t="s">
        <v>1880</v>
      </c>
      <c r="T210" s="1364" t="s">
        <v>5487</v>
      </c>
      <c r="U210" s="1364" t="s">
        <v>5487</v>
      </c>
      <c r="V210" s="24" t="s">
        <v>9102</v>
      </c>
      <c r="W210" s="90" t="s">
        <v>9103</v>
      </c>
      <c r="X210" s="24" t="s">
        <v>110</v>
      </c>
      <c r="Y210" s="24">
        <v>1</v>
      </c>
      <c r="Z210" s="24" t="s">
        <v>448</v>
      </c>
      <c r="AA210" s="24" t="s">
        <v>448</v>
      </c>
      <c r="AB210" s="30">
        <v>11.47</v>
      </c>
      <c r="AC210" s="30"/>
      <c r="AD210" s="30">
        <v>11.47</v>
      </c>
      <c r="AE210" s="59"/>
      <c r="AF210" s="59"/>
      <c r="AG210" s="35" t="s">
        <v>1104</v>
      </c>
      <c r="AH210" s="202" t="s">
        <v>19</v>
      </c>
      <c r="AI210" s="35" t="s">
        <v>1880</v>
      </c>
      <c r="AJ210" s="1364"/>
    </row>
    <row r="211" spans="1:36" s="11" customFormat="1" ht="26.25" customHeight="1" x14ac:dyDescent="0.15">
      <c r="A211" s="8">
        <f t="shared" si="0"/>
        <v>209</v>
      </c>
      <c r="B211" s="36" t="s">
        <v>9094</v>
      </c>
      <c r="C211" s="71" t="s">
        <v>9105</v>
      </c>
      <c r="D211" s="22" t="s">
        <v>1880</v>
      </c>
      <c r="E211" s="26" t="s">
        <v>19</v>
      </c>
      <c r="F211" s="29" t="s">
        <v>4423</v>
      </c>
      <c r="G211" s="98" t="s">
        <v>9104</v>
      </c>
      <c r="H211" s="26" t="s">
        <v>8679</v>
      </c>
      <c r="I211" s="26" t="s">
        <v>8680</v>
      </c>
      <c r="J211" s="26" t="s">
        <v>8681</v>
      </c>
      <c r="K211" s="1368" t="s">
        <v>1147</v>
      </c>
      <c r="L211" s="1368" t="s">
        <v>2067</v>
      </c>
      <c r="M211" s="1368" t="s">
        <v>4426</v>
      </c>
      <c r="N211" s="22" t="s">
        <v>1138</v>
      </c>
      <c r="O211" s="1369" t="s">
        <v>5431</v>
      </c>
      <c r="P211" s="1370" t="s">
        <v>111</v>
      </c>
      <c r="Q211" s="1369" t="s">
        <v>5730</v>
      </c>
      <c r="R211" s="54" t="s">
        <v>6120</v>
      </c>
      <c r="S211" s="22" t="s">
        <v>1880</v>
      </c>
      <c r="T211" s="1369" t="s">
        <v>5487</v>
      </c>
      <c r="U211" s="1369" t="s">
        <v>5487</v>
      </c>
      <c r="V211" s="24" t="s">
        <v>9102</v>
      </c>
      <c r="W211" s="90" t="s">
        <v>9103</v>
      </c>
      <c r="X211" s="24" t="s">
        <v>110</v>
      </c>
      <c r="Y211" s="24">
        <v>1</v>
      </c>
      <c r="Z211" s="24" t="s">
        <v>448</v>
      </c>
      <c r="AA211" s="24" t="s">
        <v>448</v>
      </c>
      <c r="AB211" s="30">
        <v>11.47</v>
      </c>
      <c r="AC211" s="30"/>
      <c r="AD211" s="30">
        <v>11.47</v>
      </c>
      <c r="AE211" s="59"/>
      <c r="AF211" s="59"/>
      <c r="AG211" s="35" t="s">
        <v>1104</v>
      </c>
      <c r="AH211" s="202" t="s">
        <v>19</v>
      </c>
      <c r="AI211" s="35" t="s">
        <v>1880</v>
      </c>
      <c r="AJ211" s="1364"/>
    </row>
    <row r="212" spans="1:36" s="11" customFormat="1" ht="26.25" customHeight="1" x14ac:dyDescent="0.15">
      <c r="A212" s="8">
        <f t="shared" si="0"/>
        <v>210</v>
      </c>
      <c r="B212" s="36" t="s">
        <v>9095</v>
      </c>
      <c r="C212" s="71" t="s">
        <v>9107</v>
      </c>
      <c r="D212" s="22" t="s">
        <v>1880</v>
      </c>
      <c r="E212" s="36" t="s">
        <v>9460</v>
      </c>
      <c r="F212" s="29" t="s">
        <v>412</v>
      </c>
      <c r="G212" s="53" t="s">
        <v>9106</v>
      </c>
      <c r="H212" s="26" t="s">
        <v>8679</v>
      </c>
      <c r="I212" s="26" t="s">
        <v>8680</v>
      </c>
      <c r="J212" s="26" t="s">
        <v>8681</v>
      </c>
      <c r="K212" s="1368" t="s">
        <v>1147</v>
      </c>
      <c r="L212" s="1" t="s">
        <v>2067</v>
      </c>
      <c r="M212" s="37" t="s">
        <v>1808</v>
      </c>
      <c r="N212" s="22" t="s">
        <v>1138</v>
      </c>
      <c r="O212" s="1369" t="s">
        <v>5431</v>
      </c>
      <c r="P212" s="1370" t="s">
        <v>111</v>
      </c>
      <c r="Q212" s="1369" t="s">
        <v>5730</v>
      </c>
      <c r="R212" s="54" t="s">
        <v>6120</v>
      </c>
      <c r="S212" s="22" t="s">
        <v>1880</v>
      </c>
      <c r="T212" s="1369" t="s">
        <v>5487</v>
      </c>
      <c r="U212" s="1369" t="s">
        <v>5487</v>
      </c>
      <c r="V212" s="24" t="s">
        <v>9102</v>
      </c>
      <c r="W212" s="90" t="s">
        <v>9103</v>
      </c>
      <c r="X212" s="24" t="s">
        <v>110</v>
      </c>
      <c r="Y212" s="24">
        <v>1</v>
      </c>
      <c r="Z212" s="24" t="s">
        <v>448</v>
      </c>
      <c r="AA212" s="24" t="s">
        <v>448</v>
      </c>
      <c r="AB212" s="30">
        <v>11.47</v>
      </c>
      <c r="AC212" s="30"/>
      <c r="AD212" s="30">
        <v>11.47</v>
      </c>
      <c r="AE212" s="59"/>
      <c r="AF212" s="59"/>
      <c r="AG212" s="35" t="s">
        <v>1104</v>
      </c>
      <c r="AH212" s="202" t="s">
        <v>19</v>
      </c>
      <c r="AI212" s="35" t="s">
        <v>1880</v>
      </c>
      <c r="AJ212" s="1367"/>
    </row>
    <row r="213" spans="1:36" s="11" customFormat="1" ht="26.25" customHeight="1" x14ac:dyDescent="0.15">
      <c r="A213" s="8">
        <f t="shared" si="0"/>
        <v>211</v>
      </c>
      <c r="B213" s="36" t="s">
        <v>11392</v>
      </c>
      <c r="C213" s="71" t="s">
        <v>9108</v>
      </c>
      <c r="D213" s="22" t="s">
        <v>1880</v>
      </c>
      <c r="E213" s="26" t="s">
        <v>11564</v>
      </c>
      <c r="F213" s="29" t="s">
        <v>412</v>
      </c>
      <c r="G213" s="53" t="s">
        <v>9106</v>
      </c>
      <c r="H213" s="26" t="s">
        <v>8679</v>
      </c>
      <c r="I213" s="26" t="s">
        <v>8680</v>
      </c>
      <c r="J213" s="26" t="s">
        <v>8681</v>
      </c>
      <c r="K213" s="1368" t="s">
        <v>1147</v>
      </c>
      <c r="L213" s="1" t="s">
        <v>2067</v>
      </c>
      <c r="M213" s="37" t="s">
        <v>3801</v>
      </c>
      <c r="N213" s="22" t="s">
        <v>1138</v>
      </c>
      <c r="O213" s="1369" t="s">
        <v>5431</v>
      </c>
      <c r="P213" s="1370" t="s">
        <v>111</v>
      </c>
      <c r="Q213" s="1369" t="s">
        <v>5730</v>
      </c>
      <c r="R213" s="54" t="s">
        <v>6120</v>
      </c>
      <c r="S213" s="22" t="s">
        <v>1880</v>
      </c>
      <c r="T213" s="1369" t="s">
        <v>5487</v>
      </c>
      <c r="U213" s="1369" t="s">
        <v>5487</v>
      </c>
      <c r="V213" s="24" t="s">
        <v>9102</v>
      </c>
      <c r="W213" s="90" t="s">
        <v>9103</v>
      </c>
      <c r="X213" s="24" t="s">
        <v>110</v>
      </c>
      <c r="Y213" s="24">
        <v>1</v>
      </c>
      <c r="Z213" s="24" t="s">
        <v>448</v>
      </c>
      <c r="AA213" s="24" t="s">
        <v>448</v>
      </c>
      <c r="AB213" s="30">
        <v>11.47</v>
      </c>
      <c r="AC213" s="30"/>
      <c r="AD213" s="30">
        <v>11.47</v>
      </c>
      <c r="AE213" s="59"/>
      <c r="AF213" s="59"/>
      <c r="AG213" s="35" t="s">
        <v>1104</v>
      </c>
      <c r="AH213" s="202" t="s">
        <v>19</v>
      </c>
      <c r="AI213" s="35" t="s">
        <v>1880</v>
      </c>
      <c r="AJ213" s="1367"/>
    </row>
    <row r="214" spans="1:36" s="11" customFormat="1" ht="26.25" customHeight="1" x14ac:dyDescent="0.15">
      <c r="A214" s="8">
        <f t="shared" si="0"/>
        <v>212</v>
      </c>
      <c r="B214" s="36" t="s">
        <v>9096</v>
      </c>
      <c r="C214" s="71" t="s">
        <v>9109</v>
      </c>
      <c r="D214" s="22" t="s">
        <v>1880</v>
      </c>
      <c r="E214" s="26" t="s">
        <v>19</v>
      </c>
      <c r="F214" s="29" t="s">
        <v>6521</v>
      </c>
      <c r="G214" s="53" t="s">
        <v>9106</v>
      </c>
      <c r="H214" s="26" t="s">
        <v>8679</v>
      </c>
      <c r="I214" s="26" t="s">
        <v>8680</v>
      </c>
      <c r="J214" s="26" t="s">
        <v>8681</v>
      </c>
      <c r="K214" s="1368" t="s">
        <v>1147</v>
      </c>
      <c r="L214" s="1368" t="s">
        <v>2067</v>
      </c>
      <c r="M214" s="1368" t="s">
        <v>2340</v>
      </c>
      <c r="N214" s="22" t="s">
        <v>1138</v>
      </c>
      <c r="O214" s="1369" t="s">
        <v>5431</v>
      </c>
      <c r="P214" s="1370" t="s">
        <v>111</v>
      </c>
      <c r="Q214" s="1369" t="s">
        <v>5730</v>
      </c>
      <c r="R214" s="54" t="s">
        <v>6120</v>
      </c>
      <c r="S214" s="22" t="s">
        <v>1880</v>
      </c>
      <c r="T214" s="1369" t="s">
        <v>5487</v>
      </c>
      <c r="U214" s="1369" t="s">
        <v>5487</v>
      </c>
      <c r="V214" s="24" t="s">
        <v>9102</v>
      </c>
      <c r="W214" s="90" t="s">
        <v>9103</v>
      </c>
      <c r="X214" s="24" t="s">
        <v>110</v>
      </c>
      <c r="Y214" s="24">
        <v>1</v>
      </c>
      <c r="Z214" s="24" t="s">
        <v>448</v>
      </c>
      <c r="AA214" s="24" t="s">
        <v>448</v>
      </c>
      <c r="AB214" s="30">
        <v>11.47</v>
      </c>
      <c r="AC214" s="30"/>
      <c r="AD214" s="30">
        <v>11.47</v>
      </c>
      <c r="AE214" s="59"/>
      <c r="AF214" s="59"/>
      <c r="AG214" s="35" t="s">
        <v>1104</v>
      </c>
      <c r="AH214" s="202" t="s">
        <v>19</v>
      </c>
      <c r="AI214" s="35" t="s">
        <v>1880</v>
      </c>
      <c r="AJ214" s="1367"/>
    </row>
    <row r="215" spans="1:36" s="11" customFormat="1" ht="26.25" customHeight="1" x14ac:dyDescent="0.15">
      <c r="A215" s="8">
        <f t="shared" si="0"/>
        <v>213</v>
      </c>
      <c r="B215" s="36" t="s">
        <v>9097</v>
      </c>
      <c r="C215" s="71" t="s">
        <v>9110</v>
      </c>
      <c r="D215" s="22" t="s">
        <v>1880</v>
      </c>
      <c r="E215" s="26" t="s">
        <v>19</v>
      </c>
      <c r="F215" s="29" t="s">
        <v>6522</v>
      </c>
      <c r="G215" s="53" t="s">
        <v>9106</v>
      </c>
      <c r="H215" s="26" t="s">
        <v>8679</v>
      </c>
      <c r="I215" s="26" t="s">
        <v>8680</v>
      </c>
      <c r="J215" s="26" t="s">
        <v>8681</v>
      </c>
      <c r="K215" s="1368" t="s">
        <v>1147</v>
      </c>
      <c r="L215" s="1368" t="s">
        <v>2067</v>
      </c>
      <c r="M215" s="1368" t="s">
        <v>4481</v>
      </c>
      <c r="N215" s="22" t="s">
        <v>4640</v>
      </c>
      <c r="O215" s="1369" t="s">
        <v>5431</v>
      </c>
      <c r="P215" s="1370" t="s">
        <v>111</v>
      </c>
      <c r="Q215" s="1369" t="s">
        <v>5730</v>
      </c>
      <c r="R215" s="54" t="s">
        <v>6120</v>
      </c>
      <c r="S215" s="22" t="s">
        <v>1880</v>
      </c>
      <c r="T215" s="1369" t="s">
        <v>5487</v>
      </c>
      <c r="U215" s="1369" t="s">
        <v>5487</v>
      </c>
      <c r="V215" s="24" t="s">
        <v>9102</v>
      </c>
      <c r="W215" s="90" t="s">
        <v>9103</v>
      </c>
      <c r="X215" s="24" t="s">
        <v>110</v>
      </c>
      <c r="Y215" s="24">
        <v>1</v>
      </c>
      <c r="Z215" s="24" t="s">
        <v>448</v>
      </c>
      <c r="AA215" s="24" t="s">
        <v>448</v>
      </c>
      <c r="AB215" s="30">
        <v>11.47</v>
      </c>
      <c r="AC215" s="30"/>
      <c r="AD215" s="30">
        <v>11.47</v>
      </c>
      <c r="AE215" s="59"/>
      <c r="AF215" s="59"/>
      <c r="AG215" s="35" t="s">
        <v>1104</v>
      </c>
      <c r="AH215" s="202" t="s">
        <v>19</v>
      </c>
      <c r="AI215" s="35" t="s">
        <v>1880</v>
      </c>
      <c r="AJ215" s="1367"/>
    </row>
    <row r="216" spans="1:36" s="11" customFormat="1" ht="26.25" customHeight="1" x14ac:dyDescent="0.15">
      <c r="A216" s="8">
        <f t="shared" si="0"/>
        <v>214</v>
      </c>
      <c r="B216" s="36" t="s">
        <v>9098</v>
      </c>
      <c r="C216" s="71" t="s">
        <v>9111</v>
      </c>
      <c r="D216" s="22" t="s">
        <v>1880</v>
      </c>
      <c r="E216" s="611" t="s">
        <v>11563</v>
      </c>
      <c r="F216" s="29" t="s">
        <v>438</v>
      </c>
      <c r="G216" s="53" t="s">
        <v>9106</v>
      </c>
      <c r="H216" s="26" t="s">
        <v>8679</v>
      </c>
      <c r="I216" s="26" t="s">
        <v>8680</v>
      </c>
      <c r="J216" s="26" t="s">
        <v>8681</v>
      </c>
      <c r="K216" s="1368" t="s">
        <v>1147</v>
      </c>
      <c r="L216" s="1368" t="s">
        <v>2067</v>
      </c>
      <c r="M216" s="1368" t="s">
        <v>1821</v>
      </c>
      <c r="N216" s="22" t="s">
        <v>3805</v>
      </c>
      <c r="O216" s="1369" t="s">
        <v>5431</v>
      </c>
      <c r="P216" s="1370" t="s">
        <v>111</v>
      </c>
      <c r="Q216" s="1369" t="s">
        <v>5730</v>
      </c>
      <c r="R216" s="54" t="s">
        <v>6120</v>
      </c>
      <c r="S216" s="22" t="s">
        <v>1880</v>
      </c>
      <c r="T216" s="1369" t="s">
        <v>5487</v>
      </c>
      <c r="U216" s="1369" t="s">
        <v>5487</v>
      </c>
      <c r="V216" s="24" t="s">
        <v>9102</v>
      </c>
      <c r="W216" s="90" t="s">
        <v>9103</v>
      </c>
      <c r="X216" s="24" t="s">
        <v>110</v>
      </c>
      <c r="Y216" s="24">
        <v>1</v>
      </c>
      <c r="Z216" s="24" t="s">
        <v>448</v>
      </c>
      <c r="AA216" s="24" t="s">
        <v>448</v>
      </c>
      <c r="AB216" s="30">
        <v>11.47</v>
      </c>
      <c r="AC216" s="30"/>
      <c r="AD216" s="30">
        <v>11.47</v>
      </c>
      <c r="AE216" s="59"/>
      <c r="AF216" s="59"/>
      <c r="AG216" s="35" t="s">
        <v>1104</v>
      </c>
      <c r="AH216" s="202" t="s">
        <v>19</v>
      </c>
      <c r="AI216" s="35" t="s">
        <v>1880</v>
      </c>
      <c r="AJ216" s="1367"/>
    </row>
    <row r="217" spans="1:36" s="11" customFormat="1" ht="26.25" customHeight="1" x14ac:dyDescent="0.15">
      <c r="A217" s="8">
        <f t="shared" si="0"/>
        <v>215</v>
      </c>
      <c r="B217" s="36" t="s">
        <v>9099</v>
      </c>
      <c r="C217" s="71" t="s">
        <v>9112</v>
      </c>
      <c r="D217" s="22" t="s">
        <v>1880</v>
      </c>
      <c r="E217" s="26" t="s">
        <v>19</v>
      </c>
      <c r="F217" s="29" t="s">
        <v>5922</v>
      </c>
      <c r="G217" s="53" t="s">
        <v>9106</v>
      </c>
      <c r="H217" s="26" t="s">
        <v>8679</v>
      </c>
      <c r="I217" s="26" t="s">
        <v>8680</v>
      </c>
      <c r="J217" s="26" t="s">
        <v>8681</v>
      </c>
      <c r="K217" s="1368" t="s">
        <v>4195</v>
      </c>
      <c r="L217" s="1368" t="s">
        <v>4196</v>
      </c>
      <c r="M217" s="1368" t="s">
        <v>6871</v>
      </c>
      <c r="N217" s="22" t="s">
        <v>6872</v>
      </c>
      <c r="O217" s="1369" t="s">
        <v>5431</v>
      </c>
      <c r="P217" s="1370" t="s">
        <v>111</v>
      </c>
      <c r="Q217" s="1369" t="s">
        <v>5730</v>
      </c>
      <c r="R217" s="54" t="s">
        <v>6120</v>
      </c>
      <c r="S217" s="22" t="s">
        <v>1880</v>
      </c>
      <c r="T217" s="1369" t="s">
        <v>5487</v>
      </c>
      <c r="U217" s="1369" t="s">
        <v>5487</v>
      </c>
      <c r="V217" s="24" t="s">
        <v>9102</v>
      </c>
      <c r="W217" s="90" t="s">
        <v>9103</v>
      </c>
      <c r="X217" s="24" t="s">
        <v>110</v>
      </c>
      <c r="Y217" s="24">
        <v>1</v>
      </c>
      <c r="Z217" s="24" t="s">
        <v>448</v>
      </c>
      <c r="AA217" s="24" t="s">
        <v>448</v>
      </c>
      <c r="AB217" s="30">
        <v>11.47</v>
      </c>
      <c r="AC217" s="30"/>
      <c r="AD217" s="30">
        <v>11.47</v>
      </c>
      <c r="AE217" s="59"/>
      <c r="AF217" s="59"/>
      <c r="AG217" s="35" t="s">
        <v>1104</v>
      </c>
      <c r="AH217" s="202" t="s">
        <v>19</v>
      </c>
      <c r="AI217" s="35" t="s">
        <v>1880</v>
      </c>
      <c r="AJ217" s="1367"/>
    </row>
    <row r="218" spans="1:36" s="11" customFormat="1" ht="26.25" customHeight="1" x14ac:dyDescent="0.15">
      <c r="A218" s="8">
        <f t="shared" si="0"/>
        <v>216</v>
      </c>
      <c r="B218" s="36" t="s">
        <v>9115</v>
      </c>
      <c r="C218" s="71" t="s">
        <v>9121</v>
      </c>
      <c r="D218" s="22" t="s">
        <v>1880</v>
      </c>
      <c r="E218" s="26" t="s">
        <v>19</v>
      </c>
      <c r="F218" s="29" t="s">
        <v>5870</v>
      </c>
      <c r="G218" s="53" t="s">
        <v>7226</v>
      </c>
      <c r="H218" s="26" t="s">
        <v>448</v>
      </c>
      <c r="I218" s="26" t="s">
        <v>448</v>
      </c>
      <c r="J218" s="26" t="s">
        <v>448</v>
      </c>
      <c r="K218" s="1371" t="s">
        <v>4195</v>
      </c>
      <c r="L218" s="1371" t="s">
        <v>3101</v>
      </c>
      <c r="M218" s="1371" t="s">
        <v>8159</v>
      </c>
      <c r="N218" s="22" t="s">
        <v>4780</v>
      </c>
      <c r="O218" s="22" t="s">
        <v>5431</v>
      </c>
      <c r="P218" s="1372" t="s">
        <v>111</v>
      </c>
      <c r="Q218" s="1371" t="s">
        <v>1131</v>
      </c>
      <c r="R218" s="54" t="s">
        <v>5500</v>
      </c>
      <c r="S218" s="22" t="s">
        <v>1880</v>
      </c>
      <c r="T218" s="1367" t="s">
        <v>5489</v>
      </c>
      <c r="U218" s="1371" t="s">
        <v>5489</v>
      </c>
      <c r="V218" s="24" t="s">
        <v>9122</v>
      </c>
      <c r="W218" s="90" t="s">
        <v>9060</v>
      </c>
      <c r="X218" s="24" t="s">
        <v>108</v>
      </c>
      <c r="Y218" s="10">
        <v>1</v>
      </c>
      <c r="Z218" s="24" t="s">
        <v>448</v>
      </c>
      <c r="AA218" s="24" t="s">
        <v>448</v>
      </c>
      <c r="AB218" s="30">
        <v>1.4201999999999999</v>
      </c>
      <c r="AC218" s="30"/>
      <c r="AD218" s="30">
        <v>1.4201999999999999</v>
      </c>
      <c r="AE218" s="59"/>
      <c r="AF218" s="59"/>
      <c r="AG218" s="35" t="s">
        <v>1104</v>
      </c>
      <c r="AH218" s="202" t="s">
        <v>19</v>
      </c>
      <c r="AI218" s="35" t="s">
        <v>1880</v>
      </c>
      <c r="AJ218" s="1367"/>
    </row>
    <row r="219" spans="1:36" s="11" customFormat="1" ht="26.25" customHeight="1" x14ac:dyDescent="0.15">
      <c r="A219" s="8">
        <f t="shared" si="0"/>
        <v>217</v>
      </c>
      <c r="B219" s="36" t="s">
        <v>9116</v>
      </c>
      <c r="C219" s="22" t="s">
        <v>1880</v>
      </c>
      <c r="D219" s="26" t="s">
        <v>19</v>
      </c>
      <c r="E219" s="26" t="s">
        <v>19</v>
      </c>
      <c r="F219" s="29" t="s">
        <v>6895</v>
      </c>
      <c r="G219" s="29" t="s">
        <v>7096</v>
      </c>
      <c r="H219" s="26" t="s">
        <v>448</v>
      </c>
      <c r="I219" s="26" t="s">
        <v>448</v>
      </c>
      <c r="J219" s="26" t="s">
        <v>448</v>
      </c>
      <c r="K219" s="1" t="s">
        <v>23</v>
      </c>
      <c r="L219" s="142" t="s">
        <v>1448</v>
      </c>
      <c r="M219" s="329" t="s">
        <v>3491</v>
      </c>
      <c r="N219" s="330" t="s">
        <v>2466</v>
      </c>
      <c r="O219" s="1372" t="s">
        <v>2142</v>
      </c>
      <c r="P219" s="1372" t="s">
        <v>111</v>
      </c>
      <c r="Q219" s="1371" t="s">
        <v>4676</v>
      </c>
      <c r="R219" s="54" t="s">
        <v>5479</v>
      </c>
      <c r="S219" s="22" t="s">
        <v>1880</v>
      </c>
      <c r="T219" s="1371" t="s">
        <v>5489</v>
      </c>
      <c r="U219" s="1371" t="s">
        <v>5489</v>
      </c>
      <c r="V219" s="24" t="s">
        <v>9122</v>
      </c>
      <c r="W219" s="90" t="s">
        <v>9123</v>
      </c>
      <c r="X219" s="24" t="s">
        <v>108</v>
      </c>
      <c r="Y219" s="10">
        <v>1</v>
      </c>
      <c r="Z219" s="24" t="s">
        <v>448</v>
      </c>
      <c r="AA219" s="24" t="s">
        <v>448</v>
      </c>
      <c r="AB219" s="30">
        <v>7.4</v>
      </c>
      <c r="AC219" s="30"/>
      <c r="AD219" s="30">
        <v>7.4</v>
      </c>
      <c r="AE219" s="59"/>
      <c r="AF219" s="59"/>
      <c r="AG219" s="35" t="s">
        <v>1104</v>
      </c>
      <c r="AH219" s="202" t="s">
        <v>19</v>
      </c>
      <c r="AI219" s="35" t="s">
        <v>1880</v>
      </c>
      <c r="AJ219" s="1367"/>
    </row>
    <row r="220" spans="1:36" s="11" customFormat="1" ht="26.25" customHeight="1" x14ac:dyDescent="0.15">
      <c r="A220" s="8">
        <f t="shared" si="0"/>
        <v>218</v>
      </c>
      <c r="B220" s="36" t="s">
        <v>9117</v>
      </c>
      <c r="C220" s="71" t="s">
        <v>9124</v>
      </c>
      <c r="D220" s="26" t="s">
        <v>19</v>
      </c>
      <c r="E220" s="26" t="s">
        <v>19</v>
      </c>
      <c r="F220" s="29" t="s">
        <v>9133</v>
      </c>
      <c r="G220" s="29" t="s">
        <v>9134</v>
      </c>
      <c r="H220" s="26" t="s">
        <v>448</v>
      </c>
      <c r="I220" s="26" t="s">
        <v>448</v>
      </c>
      <c r="J220" s="26" t="s">
        <v>448</v>
      </c>
      <c r="K220" s="1371" t="s">
        <v>4712</v>
      </c>
      <c r="L220" s="71" t="s">
        <v>9125</v>
      </c>
      <c r="M220" s="1371" t="s">
        <v>9126</v>
      </c>
      <c r="N220" s="22" t="s">
        <v>9660</v>
      </c>
      <c r="O220" s="1372" t="s">
        <v>2142</v>
      </c>
      <c r="P220" s="1372" t="s">
        <v>111</v>
      </c>
      <c r="Q220" s="1371" t="s">
        <v>4676</v>
      </c>
      <c r="R220" s="54" t="s">
        <v>1886</v>
      </c>
      <c r="S220" s="22" t="s">
        <v>1880</v>
      </c>
      <c r="T220" s="1367" t="s">
        <v>5571</v>
      </c>
      <c r="U220" s="1371" t="s">
        <v>5571</v>
      </c>
      <c r="V220" s="24" t="s">
        <v>9122</v>
      </c>
      <c r="W220" s="90" t="s">
        <v>9103</v>
      </c>
      <c r="X220" s="24" t="s">
        <v>108</v>
      </c>
      <c r="Y220" s="10">
        <v>1</v>
      </c>
      <c r="Z220" s="24" t="s">
        <v>448</v>
      </c>
      <c r="AA220" s="24" t="s">
        <v>448</v>
      </c>
      <c r="AB220" s="30">
        <v>14</v>
      </c>
      <c r="AC220" s="30"/>
      <c r="AD220" s="30">
        <v>14</v>
      </c>
      <c r="AE220" s="59"/>
      <c r="AF220" s="59"/>
      <c r="AG220" s="35" t="s">
        <v>1104</v>
      </c>
      <c r="AH220" s="202" t="s">
        <v>19</v>
      </c>
      <c r="AI220" s="35" t="s">
        <v>1880</v>
      </c>
      <c r="AJ220" s="1367"/>
    </row>
    <row r="221" spans="1:36" s="11" customFormat="1" ht="26.25" customHeight="1" x14ac:dyDescent="0.15">
      <c r="A221" s="8">
        <f t="shared" si="0"/>
        <v>219</v>
      </c>
      <c r="B221" s="36" t="s">
        <v>9118</v>
      </c>
      <c r="C221" s="71" t="s">
        <v>9127</v>
      </c>
      <c r="D221" s="26" t="s">
        <v>19</v>
      </c>
      <c r="E221" s="26" t="s">
        <v>19</v>
      </c>
      <c r="F221" s="29" t="s">
        <v>9133</v>
      </c>
      <c r="G221" s="29" t="s">
        <v>9134</v>
      </c>
      <c r="H221" s="26" t="s">
        <v>448</v>
      </c>
      <c r="I221" s="26" t="s">
        <v>448</v>
      </c>
      <c r="J221" s="26" t="s">
        <v>448</v>
      </c>
      <c r="K221" s="1371" t="s">
        <v>4712</v>
      </c>
      <c r="L221" s="1371" t="s">
        <v>9125</v>
      </c>
      <c r="M221" s="1371" t="s">
        <v>9128</v>
      </c>
      <c r="N221" s="22" t="s">
        <v>10179</v>
      </c>
      <c r="O221" s="1372" t="s">
        <v>2142</v>
      </c>
      <c r="P221" s="1372" t="s">
        <v>111</v>
      </c>
      <c r="Q221" s="1371" t="s">
        <v>4676</v>
      </c>
      <c r="R221" s="54" t="s">
        <v>1886</v>
      </c>
      <c r="S221" s="22" t="s">
        <v>1880</v>
      </c>
      <c r="T221" s="1371" t="s">
        <v>5571</v>
      </c>
      <c r="U221" s="1371" t="s">
        <v>5571</v>
      </c>
      <c r="V221" s="24" t="s">
        <v>9122</v>
      </c>
      <c r="W221" s="90" t="s">
        <v>9103</v>
      </c>
      <c r="X221" s="24" t="s">
        <v>108</v>
      </c>
      <c r="Y221" s="10">
        <v>1</v>
      </c>
      <c r="Z221" s="24" t="s">
        <v>448</v>
      </c>
      <c r="AA221" s="24" t="s">
        <v>448</v>
      </c>
      <c r="AB221" s="30">
        <v>14</v>
      </c>
      <c r="AC221" s="30"/>
      <c r="AD221" s="30">
        <v>14</v>
      </c>
      <c r="AE221" s="59"/>
      <c r="AF221" s="59"/>
      <c r="AG221" s="35" t="s">
        <v>1104</v>
      </c>
      <c r="AH221" s="202" t="s">
        <v>19</v>
      </c>
      <c r="AI221" s="35" t="s">
        <v>1880</v>
      </c>
      <c r="AJ221" s="1367"/>
    </row>
    <row r="222" spans="1:36" s="11" customFormat="1" ht="26.25" customHeight="1" x14ac:dyDescent="0.15">
      <c r="A222" s="8">
        <f t="shared" si="0"/>
        <v>220</v>
      </c>
      <c r="B222" s="36" t="s">
        <v>9119</v>
      </c>
      <c r="C222" s="71" t="s">
        <v>9129</v>
      </c>
      <c r="D222" s="26" t="s">
        <v>19</v>
      </c>
      <c r="E222" s="36" t="s">
        <v>9567</v>
      </c>
      <c r="F222" s="29" t="s">
        <v>9133</v>
      </c>
      <c r="G222" s="29" t="s">
        <v>9134</v>
      </c>
      <c r="H222" s="26" t="s">
        <v>448</v>
      </c>
      <c r="I222" s="26" t="s">
        <v>448</v>
      </c>
      <c r="J222" s="26" t="s">
        <v>448</v>
      </c>
      <c r="K222" s="1371" t="s">
        <v>4712</v>
      </c>
      <c r="L222" s="1371" t="s">
        <v>9125</v>
      </c>
      <c r="M222" s="1371" t="s">
        <v>9131</v>
      </c>
      <c r="N222" s="22" t="s">
        <v>10181</v>
      </c>
      <c r="O222" s="1372" t="s">
        <v>2142</v>
      </c>
      <c r="P222" s="1372" t="s">
        <v>111</v>
      </c>
      <c r="Q222" s="1371" t="s">
        <v>4676</v>
      </c>
      <c r="R222" s="54" t="s">
        <v>1886</v>
      </c>
      <c r="S222" s="22" t="s">
        <v>1880</v>
      </c>
      <c r="T222" s="1371" t="s">
        <v>5571</v>
      </c>
      <c r="U222" s="1371" t="s">
        <v>5571</v>
      </c>
      <c r="V222" s="24" t="s">
        <v>9122</v>
      </c>
      <c r="W222" s="90" t="s">
        <v>9103</v>
      </c>
      <c r="X222" s="24" t="s">
        <v>108</v>
      </c>
      <c r="Y222" s="10">
        <v>1</v>
      </c>
      <c r="Z222" s="24" t="s">
        <v>448</v>
      </c>
      <c r="AA222" s="24" t="s">
        <v>448</v>
      </c>
      <c r="AB222" s="30">
        <v>16</v>
      </c>
      <c r="AC222" s="30"/>
      <c r="AD222" s="30">
        <v>16</v>
      </c>
      <c r="AE222" s="59"/>
      <c r="AF222" s="59"/>
      <c r="AG222" s="35" t="s">
        <v>1104</v>
      </c>
      <c r="AH222" s="202" t="s">
        <v>19</v>
      </c>
      <c r="AI222" s="35" t="s">
        <v>1880</v>
      </c>
      <c r="AJ222" s="1367"/>
    </row>
    <row r="223" spans="1:36" s="11" customFormat="1" ht="26.25" customHeight="1" x14ac:dyDescent="0.15">
      <c r="A223" s="8">
        <f t="shared" si="0"/>
        <v>221</v>
      </c>
      <c r="B223" s="36" t="s">
        <v>9120</v>
      </c>
      <c r="C223" s="71" t="s">
        <v>9130</v>
      </c>
      <c r="D223" s="26" t="s">
        <v>19</v>
      </c>
      <c r="E223" s="26" t="s">
        <v>19</v>
      </c>
      <c r="F223" s="29" t="s">
        <v>9133</v>
      </c>
      <c r="G223" s="29" t="s">
        <v>9134</v>
      </c>
      <c r="H223" s="26" t="s">
        <v>448</v>
      </c>
      <c r="I223" s="26" t="s">
        <v>448</v>
      </c>
      <c r="J223" s="26" t="s">
        <v>448</v>
      </c>
      <c r="K223" s="1371" t="s">
        <v>4712</v>
      </c>
      <c r="L223" s="1371" t="s">
        <v>9125</v>
      </c>
      <c r="M223" s="1371" t="s">
        <v>9132</v>
      </c>
      <c r="N223" s="22" t="s">
        <v>10180</v>
      </c>
      <c r="O223" s="1372" t="s">
        <v>2142</v>
      </c>
      <c r="P223" s="1372" t="s">
        <v>111</v>
      </c>
      <c r="Q223" s="1371" t="s">
        <v>4676</v>
      </c>
      <c r="R223" s="54" t="s">
        <v>1886</v>
      </c>
      <c r="S223" s="22" t="s">
        <v>1880</v>
      </c>
      <c r="T223" s="1371" t="s">
        <v>5571</v>
      </c>
      <c r="U223" s="1371" t="s">
        <v>5571</v>
      </c>
      <c r="V223" s="24" t="s">
        <v>9122</v>
      </c>
      <c r="W223" s="90" t="s">
        <v>9103</v>
      </c>
      <c r="X223" s="24" t="s">
        <v>108</v>
      </c>
      <c r="Y223" s="10">
        <v>1</v>
      </c>
      <c r="Z223" s="24" t="s">
        <v>448</v>
      </c>
      <c r="AA223" s="24" t="s">
        <v>448</v>
      </c>
      <c r="AB223" s="30">
        <v>16</v>
      </c>
      <c r="AC223" s="30"/>
      <c r="AD223" s="30">
        <v>16</v>
      </c>
      <c r="AE223" s="59"/>
      <c r="AF223" s="59"/>
      <c r="AG223" s="35" t="s">
        <v>1104</v>
      </c>
      <c r="AH223" s="202" t="s">
        <v>19</v>
      </c>
      <c r="AI223" s="35" t="s">
        <v>1880</v>
      </c>
      <c r="AJ223" s="1367"/>
    </row>
    <row r="224" spans="1:36" s="11" customFormat="1" ht="26.25" customHeight="1" x14ac:dyDescent="0.15">
      <c r="A224" s="8">
        <f t="shared" si="0"/>
        <v>222</v>
      </c>
      <c r="B224" s="36" t="s">
        <v>9135</v>
      </c>
      <c r="C224" s="22" t="s">
        <v>1880</v>
      </c>
      <c r="D224" s="26" t="s">
        <v>19</v>
      </c>
      <c r="E224" s="26" t="s">
        <v>19</v>
      </c>
      <c r="F224" s="29" t="s">
        <v>6128</v>
      </c>
      <c r="G224" s="53" t="s">
        <v>9148</v>
      </c>
      <c r="H224" s="26" t="s">
        <v>448</v>
      </c>
      <c r="I224" s="26" t="s">
        <v>448</v>
      </c>
      <c r="J224" s="26" t="s">
        <v>448</v>
      </c>
      <c r="K224" s="1373" t="s">
        <v>4712</v>
      </c>
      <c r="L224" s="1373" t="s">
        <v>1124</v>
      </c>
      <c r="M224" s="1373" t="s">
        <v>6130</v>
      </c>
      <c r="N224" s="22" t="s">
        <v>4780</v>
      </c>
      <c r="O224" s="22" t="s">
        <v>5478</v>
      </c>
      <c r="P224" s="1375" t="s">
        <v>111</v>
      </c>
      <c r="Q224" s="1374" t="s">
        <v>4676</v>
      </c>
      <c r="R224" s="54" t="s">
        <v>116</v>
      </c>
      <c r="S224" s="22" t="s">
        <v>1880</v>
      </c>
      <c r="T224" s="1374" t="s">
        <v>5489</v>
      </c>
      <c r="U224" s="1374" t="s">
        <v>5489</v>
      </c>
      <c r="V224" s="24" t="s">
        <v>9149</v>
      </c>
      <c r="W224" s="90" t="s">
        <v>9103</v>
      </c>
      <c r="X224" s="24" t="s">
        <v>110</v>
      </c>
      <c r="Y224" s="24">
        <v>2</v>
      </c>
      <c r="Z224" s="24" t="s">
        <v>9122</v>
      </c>
      <c r="AA224" s="24" t="s">
        <v>9150</v>
      </c>
      <c r="AB224" s="30"/>
      <c r="AC224" s="30">
        <v>7</v>
      </c>
      <c r="AD224" s="30">
        <v>7</v>
      </c>
      <c r="AE224" s="59"/>
      <c r="AF224" s="59"/>
      <c r="AG224" s="35" t="s">
        <v>1104</v>
      </c>
      <c r="AH224" s="202" t="s">
        <v>19</v>
      </c>
      <c r="AI224" s="35" t="s">
        <v>1880</v>
      </c>
      <c r="AJ224" s="1348"/>
    </row>
    <row r="225" spans="1:36" s="11" customFormat="1" ht="26.25" customHeight="1" x14ac:dyDescent="0.15">
      <c r="A225" s="8">
        <f t="shared" si="0"/>
        <v>223</v>
      </c>
      <c r="B225" s="36" t="s">
        <v>9136</v>
      </c>
      <c r="C225" s="22" t="s">
        <v>1880</v>
      </c>
      <c r="D225" s="26" t="s">
        <v>19</v>
      </c>
      <c r="E225" s="26" t="s">
        <v>19</v>
      </c>
      <c r="F225" s="29" t="s">
        <v>9064</v>
      </c>
      <c r="G225" s="99" t="s">
        <v>8961</v>
      </c>
      <c r="H225" s="26" t="s">
        <v>448</v>
      </c>
      <c r="I225" s="26" t="s">
        <v>448</v>
      </c>
      <c r="J225" s="26" t="s">
        <v>448</v>
      </c>
      <c r="K225" s="1374" t="s">
        <v>4195</v>
      </c>
      <c r="L225" s="1374" t="s">
        <v>9065</v>
      </c>
      <c r="M225" s="1374" t="s">
        <v>5360</v>
      </c>
      <c r="N225" s="22" t="s">
        <v>9032</v>
      </c>
      <c r="O225" s="1375" t="s">
        <v>5478</v>
      </c>
      <c r="P225" s="1375" t="s">
        <v>111</v>
      </c>
      <c r="Q225" s="1374" t="s">
        <v>4676</v>
      </c>
      <c r="R225" s="54" t="s">
        <v>116</v>
      </c>
      <c r="S225" s="26" t="s">
        <v>19</v>
      </c>
      <c r="T225" s="1374" t="s">
        <v>5489</v>
      </c>
      <c r="U225" s="1374" t="s">
        <v>5489</v>
      </c>
      <c r="V225" s="24" t="s">
        <v>9149</v>
      </c>
      <c r="W225" s="499"/>
      <c r="X225" s="484"/>
      <c r="Y225" s="484"/>
      <c r="Z225" s="24" t="s">
        <v>9151</v>
      </c>
      <c r="AA225" s="24" t="s">
        <v>9152</v>
      </c>
      <c r="AB225" s="30"/>
      <c r="AC225" s="30">
        <v>7</v>
      </c>
      <c r="AD225" s="30">
        <v>7</v>
      </c>
      <c r="AE225" s="59"/>
      <c r="AF225" s="59"/>
      <c r="AG225" s="35" t="s">
        <v>1104</v>
      </c>
      <c r="AH225" s="202" t="s">
        <v>19</v>
      </c>
      <c r="AI225" s="35" t="s">
        <v>1880</v>
      </c>
      <c r="AJ225" s="1303"/>
    </row>
    <row r="226" spans="1:36" s="11" customFormat="1" ht="26.25" customHeight="1" x14ac:dyDescent="0.15">
      <c r="A226" s="8">
        <f t="shared" si="0"/>
        <v>224</v>
      </c>
      <c r="B226" s="36" t="s">
        <v>9137</v>
      </c>
      <c r="C226" s="22" t="s">
        <v>1880</v>
      </c>
      <c r="D226" s="26" t="s">
        <v>19</v>
      </c>
      <c r="E226" s="26" t="s">
        <v>19</v>
      </c>
      <c r="F226" s="29" t="s">
        <v>9090</v>
      </c>
      <c r="G226" s="99" t="s">
        <v>8961</v>
      </c>
      <c r="H226" s="26" t="s">
        <v>448</v>
      </c>
      <c r="I226" s="26" t="s">
        <v>448</v>
      </c>
      <c r="J226" s="26" t="s">
        <v>448</v>
      </c>
      <c r="K226" s="1" t="s">
        <v>23</v>
      </c>
      <c r="L226" s="1" t="s">
        <v>177</v>
      </c>
      <c r="M226" s="1" t="s">
        <v>4969</v>
      </c>
      <c r="N226" s="22" t="s">
        <v>3550</v>
      </c>
      <c r="O226" s="22" t="s">
        <v>1826</v>
      </c>
      <c r="P226" s="22" t="s">
        <v>1880</v>
      </c>
      <c r="Q226" s="1376" t="s">
        <v>5730</v>
      </c>
      <c r="R226" s="54" t="s">
        <v>9154</v>
      </c>
      <c r="S226" s="26" t="s">
        <v>19</v>
      </c>
      <c r="T226" s="1183" t="s">
        <v>414</v>
      </c>
      <c r="U226" s="1374" t="s">
        <v>414</v>
      </c>
      <c r="V226" s="24" t="s">
        <v>9149</v>
      </c>
      <c r="W226" s="499"/>
      <c r="X226" s="484"/>
      <c r="Y226" s="484"/>
      <c r="Z226" s="24" t="s">
        <v>448</v>
      </c>
      <c r="AA226" s="24" t="s">
        <v>448</v>
      </c>
      <c r="AB226" s="30">
        <v>36.700000000000003</v>
      </c>
      <c r="AC226" s="30"/>
      <c r="AD226" s="30">
        <v>36.700000000000003</v>
      </c>
      <c r="AE226" s="59" t="s">
        <v>6457</v>
      </c>
      <c r="AF226" s="59" t="s">
        <v>6457</v>
      </c>
      <c r="AG226" s="35" t="s">
        <v>1104</v>
      </c>
      <c r="AH226" s="202" t="s">
        <v>19</v>
      </c>
      <c r="AI226" s="35" t="s">
        <v>1880</v>
      </c>
      <c r="AJ226" s="1183" t="s">
        <v>9153</v>
      </c>
    </row>
    <row r="227" spans="1:36" s="11" customFormat="1" ht="26.25" customHeight="1" x14ac:dyDescent="0.15">
      <c r="A227" s="8">
        <f t="shared" si="0"/>
        <v>225</v>
      </c>
      <c r="B227" s="36" t="s">
        <v>9155</v>
      </c>
      <c r="C227" s="71" t="s">
        <v>9157</v>
      </c>
      <c r="D227" s="26" t="s">
        <v>19</v>
      </c>
      <c r="E227" s="36" t="s">
        <v>9394</v>
      </c>
      <c r="F227" s="29" t="s">
        <v>9159</v>
      </c>
      <c r="G227" s="53" t="s">
        <v>9160</v>
      </c>
      <c r="H227" s="26" t="s">
        <v>448</v>
      </c>
      <c r="I227" s="26" t="s">
        <v>448</v>
      </c>
      <c r="J227" s="26" t="s">
        <v>448</v>
      </c>
      <c r="K227" s="1" t="s">
        <v>23</v>
      </c>
      <c r="L227" s="1" t="s">
        <v>130</v>
      </c>
      <c r="M227" s="1" t="s">
        <v>9161</v>
      </c>
      <c r="N227" s="22" t="s">
        <v>2060</v>
      </c>
      <c r="O227" s="22" t="s">
        <v>1826</v>
      </c>
      <c r="P227" s="22" t="s">
        <v>1880</v>
      </c>
      <c r="Q227" s="1378" t="s">
        <v>5730</v>
      </c>
      <c r="R227" s="54" t="s">
        <v>6120</v>
      </c>
      <c r="S227" s="26" t="s">
        <v>19</v>
      </c>
      <c r="T227" s="1377" t="s">
        <v>1894</v>
      </c>
      <c r="U227" s="1378" t="s">
        <v>1894</v>
      </c>
      <c r="V227" s="24" t="s">
        <v>9149</v>
      </c>
      <c r="W227" s="90" t="s">
        <v>9103</v>
      </c>
      <c r="X227" s="24" t="s">
        <v>110</v>
      </c>
      <c r="Y227" s="24">
        <v>1</v>
      </c>
      <c r="Z227" s="24" t="s">
        <v>448</v>
      </c>
      <c r="AA227" s="24" t="s">
        <v>448</v>
      </c>
      <c r="AB227" s="30">
        <v>32.5</v>
      </c>
      <c r="AC227" s="30"/>
      <c r="AD227" s="30">
        <v>32.5</v>
      </c>
      <c r="AE227" s="59"/>
      <c r="AF227" s="59"/>
      <c r="AG227" s="35" t="s">
        <v>1104</v>
      </c>
      <c r="AH227" s="202" t="s">
        <v>19</v>
      </c>
      <c r="AI227" s="35" t="s">
        <v>1880</v>
      </c>
      <c r="AJ227" s="1377"/>
    </row>
    <row r="228" spans="1:36" s="11" customFormat="1" ht="26.25" customHeight="1" x14ac:dyDescent="0.15">
      <c r="A228" s="8">
        <f t="shared" si="0"/>
        <v>226</v>
      </c>
      <c r="B228" s="36" t="s">
        <v>9156</v>
      </c>
      <c r="C228" s="71" t="s">
        <v>9158</v>
      </c>
      <c r="D228" s="26" t="s">
        <v>19</v>
      </c>
      <c r="E228" s="26" t="s">
        <v>19</v>
      </c>
      <c r="F228" s="29" t="s">
        <v>9163</v>
      </c>
      <c r="G228" s="53" t="s">
        <v>9164</v>
      </c>
      <c r="H228" s="26" t="s">
        <v>448</v>
      </c>
      <c r="I228" s="26" t="s">
        <v>448</v>
      </c>
      <c r="J228" s="26" t="s">
        <v>448</v>
      </c>
      <c r="K228" s="1" t="s">
        <v>23</v>
      </c>
      <c r="L228" s="1" t="s">
        <v>130</v>
      </c>
      <c r="M228" s="1" t="s">
        <v>9162</v>
      </c>
      <c r="N228" s="22" t="s">
        <v>2058</v>
      </c>
      <c r="O228" s="22" t="s">
        <v>1826</v>
      </c>
      <c r="P228" s="22" t="s">
        <v>1880</v>
      </c>
      <c r="Q228" s="1378" t="s">
        <v>5730</v>
      </c>
      <c r="R228" s="54" t="s">
        <v>6120</v>
      </c>
      <c r="S228" s="26" t="s">
        <v>19</v>
      </c>
      <c r="T228" s="1377" t="s">
        <v>1894</v>
      </c>
      <c r="U228" s="1378" t="s">
        <v>1894</v>
      </c>
      <c r="V228" s="24" t="s">
        <v>9149</v>
      </c>
      <c r="W228" s="90" t="s">
        <v>9103</v>
      </c>
      <c r="X228" s="24" t="s">
        <v>110</v>
      </c>
      <c r="Y228" s="24">
        <v>1</v>
      </c>
      <c r="Z228" s="24" t="s">
        <v>448</v>
      </c>
      <c r="AA228" s="24" t="s">
        <v>448</v>
      </c>
      <c r="AB228" s="30">
        <v>32.5</v>
      </c>
      <c r="AC228" s="30"/>
      <c r="AD228" s="30">
        <v>32.5</v>
      </c>
      <c r="AE228" s="59"/>
      <c r="AF228" s="59"/>
      <c r="AG228" s="35" t="s">
        <v>1104</v>
      </c>
      <c r="AH228" s="202" t="s">
        <v>19</v>
      </c>
      <c r="AI228" s="35" t="s">
        <v>1880</v>
      </c>
      <c r="AJ228" s="1377"/>
    </row>
    <row r="229" spans="1:36" s="11" customFormat="1" ht="26.25" customHeight="1" x14ac:dyDescent="0.15">
      <c r="A229" s="8">
        <f t="shared" si="0"/>
        <v>227</v>
      </c>
      <c r="B229" s="36" t="s">
        <v>9165</v>
      </c>
      <c r="C229" s="22" t="s">
        <v>1880</v>
      </c>
      <c r="D229" s="711" t="s">
        <v>9168</v>
      </c>
      <c r="E229" s="26" t="s">
        <v>19</v>
      </c>
      <c r="F229" s="29" t="s">
        <v>5846</v>
      </c>
      <c r="G229" s="53" t="s">
        <v>9171</v>
      </c>
      <c r="H229" s="26" t="s">
        <v>448</v>
      </c>
      <c r="I229" s="26" t="s">
        <v>448</v>
      </c>
      <c r="J229" s="26" t="s">
        <v>448</v>
      </c>
      <c r="K229" s="1" t="s">
        <v>1457</v>
      </c>
      <c r="L229" s="142" t="s">
        <v>167</v>
      </c>
      <c r="M229" s="1" t="s">
        <v>5848</v>
      </c>
      <c r="N229" s="22" t="s">
        <v>5847</v>
      </c>
      <c r="O229" s="1380" t="s">
        <v>1826</v>
      </c>
      <c r="P229" s="1380" t="s">
        <v>111</v>
      </c>
      <c r="Q229" s="1379" t="s">
        <v>1131</v>
      </c>
      <c r="R229" s="54" t="s">
        <v>8803</v>
      </c>
      <c r="S229" s="1380" t="s">
        <v>111</v>
      </c>
      <c r="T229" s="1379" t="s">
        <v>5487</v>
      </c>
      <c r="U229" s="1379" t="s">
        <v>5487</v>
      </c>
      <c r="V229" s="24" t="s">
        <v>9172</v>
      </c>
      <c r="W229" s="90" t="s">
        <v>9103</v>
      </c>
      <c r="X229" s="1380" t="s">
        <v>2359</v>
      </c>
      <c r="Y229" s="1380">
        <v>1</v>
      </c>
      <c r="Z229" s="24" t="s">
        <v>448</v>
      </c>
      <c r="AA229" s="24" t="s">
        <v>448</v>
      </c>
      <c r="AB229" s="30">
        <v>2</v>
      </c>
      <c r="AC229" s="30"/>
      <c r="AD229" s="30">
        <v>2</v>
      </c>
      <c r="AE229" s="59"/>
      <c r="AF229" s="59"/>
      <c r="AG229" s="1380" t="s">
        <v>1104</v>
      </c>
      <c r="AH229" s="202" t="s">
        <v>1880</v>
      </c>
      <c r="AI229" s="133" t="s">
        <v>1880</v>
      </c>
      <c r="AJ229" s="1379"/>
    </row>
    <row r="230" spans="1:36" s="11" customFormat="1" ht="26.25" customHeight="1" x14ac:dyDescent="0.15">
      <c r="A230" s="8">
        <f t="shared" si="0"/>
        <v>228</v>
      </c>
      <c r="B230" s="36" t="s">
        <v>9166</v>
      </c>
      <c r="C230" s="22" t="s">
        <v>1880</v>
      </c>
      <c r="D230" s="711" t="s">
        <v>9169</v>
      </c>
      <c r="E230" s="26" t="s">
        <v>19</v>
      </c>
      <c r="F230" s="29" t="s">
        <v>5840</v>
      </c>
      <c r="G230" s="53" t="s">
        <v>9173</v>
      </c>
      <c r="H230" s="26" t="s">
        <v>448</v>
      </c>
      <c r="I230" s="26" t="s">
        <v>448</v>
      </c>
      <c r="J230" s="26" t="s">
        <v>448</v>
      </c>
      <c r="K230" s="1" t="s">
        <v>1457</v>
      </c>
      <c r="L230" s="142" t="s">
        <v>167</v>
      </c>
      <c r="M230" s="1" t="s">
        <v>5843</v>
      </c>
      <c r="N230" s="22" t="s">
        <v>5844</v>
      </c>
      <c r="O230" s="1380" t="s">
        <v>1826</v>
      </c>
      <c r="P230" s="1380" t="s">
        <v>111</v>
      </c>
      <c r="Q230" s="1379" t="s">
        <v>1131</v>
      </c>
      <c r="R230" s="54" t="s">
        <v>8803</v>
      </c>
      <c r="S230" s="1380" t="s">
        <v>111</v>
      </c>
      <c r="T230" s="1379" t="s">
        <v>5487</v>
      </c>
      <c r="U230" s="1379" t="s">
        <v>5487</v>
      </c>
      <c r="V230" s="24" t="s">
        <v>9172</v>
      </c>
      <c r="W230" s="90" t="s">
        <v>9103</v>
      </c>
      <c r="X230" s="1380" t="s">
        <v>2359</v>
      </c>
      <c r="Y230" s="1380">
        <v>1</v>
      </c>
      <c r="Z230" s="24" t="s">
        <v>448</v>
      </c>
      <c r="AA230" s="24" t="s">
        <v>448</v>
      </c>
      <c r="AB230" s="30">
        <v>2</v>
      </c>
      <c r="AC230" s="30"/>
      <c r="AD230" s="30">
        <v>2</v>
      </c>
      <c r="AE230" s="59"/>
      <c r="AF230" s="59"/>
      <c r="AG230" s="1380" t="s">
        <v>1104</v>
      </c>
      <c r="AH230" s="202" t="s">
        <v>1880</v>
      </c>
      <c r="AI230" s="133" t="s">
        <v>1880</v>
      </c>
      <c r="AJ230" s="1377"/>
    </row>
    <row r="231" spans="1:36" s="11" customFormat="1" ht="26.25" customHeight="1" x14ac:dyDescent="0.15">
      <c r="A231" s="8">
        <f t="shared" si="0"/>
        <v>229</v>
      </c>
      <c r="B231" s="36" t="s">
        <v>9167</v>
      </c>
      <c r="C231" s="22" t="s">
        <v>1880</v>
      </c>
      <c r="D231" s="711" t="s">
        <v>9170</v>
      </c>
      <c r="E231" s="26" t="s">
        <v>19</v>
      </c>
      <c r="F231" s="29" t="s">
        <v>5858</v>
      </c>
      <c r="G231" s="53" t="s">
        <v>9174</v>
      </c>
      <c r="H231" s="26" t="s">
        <v>448</v>
      </c>
      <c r="I231" s="26" t="s">
        <v>448</v>
      </c>
      <c r="J231" s="26" t="s">
        <v>448</v>
      </c>
      <c r="K231" s="1" t="s">
        <v>1457</v>
      </c>
      <c r="L231" s="142" t="s">
        <v>167</v>
      </c>
      <c r="M231" s="1" t="s">
        <v>5855</v>
      </c>
      <c r="N231" s="22" t="s">
        <v>5854</v>
      </c>
      <c r="O231" s="22" t="s">
        <v>5478</v>
      </c>
      <c r="P231" s="1380" t="s">
        <v>111</v>
      </c>
      <c r="Q231" s="1379" t="s">
        <v>4676</v>
      </c>
      <c r="R231" s="54" t="s">
        <v>8803</v>
      </c>
      <c r="S231" s="1380" t="s">
        <v>111</v>
      </c>
      <c r="T231" s="1379" t="s">
        <v>5487</v>
      </c>
      <c r="U231" s="1379" t="s">
        <v>5487</v>
      </c>
      <c r="V231" s="24" t="s">
        <v>9172</v>
      </c>
      <c r="W231" s="90" t="s">
        <v>9103</v>
      </c>
      <c r="X231" s="1380" t="s">
        <v>2359</v>
      </c>
      <c r="Y231" s="1380">
        <v>1</v>
      </c>
      <c r="Z231" s="24" t="s">
        <v>448</v>
      </c>
      <c r="AA231" s="24" t="s">
        <v>448</v>
      </c>
      <c r="AB231" s="30">
        <v>2</v>
      </c>
      <c r="AC231" s="30"/>
      <c r="AD231" s="30">
        <v>2</v>
      </c>
      <c r="AE231" s="59"/>
      <c r="AF231" s="59"/>
      <c r="AG231" s="1380" t="s">
        <v>1104</v>
      </c>
      <c r="AH231" s="202" t="s">
        <v>1880</v>
      </c>
      <c r="AI231" s="133" t="s">
        <v>1880</v>
      </c>
      <c r="AJ231" s="1377"/>
    </row>
    <row r="232" spans="1:36" s="11" customFormat="1" ht="26.25" customHeight="1" x14ac:dyDescent="0.15">
      <c r="A232" s="8">
        <f t="shared" si="0"/>
        <v>230</v>
      </c>
      <c r="B232" s="36" t="s">
        <v>9177</v>
      </c>
      <c r="C232" s="22" t="s">
        <v>1880</v>
      </c>
      <c r="D232" s="26" t="s">
        <v>19</v>
      </c>
      <c r="E232" s="26" t="s">
        <v>19</v>
      </c>
      <c r="F232" s="29" t="s">
        <v>6639</v>
      </c>
      <c r="G232" s="53" t="s">
        <v>9175</v>
      </c>
      <c r="H232" s="26" t="s">
        <v>448</v>
      </c>
      <c r="I232" s="26" t="s">
        <v>448</v>
      </c>
      <c r="J232" s="26" t="s">
        <v>448</v>
      </c>
      <c r="K232" s="1381" t="s">
        <v>4791</v>
      </c>
      <c r="L232" s="1381" t="s">
        <v>3101</v>
      </c>
      <c r="M232" s="1381" t="s">
        <v>6641</v>
      </c>
      <c r="N232" s="22" t="s">
        <v>7829</v>
      </c>
      <c r="O232" s="1382" t="s">
        <v>5431</v>
      </c>
      <c r="P232" s="1383" t="s">
        <v>111</v>
      </c>
      <c r="Q232" s="1382" t="s">
        <v>1131</v>
      </c>
      <c r="R232" s="54" t="s">
        <v>116</v>
      </c>
      <c r="S232" s="22" t="s">
        <v>1880</v>
      </c>
      <c r="T232" s="1382" t="s">
        <v>446</v>
      </c>
      <c r="U232" s="1382" t="s">
        <v>446</v>
      </c>
      <c r="V232" s="24" t="s">
        <v>9172</v>
      </c>
      <c r="W232" s="90" t="s">
        <v>9176</v>
      </c>
      <c r="X232" s="24" t="s">
        <v>110</v>
      </c>
      <c r="Y232" s="24">
        <v>1</v>
      </c>
      <c r="Z232" s="24" t="s">
        <v>8778</v>
      </c>
      <c r="AA232" s="24" t="s">
        <v>8405</v>
      </c>
      <c r="AB232" s="30"/>
      <c r="AC232" s="30">
        <v>8</v>
      </c>
      <c r="AD232" s="30">
        <v>8</v>
      </c>
      <c r="AE232" s="59"/>
      <c r="AF232" s="59"/>
      <c r="AG232" s="35" t="s">
        <v>1104</v>
      </c>
      <c r="AH232" s="202" t="s">
        <v>19</v>
      </c>
      <c r="AI232" s="35" t="s">
        <v>1880</v>
      </c>
      <c r="AJ232" s="1382"/>
    </row>
    <row r="233" spans="1:36" s="11" customFormat="1" ht="26.25" customHeight="1" x14ac:dyDescent="0.15">
      <c r="A233" s="8">
        <f t="shared" si="0"/>
        <v>231</v>
      </c>
      <c r="B233" s="36" t="s">
        <v>9191</v>
      </c>
      <c r="C233" s="71" t="s">
        <v>9478</v>
      </c>
      <c r="D233" s="26" t="s">
        <v>19</v>
      </c>
      <c r="E233" s="26" t="s">
        <v>19</v>
      </c>
      <c r="F233" s="29" t="s">
        <v>7807</v>
      </c>
      <c r="G233" s="53" t="s">
        <v>7811</v>
      </c>
      <c r="H233" s="26" t="s">
        <v>448</v>
      </c>
      <c r="I233" s="26" t="s">
        <v>448</v>
      </c>
      <c r="J233" s="26" t="s">
        <v>448</v>
      </c>
      <c r="K233" s="1642" t="s">
        <v>3649</v>
      </c>
      <c r="L233" s="1642" t="s">
        <v>4750</v>
      </c>
      <c r="M233" s="1642" t="s">
        <v>9479</v>
      </c>
      <c r="N233" s="22" t="s">
        <v>9480</v>
      </c>
      <c r="O233" s="22" t="s">
        <v>5478</v>
      </c>
      <c r="P233" s="1385" t="s">
        <v>111</v>
      </c>
      <c r="Q233" s="1384" t="s">
        <v>4676</v>
      </c>
      <c r="R233" s="54" t="s">
        <v>1886</v>
      </c>
      <c r="S233" s="1385" t="s">
        <v>111</v>
      </c>
      <c r="T233" s="1384" t="s">
        <v>5487</v>
      </c>
      <c r="U233" s="1384" t="s">
        <v>5487</v>
      </c>
      <c r="V233" s="24" t="s">
        <v>9183</v>
      </c>
      <c r="W233" s="90" t="s">
        <v>9184</v>
      </c>
      <c r="X233" s="24" t="s">
        <v>108</v>
      </c>
      <c r="Y233" s="10">
        <v>1</v>
      </c>
      <c r="Z233" s="24" t="s">
        <v>5710</v>
      </c>
      <c r="AA233" s="24" t="s">
        <v>448</v>
      </c>
      <c r="AB233" s="30">
        <v>22</v>
      </c>
      <c r="AC233" s="30"/>
      <c r="AD233" s="30">
        <v>22</v>
      </c>
      <c r="AE233" s="59"/>
      <c r="AF233" s="59"/>
      <c r="AG233" s="35" t="s">
        <v>1104</v>
      </c>
      <c r="AH233" s="202" t="s">
        <v>19</v>
      </c>
      <c r="AI233" s="35" t="s">
        <v>1880</v>
      </c>
      <c r="AJ233" s="1384"/>
    </row>
    <row r="234" spans="1:36" s="11" customFormat="1" ht="26.25" customHeight="1" x14ac:dyDescent="0.15">
      <c r="A234" s="8">
        <f t="shared" si="0"/>
        <v>232</v>
      </c>
      <c r="B234" s="36" t="s">
        <v>9192</v>
      </c>
      <c r="C234" s="71" t="s">
        <v>9185</v>
      </c>
      <c r="D234" s="26" t="s">
        <v>19</v>
      </c>
      <c r="E234" s="611" t="s">
        <v>9316</v>
      </c>
      <c r="F234" s="29" t="s">
        <v>9186</v>
      </c>
      <c r="G234" s="53" t="s">
        <v>9194</v>
      </c>
      <c r="H234" s="26" t="s">
        <v>448</v>
      </c>
      <c r="I234" s="26" t="s">
        <v>448</v>
      </c>
      <c r="J234" s="26" t="s">
        <v>448</v>
      </c>
      <c r="K234" s="1384" t="s">
        <v>4195</v>
      </c>
      <c r="L234" s="1384" t="s">
        <v>3101</v>
      </c>
      <c r="M234" s="1384" t="s">
        <v>9193</v>
      </c>
      <c r="N234" s="22" t="s">
        <v>4780</v>
      </c>
      <c r="O234" s="1384" t="s">
        <v>5431</v>
      </c>
      <c r="P234" s="1385" t="s">
        <v>111</v>
      </c>
      <c r="Q234" s="1384" t="s">
        <v>1131</v>
      </c>
      <c r="R234" s="54" t="s">
        <v>5708</v>
      </c>
      <c r="S234" s="1385" t="s">
        <v>111</v>
      </c>
      <c r="T234" s="1384" t="s">
        <v>1894</v>
      </c>
      <c r="U234" s="1384" t="s">
        <v>1894</v>
      </c>
      <c r="V234" s="24" t="s">
        <v>9183</v>
      </c>
      <c r="W234" s="90" t="s">
        <v>9176</v>
      </c>
      <c r="X234" s="24" t="s">
        <v>110</v>
      </c>
      <c r="Y234" s="24">
        <v>1</v>
      </c>
      <c r="Z234" s="24" t="s">
        <v>6843</v>
      </c>
      <c r="AA234" s="24" t="s">
        <v>448</v>
      </c>
      <c r="AB234" s="30">
        <v>35</v>
      </c>
      <c r="AC234" s="30"/>
      <c r="AD234" s="30">
        <v>35</v>
      </c>
      <c r="AE234" s="59"/>
      <c r="AF234" s="59"/>
      <c r="AG234" s="35" t="s">
        <v>1104</v>
      </c>
      <c r="AH234" s="202" t="s">
        <v>19</v>
      </c>
      <c r="AI234" s="35" t="s">
        <v>1880</v>
      </c>
      <c r="AJ234" s="1384"/>
    </row>
    <row r="235" spans="1:36" s="11" customFormat="1" ht="26.25" customHeight="1" x14ac:dyDescent="0.15">
      <c r="A235" s="8">
        <f t="shared" si="0"/>
        <v>233</v>
      </c>
      <c r="B235" s="36" t="s">
        <v>9178</v>
      </c>
      <c r="C235" s="26" t="s">
        <v>19</v>
      </c>
      <c r="D235" s="26" t="s">
        <v>19</v>
      </c>
      <c r="E235" s="26" t="s">
        <v>19</v>
      </c>
      <c r="F235" s="29" t="s">
        <v>9186</v>
      </c>
      <c r="G235" s="53" t="s">
        <v>9187</v>
      </c>
      <c r="H235" s="26" t="s">
        <v>448</v>
      </c>
      <c r="I235" s="26" t="s">
        <v>448</v>
      </c>
      <c r="J235" s="26" t="s">
        <v>448</v>
      </c>
      <c r="K235" s="1384" t="s">
        <v>4195</v>
      </c>
      <c r="L235" s="1384" t="s">
        <v>4196</v>
      </c>
      <c r="M235" s="1384" t="s">
        <v>9188</v>
      </c>
      <c r="N235" s="22" t="s">
        <v>4780</v>
      </c>
      <c r="O235" s="1384" t="s">
        <v>5431</v>
      </c>
      <c r="P235" s="1385" t="s">
        <v>111</v>
      </c>
      <c r="Q235" s="1384" t="s">
        <v>7591</v>
      </c>
      <c r="R235" s="54" t="s">
        <v>4162</v>
      </c>
      <c r="S235" s="1385" t="s">
        <v>111</v>
      </c>
      <c r="T235" s="1384" t="s">
        <v>9206</v>
      </c>
      <c r="U235" s="1384" t="s">
        <v>1894</v>
      </c>
      <c r="V235" s="24" t="s">
        <v>9183</v>
      </c>
      <c r="W235" s="90" t="s">
        <v>9030</v>
      </c>
      <c r="X235" s="24" t="s">
        <v>110</v>
      </c>
      <c r="Y235" s="24">
        <v>1</v>
      </c>
      <c r="Z235" s="24" t="s">
        <v>448</v>
      </c>
      <c r="AA235" s="24" t="s">
        <v>448</v>
      </c>
      <c r="AB235" s="30">
        <v>83.52</v>
      </c>
      <c r="AC235" s="30"/>
      <c r="AD235" s="30">
        <v>83.52</v>
      </c>
      <c r="AE235" s="59"/>
      <c r="AF235" s="59"/>
      <c r="AG235" s="35" t="s">
        <v>1104</v>
      </c>
      <c r="AH235" s="202" t="s">
        <v>19</v>
      </c>
      <c r="AI235" s="35" t="s">
        <v>1880</v>
      </c>
      <c r="AJ235" s="1384"/>
    </row>
    <row r="236" spans="1:36" s="11" customFormat="1" ht="26.25" customHeight="1" x14ac:dyDescent="0.15">
      <c r="A236" s="8">
        <f t="shared" si="0"/>
        <v>234</v>
      </c>
      <c r="B236" s="36" t="s">
        <v>9179</v>
      </c>
      <c r="C236" s="71" t="s">
        <v>9195</v>
      </c>
      <c r="D236" s="26" t="s">
        <v>19</v>
      </c>
      <c r="E236" s="26" t="s">
        <v>19</v>
      </c>
      <c r="F236" s="29" t="s">
        <v>9186</v>
      </c>
      <c r="G236" s="53" t="s">
        <v>9187</v>
      </c>
      <c r="H236" s="26" t="s">
        <v>448</v>
      </c>
      <c r="I236" s="26" t="s">
        <v>448</v>
      </c>
      <c r="J236" s="26" t="s">
        <v>448</v>
      </c>
      <c r="K236" s="1384" t="s">
        <v>4195</v>
      </c>
      <c r="L236" s="1384" t="s">
        <v>4196</v>
      </c>
      <c r="M236" s="1384" t="s">
        <v>9188</v>
      </c>
      <c r="N236" s="22" t="s">
        <v>4780</v>
      </c>
      <c r="O236" s="1384" t="s">
        <v>5431</v>
      </c>
      <c r="P236" s="1385" t="s">
        <v>111</v>
      </c>
      <c r="Q236" s="1384" t="s">
        <v>1131</v>
      </c>
      <c r="R236" s="54" t="s">
        <v>9189</v>
      </c>
      <c r="S236" s="1385" t="s">
        <v>111</v>
      </c>
      <c r="T236" s="1384" t="s">
        <v>9206</v>
      </c>
      <c r="U236" s="1384" t="s">
        <v>1894</v>
      </c>
      <c r="V236" s="24" t="s">
        <v>9183</v>
      </c>
      <c r="W236" s="90" t="s">
        <v>9030</v>
      </c>
      <c r="X236" s="24" t="s">
        <v>110</v>
      </c>
      <c r="Y236" s="24">
        <v>1</v>
      </c>
      <c r="Z236" s="24" t="s">
        <v>448</v>
      </c>
      <c r="AA236" s="24" t="s">
        <v>448</v>
      </c>
      <c r="AB236" s="30">
        <v>53.26</v>
      </c>
      <c r="AC236" s="30"/>
      <c r="AD236" s="30">
        <v>53.26</v>
      </c>
      <c r="AE236" s="59"/>
      <c r="AF236" s="59"/>
      <c r="AG236" s="35" t="s">
        <v>1104</v>
      </c>
      <c r="AH236" s="202" t="s">
        <v>19</v>
      </c>
      <c r="AI236" s="35" t="s">
        <v>1880</v>
      </c>
      <c r="AJ236" s="1377"/>
    </row>
    <row r="237" spans="1:36" s="11" customFormat="1" ht="26.25" customHeight="1" x14ac:dyDescent="0.15">
      <c r="A237" s="8">
        <f t="shared" si="0"/>
        <v>235</v>
      </c>
      <c r="B237" s="36" t="s">
        <v>9196</v>
      </c>
      <c r="C237" s="26" t="s">
        <v>19</v>
      </c>
      <c r="D237" s="26" t="s">
        <v>19</v>
      </c>
      <c r="E237" s="26" t="s">
        <v>19</v>
      </c>
      <c r="F237" s="29" t="s">
        <v>6688</v>
      </c>
      <c r="G237" s="53" t="s">
        <v>9200</v>
      </c>
      <c r="H237" s="1478" t="s">
        <v>448</v>
      </c>
      <c r="I237" s="1478" t="s">
        <v>8702</v>
      </c>
      <c r="J237" s="1478" t="s">
        <v>8703</v>
      </c>
      <c r="K237" s="1389" t="s">
        <v>2032</v>
      </c>
      <c r="L237" s="102" t="s">
        <v>819</v>
      </c>
      <c r="M237" s="37" t="s">
        <v>1129</v>
      </c>
      <c r="N237" s="22" t="s">
        <v>856</v>
      </c>
      <c r="O237" s="22" t="s">
        <v>1826</v>
      </c>
      <c r="P237" s="22" t="s">
        <v>1880</v>
      </c>
      <c r="Q237" s="1390" t="s">
        <v>102</v>
      </c>
      <c r="R237" s="54" t="s">
        <v>1819</v>
      </c>
      <c r="S237" s="22" t="s">
        <v>1880</v>
      </c>
      <c r="T237" s="1390" t="s">
        <v>446</v>
      </c>
      <c r="U237" s="1390" t="s">
        <v>446</v>
      </c>
      <c r="V237" s="24" t="s">
        <v>9204</v>
      </c>
      <c r="W237" s="90" t="s">
        <v>9205</v>
      </c>
      <c r="X237" s="1391" t="s">
        <v>2359</v>
      </c>
      <c r="Y237" s="1391">
        <v>1</v>
      </c>
      <c r="Z237" s="24" t="s">
        <v>8778</v>
      </c>
      <c r="AA237" s="24" t="s">
        <v>8405</v>
      </c>
      <c r="AB237" s="30"/>
      <c r="AC237" s="30">
        <v>10</v>
      </c>
      <c r="AD237" s="30">
        <v>10</v>
      </c>
      <c r="AE237" s="59"/>
      <c r="AF237" s="59"/>
      <c r="AG237" s="35" t="s">
        <v>1104</v>
      </c>
      <c r="AH237" s="202" t="s">
        <v>19</v>
      </c>
      <c r="AI237" s="35" t="s">
        <v>1880</v>
      </c>
      <c r="AJ237" s="1387"/>
    </row>
    <row r="238" spans="1:36" s="11" customFormat="1" ht="26.25" customHeight="1" x14ac:dyDescent="0.15">
      <c r="A238" s="8">
        <f t="shared" si="0"/>
        <v>236</v>
      </c>
      <c r="B238" s="36" t="s">
        <v>9197</v>
      </c>
      <c r="C238" s="26" t="s">
        <v>19</v>
      </c>
      <c r="D238" s="26" t="s">
        <v>19</v>
      </c>
      <c r="E238" s="26" t="s">
        <v>19</v>
      </c>
      <c r="F238" s="29" t="s">
        <v>268</v>
      </c>
      <c r="G238" s="53" t="s">
        <v>9201</v>
      </c>
      <c r="H238" s="1478" t="s">
        <v>448</v>
      </c>
      <c r="I238" s="1478" t="s">
        <v>8702</v>
      </c>
      <c r="J238" s="1478" t="s">
        <v>8703</v>
      </c>
      <c r="K238" s="1389" t="s">
        <v>2032</v>
      </c>
      <c r="L238" s="1389" t="s">
        <v>270</v>
      </c>
      <c r="M238" s="21" t="s">
        <v>610</v>
      </c>
      <c r="N238" s="21" t="s">
        <v>609</v>
      </c>
      <c r="O238" s="22" t="s">
        <v>1826</v>
      </c>
      <c r="P238" s="22" t="s">
        <v>1880</v>
      </c>
      <c r="Q238" s="1390" t="s">
        <v>102</v>
      </c>
      <c r="R238" s="54" t="s">
        <v>1819</v>
      </c>
      <c r="S238" s="22" t="s">
        <v>1880</v>
      </c>
      <c r="T238" s="21" t="s">
        <v>226</v>
      </c>
      <c r="U238" s="21" t="s">
        <v>226</v>
      </c>
      <c r="V238" s="24" t="s">
        <v>9204</v>
      </c>
      <c r="W238" s="90" t="s">
        <v>9205</v>
      </c>
      <c r="X238" s="1391" t="s">
        <v>2359</v>
      </c>
      <c r="Y238" s="1391">
        <v>1</v>
      </c>
      <c r="Z238" s="24" t="s">
        <v>8778</v>
      </c>
      <c r="AA238" s="24" t="s">
        <v>8405</v>
      </c>
      <c r="AB238" s="30"/>
      <c r="AC238" s="30">
        <v>7</v>
      </c>
      <c r="AD238" s="30">
        <f>AB238+AC238</f>
        <v>7</v>
      </c>
      <c r="AE238" s="59"/>
      <c r="AF238" s="59"/>
      <c r="AG238" s="35" t="s">
        <v>1104</v>
      </c>
      <c r="AH238" s="202" t="s">
        <v>19</v>
      </c>
      <c r="AI238" s="35" t="s">
        <v>1880</v>
      </c>
      <c r="AJ238" s="1387"/>
    </row>
    <row r="239" spans="1:36" s="11" customFormat="1" ht="26.25" customHeight="1" x14ac:dyDescent="0.15">
      <c r="A239" s="8">
        <f t="shared" si="0"/>
        <v>237</v>
      </c>
      <c r="B239" s="36" t="s">
        <v>9198</v>
      </c>
      <c r="C239" s="26" t="s">
        <v>19</v>
      </c>
      <c r="D239" s="26" t="s">
        <v>19</v>
      </c>
      <c r="E239" s="26" t="s">
        <v>19</v>
      </c>
      <c r="F239" s="54" t="s">
        <v>3113</v>
      </c>
      <c r="G239" s="53" t="s">
        <v>9202</v>
      </c>
      <c r="H239" s="1478" t="s">
        <v>448</v>
      </c>
      <c r="I239" s="1478" t="s">
        <v>8702</v>
      </c>
      <c r="J239" s="1478" t="s">
        <v>8703</v>
      </c>
      <c r="K239" s="1389" t="s">
        <v>2032</v>
      </c>
      <c r="L239" s="1389" t="s">
        <v>2031</v>
      </c>
      <c r="M239" s="1390" t="s">
        <v>2039</v>
      </c>
      <c r="N239" s="1390" t="s">
        <v>2038</v>
      </c>
      <c r="O239" s="22" t="s">
        <v>1826</v>
      </c>
      <c r="P239" s="22" t="s">
        <v>1880</v>
      </c>
      <c r="Q239" s="1390" t="s">
        <v>102</v>
      </c>
      <c r="R239" s="54" t="s">
        <v>1819</v>
      </c>
      <c r="S239" s="22" t="s">
        <v>1880</v>
      </c>
      <c r="T239" s="21" t="s">
        <v>226</v>
      </c>
      <c r="U239" s="21" t="s">
        <v>226</v>
      </c>
      <c r="V239" s="24" t="s">
        <v>9204</v>
      </c>
      <c r="W239" s="90" t="s">
        <v>9205</v>
      </c>
      <c r="X239" s="1391" t="s">
        <v>2359</v>
      </c>
      <c r="Y239" s="1391">
        <v>1</v>
      </c>
      <c r="Z239" s="24" t="s">
        <v>8778</v>
      </c>
      <c r="AA239" s="24" t="s">
        <v>8405</v>
      </c>
      <c r="AB239" s="30"/>
      <c r="AC239" s="30">
        <v>7</v>
      </c>
      <c r="AD239" s="30">
        <f>AB239+AC239</f>
        <v>7</v>
      </c>
      <c r="AE239" s="59"/>
      <c r="AF239" s="59"/>
      <c r="AG239" s="35" t="s">
        <v>1104</v>
      </c>
      <c r="AH239" s="202" t="s">
        <v>19</v>
      </c>
      <c r="AI239" s="35" t="s">
        <v>1880</v>
      </c>
      <c r="AJ239" s="1387"/>
    </row>
    <row r="240" spans="1:36" s="11" customFormat="1" ht="26.25" customHeight="1" x14ac:dyDescent="0.15">
      <c r="A240" s="8">
        <f t="shared" si="0"/>
        <v>238</v>
      </c>
      <c r="B240" s="36" t="s">
        <v>9199</v>
      </c>
      <c r="C240" s="26" t="s">
        <v>19</v>
      </c>
      <c r="D240" s="26" t="s">
        <v>19</v>
      </c>
      <c r="E240" s="26" t="s">
        <v>19</v>
      </c>
      <c r="F240" s="54" t="s">
        <v>2037</v>
      </c>
      <c r="G240" s="53" t="s">
        <v>9203</v>
      </c>
      <c r="H240" s="1478" t="s">
        <v>448</v>
      </c>
      <c r="I240" s="1478" t="s">
        <v>8702</v>
      </c>
      <c r="J240" s="1478" t="s">
        <v>8703</v>
      </c>
      <c r="K240" s="1389" t="s">
        <v>2032</v>
      </c>
      <c r="L240" s="1389" t="s">
        <v>2031</v>
      </c>
      <c r="M240" s="1390" t="s">
        <v>2041</v>
      </c>
      <c r="N240" s="1390" t="s">
        <v>2040</v>
      </c>
      <c r="O240" s="22" t="s">
        <v>1826</v>
      </c>
      <c r="P240" s="22" t="s">
        <v>1880</v>
      </c>
      <c r="Q240" s="1390" t="s">
        <v>102</v>
      </c>
      <c r="R240" s="54" t="s">
        <v>1819</v>
      </c>
      <c r="S240" s="22" t="s">
        <v>1880</v>
      </c>
      <c r="T240" s="21" t="s">
        <v>226</v>
      </c>
      <c r="U240" s="21" t="s">
        <v>226</v>
      </c>
      <c r="V240" s="24" t="s">
        <v>9204</v>
      </c>
      <c r="W240" s="90" t="s">
        <v>9205</v>
      </c>
      <c r="X240" s="1391" t="s">
        <v>2359</v>
      </c>
      <c r="Y240" s="1391">
        <v>1</v>
      </c>
      <c r="Z240" s="24" t="s">
        <v>8778</v>
      </c>
      <c r="AA240" s="24" t="s">
        <v>8405</v>
      </c>
      <c r="AB240" s="30"/>
      <c r="AC240" s="30">
        <v>7</v>
      </c>
      <c r="AD240" s="30">
        <f>AB240+AC240</f>
        <v>7</v>
      </c>
      <c r="AE240" s="59"/>
      <c r="AF240" s="59"/>
      <c r="AG240" s="35" t="s">
        <v>1104</v>
      </c>
      <c r="AH240" s="202" t="s">
        <v>19</v>
      </c>
      <c r="AI240" s="35" t="s">
        <v>1880</v>
      </c>
      <c r="AJ240" s="1387"/>
    </row>
    <row r="241" spans="1:36" s="11" customFormat="1" ht="26.25" customHeight="1" x14ac:dyDescent="0.15">
      <c r="A241" s="8">
        <f t="shared" si="0"/>
        <v>239</v>
      </c>
      <c r="B241" s="36"/>
      <c r="C241" s="26"/>
      <c r="D241" s="711"/>
      <c r="E241" s="26"/>
      <c r="F241" s="29"/>
      <c r="G241" s="53"/>
      <c r="H241" s="53"/>
      <c r="I241" s="53"/>
      <c r="J241" s="53"/>
      <c r="K241" s="1386"/>
      <c r="L241" s="1386"/>
      <c r="M241" s="1386"/>
      <c r="N241" s="22"/>
      <c r="O241" s="1388"/>
      <c r="P241" s="1388"/>
      <c r="Q241" s="1387"/>
      <c r="R241" s="54"/>
      <c r="S241" s="1388"/>
      <c r="T241" s="1387"/>
      <c r="U241" s="1387"/>
      <c r="V241" s="24"/>
      <c r="W241" s="90"/>
      <c r="X241" s="24"/>
      <c r="Y241" s="24"/>
      <c r="Z241" s="24"/>
      <c r="AA241" s="24"/>
      <c r="AB241" s="30"/>
      <c r="AC241" s="30"/>
      <c r="AD241" s="30"/>
      <c r="AE241" s="59"/>
      <c r="AF241" s="59"/>
      <c r="AG241" s="1388"/>
      <c r="AH241" s="202"/>
      <c r="AI241" s="133"/>
      <c r="AJ241" s="1387"/>
    </row>
    <row r="242" spans="1:36" s="11" customFormat="1" ht="26.25" customHeight="1" x14ac:dyDescent="0.15">
      <c r="A242" s="8">
        <f t="shared" si="0"/>
        <v>240</v>
      </c>
      <c r="B242" s="36"/>
      <c r="C242" s="26"/>
      <c r="D242" s="711"/>
      <c r="E242" s="26"/>
      <c r="F242" s="29"/>
      <c r="G242" s="53"/>
      <c r="H242" s="53"/>
      <c r="I242" s="53"/>
      <c r="J242" s="53"/>
      <c r="K242" s="1182"/>
      <c r="L242" s="1182"/>
      <c r="M242" s="1182"/>
      <c r="N242" s="22"/>
      <c r="O242" s="1184"/>
      <c r="P242" s="1184"/>
      <c r="Q242" s="1183"/>
      <c r="R242" s="54"/>
      <c r="S242" s="1184"/>
      <c r="T242" s="1183"/>
      <c r="U242" s="1183"/>
      <c r="V242" s="24"/>
      <c r="W242" s="90"/>
      <c r="X242" s="24"/>
      <c r="Y242" s="24"/>
      <c r="Z242" s="24"/>
      <c r="AA242" s="24"/>
      <c r="AB242" s="30"/>
      <c r="AC242" s="30"/>
      <c r="AD242" s="30"/>
      <c r="AE242" s="59"/>
      <c r="AF242" s="59"/>
      <c r="AG242" s="1184"/>
      <c r="AH242" s="202"/>
      <c r="AI242" s="133"/>
      <c r="AJ242" s="1183"/>
    </row>
    <row r="243" spans="1:36" s="11" customFormat="1" ht="26.25" customHeight="1" x14ac:dyDescent="0.15">
      <c r="A243" s="8"/>
      <c r="B243" s="36"/>
      <c r="C243" s="26"/>
      <c r="D243" s="26"/>
      <c r="E243" s="26"/>
      <c r="F243" s="29"/>
      <c r="G243" s="53"/>
      <c r="H243" s="53"/>
      <c r="I243" s="53"/>
      <c r="J243" s="53"/>
      <c r="K243" s="1182"/>
      <c r="L243" s="1"/>
      <c r="M243" s="37"/>
      <c r="N243" s="22"/>
      <c r="O243" s="22"/>
      <c r="P243" s="22"/>
      <c r="Q243" s="1183"/>
      <c r="R243" s="54"/>
      <c r="S243" s="22"/>
      <c r="T243" s="1183"/>
      <c r="U243" s="1183"/>
      <c r="V243" s="24"/>
      <c r="W243" s="90"/>
      <c r="X243" s="146" t="s">
        <v>3144</v>
      </c>
      <c r="Y243" s="146"/>
      <c r="Z243" s="146"/>
      <c r="AA243" s="146"/>
      <c r="AB243" s="148">
        <f>SUM(AB3:AB242)</f>
        <v>1689.5153970000001</v>
      </c>
      <c r="AC243" s="148">
        <f>SUM(AC3:AC242)</f>
        <v>1437.5549999999996</v>
      </c>
      <c r="AD243" s="148">
        <f>SUM(AD3:AD242)</f>
        <v>3127.070396999999</v>
      </c>
      <c r="AE243" s="702"/>
      <c r="AF243" s="702"/>
      <c r="AG243" s="35"/>
      <c r="AH243" s="35"/>
      <c r="AI243" s="35"/>
      <c r="AJ243" s="1183"/>
    </row>
    <row r="244" spans="1:36" x14ac:dyDescent="0.15">
      <c r="C244" t="s">
        <v>4680</v>
      </c>
    </row>
    <row r="505" spans="26:26" x14ac:dyDescent="0.15">
      <c r="Z505" t="s">
        <v>7027</v>
      </c>
    </row>
    <row r="506" spans="26:26" x14ac:dyDescent="0.15">
      <c r="Z506" t="s">
        <v>7028</v>
      </c>
    </row>
    <row r="507" spans="26:26" x14ac:dyDescent="0.15">
      <c r="Z507" t="s">
        <v>7029</v>
      </c>
    </row>
  </sheetData>
  <autoFilter ref="A2:AJ244" xr:uid="{00000000-0009-0000-0000-000000000000}"/>
  <mergeCells count="1">
    <mergeCell ref="A1:AI1"/>
  </mergeCells>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07"/>
  <sheetViews>
    <sheetView zoomScaleNormal="100" workbookViewId="0">
      <pane xSplit="2" ySplit="2" topLeftCell="C17" activePane="bottomRight" state="frozen"/>
      <selection pane="topRight" activeCell="C1" sqref="C1"/>
      <selection pane="bottomLeft" activeCell="A3" sqref="A3"/>
      <selection pane="bottomRight" activeCell="H26" sqref="H26:J2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9" width="12.25" style="38" customWidth="1"/>
    <col min="30" max="30" width="10.875" customWidth="1"/>
    <col min="31" max="31" width="13.75" customWidth="1"/>
    <col min="33" max="33" width="37.875" customWidth="1"/>
  </cols>
  <sheetData>
    <row r="1" spans="1:33" s="3" customFormat="1" ht="33" customHeight="1" x14ac:dyDescent="0.15">
      <c r="A1" s="1953" t="s">
        <v>7543</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row>
    <row r="2" spans="1:33" s="4" customFormat="1" ht="27.95" customHeight="1" x14ac:dyDescent="0.15">
      <c r="A2" s="25" t="s">
        <v>0</v>
      </c>
      <c r="B2" s="25" t="s">
        <v>1</v>
      </c>
      <c r="C2" s="25" t="s">
        <v>2</v>
      </c>
      <c r="D2" s="25" t="s">
        <v>3</v>
      </c>
      <c r="E2" s="25" t="s">
        <v>958</v>
      </c>
      <c r="F2" s="25" t="s">
        <v>4</v>
      </c>
      <c r="G2" s="25" t="s">
        <v>5</v>
      </c>
      <c r="H2" s="25" t="s">
        <v>7</v>
      </c>
      <c r="I2" s="25" t="s">
        <v>6</v>
      </c>
      <c r="J2" s="25" t="s">
        <v>419</v>
      </c>
      <c r="K2" s="25" t="s">
        <v>420</v>
      </c>
      <c r="L2" s="25" t="s">
        <v>1825</v>
      </c>
      <c r="M2" s="25" t="s">
        <v>1857</v>
      </c>
      <c r="N2" s="25" t="s">
        <v>10</v>
      </c>
      <c r="O2" s="25" t="s">
        <v>8</v>
      </c>
      <c r="P2" s="25" t="s">
        <v>9</v>
      </c>
      <c r="Q2" s="25" t="s">
        <v>3342</v>
      </c>
      <c r="R2" s="25" t="s">
        <v>3343</v>
      </c>
      <c r="S2" s="25" t="s">
        <v>2126</v>
      </c>
      <c r="T2" s="49" t="s">
        <v>2127</v>
      </c>
      <c r="U2" s="32" t="s">
        <v>14</v>
      </c>
      <c r="V2" s="32" t="s">
        <v>13</v>
      </c>
      <c r="W2" s="25" t="s">
        <v>11</v>
      </c>
      <c r="X2" s="25" t="s">
        <v>12</v>
      </c>
      <c r="Y2" s="134" t="s">
        <v>429</v>
      </c>
      <c r="Z2" s="134" t="s">
        <v>2183</v>
      </c>
      <c r="AA2" s="134" t="s">
        <v>431</v>
      </c>
      <c r="AB2" s="134" t="s">
        <v>6455</v>
      </c>
      <c r="AC2" s="134" t="s">
        <v>6456</v>
      </c>
      <c r="AD2" s="25" t="s">
        <v>2124</v>
      </c>
      <c r="AE2" s="25" t="s">
        <v>2123</v>
      </c>
      <c r="AF2" s="25" t="s">
        <v>2125</v>
      </c>
      <c r="AG2" s="25" t="s">
        <v>3252</v>
      </c>
    </row>
    <row r="3" spans="1:33" s="11" customFormat="1" ht="26.25" customHeight="1" x14ac:dyDescent="0.15">
      <c r="A3" s="8">
        <f>ROW()-2</f>
        <v>1</v>
      </c>
      <c r="B3" s="36" t="s">
        <v>7544</v>
      </c>
      <c r="C3" s="26" t="s">
        <v>19</v>
      </c>
      <c r="D3" s="26" t="s">
        <v>19</v>
      </c>
      <c r="E3" s="26" t="s">
        <v>19</v>
      </c>
      <c r="F3" s="149" t="s">
        <v>845</v>
      </c>
      <c r="G3" s="26" t="s">
        <v>19</v>
      </c>
      <c r="H3" s="18" t="s">
        <v>1829</v>
      </c>
      <c r="I3" s="142" t="s">
        <v>849</v>
      </c>
      <c r="J3" s="21" t="s">
        <v>852</v>
      </c>
      <c r="K3" s="22" t="s">
        <v>855</v>
      </c>
      <c r="L3" s="22" t="s">
        <v>1826</v>
      </c>
      <c r="M3" s="22" t="s">
        <v>1880</v>
      </c>
      <c r="N3" s="967" t="s">
        <v>102</v>
      </c>
      <c r="O3" s="54" t="s">
        <v>3737</v>
      </c>
      <c r="P3" s="22" t="s">
        <v>1880</v>
      </c>
      <c r="Q3" s="967" t="s">
        <v>5487</v>
      </c>
      <c r="R3" s="967" t="s">
        <v>5487</v>
      </c>
      <c r="S3" s="24" t="s">
        <v>111</v>
      </c>
      <c r="T3" s="90" t="s">
        <v>111</v>
      </c>
      <c r="U3" s="24" t="s">
        <v>111</v>
      </c>
      <c r="V3" s="24" t="s">
        <v>1880</v>
      </c>
      <c r="W3" s="24" t="s">
        <v>7074</v>
      </c>
      <c r="X3" s="24" t="s">
        <v>6916</v>
      </c>
      <c r="Y3" s="30"/>
      <c r="Z3" s="30">
        <v>6</v>
      </c>
      <c r="AA3" s="30">
        <v>6</v>
      </c>
      <c r="AB3" s="59"/>
      <c r="AC3" s="59"/>
      <c r="AD3" s="35" t="s">
        <v>1104</v>
      </c>
      <c r="AE3" s="202" t="s">
        <v>19</v>
      </c>
      <c r="AF3" s="35" t="s">
        <v>1880</v>
      </c>
      <c r="AG3" s="967"/>
    </row>
    <row r="4" spans="1:33" s="11" customFormat="1" ht="26.25" customHeight="1" x14ac:dyDescent="0.15">
      <c r="A4" s="8">
        <f t="shared" ref="A4:A242" si="0">ROW()-2</f>
        <v>2</v>
      </c>
      <c r="B4" s="36" t="s">
        <v>7545</v>
      </c>
      <c r="C4" s="26" t="s">
        <v>19</v>
      </c>
      <c r="D4" s="26" t="s">
        <v>19</v>
      </c>
      <c r="E4" s="26" t="s">
        <v>19</v>
      </c>
      <c r="F4" s="29" t="s">
        <v>7546</v>
      </c>
      <c r="G4" s="53" t="s">
        <v>7619</v>
      </c>
      <c r="H4" s="966" t="s">
        <v>4208</v>
      </c>
      <c r="I4" s="966" t="s">
        <v>5726</v>
      </c>
      <c r="J4" s="966" t="s">
        <v>7621</v>
      </c>
      <c r="K4" s="22" t="s">
        <v>4780</v>
      </c>
      <c r="L4" s="967" t="s">
        <v>5431</v>
      </c>
      <c r="M4" s="968" t="s">
        <v>111</v>
      </c>
      <c r="N4" s="967" t="s">
        <v>1131</v>
      </c>
      <c r="O4" s="151" t="s">
        <v>7451</v>
      </c>
      <c r="P4" s="22" t="s">
        <v>1880</v>
      </c>
      <c r="Q4" s="967" t="s">
        <v>5487</v>
      </c>
      <c r="R4" s="967" t="s">
        <v>5487</v>
      </c>
      <c r="S4" s="24" t="s">
        <v>7620</v>
      </c>
      <c r="T4" s="90" t="s">
        <v>7446</v>
      </c>
      <c r="U4" s="24" t="s">
        <v>110</v>
      </c>
      <c r="V4" s="24">
        <v>1</v>
      </c>
      <c r="W4" s="90" t="s">
        <v>448</v>
      </c>
      <c r="X4" s="90" t="s">
        <v>448</v>
      </c>
      <c r="Y4" s="30">
        <v>3</v>
      </c>
      <c r="Z4" s="30"/>
      <c r="AA4" s="30">
        <v>3</v>
      </c>
      <c r="AB4" s="59"/>
      <c r="AC4" s="59"/>
      <c r="AD4" s="35" t="s">
        <v>1104</v>
      </c>
      <c r="AE4" s="202" t="s">
        <v>19</v>
      </c>
      <c r="AF4" s="35" t="s">
        <v>1880</v>
      </c>
      <c r="AG4" s="967" t="s">
        <v>7547</v>
      </c>
    </row>
    <row r="5" spans="1:33" s="11" customFormat="1" ht="26.25" customHeight="1" x14ac:dyDescent="0.15">
      <c r="A5" s="8">
        <f t="shared" si="0"/>
        <v>3</v>
      </c>
      <c r="B5" s="36" t="s">
        <v>7549</v>
      </c>
      <c r="C5" s="26" t="s">
        <v>19</v>
      </c>
      <c r="D5" s="26" t="s">
        <v>19</v>
      </c>
      <c r="E5" s="26" t="s">
        <v>19</v>
      </c>
      <c r="F5" s="29" t="s">
        <v>6268</v>
      </c>
      <c r="G5" s="53" t="s">
        <v>7550</v>
      </c>
      <c r="H5" s="969" t="s">
        <v>3649</v>
      </c>
      <c r="I5" s="969" t="s">
        <v>4750</v>
      </c>
      <c r="J5" s="969" t="s">
        <v>6270</v>
      </c>
      <c r="K5" s="22" t="s">
        <v>6271</v>
      </c>
      <c r="L5" s="22" t="s">
        <v>5431</v>
      </c>
      <c r="M5" s="971" t="s">
        <v>1880</v>
      </c>
      <c r="N5" s="970" t="s">
        <v>1131</v>
      </c>
      <c r="O5" s="151" t="s">
        <v>7451</v>
      </c>
      <c r="P5" s="22" t="s">
        <v>1880</v>
      </c>
      <c r="Q5" s="970" t="s">
        <v>5487</v>
      </c>
      <c r="R5" s="970" t="s">
        <v>5487</v>
      </c>
      <c r="S5" s="24" t="s">
        <v>111</v>
      </c>
      <c r="T5" s="90" t="s">
        <v>111</v>
      </c>
      <c r="U5" s="24" t="s">
        <v>110</v>
      </c>
      <c r="V5" s="24">
        <v>1</v>
      </c>
      <c r="W5" s="90" t="s">
        <v>448</v>
      </c>
      <c r="X5" s="90" t="s">
        <v>448</v>
      </c>
      <c r="Y5" s="30">
        <v>3</v>
      </c>
      <c r="Z5" s="30"/>
      <c r="AA5" s="30">
        <v>3</v>
      </c>
      <c r="AB5" s="59"/>
      <c r="AC5" s="59"/>
      <c r="AD5" s="35" t="s">
        <v>1104</v>
      </c>
      <c r="AE5" s="202" t="s">
        <v>19</v>
      </c>
      <c r="AF5" s="35" t="s">
        <v>1880</v>
      </c>
      <c r="AG5" s="970"/>
    </row>
    <row r="6" spans="1:33" s="11" customFormat="1" ht="26.25" customHeight="1" x14ac:dyDescent="0.15">
      <c r="A6" s="8">
        <f t="shared" si="0"/>
        <v>4</v>
      </c>
      <c r="B6" s="36" t="s">
        <v>7551</v>
      </c>
      <c r="C6" s="26" t="s">
        <v>19</v>
      </c>
      <c r="D6" s="26" t="s">
        <v>19</v>
      </c>
      <c r="E6" s="26" t="s">
        <v>19</v>
      </c>
      <c r="F6" s="29" t="s">
        <v>7554</v>
      </c>
      <c r="G6" s="53" t="s">
        <v>7555</v>
      </c>
      <c r="H6" s="969" t="s">
        <v>4712</v>
      </c>
      <c r="I6" s="969" t="s">
        <v>4750</v>
      </c>
      <c r="J6" s="969" t="s">
        <v>7556</v>
      </c>
      <c r="K6" s="22" t="s">
        <v>7557</v>
      </c>
      <c r="L6" s="22" t="s">
        <v>5431</v>
      </c>
      <c r="M6" s="971" t="s">
        <v>1880</v>
      </c>
      <c r="N6" s="970" t="s">
        <v>1131</v>
      </c>
      <c r="O6" s="151" t="s">
        <v>1819</v>
      </c>
      <c r="P6" s="22" t="s">
        <v>1880</v>
      </c>
      <c r="Q6" s="970" t="s">
        <v>5571</v>
      </c>
      <c r="R6" s="970" t="s">
        <v>5571</v>
      </c>
      <c r="S6" s="24" t="s">
        <v>7552</v>
      </c>
      <c r="T6" s="90" t="s">
        <v>7553</v>
      </c>
      <c r="U6" s="24" t="s">
        <v>110</v>
      </c>
      <c r="V6" s="24">
        <v>2</v>
      </c>
      <c r="W6" s="90" t="s">
        <v>6799</v>
      </c>
      <c r="X6" s="90" t="s">
        <v>6848</v>
      </c>
      <c r="Y6" s="30"/>
      <c r="Z6" s="30">
        <v>8.9</v>
      </c>
      <c r="AA6" s="30">
        <v>8.9</v>
      </c>
      <c r="AB6" s="59"/>
      <c r="AC6" s="59"/>
      <c r="AD6" s="35" t="s">
        <v>1104</v>
      </c>
      <c r="AE6" s="202" t="s">
        <v>19</v>
      </c>
      <c r="AF6" s="35" t="s">
        <v>1880</v>
      </c>
      <c r="AG6" s="970"/>
    </row>
    <row r="7" spans="1:33" s="11" customFormat="1" ht="26.25" customHeight="1" x14ac:dyDescent="0.15">
      <c r="A7" s="8">
        <f t="shared" si="0"/>
        <v>5</v>
      </c>
      <c r="B7" s="36" t="s">
        <v>7558</v>
      </c>
      <c r="C7" s="26" t="s">
        <v>19</v>
      </c>
      <c r="D7" s="711" t="s">
        <v>7575</v>
      </c>
      <c r="E7" s="26" t="s">
        <v>19</v>
      </c>
      <c r="F7" s="29" t="s">
        <v>5497</v>
      </c>
      <c r="G7" s="53" t="s">
        <v>7564</v>
      </c>
      <c r="H7" s="972" t="s">
        <v>3641</v>
      </c>
      <c r="I7" s="972" t="s">
        <v>1789</v>
      </c>
      <c r="J7" s="972" t="s">
        <v>5086</v>
      </c>
      <c r="K7" s="22" t="s">
        <v>5087</v>
      </c>
      <c r="L7" s="974" t="s">
        <v>1826</v>
      </c>
      <c r="M7" s="974" t="s">
        <v>111</v>
      </c>
      <c r="N7" s="28" t="s">
        <v>25</v>
      </c>
      <c r="O7" s="151" t="s">
        <v>7451</v>
      </c>
      <c r="P7" s="22" t="s">
        <v>1880</v>
      </c>
      <c r="Q7" s="973" t="s">
        <v>446</v>
      </c>
      <c r="R7" s="973" t="s">
        <v>446</v>
      </c>
      <c r="S7" s="24" t="s">
        <v>7552</v>
      </c>
      <c r="T7" s="90" t="s">
        <v>7566</v>
      </c>
      <c r="U7" s="24" t="s">
        <v>110</v>
      </c>
      <c r="V7" s="24">
        <v>2</v>
      </c>
      <c r="W7" s="24" t="s">
        <v>448</v>
      </c>
      <c r="X7" s="24" t="s">
        <v>448</v>
      </c>
      <c r="Y7" s="30">
        <v>3</v>
      </c>
      <c r="Z7" s="30"/>
      <c r="AA7" s="30">
        <v>3</v>
      </c>
      <c r="AB7" s="59"/>
      <c r="AC7" s="59"/>
      <c r="AD7" s="35" t="s">
        <v>1104</v>
      </c>
      <c r="AE7" s="202" t="s">
        <v>19</v>
      </c>
      <c r="AF7" s="35" t="s">
        <v>1880</v>
      </c>
      <c r="AG7" s="973"/>
    </row>
    <row r="8" spans="1:33" s="11" customFormat="1" ht="26.25" customHeight="1" x14ac:dyDescent="0.15">
      <c r="A8" s="8">
        <f t="shared" si="0"/>
        <v>6</v>
      </c>
      <c r="B8" s="36" t="s">
        <v>7559</v>
      </c>
      <c r="C8" s="26" t="s">
        <v>19</v>
      </c>
      <c r="D8" s="26" t="s">
        <v>19</v>
      </c>
      <c r="E8" s="26" t="s">
        <v>19</v>
      </c>
      <c r="F8" s="29" t="s">
        <v>5497</v>
      </c>
      <c r="G8" s="53" t="s">
        <v>7565</v>
      </c>
      <c r="H8" s="972" t="s">
        <v>3641</v>
      </c>
      <c r="I8" s="972" t="s">
        <v>1789</v>
      </c>
      <c r="J8" s="972" t="s">
        <v>5086</v>
      </c>
      <c r="K8" s="22" t="s">
        <v>5087</v>
      </c>
      <c r="L8" s="974" t="s">
        <v>1826</v>
      </c>
      <c r="M8" s="974" t="s">
        <v>111</v>
      </c>
      <c r="N8" s="28" t="s">
        <v>25</v>
      </c>
      <c r="O8" s="222" t="s">
        <v>1819</v>
      </c>
      <c r="P8" s="974" t="s">
        <v>111</v>
      </c>
      <c r="Q8" s="973" t="s">
        <v>1785</v>
      </c>
      <c r="R8" s="973" t="s">
        <v>1785</v>
      </c>
      <c r="S8" s="24" t="s">
        <v>7552</v>
      </c>
      <c r="T8" s="90" t="s">
        <v>7566</v>
      </c>
      <c r="U8" s="974" t="s">
        <v>2359</v>
      </c>
      <c r="V8" s="974">
        <v>2</v>
      </c>
      <c r="W8" s="223" t="s">
        <v>7181</v>
      </c>
      <c r="X8" s="223" t="s">
        <v>7182</v>
      </c>
      <c r="Y8" s="30"/>
      <c r="Z8" s="328">
        <v>7.5</v>
      </c>
      <c r="AA8" s="30">
        <v>7.5</v>
      </c>
      <c r="AB8" s="59"/>
      <c r="AC8" s="59"/>
      <c r="AD8" s="974" t="s">
        <v>1104</v>
      </c>
      <c r="AE8" s="202" t="s">
        <v>1880</v>
      </c>
      <c r="AF8" s="133" t="s">
        <v>1880</v>
      </c>
      <c r="AG8" s="973"/>
    </row>
    <row r="9" spans="1:33" s="11" customFormat="1" ht="26.25" customHeight="1" x14ac:dyDescent="0.15">
      <c r="A9" s="8">
        <f t="shared" si="0"/>
        <v>7</v>
      </c>
      <c r="B9" s="36" t="s">
        <v>7560</v>
      </c>
      <c r="C9" s="26" t="s">
        <v>19</v>
      </c>
      <c r="D9" s="26" t="s">
        <v>19</v>
      </c>
      <c r="E9" s="26" t="s">
        <v>19</v>
      </c>
      <c r="F9" s="29" t="s">
        <v>5497</v>
      </c>
      <c r="G9" s="53" t="s">
        <v>7567</v>
      </c>
      <c r="H9" s="972" t="s">
        <v>3641</v>
      </c>
      <c r="I9" s="102" t="s">
        <v>1789</v>
      </c>
      <c r="J9" s="37" t="s">
        <v>5499</v>
      </c>
      <c r="K9" s="22" t="s">
        <v>1138</v>
      </c>
      <c r="L9" s="22" t="s">
        <v>1826</v>
      </c>
      <c r="M9" s="974" t="s">
        <v>111</v>
      </c>
      <c r="N9" s="973" t="s">
        <v>1818</v>
      </c>
      <c r="O9" s="54" t="s">
        <v>116</v>
      </c>
      <c r="P9" s="22" t="s">
        <v>1880</v>
      </c>
      <c r="Q9" s="973" t="s">
        <v>446</v>
      </c>
      <c r="R9" s="973" t="s">
        <v>446</v>
      </c>
      <c r="S9" s="24" t="s">
        <v>7552</v>
      </c>
      <c r="T9" s="90" t="s">
        <v>7566</v>
      </c>
      <c r="U9" s="24" t="s">
        <v>110</v>
      </c>
      <c r="V9" s="24">
        <v>2</v>
      </c>
      <c r="W9" s="24" t="s">
        <v>7568</v>
      </c>
      <c r="X9" s="24" t="s">
        <v>7569</v>
      </c>
      <c r="Y9" s="30"/>
      <c r="Z9" s="30">
        <v>8</v>
      </c>
      <c r="AA9" s="30">
        <v>8</v>
      </c>
      <c r="AB9" s="59"/>
      <c r="AC9" s="59"/>
      <c r="AD9" s="974" t="s">
        <v>1104</v>
      </c>
      <c r="AE9" s="202" t="s">
        <v>1880</v>
      </c>
      <c r="AF9" s="133" t="s">
        <v>1880</v>
      </c>
      <c r="AG9" s="973"/>
    </row>
    <row r="10" spans="1:33" s="11" customFormat="1" ht="26.25" customHeight="1" x14ac:dyDescent="0.15">
      <c r="A10" s="8">
        <f t="shared" si="0"/>
        <v>8</v>
      </c>
      <c r="B10" s="36" t="s">
        <v>7561</v>
      </c>
      <c r="C10" s="26" t="s">
        <v>19</v>
      </c>
      <c r="D10" s="26" t="s">
        <v>19</v>
      </c>
      <c r="E10" s="26" t="s">
        <v>19</v>
      </c>
      <c r="F10" s="29" t="s">
        <v>5497</v>
      </c>
      <c r="G10" s="53" t="s">
        <v>7570</v>
      </c>
      <c r="H10" s="972" t="s">
        <v>3641</v>
      </c>
      <c r="I10" s="102" t="s">
        <v>1789</v>
      </c>
      <c r="J10" s="37" t="s">
        <v>5499</v>
      </c>
      <c r="K10" s="22" t="s">
        <v>1138</v>
      </c>
      <c r="L10" s="22" t="s">
        <v>1826</v>
      </c>
      <c r="M10" s="974" t="s">
        <v>111</v>
      </c>
      <c r="N10" s="28" t="s">
        <v>25</v>
      </c>
      <c r="O10" s="151" t="s">
        <v>7451</v>
      </c>
      <c r="P10" s="22" t="s">
        <v>1880</v>
      </c>
      <c r="Q10" s="973" t="s">
        <v>446</v>
      </c>
      <c r="R10" s="973" t="s">
        <v>446</v>
      </c>
      <c r="S10" s="24" t="s">
        <v>7552</v>
      </c>
      <c r="T10" s="90" t="s">
        <v>7566</v>
      </c>
      <c r="U10" s="24" t="s">
        <v>110</v>
      </c>
      <c r="V10" s="24">
        <v>2</v>
      </c>
      <c r="W10" s="24" t="s">
        <v>448</v>
      </c>
      <c r="X10" s="24" t="s">
        <v>448</v>
      </c>
      <c r="Y10" s="30">
        <v>3</v>
      </c>
      <c r="Z10" s="30"/>
      <c r="AA10" s="30">
        <v>3</v>
      </c>
      <c r="AB10" s="59"/>
      <c r="AC10" s="59"/>
      <c r="AD10" s="974" t="s">
        <v>1104</v>
      </c>
      <c r="AE10" s="202" t="s">
        <v>1880</v>
      </c>
      <c r="AF10" s="133" t="s">
        <v>1880</v>
      </c>
      <c r="AG10" s="973"/>
    </row>
    <row r="11" spans="1:33" s="11" customFormat="1" ht="26.25" customHeight="1" x14ac:dyDescent="0.15">
      <c r="A11" s="8">
        <f t="shared" si="0"/>
        <v>9</v>
      </c>
      <c r="B11" s="36" t="s">
        <v>7562</v>
      </c>
      <c r="C11" s="26" t="s">
        <v>19</v>
      </c>
      <c r="D11" s="26" t="s">
        <v>19</v>
      </c>
      <c r="E11" s="26" t="s">
        <v>19</v>
      </c>
      <c r="F11" s="29" t="s">
        <v>5497</v>
      </c>
      <c r="G11" s="53" t="s">
        <v>7571</v>
      </c>
      <c r="H11" s="972" t="s">
        <v>3641</v>
      </c>
      <c r="I11" s="972" t="s">
        <v>1789</v>
      </c>
      <c r="J11" s="972" t="s">
        <v>5080</v>
      </c>
      <c r="K11" s="22" t="s">
        <v>1138</v>
      </c>
      <c r="L11" s="974" t="s">
        <v>1826</v>
      </c>
      <c r="M11" s="974" t="s">
        <v>111</v>
      </c>
      <c r="N11" s="28" t="s">
        <v>25</v>
      </c>
      <c r="O11" s="222" t="s">
        <v>1819</v>
      </c>
      <c r="P11" s="974" t="s">
        <v>111</v>
      </c>
      <c r="Q11" s="973" t="s">
        <v>1785</v>
      </c>
      <c r="R11" s="973" t="s">
        <v>1785</v>
      </c>
      <c r="S11" s="24" t="s">
        <v>7552</v>
      </c>
      <c r="T11" s="90" t="s">
        <v>7566</v>
      </c>
      <c r="U11" s="974" t="s">
        <v>2359</v>
      </c>
      <c r="V11" s="974">
        <v>2</v>
      </c>
      <c r="W11" s="24" t="s">
        <v>7572</v>
      </c>
      <c r="X11" s="24" t="s">
        <v>7573</v>
      </c>
      <c r="Y11" s="30"/>
      <c r="Z11" s="328">
        <v>8</v>
      </c>
      <c r="AA11" s="30">
        <v>8</v>
      </c>
      <c r="AB11" s="59"/>
      <c r="AC11" s="59"/>
      <c r="AD11" s="974" t="s">
        <v>1104</v>
      </c>
      <c r="AE11" s="202" t="s">
        <v>1880</v>
      </c>
      <c r="AF11" s="133" t="s">
        <v>1880</v>
      </c>
      <c r="AG11" s="973"/>
    </row>
    <row r="12" spans="1:33" s="11" customFormat="1" ht="26.25" customHeight="1" x14ac:dyDescent="0.15">
      <c r="A12" s="8">
        <f t="shared" si="0"/>
        <v>10</v>
      </c>
      <c r="B12" s="36" t="s">
        <v>7563</v>
      </c>
      <c r="C12" s="26" t="s">
        <v>19</v>
      </c>
      <c r="D12" s="26" t="s">
        <v>19</v>
      </c>
      <c r="E12" s="26" t="s">
        <v>19</v>
      </c>
      <c r="F12" s="29" t="s">
        <v>5497</v>
      </c>
      <c r="G12" s="53" t="s">
        <v>7574</v>
      </c>
      <c r="H12" s="972" t="s">
        <v>3641</v>
      </c>
      <c r="I12" s="972" t="s">
        <v>1789</v>
      </c>
      <c r="J12" s="972" t="s">
        <v>5080</v>
      </c>
      <c r="K12" s="22" t="s">
        <v>1138</v>
      </c>
      <c r="L12" s="974" t="s">
        <v>1826</v>
      </c>
      <c r="M12" s="974" t="s">
        <v>111</v>
      </c>
      <c r="N12" s="28" t="s">
        <v>25</v>
      </c>
      <c r="O12" s="151" t="s">
        <v>7451</v>
      </c>
      <c r="P12" s="974" t="s">
        <v>111</v>
      </c>
      <c r="Q12" s="973" t="s">
        <v>1785</v>
      </c>
      <c r="R12" s="973" t="s">
        <v>1785</v>
      </c>
      <c r="S12" s="24" t="s">
        <v>7552</v>
      </c>
      <c r="T12" s="90" t="s">
        <v>7566</v>
      </c>
      <c r="U12" s="24" t="s">
        <v>110</v>
      </c>
      <c r="V12" s="24">
        <v>2</v>
      </c>
      <c r="W12" s="24" t="s">
        <v>448</v>
      </c>
      <c r="X12" s="24" t="s">
        <v>448</v>
      </c>
      <c r="Y12" s="30">
        <v>3</v>
      </c>
      <c r="Z12" s="30"/>
      <c r="AA12" s="30">
        <v>3</v>
      </c>
      <c r="AB12" s="59"/>
      <c r="AC12" s="59"/>
      <c r="AD12" s="974" t="s">
        <v>1104</v>
      </c>
      <c r="AE12" s="202" t="s">
        <v>1880</v>
      </c>
      <c r="AF12" s="133" t="s">
        <v>1880</v>
      </c>
      <c r="AG12" s="973"/>
    </row>
    <row r="13" spans="1:33" s="11" customFormat="1" ht="26.25" customHeight="1" x14ac:dyDescent="0.15">
      <c r="A13" s="8">
        <f t="shared" si="0"/>
        <v>11</v>
      </c>
      <c r="B13" s="36" t="s">
        <v>7576</v>
      </c>
      <c r="C13" s="26" t="s">
        <v>19</v>
      </c>
      <c r="D13" s="26" t="s">
        <v>19</v>
      </c>
      <c r="E13" s="26" t="s">
        <v>19</v>
      </c>
      <c r="F13" s="29" t="s">
        <v>7582</v>
      </c>
      <c r="G13" s="99"/>
      <c r="H13" s="724"/>
      <c r="I13" s="724"/>
      <c r="J13" s="724"/>
      <c r="K13" s="725"/>
      <c r="L13" s="206"/>
      <c r="M13" s="206"/>
      <c r="N13" s="976"/>
      <c r="O13" s="215"/>
      <c r="P13" s="206"/>
      <c r="Q13" s="726"/>
      <c r="R13" s="726"/>
      <c r="S13" s="24" t="s">
        <v>7583</v>
      </c>
      <c r="T13" s="499"/>
      <c r="U13" s="206"/>
      <c r="V13" s="206"/>
      <c r="W13" s="24" t="s">
        <v>448</v>
      </c>
      <c r="X13" s="24" t="s">
        <v>448</v>
      </c>
      <c r="Y13" s="30">
        <v>39</v>
      </c>
      <c r="Z13" s="328"/>
      <c r="AA13" s="30">
        <v>39</v>
      </c>
      <c r="AB13" s="59" t="s">
        <v>7584</v>
      </c>
      <c r="AC13" s="59" t="s">
        <v>7584</v>
      </c>
      <c r="AD13" s="975" t="s">
        <v>1104</v>
      </c>
      <c r="AE13" s="202" t="s">
        <v>1880</v>
      </c>
      <c r="AF13" s="133" t="s">
        <v>1880</v>
      </c>
      <c r="AG13" s="973" t="s">
        <v>7585</v>
      </c>
    </row>
    <row r="14" spans="1:33" s="11" customFormat="1" ht="26.25" customHeight="1" x14ac:dyDescent="0.15">
      <c r="A14" s="8">
        <f t="shared" si="0"/>
        <v>12</v>
      </c>
      <c r="B14" s="36" t="s">
        <v>7586</v>
      </c>
      <c r="C14" s="71" t="s">
        <v>7587</v>
      </c>
      <c r="D14" s="26" t="s">
        <v>19</v>
      </c>
      <c r="E14" s="36" t="s">
        <v>7765</v>
      </c>
      <c r="F14" s="29" t="s">
        <v>7588</v>
      </c>
      <c r="G14" s="53" t="s">
        <v>7589</v>
      </c>
      <c r="H14" s="977" t="s">
        <v>4195</v>
      </c>
      <c r="I14" s="977" t="s">
        <v>4196</v>
      </c>
      <c r="J14" s="977" t="s">
        <v>7590</v>
      </c>
      <c r="K14" s="22" t="s">
        <v>1138</v>
      </c>
      <c r="L14" s="978" t="s">
        <v>1826</v>
      </c>
      <c r="M14" s="978" t="s">
        <v>111</v>
      </c>
      <c r="N14" s="977" t="s">
        <v>7591</v>
      </c>
      <c r="O14" s="54" t="s">
        <v>4162</v>
      </c>
      <c r="P14" s="978" t="s">
        <v>111</v>
      </c>
      <c r="Q14" s="973" t="s">
        <v>7592</v>
      </c>
      <c r="R14" s="973" t="s">
        <v>7593</v>
      </c>
      <c r="S14" s="24" t="s">
        <v>7594</v>
      </c>
      <c r="T14" s="90" t="s">
        <v>7595</v>
      </c>
      <c r="U14" s="24" t="s">
        <v>108</v>
      </c>
      <c r="V14" s="10">
        <v>1</v>
      </c>
      <c r="W14" s="24" t="s">
        <v>448</v>
      </c>
      <c r="X14" s="24" t="s">
        <v>448</v>
      </c>
      <c r="Y14" s="136">
        <v>148.499967</v>
      </c>
      <c r="Z14" s="30"/>
      <c r="AA14" s="136">
        <v>148.499967</v>
      </c>
      <c r="AB14" s="59"/>
      <c r="AC14" s="59"/>
      <c r="AD14" s="978" t="s">
        <v>1104</v>
      </c>
      <c r="AE14" s="202" t="s">
        <v>1880</v>
      </c>
      <c r="AF14" s="133" t="s">
        <v>1880</v>
      </c>
      <c r="AG14" s="973" t="s">
        <v>7596</v>
      </c>
    </row>
    <row r="15" spans="1:33" s="11" customFormat="1" ht="26.25" customHeight="1" x14ac:dyDescent="0.15">
      <c r="A15" s="8">
        <f t="shared" si="0"/>
        <v>13</v>
      </c>
      <c r="B15" s="36" t="s">
        <v>7597</v>
      </c>
      <c r="C15" s="71" t="s">
        <v>7599</v>
      </c>
      <c r="D15" s="26" t="s">
        <v>10239</v>
      </c>
      <c r="E15" s="611" t="s">
        <v>8546</v>
      </c>
      <c r="F15" s="29" t="s">
        <v>7601</v>
      </c>
      <c r="G15" s="53" t="s">
        <v>7602</v>
      </c>
      <c r="H15" s="979" t="s">
        <v>4195</v>
      </c>
      <c r="I15" s="979" t="s">
        <v>4728</v>
      </c>
      <c r="J15" s="979" t="s">
        <v>7603</v>
      </c>
      <c r="K15" s="22" t="s">
        <v>1138</v>
      </c>
      <c r="L15" s="980" t="s">
        <v>1826</v>
      </c>
      <c r="M15" s="980" t="s">
        <v>111</v>
      </c>
      <c r="N15" s="979" t="s">
        <v>1131</v>
      </c>
      <c r="O15" s="54" t="s">
        <v>2192</v>
      </c>
      <c r="P15" s="980" t="s">
        <v>111</v>
      </c>
      <c r="Q15" s="973" t="s">
        <v>7604</v>
      </c>
      <c r="R15" s="979" t="s">
        <v>7604</v>
      </c>
      <c r="S15" s="24" t="s">
        <v>7605</v>
      </c>
      <c r="T15" s="90" t="s">
        <v>7606</v>
      </c>
      <c r="U15" s="24" t="s">
        <v>108</v>
      </c>
      <c r="V15" s="10">
        <v>1</v>
      </c>
      <c r="W15" s="24" t="s">
        <v>7607</v>
      </c>
      <c r="X15" s="24" t="s">
        <v>448</v>
      </c>
      <c r="Y15" s="30">
        <v>50.2</v>
      </c>
      <c r="Z15" s="328"/>
      <c r="AA15" s="30">
        <v>50.2</v>
      </c>
      <c r="AB15" s="59"/>
      <c r="AC15" s="59"/>
      <c r="AD15" s="980" t="s">
        <v>1104</v>
      </c>
      <c r="AE15" s="202" t="s">
        <v>1880</v>
      </c>
      <c r="AF15" s="133" t="s">
        <v>1880</v>
      </c>
      <c r="AG15" s="973"/>
    </row>
    <row r="16" spans="1:33" s="11" customFormat="1" ht="26.25" customHeight="1" x14ac:dyDescent="0.15">
      <c r="A16" s="8">
        <f t="shared" si="0"/>
        <v>14</v>
      </c>
      <c r="B16" s="36" t="s">
        <v>7598</v>
      </c>
      <c r="C16" s="71" t="s">
        <v>7600</v>
      </c>
      <c r="D16" s="26" t="s">
        <v>19</v>
      </c>
      <c r="E16" s="26" t="s">
        <v>19</v>
      </c>
      <c r="F16" s="29" t="s">
        <v>7601</v>
      </c>
      <c r="G16" s="53" t="s">
        <v>7602</v>
      </c>
      <c r="H16" s="979" t="s">
        <v>4195</v>
      </c>
      <c r="I16" s="979" t="s">
        <v>4728</v>
      </c>
      <c r="J16" s="979" t="s">
        <v>7603</v>
      </c>
      <c r="K16" s="22" t="s">
        <v>1138</v>
      </c>
      <c r="L16" s="980" t="s">
        <v>1826</v>
      </c>
      <c r="M16" s="980" t="s">
        <v>111</v>
      </c>
      <c r="N16" s="979" t="s">
        <v>445</v>
      </c>
      <c r="O16" s="54" t="s">
        <v>3523</v>
      </c>
      <c r="P16" s="980" t="s">
        <v>111</v>
      </c>
      <c r="Q16" s="979" t="s">
        <v>7604</v>
      </c>
      <c r="R16" s="979" t="s">
        <v>7604</v>
      </c>
      <c r="S16" s="24" t="s">
        <v>7605</v>
      </c>
      <c r="T16" s="90" t="s">
        <v>7606</v>
      </c>
      <c r="U16" s="24" t="s">
        <v>108</v>
      </c>
      <c r="V16" s="10">
        <v>1</v>
      </c>
      <c r="W16" s="24" t="s">
        <v>448</v>
      </c>
      <c r="X16" s="24" t="s">
        <v>448</v>
      </c>
      <c r="Y16" s="30">
        <v>13</v>
      </c>
      <c r="Z16" s="30"/>
      <c r="AA16" s="30">
        <v>13</v>
      </c>
      <c r="AB16" s="59"/>
      <c r="AC16" s="59"/>
      <c r="AD16" s="980" t="s">
        <v>1104</v>
      </c>
      <c r="AE16" s="202" t="s">
        <v>1880</v>
      </c>
      <c r="AF16" s="133" t="s">
        <v>1880</v>
      </c>
      <c r="AG16" s="973"/>
    </row>
    <row r="17" spans="1:33" s="11" customFormat="1" ht="26.25" customHeight="1" x14ac:dyDescent="0.15">
      <c r="A17" s="8">
        <f t="shared" si="0"/>
        <v>15</v>
      </c>
      <c r="B17" s="36" t="s">
        <v>7610</v>
      </c>
      <c r="C17" s="26" t="s">
        <v>19</v>
      </c>
      <c r="D17" s="26" t="s">
        <v>19</v>
      </c>
      <c r="E17" s="26" t="s">
        <v>19</v>
      </c>
      <c r="F17" s="29" t="s">
        <v>7611</v>
      </c>
      <c r="G17" s="723" t="s">
        <v>7548</v>
      </c>
      <c r="H17" s="983" t="s">
        <v>3649</v>
      </c>
      <c r="I17" s="983" t="s">
        <v>6451</v>
      </c>
      <c r="J17" s="983" t="s">
        <v>6452</v>
      </c>
      <c r="K17" s="22" t="s">
        <v>1138</v>
      </c>
      <c r="L17" s="982" t="s">
        <v>1826</v>
      </c>
      <c r="M17" s="982" t="s">
        <v>111</v>
      </c>
      <c r="N17" s="28" t="s">
        <v>25</v>
      </c>
      <c r="O17" s="222" t="s">
        <v>7612</v>
      </c>
      <c r="P17" s="982" t="s">
        <v>111</v>
      </c>
      <c r="Q17" s="981" t="s">
        <v>7613</v>
      </c>
      <c r="R17" s="981" t="s">
        <v>7613</v>
      </c>
      <c r="S17" s="24" t="s">
        <v>7614</v>
      </c>
      <c r="T17" s="499"/>
      <c r="U17" s="206"/>
      <c r="V17" s="206"/>
      <c r="W17" s="484"/>
      <c r="X17" s="484"/>
      <c r="Y17" s="30"/>
      <c r="Z17" s="328">
        <v>0.8</v>
      </c>
      <c r="AA17" s="30">
        <v>0.8</v>
      </c>
      <c r="AB17" s="59"/>
      <c r="AC17" s="59"/>
      <c r="AD17" s="982" t="s">
        <v>1104</v>
      </c>
      <c r="AE17" s="202" t="s">
        <v>1880</v>
      </c>
      <c r="AF17" s="133" t="s">
        <v>1880</v>
      </c>
      <c r="AG17" s="981" t="s">
        <v>7615</v>
      </c>
    </row>
    <row r="18" spans="1:33" s="11" customFormat="1" ht="26.25" customHeight="1" x14ac:dyDescent="0.15">
      <c r="A18" s="8">
        <f t="shared" si="0"/>
        <v>16</v>
      </c>
      <c r="B18" s="36" t="s">
        <v>7622</v>
      </c>
      <c r="C18" s="26" t="s">
        <v>19</v>
      </c>
      <c r="D18" s="26" t="s">
        <v>19</v>
      </c>
      <c r="E18" s="26" t="s">
        <v>19</v>
      </c>
      <c r="F18" s="29" t="s">
        <v>2481</v>
      </c>
      <c r="G18" s="53" t="s">
        <v>7624</v>
      </c>
      <c r="H18" s="985" t="s">
        <v>1147</v>
      </c>
      <c r="I18" s="985" t="s">
        <v>1789</v>
      </c>
      <c r="J18" s="37" t="s">
        <v>2484</v>
      </c>
      <c r="K18" s="22" t="s">
        <v>2485</v>
      </c>
      <c r="L18" s="22" t="s">
        <v>1826</v>
      </c>
      <c r="M18" s="987" t="s">
        <v>111</v>
      </c>
      <c r="N18" s="986" t="s">
        <v>1818</v>
      </c>
      <c r="O18" s="54" t="s">
        <v>5638</v>
      </c>
      <c r="P18" s="71" t="s">
        <v>19</v>
      </c>
      <c r="Q18" s="986" t="s">
        <v>1811</v>
      </c>
      <c r="R18" s="986" t="s">
        <v>2072</v>
      </c>
      <c r="S18" s="24" t="s">
        <v>7625</v>
      </c>
      <c r="T18" s="90" t="s">
        <v>7626</v>
      </c>
      <c r="U18" s="987" t="s">
        <v>1800</v>
      </c>
      <c r="V18" s="987">
        <v>1</v>
      </c>
      <c r="W18" s="24" t="s">
        <v>7626</v>
      </c>
      <c r="X18" s="24" t="s">
        <v>7182</v>
      </c>
      <c r="Y18" s="30"/>
      <c r="Z18" s="30">
        <v>14.85</v>
      </c>
      <c r="AA18" s="30">
        <v>14.85</v>
      </c>
      <c r="AB18" s="59"/>
      <c r="AC18" s="59"/>
      <c r="AD18" s="35" t="s">
        <v>1104</v>
      </c>
      <c r="AE18" s="202" t="s">
        <v>1880</v>
      </c>
      <c r="AF18" s="35" t="s">
        <v>1880</v>
      </c>
      <c r="AG18" s="986"/>
    </row>
    <row r="19" spans="1:33" s="11" customFormat="1" ht="26.25" customHeight="1" x14ac:dyDescent="0.15">
      <c r="A19" s="8">
        <f t="shared" si="0"/>
        <v>17</v>
      </c>
      <c r="B19" s="36" t="s">
        <v>7623</v>
      </c>
      <c r="C19" s="26" t="s">
        <v>19</v>
      </c>
      <c r="D19" s="26" t="s">
        <v>19</v>
      </c>
      <c r="E19" s="26" t="s">
        <v>19</v>
      </c>
      <c r="F19" s="52" t="s">
        <v>6616</v>
      </c>
      <c r="G19" s="53" t="s">
        <v>6617</v>
      </c>
      <c r="H19" s="985" t="s">
        <v>1147</v>
      </c>
      <c r="I19" s="985" t="s">
        <v>1789</v>
      </c>
      <c r="J19" s="986" t="s">
        <v>3486</v>
      </c>
      <c r="K19" s="22" t="s">
        <v>2180</v>
      </c>
      <c r="L19" s="22" t="s">
        <v>2142</v>
      </c>
      <c r="M19" s="22" t="s">
        <v>1880</v>
      </c>
      <c r="N19" s="986" t="s">
        <v>2422</v>
      </c>
      <c r="O19" s="54" t="s">
        <v>6584</v>
      </c>
      <c r="P19" s="22" t="s">
        <v>1880</v>
      </c>
      <c r="Q19" s="986" t="s">
        <v>1811</v>
      </c>
      <c r="R19" s="986" t="s">
        <v>1811</v>
      </c>
      <c r="S19" s="34" t="s">
        <v>7625</v>
      </c>
      <c r="T19" s="50" t="s">
        <v>7626</v>
      </c>
      <c r="U19" s="10" t="s">
        <v>1800</v>
      </c>
      <c r="V19" s="10">
        <v>1</v>
      </c>
      <c r="W19" s="24" t="s">
        <v>7074</v>
      </c>
      <c r="X19" s="24" t="s">
        <v>6545</v>
      </c>
      <c r="Y19" s="30"/>
      <c r="Z19" s="30">
        <v>10.5</v>
      </c>
      <c r="AA19" s="30">
        <v>10.5</v>
      </c>
      <c r="AB19" s="59"/>
      <c r="AC19" s="59"/>
      <c r="AD19" s="35" t="s">
        <v>1104</v>
      </c>
      <c r="AE19" s="202" t="s">
        <v>1880</v>
      </c>
      <c r="AF19" s="35" t="s">
        <v>1880</v>
      </c>
      <c r="AG19" s="986"/>
    </row>
    <row r="20" spans="1:33" s="11" customFormat="1" ht="26.25" customHeight="1" x14ac:dyDescent="0.15">
      <c r="A20" s="8">
        <f t="shared" si="0"/>
        <v>18</v>
      </c>
      <c r="B20" s="36" t="s">
        <v>7633</v>
      </c>
      <c r="C20" s="26" t="s">
        <v>19</v>
      </c>
      <c r="D20" s="26" t="s">
        <v>19</v>
      </c>
      <c r="E20" s="36" t="s">
        <v>7649</v>
      </c>
      <c r="F20" s="52" t="s">
        <v>7627</v>
      </c>
      <c r="G20" s="53" t="s">
        <v>7480</v>
      </c>
      <c r="H20" s="993" t="s">
        <v>1147</v>
      </c>
      <c r="I20" s="993" t="s">
        <v>2352</v>
      </c>
      <c r="J20" s="993" t="s">
        <v>3664</v>
      </c>
      <c r="K20" s="71" t="s">
        <v>3484</v>
      </c>
      <c r="L20" s="22" t="s">
        <v>5478</v>
      </c>
      <c r="M20" s="993" t="s">
        <v>111</v>
      </c>
      <c r="N20" s="22" t="s">
        <v>6662</v>
      </c>
      <c r="O20" s="54" t="s">
        <v>6663</v>
      </c>
      <c r="P20" s="22" t="s">
        <v>1880</v>
      </c>
      <c r="Q20" s="992" t="s">
        <v>1152</v>
      </c>
      <c r="R20" s="992" t="s">
        <v>1152</v>
      </c>
      <c r="S20" s="24" t="s">
        <v>7629</v>
      </c>
      <c r="T20" s="50" t="s">
        <v>7655</v>
      </c>
      <c r="U20" s="10" t="s">
        <v>1800</v>
      </c>
      <c r="V20" s="10">
        <v>1</v>
      </c>
      <c r="W20" s="24" t="s">
        <v>448</v>
      </c>
      <c r="X20" s="24" t="s">
        <v>448</v>
      </c>
      <c r="Y20" s="30">
        <v>1.1000000000000001</v>
      </c>
      <c r="Z20" s="328"/>
      <c r="AA20" s="30">
        <v>1.1000000000000001</v>
      </c>
      <c r="AB20" s="59"/>
      <c r="AC20" s="59"/>
      <c r="AD20" s="989" t="s">
        <v>1104</v>
      </c>
      <c r="AE20" s="202" t="s">
        <v>1880</v>
      </c>
      <c r="AF20" s="133" t="s">
        <v>1880</v>
      </c>
      <c r="AG20" s="988" t="s">
        <v>7628</v>
      </c>
    </row>
    <row r="21" spans="1:33" s="11" customFormat="1" ht="26.25" customHeight="1" x14ac:dyDescent="0.15">
      <c r="A21" s="8">
        <f t="shared" si="0"/>
        <v>19</v>
      </c>
      <c r="B21" s="36" t="s">
        <v>7630</v>
      </c>
      <c r="C21" s="26" t="s">
        <v>19</v>
      </c>
      <c r="D21" s="26" t="s">
        <v>19</v>
      </c>
      <c r="E21" s="26" t="s">
        <v>19</v>
      </c>
      <c r="F21" s="29" t="s">
        <v>5623</v>
      </c>
      <c r="G21" s="53" t="s">
        <v>7631</v>
      </c>
      <c r="H21" s="991" t="s">
        <v>2012</v>
      </c>
      <c r="I21" s="991" t="s">
        <v>2437</v>
      </c>
      <c r="J21" s="991" t="s">
        <v>6658</v>
      </c>
      <c r="K21" s="22" t="s">
        <v>4780</v>
      </c>
      <c r="L21" s="991" t="s">
        <v>1826</v>
      </c>
      <c r="M21" s="991" t="s">
        <v>111</v>
      </c>
      <c r="N21" s="22" t="s">
        <v>454</v>
      </c>
      <c r="O21" s="54" t="s">
        <v>4753</v>
      </c>
      <c r="P21" s="991" t="s">
        <v>111</v>
      </c>
      <c r="Q21" s="990" t="s">
        <v>5571</v>
      </c>
      <c r="R21" s="990" t="s">
        <v>5571</v>
      </c>
      <c r="S21" s="24" t="s">
        <v>7629</v>
      </c>
      <c r="T21" s="90" t="s">
        <v>7632</v>
      </c>
      <c r="U21" s="10" t="s">
        <v>1800</v>
      </c>
      <c r="V21" s="10">
        <v>1</v>
      </c>
      <c r="W21" s="24" t="s">
        <v>448</v>
      </c>
      <c r="X21" s="24" t="s">
        <v>448</v>
      </c>
      <c r="Y21" s="30">
        <v>2.2999999999999998</v>
      </c>
      <c r="Z21" s="30"/>
      <c r="AA21" s="30">
        <v>2.2999999999999998</v>
      </c>
      <c r="AB21" s="59"/>
      <c r="AC21" s="59"/>
      <c r="AD21" s="991" t="s">
        <v>1104</v>
      </c>
      <c r="AE21" s="202" t="s">
        <v>1880</v>
      </c>
      <c r="AF21" s="133" t="s">
        <v>1880</v>
      </c>
      <c r="AG21" s="990"/>
    </row>
    <row r="22" spans="1:33" s="11" customFormat="1" ht="26.25" customHeight="1" x14ac:dyDescent="0.15">
      <c r="A22" s="8">
        <f t="shared" si="0"/>
        <v>20</v>
      </c>
      <c r="B22" s="36" t="s">
        <v>7634</v>
      </c>
      <c r="C22" s="26" t="s">
        <v>19</v>
      </c>
      <c r="D22" s="26" t="s">
        <v>19</v>
      </c>
      <c r="E22" s="26" t="s">
        <v>19</v>
      </c>
      <c r="F22" s="29" t="s">
        <v>7635</v>
      </c>
      <c r="G22" s="99"/>
      <c r="H22" s="724"/>
      <c r="I22" s="724"/>
      <c r="J22" s="724"/>
      <c r="K22" s="725"/>
      <c r="L22" s="206"/>
      <c r="M22" s="206"/>
      <c r="N22" s="976"/>
      <c r="O22" s="215"/>
      <c r="P22" s="206"/>
      <c r="Q22" s="726"/>
      <c r="R22" s="726"/>
      <c r="S22" s="24" t="s">
        <v>7583</v>
      </c>
      <c r="T22" s="499"/>
      <c r="U22" s="206"/>
      <c r="V22" s="206"/>
      <c r="W22" s="24" t="s">
        <v>448</v>
      </c>
      <c r="X22" s="24" t="s">
        <v>448</v>
      </c>
      <c r="Y22" s="30">
        <v>65.3</v>
      </c>
      <c r="Z22" s="30"/>
      <c r="AA22" s="30">
        <v>65.3</v>
      </c>
      <c r="AB22" s="59" t="s">
        <v>6457</v>
      </c>
      <c r="AC22" s="59" t="s">
        <v>6457</v>
      </c>
      <c r="AD22" s="994" t="s">
        <v>1104</v>
      </c>
      <c r="AE22" s="202" t="s">
        <v>1880</v>
      </c>
      <c r="AF22" s="133" t="s">
        <v>1880</v>
      </c>
      <c r="AG22" s="990"/>
    </row>
    <row r="23" spans="1:33" s="11" customFormat="1" ht="26.25" customHeight="1" x14ac:dyDescent="0.15">
      <c r="A23" s="8">
        <f t="shared" si="0"/>
        <v>21</v>
      </c>
      <c r="B23" s="36" t="s">
        <v>7636</v>
      </c>
      <c r="C23" s="26" t="s">
        <v>19</v>
      </c>
      <c r="D23" s="26" t="s">
        <v>9273</v>
      </c>
      <c r="E23" s="26" t="s">
        <v>19</v>
      </c>
      <c r="F23" s="29" t="s">
        <v>7638</v>
      </c>
      <c r="G23" s="53" t="s">
        <v>7639</v>
      </c>
      <c r="H23" s="996" t="s">
        <v>2135</v>
      </c>
      <c r="I23" s="996" t="s">
        <v>2327</v>
      </c>
      <c r="J23" s="996" t="s">
        <v>7640</v>
      </c>
      <c r="K23" s="22" t="s">
        <v>4780</v>
      </c>
      <c r="L23" s="996" t="s">
        <v>1826</v>
      </c>
      <c r="M23" s="996" t="s">
        <v>111</v>
      </c>
      <c r="N23" s="22" t="s">
        <v>454</v>
      </c>
      <c r="O23" s="54" t="s">
        <v>7642</v>
      </c>
      <c r="P23" s="996" t="s">
        <v>111</v>
      </c>
      <c r="Q23" s="995" t="s">
        <v>7643</v>
      </c>
      <c r="R23" s="995" t="s">
        <v>7643</v>
      </c>
      <c r="S23" s="24" t="s">
        <v>7644</v>
      </c>
      <c r="T23" s="90" t="s">
        <v>7645</v>
      </c>
      <c r="U23" s="24" t="s">
        <v>7646</v>
      </c>
      <c r="V23" s="10">
        <v>2</v>
      </c>
      <c r="W23" s="24" t="s">
        <v>7647</v>
      </c>
      <c r="X23" s="24" t="s">
        <v>7648</v>
      </c>
      <c r="Y23" s="30"/>
      <c r="Z23" s="30">
        <v>14</v>
      </c>
      <c r="AA23" s="30">
        <v>14</v>
      </c>
      <c r="AB23" s="59"/>
      <c r="AC23" s="59"/>
      <c r="AD23" s="996" t="s">
        <v>1104</v>
      </c>
      <c r="AE23" s="202" t="s">
        <v>1880</v>
      </c>
      <c r="AF23" s="133" t="s">
        <v>1880</v>
      </c>
      <c r="AG23" s="995"/>
    </row>
    <row r="24" spans="1:33" s="11" customFormat="1" ht="26.25" customHeight="1" x14ac:dyDescent="0.15">
      <c r="A24" s="8">
        <f t="shared" si="0"/>
        <v>22</v>
      </c>
      <c r="B24" s="36" t="s">
        <v>7637</v>
      </c>
      <c r="C24" s="26" t="s">
        <v>19</v>
      </c>
      <c r="D24" s="26" t="s">
        <v>9274</v>
      </c>
      <c r="E24" s="26" t="s">
        <v>19</v>
      </c>
      <c r="F24" s="29" t="s">
        <v>7638</v>
      </c>
      <c r="G24" s="53" t="s">
        <v>7639</v>
      </c>
      <c r="H24" s="996" t="s">
        <v>2135</v>
      </c>
      <c r="I24" s="996" t="s">
        <v>2327</v>
      </c>
      <c r="J24" s="996" t="s">
        <v>7641</v>
      </c>
      <c r="K24" s="22" t="s">
        <v>4780</v>
      </c>
      <c r="L24" s="996" t="s">
        <v>1826</v>
      </c>
      <c r="M24" s="996" t="s">
        <v>111</v>
      </c>
      <c r="N24" s="22" t="s">
        <v>454</v>
      </c>
      <c r="O24" s="54" t="s">
        <v>7642</v>
      </c>
      <c r="P24" s="996" t="s">
        <v>111</v>
      </c>
      <c r="Q24" s="995" t="s">
        <v>7643</v>
      </c>
      <c r="R24" s="995" t="s">
        <v>7643</v>
      </c>
      <c r="S24" s="24" t="s">
        <v>7644</v>
      </c>
      <c r="T24" s="90" t="s">
        <v>7645</v>
      </c>
      <c r="U24" s="24" t="s">
        <v>7646</v>
      </c>
      <c r="V24" s="10">
        <v>2</v>
      </c>
      <c r="W24" s="24" t="s">
        <v>7647</v>
      </c>
      <c r="X24" s="24" t="s">
        <v>7648</v>
      </c>
      <c r="Y24" s="30"/>
      <c r="Z24" s="30">
        <v>14</v>
      </c>
      <c r="AA24" s="30">
        <v>14</v>
      </c>
      <c r="AB24" s="59"/>
      <c r="AC24" s="59"/>
      <c r="AD24" s="996" t="s">
        <v>1104</v>
      </c>
      <c r="AE24" s="202" t="s">
        <v>1880</v>
      </c>
      <c r="AF24" s="133" t="s">
        <v>1880</v>
      </c>
      <c r="AG24" s="995"/>
    </row>
    <row r="25" spans="1:33" s="11" customFormat="1" ht="26.25" customHeight="1" x14ac:dyDescent="0.15">
      <c r="A25" s="8">
        <f t="shared" si="0"/>
        <v>23</v>
      </c>
      <c r="B25" s="36" t="s">
        <v>7650</v>
      </c>
      <c r="C25" s="26" t="s">
        <v>19</v>
      </c>
      <c r="D25" s="26" t="s">
        <v>19</v>
      </c>
      <c r="E25" s="26" t="s">
        <v>19</v>
      </c>
      <c r="F25" s="29" t="s">
        <v>7582</v>
      </c>
      <c r="G25" s="99"/>
      <c r="H25" s="724"/>
      <c r="I25" s="724"/>
      <c r="J25" s="724"/>
      <c r="K25" s="725"/>
      <c r="L25" s="206"/>
      <c r="M25" s="206"/>
      <c r="N25" s="976"/>
      <c r="O25" s="215"/>
      <c r="P25" s="206"/>
      <c r="Q25" s="726"/>
      <c r="R25" s="726"/>
      <c r="S25" s="24" t="s">
        <v>7653</v>
      </c>
      <c r="T25" s="499"/>
      <c r="U25" s="206"/>
      <c r="V25" s="206"/>
      <c r="W25" s="24" t="s">
        <v>448</v>
      </c>
      <c r="X25" s="24" t="s">
        <v>448</v>
      </c>
      <c r="Y25" s="30">
        <v>39</v>
      </c>
      <c r="Z25" s="328"/>
      <c r="AA25" s="30">
        <v>39</v>
      </c>
      <c r="AB25" s="59" t="s">
        <v>6457</v>
      </c>
      <c r="AC25" s="59" t="s">
        <v>6457</v>
      </c>
      <c r="AD25" s="999" t="s">
        <v>1104</v>
      </c>
      <c r="AE25" s="202" t="s">
        <v>1880</v>
      </c>
      <c r="AF25" s="133" t="s">
        <v>1880</v>
      </c>
      <c r="AG25" s="998" t="s">
        <v>7654</v>
      </c>
    </row>
    <row r="26" spans="1:33" s="11" customFormat="1" ht="26.25" customHeight="1" x14ac:dyDescent="0.15">
      <c r="A26" s="8">
        <f t="shared" si="0"/>
        <v>24</v>
      </c>
      <c r="B26" s="36" t="s">
        <v>7651</v>
      </c>
      <c r="C26" s="71" t="s">
        <v>7656</v>
      </c>
      <c r="D26" s="26" t="s">
        <v>19</v>
      </c>
      <c r="E26" s="26" t="s">
        <v>19</v>
      </c>
      <c r="F26" s="29" t="s">
        <v>7658</v>
      </c>
      <c r="G26" s="53" t="s">
        <v>7659</v>
      </c>
      <c r="H26" s="998" t="s">
        <v>4195</v>
      </c>
      <c r="I26" s="998" t="s">
        <v>3101</v>
      </c>
      <c r="J26" s="998" t="s">
        <v>6995</v>
      </c>
      <c r="K26" s="22" t="s">
        <v>4780</v>
      </c>
      <c r="L26" s="999" t="s">
        <v>1826</v>
      </c>
      <c r="M26" s="999" t="s">
        <v>111</v>
      </c>
      <c r="N26" s="998" t="s">
        <v>1131</v>
      </c>
      <c r="O26" s="54" t="s">
        <v>2192</v>
      </c>
      <c r="P26" s="999" t="s">
        <v>111</v>
      </c>
      <c r="Q26" s="997" t="s">
        <v>7660</v>
      </c>
      <c r="R26" s="998" t="s">
        <v>7660</v>
      </c>
      <c r="S26" s="24" t="s">
        <v>7653</v>
      </c>
      <c r="T26" s="90" t="s">
        <v>7661</v>
      </c>
      <c r="U26" s="10" t="s">
        <v>1800</v>
      </c>
      <c r="V26" s="10">
        <v>1</v>
      </c>
      <c r="W26" s="24" t="s">
        <v>7662</v>
      </c>
      <c r="X26" s="24" t="s">
        <v>448</v>
      </c>
      <c r="Y26" s="95">
        <v>47.8</v>
      </c>
      <c r="Z26" s="30"/>
      <c r="AA26" s="95">
        <v>47.8</v>
      </c>
      <c r="AB26" s="59"/>
      <c r="AC26" s="59"/>
      <c r="AD26" s="999" t="s">
        <v>1104</v>
      </c>
      <c r="AE26" s="202" t="s">
        <v>1880</v>
      </c>
      <c r="AF26" s="133" t="s">
        <v>1880</v>
      </c>
      <c r="AG26" s="997"/>
    </row>
    <row r="27" spans="1:33" s="11" customFormat="1" ht="26.25" customHeight="1" x14ac:dyDescent="0.15">
      <c r="A27" s="8">
        <f t="shared" si="0"/>
        <v>25</v>
      </c>
      <c r="B27" s="36" t="s">
        <v>7652</v>
      </c>
      <c r="C27" s="71" t="s">
        <v>7657</v>
      </c>
      <c r="D27" s="26" t="s">
        <v>19</v>
      </c>
      <c r="E27" s="26" t="s">
        <v>19</v>
      </c>
      <c r="F27" s="29" t="s">
        <v>7658</v>
      </c>
      <c r="G27" s="53" t="s">
        <v>7659</v>
      </c>
      <c r="H27" s="998" t="s">
        <v>4195</v>
      </c>
      <c r="I27" s="998" t="s">
        <v>3101</v>
      </c>
      <c r="J27" s="998" t="s">
        <v>6995</v>
      </c>
      <c r="K27" s="22" t="s">
        <v>4780</v>
      </c>
      <c r="L27" s="999" t="s">
        <v>1826</v>
      </c>
      <c r="M27" s="999" t="s">
        <v>111</v>
      </c>
      <c r="N27" s="998" t="s">
        <v>445</v>
      </c>
      <c r="O27" s="54" t="s">
        <v>4534</v>
      </c>
      <c r="P27" s="999" t="s">
        <v>111</v>
      </c>
      <c r="Q27" s="998" t="s">
        <v>7660</v>
      </c>
      <c r="R27" s="998" t="s">
        <v>7660</v>
      </c>
      <c r="S27" s="24" t="s">
        <v>7653</v>
      </c>
      <c r="T27" s="90" t="s">
        <v>7661</v>
      </c>
      <c r="U27" s="10" t="s">
        <v>1800</v>
      </c>
      <c r="V27" s="10">
        <v>1</v>
      </c>
      <c r="W27" s="24" t="s">
        <v>448</v>
      </c>
      <c r="X27" s="24" t="s">
        <v>448</v>
      </c>
      <c r="Y27" s="1002">
        <v>6.7000010000000003</v>
      </c>
      <c r="Z27" s="30"/>
      <c r="AA27" s="1002">
        <v>6.7000010000000003</v>
      </c>
      <c r="AB27" s="59"/>
      <c r="AC27" s="59"/>
      <c r="AD27" s="999" t="s">
        <v>1104</v>
      </c>
      <c r="AE27" s="202" t="s">
        <v>1880</v>
      </c>
      <c r="AF27" s="133" t="s">
        <v>1880</v>
      </c>
      <c r="AG27" s="997"/>
    </row>
    <row r="28" spans="1:33" s="11" customFormat="1" ht="26.25" customHeight="1" x14ac:dyDescent="0.15">
      <c r="A28" s="8">
        <f t="shared" si="0"/>
        <v>26</v>
      </c>
      <c r="B28" s="36" t="s">
        <v>7663</v>
      </c>
      <c r="C28" s="26" t="s">
        <v>19</v>
      </c>
      <c r="D28" s="26" t="s">
        <v>19</v>
      </c>
      <c r="E28" s="26" t="s">
        <v>19</v>
      </c>
      <c r="F28" s="29" t="s">
        <v>7666</v>
      </c>
      <c r="G28" s="29" t="s">
        <v>7665</v>
      </c>
      <c r="H28" s="1000" t="s">
        <v>3649</v>
      </c>
      <c r="I28" s="1000" t="s">
        <v>6079</v>
      </c>
      <c r="J28" s="1000" t="s">
        <v>6767</v>
      </c>
      <c r="K28" s="22" t="s">
        <v>4780</v>
      </c>
      <c r="L28" s="1001" t="s">
        <v>1826</v>
      </c>
      <c r="M28" s="1001" t="s">
        <v>111</v>
      </c>
      <c r="N28" s="28" t="s">
        <v>25</v>
      </c>
      <c r="O28" s="151" t="s">
        <v>7451</v>
      </c>
      <c r="P28" s="1001" t="s">
        <v>111</v>
      </c>
      <c r="Q28" s="1000" t="s">
        <v>7667</v>
      </c>
      <c r="R28" s="1000" t="s">
        <v>7667</v>
      </c>
      <c r="S28" s="24" t="s">
        <v>7668</v>
      </c>
      <c r="T28" s="90" t="s">
        <v>7669</v>
      </c>
      <c r="U28" s="24" t="s">
        <v>7670</v>
      </c>
      <c r="V28" s="24">
        <v>1</v>
      </c>
      <c r="W28" s="24" t="s">
        <v>448</v>
      </c>
      <c r="X28" s="24" t="s">
        <v>448</v>
      </c>
      <c r="Y28" s="30">
        <v>3</v>
      </c>
      <c r="Z28" s="30"/>
      <c r="AA28" s="30">
        <v>3</v>
      </c>
      <c r="AB28" s="59"/>
      <c r="AC28" s="59"/>
      <c r="AD28" s="1001" t="s">
        <v>1104</v>
      </c>
      <c r="AE28" s="202" t="s">
        <v>1880</v>
      </c>
      <c r="AF28" s="133" t="s">
        <v>1880</v>
      </c>
      <c r="AG28" s="1000"/>
    </row>
    <row r="29" spans="1:33" s="11" customFormat="1" ht="26.25" customHeight="1" x14ac:dyDescent="0.15">
      <c r="A29" s="8">
        <f t="shared" si="0"/>
        <v>27</v>
      </c>
      <c r="B29" s="36" t="s">
        <v>7664</v>
      </c>
      <c r="C29" s="26" t="s">
        <v>19</v>
      </c>
      <c r="D29" s="26" t="s">
        <v>19</v>
      </c>
      <c r="E29" s="26" t="s">
        <v>19</v>
      </c>
      <c r="F29" s="29" t="s">
        <v>7666</v>
      </c>
      <c r="G29" s="29" t="s">
        <v>7665</v>
      </c>
      <c r="H29" s="1000" t="s">
        <v>3649</v>
      </c>
      <c r="I29" s="1000" t="s">
        <v>6079</v>
      </c>
      <c r="J29" s="1000" t="s">
        <v>6080</v>
      </c>
      <c r="K29" s="22" t="s">
        <v>4780</v>
      </c>
      <c r="L29" s="1001" t="s">
        <v>1826</v>
      </c>
      <c r="M29" s="1001" t="s">
        <v>111</v>
      </c>
      <c r="N29" s="28" t="s">
        <v>25</v>
      </c>
      <c r="O29" s="151" t="s">
        <v>7451</v>
      </c>
      <c r="P29" s="1001" t="s">
        <v>111</v>
      </c>
      <c r="Q29" s="1000" t="s">
        <v>7667</v>
      </c>
      <c r="R29" s="1000" t="s">
        <v>7667</v>
      </c>
      <c r="S29" s="24" t="s">
        <v>7668</v>
      </c>
      <c r="T29" s="90" t="s">
        <v>7669</v>
      </c>
      <c r="U29" s="24" t="s">
        <v>7670</v>
      </c>
      <c r="V29" s="24">
        <v>1</v>
      </c>
      <c r="W29" s="24" t="s">
        <v>448</v>
      </c>
      <c r="X29" s="24" t="s">
        <v>448</v>
      </c>
      <c r="Y29" s="30">
        <v>3</v>
      </c>
      <c r="Z29" s="30"/>
      <c r="AA29" s="30">
        <v>3</v>
      </c>
      <c r="AB29" s="59"/>
      <c r="AC29" s="59"/>
      <c r="AD29" s="1001" t="s">
        <v>1104</v>
      </c>
      <c r="AE29" s="202" t="s">
        <v>1880</v>
      </c>
      <c r="AF29" s="133" t="s">
        <v>1880</v>
      </c>
      <c r="AG29" s="1000"/>
    </row>
    <row r="30" spans="1:33" s="11" customFormat="1" ht="26.25" customHeight="1" x14ac:dyDescent="0.15">
      <c r="A30" s="8">
        <f t="shared" si="0"/>
        <v>28</v>
      </c>
      <c r="B30" s="36" t="s">
        <v>7671</v>
      </c>
      <c r="C30" s="26" t="s">
        <v>19</v>
      </c>
      <c r="D30" s="26" t="s">
        <v>19</v>
      </c>
      <c r="E30" s="36" t="s">
        <v>7703</v>
      </c>
      <c r="F30" s="29" t="s">
        <v>7672</v>
      </c>
      <c r="G30" s="53" t="s">
        <v>7683</v>
      </c>
      <c r="H30" s="1003" t="s">
        <v>7673</v>
      </c>
      <c r="I30" s="1003" t="s">
        <v>7674</v>
      </c>
      <c r="J30" s="1003" t="s">
        <v>7675</v>
      </c>
      <c r="K30" s="22" t="s">
        <v>7676</v>
      </c>
      <c r="L30" s="1005" t="s">
        <v>7677</v>
      </c>
      <c r="M30" s="1005" t="s">
        <v>111</v>
      </c>
      <c r="N30" s="1004" t="s">
        <v>7678</v>
      </c>
      <c r="O30" s="54" t="s">
        <v>7679</v>
      </c>
      <c r="P30" s="1005" t="s">
        <v>111</v>
      </c>
      <c r="Q30" s="1009" t="s">
        <v>5480</v>
      </c>
      <c r="R30" s="1004" t="s">
        <v>7680</v>
      </c>
      <c r="S30" s="24" t="s">
        <v>7681</v>
      </c>
      <c r="T30" s="90" t="s">
        <v>7682</v>
      </c>
      <c r="U30" s="10" t="s">
        <v>1800</v>
      </c>
      <c r="V30" s="10">
        <v>1</v>
      </c>
      <c r="W30" s="24" t="s">
        <v>448</v>
      </c>
      <c r="X30" s="24" t="s">
        <v>448</v>
      </c>
      <c r="Y30" s="30">
        <v>8</v>
      </c>
      <c r="Z30" s="30"/>
      <c r="AA30" s="30">
        <v>8</v>
      </c>
      <c r="AB30" s="59"/>
      <c r="AC30" s="59"/>
      <c r="AD30" s="1005" t="s">
        <v>1104</v>
      </c>
      <c r="AE30" s="202" t="s">
        <v>1880</v>
      </c>
      <c r="AF30" s="133" t="s">
        <v>1880</v>
      </c>
      <c r="AG30" s="1004"/>
    </row>
    <row r="31" spans="1:33" s="11" customFormat="1" ht="26.25" customHeight="1" x14ac:dyDescent="0.15">
      <c r="A31" s="8">
        <f t="shared" si="0"/>
        <v>29</v>
      </c>
      <c r="B31" s="36" t="s">
        <v>7694</v>
      </c>
      <c r="C31" s="26" t="s">
        <v>19</v>
      </c>
      <c r="D31" s="26" t="s">
        <v>10241</v>
      </c>
      <c r="E31" s="26" t="s">
        <v>19</v>
      </c>
      <c r="F31" s="29" t="s">
        <v>6078</v>
      </c>
      <c r="G31" s="53" t="s">
        <v>6725</v>
      </c>
      <c r="H31" s="1006" t="s">
        <v>3649</v>
      </c>
      <c r="I31" s="1006" t="s">
        <v>6079</v>
      </c>
      <c r="J31" s="1006" t="s">
        <v>6080</v>
      </c>
      <c r="K31" s="22" t="s">
        <v>4780</v>
      </c>
      <c r="L31" s="1008" t="s">
        <v>1826</v>
      </c>
      <c r="M31" s="1008" t="s">
        <v>111</v>
      </c>
      <c r="N31" s="28" t="s">
        <v>25</v>
      </c>
      <c r="O31" s="54" t="s">
        <v>7684</v>
      </c>
      <c r="P31" s="1008" t="s">
        <v>111</v>
      </c>
      <c r="Q31" s="1007" t="s">
        <v>5487</v>
      </c>
      <c r="R31" s="1007" t="s">
        <v>5487</v>
      </c>
      <c r="S31" s="24" t="s">
        <v>7685</v>
      </c>
      <c r="T31" s="90" t="s">
        <v>7686</v>
      </c>
      <c r="U31" s="24" t="s">
        <v>110</v>
      </c>
      <c r="V31" s="24">
        <v>1</v>
      </c>
      <c r="W31" s="24" t="s">
        <v>7687</v>
      </c>
      <c r="X31" s="24" t="s">
        <v>8698</v>
      </c>
      <c r="Y31" s="30"/>
      <c r="Z31" s="30">
        <v>27</v>
      </c>
      <c r="AA31" s="30">
        <v>27</v>
      </c>
      <c r="AB31" s="59"/>
      <c r="AC31" s="59"/>
      <c r="AD31" s="1008" t="s">
        <v>1104</v>
      </c>
      <c r="AE31" s="202" t="s">
        <v>1880</v>
      </c>
      <c r="AF31" s="133" t="s">
        <v>1880</v>
      </c>
      <c r="AG31" s="1007"/>
    </row>
    <row r="32" spans="1:33" s="11" customFormat="1" ht="26.25" customHeight="1" x14ac:dyDescent="0.15">
      <c r="A32" s="8">
        <f t="shared" si="0"/>
        <v>30</v>
      </c>
      <c r="B32" s="36" t="s">
        <v>7695</v>
      </c>
      <c r="C32" s="71" t="s">
        <v>7696</v>
      </c>
      <c r="D32" s="26" t="s">
        <v>19</v>
      </c>
      <c r="E32" s="26" t="s">
        <v>19</v>
      </c>
      <c r="F32" s="29" t="s">
        <v>7690</v>
      </c>
      <c r="G32" s="53" t="s">
        <v>7691</v>
      </c>
      <c r="H32" s="1007" t="s">
        <v>3649</v>
      </c>
      <c r="I32" s="1007" t="s">
        <v>4750</v>
      </c>
      <c r="J32" s="1007" t="s">
        <v>7688</v>
      </c>
      <c r="K32" s="22" t="s">
        <v>4780</v>
      </c>
      <c r="L32" s="1008" t="s">
        <v>1826</v>
      </c>
      <c r="M32" s="1008" t="s">
        <v>111</v>
      </c>
      <c r="N32" s="28" t="s">
        <v>25</v>
      </c>
      <c r="O32" s="54" t="s">
        <v>7689</v>
      </c>
      <c r="P32" s="1008" t="s">
        <v>111</v>
      </c>
      <c r="Q32" s="1007" t="s">
        <v>5487</v>
      </c>
      <c r="R32" s="1007" t="s">
        <v>5487</v>
      </c>
      <c r="S32" s="24" t="s">
        <v>7685</v>
      </c>
      <c r="T32" s="90" t="s">
        <v>7692</v>
      </c>
      <c r="U32" s="24" t="s">
        <v>7693</v>
      </c>
      <c r="V32" s="24">
        <v>3</v>
      </c>
      <c r="W32" s="24" t="s">
        <v>448</v>
      </c>
      <c r="X32" s="24" t="s">
        <v>448</v>
      </c>
      <c r="Y32" s="30">
        <v>4.3</v>
      </c>
      <c r="Z32" s="30"/>
      <c r="AA32" s="30">
        <v>4.3</v>
      </c>
      <c r="AB32" s="59"/>
      <c r="AC32" s="59"/>
      <c r="AD32" s="1008" t="s">
        <v>1104</v>
      </c>
      <c r="AE32" s="202" t="s">
        <v>1880</v>
      </c>
      <c r="AF32" s="133" t="s">
        <v>1880</v>
      </c>
      <c r="AG32" s="1007"/>
    </row>
    <row r="33" spans="1:33" s="11" customFormat="1" ht="26.25" customHeight="1" x14ac:dyDescent="0.15">
      <c r="A33" s="8">
        <f t="shared" si="0"/>
        <v>31</v>
      </c>
      <c r="B33" s="36" t="s">
        <v>7740</v>
      </c>
      <c r="C33" s="26" t="s">
        <v>19</v>
      </c>
      <c r="D33" s="26" t="s">
        <v>19</v>
      </c>
      <c r="E33" s="26" t="s">
        <v>19</v>
      </c>
      <c r="F33" s="29" t="s">
        <v>7698</v>
      </c>
      <c r="G33" s="53" t="s">
        <v>7739</v>
      </c>
      <c r="H33" s="1012" t="s">
        <v>3649</v>
      </c>
      <c r="I33" s="1012" t="s">
        <v>3101</v>
      </c>
      <c r="J33" s="1012" t="s">
        <v>6106</v>
      </c>
      <c r="K33" s="22" t="s">
        <v>7702</v>
      </c>
      <c r="L33" s="1013" t="s">
        <v>1826</v>
      </c>
      <c r="M33" s="1013" t="s">
        <v>111</v>
      </c>
      <c r="N33" s="28" t="s">
        <v>25</v>
      </c>
      <c r="O33" s="151" t="s">
        <v>7451</v>
      </c>
      <c r="P33" s="1011" t="s">
        <v>111</v>
      </c>
      <c r="Q33" s="1010" t="s">
        <v>7699</v>
      </c>
      <c r="R33" s="1010" t="s">
        <v>7699</v>
      </c>
      <c r="S33" s="24" t="s">
        <v>7700</v>
      </c>
      <c r="T33" s="90" t="s">
        <v>7709</v>
      </c>
      <c r="U33" s="24" t="s">
        <v>110</v>
      </c>
      <c r="V33" s="24">
        <v>1</v>
      </c>
      <c r="W33" s="24" t="s">
        <v>448</v>
      </c>
      <c r="X33" s="24" t="s">
        <v>448</v>
      </c>
      <c r="Y33" s="30">
        <v>4</v>
      </c>
      <c r="Z33" s="30"/>
      <c r="AA33" s="30">
        <v>4</v>
      </c>
      <c r="AB33" s="59"/>
      <c r="AC33" s="59"/>
      <c r="AD33" s="1011" t="s">
        <v>1104</v>
      </c>
      <c r="AE33" s="202" t="s">
        <v>1880</v>
      </c>
      <c r="AF33" s="133" t="s">
        <v>1880</v>
      </c>
      <c r="AG33" s="1010"/>
    </row>
    <row r="34" spans="1:33" s="11" customFormat="1" ht="26.25" customHeight="1" x14ac:dyDescent="0.15">
      <c r="A34" s="8">
        <f t="shared" si="0"/>
        <v>32</v>
      </c>
      <c r="B34" s="36" t="s">
        <v>7727</v>
      </c>
      <c r="C34" s="26" t="s">
        <v>19</v>
      </c>
      <c r="D34" s="26" t="s">
        <v>19</v>
      </c>
      <c r="E34" s="26" t="s">
        <v>19</v>
      </c>
      <c r="F34" s="29" t="s">
        <v>7698</v>
      </c>
      <c r="G34" s="53" t="s">
        <v>7724</v>
      </c>
      <c r="H34" s="1012" t="s">
        <v>3649</v>
      </c>
      <c r="I34" s="1012" t="s">
        <v>3101</v>
      </c>
      <c r="J34" s="1012" t="s">
        <v>6106</v>
      </c>
      <c r="K34" s="22" t="s">
        <v>7702</v>
      </c>
      <c r="L34" s="1013" t="s">
        <v>1826</v>
      </c>
      <c r="M34" s="1013" t="s">
        <v>111</v>
      </c>
      <c r="N34" s="28" t="s">
        <v>25</v>
      </c>
      <c r="O34" s="151" t="s">
        <v>1819</v>
      </c>
      <c r="P34" s="1011" t="s">
        <v>111</v>
      </c>
      <c r="Q34" s="1010" t="s">
        <v>7699</v>
      </c>
      <c r="R34" s="1010" t="s">
        <v>7699</v>
      </c>
      <c r="S34" s="24" t="s">
        <v>7700</v>
      </c>
      <c r="T34" s="90" t="s">
        <v>7629</v>
      </c>
      <c r="U34" s="24" t="s">
        <v>110</v>
      </c>
      <c r="V34" s="24">
        <v>1</v>
      </c>
      <c r="W34" s="24" t="s">
        <v>7725</v>
      </c>
      <c r="X34" s="24" t="s">
        <v>7726</v>
      </c>
      <c r="Y34" s="30"/>
      <c r="Z34" s="30">
        <v>7</v>
      </c>
      <c r="AA34" s="30">
        <v>7</v>
      </c>
      <c r="AB34" s="59"/>
      <c r="AC34" s="59"/>
      <c r="AD34" s="1011" t="s">
        <v>1104</v>
      </c>
      <c r="AE34" s="202" t="s">
        <v>1880</v>
      </c>
      <c r="AF34" s="133" t="s">
        <v>1880</v>
      </c>
      <c r="AG34" s="1010"/>
    </row>
    <row r="35" spans="1:33" s="11" customFormat="1" ht="26.25" customHeight="1" x14ac:dyDescent="0.15">
      <c r="A35" s="8">
        <f t="shared" si="0"/>
        <v>33</v>
      </c>
      <c r="B35" s="36" t="s">
        <v>7706</v>
      </c>
      <c r="C35" s="71" t="s">
        <v>7696</v>
      </c>
      <c r="D35" s="26" t="s">
        <v>19</v>
      </c>
      <c r="E35" s="26" t="s">
        <v>19</v>
      </c>
      <c r="F35" s="29" t="s">
        <v>7704</v>
      </c>
      <c r="G35" s="53" t="s">
        <v>7705</v>
      </c>
      <c r="H35" s="1014" t="s">
        <v>3649</v>
      </c>
      <c r="I35" s="1014" t="s">
        <v>4750</v>
      </c>
      <c r="J35" s="1014" t="s">
        <v>7688</v>
      </c>
      <c r="K35" s="22" t="s">
        <v>4780</v>
      </c>
      <c r="L35" s="1015" t="s">
        <v>1826</v>
      </c>
      <c r="M35" s="1015" t="s">
        <v>111</v>
      </c>
      <c r="N35" s="28" t="s">
        <v>25</v>
      </c>
      <c r="O35" s="54" t="s">
        <v>5234</v>
      </c>
      <c r="P35" s="1015" t="s">
        <v>111</v>
      </c>
      <c r="Q35" s="1014" t="s">
        <v>7707</v>
      </c>
      <c r="R35" s="1014" t="s">
        <v>7707</v>
      </c>
      <c r="S35" s="24" t="s">
        <v>7708</v>
      </c>
      <c r="T35" s="90" t="s">
        <v>7709</v>
      </c>
      <c r="U35" s="10" t="s">
        <v>1800</v>
      </c>
      <c r="V35" s="10">
        <v>1</v>
      </c>
      <c r="W35" s="24" t="s">
        <v>5710</v>
      </c>
      <c r="X35" s="24" t="s">
        <v>448</v>
      </c>
      <c r="Y35" s="30">
        <v>5.5</v>
      </c>
      <c r="Z35" s="30"/>
      <c r="AA35" s="30">
        <v>5.5</v>
      </c>
      <c r="AB35" s="59"/>
      <c r="AC35" s="59"/>
      <c r="AD35" s="1015" t="s">
        <v>1104</v>
      </c>
      <c r="AE35" s="202" t="s">
        <v>1880</v>
      </c>
      <c r="AF35" s="133" t="s">
        <v>1880</v>
      </c>
      <c r="AG35" s="1014"/>
    </row>
    <row r="36" spans="1:33" s="11" customFormat="1" ht="26.25" customHeight="1" x14ac:dyDescent="0.15">
      <c r="A36" s="8">
        <f t="shared" si="0"/>
        <v>34</v>
      </c>
      <c r="B36" s="36" t="s">
        <v>7710</v>
      </c>
      <c r="C36" s="26" t="s">
        <v>19</v>
      </c>
      <c r="D36" s="711" t="s">
        <v>7712</v>
      </c>
      <c r="E36" s="26" t="s">
        <v>19</v>
      </c>
      <c r="F36" s="29" t="s">
        <v>7713</v>
      </c>
      <c r="G36" s="29" t="s">
        <v>7714</v>
      </c>
      <c r="H36" s="1014" t="s">
        <v>4712</v>
      </c>
      <c r="I36" s="1014" t="s">
        <v>1124</v>
      </c>
      <c r="J36" s="1014" t="s">
        <v>5961</v>
      </c>
      <c r="K36" s="22" t="s">
        <v>4780</v>
      </c>
      <c r="L36" s="1015" t="s">
        <v>1826</v>
      </c>
      <c r="M36" s="1015" t="s">
        <v>111</v>
      </c>
      <c r="N36" s="28" t="s">
        <v>25</v>
      </c>
      <c r="O36" s="151" t="s">
        <v>7451</v>
      </c>
      <c r="P36" s="1015" t="s">
        <v>111</v>
      </c>
      <c r="Q36" s="1014" t="s">
        <v>7715</v>
      </c>
      <c r="R36" s="1014" t="s">
        <v>7715</v>
      </c>
      <c r="S36" s="24" t="s">
        <v>7708</v>
      </c>
      <c r="T36" s="90" t="s">
        <v>7716</v>
      </c>
      <c r="U36" s="24" t="s">
        <v>110</v>
      </c>
      <c r="V36" s="24">
        <v>1</v>
      </c>
      <c r="W36" s="24" t="s">
        <v>448</v>
      </c>
      <c r="X36" s="24" t="s">
        <v>448</v>
      </c>
      <c r="Y36" s="30">
        <v>2.5</v>
      </c>
      <c r="Z36" s="30"/>
      <c r="AA36" s="30">
        <v>2.5</v>
      </c>
      <c r="AB36" s="59"/>
      <c r="AC36" s="59"/>
      <c r="AD36" s="1015" t="s">
        <v>1104</v>
      </c>
      <c r="AE36" s="202" t="s">
        <v>1880</v>
      </c>
      <c r="AF36" s="133" t="s">
        <v>1880</v>
      </c>
      <c r="AG36" s="1014"/>
    </row>
    <row r="37" spans="1:33" s="11" customFormat="1" ht="26.25" customHeight="1" x14ac:dyDescent="0.15">
      <c r="A37" s="8">
        <f t="shared" si="0"/>
        <v>35</v>
      </c>
      <c r="B37" s="36" t="s">
        <v>7711</v>
      </c>
      <c r="C37" s="26" t="s">
        <v>19</v>
      </c>
      <c r="D37" s="26" t="s">
        <v>19</v>
      </c>
      <c r="E37" s="26" t="s">
        <v>19</v>
      </c>
      <c r="F37" s="29" t="s">
        <v>7717</v>
      </c>
      <c r="G37" s="29" t="s">
        <v>7718</v>
      </c>
      <c r="H37" s="1014" t="s">
        <v>4712</v>
      </c>
      <c r="I37" s="1014" t="s">
        <v>1124</v>
      </c>
      <c r="J37" s="1014" t="s">
        <v>7260</v>
      </c>
      <c r="K37" s="22" t="s">
        <v>4780</v>
      </c>
      <c r="L37" s="1015" t="s">
        <v>1826</v>
      </c>
      <c r="M37" s="1015" t="s">
        <v>111</v>
      </c>
      <c r="N37" s="28" t="s">
        <v>25</v>
      </c>
      <c r="O37" s="151" t="s">
        <v>7451</v>
      </c>
      <c r="P37" s="1015" t="s">
        <v>111</v>
      </c>
      <c r="Q37" s="1014" t="s">
        <v>7715</v>
      </c>
      <c r="R37" s="1014" t="s">
        <v>7715</v>
      </c>
      <c r="S37" s="24" t="s">
        <v>7708</v>
      </c>
      <c r="T37" s="90" t="s">
        <v>7716</v>
      </c>
      <c r="U37" s="24" t="s">
        <v>110</v>
      </c>
      <c r="V37" s="24">
        <v>1</v>
      </c>
      <c r="W37" s="24" t="s">
        <v>448</v>
      </c>
      <c r="X37" s="24" t="s">
        <v>448</v>
      </c>
      <c r="Y37" s="30">
        <v>2.5</v>
      </c>
      <c r="Z37" s="30"/>
      <c r="AA37" s="30">
        <v>2.5</v>
      </c>
      <c r="AB37" s="59"/>
      <c r="AC37" s="59"/>
      <c r="AD37" s="1015" t="s">
        <v>1104</v>
      </c>
      <c r="AE37" s="202" t="s">
        <v>1880</v>
      </c>
      <c r="AF37" s="133" t="s">
        <v>1880</v>
      </c>
      <c r="AG37" s="1014"/>
    </row>
    <row r="38" spans="1:33" s="11" customFormat="1" ht="26.25" customHeight="1" x14ac:dyDescent="0.15">
      <c r="A38" s="8">
        <f t="shared" si="0"/>
        <v>36</v>
      </c>
      <c r="B38" s="36" t="s">
        <v>7719</v>
      </c>
      <c r="C38" s="71" t="s">
        <v>7720</v>
      </c>
      <c r="D38" s="26" t="s">
        <v>19</v>
      </c>
      <c r="E38" s="36" t="s">
        <v>9315</v>
      </c>
      <c r="F38" s="29" t="s">
        <v>7721</v>
      </c>
      <c r="G38" s="53" t="s">
        <v>7722</v>
      </c>
      <c r="H38" s="1014" t="s">
        <v>4195</v>
      </c>
      <c r="I38" s="1014" t="s">
        <v>4196</v>
      </c>
      <c r="J38" s="1014" t="s">
        <v>6817</v>
      </c>
      <c r="K38" s="22" t="s">
        <v>4780</v>
      </c>
      <c r="L38" s="1015" t="s">
        <v>1826</v>
      </c>
      <c r="M38" s="1015" t="s">
        <v>111</v>
      </c>
      <c r="N38" s="1014" t="s">
        <v>5523</v>
      </c>
      <c r="O38" s="54" t="s">
        <v>4614</v>
      </c>
      <c r="P38" s="1015" t="s">
        <v>111</v>
      </c>
      <c r="Q38" s="1014" t="s">
        <v>6820</v>
      </c>
      <c r="R38" s="1014" t="s">
        <v>5487</v>
      </c>
      <c r="S38" s="24" t="s">
        <v>7708</v>
      </c>
      <c r="T38" s="90" t="s">
        <v>7723</v>
      </c>
      <c r="U38" s="10" t="s">
        <v>1800</v>
      </c>
      <c r="V38" s="10">
        <v>1</v>
      </c>
      <c r="W38" s="24" t="s">
        <v>448</v>
      </c>
      <c r="X38" s="24" t="s">
        <v>448</v>
      </c>
      <c r="Y38" s="203">
        <v>134.99996999999999</v>
      </c>
      <c r="Z38" s="30"/>
      <c r="AA38" s="203">
        <v>134.99996999999999</v>
      </c>
      <c r="AB38" s="59"/>
      <c r="AC38" s="59"/>
      <c r="AD38" s="1015" t="s">
        <v>1104</v>
      </c>
      <c r="AE38" s="202" t="s">
        <v>1880</v>
      </c>
      <c r="AF38" s="133" t="s">
        <v>1880</v>
      </c>
      <c r="AG38" s="1004"/>
    </row>
    <row r="39" spans="1:33" s="11" customFormat="1" ht="26.25" customHeight="1" x14ac:dyDescent="0.15">
      <c r="A39" s="8">
        <f t="shared" si="0"/>
        <v>37</v>
      </c>
      <c r="B39" s="36" t="s">
        <v>7738</v>
      </c>
      <c r="C39" s="26" t="s">
        <v>19</v>
      </c>
      <c r="D39" s="26" t="s">
        <v>19</v>
      </c>
      <c r="E39" s="36" t="s">
        <v>8260</v>
      </c>
      <c r="F39" s="29" t="s">
        <v>7749</v>
      </c>
      <c r="G39" s="29" t="s">
        <v>7753</v>
      </c>
      <c r="H39" s="1017" t="s">
        <v>4691</v>
      </c>
      <c r="I39" s="1017" t="s">
        <v>4750</v>
      </c>
      <c r="J39" s="1017" t="s">
        <v>5366</v>
      </c>
      <c r="K39" s="22" t="s">
        <v>6101</v>
      </c>
      <c r="L39" s="22" t="s">
        <v>5431</v>
      </c>
      <c r="M39" s="1019" t="s">
        <v>111</v>
      </c>
      <c r="N39" s="1018" t="s">
        <v>1131</v>
      </c>
      <c r="O39" s="54" t="s">
        <v>116</v>
      </c>
      <c r="P39" s="22" t="s">
        <v>1880</v>
      </c>
      <c r="Q39" s="1018" t="s">
        <v>5571</v>
      </c>
      <c r="R39" s="1018" t="s">
        <v>5571</v>
      </c>
      <c r="S39" s="24" t="s">
        <v>7750</v>
      </c>
      <c r="T39" s="90" t="s">
        <v>7709</v>
      </c>
      <c r="U39" s="24" t="s">
        <v>110</v>
      </c>
      <c r="V39" s="24">
        <v>1</v>
      </c>
      <c r="W39" s="24" t="s">
        <v>7074</v>
      </c>
      <c r="X39" s="24" t="s">
        <v>6545</v>
      </c>
      <c r="Y39" s="30"/>
      <c r="Z39" s="30">
        <v>8.8000000000000007</v>
      </c>
      <c r="AA39" s="30">
        <v>8.8000000000000007</v>
      </c>
      <c r="AB39" s="59"/>
      <c r="AC39" s="59"/>
      <c r="AD39" s="35" t="s">
        <v>1104</v>
      </c>
      <c r="AE39" s="202" t="s">
        <v>19</v>
      </c>
      <c r="AF39" s="35" t="s">
        <v>1880</v>
      </c>
      <c r="AG39" s="990" t="s">
        <v>7751</v>
      </c>
    </row>
    <row r="40" spans="1:33" s="11" customFormat="1" ht="26.25" customHeight="1" x14ac:dyDescent="0.15">
      <c r="A40" s="8">
        <f t="shared" si="0"/>
        <v>38</v>
      </c>
      <c r="B40" s="36" t="s">
        <v>7752</v>
      </c>
      <c r="C40" s="26" t="s">
        <v>19</v>
      </c>
      <c r="D40" s="26" t="s">
        <v>19</v>
      </c>
      <c r="E40" s="26" t="s">
        <v>19</v>
      </c>
      <c r="F40" s="29" t="s">
        <v>7741</v>
      </c>
      <c r="G40" s="29" t="s">
        <v>7745</v>
      </c>
      <c r="H40" s="1018" t="s">
        <v>3649</v>
      </c>
      <c r="I40" s="1018" t="s">
        <v>7742</v>
      </c>
      <c r="J40" s="1018" t="s">
        <v>7743</v>
      </c>
      <c r="K40" s="22" t="s">
        <v>7744</v>
      </c>
      <c r="L40" s="1019" t="s">
        <v>1826</v>
      </c>
      <c r="M40" s="1019" t="s">
        <v>111</v>
      </c>
      <c r="N40" s="28" t="s">
        <v>25</v>
      </c>
      <c r="O40" s="151" t="s">
        <v>7451</v>
      </c>
      <c r="P40" s="1019" t="s">
        <v>111</v>
      </c>
      <c r="Q40" s="1016" t="s">
        <v>7746</v>
      </c>
      <c r="R40" s="1016" t="s">
        <v>7746</v>
      </c>
      <c r="S40" s="24" t="s">
        <v>7747</v>
      </c>
      <c r="T40" s="90" t="s">
        <v>7748</v>
      </c>
      <c r="U40" s="24" t="s">
        <v>110</v>
      </c>
      <c r="V40" s="24">
        <v>1</v>
      </c>
      <c r="W40" s="24" t="s">
        <v>448</v>
      </c>
      <c r="X40" s="24" t="s">
        <v>448</v>
      </c>
      <c r="Y40" s="30">
        <v>3</v>
      </c>
      <c r="Z40" s="30"/>
      <c r="AA40" s="30">
        <v>3</v>
      </c>
      <c r="AB40" s="59"/>
      <c r="AC40" s="59"/>
      <c r="AD40" s="1019" t="s">
        <v>1104</v>
      </c>
      <c r="AE40" s="202" t="s">
        <v>1880</v>
      </c>
      <c r="AF40" s="133" t="s">
        <v>1880</v>
      </c>
      <c r="AG40" s="1016"/>
    </row>
    <row r="41" spans="1:33" s="11" customFormat="1" ht="26.25" customHeight="1" x14ac:dyDescent="0.15">
      <c r="A41" s="8">
        <f t="shared" si="0"/>
        <v>39</v>
      </c>
      <c r="B41" s="36" t="s">
        <v>7754</v>
      </c>
      <c r="C41" s="26" t="s">
        <v>19</v>
      </c>
      <c r="D41" s="26" t="s">
        <v>19</v>
      </c>
      <c r="E41" s="26" t="s">
        <v>19</v>
      </c>
      <c r="F41" s="29" t="s">
        <v>6582</v>
      </c>
      <c r="G41" s="53" t="s">
        <v>6583</v>
      </c>
      <c r="H41" s="1" t="s">
        <v>1457</v>
      </c>
      <c r="I41" s="142" t="s">
        <v>225</v>
      </c>
      <c r="J41" s="1" t="s">
        <v>5316</v>
      </c>
      <c r="K41" s="22" t="s">
        <v>4780</v>
      </c>
      <c r="L41" s="22" t="s">
        <v>5478</v>
      </c>
      <c r="M41" s="1021" t="s">
        <v>111</v>
      </c>
      <c r="N41" s="1020" t="s">
        <v>4676</v>
      </c>
      <c r="O41" s="54" t="s">
        <v>6584</v>
      </c>
      <c r="P41" s="1021" t="s">
        <v>111</v>
      </c>
      <c r="Q41" s="1020" t="s">
        <v>5487</v>
      </c>
      <c r="R41" s="1020" t="s">
        <v>5487</v>
      </c>
      <c r="S41" s="24" t="s">
        <v>7755</v>
      </c>
      <c r="T41" s="90" t="s">
        <v>7756</v>
      </c>
      <c r="U41" s="1021" t="s">
        <v>2359</v>
      </c>
      <c r="V41" s="24">
        <v>3</v>
      </c>
      <c r="W41" s="24" t="s">
        <v>7756</v>
      </c>
      <c r="X41" s="24" t="s">
        <v>7757</v>
      </c>
      <c r="Y41" s="30">
        <v>3</v>
      </c>
      <c r="Z41" s="30">
        <v>9</v>
      </c>
      <c r="AA41" s="30">
        <v>12</v>
      </c>
      <c r="AB41" s="59"/>
      <c r="AC41" s="59"/>
      <c r="AD41" s="1021" t="s">
        <v>1104</v>
      </c>
      <c r="AE41" s="202" t="s">
        <v>1880</v>
      </c>
      <c r="AF41" s="133" t="s">
        <v>1880</v>
      </c>
      <c r="AG41" s="1020"/>
    </row>
    <row r="42" spans="1:33" s="11" customFormat="1" ht="26.25" customHeight="1" x14ac:dyDescent="0.15">
      <c r="A42" s="8">
        <f t="shared" si="0"/>
        <v>40</v>
      </c>
      <c r="B42" s="36" t="s">
        <v>7758</v>
      </c>
      <c r="C42" s="26" t="s">
        <v>19</v>
      </c>
      <c r="D42" s="26" t="s">
        <v>19</v>
      </c>
      <c r="E42" s="26" t="s">
        <v>19</v>
      </c>
      <c r="F42" s="29" t="s">
        <v>7582</v>
      </c>
      <c r="G42" s="99"/>
      <c r="H42" s="724"/>
      <c r="I42" s="724"/>
      <c r="J42" s="724"/>
      <c r="K42" s="725"/>
      <c r="L42" s="206"/>
      <c r="M42" s="206"/>
      <c r="N42" s="976"/>
      <c r="O42" s="215"/>
      <c r="P42" s="206"/>
      <c r="Q42" s="726"/>
      <c r="R42" s="726"/>
      <c r="S42" s="24" t="s">
        <v>7759</v>
      </c>
      <c r="T42" s="499"/>
      <c r="U42" s="206"/>
      <c r="V42" s="206"/>
      <c r="W42" s="24" t="s">
        <v>448</v>
      </c>
      <c r="X42" s="24" t="s">
        <v>448</v>
      </c>
      <c r="Y42" s="30">
        <v>16.823</v>
      </c>
      <c r="Z42" s="328"/>
      <c r="AA42" s="30">
        <v>16.823</v>
      </c>
      <c r="AB42" s="59" t="s">
        <v>6457</v>
      </c>
      <c r="AC42" s="59" t="s">
        <v>6457</v>
      </c>
      <c r="AD42" s="1023" t="s">
        <v>1104</v>
      </c>
      <c r="AE42" s="202" t="s">
        <v>1880</v>
      </c>
      <c r="AF42" s="133" t="s">
        <v>1880</v>
      </c>
      <c r="AG42" s="1022" t="s">
        <v>7760</v>
      </c>
    </row>
    <row r="43" spans="1:33" s="11" customFormat="1" ht="26.25" customHeight="1" x14ac:dyDescent="0.15">
      <c r="A43" s="8">
        <f t="shared" si="0"/>
        <v>41</v>
      </c>
      <c r="B43" s="36" t="s">
        <v>7763</v>
      </c>
      <c r="C43" s="26" t="s">
        <v>19</v>
      </c>
      <c r="D43" s="26" t="s">
        <v>19</v>
      </c>
      <c r="E43" s="26" t="s">
        <v>19</v>
      </c>
      <c r="F43" s="29" t="s">
        <v>6670</v>
      </c>
      <c r="G43" s="53" t="s">
        <v>6671</v>
      </c>
      <c r="H43" s="1024" t="s">
        <v>2113</v>
      </c>
      <c r="I43" s="1024" t="s">
        <v>1779</v>
      </c>
      <c r="J43" s="1024" t="s">
        <v>1778</v>
      </c>
      <c r="K43" s="22" t="s">
        <v>1777</v>
      </c>
      <c r="L43" s="1026" t="s">
        <v>1826</v>
      </c>
      <c r="M43" s="1026" t="s">
        <v>111</v>
      </c>
      <c r="N43" s="1026" t="s">
        <v>1818</v>
      </c>
      <c r="O43" s="151" t="s">
        <v>1819</v>
      </c>
      <c r="P43" s="1026" t="s">
        <v>111</v>
      </c>
      <c r="Q43" s="1025" t="s">
        <v>5489</v>
      </c>
      <c r="R43" s="1025" t="s">
        <v>5489</v>
      </c>
      <c r="S43" s="24" t="s">
        <v>7761</v>
      </c>
      <c r="T43" s="90" t="s">
        <v>7762</v>
      </c>
      <c r="U43" s="1026" t="s">
        <v>2359</v>
      </c>
      <c r="V43" s="1026">
        <v>2</v>
      </c>
      <c r="W43" s="24" t="s">
        <v>7181</v>
      </c>
      <c r="X43" s="24" t="s">
        <v>7182</v>
      </c>
      <c r="Y43" s="30"/>
      <c r="Z43" s="30">
        <v>8</v>
      </c>
      <c r="AA43" s="30">
        <v>8</v>
      </c>
      <c r="AB43" s="59"/>
      <c r="AC43" s="59"/>
      <c r="AD43" s="1026" t="s">
        <v>1104</v>
      </c>
      <c r="AE43" s="202" t="s">
        <v>1880</v>
      </c>
      <c r="AF43" s="133" t="s">
        <v>1880</v>
      </c>
      <c r="AG43" s="1025"/>
    </row>
    <row r="44" spans="1:33" s="11" customFormat="1" ht="26.25" customHeight="1" x14ac:dyDescent="0.15">
      <c r="A44" s="8">
        <f t="shared" si="0"/>
        <v>42</v>
      </c>
      <c r="B44" s="36" t="s">
        <v>7767</v>
      </c>
      <c r="C44" s="26" t="s">
        <v>19</v>
      </c>
      <c r="D44" s="26" t="s">
        <v>19</v>
      </c>
      <c r="E44" s="26" t="s">
        <v>19</v>
      </c>
      <c r="F44" s="29" t="s">
        <v>7769</v>
      </c>
      <c r="G44" s="53" t="s">
        <v>7770</v>
      </c>
      <c r="H44" s="1028" t="s">
        <v>2135</v>
      </c>
      <c r="I44" s="1028" t="s">
        <v>2327</v>
      </c>
      <c r="J44" s="1028" t="s">
        <v>6619</v>
      </c>
      <c r="K44" s="22" t="s">
        <v>3651</v>
      </c>
      <c r="L44" s="1030" t="s">
        <v>7771</v>
      </c>
      <c r="M44" s="1030" t="s">
        <v>111</v>
      </c>
      <c r="N44" s="1030" t="s">
        <v>1818</v>
      </c>
      <c r="O44" s="151" t="s">
        <v>7451</v>
      </c>
      <c r="P44" s="1030" t="s">
        <v>111</v>
      </c>
      <c r="Q44" s="1029" t="s">
        <v>7772</v>
      </c>
      <c r="R44" s="1029" t="s">
        <v>7772</v>
      </c>
      <c r="S44" s="24" t="s">
        <v>7773</v>
      </c>
      <c r="T44" s="90" t="s">
        <v>7774</v>
      </c>
      <c r="U44" s="24" t="s">
        <v>110</v>
      </c>
      <c r="V44" s="24">
        <v>1</v>
      </c>
      <c r="W44" s="24" t="s">
        <v>448</v>
      </c>
      <c r="X44" s="24" t="s">
        <v>448</v>
      </c>
      <c r="Y44" s="30">
        <v>2.98</v>
      </c>
      <c r="Z44" s="30"/>
      <c r="AA44" s="30">
        <v>2.98</v>
      </c>
      <c r="AB44" s="59"/>
      <c r="AC44" s="59"/>
      <c r="AD44" s="1030" t="s">
        <v>1104</v>
      </c>
      <c r="AE44" s="202" t="s">
        <v>1880</v>
      </c>
      <c r="AF44" s="133" t="s">
        <v>1880</v>
      </c>
      <c r="AG44" s="1029"/>
    </row>
    <row r="45" spans="1:33" s="11" customFormat="1" ht="26.25" customHeight="1" x14ac:dyDescent="0.15">
      <c r="A45" s="8">
        <f t="shared" si="0"/>
        <v>43</v>
      </c>
      <c r="B45" s="36" t="s">
        <v>7768</v>
      </c>
      <c r="C45" s="26" t="s">
        <v>19</v>
      </c>
      <c r="D45" s="26" t="s">
        <v>19</v>
      </c>
      <c r="E45" s="26" t="s">
        <v>19</v>
      </c>
      <c r="F45" s="29" t="s">
        <v>7775</v>
      </c>
      <c r="G45" s="53" t="s">
        <v>7776</v>
      </c>
      <c r="H45" s="1028" t="s">
        <v>2135</v>
      </c>
      <c r="I45" s="1028" t="s">
        <v>2327</v>
      </c>
      <c r="J45" s="1028" t="s">
        <v>7640</v>
      </c>
      <c r="K45" s="22" t="s">
        <v>7777</v>
      </c>
      <c r="L45" s="1030" t="s">
        <v>7771</v>
      </c>
      <c r="M45" s="1030" t="s">
        <v>111</v>
      </c>
      <c r="N45" s="1030" t="s">
        <v>1818</v>
      </c>
      <c r="O45" s="151" t="s">
        <v>7451</v>
      </c>
      <c r="P45" s="1030" t="s">
        <v>111</v>
      </c>
      <c r="Q45" s="1029" t="s">
        <v>7772</v>
      </c>
      <c r="R45" s="1029" t="s">
        <v>7772</v>
      </c>
      <c r="S45" s="24" t="s">
        <v>7773</v>
      </c>
      <c r="T45" s="90" t="s">
        <v>7778</v>
      </c>
      <c r="U45" s="24" t="s">
        <v>110</v>
      </c>
      <c r="V45" s="24">
        <v>1</v>
      </c>
      <c r="W45" s="24" t="s">
        <v>448</v>
      </c>
      <c r="X45" s="24" t="s">
        <v>448</v>
      </c>
      <c r="Y45" s="30">
        <v>2.98</v>
      </c>
      <c r="Z45" s="30"/>
      <c r="AA45" s="30">
        <v>2.98</v>
      </c>
      <c r="AB45" s="59"/>
      <c r="AC45" s="59"/>
      <c r="AD45" s="1030" t="s">
        <v>1104</v>
      </c>
      <c r="AE45" s="202" t="s">
        <v>1880</v>
      </c>
      <c r="AF45" s="133" t="s">
        <v>1880</v>
      </c>
      <c r="AG45" s="1029"/>
    </row>
    <row r="46" spans="1:33" s="11" customFormat="1" ht="26.25" customHeight="1" x14ac:dyDescent="0.15">
      <c r="A46" s="8">
        <f t="shared" si="0"/>
        <v>44</v>
      </c>
      <c r="B46" s="36" t="s">
        <v>7779</v>
      </c>
      <c r="C46" s="26" t="s">
        <v>19</v>
      </c>
      <c r="D46" s="26" t="s">
        <v>19</v>
      </c>
      <c r="E46" s="26" t="s">
        <v>19</v>
      </c>
      <c r="F46" s="29" t="s">
        <v>845</v>
      </c>
      <c r="G46" s="53" t="s">
        <v>7781</v>
      </c>
      <c r="H46" s="1031" t="s">
        <v>2135</v>
      </c>
      <c r="I46" s="1031" t="s">
        <v>1789</v>
      </c>
      <c r="J46" s="1031" t="s">
        <v>7782</v>
      </c>
      <c r="K46" s="22" t="s">
        <v>6767</v>
      </c>
      <c r="L46" s="1033" t="s">
        <v>5431</v>
      </c>
      <c r="M46" s="1033" t="s">
        <v>111</v>
      </c>
      <c r="N46" s="1033" t="s">
        <v>1818</v>
      </c>
      <c r="O46" s="151" t="s">
        <v>7451</v>
      </c>
      <c r="P46" s="1035" t="s">
        <v>111</v>
      </c>
      <c r="Q46" s="1034" t="s">
        <v>5487</v>
      </c>
      <c r="R46" s="1034" t="s">
        <v>5487</v>
      </c>
      <c r="S46" s="24" t="s">
        <v>7784</v>
      </c>
      <c r="T46" s="90" t="s">
        <v>7785</v>
      </c>
      <c r="U46" s="24" t="s">
        <v>110</v>
      </c>
      <c r="V46" s="24">
        <v>1</v>
      </c>
      <c r="W46" s="24" t="s">
        <v>448</v>
      </c>
      <c r="X46" s="24" t="s">
        <v>448</v>
      </c>
      <c r="Y46" s="30">
        <v>2.8</v>
      </c>
      <c r="Z46" s="30"/>
      <c r="AA46" s="30">
        <v>2.8</v>
      </c>
      <c r="AB46" s="59"/>
      <c r="AC46" s="59"/>
      <c r="AD46" s="1035" t="s">
        <v>1104</v>
      </c>
      <c r="AE46" s="202" t="s">
        <v>1880</v>
      </c>
      <c r="AF46" s="133" t="s">
        <v>1880</v>
      </c>
      <c r="AG46" s="1032"/>
    </row>
    <row r="47" spans="1:33" s="11" customFormat="1" ht="26.25" customHeight="1" x14ac:dyDescent="0.15">
      <c r="A47" s="8">
        <f t="shared" si="0"/>
        <v>45</v>
      </c>
      <c r="B47" s="36" t="s">
        <v>7780</v>
      </c>
      <c r="C47" s="26" t="s">
        <v>19</v>
      </c>
      <c r="D47" s="26" t="s">
        <v>19</v>
      </c>
      <c r="E47" s="26" t="s">
        <v>19</v>
      </c>
      <c r="F47" s="29" t="s">
        <v>845</v>
      </c>
      <c r="G47" s="53" t="s">
        <v>7781</v>
      </c>
      <c r="H47" s="1031" t="s">
        <v>2135</v>
      </c>
      <c r="I47" s="1031" t="s">
        <v>1789</v>
      </c>
      <c r="J47" s="1031" t="s">
        <v>7783</v>
      </c>
      <c r="K47" s="22" t="s">
        <v>4780</v>
      </c>
      <c r="L47" s="22" t="s">
        <v>5478</v>
      </c>
      <c r="M47" s="1033" t="s">
        <v>111</v>
      </c>
      <c r="N47" s="1034" t="s">
        <v>4676</v>
      </c>
      <c r="O47" s="151" t="s">
        <v>7451</v>
      </c>
      <c r="P47" s="1035" t="s">
        <v>111</v>
      </c>
      <c r="Q47" s="1034" t="s">
        <v>5487</v>
      </c>
      <c r="R47" s="1034" t="s">
        <v>5487</v>
      </c>
      <c r="S47" s="24" t="s">
        <v>7784</v>
      </c>
      <c r="T47" s="90" t="s">
        <v>7785</v>
      </c>
      <c r="U47" s="24" t="s">
        <v>110</v>
      </c>
      <c r="V47" s="24">
        <v>1</v>
      </c>
      <c r="W47" s="24" t="s">
        <v>448</v>
      </c>
      <c r="X47" s="24" t="s">
        <v>448</v>
      </c>
      <c r="Y47" s="30">
        <v>2.8</v>
      </c>
      <c r="Z47" s="30"/>
      <c r="AA47" s="30">
        <v>2.8</v>
      </c>
      <c r="AB47" s="59"/>
      <c r="AC47" s="59"/>
      <c r="AD47" s="1035" t="s">
        <v>1104</v>
      </c>
      <c r="AE47" s="202" t="s">
        <v>1880</v>
      </c>
      <c r="AF47" s="133" t="s">
        <v>1880</v>
      </c>
      <c r="AG47" s="1032"/>
    </row>
    <row r="48" spans="1:33" s="11" customFormat="1" ht="26.25" customHeight="1" x14ac:dyDescent="0.15">
      <c r="A48" s="8">
        <f t="shared" si="0"/>
        <v>46</v>
      </c>
      <c r="B48" s="36" t="s">
        <v>7786</v>
      </c>
      <c r="C48" s="71" t="s">
        <v>7787</v>
      </c>
      <c r="D48" s="26" t="s">
        <v>19</v>
      </c>
      <c r="E48" s="26" t="s">
        <v>19</v>
      </c>
      <c r="F48" s="29" t="s">
        <v>6895</v>
      </c>
      <c r="G48" s="29" t="s">
        <v>7096</v>
      </c>
      <c r="H48" s="1036" t="s">
        <v>4195</v>
      </c>
      <c r="I48" s="1036" t="s">
        <v>3101</v>
      </c>
      <c r="J48" s="1036" t="s">
        <v>7788</v>
      </c>
      <c r="K48" s="22" t="s">
        <v>4780</v>
      </c>
      <c r="L48" s="1037" t="s">
        <v>5431</v>
      </c>
      <c r="M48" s="1037" t="s">
        <v>111</v>
      </c>
      <c r="N48" s="1036" t="s">
        <v>445</v>
      </c>
      <c r="O48" s="54" t="s">
        <v>4534</v>
      </c>
      <c r="P48" s="1037" t="s">
        <v>111</v>
      </c>
      <c r="Q48" s="1025" t="s">
        <v>7789</v>
      </c>
      <c r="R48" s="1025" t="s">
        <v>7789</v>
      </c>
      <c r="S48" s="24" t="s">
        <v>7790</v>
      </c>
      <c r="T48" s="90" t="s">
        <v>7791</v>
      </c>
      <c r="U48" s="24" t="s">
        <v>110</v>
      </c>
      <c r="V48" s="24">
        <v>1</v>
      </c>
      <c r="W48" s="24" t="s">
        <v>448</v>
      </c>
      <c r="X48" s="24" t="s">
        <v>448</v>
      </c>
      <c r="Y48" s="30">
        <v>7.8</v>
      </c>
      <c r="Z48" s="30"/>
      <c r="AA48" s="30">
        <v>7.8</v>
      </c>
      <c r="AB48" s="59"/>
      <c r="AC48" s="59"/>
      <c r="AD48" s="1037" t="s">
        <v>1104</v>
      </c>
      <c r="AE48" s="202" t="s">
        <v>1880</v>
      </c>
      <c r="AF48" s="133" t="s">
        <v>1880</v>
      </c>
      <c r="AG48" s="1025"/>
    </row>
    <row r="49" spans="1:33" s="11" customFormat="1" ht="26.25" customHeight="1" x14ac:dyDescent="0.15">
      <c r="A49" s="8">
        <f t="shared" si="0"/>
        <v>47</v>
      </c>
      <c r="B49" s="36" t="s">
        <v>7792</v>
      </c>
      <c r="C49" s="26" t="s">
        <v>19</v>
      </c>
      <c r="D49" s="26" t="s">
        <v>19</v>
      </c>
      <c r="E49" s="26" t="s">
        <v>19</v>
      </c>
      <c r="F49" s="29" t="s">
        <v>7793</v>
      </c>
      <c r="G49" s="723" t="s">
        <v>7548</v>
      </c>
      <c r="H49" s="1038" t="s">
        <v>3649</v>
      </c>
      <c r="I49" s="1038" t="s">
        <v>4701</v>
      </c>
      <c r="J49" s="1038" t="s">
        <v>6278</v>
      </c>
      <c r="K49" s="22" t="s">
        <v>4729</v>
      </c>
      <c r="L49" s="1039" t="s">
        <v>5431</v>
      </c>
      <c r="M49" s="1039" t="s">
        <v>111</v>
      </c>
      <c r="N49" s="1039" t="s">
        <v>1818</v>
      </c>
      <c r="O49" s="151" t="s">
        <v>3994</v>
      </c>
      <c r="P49" s="1039" t="s">
        <v>111</v>
      </c>
      <c r="Q49" s="1038" t="s">
        <v>5487</v>
      </c>
      <c r="R49" s="1038" t="s">
        <v>5487</v>
      </c>
      <c r="S49" s="24" t="s">
        <v>7794</v>
      </c>
      <c r="T49" s="499"/>
      <c r="U49" s="484"/>
      <c r="V49" s="484"/>
      <c r="W49" s="24" t="s">
        <v>7074</v>
      </c>
      <c r="X49" s="24" t="s">
        <v>7905</v>
      </c>
      <c r="Y49" s="30">
        <v>2.5</v>
      </c>
      <c r="Z49" s="30"/>
      <c r="AA49" s="30">
        <v>2.5</v>
      </c>
      <c r="AB49" s="59"/>
      <c r="AC49" s="59"/>
      <c r="AD49" s="1039" t="s">
        <v>1104</v>
      </c>
      <c r="AE49" s="202" t="s">
        <v>1880</v>
      </c>
      <c r="AF49" s="133" t="s">
        <v>1880</v>
      </c>
      <c r="AG49" s="1022" t="s">
        <v>7795</v>
      </c>
    </row>
    <row r="50" spans="1:33" s="11" customFormat="1" ht="26.25" customHeight="1" x14ac:dyDescent="0.15">
      <c r="A50" s="8">
        <f t="shared" si="0"/>
        <v>48</v>
      </c>
      <c r="B50" s="36" t="s">
        <v>7796</v>
      </c>
      <c r="C50" s="26" t="s">
        <v>19</v>
      </c>
      <c r="D50" s="26" t="s">
        <v>19</v>
      </c>
      <c r="E50" s="26" t="s">
        <v>19</v>
      </c>
      <c r="F50" s="29" t="s">
        <v>6565</v>
      </c>
      <c r="G50" s="53" t="s">
        <v>7797</v>
      </c>
      <c r="H50" s="1362" t="s">
        <v>4195</v>
      </c>
      <c r="I50" s="1362" t="s">
        <v>4196</v>
      </c>
      <c r="J50" s="724"/>
      <c r="K50" s="725"/>
      <c r="L50" s="1041" t="s">
        <v>5431</v>
      </c>
      <c r="M50" s="1041" t="s">
        <v>111</v>
      </c>
      <c r="N50" s="1040" t="s">
        <v>7798</v>
      </c>
      <c r="O50" s="54" t="s">
        <v>7798</v>
      </c>
      <c r="P50" s="1041" t="s">
        <v>111</v>
      </c>
      <c r="Q50" s="1040" t="s">
        <v>7799</v>
      </c>
      <c r="R50" s="1040" t="s">
        <v>7800</v>
      </c>
      <c r="S50" s="24" t="s">
        <v>7801</v>
      </c>
      <c r="T50" s="499"/>
      <c r="U50" s="484"/>
      <c r="V50" s="484"/>
      <c r="W50" s="24" t="s">
        <v>448</v>
      </c>
      <c r="X50" s="24" t="s">
        <v>448</v>
      </c>
      <c r="Y50" s="30">
        <v>162.80000000000001</v>
      </c>
      <c r="Z50" s="30"/>
      <c r="AA50" s="30">
        <v>162.80000000000001</v>
      </c>
      <c r="AB50" s="59"/>
      <c r="AC50" s="59"/>
      <c r="AD50" s="1041" t="s">
        <v>1104</v>
      </c>
      <c r="AE50" s="202" t="s">
        <v>1880</v>
      </c>
      <c r="AF50" s="133" t="s">
        <v>1880</v>
      </c>
      <c r="AG50" s="1040" t="s">
        <v>9068</v>
      </c>
    </row>
    <row r="51" spans="1:33" s="11" customFormat="1" ht="64.5" customHeight="1" x14ac:dyDescent="0.15">
      <c r="A51" s="8">
        <f t="shared" si="0"/>
        <v>49</v>
      </c>
      <c r="B51" s="36" t="s">
        <v>7804</v>
      </c>
      <c r="C51" s="71" t="s">
        <v>8186</v>
      </c>
      <c r="D51" s="26" t="s">
        <v>10486</v>
      </c>
      <c r="E51" s="26" t="s">
        <v>19</v>
      </c>
      <c r="F51" s="67" t="s">
        <v>8057</v>
      </c>
      <c r="G51" s="98" t="s">
        <v>8058</v>
      </c>
      <c r="H51" s="83" t="s">
        <v>2135</v>
      </c>
      <c r="I51" s="83" t="s">
        <v>2533</v>
      </c>
      <c r="J51" s="83" t="s">
        <v>8059</v>
      </c>
      <c r="K51" s="22" t="s">
        <v>4780</v>
      </c>
      <c r="L51" s="1041" t="s">
        <v>5431</v>
      </c>
      <c r="M51" s="1041" t="s">
        <v>111</v>
      </c>
      <c r="N51" s="1040" t="s">
        <v>7802</v>
      </c>
      <c r="O51" s="54" t="s">
        <v>7803</v>
      </c>
      <c r="P51" s="1041" t="s">
        <v>111</v>
      </c>
      <c r="Q51" s="1040" t="s">
        <v>5487</v>
      </c>
      <c r="R51" s="1040" t="s">
        <v>5487</v>
      </c>
      <c r="S51" s="24" t="s">
        <v>7801</v>
      </c>
      <c r="T51" s="90" t="s">
        <v>7929</v>
      </c>
      <c r="U51" s="24" t="s">
        <v>110</v>
      </c>
      <c r="V51" s="24">
        <v>1</v>
      </c>
      <c r="W51" s="24" t="s">
        <v>448</v>
      </c>
      <c r="X51" s="24" t="s">
        <v>448</v>
      </c>
      <c r="Y51" s="30">
        <v>181.5</v>
      </c>
      <c r="Z51" s="30"/>
      <c r="AA51" s="30">
        <v>181.5</v>
      </c>
      <c r="AB51" s="59"/>
      <c r="AC51" s="59"/>
      <c r="AD51" s="1041" t="s">
        <v>1104</v>
      </c>
      <c r="AE51" s="202" t="s">
        <v>1880</v>
      </c>
      <c r="AF51" s="133" t="s">
        <v>1880</v>
      </c>
      <c r="AG51" s="1040"/>
    </row>
    <row r="52" spans="1:33" s="11" customFormat="1" ht="26.25" customHeight="1" x14ac:dyDescent="0.15">
      <c r="A52" s="8">
        <f t="shared" si="0"/>
        <v>50</v>
      </c>
      <c r="B52" s="36" t="s">
        <v>7805</v>
      </c>
      <c r="C52" s="26" t="s">
        <v>19</v>
      </c>
      <c r="D52" s="26" t="s">
        <v>19</v>
      </c>
      <c r="E52" s="26" t="s">
        <v>19</v>
      </c>
      <c r="F52" s="67" t="s">
        <v>8060</v>
      </c>
      <c r="G52" s="98" t="s">
        <v>8058</v>
      </c>
      <c r="H52" s="83" t="s">
        <v>2135</v>
      </c>
      <c r="I52" s="83" t="s">
        <v>2533</v>
      </c>
      <c r="J52" s="83" t="s">
        <v>8059</v>
      </c>
      <c r="K52" s="22" t="s">
        <v>4780</v>
      </c>
      <c r="L52" s="1041" t="s">
        <v>5431</v>
      </c>
      <c r="M52" s="1041" t="s">
        <v>111</v>
      </c>
      <c r="N52" s="1040" t="s">
        <v>7802</v>
      </c>
      <c r="O52" s="54" t="s">
        <v>7803</v>
      </c>
      <c r="P52" s="1041" t="s">
        <v>111</v>
      </c>
      <c r="Q52" s="1040" t="s">
        <v>5487</v>
      </c>
      <c r="R52" s="1040" t="s">
        <v>5487</v>
      </c>
      <c r="S52" s="24" t="s">
        <v>7801</v>
      </c>
      <c r="T52" s="90" t="s">
        <v>7929</v>
      </c>
      <c r="U52" s="24" t="s">
        <v>110</v>
      </c>
      <c r="V52" s="24">
        <v>1</v>
      </c>
      <c r="W52" s="24" t="s">
        <v>448</v>
      </c>
      <c r="X52" s="24" t="s">
        <v>448</v>
      </c>
      <c r="Y52" s="30">
        <v>55</v>
      </c>
      <c r="Z52" s="30"/>
      <c r="AA52" s="30">
        <v>55</v>
      </c>
      <c r="AB52" s="59"/>
      <c r="AC52" s="59"/>
      <c r="AD52" s="1041" t="s">
        <v>1104</v>
      </c>
      <c r="AE52" s="202" t="s">
        <v>1880</v>
      </c>
      <c r="AF52" s="133" t="s">
        <v>1880</v>
      </c>
      <c r="AG52" s="1040" t="s">
        <v>8061</v>
      </c>
    </row>
    <row r="53" spans="1:33" s="11" customFormat="1" ht="26.25" customHeight="1" x14ac:dyDescent="0.15">
      <c r="A53" s="8">
        <f t="shared" si="0"/>
        <v>51</v>
      </c>
      <c r="B53" s="36" t="s">
        <v>7806</v>
      </c>
      <c r="C53" s="71" t="s">
        <v>7810</v>
      </c>
      <c r="D53" s="26" t="s">
        <v>19</v>
      </c>
      <c r="E53" s="26" t="s">
        <v>19</v>
      </c>
      <c r="F53" s="29" t="s">
        <v>7807</v>
      </c>
      <c r="G53" s="53" t="s">
        <v>7811</v>
      </c>
      <c r="H53" s="1042" t="s">
        <v>3649</v>
      </c>
      <c r="I53" s="1042" t="s">
        <v>4750</v>
      </c>
      <c r="J53" s="22" t="s">
        <v>7808</v>
      </c>
      <c r="K53" s="1042" t="s">
        <v>4780</v>
      </c>
      <c r="L53" s="1041" t="s">
        <v>5431</v>
      </c>
      <c r="M53" s="1041" t="s">
        <v>111</v>
      </c>
      <c r="N53" s="1042" t="s">
        <v>1131</v>
      </c>
      <c r="O53" s="54" t="s">
        <v>7809</v>
      </c>
      <c r="P53" s="1041" t="s">
        <v>111</v>
      </c>
      <c r="Q53" s="1040" t="s">
        <v>5487</v>
      </c>
      <c r="R53" s="1040" t="s">
        <v>5487</v>
      </c>
      <c r="S53" s="24" t="s">
        <v>7801</v>
      </c>
      <c r="T53" s="90" t="s">
        <v>7812</v>
      </c>
      <c r="U53" s="1043" t="s">
        <v>1800</v>
      </c>
      <c r="V53" s="1043">
        <v>1</v>
      </c>
      <c r="W53" s="24" t="s">
        <v>448</v>
      </c>
      <c r="X53" s="24" t="s">
        <v>448</v>
      </c>
      <c r="Y53" s="30">
        <v>33.299999999999997</v>
      </c>
      <c r="Z53" s="30"/>
      <c r="AA53" s="30">
        <v>33.299999999999997</v>
      </c>
      <c r="AB53" s="59"/>
      <c r="AC53" s="59"/>
      <c r="AD53" s="1041" t="s">
        <v>1104</v>
      </c>
      <c r="AE53" s="202" t="s">
        <v>1880</v>
      </c>
      <c r="AF53" s="133" t="s">
        <v>1880</v>
      </c>
      <c r="AG53" s="1040"/>
    </row>
    <row r="54" spans="1:33" s="11" customFormat="1" ht="26.25" customHeight="1" x14ac:dyDescent="0.15">
      <c r="A54" s="8">
        <f t="shared" si="0"/>
        <v>52</v>
      </c>
      <c r="B54" s="36" t="s">
        <v>7813</v>
      </c>
      <c r="C54" s="26" t="s">
        <v>19</v>
      </c>
      <c r="D54" s="26" t="s">
        <v>19</v>
      </c>
      <c r="E54" s="26" t="s">
        <v>19</v>
      </c>
      <c r="F54" s="29" t="s">
        <v>5975</v>
      </c>
      <c r="G54" s="53" t="s">
        <v>7815</v>
      </c>
      <c r="H54" s="1044" t="s">
        <v>5448</v>
      </c>
      <c r="I54" s="1044" t="s">
        <v>1124</v>
      </c>
      <c r="J54" s="1044" t="s">
        <v>5449</v>
      </c>
      <c r="K54" s="22" t="s">
        <v>6198</v>
      </c>
      <c r="L54" s="22" t="s">
        <v>1826</v>
      </c>
      <c r="M54" s="1046" t="s">
        <v>1880</v>
      </c>
      <c r="N54" s="216" t="s">
        <v>25</v>
      </c>
      <c r="O54" s="54" t="s">
        <v>116</v>
      </c>
      <c r="P54" s="22" t="s">
        <v>1880</v>
      </c>
      <c r="Q54" s="1045" t="s">
        <v>5487</v>
      </c>
      <c r="R54" s="1045" t="s">
        <v>5487</v>
      </c>
      <c r="S54" s="24" t="s">
        <v>7816</v>
      </c>
      <c r="T54" s="90" t="s">
        <v>7817</v>
      </c>
      <c r="U54" s="24" t="s">
        <v>110</v>
      </c>
      <c r="V54" s="24">
        <v>1</v>
      </c>
      <c r="W54" s="24" t="s">
        <v>7074</v>
      </c>
      <c r="X54" s="24" t="s">
        <v>6545</v>
      </c>
      <c r="Y54" s="30"/>
      <c r="Z54" s="30">
        <v>8</v>
      </c>
      <c r="AA54" s="30">
        <v>8</v>
      </c>
      <c r="AB54" s="59"/>
      <c r="AC54" s="59"/>
      <c r="AD54" s="35" t="s">
        <v>1104</v>
      </c>
      <c r="AE54" s="202" t="s">
        <v>19</v>
      </c>
      <c r="AF54" s="35" t="s">
        <v>1880</v>
      </c>
      <c r="AG54" s="1045"/>
    </row>
    <row r="55" spans="1:33" s="11" customFormat="1" ht="26.25" customHeight="1" x14ac:dyDescent="0.15">
      <c r="A55" s="8">
        <f t="shared" si="0"/>
        <v>53</v>
      </c>
      <c r="B55" s="36" t="s">
        <v>7814</v>
      </c>
      <c r="C55" s="26" t="s">
        <v>19</v>
      </c>
      <c r="D55" s="26" t="s">
        <v>19</v>
      </c>
      <c r="E55" s="26" t="s">
        <v>19</v>
      </c>
      <c r="F55" s="29" t="s">
        <v>5975</v>
      </c>
      <c r="G55" s="53" t="s">
        <v>7815</v>
      </c>
      <c r="H55" s="1044" t="s">
        <v>5448</v>
      </c>
      <c r="I55" s="1044" t="s">
        <v>1124</v>
      </c>
      <c r="J55" s="1044" t="s">
        <v>5454</v>
      </c>
      <c r="K55" s="22" t="s">
        <v>6204</v>
      </c>
      <c r="L55" s="22" t="s">
        <v>1826</v>
      </c>
      <c r="M55" s="1046" t="s">
        <v>1880</v>
      </c>
      <c r="N55" s="216" t="s">
        <v>25</v>
      </c>
      <c r="O55" s="54" t="s">
        <v>116</v>
      </c>
      <c r="P55" s="22" t="s">
        <v>1880</v>
      </c>
      <c r="Q55" s="1045" t="s">
        <v>5487</v>
      </c>
      <c r="R55" s="1045" t="s">
        <v>5487</v>
      </c>
      <c r="S55" s="24" t="s">
        <v>7816</v>
      </c>
      <c r="T55" s="90" t="s">
        <v>7817</v>
      </c>
      <c r="U55" s="24" t="s">
        <v>110</v>
      </c>
      <c r="V55" s="24">
        <v>1</v>
      </c>
      <c r="W55" s="24" t="s">
        <v>7074</v>
      </c>
      <c r="X55" s="24" t="s">
        <v>6545</v>
      </c>
      <c r="Y55" s="30"/>
      <c r="Z55" s="30">
        <v>8</v>
      </c>
      <c r="AA55" s="30">
        <v>8</v>
      </c>
      <c r="AB55" s="59"/>
      <c r="AC55" s="59"/>
      <c r="AD55" s="35" t="s">
        <v>1104</v>
      </c>
      <c r="AE55" s="202" t="s">
        <v>19</v>
      </c>
      <c r="AF55" s="35" t="s">
        <v>1880</v>
      </c>
      <c r="AG55" s="1045"/>
    </row>
    <row r="56" spans="1:33" s="11" customFormat="1" ht="26.25" customHeight="1" x14ac:dyDescent="0.15">
      <c r="A56" s="8">
        <f t="shared" si="0"/>
        <v>54</v>
      </c>
      <c r="B56" s="36" t="s">
        <v>7818</v>
      </c>
      <c r="C56" s="71" t="s">
        <v>7819</v>
      </c>
      <c r="D56" s="26" t="s">
        <v>19</v>
      </c>
      <c r="E56" s="26" t="s">
        <v>19</v>
      </c>
      <c r="F56" s="29" t="s">
        <v>7822</v>
      </c>
      <c r="G56" s="29" t="s">
        <v>7840</v>
      </c>
      <c r="H56" s="1045" t="s">
        <v>3649</v>
      </c>
      <c r="I56" s="1045" t="s">
        <v>4196</v>
      </c>
      <c r="J56" s="1045" t="s">
        <v>7820</v>
      </c>
      <c r="K56" s="22" t="s">
        <v>7823</v>
      </c>
      <c r="L56" s="1046" t="s">
        <v>7824</v>
      </c>
      <c r="M56" s="1046" t="s">
        <v>1880</v>
      </c>
      <c r="N56" s="1045" t="s">
        <v>4676</v>
      </c>
      <c r="O56" s="54" t="s">
        <v>7821</v>
      </c>
      <c r="P56" s="22" t="s">
        <v>1880</v>
      </c>
      <c r="Q56" s="1045" t="s">
        <v>5487</v>
      </c>
      <c r="R56" s="1045" t="s">
        <v>5487</v>
      </c>
      <c r="S56" s="24" t="s">
        <v>7825</v>
      </c>
      <c r="T56" s="90" t="s">
        <v>7826</v>
      </c>
      <c r="U56" s="24" t="s">
        <v>110</v>
      </c>
      <c r="V56" s="24">
        <v>1</v>
      </c>
      <c r="W56" s="24" t="s">
        <v>448</v>
      </c>
      <c r="X56" s="24" t="s">
        <v>448</v>
      </c>
      <c r="Y56" s="30">
        <v>3.15</v>
      </c>
      <c r="Z56" s="30"/>
      <c r="AA56" s="30">
        <v>3.15</v>
      </c>
      <c r="AB56" s="59"/>
      <c r="AC56" s="59"/>
      <c r="AD56" s="35" t="s">
        <v>1104</v>
      </c>
      <c r="AE56" s="202" t="s">
        <v>19</v>
      </c>
      <c r="AF56" s="35" t="s">
        <v>1880</v>
      </c>
      <c r="AG56" s="1045"/>
    </row>
    <row r="57" spans="1:33" s="11" customFormat="1" ht="26.25" customHeight="1" x14ac:dyDescent="0.15">
      <c r="A57" s="8">
        <f t="shared" si="0"/>
        <v>55</v>
      </c>
      <c r="B57" s="36" t="s">
        <v>7827</v>
      </c>
      <c r="C57" s="26" t="s">
        <v>19</v>
      </c>
      <c r="D57" s="26" t="s">
        <v>19</v>
      </c>
      <c r="E57" s="26" t="s">
        <v>19</v>
      </c>
      <c r="F57" s="29" t="s">
        <v>6639</v>
      </c>
      <c r="G57" s="53" t="s">
        <v>7828</v>
      </c>
      <c r="H57" s="1044" t="s">
        <v>4791</v>
      </c>
      <c r="I57" s="1044" t="s">
        <v>3101</v>
      </c>
      <c r="J57" s="1044" t="s">
        <v>6641</v>
      </c>
      <c r="K57" s="22" t="s">
        <v>7829</v>
      </c>
      <c r="L57" s="1045" t="s">
        <v>5431</v>
      </c>
      <c r="M57" s="1046" t="s">
        <v>111</v>
      </c>
      <c r="N57" s="1045" t="s">
        <v>1131</v>
      </c>
      <c r="O57" s="54" t="s">
        <v>116</v>
      </c>
      <c r="P57" s="22" t="s">
        <v>1880</v>
      </c>
      <c r="Q57" s="1045" t="s">
        <v>446</v>
      </c>
      <c r="R57" s="1045" t="s">
        <v>446</v>
      </c>
      <c r="S57" s="24" t="s">
        <v>7816</v>
      </c>
      <c r="T57" s="90" t="s">
        <v>7759</v>
      </c>
      <c r="U57" s="24" t="s">
        <v>110</v>
      </c>
      <c r="V57" s="24">
        <v>2</v>
      </c>
      <c r="W57" s="24" t="s">
        <v>7074</v>
      </c>
      <c r="X57" s="24" t="s">
        <v>6545</v>
      </c>
      <c r="Y57" s="30"/>
      <c r="Z57" s="30">
        <v>8</v>
      </c>
      <c r="AA57" s="30">
        <v>8</v>
      </c>
      <c r="AB57" s="59"/>
      <c r="AC57" s="59"/>
      <c r="AD57" s="35" t="s">
        <v>1104</v>
      </c>
      <c r="AE57" s="202" t="s">
        <v>19</v>
      </c>
      <c r="AF57" s="35" t="s">
        <v>1880</v>
      </c>
      <c r="AG57" s="1045"/>
    </row>
    <row r="58" spans="1:33" s="11" customFormat="1" ht="26.25" customHeight="1" x14ac:dyDescent="0.15">
      <c r="A58" s="8">
        <f t="shared" si="0"/>
        <v>56</v>
      </c>
      <c r="B58" s="36" t="s">
        <v>7830</v>
      </c>
      <c r="C58" s="26" t="s">
        <v>19</v>
      </c>
      <c r="D58" s="26" t="s">
        <v>19</v>
      </c>
      <c r="E58" s="26" t="s">
        <v>19</v>
      </c>
      <c r="F58" s="29" t="s">
        <v>5736</v>
      </c>
      <c r="G58" s="53" t="s">
        <v>7831</v>
      </c>
      <c r="H58" s="1045" t="s">
        <v>5456</v>
      </c>
      <c r="I58" s="1045" t="s">
        <v>5419</v>
      </c>
      <c r="J58" s="1044" t="s">
        <v>6554</v>
      </c>
      <c r="K58" s="22" t="s">
        <v>4780</v>
      </c>
      <c r="L58" s="1046" t="s">
        <v>1826</v>
      </c>
      <c r="M58" s="1046" t="s">
        <v>111</v>
      </c>
      <c r="N58" s="1045" t="s">
        <v>1131</v>
      </c>
      <c r="O58" s="151" t="s">
        <v>7451</v>
      </c>
      <c r="P58" s="71" t="s">
        <v>19</v>
      </c>
      <c r="Q58" s="1045" t="s">
        <v>5489</v>
      </c>
      <c r="R58" s="1045" t="s">
        <v>5489</v>
      </c>
      <c r="S58" s="24" t="s">
        <v>7816</v>
      </c>
      <c r="T58" s="90" t="s">
        <v>7832</v>
      </c>
      <c r="U58" s="24" t="s">
        <v>110</v>
      </c>
      <c r="V58" s="24">
        <v>1</v>
      </c>
      <c r="W58" s="24" t="s">
        <v>448</v>
      </c>
      <c r="X58" s="24" t="s">
        <v>448</v>
      </c>
      <c r="Y58" s="30">
        <v>4.5599999999999996</v>
      </c>
      <c r="Z58" s="30"/>
      <c r="AA58" s="30">
        <v>4.5599999999999996</v>
      </c>
      <c r="AB58" s="59"/>
      <c r="AC58" s="59"/>
      <c r="AD58" s="35" t="s">
        <v>1104</v>
      </c>
      <c r="AE58" s="202" t="s">
        <v>1880</v>
      </c>
      <c r="AF58" s="35" t="s">
        <v>1880</v>
      </c>
      <c r="AG58" s="1045"/>
    </row>
    <row r="59" spans="1:33" s="11" customFormat="1" ht="26.25" customHeight="1" x14ac:dyDescent="0.15">
      <c r="A59" s="8">
        <f t="shared" si="0"/>
        <v>57</v>
      </c>
      <c r="B59" s="36" t="s">
        <v>7833</v>
      </c>
      <c r="C59" s="26" t="s">
        <v>19</v>
      </c>
      <c r="D59" s="26" t="s">
        <v>19</v>
      </c>
      <c r="E59" s="26" t="s">
        <v>19</v>
      </c>
      <c r="F59" s="29" t="s">
        <v>7582</v>
      </c>
      <c r="G59" s="99"/>
      <c r="H59" s="724"/>
      <c r="I59" s="724"/>
      <c r="J59" s="724"/>
      <c r="K59" s="725"/>
      <c r="L59" s="206"/>
      <c r="M59" s="206"/>
      <c r="N59" s="976"/>
      <c r="O59" s="215"/>
      <c r="P59" s="206"/>
      <c r="Q59" s="726"/>
      <c r="R59" s="726"/>
      <c r="S59" s="24" t="s">
        <v>7834</v>
      </c>
      <c r="T59" s="499"/>
      <c r="U59" s="206"/>
      <c r="V59" s="206"/>
      <c r="W59" s="24" t="s">
        <v>448</v>
      </c>
      <c r="X59" s="24" t="s">
        <v>448</v>
      </c>
      <c r="Y59" s="30">
        <v>6.8897000000000004</v>
      </c>
      <c r="Z59" s="328"/>
      <c r="AA59" s="30">
        <v>6.8897000000000004</v>
      </c>
      <c r="AB59" s="59" t="s">
        <v>6457</v>
      </c>
      <c r="AC59" s="59" t="s">
        <v>6457</v>
      </c>
      <c r="AD59" s="1048" t="s">
        <v>1104</v>
      </c>
      <c r="AE59" s="202" t="s">
        <v>1880</v>
      </c>
      <c r="AF59" s="133" t="s">
        <v>1880</v>
      </c>
      <c r="AG59" s="1047" t="s">
        <v>7835</v>
      </c>
    </row>
    <row r="60" spans="1:33" s="11" customFormat="1" ht="26.25" customHeight="1" x14ac:dyDescent="0.15">
      <c r="A60" s="8">
        <f t="shared" si="0"/>
        <v>58</v>
      </c>
      <c r="B60" s="36" t="s">
        <v>7836</v>
      </c>
      <c r="C60" s="26" t="s">
        <v>7841</v>
      </c>
      <c r="D60" s="26" t="s">
        <v>19</v>
      </c>
      <c r="E60" s="26" t="s">
        <v>19</v>
      </c>
      <c r="F60" s="29" t="s">
        <v>6053</v>
      </c>
      <c r="G60" s="53" t="s">
        <v>7839</v>
      </c>
      <c r="H60" s="1050" t="s">
        <v>3649</v>
      </c>
      <c r="I60" s="1050" t="s">
        <v>4196</v>
      </c>
      <c r="J60" s="1049" t="s">
        <v>7842</v>
      </c>
      <c r="K60" s="22" t="s">
        <v>4780</v>
      </c>
      <c r="L60" s="1051" t="s">
        <v>2142</v>
      </c>
      <c r="M60" s="1051" t="s">
        <v>1880</v>
      </c>
      <c r="N60" s="1050" t="s">
        <v>4676</v>
      </c>
      <c r="O60" s="151" t="s">
        <v>3671</v>
      </c>
      <c r="P60" s="71" t="s">
        <v>19</v>
      </c>
      <c r="Q60" s="1050" t="s">
        <v>2072</v>
      </c>
      <c r="R60" s="1050" t="s">
        <v>2072</v>
      </c>
      <c r="S60" s="24" t="s">
        <v>7843</v>
      </c>
      <c r="T60" s="90" t="s">
        <v>7844</v>
      </c>
      <c r="U60" s="24" t="s">
        <v>2359</v>
      </c>
      <c r="V60" s="24">
        <v>1</v>
      </c>
      <c r="W60" s="24" t="s">
        <v>448</v>
      </c>
      <c r="X60" s="24" t="s">
        <v>448</v>
      </c>
      <c r="Y60" s="30">
        <v>3.15</v>
      </c>
      <c r="Z60" s="30"/>
      <c r="AA60" s="30">
        <v>3.15</v>
      </c>
      <c r="AB60" s="59"/>
      <c r="AC60" s="59"/>
      <c r="AD60" s="1051" t="s">
        <v>1104</v>
      </c>
      <c r="AE60" s="202" t="s">
        <v>1880</v>
      </c>
      <c r="AF60" s="133" t="s">
        <v>1880</v>
      </c>
      <c r="AG60" s="1050"/>
    </row>
    <row r="61" spans="1:33" s="11" customFormat="1" ht="26.25" customHeight="1" x14ac:dyDescent="0.15">
      <c r="A61" s="8">
        <f t="shared" si="0"/>
        <v>59</v>
      </c>
      <c r="B61" s="36" t="s">
        <v>7837</v>
      </c>
      <c r="C61" s="26" t="s">
        <v>19</v>
      </c>
      <c r="D61" s="26" t="s">
        <v>9266</v>
      </c>
      <c r="E61" s="26" t="s">
        <v>19</v>
      </c>
      <c r="F61" s="29" t="s">
        <v>6128</v>
      </c>
      <c r="G61" s="53" t="s">
        <v>6129</v>
      </c>
      <c r="H61" s="1052" t="s">
        <v>4712</v>
      </c>
      <c r="I61" s="1052" t="s">
        <v>1124</v>
      </c>
      <c r="J61" s="1052" t="s">
        <v>6130</v>
      </c>
      <c r="K61" s="22" t="s">
        <v>4780</v>
      </c>
      <c r="L61" s="22" t="s">
        <v>5478</v>
      </c>
      <c r="M61" s="1054" t="s">
        <v>111</v>
      </c>
      <c r="N61" s="1053" t="s">
        <v>4676</v>
      </c>
      <c r="O61" s="54" t="s">
        <v>7848</v>
      </c>
      <c r="P61" s="22" t="s">
        <v>1880</v>
      </c>
      <c r="Q61" s="1053" t="s">
        <v>5480</v>
      </c>
      <c r="R61" s="1053" t="s">
        <v>5480</v>
      </c>
      <c r="S61" s="24" t="s">
        <v>5717</v>
      </c>
      <c r="T61" s="90" t="s">
        <v>7845</v>
      </c>
      <c r="U61" s="24" t="s">
        <v>110</v>
      </c>
      <c r="V61" s="24">
        <v>1</v>
      </c>
      <c r="W61" s="24" t="s">
        <v>7847</v>
      </c>
      <c r="X61" s="24" t="s">
        <v>7846</v>
      </c>
      <c r="Y61" s="30">
        <v>2.5</v>
      </c>
      <c r="Z61" s="30">
        <v>11.25</v>
      </c>
      <c r="AA61" s="30">
        <v>13.75</v>
      </c>
      <c r="AB61" s="59"/>
      <c r="AC61" s="59"/>
      <c r="AD61" s="35" t="s">
        <v>1104</v>
      </c>
      <c r="AE61" s="202" t="s">
        <v>19</v>
      </c>
      <c r="AF61" s="35" t="s">
        <v>1880</v>
      </c>
      <c r="AG61" s="1053"/>
    </row>
    <row r="62" spans="1:33" s="11" customFormat="1" ht="26.25" customHeight="1" x14ac:dyDescent="0.15">
      <c r="A62" s="8">
        <f t="shared" si="0"/>
        <v>60</v>
      </c>
      <c r="B62" s="36" t="s">
        <v>7838</v>
      </c>
      <c r="C62" s="26" t="s">
        <v>19</v>
      </c>
      <c r="D62" s="26" t="s">
        <v>19</v>
      </c>
      <c r="E62" s="26" t="s">
        <v>19</v>
      </c>
      <c r="F62" s="29" t="s">
        <v>7849</v>
      </c>
      <c r="G62" s="53" t="s">
        <v>7850</v>
      </c>
      <c r="H62" s="1052" t="s">
        <v>3649</v>
      </c>
      <c r="I62" s="1052" t="s">
        <v>7742</v>
      </c>
      <c r="J62" s="1052" t="s">
        <v>7743</v>
      </c>
      <c r="K62" s="22" t="s">
        <v>7744</v>
      </c>
      <c r="L62" s="1051" t="s">
        <v>7851</v>
      </c>
      <c r="M62" s="1054" t="s">
        <v>111</v>
      </c>
      <c r="N62" s="1050" t="s">
        <v>7852</v>
      </c>
      <c r="O62" s="54" t="s">
        <v>7853</v>
      </c>
      <c r="P62" s="22" t="s">
        <v>1880</v>
      </c>
      <c r="Q62" s="1050" t="s">
        <v>7854</v>
      </c>
      <c r="R62" s="1050" t="s">
        <v>7854</v>
      </c>
      <c r="S62" s="24" t="s">
        <v>7855</v>
      </c>
      <c r="T62" s="90" t="s">
        <v>7856</v>
      </c>
      <c r="U62" s="24" t="s">
        <v>7857</v>
      </c>
      <c r="V62" s="24">
        <v>3</v>
      </c>
      <c r="W62" s="24" t="s">
        <v>7858</v>
      </c>
      <c r="X62" s="24" t="s">
        <v>7859</v>
      </c>
      <c r="Y62" s="30"/>
      <c r="Z62" s="30">
        <v>24</v>
      </c>
      <c r="AA62" s="30">
        <v>24</v>
      </c>
      <c r="AB62" s="59"/>
      <c r="AC62" s="59"/>
      <c r="AD62" s="35" t="s">
        <v>1104</v>
      </c>
      <c r="AE62" s="202" t="s">
        <v>19</v>
      </c>
      <c r="AF62" s="35" t="s">
        <v>1880</v>
      </c>
      <c r="AG62" s="1050"/>
    </row>
    <row r="63" spans="1:33" s="11" customFormat="1" ht="26.25" customHeight="1" x14ac:dyDescent="0.15">
      <c r="A63" s="8">
        <f t="shared" si="0"/>
        <v>61</v>
      </c>
      <c r="B63" s="36" t="s">
        <v>7860</v>
      </c>
      <c r="C63" s="26" t="s">
        <v>19</v>
      </c>
      <c r="D63" s="26" t="s">
        <v>19</v>
      </c>
      <c r="E63" s="26" t="s">
        <v>19</v>
      </c>
      <c r="F63" s="29" t="s">
        <v>7862</v>
      </c>
      <c r="G63" s="53" t="s">
        <v>7863</v>
      </c>
      <c r="H63" s="1055" t="s">
        <v>4208</v>
      </c>
      <c r="I63" s="1055" t="s">
        <v>5383</v>
      </c>
      <c r="J63" s="1055" t="s">
        <v>7864</v>
      </c>
      <c r="K63" s="22" t="s">
        <v>1630</v>
      </c>
      <c r="L63" s="22" t="s">
        <v>5478</v>
      </c>
      <c r="M63" s="1057" t="s">
        <v>111</v>
      </c>
      <c r="N63" s="1056" t="s">
        <v>2429</v>
      </c>
      <c r="O63" s="54" t="s">
        <v>7865</v>
      </c>
      <c r="P63" s="22" t="s">
        <v>1880</v>
      </c>
      <c r="Q63" s="1056" t="s">
        <v>2072</v>
      </c>
      <c r="R63" s="1056" t="s">
        <v>2072</v>
      </c>
      <c r="S63" s="24" t="s">
        <v>7866</v>
      </c>
      <c r="T63" s="90" t="s">
        <v>7867</v>
      </c>
      <c r="U63" s="24" t="s">
        <v>110</v>
      </c>
      <c r="V63" s="24">
        <v>1</v>
      </c>
      <c r="W63" s="24" t="s">
        <v>448</v>
      </c>
      <c r="X63" s="24" t="s">
        <v>448</v>
      </c>
      <c r="Y63" s="30">
        <v>3</v>
      </c>
      <c r="Z63" s="30"/>
      <c r="AA63" s="30">
        <v>3</v>
      </c>
      <c r="AB63" s="59"/>
      <c r="AC63" s="59"/>
      <c r="AD63" s="35" t="s">
        <v>1104</v>
      </c>
      <c r="AE63" s="202" t="s">
        <v>19</v>
      </c>
      <c r="AF63" s="35" t="s">
        <v>1880</v>
      </c>
      <c r="AG63" s="1056"/>
    </row>
    <row r="64" spans="1:33" s="11" customFormat="1" ht="26.25" customHeight="1" x14ac:dyDescent="0.15">
      <c r="A64" s="8">
        <f t="shared" si="0"/>
        <v>62</v>
      </c>
      <c r="B64" s="36" t="s">
        <v>7861</v>
      </c>
      <c r="C64" s="26" t="s">
        <v>19</v>
      </c>
      <c r="D64" s="26" t="s">
        <v>19</v>
      </c>
      <c r="E64" s="26" t="s">
        <v>19</v>
      </c>
      <c r="F64" s="29" t="s">
        <v>7862</v>
      </c>
      <c r="G64" s="53" t="s">
        <v>7863</v>
      </c>
      <c r="H64" s="1055" t="s">
        <v>4208</v>
      </c>
      <c r="I64" s="1055" t="s">
        <v>5383</v>
      </c>
      <c r="J64" s="1055" t="s">
        <v>7864</v>
      </c>
      <c r="K64" s="22" t="s">
        <v>1630</v>
      </c>
      <c r="L64" s="22" t="s">
        <v>5478</v>
      </c>
      <c r="M64" s="1057" t="s">
        <v>111</v>
      </c>
      <c r="N64" s="1056" t="s">
        <v>4676</v>
      </c>
      <c r="O64" s="54" t="s">
        <v>7865</v>
      </c>
      <c r="P64" s="22" t="s">
        <v>1880</v>
      </c>
      <c r="Q64" s="1056" t="s">
        <v>2072</v>
      </c>
      <c r="R64" s="1056" t="s">
        <v>2072</v>
      </c>
      <c r="S64" s="24" t="s">
        <v>7866</v>
      </c>
      <c r="T64" s="90" t="s">
        <v>7867</v>
      </c>
      <c r="U64" s="24" t="s">
        <v>110</v>
      </c>
      <c r="V64" s="24">
        <v>1</v>
      </c>
      <c r="W64" s="24" t="s">
        <v>448</v>
      </c>
      <c r="X64" s="24" t="s">
        <v>448</v>
      </c>
      <c r="Y64" s="30">
        <v>2</v>
      </c>
      <c r="Z64" s="30"/>
      <c r="AA64" s="30">
        <v>2</v>
      </c>
      <c r="AB64" s="59"/>
      <c r="AC64" s="59"/>
      <c r="AD64" s="35" t="s">
        <v>1104</v>
      </c>
      <c r="AE64" s="202" t="s">
        <v>19</v>
      </c>
      <c r="AF64" s="35" t="s">
        <v>1880</v>
      </c>
      <c r="AG64" s="1056"/>
    </row>
    <row r="65" spans="1:33" s="11" customFormat="1" ht="26.25" customHeight="1" x14ac:dyDescent="0.15">
      <c r="A65" s="8">
        <f t="shared" si="0"/>
        <v>63</v>
      </c>
      <c r="B65" s="36" t="s">
        <v>7868</v>
      </c>
      <c r="C65" s="26" t="s">
        <v>19</v>
      </c>
      <c r="D65" s="26" t="s">
        <v>19</v>
      </c>
      <c r="E65" s="26" t="s">
        <v>19</v>
      </c>
      <c r="F65" s="151" t="s">
        <v>3611</v>
      </c>
      <c r="G65" s="54" t="s">
        <v>7869</v>
      </c>
      <c r="H65" s="1060" t="s">
        <v>2135</v>
      </c>
      <c r="I65" s="1060" t="s">
        <v>2533</v>
      </c>
      <c r="J65" s="1059" t="s">
        <v>1010</v>
      </c>
      <c r="K65" s="2" t="s">
        <v>1011</v>
      </c>
      <c r="L65" s="1060" t="s">
        <v>1826</v>
      </c>
      <c r="M65" s="1060" t="s">
        <v>111</v>
      </c>
      <c r="N65" s="22" t="s">
        <v>454</v>
      </c>
      <c r="O65" s="151" t="s">
        <v>7451</v>
      </c>
      <c r="P65" s="1060" t="s">
        <v>111</v>
      </c>
      <c r="Q65" s="1059" t="s">
        <v>5487</v>
      </c>
      <c r="R65" s="1059" t="s">
        <v>5487</v>
      </c>
      <c r="S65" s="24" t="s">
        <v>7870</v>
      </c>
      <c r="T65" s="130" t="s">
        <v>7871</v>
      </c>
      <c r="U65" s="1060" t="s">
        <v>2359</v>
      </c>
      <c r="V65" s="1060">
        <v>1</v>
      </c>
      <c r="W65" s="24" t="s">
        <v>448</v>
      </c>
      <c r="X65" s="24" t="s">
        <v>448</v>
      </c>
      <c r="Y65" s="150">
        <v>2.5</v>
      </c>
      <c r="Z65" s="150"/>
      <c r="AA65" s="150">
        <v>2.5</v>
      </c>
      <c r="AB65" s="701"/>
      <c r="AC65" s="701"/>
      <c r="AD65" s="1060" t="s">
        <v>1104</v>
      </c>
      <c r="AE65" s="202" t="s">
        <v>1880</v>
      </c>
      <c r="AF65" s="133" t="s">
        <v>1880</v>
      </c>
      <c r="AG65" s="1059"/>
    </row>
    <row r="66" spans="1:33" s="11" customFormat="1" ht="26.25" customHeight="1" x14ac:dyDescent="0.15">
      <c r="A66" s="8">
        <f t="shared" si="0"/>
        <v>64</v>
      </c>
      <c r="B66" s="36" t="s">
        <v>7873</v>
      </c>
      <c r="C66" s="26" t="s">
        <v>19</v>
      </c>
      <c r="D66" s="26" t="s">
        <v>19</v>
      </c>
      <c r="E66" s="26" t="s">
        <v>19</v>
      </c>
      <c r="F66" s="151" t="s">
        <v>3612</v>
      </c>
      <c r="G66" s="54" t="s">
        <v>7872</v>
      </c>
      <c r="H66" s="1060" t="s">
        <v>2135</v>
      </c>
      <c r="I66" s="1060" t="s">
        <v>2533</v>
      </c>
      <c r="J66" s="21" t="s">
        <v>3667</v>
      </c>
      <c r="K66" s="1059" t="s">
        <v>3668</v>
      </c>
      <c r="L66" s="1060" t="s">
        <v>1826</v>
      </c>
      <c r="M66" s="1060" t="s">
        <v>111</v>
      </c>
      <c r="N66" s="22" t="s">
        <v>454</v>
      </c>
      <c r="O66" s="151" t="s">
        <v>7451</v>
      </c>
      <c r="P66" s="1060" t="s">
        <v>111</v>
      </c>
      <c r="Q66" s="1059" t="s">
        <v>5487</v>
      </c>
      <c r="R66" s="1059" t="s">
        <v>5487</v>
      </c>
      <c r="S66" s="24" t="s">
        <v>7870</v>
      </c>
      <c r="T66" s="130" t="s">
        <v>7871</v>
      </c>
      <c r="U66" s="1060" t="s">
        <v>2359</v>
      </c>
      <c r="V66" s="1060">
        <v>1</v>
      </c>
      <c r="W66" s="24" t="s">
        <v>448</v>
      </c>
      <c r="X66" s="24" t="s">
        <v>448</v>
      </c>
      <c r="Y66" s="150">
        <v>2.5</v>
      </c>
      <c r="Z66" s="150"/>
      <c r="AA66" s="150">
        <v>2.5</v>
      </c>
      <c r="AB66" s="701"/>
      <c r="AC66" s="701"/>
      <c r="AD66" s="1060" t="s">
        <v>1104</v>
      </c>
      <c r="AE66" s="202" t="s">
        <v>1880</v>
      </c>
      <c r="AF66" s="133" t="s">
        <v>1880</v>
      </c>
      <c r="AG66" s="1059"/>
    </row>
    <row r="67" spans="1:33" s="11" customFormat="1" ht="26.25" customHeight="1" x14ac:dyDescent="0.15">
      <c r="A67" s="8">
        <f t="shared" si="0"/>
        <v>65</v>
      </c>
      <c r="B67" s="36" t="s">
        <v>7874</v>
      </c>
      <c r="C67" s="26" t="s">
        <v>19</v>
      </c>
      <c r="D67" s="26" t="s">
        <v>19</v>
      </c>
      <c r="E67" s="26" t="s">
        <v>19</v>
      </c>
      <c r="F67" s="54" t="s">
        <v>3613</v>
      </c>
      <c r="G67" s="54" t="s">
        <v>7875</v>
      </c>
      <c r="H67" s="1060" t="s">
        <v>2135</v>
      </c>
      <c r="I67" s="1060" t="s">
        <v>2533</v>
      </c>
      <c r="J67" s="21" t="s">
        <v>3636</v>
      </c>
      <c r="K67" s="1060" t="s">
        <v>3637</v>
      </c>
      <c r="L67" s="1060" t="s">
        <v>2142</v>
      </c>
      <c r="M67" s="1060" t="s">
        <v>111</v>
      </c>
      <c r="N67" s="22" t="s">
        <v>575</v>
      </c>
      <c r="O67" s="151" t="s">
        <v>7451</v>
      </c>
      <c r="P67" s="1060" t="s">
        <v>111</v>
      </c>
      <c r="Q67" s="1059" t="s">
        <v>5487</v>
      </c>
      <c r="R67" s="1059" t="s">
        <v>5487</v>
      </c>
      <c r="S67" s="24" t="s">
        <v>7870</v>
      </c>
      <c r="T67" s="130" t="s">
        <v>7871</v>
      </c>
      <c r="U67" s="1060" t="s">
        <v>2359</v>
      </c>
      <c r="V67" s="1060">
        <v>1</v>
      </c>
      <c r="W67" s="24" t="s">
        <v>448</v>
      </c>
      <c r="X67" s="24" t="s">
        <v>448</v>
      </c>
      <c r="Y67" s="150">
        <v>2.5</v>
      </c>
      <c r="Z67" s="150"/>
      <c r="AA67" s="150">
        <v>2.5</v>
      </c>
      <c r="AB67" s="701"/>
      <c r="AC67" s="701"/>
      <c r="AD67" s="1060" t="s">
        <v>1104</v>
      </c>
      <c r="AE67" s="202" t="s">
        <v>1880</v>
      </c>
      <c r="AF67" s="133" t="s">
        <v>1880</v>
      </c>
      <c r="AG67" s="1059"/>
    </row>
    <row r="68" spans="1:33" s="11" customFormat="1" ht="26.25" customHeight="1" x14ac:dyDescent="0.15">
      <c r="A68" s="8">
        <f t="shared" si="0"/>
        <v>66</v>
      </c>
      <c r="B68" s="36" t="s">
        <v>7876</v>
      </c>
      <c r="C68" s="26" t="s">
        <v>19</v>
      </c>
      <c r="D68" s="26" t="s">
        <v>19</v>
      </c>
      <c r="E68" s="26" t="s">
        <v>19</v>
      </c>
      <c r="F68" s="151" t="s">
        <v>3614</v>
      </c>
      <c r="G68" s="54" t="s">
        <v>7877</v>
      </c>
      <c r="H68" s="1060" t="s">
        <v>2135</v>
      </c>
      <c r="I68" s="1060" t="s">
        <v>2533</v>
      </c>
      <c r="J68" s="21" t="s">
        <v>3634</v>
      </c>
      <c r="K68" s="1060" t="s">
        <v>3635</v>
      </c>
      <c r="L68" s="1060" t="s">
        <v>1826</v>
      </c>
      <c r="M68" s="1060" t="s">
        <v>111</v>
      </c>
      <c r="N68" s="22" t="s">
        <v>454</v>
      </c>
      <c r="O68" s="151" t="s">
        <v>7451</v>
      </c>
      <c r="P68" s="1060" t="s">
        <v>111</v>
      </c>
      <c r="Q68" s="1059" t="s">
        <v>5487</v>
      </c>
      <c r="R68" s="1059" t="s">
        <v>5487</v>
      </c>
      <c r="S68" s="24" t="s">
        <v>7870</v>
      </c>
      <c r="T68" s="130" t="s">
        <v>7871</v>
      </c>
      <c r="U68" s="1060" t="s">
        <v>2359</v>
      </c>
      <c r="V68" s="1060">
        <v>1</v>
      </c>
      <c r="W68" s="24" t="s">
        <v>448</v>
      </c>
      <c r="X68" s="24" t="s">
        <v>448</v>
      </c>
      <c r="Y68" s="150">
        <v>2.5</v>
      </c>
      <c r="Z68" s="150"/>
      <c r="AA68" s="150">
        <v>2.5</v>
      </c>
      <c r="AB68" s="701"/>
      <c r="AC68" s="701"/>
      <c r="AD68" s="1060" t="s">
        <v>1104</v>
      </c>
      <c r="AE68" s="202" t="s">
        <v>1880</v>
      </c>
      <c r="AF68" s="133" t="s">
        <v>1880</v>
      </c>
      <c r="AG68" s="1059"/>
    </row>
    <row r="69" spans="1:33" s="11" customFormat="1" ht="26.25" customHeight="1" x14ac:dyDescent="0.15">
      <c r="A69" s="8">
        <f t="shared" si="0"/>
        <v>67</v>
      </c>
      <c r="B69" s="36" t="s">
        <v>7878</v>
      </c>
      <c r="C69" s="26" t="s">
        <v>19</v>
      </c>
      <c r="D69" s="26" t="s">
        <v>19</v>
      </c>
      <c r="E69" s="26" t="s">
        <v>19</v>
      </c>
      <c r="F69" s="151" t="s">
        <v>3615</v>
      </c>
      <c r="G69" s="54" t="s">
        <v>7879</v>
      </c>
      <c r="H69" s="1060" t="s">
        <v>2135</v>
      </c>
      <c r="I69" s="1060" t="s">
        <v>2533</v>
      </c>
      <c r="J69" s="44" t="s">
        <v>3644</v>
      </c>
      <c r="K69" s="71" t="s">
        <v>3633</v>
      </c>
      <c r="L69" s="1060" t="s">
        <v>1826</v>
      </c>
      <c r="M69" s="1060" t="s">
        <v>111</v>
      </c>
      <c r="N69" s="22" t="s">
        <v>454</v>
      </c>
      <c r="O69" s="151" t="s">
        <v>7451</v>
      </c>
      <c r="P69" s="1060" t="s">
        <v>111</v>
      </c>
      <c r="Q69" s="1059" t="s">
        <v>5487</v>
      </c>
      <c r="R69" s="1059" t="s">
        <v>5487</v>
      </c>
      <c r="S69" s="24" t="s">
        <v>7870</v>
      </c>
      <c r="T69" s="130" t="s">
        <v>7871</v>
      </c>
      <c r="U69" s="1060" t="s">
        <v>2359</v>
      </c>
      <c r="V69" s="1060">
        <v>1</v>
      </c>
      <c r="W69" s="24" t="s">
        <v>448</v>
      </c>
      <c r="X69" s="24" t="s">
        <v>448</v>
      </c>
      <c r="Y69" s="150">
        <v>2.5</v>
      </c>
      <c r="Z69" s="150"/>
      <c r="AA69" s="150">
        <v>2.5</v>
      </c>
      <c r="AB69" s="701"/>
      <c r="AC69" s="701"/>
      <c r="AD69" s="1060" t="s">
        <v>1104</v>
      </c>
      <c r="AE69" s="202" t="s">
        <v>1880</v>
      </c>
      <c r="AF69" s="133" t="s">
        <v>1880</v>
      </c>
      <c r="AG69" s="1059"/>
    </row>
    <row r="70" spans="1:33" s="11" customFormat="1" ht="26.25" customHeight="1" x14ac:dyDescent="0.15">
      <c r="A70" s="8">
        <f t="shared" si="0"/>
        <v>68</v>
      </c>
      <c r="B70" s="36" t="s">
        <v>7880</v>
      </c>
      <c r="C70" s="26" t="s">
        <v>19</v>
      </c>
      <c r="D70" s="26" t="s">
        <v>19</v>
      </c>
      <c r="E70" s="26" t="s">
        <v>19</v>
      </c>
      <c r="F70" s="151" t="s">
        <v>3614</v>
      </c>
      <c r="G70" s="54" t="s">
        <v>7882</v>
      </c>
      <c r="H70" s="1060" t="s">
        <v>2135</v>
      </c>
      <c r="I70" s="1060" t="s">
        <v>2533</v>
      </c>
      <c r="J70" s="21" t="s">
        <v>3631</v>
      </c>
      <c r="K70" s="1060" t="s">
        <v>3632</v>
      </c>
      <c r="L70" s="1060" t="s">
        <v>2142</v>
      </c>
      <c r="M70" s="1060" t="s">
        <v>111</v>
      </c>
      <c r="N70" s="22" t="s">
        <v>575</v>
      </c>
      <c r="O70" s="151" t="s">
        <v>7451</v>
      </c>
      <c r="P70" s="1060" t="s">
        <v>111</v>
      </c>
      <c r="Q70" s="1059" t="s">
        <v>5487</v>
      </c>
      <c r="R70" s="1059" t="s">
        <v>5487</v>
      </c>
      <c r="S70" s="24" t="s">
        <v>7870</v>
      </c>
      <c r="T70" s="130" t="s">
        <v>7871</v>
      </c>
      <c r="U70" s="1060" t="s">
        <v>2359</v>
      </c>
      <c r="V70" s="1060">
        <v>1</v>
      </c>
      <c r="W70" s="24" t="s">
        <v>448</v>
      </c>
      <c r="X70" s="24" t="s">
        <v>448</v>
      </c>
      <c r="Y70" s="150">
        <v>2.5</v>
      </c>
      <c r="Z70" s="150"/>
      <c r="AA70" s="150">
        <v>2.5</v>
      </c>
      <c r="AB70" s="701"/>
      <c r="AC70" s="701"/>
      <c r="AD70" s="1060" t="s">
        <v>1104</v>
      </c>
      <c r="AE70" s="202" t="s">
        <v>1880</v>
      </c>
      <c r="AF70" s="133" t="s">
        <v>1880</v>
      </c>
      <c r="AG70" s="1059"/>
    </row>
    <row r="71" spans="1:33" s="11" customFormat="1" ht="26.25" customHeight="1" x14ac:dyDescent="0.15">
      <c r="A71" s="8">
        <f t="shared" si="0"/>
        <v>69</v>
      </c>
      <c r="B71" s="36" t="s">
        <v>7881</v>
      </c>
      <c r="C71" s="26" t="s">
        <v>19</v>
      </c>
      <c r="D71" s="26" t="s">
        <v>19</v>
      </c>
      <c r="E71" s="26" t="s">
        <v>19</v>
      </c>
      <c r="F71" s="151" t="s">
        <v>3614</v>
      </c>
      <c r="G71" s="54" t="s">
        <v>7882</v>
      </c>
      <c r="H71" s="1060" t="s">
        <v>2135</v>
      </c>
      <c r="I71" s="1060" t="s">
        <v>2533</v>
      </c>
      <c r="J71" s="21" t="s">
        <v>3630</v>
      </c>
      <c r="K71" s="2" t="s">
        <v>1018</v>
      </c>
      <c r="L71" s="1060" t="s">
        <v>2142</v>
      </c>
      <c r="M71" s="1060" t="s">
        <v>111</v>
      </c>
      <c r="N71" s="22" t="s">
        <v>575</v>
      </c>
      <c r="O71" s="151" t="s">
        <v>7451</v>
      </c>
      <c r="P71" s="1060" t="s">
        <v>111</v>
      </c>
      <c r="Q71" s="1059" t="s">
        <v>5487</v>
      </c>
      <c r="R71" s="1059" t="s">
        <v>5487</v>
      </c>
      <c r="S71" s="24" t="s">
        <v>7870</v>
      </c>
      <c r="T71" s="130" t="s">
        <v>7871</v>
      </c>
      <c r="U71" s="1060" t="s">
        <v>2359</v>
      </c>
      <c r="V71" s="1060">
        <v>1</v>
      </c>
      <c r="W71" s="24" t="s">
        <v>448</v>
      </c>
      <c r="X71" s="24" t="s">
        <v>448</v>
      </c>
      <c r="Y71" s="150">
        <v>2.5</v>
      </c>
      <c r="Z71" s="150"/>
      <c r="AA71" s="150">
        <v>2.5</v>
      </c>
      <c r="AB71" s="701"/>
      <c r="AC71" s="701"/>
      <c r="AD71" s="1060" t="s">
        <v>1104</v>
      </c>
      <c r="AE71" s="202" t="s">
        <v>1880</v>
      </c>
      <c r="AF71" s="133" t="s">
        <v>1880</v>
      </c>
      <c r="AG71" s="1059"/>
    </row>
    <row r="72" spans="1:33" s="11" customFormat="1" ht="26.25" customHeight="1" x14ac:dyDescent="0.15">
      <c r="A72" s="8">
        <f t="shared" si="0"/>
        <v>70</v>
      </c>
      <c r="B72" s="36" t="s">
        <v>7883</v>
      </c>
      <c r="C72" s="26" t="s">
        <v>19</v>
      </c>
      <c r="D72" s="26" t="s">
        <v>19</v>
      </c>
      <c r="E72" s="26" t="s">
        <v>19</v>
      </c>
      <c r="F72" s="151" t="s">
        <v>3616</v>
      </c>
      <c r="G72" s="54" t="s">
        <v>7884</v>
      </c>
      <c r="H72" s="1060" t="s">
        <v>2135</v>
      </c>
      <c r="I72" s="1060" t="s">
        <v>2533</v>
      </c>
      <c r="J72" s="21" t="s">
        <v>3629</v>
      </c>
      <c r="K72" s="71" t="s">
        <v>3645</v>
      </c>
      <c r="L72" s="1060" t="s">
        <v>2142</v>
      </c>
      <c r="M72" s="1060" t="s">
        <v>111</v>
      </c>
      <c r="N72" s="22" t="s">
        <v>575</v>
      </c>
      <c r="O72" s="151" t="s">
        <v>7451</v>
      </c>
      <c r="P72" s="1060" t="s">
        <v>111</v>
      </c>
      <c r="Q72" s="1059" t="s">
        <v>5487</v>
      </c>
      <c r="R72" s="1059" t="s">
        <v>5487</v>
      </c>
      <c r="S72" s="24" t="s">
        <v>7870</v>
      </c>
      <c r="T72" s="130" t="s">
        <v>7871</v>
      </c>
      <c r="U72" s="1060" t="s">
        <v>2359</v>
      </c>
      <c r="V72" s="1060">
        <v>1</v>
      </c>
      <c r="W72" s="24" t="s">
        <v>448</v>
      </c>
      <c r="X72" s="24" t="s">
        <v>448</v>
      </c>
      <c r="Y72" s="150">
        <v>2.5</v>
      </c>
      <c r="Z72" s="150"/>
      <c r="AA72" s="150">
        <v>2.5</v>
      </c>
      <c r="AB72" s="701"/>
      <c r="AC72" s="701"/>
      <c r="AD72" s="1060" t="s">
        <v>1104</v>
      </c>
      <c r="AE72" s="202" t="s">
        <v>1880</v>
      </c>
      <c r="AF72" s="133" t="s">
        <v>1880</v>
      </c>
      <c r="AG72" s="1059"/>
    </row>
    <row r="73" spans="1:33" s="11" customFormat="1" ht="26.25" customHeight="1" x14ac:dyDescent="0.15">
      <c r="A73" s="8">
        <f t="shared" si="0"/>
        <v>71</v>
      </c>
      <c r="B73" s="36" t="s">
        <v>7885</v>
      </c>
      <c r="C73" s="26" t="s">
        <v>19</v>
      </c>
      <c r="D73" s="26" t="s">
        <v>19</v>
      </c>
      <c r="E73" s="26" t="s">
        <v>19</v>
      </c>
      <c r="F73" s="54" t="s">
        <v>3617</v>
      </c>
      <c r="G73" s="54" t="s">
        <v>7889</v>
      </c>
      <c r="H73" s="1063" t="s">
        <v>2135</v>
      </c>
      <c r="I73" s="1063" t="s">
        <v>2533</v>
      </c>
      <c r="J73" s="21" t="s">
        <v>6631</v>
      </c>
      <c r="K73" s="71" t="s">
        <v>7888</v>
      </c>
      <c r="L73" s="1063" t="s">
        <v>1826</v>
      </c>
      <c r="M73" s="1063" t="s">
        <v>111</v>
      </c>
      <c r="N73" s="22" t="s">
        <v>454</v>
      </c>
      <c r="O73" s="151" t="s">
        <v>7451</v>
      </c>
      <c r="P73" s="1063" t="s">
        <v>111</v>
      </c>
      <c r="Q73" s="1062" t="s">
        <v>5487</v>
      </c>
      <c r="R73" s="1062" t="s">
        <v>5487</v>
      </c>
      <c r="S73" s="24" t="s">
        <v>7870</v>
      </c>
      <c r="T73" s="130" t="s">
        <v>7871</v>
      </c>
      <c r="U73" s="1063" t="s">
        <v>2359</v>
      </c>
      <c r="V73" s="1063">
        <v>1</v>
      </c>
      <c r="W73" s="24" t="s">
        <v>448</v>
      </c>
      <c r="X73" s="24" t="s">
        <v>448</v>
      </c>
      <c r="Y73" s="150">
        <v>2.5</v>
      </c>
      <c r="Z73" s="150"/>
      <c r="AA73" s="150">
        <v>2.5</v>
      </c>
      <c r="AB73" s="701"/>
      <c r="AC73" s="701"/>
      <c r="AD73" s="1063" t="s">
        <v>1104</v>
      </c>
      <c r="AE73" s="202" t="s">
        <v>1880</v>
      </c>
      <c r="AF73" s="133" t="s">
        <v>1880</v>
      </c>
      <c r="AG73" s="1062"/>
    </row>
    <row r="74" spans="1:33" s="11" customFormat="1" ht="26.25" customHeight="1" x14ac:dyDescent="0.15">
      <c r="A74" s="8">
        <f t="shared" si="0"/>
        <v>72</v>
      </c>
      <c r="B74" s="36" t="s">
        <v>7886</v>
      </c>
      <c r="C74" s="26" t="s">
        <v>19</v>
      </c>
      <c r="D74" s="26" t="s">
        <v>19</v>
      </c>
      <c r="E74" s="26" t="s">
        <v>19</v>
      </c>
      <c r="F74" s="54" t="s">
        <v>3617</v>
      </c>
      <c r="G74" s="54" t="s">
        <v>7889</v>
      </c>
      <c r="H74" s="1060" t="s">
        <v>2135</v>
      </c>
      <c r="I74" s="1060" t="s">
        <v>2533</v>
      </c>
      <c r="J74" s="21" t="s">
        <v>5900</v>
      </c>
      <c r="K74" s="1060" t="s">
        <v>4780</v>
      </c>
      <c r="L74" s="1060" t="s">
        <v>1826</v>
      </c>
      <c r="M74" s="1060" t="s">
        <v>111</v>
      </c>
      <c r="N74" s="22" t="s">
        <v>454</v>
      </c>
      <c r="O74" s="151" t="s">
        <v>7451</v>
      </c>
      <c r="P74" s="1060" t="s">
        <v>111</v>
      </c>
      <c r="Q74" s="1059" t="s">
        <v>5487</v>
      </c>
      <c r="R74" s="1059" t="s">
        <v>5487</v>
      </c>
      <c r="S74" s="24" t="s">
        <v>7870</v>
      </c>
      <c r="T74" s="130" t="s">
        <v>7871</v>
      </c>
      <c r="U74" s="1060" t="s">
        <v>2359</v>
      </c>
      <c r="V74" s="1060">
        <v>1</v>
      </c>
      <c r="W74" s="24" t="s">
        <v>448</v>
      </c>
      <c r="X74" s="24" t="s">
        <v>448</v>
      </c>
      <c r="Y74" s="150">
        <v>2.5</v>
      </c>
      <c r="Z74" s="150"/>
      <c r="AA74" s="150">
        <v>2.5</v>
      </c>
      <c r="AB74" s="701"/>
      <c r="AC74" s="701"/>
      <c r="AD74" s="1060" t="s">
        <v>1104</v>
      </c>
      <c r="AE74" s="202" t="s">
        <v>1880</v>
      </c>
      <c r="AF74" s="133" t="s">
        <v>1880</v>
      </c>
      <c r="AG74" s="1059"/>
    </row>
    <row r="75" spans="1:33" s="11" customFormat="1" ht="26.25" customHeight="1" x14ac:dyDescent="0.15">
      <c r="A75" s="8">
        <f t="shared" si="0"/>
        <v>73</v>
      </c>
      <c r="B75" s="36" t="s">
        <v>7887</v>
      </c>
      <c r="C75" s="26" t="s">
        <v>19</v>
      </c>
      <c r="D75" s="26" t="s">
        <v>19</v>
      </c>
      <c r="E75" s="26" t="s">
        <v>19</v>
      </c>
      <c r="F75" s="54" t="s">
        <v>3617</v>
      </c>
      <c r="G75" s="54" t="s">
        <v>7889</v>
      </c>
      <c r="H75" s="1060" t="s">
        <v>2135</v>
      </c>
      <c r="I75" s="1060" t="s">
        <v>2533</v>
      </c>
      <c r="J75" s="1060" t="s">
        <v>4587</v>
      </c>
      <c r="K75" s="1060" t="s">
        <v>4780</v>
      </c>
      <c r="L75" s="1060" t="s">
        <v>1826</v>
      </c>
      <c r="M75" s="1060" t="s">
        <v>111</v>
      </c>
      <c r="N75" s="22" t="s">
        <v>454</v>
      </c>
      <c r="O75" s="151" t="s">
        <v>7451</v>
      </c>
      <c r="P75" s="1060" t="s">
        <v>111</v>
      </c>
      <c r="Q75" s="1059" t="s">
        <v>5487</v>
      </c>
      <c r="R75" s="1059" t="s">
        <v>5487</v>
      </c>
      <c r="S75" s="24" t="s">
        <v>7870</v>
      </c>
      <c r="T75" s="130" t="s">
        <v>7871</v>
      </c>
      <c r="U75" s="1060" t="s">
        <v>2359</v>
      </c>
      <c r="V75" s="1060">
        <v>1</v>
      </c>
      <c r="W75" s="24" t="s">
        <v>448</v>
      </c>
      <c r="X75" s="24" t="s">
        <v>448</v>
      </c>
      <c r="Y75" s="150">
        <v>2.5</v>
      </c>
      <c r="Z75" s="150"/>
      <c r="AA75" s="150">
        <v>2.5</v>
      </c>
      <c r="AB75" s="701"/>
      <c r="AC75" s="701"/>
      <c r="AD75" s="1060" t="s">
        <v>1104</v>
      </c>
      <c r="AE75" s="202" t="s">
        <v>1880</v>
      </c>
      <c r="AF75" s="133" t="s">
        <v>1880</v>
      </c>
      <c r="AG75" s="1059"/>
    </row>
    <row r="76" spans="1:33" s="11" customFormat="1" ht="26.25" customHeight="1" x14ac:dyDescent="0.15">
      <c r="A76" s="8">
        <f t="shared" si="0"/>
        <v>74</v>
      </c>
      <c r="B76" s="36" t="s">
        <v>7890</v>
      </c>
      <c r="C76" s="26" t="s">
        <v>19</v>
      </c>
      <c r="D76" s="26" t="s">
        <v>19</v>
      </c>
      <c r="E76" s="26" t="s">
        <v>19</v>
      </c>
      <c r="F76" s="53" t="s">
        <v>7047</v>
      </c>
      <c r="G76" s="29" t="s">
        <v>7891</v>
      </c>
      <c r="H76" s="1058" t="s">
        <v>3649</v>
      </c>
      <c r="I76" s="1058" t="s">
        <v>4750</v>
      </c>
      <c r="J76" s="1058" t="s">
        <v>7076</v>
      </c>
      <c r="K76" s="22" t="s">
        <v>8054</v>
      </c>
      <c r="L76" s="22" t="s">
        <v>5431</v>
      </c>
      <c r="M76" s="1060" t="s">
        <v>111</v>
      </c>
      <c r="N76" s="22" t="s">
        <v>454</v>
      </c>
      <c r="O76" s="151" t="s">
        <v>7451</v>
      </c>
      <c r="P76" s="1060" t="s">
        <v>111</v>
      </c>
      <c r="Q76" s="1059" t="s">
        <v>5487</v>
      </c>
      <c r="R76" s="1059" t="s">
        <v>5487</v>
      </c>
      <c r="S76" s="24" t="s">
        <v>7870</v>
      </c>
      <c r="T76" s="130" t="s">
        <v>7871</v>
      </c>
      <c r="U76" s="1060" t="s">
        <v>2359</v>
      </c>
      <c r="V76" s="1060">
        <v>1</v>
      </c>
      <c r="W76" s="24" t="s">
        <v>448</v>
      </c>
      <c r="X76" s="24" t="s">
        <v>448</v>
      </c>
      <c r="Y76" s="150">
        <v>2.5</v>
      </c>
      <c r="Z76" s="150"/>
      <c r="AA76" s="150">
        <v>2.5</v>
      </c>
      <c r="AB76" s="59"/>
      <c r="AC76" s="59"/>
      <c r="AD76" s="1060" t="s">
        <v>1104</v>
      </c>
      <c r="AE76" s="202" t="s">
        <v>1880</v>
      </c>
      <c r="AF76" s="133" t="s">
        <v>1880</v>
      </c>
      <c r="AG76" s="1059"/>
    </row>
    <row r="77" spans="1:33" s="11" customFormat="1" ht="26.25" customHeight="1" x14ac:dyDescent="0.15">
      <c r="A77" s="8">
        <f t="shared" si="0"/>
        <v>75</v>
      </c>
      <c r="B77" s="36" t="s">
        <v>7892</v>
      </c>
      <c r="C77" s="26" t="s">
        <v>19</v>
      </c>
      <c r="D77" s="26" t="s">
        <v>19</v>
      </c>
      <c r="E77" s="26" t="s">
        <v>19</v>
      </c>
      <c r="F77" s="53" t="s">
        <v>5554</v>
      </c>
      <c r="G77" s="53" t="s">
        <v>7893</v>
      </c>
      <c r="H77" s="1058" t="s">
        <v>3649</v>
      </c>
      <c r="I77" s="1058" t="s">
        <v>4750</v>
      </c>
      <c r="J77" s="1058" t="s">
        <v>7054</v>
      </c>
      <c r="K77" s="22" t="s">
        <v>4780</v>
      </c>
      <c r="L77" s="22" t="s">
        <v>5431</v>
      </c>
      <c r="M77" s="1060" t="s">
        <v>111</v>
      </c>
      <c r="N77" s="22" t="s">
        <v>454</v>
      </c>
      <c r="O77" s="151" t="s">
        <v>7451</v>
      </c>
      <c r="P77" s="1060" t="s">
        <v>111</v>
      </c>
      <c r="Q77" s="1059" t="s">
        <v>5487</v>
      </c>
      <c r="R77" s="1059" t="s">
        <v>5487</v>
      </c>
      <c r="S77" s="24" t="s">
        <v>7870</v>
      </c>
      <c r="T77" s="130" t="s">
        <v>7871</v>
      </c>
      <c r="U77" s="1060" t="s">
        <v>2359</v>
      </c>
      <c r="V77" s="1060">
        <v>1</v>
      </c>
      <c r="W77" s="24" t="s">
        <v>448</v>
      </c>
      <c r="X77" s="24" t="s">
        <v>448</v>
      </c>
      <c r="Y77" s="150">
        <v>2.5</v>
      </c>
      <c r="Z77" s="150"/>
      <c r="AA77" s="150">
        <v>2.5</v>
      </c>
      <c r="AB77" s="59"/>
      <c r="AC77" s="59"/>
      <c r="AD77" s="1060" t="s">
        <v>1104</v>
      </c>
      <c r="AE77" s="202" t="s">
        <v>1880</v>
      </c>
      <c r="AF77" s="133" t="s">
        <v>1880</v>
      </c>
      <c r="AG77" s="1059"/>
    </row>
    <row r="78" spans="1:33" s="11" customFormat="1" ht="26.25" customHeight="1" x14ac:dyDescent="0.15">
      <c r="A78" s="8">
        <f t="shared" si="0"/>
        <v>76</v>
      </c>
      <c r="B78" s="36" t="s">
        <v>7894</v>
      </c>
      <c r="C78" s="26" t="s">
        <v>19</v>
      </c>
      <c r="D78" s="26" t="s">
        <v>19</v>
      </c>
      <c r="E78" s="26" t="s">
        <v>19</v>
      </c>
      <c r="F78" s="29" t="s">
        <v>5554</v>
      </c>
      <c r="G78" s="53" t="s">
        <v>7896</v>
      </c>
      <c r="H78" s="1058" t="s">
        <v>3649</v>
      </c>
      <c r="I78" s="1058" t="s">
        <v>4750</v>
      </c>
      <c r="J78" s="1058" t="s">
        <v>4916</v>
      </c>
      <c r="K78" s="22" t="s">
        <v>7060</v>
      </c>
      <c r="L78" s="22" t="s">
        <v>5478</v>
      </c>
      <c r="M78" s="1060" t="s">
        <v>111</v>
      </c>
      <c r="N78" s="22" t="s">
        <v>575</v>
      </c>
      <c r="O78" s="151" t="s">
        <v>7451</v>
      </c>
      <c r="P78" s="1060" t="s">
        <v>111</v>
      </c>
      <c r="Q78" s="1059" t="s">
        <v>5487</v>
      </c>
      <c r="R78" s="1059" t="s">
        <v>5487</v>
      </c>
      <c r="S78" s="24" t="s">
        <v>7870</v>
      </c>
      <c r="T78" s="130" t="s">
        <v>7871</v>
      </c>
      <c r="U78" s="1060" t="s">
        <v>2359</v>
      </c>
      <c r="V78" s="1060">
        <v>1</v>
      </c>
      <c r="W78" s="24" t="s">
        <v>448</v>
      </c>
      <c r="X78" s="24" t="s">
        <v>448</v>
      </c>
      <c r="Y78" s="150">
        <v>2.5</v>
      </c>
      <c r="Z78" s="150"/>
      <c r="AA78" s="150">
        <v>2.5</v>
      </c>
      <c r="AB78" s="59"/>
      <c r="AC78" s="59"/>
      <c r="AD78" s="1060" t="s">
        <v>1104</v>
      </c>
      <c r="AE78" s="202" t="s">
        <v>1880</v>
      </c>
      <c r="AF78" s="133" t="s">
        <v>1880</v>
      </c>
      <c r="AG78" s="1059"/>
    </row>
    <row r="79" spans="1:33" s="11" customFormat="1" ht="26.25" customHeight="1" x14ac:dyDescent="0.15">
      <c r="A79" s="8">
        <f t="shared" si="0"/>
        <v>77</v>
      </c>
      <c r="B79" s="36" t="s">
        <v>7895</v>
      </c>
      <c r="C79" s="26" t="s">
        <v>19</v>
      </c>
      <c r="D79" s="26" t="s">
        <v>19</v>
      </c>
      <c r="E79" s="26" t="s">
        <v>19</v>
      </c>
      <c r="F79" s="29" t="s">
        <v>5554</v>
      </c>
      <c r="G79" s="53" t="s">
        <v>7896</v>
      </c>
      <c r="H79" s="1058" t="s">
        <v>3649</v>
      </c>
      <c r="I79" s="1058" t="s">
        <v>4750</v>
      </c>
      <c r="J79" s="1058" t="s">
        <v>5556</v>
      </c>
      <c r="K79" s="22" t="s">
        <v>4780</v>
      </c>
      <c r="L79" s="22" t="s">
        <v>5478</v>
      </c>
      <c r="M79" s="1060" t="s">
        <v>111</v>
      </c>
      <c r="N79" s="22" t="s">
        <v>575</v>
      </c>
      <c r="O79" s="151" t="s">
        <v>7451</v>
      </c>
      <c r="P79" s="1060" t="s">
        <v>111</v>
      </c>
      <c r="Q79" s="1059" t="s">
        <v>5487</v>
      </c>
      <c r="R79" s="1059" t="s">
        <v>5487</v>
      </c>
      <c r="S79" s="24" t="s">
        <v>7870</v>
      </c>
      <c r="T79" s="130" t="s">
        <v>7871</v>
      </c>
      <c r="U79" s="1060" t="s">
        <v>2359</v>
      </c>
      <c r="V79" s="1060">
        <v>1</v>
      </c>
      <c r="W79" s="24" t="s">
        <v>448</v>
      </c>
      <c r="X79" s="24" t="s">
        <v>448</v>
      </c>
      <c r="Y79" s="150">
        <v>2.5</v>
      </c>
      <c r="Z79" s="150"/>
      <c r="AA79" s="150">
        <v>2.5</v>
      </c>
      <c r="AB79" s="59"/>
      <c r="AC79" s="59"/>
      <c r="AD79" s="1060" t="s">
        <v>1104</v>
      </c>
      <c r="AE79" s="202" t="s">
        <v>1880</v>
      </c>
      <c r="AF79" s="133" t="s">
        <v>1880</v>
      </c>
      <c r="AG79" s="1059"/>
    </row>
    <row r="80" spans="1:33" s="11" customFormat="1" ht="26.25" customHeight="1" x14ac:dyDescent="0.15">
      <c r="A80" s="8">
        <f t="shared" si="0"/>
        <v>78</v>
      </c>
      <c r="B80" s="36" t="s">
        <v>7897</v>
      </c>
      <c r="C80" s="26" t="s">
        <v>19</v>
      </c>
      <c r="D80" s="26" t="s">
        <v>19</v>
      </c>
      <c r="E80" s="26" t="s">
        <v>19</v>
      </c>
      <c r="F80" s="29" t="s">
        <v>5746</v>
      </c>
      <c r="G80" s="53" t="s">
        <v>5747</v>
      </c>
      <c r="H80" s="1061" t="s">
        <v>4208</v>
      </c>
      <c r="I80" s="1061" t="s">
        <v>6751</v>
      </c>
      <c r="J80" s="1061" t="s">
        <v>6752</v>
      </c>
      <c r="K80" s="22" t="s">
        <v>6753</v>
      </c>
      <c r="L80" s="22" t="s">
        <v>5478</v>
      </c>
      <c r="M80" s="22" t="s">
        <v>1880</v>
      </c>
      <c r="N80" s="1062" t="s">
        <v>2422</v>
      </c>
      <c r="O80" s="54" t="s">
        <v>116</v>
      </c>
      <c r="P80" s="22" t="s">
        <v>1880</v>
      </c>
      <c r="Q80" s="1062" t="s">
        <v>5487</v>
      </c>
      <c r="R80" s="1062" t="s">
        <v>5487</v>
      </c>
      <c r="S80" s="24" t="s">
        <v>7870</v>
      </c>
      <c r="T80" s="90" t="s">
        <v>7595</v>
      </c>
      <c r="U80" s="24" t="s">
        <v>110</v>
      </c>
      <c r="V80" s="24">
        <v>2</v>
      </c>
      <c r="W80" s="24" t="s">
        <v>7074</v>
      </c>
      <c r="X80" s="24" t="s">
        <v>6545</v>
      </c>
      <c r="Y80" s="30"/>
      <c r="Z80" s="30">
        <v>7.5</v>
      </c>
      <c r="AA80" s="30">
        <v>7.5</v>
      </c>
      <c r="AB80" s="59"/>
      <c r="AC80" s="59"/>
      <c r="AD80" s="35" t="s">
        <v>1104</v>
      </c>
      <c r="AE80" s="202" t="s">
        <v>19</v>
      </c>
      <c r="AF80" s="35" t="s">
        <v>1880</v>
      </c>
      <c r="AG80" s="1062"/>
    </row>
    <row r="81" spans="1:33" s="11" customFormat="1" ht="26.25" customHeight="1" x14ac:dyDescent="0.15">
      <c r="A81" s="8">
        <f t="shared" si="0"/>
        <v>79</v>
      </c>
      <c r="B81" s="36" t="s">
        <v>7898</v>
      </c>
      <c r="C81" s="26" t="s">
        <v>19</v>
      </c>
      <c r="D81" s="26" t="s">
        <v>19</v>
      </c>
      <c r="E81" s="26" t="s">
        <v>19</v>
      </c>
      <c r="F81" s="29" t="s">
        <v>7901</v>
      </c>
      <c r="G81" s="53" t="s">
        <v>7900</v>
      </c>
      <c r="H81" s="1064" t="s">
        <v>4195</v>
      </c>
      <c r="I81" s="1064" t="s">
        <v>2007</v>
      </c>
      <c r="J81" s="1064" t="s">
        <v>5633</v>
      </c>
      <c r="K81" s="22" t="s">
        <v>4780</v>
      </c>
      <c r="L81" s="22" t="s">
        <v>5431</v>
      </c>
      <c r="M81" s="1066" t="s">
        <v>111</v>
      </c>
      <c r="N81" s="1065" t="s">
        <v>1131</v>
      </c>
      <c r="O81" s="54" t="s">
        <v>5567</v>
      </c>
      <c r="P81" s="22" t="s">
        <v>1880</v>
      </c>
      <c r="Q81" s="1065" t="s">
        <v>1894</v>
      </c>
      <c r="R81" s="1065" t="s">
        <v>1894</v>
      </c>
      <c r="S81" s="24" t="s">
        <v>7902</v>
      </c>
      <c r="T81" s="90" t="s">
        <v>7845</v>
      </c>
      <c r="U81" s="1066" t="s">
        <v>2359</v>
      </c>
      <c r="V81" s="1066">
        <v>1</v>
      </c>
      <c r="W81" s="24" t="s">
        <v>448</v>
      </c>
      <c r="X81" s="24" t="s">
        <v>448</v>
      </c>
      <c r="Y81" s="30">
        <v>3</v>
      </c>
      <c r="Z81" s="30"/>
      <c r="AA81" s="30">
        <v>3</v>
      </c>
      <c r="AB81" s="59"/>
      <c r="AC81" s="59"/>
      <c r="AD81" s="35" t="s">
        <v>1104</v>
      </c>
      <c r="AE81" s="202" t="s">
        <v>19</v>
      </c>
      <c r="AF81" s="35" t="s">
        <v>1880</v>
      </c>
      <c r="AG81" s="1065"/>
    </row>
    <row r="82" spans="1:33" s="11" customFormat="1" ht="26.25" customHeight="1" x14ac:dyDescent="0.15">
      <c r="A82" s="8">
        <f t="shared" si="0"/>
        <v>80</v>
      </c>
      <c r="B82" s="36" t="s">
        <v>7899</v>
      </c>
      <c r="C82" s="26" t="s">
        <v>19</v>
      </c>
      <c r="D82" s="26" t="s">
        <v>19</v>
      </c>
      <c r="E82" s="26" t="s">
        <v>19</v>
      </c>
      <c r="F82" s="29" t="s">
        <v>3836</v>
      </c>
      <c r="G82" s="54" t="s">
        <v>4942</v>
      </c>
      <c r="H82" s="1065" t="s">
        <v>4195</v>
      </c>
      <c r="I82" s="1065" t="s">
        <v>4937</v>
      </c>
      <c r="J82" s="1065" t="s">
        <v>4938</v>
      </c>
      <c r="K82" s="1065" t="s">
        <v>4939</v>
      </c>
      <c r="L82" s="22" t="s">
        <v>1826</v>
      </c>
      <c r="M82" s="1066" t="s">
        <v>1880</v>
      </c>
      <c r="N82" s="216" t="s">
        <v>25</v>
      </c>
      <c r="O82" s="54" t="s">
        <v>851</v>
      </c>
      <c r="P82" s="1066" t="s">
        <v>111</v>
      </c>
      <c r="Q82" s="1065" t="s">
        <v>1152</v>
      </c>
      <c r="R82" s="1065" t="s">
        <v>1152</v>
      </c>
      <c r="S82" s="24" t="s">
        <v>7902</v>
      </c>
      <c r="T82" s="90" t="s">
        <v>7903</v>
      </c>
      <c r="U82" s="1066" t="s">
        <v>2359</v>
      </c>
      <c r="V82" s="1066">
        <v>1</v>
      </c>
      <c r="W82" s="24" t="s">
        <v>6638</v>
      </c>
      <c r="X82" s="24" t="s">
        <v>7904</v>
      </c>
      <c r="Y82" s="30"/>
      <c r="Z82" s="30">
        <v>8</v>
      </c>
      <c r="AA82" s="30">
        <v>8</v>
      </c>
      <c r="AB82" s="59"/>
      <c r="AC82" s="59"/>
      <c r="AD82" s="1066" t="s">
        <v>1104</v>
      </c>
      <c r="AE82" s="202" t="s">
        <v>1880</v>
      </c>
      <c r="AF82" s="133" t="s">
        <v>1880</v>
      </c>
      <c r="AG82" s="1065"/>
    </row>
    <row r="83" spans="1:33" s="11" customFormat="1" ht="26.25" customHeight="1" x14ac:dyDescent="0.15">
      <c r="A83" s="8">
        <f t="shared" si="0"/>
        <v>81</v>
      </c>
      <c r="B83" s="36" t="s">
        <v>7906</v>
      </c>
      <c r="C83" s="26" t="s">
        <v>19</v>
      </c>
      <c r="D83" s="26" t="s">
        <v>19</v>
      </c>
      <c r="E83" s="26" t="s">
        <v>19</v>
      </c>
      <c r="F83" s="29" t="s">
        <v>2492</v>
      </c>
      <c r="G83" s="53" t="s">
        <v>7908</v>
      </c>
      <c r="H83" s="1067" t="s">
        <v>1147</v>
      </c>
      <c r="I83" s="1067" t="s">
        <v>1789</v>
      </c>
      <c r="J83" s="1067" t="s">
        <v>2494</v>
      </c>
      <c r="K83" s="22" t="s">
        <v>2495</v>
      </c>
      <c r="L83" s="22" t="s">
        <v>1826</v>
      </c>
      <c r="M83" s="1069" t="s">
        <v>111</v>
      </c>
      <c r="N83" s="1068" t="s">
        <v>1818</v>
      </c>
      <c r="O83" s="54" t="s">
        <v>1819</v>
      </c>
      <c r="P83" s="71" t="s">
        <v>19</v>
      </c>
      <c r="Q83" s="1068" t="s">
        <v>1811</v>
      </c>
      <c r="R83" s="1068" t="s">
        <v>2072</v>
      </c>
      <c r="S83" s="24" t="s">
        <v>7909</v>
      </c>
      <c r="T83" s="90" t="s">
        <v>7910</v>
      </c>
      <c r="U83" s="1069" t="s">
        <v>2359</v>
      </c>
      <c r="V83" s="1069">
        <v>1</v>
      </c>
      <c r="W83" s="24" t="s">
        <v>7181</v>
      </c>
      <c r="X83" s="24" t="s">
        <v>7182</v>
      </c>
      <c r="Y83" s="30"/>
      <c r="Z83" s="30">
        <v>13.75</v>
      </c>
      <c r="AA83" s="30">
        <v>13.75</v>
      </c>
      <c r="AB83" s="59"/>
      <c r="AC83" s="59"/>
      <c r="AD83" s="35" t="s">
        <v>1104</v>
      </c>
      <c r="AE83" s="202" t="s">
        <v>1880</v>
      </c>
      <c r="AF83" s="35" t="s">
        <v>1880</v>
      </c>
      <c r="AG83" s="1068"/>
    </row>
    <row r="84" spans="1:33" s="11" customFormat="1" ht="26.25" customHeight="1" x14ac:dyDescent="0.15">
      <c r="A84" s="8">
        <f t="shared" si="0"/>
        <v>82</v>
      </c>
      <c r="B84" s="36" t="s">
        <v>7907</v>
      </c>
      <c r="C84" s="26" t="s">
        <v>19</v>
      </c>
      <c r="D84" s="26" t="s">
        <v>19</v>
      </c>
      <c r="E84" s="26" t="s">
        <v>19</v>
      </c>
      <c r="F84" s="29" t="s">
        <v>2492</v>
      </c>
      <c r="G84" s="53" t="s">
        <v>7908</v>
      </c>
      <c r="H84" s="1067" t="s">
        <v>1147</v>
      </c>
      <c r="I84" s="1067" t="s">
        <v>1789</v>
      </c>
      <c r="J84" s="1067" t="s">
        <v>2498</v>
      </c>
      <c r="K84" s="22" t="s">
        <v>1138</v>
      </c>
      <c r="L84" s="22" t="s">
        <v>1826</v>
      </c>
      <c r="M84" s="1069" t="s">
        <v>111</v>
      </c>
      <c r="N84" s="1068" t="s">
        <v>1818</v>
      </c>
      <c r="O84" s="54" t="s">
        <v>1819</v>
      </c>
      <c r="P84" s="71" t="s">
        <v>19</v>
      </c>
      <c r="Q84" s="1068" t="s">
        <v>1811</v>
      </c>
      <c r="R84" s="1068" t="s">
        <v>2072</v>
      </c>
      <c r="S84" s="24" t="s">
        <v>7909</v>
      </c>
      <c r="T84" s="90" t="s">
        <v>7910</v>
      </c>
      <c r="U84" s="1069" t="s">
        <v>2359</v>
      </c>
      <c r="V84" s="1069">
        <v>1</v>
      </c>
      <c r="W84" s="24" t="s">
        <v>7181</v>
      </c>
      <c r="X84" s="24" t="s">
        <v>7182</v>
      </c>
      <c r="Y84" s="30"/>
      <c r="Z84" s="30">
        <v>13.75</v>
      </c>
      <c r="AA84" s="30">
        <v>13.75</v>
      </c>
      <c r="AB84" s="59"/>
      <c r="AC84" s="59"/>
      <c r="AD84" s="35" t="s">
        <v>1104</v>
      </c>
      <c r="AE84" s="202" t="s">
        <v>1880</v>
      </c>
      <c r="AF84" s="35" t="s">
        <v>1880</v>
      </c>
      <c r="AG84" s="1068"/>
    </row>
    <row r="85" spans="1:33" s="11" customFormat="1" ht="26.25" customHeight="1" x14ac:dyDescent="0.15">
      <c r="A85" s="8">
        <f t="shared" si="0"/>
        <v>83</v>
      </c>
      <c r="B85" s="36" t="s">
        <v>7911</v>
      </c>
      <c r="C85" s="26" t="s">
        <v>19</v>
      </c>
      <c r="D85" s="26" t="s">
        <v>19</v>
      </c>
      <c r="E85" s="26" t="s">
        <v>19</v>
      </c>
      <c r="F85" s="29" t="s">
        <v>7912</v>
      </c>
      <c r="G85" s="723" t="s">
        <v>7913</v>
      </c>
      <c r="H85" s="1068" t="s">
        <v>4712</v>
      </c>
      <c r="I85" s="1068" t="s">
        <v>4692</v>
      </c>
      <c r="J85" s="1068" t="s">
        <v>6331</v>
      </c>
      <c r="K85" s="1069" t="s">
        <v>4780</v>
      </c>
      <c r="L85" s="1069" t="s">
        <v>1826</v>
      </c>
      <c r="M85" s="1069" t="s">
        <v>111</v>
      </c>
      <c r="N85" s="1069" t="s">
        <v>1818</v>
      </c>
      <c r="O85" s="151" t="s">
        <v>7451</v>
      </c>
      <c r="P85" s="22" t="s">
        <v>1880</v>
      </c>
      <c r="Q85" s="1068" t="s">
        <v>5571</v>
      </c>
      <c r="R85" s="1068" t="s">
        <v>5571</v>
      </c>
      <c r="S85" s="24" t="s">
        <v>7909</v>
      </c>
      <c r="T85" s="90" t="s">
        <v>448</v>
      </c>
      <c r="U85" s="1069" t="s">
        <v>1880</v>
      </c>
      <c r="V85" s="1069" t="s">
        <v>7914</v>
      </c>
      <c r="W85" s="24" t="s">
        <v>448</v>
      </c>
      <c r="X85" s="24" t="s">
        <v>448</v>
      </c>
      <c r="Y85" s="30">
        <v>3</v>
      </c>
      <c r="Z85" s="30"/>
      <c r="AA85" s="30">
        <v>3</v>
      </c>
      <c r="AB85" s="59"/>
      <c r="AC85" s="59"/>
      <c r="AD85" s="1069" t="s">
        <v>1104</v>
      </c>
      <c r="AE85" s="202" t="s">
        <v>19</v>
      </c>
      <c r="AF85" s="35" t="s">
        <v>1880</v>
      </c>
      <c r="AG85" s="1068"/>
    </row>
    <row r="86" spans="1:33" s="11" customFormat="1" ht="26.25" customHeight="1" x14ac:dyDescent="0.15">
      <c r="A86" s="8">
        <f t="shared" si="0"/>
        <v>84</v>
      </c>
      <c r="B86" s="36" t="s">
        <v>7915</v>
      </c>
      <c r="C86" s="26" t="s">
        <v>19</v>
      </c>
      <c r="D86" s="26" t="s">
        <v>19</v>
      </c>
      <c r="E86" s="26" t="s">
        <v>19</v>
      </c>
      <c r="F86" s="29" t="s">
        <v>3886</v>
      </c>
      <c r="G86" s="723" t="s">
        <v>3937</v>
      </c>
      <c r="H86" s="1070" t="s">
        <v>4712</v>
      </c>
      <c r="I86" s="1070" t="s">
        <v>4692</v>
      </c>
      <c r="J86" s="1070" t="s">
        <v>6050</v>
      </c>
      <c r="K86" s="1071" t="s">
        <v>7038</v>
      </c>
      <c r="L86" s="1071" t="s">
        <v>1826</v>
      </c>
      <c r="M86" s="1071" t="s">
        <v>111</v>
      </c>
      <c r="N86" s="1071" t="s">
        <v>1818</v>
      </c>
      <c r="O86" s="151" t="s">
        <v>7451</v>
      </c>
      <c r="P86" s="22" t="s">
        <v>1880</v>
      </c>
      <c r="Q86" s="1070" t="s">
        <v>5571</v>
      </c>
      <c r="R86" s="1070" t="s">
        <v>5571</v>
      </c>
      <c r="S86" s="24" t="s">
        <v>7916</v>
      </c>
      <c r="T86" s="90" t="s">
        <v>448</v>
      </c>
      <c r="U86" s="1071" t="s">
        <v>1880</v>
      </c>
      <c r="V86" s="1071" t="s">
        <v>1880</v>
      </c>
      <c r="W86" s="24" t="s">
        <v>448</v>
      </c>
      <c r="X86" s="24" t="s">
        <v>448</v>
      </c>
      <c r="Y86" s="30">
        <v>3</v>
      </c>
      <c r="Z86" s="30"/>
      <c r="AA86" s="30">
        <v>3</v>
      </c>
      <c r="AB86" s="59"/>
      <c r="AC86" s="59"/>
      <c r="AD86" s="1071" t="s">
        <v>1104</v>
      </c>
      <c r="AE86" s="202" t="s">
        <v>19</v>
      </c>
      <c r="AF86" s="35" t="s">
        <v>1880</v>
      </c>
      <c r="AG86" s="1059"/>
    </row>
    <row r="87" spans="1:33" s="11" customFormat="1" ht="26.25" customHeight="1" x14ac:dyDescent="0.15">
      <c r="A87" s="8">
        <f t="shared" si="0"/>
        <v>85</v>
      </c>
      <c r="B87" s="36" t="s">
        <v>7917</v>
      </c>
      <c r="C87" s="26" t="s">
        <v>19</v>
      </c>
      <c r="D87" s="26" t="s">
        <v>19</v>
      </c>
      <c r="E87" s="26" t="s">
        <v>19</v>
      </c>
      <c r="F87" s="29" t="s">
        <v>5623</v>
      </c>
      <c r="G87" s="53" t="s">
        <v>7927</v>
      </c>
      <c r="H87" s="1074" t="s">
        <v>2012</v>
      </c>
      <c r="I87" s="1074" t="s">
        <v>2437</v>
      </c>
      <c r="J87" s="1074" t="s">
        <v>6658</v>
      </c>
      <c r="K87" s="22" t="s">
        <v>4780</v>
      </c>
      <c r="L87" s="1074" t="s">
        <v>1826</v>
      </c>
      <c r="M87" s="1074" t="s">
        <v>111</v>
      </c>
      <c r="N87" s="22" t="s">
        <v>454</v>
      </c>
      <c r="O87" s="54" t="s">
        <v>116</v>
      </c>
      <c r="P87" s="1074" t="s">
        <v>111</v>
      </c>
      <c r="Q87" s="1073" t="s">
        <v>5571</v>
      </c>
      <c r="R87" s="1073" t="s">
        <v>5571</v>
      </c>
      <c r="S87" s="24" t="s">
        <v>7928</v>
      </c>
      <c r="T87" s="90" t="s">
        <v>7929</v>
      </c>
      <c r="U87" s="1074" t="s">
        <v>2359</v>
      </c>
      <c r="V87" s="1074">
        <v>1</v>
      </c>
      <c r="W87" s="24" t="s">
        <v>7756</v>
      </c>
      <c r="X87" s="24" t="s">
        <v>7757</v>
      </c>
      <c r="Y87" s="30"/>
      <c r="Z87" s="30">
        <v>10</v>
      </c>
      <c r="AA87" s="30">
        <v>10</v>
      </c>
      <c r="AB87" s="59"/>
      <c r="AC87" s="59"/>
      <c r="AD87" s="1074" t="s">
        <v>1104</v>
      </c>
      <c r="AE87" s="202" t="s">
        <v>1880</v>
      </c>
      <c r="AF87" s="133" t="s">
        <v>1880</v>
      </c>
      <c r="AG87" s="1073"/>
    </row>
    <row r="88" spans="1:33" s="11" customFormat="1" ht="26.25" customHeight="1" x14ac:dyDescent="0.15">
      <c r="A88" s="8">
        <f t="shared" si="0"/>
        <v>86</v>
      </c>
      <c r="B88" s="36" t="s">
        <v>7918</v>
      </c>
      <c r="C88" s="26" t="s">
        <v>19</v>
      </c>
      <c r="D88" s="26" t="s">
        <v>19</v>
      </c>
      <c r="E88" s="26" t="s">
        <v>19</v>
      </c>
      <c r="F88" s="29" t="s">
        <v>5934</v>
      </c>
      <c r="G88" s="53" t="s">
        <v>7930</v>
      </c>
      <c r="H88" s="1073" t="s">
        <v>4195</v>
      </c>
      <c r="I88" s="1073" t="s">
        <v>6907</v>
      </c>
      <c r="J88" s="1073" t="s">
        <v>6908</v>
      </c>
      <c r="K88" s="22" t="s">
        <v>6909</v>
      </c>
      <c r="L88" s="1074" t="s">
        <v>1826</v>
      </c>
      <c r="M88" s="1074" t="s">
        <v>111</v>
      </c>
      <c r="N88" s="1073" t="s">
        <v>1131</v>
      </c>
      <c r="O88" s="54" t="s">
        <v>116</v>
      </c>
      <c r="P88" s="22" t="s">
        <v>1880</v>
      </c>
      <c r="Q88" s="1073" t="s">
        <v>5480</v>
      </c>
      <c r="R88" s="1073" t="s">
        <v>5480</v>
      </c>
      <c r="S88" s="24" t="s">
        <v>7928</v>
      </c>
      <c r="T88" s="90" t="s">
        <v>7931</v>
      </c>
      <c r="U88" s="1074" t="s">
        <v>2359</v>
      </c>
      <c r="V88" s="1074">
        <v>1</v>
      </c>
      <c r="W88" s="24" t="s">
        <v>7074</v>
      </c>
      <c r="X88" s="24" t="s">
        <v>6545</v>
      </c>
      <c r="Y88" s="30"/>
      <c r="Z88" s="30">
        <v>9.75</v>
      </c>
      <c r="AA88" s="30">
        <v>9.75</v>
      </c>
      <c r="AB88" s="59"/>
      <c r="AC88" s="59"/>
      <c r="AD88" s="35" t="s">
        <v>1104</v>
      </c>
      <c r="AE88" s="202" t="s">
        <v>19</v>
      </c>
      <c r="AF88" s="35" t="s">
        <v>1880</v>
      </c>
      <c r="AG88" s="1073"/>
    </row>
    <row r="89" spans="1:33" s="11" customFormat="1" ht="26.25" customHeight="1" x14ac:dyDescent="0.15">
      <c r="A89" s="8">
        <f t="shared" si="0"/>
        <v>87</v>
      </c>
      <c r="B89" s="36" t="s">
        <v>7919</v>
      </c>
      <c r="C89" s="26" t="s">
        <v>19</v>
      </c>
      <c r="D89" s="26" t="s">
        <v>19</v>
      </c>
      <c r="E89" s="26" t="s">
        <v>19</v>
      </c>
      <c r="F89" s="29" t="s">
        <v>6009</v>
      </c>
      <c r="G89" s="29" t="s">
        <v>7932</v>
      </c>
      <c r="H89" s="1072" t="s">
        <v>1449</v>
      </c>
      <c r="I89" s="1072" t="s">
        <v>177</v>
      </c>
      <c r="J89" s="1072" t="s">
        <v>3263</v>
      </c>
      <c r="K89" s="22" t="s">
        <v>1733</v>
      </c>
      <c r="L89" s="22" t="s">
        <v>5431</v>
      </c>
      <c r="M89" s="1074" t="s">
        <v>111</v>
      </c>
      <c r="N89" s="1074" t="s">
        <v>1818</v>
      </c>
      <c r="O89" s="151" t="s">
        <v>7451</v>
      </c>
      <c r="P89" s="1074" t="s">
        <v>111</v>
      </c>
      <c r="Q89" s="1073" t="s">
        <v>5487</v>
      </c>
      <c r="R89" s="1073" t="s">
        <v>5487</v>
      </c>
      <c r="S89" s="24" t="s">
        <v>7916</v>
      </c>
      <c r="T89" s="90" t="s">
        <v>7933</v>
      </c>
      <c r="U89" s="1074" t="s">
        <v>2359</v>
      </c>
      <c r="V89" s="1074">
        <v>1</v>
      </c>
      <c r="W89" s="24" t="s">
        <v>448</v>
      </c>
      <c r="X89" s="24" t="s">
        <v>448</v>
      </c>
      <c r="Y89" s="30">
        <v>2.5</v>
      </c>
      <c r="Z89" s="30"/>
      <c r="AA89" s="30">
        <v>2.5</v>
      </c>
      <c r="AB89" s="59"/>
      <c r="AC89" s="59"/>
      <c r="AD89" s="1074" t="s">
        <v>1104</v>
      </c>
      <c r="AE89" s="202" t="s">
        <v>1880</v>
      </c>
      <c r="AF89" s="133" t="s">
        <v>1880</v>
      </c>
      <c r="AG89" s="1073"/>
    </row>
    <row r="90" spans="1:33" s="11" customFormat="1" ht="26.25" customHeight="1" x14ac:dyDescent="0.15">
      <c r="A90" s="8">
        <f t="shared" si="0"/>
        <v>88</v>
      </c>
      <c r="B90" s="36" t="s">
        <v>7920</v>
      </c>
      <c r="C90" s="26" t="s">
        <v>19</v>
      </c>
      <c r="D90" s="26" t="s">
        <v>19</v>
      </c>
      <c r="E90" s="26" t="s">
        <v>19</v>
      </c>
      <c r="F90" s="29" t="s">
        <v>6009</v>
      </c>
      <c r="G90" s="29" t="s">
        <v>7932</v>
      </c>
      <c r="H90" s="1072" t="s">
        <v>1449</v>
      </c>
      <c r="I90" s="1072" t="s">
        <v>177</v>
      </c>
      <c r="J90" s="1072" t="s">
        <v>3264</v>
      </c>
      <c r="K90" s="22" t="s">
        <v>1732</v>
      </c>
      <c r="L90" s="22" t="s">
        <v>5431</v>
      </c>
      <c r="M90" s="1074" t="s">
        <v>111</v>
      </c>
      <c r="N90" s="1074" t="s">
        <v>1818</v>
      </c>
      <c r="O90" s="151" t="s">
        <v>7451</v>
      </c>
      <c r="P90" s="1074" t="s">
        <v>111</v>
      </c>
      <c r="Q90" s="1073" t="s">
        <v>5487</v>
      </c>
      <c r="R90" s="1073" t="s">
        <v>5487</v>
      </c>
      <c r="S90" s="24" t="s">
        <v>7928</v>
      </c>
      <c r="T90" s="90" t="s">
        <v>7933</v>
      </c>
      <c r="U90" s="1074" t="s">
        <v>2359</v>
      </c>
      <c r="V90" s="1074">
        <v>1</v>
      </c>
      <c r="W90" s="24" t="s">
        <v>448</v>
      </c>
      <c r="X90" s="24" t="s">
        <v>448</v>
      </c>
      <c r="Y90" s="30">
        <v>2.5</v>
      </c>
      <c r="Z90" s="30"/>
      <c r="AA90" s="30">
        <v>2.5</v>
      </c>
      <c r="AB90" s="59"/>
      <c r="AC90" s="59"/>
      <c r="AD90" s="1074" t="s">
        <v>1104</v>
      </c>
      <c r="AE90" s="202" t="s">
        <v>1880</v>
      </c>
      <c r="AF90" s="133" t="s">
        <v>1880</v>
      </c>
      <c r="AG90" s="1073"/>
    </row>
    <row r="91" spans="1:33" s="11" customFormat="1" ht="26.25" customHeight="1" x14ac:dyDescent="0.15">
      <c r="A91" s="8">
        <f t="shared" si="0"/>
        <v>89</v>
      </c>
      <c r="B91" s="36" t="s">
        <v>7921</v>
      </c>
      <c r="C91" s="26" t="s">
        <v>19</v>
      </c>
      <c r="D91" s="26" t="s">
        <v>19</v>
      </c>
      <c r="E91" s="26" t="s">
        <v>19</v>
      </c>
      <c r="F91" s="29" t="s">
        <v>6009</v>
      </c>
      <c r="G91" s="29" t="s">
        <v>7932</v>
      </c>
      <c r="H91" s="1072" t="s">
        <v>1449</v>
      </c>
      <c r="I91" s="1072" t="s">
        <v>177</v>
      </c>
      <c r="J91" s="1072" t="s">
        <v>3273</v>
      </c>
      <c r="K91" s="22" t="s">
        <v>1734</v>
      </c>
      <c r="L91" s="22" t="s">
        <v>5431</v>
      </c>
      <c r="M91" s="1074" t="s">
        <v>111</v>
      </c>
      <c r="N91" s="1074" t="s">
        <v>1818</v>
      </c>
      <c r="O91" s="151" t="s">
        <v>7451</v>
      </c>
      <c r="P91" s="1074" t="s">
        <v>111</v>
      </c>
      <c r="Q91" s="1073" t="s">
        <v>5487</v>
      </c>
      <c r="R91" s="1073" t="s">
        <v>5487</v>
      </c>
      <c r="S91" s="24" t="s">
        <v>7928</v>
      </c>
      <c r="T91" s="90" t="s">
        <v>7933</v>
      </c>
      <c r="U91" s="1074" t="s">
        <v>2359</v>
      </c>
      <c r="V91" s="1074">
        <v>1</v>
      </c>
      <c r="W91" s="24" t="s">
        <v>448</v>
      </c>
      <c r="X91" s="24" t="s">
        <v>448</v>
      </c>
      <c r="Y91" s="30">
        <v>2.5</v>
      </c>
      <c r="Z91" s="30"/>
      <c r="AA91" s="30">
        <v>2.5</v>
      </c>
      <c r="AB91" s="59"/>
      <c r="AC91" s="59"/>
      <c r="AD91" s="1074" t="s">
        <v>1104</v>
      </c>
      <c r="AE91" s="202" t="s">
        <v>1880</v>
      </c>
      <c r="AF91" s="133" t="s">
        <v>1880</v>
      </c>
      <c r="AG91" s="1073"/>
    </row>
    <row r="92" spans="1:33" s="11" customFormat="1" ht="26.25" customHeight="1" x14ac:dyDescent="0.15">
      <c r="A92" s="8">
        <f t="shared" si="0"/>
        <v>90</v>
      </c>
      <c r="B92" s="36" t="s">
        <v>7922</v>
      </c>
      <c r="C92" s="26" t="s">
        <v>19</v>
      </c>
      <c r="D92" s="26" t="s">
        <v>19</v>
      </c>
      <c r="E92" s="26" t="s">
        <v>19</v>
      </c>
      <c r="F92" s="54" t="s">
        <v>4133</v>
      </c>
      <c r="G92" s="98" t="s">
        <v>7934</v>
      </c>
      <c r="H92" s="1074" t="s">
        <v>2135</v>
      </c>
      <c r="I92" s="1074" t="s">
        <v>2533</v>
      </c>
      <c r="J92" s="21" t="s">
        <v>4134</v>
      </c>
      <c r="K92" s="1073" t="s">
        <v>4135</v>
      </c>
      <c r="L92" s="1074" t="s">
        <v>1826</v>
      </c>
      <c r="M92" s="1074" t="s">
        <v>111</v>
      </c>
      <c r="N92" s="1074" t="s">
        <v>1818</v>
      </c>
      <c r="O92" s="151" t="s">
        <v>7451</v>
      </c>
      <c r="P92" s="22" t="s">
        <v>1880</v>
      </c>
      <c r="Q92" s="1073" t="s">
        <v>5487</v>
      </c>
      <c r="R92" s="1073" t="s">
        <v>5487</v>
      </c>
      <c r="S92" s="24" t="s">
        <v>7928</v>
      </c>
      <c r="T92" s="90" t="s">
        <v>7933</v>
      </c>
      <c r="U92" s="1074" t="s">
        <v>2359</v>
      </c>
      <c r="V92" s="1074">
        <v>1</v>
      </c>
      <c r="W92" s="24" t="s">
        <v>448</v>
      </c>
      <c r="X92" s="24" t="s">
        <v>448</v>
      </c>
      <c r="Y92" s="30">
        <v>2.5</v>
      </c>
      <c r="Z92" s="30"/>
      <c r="AA92" s="30">
        <v>2.5</v>
      </c>
      <c r="AB92" s="59"/>
      <c r="AC92" s="59"/>
      <c r="AD92" s="35" t="s">
        <v>1104</v>
      </c>
      <c r="AE92" s="202" t="s">
        <v>19</v>
      </c>
      <c r="AF92" s="35" t="s">
        <v>1880</v>
      </c>
      <c r="AG92" s="1073"/>
    </row>
    <row r="93" spans="1:33" s="11" customFormat="1" ht="26.25" customHeight="1" x14ac:dyDescent="0.15">
      <c r="A93" s="8">
        <f t="shared" si="0"/>
        <v>91</v>
      </c>
      <c r="B93" s="36" t="s">
        <v>7923</v>
      </c>
      <c r="C93" s="26" t="s">
        <v>19</v>
      </c>
      <c r="D93" s="26" t="s">
        <v>19</v>
      </c>
      <c r="E93" s="26" t="s">
        <v>19</v>
      </c>
      <c r="F93" s="54" t="s">
        <v>4141</v>
      </c>
      <c r="G93" s="98" t="s">
        <v>7935</v>
      </c>
      <c r="H93" s="1074" t="s">
        <v>2135</v>
      </c>
      <c r="I93" s="1074" t="s">
        <v>2533</v>
      </c>
      <c r="J93" s="21" t="s">
        <v>4143</v>
      </c>
      <c r="K93" s="1073" t="s">
        <v>4144</v>
      </c>
      <c r="L93" s="1074" t="s">
        <v>1826</v>
      </c>
      <c r="M93" s="1074" t="s">
        <v>111</v>
      </c>
      <c r="N93" s="1074" t="s">
        <v>1818</v>
      </c>
      <c r="O93" s="151" t="s">
        <v>7451</v>
      </c>
      <c r="P93" s="22" t="s">
        <v>1880</v>
      </c>
      <c r="Q93" s="1073" t="s">
        <v>5487</v>
      </c>
      <c r="R93" s="1073" t="s">
        <v>5487</v>
      </c>
      <c r="S93" s="24" t="s">
        <v>7928</v>
      </c>
      <c r="T93" s="90" t="s">
        <v>7933</v>
      </c>
      <c r="U93" s="1074" t="s">
        <v>2359</v>
      </c>
      <c r="V93" s="1074">
        <v>1</v>
      </c>
      <c r="W93" s="24" t="s">
        <v>448</v>
      </c>
      <c r="X93" s="24" t="s">
        <v>448</v>
      </c>
      <c r="Y93" s="30">
        <v>2.5</v>
      </c>
      <c r="Z93" s="30"/>
      <c r="AA93" s="30">
        <v>2.5</v>
      </c>
      <c r="AB93" s="59"/>
      <c r="AC93" s="59"/>
      <c r="AD93" s="35" t="s">
        <v>1104</v>
      </c>
      <c r="AE93" s="202" t="s">
        <v>19</v>
      </c>
      <c r="AF93" s="35" t="s">
        <v>1880</v>
      </c>
      <c r="AG93" s="1073"/>
    </row>
    <row r="94" spans="1:33" s="11" customFormat="1" ht="26.25" customHeight="1" x14ac:dyDescent="0.15">
      <c r="A94" s="8">
        <f t="shared" si="0"/>
        <v>92</v>
      </c>
      <c r="B94" s="36" t="s">
        <v>7924</v>
      </c>
      <c r="C94" s="26" t="s">
        <v>19</v>
      </c>
      <c r="D94" s="26" t="s">
        <v>19</v>
      </c>
      <c r="E94" s="26" t="s">
        <v>19</v>
      </c>
      <c r="F94" s="54" t="s">
        <v>7936</v>
      </c>
      <c r="G94" s="98" t="s">
        <v>7937</v>
      </c>
      <c r="H94" s="1074" t="s">
        <v>2135</v>
      </c>
      <c r="I94" s="1074" t="s">
        <v>2533</v>
      </c>
      <c r="J94" s="21" t="s">
        <v>5390</v>
      </c>
      <c r="K94" s="1074" t="s">
        <v>1138</v>
      </c>
      <c r="L94" s="1074" t="s">
        <v>2142</v>
      </c>
      <c r="M94" s="1074" t="s">
        <v>111</v>
      </c>
      <c r="N94" s="1074" t="s">
        <v>2422</v>
      </c>
      <c r="O94" s="151" t="s">
        <v>7451</v>
      </c>
      <c r="P94" s="22" t="s">
        <v>1880</v>
      </c>
      <c r="Q94" s="1073" t="s">
        <v>5487</v>
      </c>
      <c r="R94" s="1073" t="s">
        <v>5487</v>
      </c>
      <c r="S94" s="24" t="s">
        <v>7928</v>
      </c>
      <c r="T94" s="90" t="s">
        <v>7933</v>
      </c>
      <c r="U94" s="1074" t="s">
        <v>2359</v>
      </c>
      <c r="V94" s="1074">
        <v>1</v>
      </c>
      <c r="W94" s="24" t="s">
        <v>448</v>
      </c>
      <c r="X94" s="24" t="s">
        <v>448</v>
      </c>
      <c r="Y94" s="30">
        <v>2.5</v>
      </c>
      <c r="Z94" s="30"/>
      <c r="AA94" s="30">
        <v>2.5</v>
      </c>
      <c r="AB94" s="59"/>
      <c r="AC94" s="59"/>
      <c r="AD94" s="35" t="s">
        <v>1104</v>
      </c>
      <c r="AE94" s="202" t="s">
        <v>19</v>
      </c>
      <c r="AF94" s="35" t="s">
        <v>1880</v>
      </c>
      <c r="AG94" s="1073"/>
    </row>
    <row r="95" spans="1:33" s="11" customFormat="1" ht="26.25" customHeight="1" x14ac:dyDescent="0.15">
      <c r="A95" s="8">
        <f t="shared" si="0"/>
        <v>93</v>
      </c>
      <c r="B95" s="36" t="s">
        <v>7925</v>
      </c>
      <c r="C95" s="26" t="s">
        <v>19</v>
      </c>
      <c r="D95" s="26" t="s">
        <v>19</v>
      </c>
      <c r="E95" s="26" t="s">
        <v>19</v>
      </c>
      <c r="F95" s="29" t="s">
        <v>7938</v>
      </c>
      <c r="G95" s="53" t="s">
        <v>7939</v>
      </c>
      <c r="H95" s="1072" t="s">
        <v>3649</v>
      </c>
      <c r="I95" s="1072" t="s">
        <v>4750</v>
      </c>
      <c r="J95" s="1072" t="s">
        <v>5872</v>
      </c>
      <c r="K95" s="22" t="s">
        <v>4780</v>
      </c>
      <c r="L95" s="22" t="s">
        <v>5431</v>
      </c>
      <c r="M95" s="1074" t="s">
        <v>1880</v>
      </c>
      <c r="N95" s="1074" t="s">
        <v>1818</v>
      </c>
      <c r="O95" s="151" t="s">
        <v>7451</v>
      </c>
      <c r="P95" s="22" t="s">
        <v>1880</v>
      </c>
      <c r="Q95" s="1073" t="s">
        <v>5487</v>
      </c>
      <c r="R95" s="1073" t="s">
        <v>5487</v>
      </c>
      <c r="S95" s="24" t="s">
        <v>7928</v>
      </c>
      <c r="T95" s="90" t="s">
        <v>7933</v>
      </c>
      <c r="U95" s="1074" t="s">
        <v>2359</v>
      </c>
      <c r="V95" s="1074">
        <v>1</v>
      </c>
      <c r="W95" s="24" t="s">
        <v>448</v>
      </c>
      <c r="X95" s="24" t="s">
        <v>448</v>
      </c>
      <c r="Y95" s="30">
        <v>2.5</v>
      </c>
      <c r="Z95" s="30"/>
      <c r="AA95" s="30">
        <v>2.5</v>
      </c>
      <c r="AB95" s="59"/>
      <c r="AC95" s="59"/>
      <c r="AD95" s="35" t="s">
        <v>1104</v>
      </c>
      <c r="AE95" s="202" t="s">
        <v>19</v>
      </c>
      <c r="AF95" s="35" t="s">
        <v>1880</v>
      </c>
      <c r="AG95" s="1070"/>
    </row>
    <row r="96" spans="1:33" s="11" customFormat="1" ht="26.25" customHeight="1" x14ac:dyDescent="0.15">
      <c r="A96" s="8">
        <f t="shared" si="0"/>
        <v>94</v>
      </c>
      <c r="B96" s="36" t="s">
        <v>7926</v>
      </c>
      <c r="C96" s="26" t="s">
        <v>19</v>
      </c>
      <c r="D96" s="26" t="s">
        <v>19</v>
      </c>
      <c r="E96" s="26" t="s">
        <v>19</v>
      </c>
      <c r="F96" s="29" t="s">
        <v>7940</v>
      </c>
      <c r="G96" s="53" t="s">
        <v>7941</v>
      </c>
      <c r="H96" s="1072" t="s">
        <v>3649</v>
      </c>
      <c r="I96" s="1072" t="s">
        <v>4750</v>
      </c>
      <c r="J96" s="1072" t="s">
        <v>7022</v>
      </c>
      <c r="K96" s="22" t="s">
        <v>7413</v>
      </c>
      <c r="L96" s="22" t="s">
        <v>5431</v>
      </c>
      <c r="M96" s="1074" t="s">
        <v>111</v>
      </c>
      <c r="N96" s="1074" t="s">
        <v>1818</v>
      </c>
      <c r="O96" s="151" t="s">
        <v>7451</v>
      </c>
      <c r="P96" s="22" t="s">
        <v>1880</v>
      </c>
      <c r="Q96" s="1073" t="s">
        <v>5487</v>
      </c>
      <c r="R96" s="1073" t="s">
        <v>5487</v>
      </c>
      <c r="S96" s="24" t="s">
        <v>7928</v>
      </c>
      <c r="T96" s="90" t="s">
        <v>7933</v>
      </c>
      <c r="U96" s="1074" t="s">
        <v>2359</v>
      </c>
      <c r="V96" s="1074">
        <v>1</v>
      </c>
      <c r="W96" s="24" t="s">
        <v>448</v>
      </c>
      <c r="X96" s="24" t="s">
        <v>448</v>
      </c>
      <c r="Y96" s="30">
        <v>2.5</v>
      </c>
      <c r="Z96" s="30"/>
      <c r="AA96" s="30">
        <v>2.5</v>
      </c>
      <c r="AB96" s="59"/>
      <c r="AC96" s="59"/>
      <c r="AD96" s="35" t="s">
        <v>1104</v>
      </c>
      <c r="AE96" s="202" t="s">
        <v>19</v>
      </c>
      <c r="AF96" s="35" t="s">
        <v>1880</v>
      </c>
      <c r="AG96" s="1070"/>
    </row>
    <row r="97" spans="1:33" s="11" customFormat="1" ht="26.25" customHeight="1" x14ac:dyDescent="0.15">
      <c r="A97" s="8">
        <f t="shared" si="0"/>
        <v>95</v>
      </c>
      <c r="B97" s="36" t="s">
        <v>7942</v>
      </c>
      <c r="C97" s="71" t="s">
        <v>7945</v>
      </c>
      <c r="D97" s="26" t="s">
        <v>19</v>
      </c>
      <c r="E97" s="26" t="s">
        <v>19</v>
      </c>
      <c r="F97" s="29" t="s">
        <v>6670</v>
      </c>
      <c r="G97" s="53" t="s">
        <v>7943</v>
      </c>
      <c r="H97" s="1075" t="s">
        <v>2113</v>
      </c>
      <c r="I97" s="1075" t="s">
        <v>1779</v>
      </c>
      <c r="J97" s="1075" t="s">
        <v>1778</v>
      </c>
      <c r="K97" s="22" t="s">
        <v>1777</v>
      </c>
      <c r="L97" s="1077" t="s">
        <v>1826</v>
      </c>
      <c r="M97" s="1077" t="s">
        <v>111</v>
      </c>
      <c r="N97" s="1076" t="s">
        <v>1131</v>
      </c>
      <c r="O97" s="54" t="s">
        <v>7944</v>
      </c>
      <c r="P97" s="1077" t="s">
        <v>111</v>
      </c>
      <c r="Q97" s="1076" t="s">
        <v>5489</v>
      </c>
      <c r="R97" s="1076" t="s">
        <v>5489</v>
      </c>
      <c r="S97" s="24" t="s">
        <v>7946</v>
      </c>
      <c r="T97" s="90" t="s">
        <v>7947</v>
      </c>
      <c r="U97" s="1077" t="s">
        <v>2359</v>
      </c>
      <c r="V97" s="1077">
        <v>2</v>
      </c>
      <c r="W97" s="24" t="s">
        <v>448</v>
      </c>
      <c r="X97" s="24" t="s">
        <v>448</v>
      </c>
      <c r="Y97" s="30">
        <v>20.059999999999999</v>
      </c>
      <c r="Z97" s="30"/>
      <c r="AA97" s="30">
        <v>20.059999999999999</v>
      </c>
      <c r="AB97" s="59"/>
      <c r="AC97" s="59"/>
      <c r="AD97" s="1077" t="s">
        <v>1104</v>
      </c>
      <c r="AE97" s="202" t="s">
        <v>1880</v>
      </c>
      <c r="AF97" s="133" t="s">
        <v>1880</v>
      </c>
      <c r="AG97" s="1076"/>
    </row>
    <row r="98" spans="1:33" s="11" customFormat="1" ht="26.25" customHeight="1" x14ac:dyDescent="0.15">
      <c r="A98" s="8">
        <f t="shared" si="0"/>
        <v>96</v>
      </c>
      <c r="B98" s="36" t="s">
        <v>7948</v>
      </c>
      <c r="C98" s="26" t="s">
        <v>19</v>
      </c>
      <c r="D98" s="26" t="s">
        <v>19</v>
      </c>
      <c r="E98" s="26" t="s">
        <v>19</v>
      </c>
      <c r="F98" s="29" t="s">
        <v>7951</v>
      </c>
      <c r="G98" s="53" t="s">
        <v>7952</v>
      </c>
      <c r="H98" s="1078" t="s">
        <v>4195</v>
      </c>
      <c r="I98" s="1079" t="s">
        <v>4728</v>
      </c>
      <c r="J98" s="1078" t="s">
        <v>5406</v>
      </c>
      <c r="K98" s="22" t="s">
        <v>7957</v>
      </c>
      <c r="L98" s="22" t="s">
        <v>5478</v>
      </c>
      <c r="M98" s="1080" t="s">
        <v>1880</v>
      </c>
      <c r="N98" s="1079" t="s">
        <v>4676</v>
      </c>
      <c r="O98" s="54" t="s">
        <v>6971</v>
      </c>
      <c r="P98" s="22" t="s">
        <v>1880</v>
      </c>
      <c r="Q98" s="1079" t="s">
        <v>1894</v>
      </c>
      <c r="R98" s="1079" t="s">
        <v>1894</v>
      </c>
      <c r="S98" s="24" t="s">
        <v>7953</v>
      </c>
      <c r="T98" s="90" t="s">
        <v>7954</v>
      </c>
      <c r="U98" s="1080" t="s">
        <v>2359</v>
      </c>
      <c r="V98" s="1080">
        <v>2</v>
      </c>
      <c r="W98" s="24" t="s">
        <v>7468</v>
      </c>
      <c r="X98" s="24" t="s">
        <v>7955</v>
      </c>
      <c r="Y98" s="30"/>
      <c r="Z98" s="30">
        <v>9</v>
      </c>
      <c r="AA98" s="30">
        <v>9</v>
      </c>
      <c r="AB98" s="59"/>
      <c r="AC98" s="59"/>
      <c r="AD98" s="35" t="s">
        <v>1104</v>
      </c>
      <c r="AE98" s="202" t="s">
        <v>19</v>
      </c>
      <c r="AF98" s="35" t="s">
        <v>1880</v>
      </c>
      <c r="AG98" s="1079"/>
    </row>
    <row r="99" spans="1:33" s="11" customFormat="1" ht="26.25" customHeight="1" x14ac:dyDescent="0.15">
      <c r="A99" s="8">
        <f t="shared" si="0"/>
        <v>97</v>
      </c>
      <c r="B99" s="36" t="s">
        <v>7949</v>
      </c>
      <c r="C99" s="26" t="s">
        <v>19</v>
      </c>
      <c r="D99" s="26" t="s">
        <v>19</v>
      </c>
      <c r="E99" s="26" t="s">
        <v>19</v>
      </c>
      <c r="F99" s="29" t="s">
        <v>7951</v>
      </c>
      <c r="G99" s="53" t="s">
        <v>7952</v>
      </c>
      <c r="H99" s="1079" t="s">
        <v>4195</v>
      </c>
      <c r="I99" s="1079" t="s">
        <v>4728</v>
      </c>
      <c r="J99" s="1079" t="s">
        <v>5673</v>
      </c>
      <c r="K99" s="22" t="s">
        <v>5674</v>
      </c>
      <c r="L99" s="22" t="s">
        <v>5478</v>
      </c>
      <c r="M99" s="1080" t="s">
        <v>1880</v>
      </c>
      <c r="N99" s="1079" t="s">
        <v>4676</v>
      </c>
      <c r="O99" s="54" t="s">
        <v>6971</v>
      </c>
      <c r="P99" s="22" t="s">
        <v>1880</v>
      </c>
      <c r="Q99" s="1079" t="s">
        <v>1894</v>
      </c>
      <c r="R99" s="1079" t="s">
        <v>1894</v>
      </c>
      <c r="S99" s="24" t="s">
        <v>7953</v>
      </c>
      <c r="T99" s="90" t="s">
        <v>7954</v>
      </c>
      <c r="U99" s="1080" t="s">
        <v>2359</v>
      </c>
      <c r="V99" s="1080">
        <v>2</v>
      </c>
      <c r="W99" s="24" t="s">
        <v>7468</v>
      </c>
      <c r="X99" s="24" t="s">
        <v>7955</v>
      </c>
      <c r="Y99" s="30"/>
      <c r="Z99" s="30">
        <v>9</v>
      </c>
      <c r="AA99" s="30">
        <v>9</v>
      </c>
      <c r="AB99" s="59"/>
      <c r="AC99" s="59"/>
      <c r="AD99" s="35" t="s">
        <v>1104</v>
      </c>
      <c r="AE99" s="202" t="s">
        <v>19</v>
      </c>
      <c r="AF99" s="35" t="s">
        <v>1880</v>
      </c>
      <c r="AG99" s="1079"/>
    </row>
    <row r="100" spans="1:33" s="11" customFormat="1" ht="26.25" customHeight="1" x14ac:dyDescent="0.15">
      <c r="A100" s="8">
        <f t="shared" si="0"/>
        <v>98</v>
      </c>
      <c r="B100" s="36" t="s">
        <v>7950</v>
      </c>
      <c r="C100" s="26" t="s">
        <v>19</v>
      </c>
      <c r="D100" s="26" t="s">
        <v>19</v>
      </c>
      <c r="E100" s="26" t="s">
        <v>19</v>
      </c>
      <c r="F100" s="29" t="s">
        <v>7951</v>
      </c>
      <c r="G100" s="53" t="s">
        <v>7952</v>
      </c>
      <c r="H100" s="1080" t="s">
        <v>1881</v>
      </c>
      <c r="I100" s="1080" t="s">
        <v>1146</v>
      </c>
      <c r="J100" s="21" t="s">
        <v>3554</v>
      </c>
      <c r="K100" s="1080" t="s">
        <v>3555</v>
      </c>
      <c r="L100" s="1080" t="s">
        <v>2142</v>
      </c>
      <c r="M100" s="1080" t="s">
        <v>1880</v>
      </c>
      <c r="N100" s="1080" t="s">
        <v>2422</v>
      </c>
      <c r="O100" s="54" t="s">
        <v>6971</v>
      </c>
      <c r="P100" s="1080" t="s">
        <v>111</v>
      </c>
      <c r="Q100" s="1080" t="s">
        <v>1151</v>
      </c>
      <c r="R100" s="1080" t="s">
        <v>1151</v>
      </c>
      <c r="S100" s="24" t="s">
        <v>7953</v>
      </c>
      <c r="T100" s="90" t="s">
        <v>7954</v>
      </c>
      <c r="U100" s="1080" t="s">
        <v>2359</v>
      </c>
      <c r="V100" s="1080">
        <v>2</v>
      </c>
      <c r="W100" s="1080" t="s">
        <v>6526</v>
      </c>
      <c r="X100" s="1080" t="s">
        <v>7956</v>
      </c>
      <c r="Y100" s="150"/>
      <c r="Z100" s="150">
        <v>9</v>
      </c>
      <c r="AA100" s="150">
        <v>9</v>
      </c>
      <c r="AB100" s="59"/>
      <c r="AC100" s="59"/>
      <c r="AD100" s="1080" t="s">
        <v>1104</v>
      </c>
      <c r="AE100" s="202" t="s">
        <v>1880</v>
      </c>
      <c r="AF100" s="133" t="s">
        <v>1880</v>
      </c>
      <c r="AG100" s="1079"/>
    </row>
    <row r="101" spans="1:33" s="11" customFormat="1" ht="26.25" customHeight="1" x14ac:dyDescent="0.15">
      <c r="A101" s="8">
        <f t="shared" si="0"/>
        <v>99</v>
      </c>
      <c r="B101" s="36" t="s">
        <v>7958</v>
      </c>
      <c r="C101" s="26" t="s">
        <v>19</v>
      </c>
      <c r="D101" s="26" t="s">
        <v>19</v>
      </c>
      <c r="E101" s="26" t="s">
        <v>19</v>
      </c>
      <c r="F101" s="29" t="s">
        <v>7960</v>
      </c>
      <c r="G101" s="723" t="s">
        <v>3937</v>
      </c>
      <c r="H101" s="1081" t="s">
        <v>1487</v>
      </c>
      <c r="I101" s="1081" t="s">
        <v>1416</v>
      </c>
      <c r="J101" s="1081" t="s">
        <v>7959</v>
      </c>
      <c r="K101" s="1082" t="s">
        <v>4780</v>
      </c>
      <c r="L101" s="1082" t="s">
        <v>1826</v>
      </c>
      <c r="M101" s="1082" t="s">
        <v>111</v>
      </c>
      <c r="N101" s="1082" t="s">
        <v>1818</v>
      </c>
      <c r="O101" s="151" t="s">
        <v>7451</v>
      </c>
      <c r="P101" s="22" t="s">
        <v>1880</v>
      </c>
      <c r="Q101" s="1081" t="s">
        <v>5571</v>
      </c>
      <c r="R101" s="1081" t="s">
        <v>5571</v>
      </c>
      <c r="S101" s="24" t="s">
        <v>7961</v>
      </c>
      <c r="T101" s="90" t="s">
        <v>448</v>
      </c>
      <c r="U101" s="1082" t="s">
        <v>1880</v>
      </c>
      <c r="V101" s="1082" t="s">
        <v>1880</v>
      </c>
      <c r="W101" s="24" t="s">
        <v>448</v>
      </c>
      <c r="X101" s="24" t="s">
        <v>448</v>
      </c>
      <c r="Y101" s="30">
        <v>3</v>
      </c>
      <c r="Z101" s="30"/>
      <c r="AA101" s="30">
        <v>3</v>
      </c>
      <c r="AB101" s="59"/>
      <c r="AC101" s="59"/>
      <c r="AD101" s="1082" t="s">
        <v>1104</v>
      </c>
      <c r="AE101" s="202" t="s">
        <v>19</v>
      </c>
      <c r="AF101" s="35" t="s">
        <v>1880</v>
      </c>
      <c r="AG101" s="1081"/>
    </row>
    <row r="102" spans="1:33" s="11" customFormat="1" ht="26.25" customHeight="1" x14ac:dyDescent="0.15">
      <c r="A102" s="8">
        <f t="shared" si="0"/>
        <v>100</v>
      </c>
      <c r="B102" s="36" t="s">
        <v>7963</v>
      </c>
      <c r="C102" s="26" t="s">
        <v>19</v>
      </c>
      <c r="D102" s="26" t="s">
        <v>19</v>
      </c>
      <c r="E102" s="26" t="s">
        <v>19</v>
      </c>
      <c r="F102" s="29" t="s">
        <v>5975</v>
      </c>
      <c r="G102" s="53" t="s">
        <v>7965</v>
      </c>
      <c r="H102" s="1083" t="s">
        <v>5448</v>
      </c>
      <c r="I102" s="1083" t="s">
        <v>1124</v>
      </c>
      <c r="J102" s="1083" t="s">
        <v>5449</v>
      </c>
      <c r="K102" s="22" t="s">
        <v>6198</v>
      </c>
      <c r="L102" s="22" t="s">
        <v>1826</v>
      </c>
      <c r="M102" s="1085" t="s">
        <v>1880</v>
      </c>
      <c r="N102" s="1085" t="s">
        <v>1818</v>
      </c>
      <c r="O102" s="151" t="s">
        <v>7451</v>
      </c>
      <c r="P102" s="22" t="s">
        <v>1880</v>
      </c>
      <c r="Q102" s="1084" t="s">
        <v>5487</v>
      </c>
      <c r="R102" s="1084" t="s">
        <v>5487</v>
      </c>
      <c r="S102" s="24" t="s">
        <v>7966</v>
      </c>
      <c r="T102" s="90" t="s">
        <v>7967</v>
      </c>
      <c r="U102" s="24" t="s">
        <v>110</v>
      </c>
      <c r="V102" s="24">
        <v>1</v>
      </c>
      <c r="W102" s="24" t="s">
        <v>448</v>
      </c>
      <c r="X102" s="24" t="s">
        <v>448</v>
      </c>
      <c r="Y102" s="30">
        <v>7.4</v>
      </c>
      <c r="Z102" s="30"/>
      <c r="AA102" s="30">
        <v>7.4</v>
      </c>
      <c r="AB102" s="59"/>
      <c r="AC102" s="59"/>
      <c r="AD102" s="35" t="s">
        <v>1104</v>
      </c>
      <c r="AE102" s="202" t="s">
        <v>19</v>
      </c>
      <c r="AF102" s="35" t="s">
        <v>1880</v>
      </c>
      <c r="AG102" s="1084"/>
    </row>
    <row r="103" spans="1:33" s="11" customFormat="1" ht="26.25" customHeight="1" x14ac:dyDescent="0.15">
      <c r="A103" s="8">
        <f t="shared" si="0"/>
        <v>101</v>
      </c>
      <c r="B103" s="36" t="s">
        <v>7964</v>
      </c>
      <c r="C103" s="26" t="s">
        <v>19</v>
      </c>
      <c r="D103" s="26" t="s">
        <v>19</v>
      </c>
      <c r="E103" s="26" t="s">
        <v>19</v>
      </c>
      <c r="F103" s="29" t="s">
        <v>5975</v>
      </c>
      <c r="G103" s="53" t="s">
        <v>7965</v>
      </c>
      <c r="H103" s="1083" t="s">
        <v>5448</v>
      </c>
      <c r="I103" s="1083" t="s">
        <v>1124</v>
      </c>
      <c r="J103" s="1083" t="s">
        <v>5454</v>
      </c>
      <c r="K103" s="22" t="s">
        <v>6204</v>
      </c>
      <c r="L103" s="22" t="s">
        <v>1826</v>
      </c>
      <c r="M103" s="1085" t="s">
        <v>1880</v>
      </c>
      <c r="N103" s="1085" t="s">
        <v>1818</v>
      </c>
      <c r="O103" s="151" t="s">
        <v>7451</v>
      </c>
      <c r="P103" s="22" t="s">
        <v>1880</v>
      </c>
      <c r="Q103" s="1084" t="s">
        <v>5487</v>
      </c>
      <c r="R103" s="1084" t="s">
        <v>5487</v>
      </c>
      <c r="S103" s="24" t="s">
        <v>7966</v>
      </c>
      <c r="T103" s="90" t="s">
        <v>7967</v>
      </c>
      <c r="U103" s="24" t="s">
        <v>110</v>
      </c>
      <c r="V103" s="24">
        <v>1</v>
      </c>
      <c r="W103" s="24" t="s">
        <v>448</v>
      </c>
      <c r="X103" s="24" t="s">
        <v>448</v>
      </c>
      <c r="Y103" s="30">
        <v>7.4</v>
      </c>
      <c r="Z103" s="30"/>
      <c r="AA103" s="30">
        <v>7.4</v>
      </c>
      <c r="AB103" s="59"/>
      <c r="AC103" s="59"/>
      <c r="AD103" s="35" t="s">
        <v>1104</v>
      </c>
      <c r="AE103" s="202" t="s">
        <v>19</v>
      </c>
      <c r="AF103" s="35" t="s">
        <v>1880</v>
      </c>
      <c r="AG103" s="1084"/>
    </row>
    <row r="104" spans="1:33" s="11" customFormat="1" ht="26.25" customHeight="1" x14ac:dyDescent="0.15">
      <c r="A104" s="8">
        <f t="shared" si="0"/>
        <v>102</v>
      </c>
      <c r="B104" s="36" t="s">
        <v>7962</v>
      </c>
      <c r="C104" s="26" t="s">
        <v>19</v>
      </c>
      <c r="D104" s="26" t="s">
        <v>19</v>
      </c>
      <c r="E104" s="26" t="s">
        <v>19</v>
      </c>
      <c r="F104" s="29" t="s">
        <v>4488</v>
      </c>
      <c r="G104" s="29" t="s">
        <v>7968</v>
      </c>
      <c r="H104" s="1083" t="s">
        <v>4195</v>
      </c>
      <c r="I104" s="1083" t="s">
        <v>4721</v>
      </c>
      <c r="J104" s="1083" t="s">
        <v>7970</v>
      </c>
      <c r="K104" s="22" t="s">
        <v>7969</v>
      </c>
      <c r="L104" s="22" t="s">
        <v>5478</v>
      </c>
      <c r="M104" s="1085" t="s">
        <v>1880</v>
      </c>
      <c r="N104" s="1070" t="s">
        <v>2422</v>
      </c>
      <c r="O104" s="151" t="s">
        <v>7451</v>
      </c>
      <c r="P104" s="22" t="s">
        <v>1880</v>
      </c>
      <c r="Q104" s="1070" t="s">
        <v>1152</v>
      </c>
      <c r="R104" s="1084" t="s">
        <v>1152</v>
      </c>
      <c r="S104" s="24" t="s">
        <v>7966</v>
      </c>
      <c r="T104" s="24" t="s">
        <v>7971</v>
      </c>
      <c r="U104" s="24" t="s">
        <v>110</v>
      </c>
      <c r="V104" s="24">
        <v>1</v>
      </c>
      <c r="W104" s="24" t="s">
        <v>448</v>
      </c>
      <c r="X104" s="24" t="s">
        <v>448</v>
      </c>
      <c r="Y104" s="30">
        <v>2.9</v>
      </c>
      <c r="Z104" s="30"/>
      <c r="AA104" s="30">
        <v>2.9</v>
      </c>
      <c r="AB104" s="59"/>
      <c r="AC104" s="59"/>
      <c r="AD104" s="35" t="s">
        <v>1104</v>
      </c>
      <c r="AE104" s="202" t="s">
        <v>19</v>
      </c>
      <c r="AF104" s="35" t="s">
        <v>1880</v>
      </c>
      <c r="AG104" s="1070"/>
    </row>
    <row r="105" spans="1:33" s="11" customFormat="1" ht="26.25" customHeight="1" x14ac:dyDescent="0.15">
      <c r="A105" s="8">
        <f t="shared" si="0"/>
        <v>103</v>
      </c>
      <c r="B105" s="36" t="s">
        <v>7972</v>
      </c>
      <c r="C105" s="26" t="s">
        <v>19</v>
      </c>
      <c r="D105" s="26" t="s">
        <v>19</v>
      </c>
      <c r="E105" s="36" t="s">
        <v>10320</v>
      </c>
      <c r="F105" s="29" t="s">
        <v>7975</v>
      </c>
      <c r="G105" s="53" t="s">
        <v>7976</v>
      </c>
      <c r="H105" s="1086" t="s">
        <v>3641</v>
      </c>
      <c r="I105" s="1086" t="s">
        <v>2054</v>
      </c>
      <c r="J105" s="1086" t="s">
        <v>7977</v>
      </c>
      <c r="K105" s="1090" t="s">
        <v>4780</v>
      </c>
      <c r="L105" s="22" t="s">
        <v>1826</v>
      </c>
      <c r="M105" s="1090" t="s">
        <v>1880</v>
      </c>
      <c r="N105" s="1090" t="s">
        <v>1818</v>
      </c>
      <c r="O105" s="54" t="s">
        <v>4980</v>
      </c>
      <c r="P105" s="22" t="s">
        <v>1880</v>
      </c>
      <c r="Q105" s="1087" t="s">
        <v>1785</v>
      </c>
      <c r="R105" s="1089" t="s">
        <v>1785</v>
      </c>
      <c r="S105" s="24" t="s">
        <v>7974</v>
      </c>
      <c r="T105" s="90" t="s">
        <v>7978</v>
      </c>
      <c r="U105" s="24" t="s">
        <v>110</v>
      </c>
      <c r="V105" s="24">
        <v>1</v>
      </c>
      <c r="W105" s="24" t="s">
        <v>448</v>
      </c>
      <c r="X105" s="24" t="s">
        <v>448</v>
      </c>
      <c r="Y105" s="30">
        <v>29.88</v>
      </c>
      <c r="Z105" s="30"/>
      <c r="AA105" s="30">
        <v>29.88</v>
      </c>
      <c r="AB105" s="59"/>
      <c r="AC105" s="59"/>
      <c r="AD105" s="35" t="s">
        <v>1104</v>
      </c>
      <c r="AE105" s="202" t="s">
        <v>19</v>
      </c>
      <c r="AF105" s="35" t="s">
        <v>1880</v>
      </c>
      <c r="AG105" s="1087"/>
    </row>
    <row r="106" spans="1:33" s="11" customFormat="1" ht="26.25" customHeight="1" x14ac:dyDescent="0.15">
      <c r="A106" s="8">
        <f t="shared" si="0"/>
        <v>104</v>
      </c>
      <c r="B106" s="36" t="s">
        <v>7973</v>
      </c>
      <c r="C106" s="71" t="s">
        <v>7990</v>
      </c>
      <c r="D106" s="26" t="s">
        <v>19</v>
      </c>
      <c r="E106" s="26" t="s">
        <v>19</v>
      </c>
      <c r="F106" s="29" t="s">
        <v>7979</v>
      </c>
      <c r="G106" s="53" t="s">
        <v>7989</v>
      </c>
      <c r="H106" s="1088" t="s">
        <v>2113</v>
      </c>
      <c r="I106" s="1088" t="s">
        <v>1146</v>
      </c>
      <c r="J106" s="1088" t="s">
        <v>7980</v>
      </c>
      <c r="K106" s="1090" t="s">
        <v>7981</v>
      </c>
      <c r="L106" s="22" t="s">
        <v>1826</v>
      </c>
      <c r="M106" s="1090" t="s">
        <v>1880</v>
      </c>
      <c r="N106" s="1090" t="s">
        <v>1818</v>
      </c>
      <c r="O106" s="54" t="s">
        <v>7991</v>
      </c>
      <c r="P106" s="22" t="s">
        <v>1880</v>
      </c>
      <c r="Q106" s="1087" t="s">
        <v>5489</v>
      </c>
      <c r="R106" s="1087" t="s">
        <v>5489</v>
      </c>
      <c r="S106" s="24" t="s">
        <v>7974</v>
      </c>
      <c r="T106" s="90" t="s">
        <v>7978</v>
      </c>
      <c r="U106" s="24" t="s">
        <v>110</v>
      </c>
      <c r="V106" s="24">
        <v>1</v>
      </c>
      <c r="W106" s="24" t="s">
        <v>448</v>
      </c>
      <c r="X106" s="24" t="s">
        <v>448</v>
      </c>
      <c r="Y106" s="30">
        <v>2.8</v>
      </c>
      <c r="Z106" s="30"/>
      <c r="AA106" s="30">
        <v>2.8</v>
      </c>
      <c r="AB106" s="59"/>
      <c r="AC106" s="59"/>
      <c r="AD106" s="35" t="s">
        <v>1104</v>
      </c>
      <c r="AE106" s="202" t="s">
        <v>19</v>
      </c>
      <c r="AF106" s="35" t="s">
        <v>1880</v>
      </c>
      <c r="AG106" s="1087"/>
    </row>
    <row r="107" spans="1:33" s="11" customFormat="1" ht="26.25" customHeight="1" x14ac:dyDescent="0.15">
      <c r="A107" s="8">
        <f t="shared" si="0"/>
        <v>105</v>
      </c>
      <c r="B107" s="36" t="s">
        <v>7984</v>
      </c>
      <c r="C107" s="26" t="s">
        <v>19</v>
      </c>
      <c r="D107" s="26" t="s">
        <v>19</v>
      </c>
      <c r="E107" s="26" t="s">
        <v>19</v>
      </c>
      <c r="F107" s="29" t="s">
        <v>6639</v>
      </c>
      <c r="G107" s="53" t="s">
        <v>7985</v>
      </c>
      <c r="H107" s="1091" t="s">
        <v>4791</v>
      </c>
      <c r="I107" s="1091" t="s">
        <v>3101</v>
      </c>
      <c r="J107" s="1091" t="s">
        <v>6641</v>
      </c>
      <c r="K107" s="22" t="s">
        <v>7829</v>
      </c>
      <c r="L107" s="1092" t="s">
        <v>5431</v>
      </c>
      <c r="M107" s="1093" t="s">
        <v>111</v>
      </c>
      <c r="N107" s="1092" t="s">
        <v>1131</v>
      </c>
      <c r="O107" s="54" t="s">
        <v>7986</v>
      </c>
      <c r="P107" s="22" t="s">
        <v>1880</v>
      </c>
      <c r="Q107" s="1092" t="s">
        <v>446</v>
      </c>
      <c r="R107" s="1092" t="s">
        <v>446</v>
      </c>
      <c r="S107" s="24" t="s">
        <v>7987</v>
      </c>
      <c r="T107" s="90" t="s">
        <v>7988</v>
      </c>
      <c r="U107" s="24" t="s">
        <v>110</v>
      </c>
      <c r="V107" s="24">
        <v>1</v>
      </c>
      <c r="W107" s="24" t="s">
        <v>448</v>
      </c>
      <c r="X107" s="24" t="s">
        <v>448</v>
      </c>
      <c r="Y107" s="30">
        <v>7.15</v>
      </c>
      <c r="Z107" s="30"/>
      <c r="AA107" s="30">
        <v>7.15</v>
      </c>
      <c r="AB107" s="59"/>
      <c r="AC107" s="59"/>
      <c r="AD107" s="35" t="s">
        <v>1104</v>
      </c>
      <c r="AE107" s="202" t="s">
        <v>19</v>
      </c>
      <c r="AF107" s="35" t="s">
        <v>1880</v>
      </c>
      <c r="AG107" s="1040"/>
    </row>
    <row r="108" spans="1:33" s="11" customFormat="1" ht="26.25" customHeight="1" x14ac:dyDescent="0.15">
      <c r="A108" s="8">
        <f t="shared" si="0"/>
        <v>106</v>
      </c>
      <c r="B108" s="36" t="s">
        <v>7992</v>
      </c>
      <c r="C108" s="26" t="s">
        <v>19</v>
      </c>
      <c r="D108" s="26" t="s">
        <v>19</v>
      </c>
      <c r="E108" s="26" t="s">
        <v>19</v>
      </c>
      <c r="F108" s="151" t="s">
        <v>8005</v>
      </c>
      <c r="G108" s="54" t="s">
        <v>8011</v>
      </c>
      <c r="H108" s="1099" t="s">
        <v>2135</v>
      </c>
      <c r="I108" s="1099" t="s">
        <v>2533</v>
      </c>
      <c r="J108" s="1098" t="s">
        <v>1010</v>
      </c>
      <c r="K108" s="2" t="s">
        <v>1011</v>
      </c>
      <c r="L108" s="1099" t="s">
        <v>1826</v>
      </c>
      <c r="M108" s="1099" t="s">
        <v>111</v>
      </c>
      <c r="N108" s="22" t="s">
        <v>454</v>
      </c>
      <c r="O108" s="151" t="s">
        <v>1819</v>
      </c>
      <c r="P108" s="1099" t="s">
        <v>111</v>
      </c>
      <c r="Q108" s="1098" t="s">
        <v>5487</v>
      </c>
      <c r="R108" s="1098" t="s">
        <v>5487</v>
      </c>
      <c r="S108" s="24" t="s">
        <v>8012</v>
      </c>
      <c r="T108" s="130" t="s">
        <v>8013</v>
      </c>
      <c r="U108" s="1099" t="s">
        <v>2359</v>
      </c>
      <c r="V108" s="1099">
        <v>1</v>
      </c>
      <c r="W108" s="24" t="s">
        <v>8014</v>
      </c>
      <c r="X108" s="24" t="s">
        <v>8015</v>
      </c>
      <c r="Y108" s="150"/>
      <c r="Z108" s="150">
        <v>7</v>
      </c>
      <c r="AA108" s="150">
        <v>7</v>
      </c>
      <c r="AB108" s="701"/>
      <c r="AC108" s="701"/>
      <c r="AD108" s="1099" t="s">
        <v>1104</v>
      </c>
      <c r="AE108" s="202" t="s">
        <v>1880</v>
      </c>
      <c r="AF108" s="133" t="s">
        <v>1880</v>
      </c>
      <c r="AG108" s="1098"/>
    </row>
    <row r="109" spans="1:33" s="11" customFormat="1" ht="26.25" customHeight="1" x14ac:dyDescent="0.15">
      <c r="A109" s="8">
        <f t="shared" si="0"/>
        <v>107</v>
      </c>
      <c r="B109" s="36" t="s">
        <v>7993</v>
      </c>
      <c r="C109" s="26" t="s">
        <v>19</v>
      </c>
      <c r="D109" s="26" t="s">
        <v>19</v>
      </c>
      <c r="E109" s="26" t="s">
        <v>19</v>
      </c>
      <c r="F109" s="151" t="s">
        <v>8006</v>
      </c>
      <c r="G109" s="54" t="s">
        <v>8016</v>
      </c>
      <c r="H109" s="1099" t="s">
        <v>2135</v>
      </c>
      <c r="I109" s="1099" t="s">
        <v>2533</v>
      </c>
      <c r="J109" s="21" t="s">
        <v>3667</v>
      </c>
      <c r="K109" s="1098" t="s">
        <v>3668</v>
      </c>
      <c r="L109" s="1099" t="s">
        <v>1826</v>
      </c>
      <c r="M109" s="1099" t="s">
        <v>111</v>
      </c>
      <c r="N109" s="22" t="s">
        <v>454</v>
      </c>
      <c r="O109" s="151" t="s">
        <v>1819</v>
      </c>
      <c r="P109" s="1099" t="s">
        <v>111</v>
      </c>
      <c r="Q109" s="1098" t="s">
        <v>5487</v>
      </c>
      <c r="R109" s="1098" t="s">
        <v>5487</v>
      </c>
      <c r="S109" s="24" t="s">
        <v>8012</v>
      </c>
      <c r="T109" s="130" t="s">
        <v>8013</v>
      </c>
      <c r="U109" s="1099" t="s">
        <v>2359</v>
      </c>
      <c r="V109" s="1099">
        <v>1</v>
      </c>
      <c r="W109" s="24" t="s">
        <v>8014</v>
      </c>
      <c r="X109" s="24" t="s">
        <v>8015</v>
      </c>
      <c r="Y109" s="150"/>
      <c r="Z109" s="150">
        <v>7</v>
      </c>
      <c r="AA109" s="150">
        <v>7</v>
      </c>
      <c r="AB109" s="701"/>
      <c r="AC109" s="701"/>
      <c r="AD109" s="1099" t="s">
        <v>1104</v>
      </c>
      <c r="AE109" s="202" t="s">
        <v>1880</v>
      </c>
      <c r="AF109" s="133" t="s">
        <v>1880</v>
      </c>
      <c r="AG109" s="1098"/>
    </row>
    <row r="110" spans="1:33" s="11" customFormat="1" ht="26.25" customHeight="1" x14ac:dyDescent="0.15">
      <c r="A110" s="8">
        <f t="shared" si="0"/>
        <v>108</v>
      </c>
      <c r="B110" s="36" t="s">
        <v>7994</v>
      </c>
      <c r="C110" s="26" t="s">
        <v>19</v>
      </c>
      <c r="D110" s="26" t="s">
        <v>19</v>
      </c>
      <c r="E110" s="26" t="s">
        <v>19</v>
      </c>
      <c r="F110" s="54" t="s">
        <v>176</v>
      </c>
      <c r="G110" s="54" t="s">
        <v>8017</v>
      </c>
      <c r="H110" s="1099" t="s">
        <v>2135</v>
      </c>
      <c r="I110" s="1099" t="s">
        <v>2533</v>
      </c>
      <c r="J110" s="21" t="s">
        <v>3636</v>
      </c>
      <c r="K110" s="1099" t="s">
        <v>3637</v>
      </c>
      <c r="L110" s="1099" t="s">
        <v>2142</v>
      </c>
      <c r="M110" s="1099" t="s">
        <v>111</v>
      </c>
      <c r="N110" s="22" t="s">
        <v>575</v>
      </c>
      <c r="O110" s="151" t="s">
        <v>1819</v>
      </c>
      <c r="P110" s="1099" t="s">
        <v>111</v>
      </c>
      <c r="Q110" s="1098" t="s">
        <v>5487</v>
      </c>
      <c r="R110" s="1098" t="s">
        <v>5487</v>
      </c>
      <c r="S110" s="24" t="s">
        <v>8012</v>
      </c>
      <c r="T110" s="130" t="s">
        <v>8013</v>
      </c>
      <c r="U110" s="1099" t="s">
        <v>2359</v>
      </c>
      <c r="V110" s="1099">
        <v>1</v>
      </c>
      <c r="W110" s="24" t="s">
        <v>8014</v>
      </c>
      <c r="X110" s="24" t="s">
        <v>8015</v>
      </c>
      <c r="Y110" s="150"/>
      <c r="Z110" s="150">
        <v>7</v>
      </c>
      <c r="AA110" s="150">
        <v>7</v>
      </c>
      <c r="AB110" s="701"/>
      <c r="AC110" s="701"/>
      <c r="AD110" s="1099" t="s">
        <v>1104</v>
      </c>
      <c r="AE110" s="202" t="s">
        <v>1880</v>
      </c>
      <c r="AF110" s="133" t="s">
        <v>1880</v>
      </c>
      <c r="AG110" s="1098"/>
    </row>
    <row r="111" spans="1:33" s="11" customFormat="1" ht="26.25" customHeight="1" x14ac:dyDescent="0.15">
      <c r="A111" s="8">
        <f t="shared" si="0"/>
        <v>109</v>
      </c>
      <c r="B111" s="36" t="s">
        <v>7995</v>
      </c>
      <c r="C111" s="26" t="s">
        <v>19</v>
      </c>
      <c r="D111" s="26" t="s">
        <v>19</v>
      </c>
      <c r="E111" s="26" t="s">
        <v>19</v>
      </c>
      <c r="F111" s="151" t="s">
        <v>8007</v>
      </c>
      <c r="G111" s="54" t="s">
        <v>8018</v>
      </c>
      <c r="H111" s="1099" t="s">
        <v>2135</v>
      </c>
      <c r="I111" s="1099" t="s">
        <v>2533</v>
      </c>
      <c r="J111" s="21" t="s">
        <v>3634</v>
      </c>
      <c r="K111" s="1099" t="s">
        <v>3635</v>
      </c>
      <c r="L111" s="1099" t="s">
        <v>1826</v>
      </c>
      <c r="M111" s="1099" t="s">
        <v>111</v>
      </c>
      <c r="N111" s="22" t="s">
        <v>454</v>
      </c>
      <c r="O111" s="151" t="s">
        <v>1819</v>
      </c>
      <c r="P111" s="1099" t="s">
        <v>111</v>
      </c>
      <c r="Q111" s="1098" t="s">
        <v>5487</v>
      </c>
      <c r="R111" s="1098" t="s">
        <v>5487</v>
      </c>
      <c r="S111" s="24" t="s">
        <v>8012</v>
      </c>
      <c r="T111" s="130" t="s">
        <v>8013</v>
      </c>
      <c r="U111" s="1099" t="s">
        <v>2359</v>
      </c>
      <c r="V111" s="1099">
        <v>1</v>
      </c>
      <c r="W111" s="24" t="s">
        <v>8014</v>
      </c>
      <c r="X111" s="24" t="s">
        <v>8015</v>
      </c>
      <c r="Y111" s="150"/>
      <c r="Z111" s="150">
        <v>7</v>
      </c>
      <c r="AA111" s="150">
        <v>7</v>
      </c>
      <c r="AB111" s="701"/>
      <c r="AC111" s="701"/>
      <c r="AD111" s="1099" t="s">
        <v>1104</v>
      </c>
      <c r="AE111" s="202" t="s">
        <v>1880</v>
      </c>
      <c r="AF111" s="133" t="s">
        <v>1880</v>
      </c>
      <c r="AG111" s="1098"/>
    </row>
    <row r="112" spans="1:33" s="11" customFormat="1" ht="26.25" customHeight="1" x14ac:dyDescent="0.15">
      <c r="A112" s="8">
        <f t="shared" si="0"/>
        <v>110</v>
      </c>
      <c r="B112" s="36" t="s">
        <v>7996</v>
      </c>
      <c r="C112" s="26" t="s">
        <v>19</v>
      </c>
      <c r="D112" s="26" t="s">
        <v>19</v>
      </c>
      <c r="E112" s="26" t="s">
        <v>19</v>
      </c>
      <c r="F112" s="151" t="s">
        <v>8008</v>
      </c>
      <c r="G112" s="54" t="s">
        <v>8019</v>
      </c>
      <c r="H112" s="1099" t="s">
        <v>2135</v>
      </c>
      <c r="I112" s="1099" t="s">
        <v>2533</v>
      </c>
      <c r="J112" s="44" t="s">
        <v>3644</v>
      </c>
      <c r="K112" s="71" t="s">
        <v>3633</v>
      </c>
      <c r="L112" s="1099" t="s">
        <v>1826</v>
      </c>
      <c r="M112" s="1099" t="s">
        <v>111</v>
      </c>
      <c r="N112" s="22" t="s">
        <v>454</v>
      </c>
      <c r="O112" s="151" t="s">
        <v>1819</v>
      </c>
      <c r="P112" s="1099" t="s">
        <v>111</v>
      </c>
      <c r="Q112" s="1098" t="s">
        <v>5487</v>
      </c>
      <c r="R112" s="1098" t="s">
        <v>5487</v>
      </c>
      <c r="S112" s="24" t="s">
        <v>8012</v>
      </c>
      <c r="T112" s="130" t="s">
        <v>8013</v>
      </c>
      <c r="U112" s="1099" t="s">
        <v>2359</v>
      </c>
      <c r="V112" s="1099">
        <v>1</v>
      </c>
      <c r="W112" s="24" t="s">
        <v>8014</v>
      </c>
      <c r="X112" s="24" t="s">
        <v>8015</v>
      </c>
      <c r="Y112" s="150"/>
      <c r="Z112" s="150">
        <v>7</v>
      </c>
      <c r="AA112" s="150">
        <v>7</v>
      </c>
      <c r="AB112" s="701"/>
      <c r="AC112" s="701"/>
      <c r="AD112" s="1099" t="s">
        <v>1104</v>
      </c>
      <c r="AE112" s="202" t="s">
        <v>1880</v>
      </c>
      <c r="AF112" s="133" t="s">
        <v>1880</v>
      </c>
      <c r="AG112" s="1098"/>
    </row>
    <row r="113" spans="1:33" s="11" customFormat="1" ht="26.25" customHeight="1" x14ac:dyDescent="0.15">
      <c r="A113" s="8">
        <f t="shared" si="0"/>
        <v>111</v>
      </c>
      <c r="B113" s="36" t="s">
        <v>7997</v>
      </c>
      <c r="C113" s="26" t="s">
        <v>19</v>
      </c>
      <c r="D113" s="26" t="s">
        <v>19</v>
      </c>
      <c r="E113" s="26" t="s">
        <v>19</v>
      </c>
      <c r="F113" s="151" t="s">
        <v>8007</v>
      </c>
      <c r="G113" s="54" t="s">
        <v>8020</v>
      </c>
      <c r="H113" s="1099" t="s">
        <v>2135</v>
      </c>
      <c r="I113" s="1099" t="s">
        <v>2533</v>
      </c>
      <c r="J113" s="21" t="s">
        <v>3630</v>
      </c>
      <c r="K113" s="2" t="s">
        <v>1018</v>
      </c>
      <c r="L113" s="1099" t="s">
        <v>2142</v>
      </c>
      <c r="M113" s="1099" t="s">
        <v>111</v>
      </c>
      <c r="N113" s="22" t="s">
        <v>575</v>
      </c>
      <c r="O113" s="151" t="s">
        <v>1819</v>
      </c>
      <c r="P113" s="1099" t="s">
        <v>111</v>
      </c>
      <c r="Q113" s="1098" t="s">
        <v>5487</v>
      </c>
      <c r="R113" s="1098" t="s">
        <v>5487</v>
      </c>
      <c r="S113" s="24" t="s">
        <v>8012</v>
      </c>
      <c r="T113" s="130" t="s">
        <v>8013</v>
      </c>
      <c r="U113" s="1099" t="s">
        <v>2359</v>
      </c>
      <c r="V113" s="1099">
        <v>1</v>
      </c>
      <c r="W113" s="24" t="s">
        <v>8014</v>
      </c>
      <c r="X113" s="24" t="s">
        <v>8015</v>
      </c>
      <c r="Y113" s="150"/>
      <c r="Z113" s="150">
        <v>7</v>
      </c>
      <c r="AA113" s="150">
        <v>7</v>
      </c>
      <c r="AB113" s="701"/>
      <c r="AC113" s="701"/>
      <c r="AD113" s="1099" t="s">
        <v>1104</v>
      </c>
      <c r="AE113" s="202" t="s">
        <v>1880</v>
      </c>
      <c r="AF113" s="133" t="s">
        <v>1880</v>
      </c>
      <c r="AG113" s="1098"/>
    </row>
    <row r="114" spans="1:33" s="11" customFormat="1" ht="26.25" customHeight="1" x14ac:dyDescent="0.15">
      <c r="A114" s="8">
        <f t="shared" si="0"/>
        <v>112</v>
      </c>
      <c r="B114" s="36" t="s">
        <v>7998</v>
      </c>
      <c r="C114" s="26" t="s">
        <v>19</v>
      </c>
      <c r="D114" s="26" t="s">
        <v>19</v>
      </c>
      <c r="E114" s="26" t="s">
        <v>19</v>
      </c>
      <c r="F114" s="151" t="s">
        <v>8009</v>
      </c>
      <c r="G114" s="54" t="s">
        <v>8021</v>
      </c>
      <c r="H114" s="1099" t="s">
        <v>2135</v>
      </c>
      <c r="I114" s="1099" t="s">
        <v>2533</v>
      </c>
      <c r="J114" s="21" t="s">
        <v>3629</v>
      </c>
      <c r="K114" s="71" t="s">
        <v>3645</v>
      </c>
      <c r="L114" s="1099" t="s">
        <v>2142</v>
      </c>
      <c r="M114" s="1099" t="s">
        <v>111</v>
      </c>
      <c r="N114" s="22" t="s">
        <v>575</v>
      </c>
      <c r="O114" s="151" t="s">
        <v>1819</v>
      </c>
      <c r="P114" s="1099" t="s">
        <v>111</v>
      </c>
      <c r="Q114" s="1098" t="s">
        <v>5487</v>
      </c>
      <c r="R114" s="1098" t="s">
        <v>5487</v>
      </c>
      <c r="S114" s="24" t="s">
        <v>8012</v>
      </c>
      <c r="T114" s="130" t="s">
        <v>8013</v>
      </c>
      <c r="U114" s="1099" t="s">
        <v>2359</v>
      </c>
      <c r="V114" s="1099">
        <v>1</v>
      </c>
      <c r="W114" s="24" t="s">
        <v>8014</v>
      </c>
      <c r="X114" s="24" t="s">
        <v>8015</v>
      </c>
      <c r="Y114" s="150"/>
      <c r="Z114" s="150">
        <v>7</v>
      </c>
      <c r="AA114" s="150">
        <v>7</v>
      </c>
      <c r="AB114" s="701"/>
      <c r="AC114" s="701"/>
      <c r="AD114" s="1099" t="s">
        <v>1104</v>
      </c>
      <c r="AE114" s="202" t="s">
        <v>1880</v>
      </c>
      <c r="AF114" s="133" t="s">
        <v>1880</v>
      </c>
      <c r="AG114" s="1098"/>
    </row>
    <row r="115" spans="1:33" s="11" customFormat="1" ht="26.25" customHeight="1" x14ac:dyDescent="0.15">
      <c r="A115" s="8">
        <f t="shared" si="0"/>
        <v>113</v>
      </c>
      <c r="B115" s="36" t="s">
        <v>7999</v>
      </c>
      <c r="C115" s="26" t="s">
        <v>19</v>
      </c>
      <c r="D115" s="26" t="s">
        <v>19</v>
      </c>
      <c r="E115" s="26" t="s">
        <v>19</v>
      </c>
      <c r="F115" s="54" t="s">
        <v>8010</v>
      </c>
      <c r="G115" s="54" t="s">
        <v>8022</v>
      </c>
      <c r="H115" s="1099" t="s">
        <v>2135</v>
      </c>
      <c r="I115" s="1099" t="s">
        <v>2533</v>
      </c>
      <c r="J115" s="21" t="s">
        <v>6631</v>
      </c>
      <c r="K115" s="71" t="s">
        <v>7888</v>
      </c>
      <c r="L115" s="1099" t="s">
        <v>1826</v>
      </c>
      <c r="M115" s="1099" t="s">
        <v>111</v>
      </c>
      <c r="N115" s="22" t="s">
        <v>454</v>
      </c>
      <c r="O115" s="151" t="s">
        <v>1819</v>
      </c>
      <c r="P115" s="1099" t="s">
        <v>111</v>
      </c>
      <c r="Q115" s="1098" t="s">
        <v>5487</v>
      </c>
      <c r="R115" s="1098" t="s">
        <v>5487</v>
      </c>
      <c r="S115" s="24" t="s">
        <v>8012</v>
      </c>
      <c r="T115" s="130" t="s">
        <v>8013</v>
      </c>
      <c r="U115" s="1099" t="s">
        <v>2359</v>
      </c>
      <c r="V115" s="1099">
        <v>1</v>
      </c>
      <c r="W115" s="24" t="s">
        <v>8014</v>
      </c>
      <c r="X115" s="24" t="s">
        <v>8015</v>
      </c>
      <c r="Y115" s="150"/>
      <c r="Z115" s="150">
        <v>7</v>
      </c>
      <c r="AA115" s="150">
        <v>7</v>
      </c>
      <c r="AB115" s="701"/>
      <c r="AC115" s="701"/>
      <c r="AD115" s="1099" t="s">
        <v>1104</v>
      </c>
      <c r="AE115" s="202" t="s">
        <v>1880</v>
      </c>
      <c r="AF115" s="133" t="s">
        <v>1880</v>
      </c>
      <c r="AG115" s="1098"/>
    </row>
    <row r="116" spans="1:33" s="11" customFormat="1" ht="26.25" customHeight="1" x14ac:dyDescent="0.15">
      <c r="A116" s="8">
        <f t="shared" si="0"/>
        <v>114</v>
      </c>
      <c r="B116" s="36" t="s">
        <v>8000</v>
      </c>
      <c r="C116" s="26" t="s">
        <v>19</v>
      </c>
      <c r="D116" s="26" t="s">
        <v>19</v>
      </c>
      <c r="E116" s="26" t="s">
        <v>19</v>
      </c>
      <c r="F116" s="54" t="s">
        <v>8010</v>
      </c>
      <c r="G116" s="54" t="s">
        <v>8023</v>
      </c>
      <c r="H116" s="1099" t="s">
        <v>2135</v>
      </c>
      <c r="I116" s="1099" t="s">
        <v>2533</v>
      </c>
      <c r="J116" s="21" t="s">
        <v>5900</v>
      </c>
      <c r="K116" s="1099" t="s">
        <v>4780</v>
      </c>
      <c r="L116" s="1099" t="s">
        <v>1826</v>
      </c>
      <c r="M116" s="1099" t="s">
        <v>111</v>
      </c>
      <c r="N116" s="22" t="s">
        <v>454</v>
      </c>
      <c r="O116" s="151" t="s">
        <v>1819</v>
      </c>
      <c r="P116" s="1099" t="s">
        <v>111</v>
      </c>
      <c r="Q116" s="1098" t="s">
        <v>5487</v>
      </c>
      <c r="R116" s="1098" t="s">
        <v>5487</v>
      </c>
      <c r="S116" s="24" t="s">
        <v>8012</v>
      </c>
      <c r="T116" s="130" t="s">
        <v>8013</v>
      </c>
      <c r="U116" s="1099" t="s">
        <v>2359</v>
      </c>
      <c r="V116" s="1099">
        <v>1</v>
      </c>
      <c r="W116" s="24" t="s">
        <v>8014</v>
      </c>
      <c r="X116" s="24" t="s">
        <v>8015</v>
      </c>
      <c r="Y116" s="150"/>
      <c r="Z116" s="150">
        <v>7</v>
      </c>
      <c r="AA116" s="150">
        <v>7</v>
      </c>
      <c r="AB116" s="701"/>
      <c r="AC116" s="701"/>
      <c r="AD116" s="1099" t="s">
        <v>1104</v>
      </c>
      <c r="AE116" s="202" t="s">
        <v>1880</v>
      </c>
      <c r="AF116" s="133" t="s">
        <v>1880</v>
      </c>
      <c r="AG116" s="1098"/>
    </row>
    <row r="117" spans="1:33" s="11" customFormat="1" ht="26.25" customHeight="1" x14ac:dyDescent="0.15">
      <c r="A117" s="8">
        <f t="shared" si="0"/>
        <v>115</v>
      </c>
      <c r="B117" s="36" t="s">
        <v>8001</v>
      </c>
      <c r="C117" s="26" t="s">
        <v>19</v>
      </c>
      <c r="D117" s="26" t="s">
        <v>19</v>
      </c>
      <c r="E117" s="26" t="s">
        <v>19</v>
      </c>
      <c r="F117" s="54" t="s">
        <v>8010</v>
      </c>
      <c r="G117" s="54" t="s">
        <v>8024</v>
      </c>
      <c r="H117" s="1099" t="s">
        <v>2135</v>
      </c>
      <c r="I117" s="1099" t="s">
        <v>2533</v>
      </c>
      <c r="J117" s="1099" t="s">
        <v>4587</v>
      </c>
      <c r="K117" s="1099" t="s">
        <v>4780</v>
      </c>
      <c r="L117" s="1099" t="s">
        <v>1826</v>
      </c>
      <c r="M117" s="1099" t="s">
        <v>111</v>
      </c>
      <c r="N117" s="22" t="s">
        <v>454</v>
      </c>
      <c r="O117" s="151" t="s">
        <v>1819</v>
      </c>
      <c r="P117" s="1099" t="s">
        <v>111</v>
      </c>
      <c r="Q117" s="1098" t="s">
        <v>5487</v>
      </c>
      <c r="R117" s="1098" t="s">
        <v>5487</v>
      </c>
      <c r="S117" s="24" t="s">
        <v>8012</v>
      </c>
      <c r="T117" s="130" t="s">
        <v>8013</v>
      </c>
      <c r="U117" s="1099" t="s">
        <v>2359</v>
      </c>
      <c r="V117" s="1099">
        <v>1</v>
      </c>
      <c r="W117" s="24" t="s">
        <v>8014</v>
      </c>
      <c r="X117" s="24" t="s">
        <v>8015</v>
      </c>
      <c r="Y117" s="150"/>
      <c r="Z117" s="150">
        <v>7</v>
      </c>
      <c r="AA117" s="150">
        <v>7</v>
      </c>
      <c r="AB117" s="701"/>
      <c r="AC117" s="701"/>
      <c r="AD117" s="1099" t="s">
        <v>1104</v>
      </c>
      <c r="AE117" s="202" t="s">
        <v>1880</v>
      </c>
      <c r="AF117" s="133" t="s">
        <v>1880</v>
      </c>
      <c r="AG117" s="1098"/>
    </row>
    <row r="118" spans="1:33" s="11" customFormat="1" ht="26.25" customHeight="1" x14ac:dyDescent="0.15">
      <c r="A118" s="8">
        <f t="shared" si="0"/>
        <v>116</v>
      </c>
      <c r="B118" s="36" t="s">
        <v>8002</v>
      </c>
      <c r="C118" s="26" t="s">
        <v>19</v>
      </c>
      <c r="D118" s="26" t="s">
        <v>19</v>
      </c>
      <c r="E118" s="26" t="s">
        <v>19</v>
      </c>
      <c r="F118" s="53" t="s">
        <v>7047</v>
      </c>
      <c r="G118" s="29" t="s">
        <v>8025</v>
      </c>
      <c r="H118" s="1097" t="s">
        <v>3649</v>
      </c>
      <c r="I118" s="1097" t="s">
        <v>4750</v>
      </c>
      <c r="J118" s="1097" t="s">
        <v>7076</v>
      </c>
      <c r="K118" s="22" t="s">
        <v>8056</v>
      </c>
      <c r="L118" s="22" t="s">
        <v>5431</v>
      </c>
      <c r="M118" s="1099" t="s">
        <v>111</v>
      </c>
      <c r="N118" s="22" t="s">
        <v>454</v>
      </c>
      <c r="O118" s="151" t="s">
        <v>1819</v>
      </c>
      <c r="P118" s="1099" t="s">
        <v>111</v>
      </c>
      <c r="Q118" s="1098" t="s">
        <v>5487</v>
      </c>
      <c r="R118" s="1098" t="s">
        <v>5487</v>
      </c>
      <c r="S118" s="24" t="s">
        <v>8012</v>
      </c>
      <c r="T118" s="130" t="s">
        <v>8013</v>
      </c>
      <c r="U118" s="1099" t="s">
        <v>2359</v>
      </c>
      <c r="V118" s="1099">
        <v>1</v>
      </c>
      <c r="W118" s="24" t="s">
        <v>8014</v>
      </c>
      <c r="X118" s="24" t="s">
        <v>8015</v>
      </c>
      <c r="Y118" s="150"/>
      <c r="Z118" s="150">
        <v>7</v>
      </c>
      <c r="AA118" s="150">
        <v>7</v>
      </c>
      <c r="AB118" s="59"/>
      <c r="AC118" s="59"/>
      <c r="AD118" s="1099" t="s">
        <v>1104</v>
      </c>
      <c r="AE118" s="202" t="s">
        <v>1880</v>
      </c>
      <c r="AF118" s="133" t="s">
        <v>1880</v>
      </c>
      <c r="AG118" s="1098"/>
    </row>
    <row r="119" spans="1:33" s="11" customFormat="1" ht="26.25" customHeight="1" x14ac:dyDescent="0.15">
      <c r="A119" s="8">
        <f t="shared" si="0"/>
        <v>117</v>
      </c>
      <c r="B119" s="36" t="s">
        <v>8003</v>
      </c>
      <c r="C119" s="26" t="s">
        <v>19</v>
      </c>
      <c r="D119" s="26" t="s">
        <v>19</v>
      </c>
      <c r="E119" s="26" t="s">
        <v>19</v>
      </c>
      <c r="F119" s="53" t="s">
        <v>5554</v>
      </c>
      <c r="G119" s="53" t="s">
        <v>8026</v>
      </c>
      <c r="H119" s="1097" t="s">
        <v>3649</v>
      </c>
      <c r="I119" s="1097" t="s">
        <v>4750</v>
      </c>
      <c r="J119" s="1097" t="s">
        <v>7054</v>
      </c>
      <c r="K119" s="22" t="s">
        <v>4780</v>
      </c>
      <c r="L119" s="22" t="s">
        <v>5431</v>
      </c>
      <c r="M119" s="1099" t="s">
        <v>111</v>
      </c>
      <c r="N119" s="22" t="s">
        <v>454</v>
      </c>
      <c r="O119" s="151" t="s">
        <v>1819</v>
      </c>
      <c r="P119" s="1099" t="s">
        <v>111</v>
      </c>
      <c r="Q119" s="1098" t="s">
        <v>5487</v>
      </c>
      <c r="R119" s="1098" t="s">
        <v>5487</v>
      </c>
      <c r="S119" s="24" t="s">
        <v>8012</v>
      </c>
      <c r="T119" s="130" t="s">
        <v>8013</v>
      </c>
      <c r="U119" s="1099" t="s">
        <v>2359</v>
      </c>
      <c r="V119" s="1099">
        <v>1</v>
      </c>
      <c r="W119" s="24" t="s">
        <v>8014</v>
      </c>
      <c r="X119" s="24" t="s">
        <v>8015</v>
      </c>
      <c r="Y119" s="150"/>
      <c r="Z119" s="150">
        <v>7</v>
      </c>
      <c r="AA119" s="150">
        <v>7</v>
      </c>
      <c r="AB119" s="59"/>
      <c r="AC119" s="59"/>
      <c r="AD119" s="1099" t="s">
        <v>1104</v>
      </c>
      <c r="AE119" s="202" t="s">
        <v>1880</v>
      </c>
      <c r="AF119" s="133" t="s">
        <v>1880</v>
      </c>
      <c r="AG119" s="1098"/>
    </row>
    <row r="120" spans="1:33" s="11" customFormat="1" ht="26.25" customHeight="1" x14ac:dyDescent="0.15">
      <c r="A120" s="8">
        <f t="shared" si="0"/>
        <v>118</v>
      </c>
      <c r="B120" s="36" t="s">
        <v>8004</v>
      </c>
      <c r="C120" s="26" t="s">
        <v>19</v>
      </c>
      <c r="D120" s="26" t="s">
        <v>19</v>
      </c>
      <c r="E120" s="26" t="s">
        <v>19</v>
      </c>
      <c r="F120" s="151" t="s">
        <v>8007</v>
      </c>
      <c r="G120" s="54" t="s">
        <v>8027</v>
      </c>
      <c r="H120" s="1099" t="s">
        <v>2135</v>
      </c>
      <c r="I120" s="1099" t="s">
        <v>2533</v>
      </c>
      <c r="J120" s="21" t="s">
        <v>3631</v>
      </c>
      <c r="K120" s="1099" t="s">
        <v>3632</v>
      </c>
      <c r="L120" s="1099" t="s">
        <v>2142</v>
      </c>
      <c r="M120" s="1099" t="s">
        <v>111</v>
      </c>
      <c r="N120" s="22" t="s">
        <v>575</v>
      </c>
      <c r="O120" s="151" t="s">
        <v>1819</v>
      </c>
      <c r="P120" s="1099" t="s">
        <v>111</v>
      </c>
      <c r="Q120" s="1098" t="s">
        <v>5487</v>
      </c>
      <c r="R120" s="1098" t="s">
        <v>5487</v>
      </c>
      <c r="S120" s="24" t="s">
        <v>8012</v>
      </c>
      <c r="T120" s="130" t="s">
        <v>8013</v>
      </c>
      <c r="U120" s="1099" t="s">
        <v>2359</v>
      </c>
      <c r="V120" s="1099">
        <v>1</v>
      </c>
      <c r="W120" s="24" t="s">
        <v>8014</v>
      </c>
      <c r="X120" s="24" t="s">
        <v>8015</v>
      </c>
      <c r="Y120" s="150"/>
      <c r="Z120" s="150">
        <v>7</v>
      </c>
      <c r="AA120" s="150">
        <v>7</v>
      </c>
      <c r="AB120" s="701"/>
      <c r="AC120" s="701"/>
      <c r="AD120" s="1099" t="s">
        <v>1104</v>
      </c>
      <c r="AE120" s="202" t="s">
        <v>1880</v>
      </c>
      <c r="AF120" s="133" t="s">
        <v>1880</v>
      </c>
      <c r="AG120" s="1098"/>
    </row>
    <row r="121" spans="1:33" s="11" customFormat="1" ht="26.25" customHeight="1" x14ac:dyDescent="0.15">
      <c r="A121" s="8">
        <f t="shared" si="0"/>
        <v>119</v>
      </c>
      <c r="B121" s="36" t="s">
        <v>8028</v>
      </c>
      <c r="C121" s="71" t="s">
        <v>8036</v>
      </c>
      <c r="D121" s="26" t="s">
        <v>19</v>
      </c>
      <c r="E121" s="26" t="s">
        <v>19</v>
      </c>
      <c r="F121" s="29" t="s">
        <v>8031</v>
      </c>
      <c r="G121" s="53" t="s">
        <v>8032</v>
      </c>
      <c r="H121" s="1098" t="s">
        <v>3649</v>
      </c>
      <c r="I121" s="1098" t="s">
        <v>4750</v>
      </c>
      <c r="J121" s="1098" t="s">
        <v>8033</v>
      </c>
      <c r="K121" s="22" t="s">
        <v>1138</v>
      </c>
      <c r="L121" s="1099" t="s">
        <v>1826</v>
      </c>
      <c r="M121" s="1099" t="s">
        <v>111</v>
      </c>
      <c r="N121" s="1098" t="s">
        <v>1131</v>
      </c>
      <c r="O121" s="54" t="s">
        <v>8035</v>
      </c>
      <c r="P121" s="1099" t="s">
        <v>111</v>
      </c>
      <c r="Q121" s="1098" t="s">
        <v>5487</v>
      </c>
      <c r="R121" s="1098" t="s">
        <v>5487</v>
      </c>
      <c r="S121" s="24" t="s">
        <v>8012</v>
      </c>
      <c r="T121" s="90" t="s">
        <v>8043</v>
      </c>
      <c r="U121" s="1099" t="s">
        <v>2359</v>
      </c>
      <c r="V121" s="1099">
        <v>1</v>
      </c>
      <c r="W121" s="24" t="s">
        <v>448</v>
      </c>
      <c r="X121" s="24" t="s">
        <v>448</v>
      </c>
      <c r="Y121" s="30">
        <v>5</v>
      </c>
      <c r="Z121" s="30"/>
      <c r="AA121" s="30">
        <v>5</v>
      </c>
      <c r="AB121" s="59"/>
      <c r="AC121" s="59"/>
      <c r="AD121" s="1099" t="s">
        <v>1104</v>
      </c>
      <c r="AE121" s="202" t="s">
        <v>1880</v>
      </c>
      <c r="AF121" s="133" t="s">
        <v>1880</v>
      </c>
      <c r="AG121" s="1098"/>
    </row>
    <row r="122" spans="1:33" s="11" customFormat="1" ht="26.25" customHeight="1" x14ac:dyDescent="0.15">
      <c r="A122" s="8">
        <f t="shared" si="0"/>
        <v>120</v>
      </c>
      <c r="B122" s="36" t="s">
        <v>8029</v>
      </c>
      <c r="C122" s="71" t="s">
        <v>8037</v>
      </c>
      <c r="D122" s="26" t="s">
        <v>19</v>
      </c>
      <c r="E122" s="26" t="s">
        <v>19</v>
      </c>
      <c r="F122" s="29" t="s">
        <v>8031</v>
      </c>
      <c r="G122" s="53" t="s">
        <v>8032</v>
      </c>
      <c r="H122" s="1098" t="s">
        <v>3649</v>
      </c>
      <c r="I122" s="1098" t="s">
        <v>4750</v>
      </c>
      <c r="J122" s="1098" t="s">
        <v>8034</v>
      </c>
      <c r="K122" s="22" t="s">
        <v>1138</v>
      </c>
      <c r="L122" s="1099" t="s">
        <v>1826</v>
      </c>
      <c r="M122" s="1099" t="s">
        <v>111</v>
      </c>
      <c r="N122" s="1098" t="s">
        <v>1131</v>
      </c>
      <c r="O122" s="54" t="s">
        <v>8035</v>
      </c>
      <c r="P122" s="1099" t="s">
        <v>111</v>
      </c>
      <c r="Q122" s="1098" t="s">
        <v>5487</v>
      </c>
      <c r="R122" s="1098" t="s">
        <v>5487</v>
      </c>
      <c r="S122" s="24" t="s">
        <v>8012</v>
      </c>
      <c r="T122" s="90" t="s">
        <v>8043</v>
      </c>
      <c r="U122" s="1099" t="s">
        <v>2359</v>
      </c>
      <c r="V122" s="1099">
        <v>1</v>
      </c>
      <c r="W122" s="24" t="s">
        <v>448</v>
      </c>
      <c r="X122" s="24" t="s">
        <v>448</v>
      </c>
      <c r="Y122" s="30">
        <v>5</v>
      </c>
      <c r="Z122" s="30"/>
      <c r="AA122" s="30">
        <v>5</v>
      </c>
      <c r="AB122" s="59"/>
      <c r="AC122" s="59"/>
      <c r="AD122" s="1099" t="s">
        <v>1104</v>
      </c>
      <c r="AE122" s="202" t="s">
        <v>1880</v>
      </c>
      <c r="AF122" s="133" t="s">
        <v>1880</v>
      </c>
      <c r="AG122" s="1098"/>
    </row>
    <row r="123" spans="1:33" s="11" customFormat="1" ht="26.25" customHeight="1" x14ac:dyDescent="0.15">
      <c r="A123" s="8">
        <f t="shared" si="0"/>
        <v>121</v>
      </c>
      <c r="B123" s="36" t="s">
        <v>8030</v>
      </c>
      <c r="C123" s="71" t="s">
        <v>8038</v>
      </c>
      <c r="D123" s="26" t="s">
        <v>19</v>
      </c>
      <c r="E123" s="26" t="s">
        <v>19</v>
      </c>
      <c r="F123" s="29" t="s">
        <v>8031</v>
      </c>
      <c r="G123" s="53" t="s">
        <v>8032</v>
      </c>
      <c r="H123" s="1098" t="s">
        <v>3649</v>
      </c>
      <c r="I123" s="1098" t="s">
        <v>4750</v>
      </c>
      <c r="J123" s="1098" t="s">
        <v>8040</v>
      </c>
      <c r="K123" s="22" t="s">
        <v>8053</v>
      </c>
      <c r="L123" s="22" t="s">
        <v>5431</v>
      </c>
      <c r="M123" s="1099" t="s">
        <v>111</v>
      </c>
      <c r="N123" s="1098" t="s">
        <v>1131</v>
      </c>
      <c r="O123" s="54" t="s">
        <v>8035</v>
      </c>
      <c r="P123" s="1099" t="s">
        <v>111</v>
      </c>
      <c r="Q123" s="1098" t="s">
        <v>5487</v>
      </c>
      <c r="R123" s="1098" t="s">
        <v>5487</v>
      </c>
      <c r="S123" s="24" t="s">
        <v>8012</v>
      </c>
      <c r="T123" s="90" t="s">
        <v>8043</v>
      </c>
      <c r="U123" s="1099" t="s">
        <v>2359</v>
      </c>
      <c r="V123" s="1099">
        <v>1</v>
      </c>
      <c r="W123" s="24" t="s">
        <v>448</v>
      </c>
      <c r="X123" s="24" t="s">
        <v>448</v>
      </c>
      <c r="Y123" s="30">
        <v>5</v>
      </c>
      <c r="Z123" s="30"/>
      <c r="AA123" s="30">
        <v>5</v>
      </c>
      <c r="AB123" s="59"/>
      <c r="AC123" s="59"/>
      <c r="AD123" s="1099" t="s">
        <v>1104</v>
      </c>
      <c r="AE123" s="202" t="s">
        <v>1880</v>
      </c>
      <c r="AF123" s="133" t="s">
        <v>1880</v>
      </c>
      <c r="AG123" s="1098"/>
    </row>
    <row r="124" spans="1:33" s="11" customFormat="1" ht="26.25" customHeight="1" x14ac:dyDescent="0.15">
      <c r="A124" s="8">
        <f t="shared" si="0"/>
        <v>122</v>
      </c>
      <c r="B124" s="36" t="s">
        <v>8041</v>
      </c>
      <c r="C124" s="71" t="s">
        <v>8042</v>
      </c>
      <c r="D124" s="26" t="s">
        <v>19</v>
      </c>
      <c r="E124" s="26" t="s">
        <v>19</v>
      </c>
      <c r="F124" s="29" t="s">
        <v>8044</v>
      </c>
      <c r="G124" s="53" t="s">
        <v>8045</v>
      </c>
      <c r="H124" s="1098" t="s">
        <v>3649</v>
      </c>
      <c r="I124" s="1098" t="s">
        <v>4750</v>
      </c>
      <c r="J124" s="1098" t="s">
        <v>8039</v>
      </c>
      <c r="K124" s="22" t="s">
        <v>8052</v>
      </c>
      <c r="L124" s="22" t="s">
        <v>5431</v>
      </c>
      <c r="M124" s="1099" t="s">
        <v>111</v>
      </c>
      <c r="N124" s="1098" t="s">
        <v>1131</v>
      </c>
      <c r="O124" s="54" t="s">
        <v>8035</v>
      </c>
      <c r="P124" s="1099" t="s">
        <v>111</v>
      </c>
      <c r="Q124" s="1098" t="s">
        <v>5487</v>
      </c>
      <c r="R124" s="1098" t="s">
        <v>5487</v>
      </c>
      <c r="S124" s="24" t="s">
        <v>8012</v>
      </c>
      <c r="T124" s="90" t="s">
        <v>8043</v>
      </c>
      <c r="U124" s="1099" t="s">
        <v>2359</v>
      </c>
      <c r="V124" s="1099">
        <v>1</v>
      </c>
      <c r="W124" s="24" t="s">
        <v>448</v>
      </c>
      <c r="X124" s="24" t="s">
        <v>448</v>
      </c>
      <c r="Y124" s="30">
        <v>5</v>
      </c>
      <c r="Z124" s="30"/>
      <c r="AA124" s="30">
        <v>5</v>
      </c>
      <c r="AB124" s="59"/>
      <c r="AC124" s="59"/>
      <c r="AD124" s="1099" t="s">
        <v>1104</v>
      </c>
      <c r="AE124" s="202" t="s">
        <v>1880</v>
      </c>
      <c r="AF124" s="133" t="s">
        <v>1880</v>
      </c>
      <c r="AG124" s="1098"/>
    </row>
    <row r="125" spans="1:33" s="11" customFormat="1" ht="26.25" customHeight="1" x14ac:dyDescent="0.15">
      <c r="A125" s="8">
        <f t="shared" si="0"/>
        <v>123</v>
      </c>
      <c r="B125" s="36" t="s">
        <v>8046</v>
      </c>
      <c r="C125" s="26" t="s">
        <v>19</v>
      </c>
      <c r="D125" s="26" t="s">
        <v>19</v>
      </c>
      <c r="E125" s="26" t="s">
        <v>19</v>
      </c>
      <c r="F125" s="29" t="s">
        <v>5232</v>
      </c>
      <c r="G125" s="53" t="s">
        <v>7982</v>
      </c>
      <c r="H125" s="1098" t="s">
        <v>3649</v>
      </c>
      <c r="I125" s="1098" t="s">
        <v>4701</v>
      </c>
      <c r="J125" s="1097" t="s">
        <v>5300</v>
      </c>
      <c r="K125" s="1097" t="s">
        <v>5298</v>
      </c>
      <c r="L125" s="1099" t="s">
        <v>1826</v>
      </c>
      <c r="M125" s="1099" t="s">
        <v>111</v>
      </c>
      <c r="N125" s="1099" t="s">
        <v>1818</v>
      </c>
      <c r="O125" s="54" t="s">
        <v>116</v>
      </c>
      <c r="P125" s="71" t="s">
        <v>19</v>
      </c>
      <c r="Q125" s="1098" t="s">
        <v>5487</v>
      </c>
      <c r="R125" s="1098" t="s">
        <v>5487</v>
      </c>
      <c r="S125" s="24" t="s">
        <v>448</v>
      </c>
      <c r="T125" s="24" t="s">
        <v>448</v>
      </c>
      <c r="U125" s="24" t="s">
        <v>110</v>
      </c>
      <c r="V125" s="24">
        <v>1</v>
      </c>
      <c r="W125" s="24" t="s">
        <v>6425</v>
      </c>
      <c r="X125" s="24" t="s">
        <v>5552</v>
      </c>
      <c r="Y125" s="30"/>
      <c r="Z125" s="30">
        <v>10</v>
      </c>
      <c r="AA125" s="30">
        <v>10</v>
      </c>
      <c r="AB125" s="59" t="s">
        <v>6457</v>
      </c>
      <c r="AC125" s="59" t="s">
        <v>6457</v>
      </c>
      <c r="AD125" s="35" t="s">
        <v>1104</v>
      </c>
      <c r="AE125" s="202" t="s">
        <v>1880</v>
      </c>
      <c r="AF125" s="35" t="s">
        <v>1880</v>
      </c>
      <c r="AG125" s="1098"/>
    </row>
    <row r="126" spans="1:33" s="11" customFormat="1" ht="26.25" customHeight="1" x14ac:dyDescent="0.15">
      <c r="A126" s="8">
        <f t="shared" si="0"/>
        <v>124</v>
      </c>
      <c r="B126" s="36" t="s">
        <v>8047</v>
      </c>
      <c r="C126" s="26" t="s">
        <v>19</v>
      </c>
      <c r="D126" s="26" t="s">
        <v>19</v>
      </c>
      <c r="E126" s="26" t="s">
        <v>19</v>
      </c>
      <c r="F126" s="29" t="s">
        <v>8050</v>
      </c>
      <c r="G126" s="53" t="s">
        <v>8051</v>
      </c>
      <c r="H126" s="1097" t="s">
        <v>4195</v>
      </c>
      <c r="I126" s="1097" t="s">
        <v>5419</v>
      </c>
      <c r="J126" s="1097" t="s">
        <v>7675</v>
      </c>
      <c r="K126" s="22" t="s">
        <v>4780</v>
      </c>
      <c r="L126" s="1099" t="s">
        <v>5478</v>
      </c>
      <c r="M126" s="1099" t="s">
        <v>111</v>
      </c>
      <c r="N126" s="726"/>
      <c r="O126" s="215"/>
      <c r="P126" s="1099" t="s">
        <v>111</v>
      </c>
      <c r="Q126" s="1098" t="s">
        <v>414</v>
      </c>
      <c r="R126" s="1098" t="s">
        <v>414</v>
      </c>
      <c r="S126" s="24" t="s">
        <v>448</v>
      </c>
      <c r="T126" s="24" t="s">
        <v>448</v>
      </c>
      <c r="U126" s="24" t="s">
        <v>110</v>
      </c>
      <c r="V126" s="24">
        <v>1</v>
      </c>
      <c r="W126" s="24" t="s">
        <v>448</v>
      </c>
      <c r="X126" s="24" t="s">
        <v>448</v>
      </c>
      <c r="Y126" s="30">
        <v>8.0500000000000007</v>
      </c>
      <c r="Z126" s="30"/>
      <c r="AA126" s="30">
        <v>8.0500000000000007</v>
      </c>
      <c r="AB126" s="59" t="s">
        <v>6457</v>
      </c>
      <c r="AC126" s="59" t="s">
        <v>6457</v>
      </c>
      <c r="AD126" s="1099" t="s">
        <v>1104</v>
      </c>
      <c r="AE126" s="202" t="s">
        <v>1880</v>
      </c>
      <c r="AF126" s="133" t="s">
        <v>1880</v>
      </c>
      <c r="AG126" s="1098"/>
    </row>
    <row r="127" spans="1:33" s="11" customFormat="1" ht="26.25" customHeight="1" x14ac:dyDescent="0.15">
      <c r="A127" s="8">
        <f t="shared" si="0"/>
        <v>125</v>
      </c>
      <c r="B127" s="36" t="s">
        <v>8048</v>
      </c>
      <c r="C127" s="26" t="s">
        <v>19</v>
      </c>
      <c r="D127" s="26" t="s">
        <v>19</v>
      </c>
      <c r="E127" s="26" t="s">
        <v>19</v>
      </c>
      <c r="F127" s="29" t="s">
        <v>2481</v>
      </c>
      <c r="G127" s="53" t="s">
        <v>8051</v>
      </c>
      <c r="H127" s="1097" t="s">
        <v>1147</v>
      </c>
      <c r="I127" s="1097" t="s">
        <v>1789</v>
      </c>
      <c r="J127" s="37" t="s">
        <v>2484</v>
      </c>
      <c r="K127" s="22" t="s">
        <v>2485</v>
      </c>
      <c r="L127" s="22" t="s">
        <v>1826</v>
      </c>
      <c r="M127" s="1099" t="s">
        <v>111</v>
      </c>
      <c r="N127" s="726"/>
      <c r="O127" s="215"/>
      <c r="P127" s="71" t="s">
        <v>19</v>
      </c>
      <c r="Q127" s="1098" t="s">
        <v>1811</v>
      </c>
      <c r="R127" s="1098" t="s">
        <v>414</v>
      </c>
      <c r="S127" s="24" t="s">
        <v>448</v>
      </c>
      <c r="T127" s="24" t="s">
        <v>448</v>
      </c>
      <c r="U127" s="24" t="s">
        <v>110</v>
      </c>
      <c r="V127" s="24">
        <v>1</v>
      </c>
      <c r="W127" s="24" t="s">
        <v>448</v>
      </c>
      <c r="X127" s="24" t="s">
        <v>448</v>
      </c>
      <c r="Y127" s="30">
        <v>8.15</v>
      </c>
      <c r="Z127" s="30"/>
      <c r="AA127" s="30">
        <v>8.15</v>
      </c>
      <c r="AB127" s="59" t="s">
        <v>6457</v>
      </c>
      <c r="AC127" s="59" t="s">
        <v>6457</v>
      </c>
      <c r="AD127" s="35" t="s">
        <v>1104</v>
      </c>
      <c r="AE127" s="202" t="s">
        <v>1880</v>
      </c>
      <c r="AF127" s="35" t="s">
        <v>1880</v>
      </c>
      <c r="AG127" s="1098"/>
    </row>
    <row r="128" spans="1:33" s="11" customFormat="1" ht="26.25" customHeight="1" x14ac:dyDescent="0.15">
      <c r="A128" s="8">
        <f t="shared" si="0"/>
        <v>126</v>
      </c>
      <c r="B128" s="36" t="s">
        <v>8049</v>
      </c>
      <c r="C128" s="26" t="s">
        <v>19</v>
      </c>
      <c r="D128" s="26" t="s">
        <v>19</v>
      </c>
      <c r="E128" s="26" t="s">
        <v>19</v>
      </c>
      <c r="F128" s="29" t="s">
        <v>6616</v>
      </c>
      <c r="G128" s="53" t="s">
        <v>8051</v>
      </c>
      <c r="H128" s="1097" t="s">
        <v>1147</v>
      </c>
      <c r="I128" s="1097" t="s">
        <v>1789</v>
      </c>
      <c r="J128" s="1098" t="s">
        <v>3486</v>
      </c>
      <c r="K128" s="22" t="s">
        <v>2180</v>
      </c>
      <c r="L128" s="22" t="s">
        <v>2142</v>
      </c>
      <c r="M128" s="22" t="s">
        <v>1880</v>
      </c>
      <c r="N128" s="726"/>
      <c r="O128" s="215"/>
      <c r="P128" s="22" t="s">
        <v>1880</v>
      </c>
      <c r="Q128" s="1098" t="s">
        <v>1811</v>
      </c>
      <c r="R128" s="1098" t="s">
        <v>1811</v>
      </c>
      <c r="S128" s="24" t="s">
        <v>448</v>
      </c>
      <c r="T128" s="24" t="s">
        <v>448</v>
      </c>
      <c r="U128" s="24" t="s">
        <v>110</v>
      </c>
      <c r="V128" s="24">
        <v>1</v>
      </c>
      <c r="W128" s="24" t="s">
        <v>448</v>
      </c>
      <c r="X128" s="24" t="s">
        <v>448</v>
      </c>
      <c r="Y128" s="30">
        <v>8.0299999999999994</v>
      </c>
      <c r="Z128" s="30"/>
      <c r="AA128" s="30">
        <v>8.0299999999999994</v>
      </c>
      <c r="AB128" s="59" t="s">
        <v>6457</v>
      </c>
      <c r="AC128" s="59" t="s">
        <v>6457</v>
      </c>
      <c r="AD128" s="35" t="s">
        <v>1104</v>
      </c>
      <c r="AE128" s="202" t="s">
        <v>1880</v>
      </c>
      <c r="AF128" s="35" t="s">
        <v>1880</v>
      </c>
      <c r="AG128" s="1098"/>
    </row>
    <row r="129" spans="1:33" s="11" customFormat="1" ht="26.25" customHeight="1" x14ac:dyDescent="0.15">
      <c r="A129" s="8">
        <f t="shared" si="0"/>
        <v>127</v>
      </c>
      <c r="B129" s="36" t="s">
        <v>8062</v>
      </c>
      <c r="C129" s="26" t="s">
        <v>19</v>
      </c>
      <c r="D129" s="26" t="s">
        <v>19</v>
      </c>
      <c r="E129" s="26" t="s">
        <v>19</v>
      </c>
      <c r="F129" s="29" t="s">
        <v>5713</v>
      </c>
      <c r="G129" s="29" t="s">
        <v>8068</v>
      </c>
      <c r="H129" s="1102" t="s">
        <v>5003</v>
      </c>
      <c r="I129" s="1102" t="s">
        <v>4728</v>
      </c>
      <c r="J129" s="1102" t="s">
        <v>5004</v>
      </c>
      <c r="K129" s="22" t="s">
        <v>5714</v>
      </c>
      <c r="L129" s="22" t="s">
        <v>5431</v>
      </c>
      <c r="M129" s="1103" t="s">
        <v>5715</v>
      </c>
      <c r="N129" s="216" t="s">
        <v>25</v>
      </c>
      <c r="O129" s="54" t="s">
        <v>1122</v>
      </c>
      <c r="P129" s="71" t="s">
        <v>19</v>
      </c>
      <c r="Q129" s="1102" t="s">
        <v>5489</v>
      </c>
      <c r="R129" s="1102" t="s">
        <v>5489</v>
      </c>
      <c r="S129" s="24" t="s">
        <v>8069</v>
      </c>
      <c r="T129" s="90" t="s">
        <v>8070</v>
      </c>
      <c r="U129" s="24" t="s">
        <v>110</v>
      </c>
      <c r="V129" s="24">
        <v>2</v>
      </c>
      <c r="W129" s="24" t="s">
        <v>8071</v>
      </c>
      <c r="X129" s="24" t="s">
        <v>8072</v>
      </c>
      <c r="Y129" s="30"/>
      <c r="Z129" s="30">
        <v>15.6</v>
      </c>
      <c r="AA129" s="30">
        <v>15.6</v>
      </c>
      <c r="AB129" s="59"/>
      <c r="AC129" s="59"/>
      <c r="AD129" s="35" t="s">
        <v>1104</v>
      </c>
      <c r="AE129" s="202" t="s">
        <v>1880</v>
      </c>
      <c r="AF129" s="35" t="s">
        <v>1880</v>
      </c>
      <c r="AG129" s="1102"/>
    </row>
    <row r="130" spans="1:33" s="11" customFormat="1" ht="26.25" customHeight="1" x14ac:dyDescent="0.15">
      <c r="A130" s="8">
        <f t="shared" si="0"/>
        <v>128</v>
      </c>
      <c r="B130" s="36" t="s">
        <v>8063</v>
      </c>
      <c r="C130" s="26" t="s">
        <v>19</v>
      </c>
      <c r="D130" s="26" t="s">
        <v>19</v>
      </c>
      <c r="E130" s="26" t="s">
        <v>19</v>
      </c>
      <c r="F130" s="29" t="s">
        <v>6031</v>
      </c>
      <c r="G130" s="53" t="s">
        <v>8073</v>
      </c>
      <c r="H130" s="1101" t="s">
        <v>3649</v>
      </c>
      <c r="I130" s="1101" t="s">
        <v>1124</v>
      </c>
      <c r="J130" s="1101" t="s">
        <v>6033</v>
      </c>
      <c r="K130" s="22" t="s">
        <v>4780</v>
      </c>
      <c r="L130" s="22" t="s">
        <v>5431</v>
      </c>
      <c r="M130" s="1103" t="s">
        <v>111</v>
      </c>
      <c r="N130" s="1102" t="s">
        <v>1131</v>
      </c>
      <c r="O130" s="151" t="s">
        <v>7451</v>
      </c>
      <c r="P130" s="22" t="s">
        <v>1880</v>
      </c>
      <c r="Q130" s="1102" t="s">
        <v>5487</v>
      </c>
      <c r="R130" s="1102" t="s">
        <v>5487</v>
      </c>
      <c r="S130" s="24" t="s">
        <v>8069</v>
      </c>
      <c r="T130" s="90" t="s">
        <v>8070</v>
      </c>
      <c r="U130" s="24" t="s">
        <v>110</v>
      </c>
      <c r="V130" s="24">
        <v>1</v>
      </c>
      <c r="W130" s="24" t="s">
        <v>448</v>
      </c>
      <c r="X130" s="24" t="s">
        <v>448</v>
      </c>
      <c r="Y130" s="30">
        <v>2.8</v>
      </c>
      <c r="Z130" s="30"/>
      <c r="AA130" s="30">
        <v>2.8</v>
      </c>
      <c r="AB130" s="59"/>
      <c r="AC130" s="59"/>
      <c r="AD130" s="35" t="s">
        <v>1104</v>
      </c>
      <c r="AE130" s="202" t="s">
        <v>19</v>
      </c>
      <c r="AF130" s="35" t="s">
        <v>1880</v>
      </c>
      <c r="AG130" s="1102"/>
    </row>
    <row r="131" spans="1:33" s="11" customFormat="1" ht="26.25" customHeight="1" x14ac:dyDescent="0.15">
      <c r="A131" s="8">
        <f t="shared" si="0"/>
        <v>129</v>
      </c>
      <c r="B131" s="36" t="s">
        <v>8064</v>
      </c>
      <c r="C131" s="26" t="s">
        <v>19</v>
      </c>
      <c r="D131" s="26" t="s">
        <v>19</v>
      </c>
      <c r="E131" s="26" t="s">
        <v>19</v>
      </c>
      <c r="F131" s="29" t="s">
        <v>6053</v>
      </c>
      <c r="G131" s="53" t="s">
        <v>8074</v>
      </c>
      <c r="H131" s="1101" t="s">
        <v>3649</v>
      </c>
      <c r="I131" s="1101" t="s">
        <v>4196</v>
      </c>
      <c r="J131" s="1101" t="s">
        <v>6055</v>
      </c>
      <c r="K131" s="22" t="s">
        <v>1651</v>
      </c>
      <c r="L131" s="22" t="s">
        <v>5431</v>
      </c>
      <c r="M131" s="1103" t="s">
        <v>111</v>
      </c>
      <c r="N131" s="1102" t="s">
        <v>1131</v>
      </c>
      <c r="O131" s="151" t="s">
        <v>7451</v>
      </c>
      <c r="P131" s="22" t="s">
        <v>1880</v>
      </c>
      <c r="Q131" s="1102" t="s">
        <v>5487</v>
      </c>
      <c r="R131" s="1102" t="s">
        <v>5487</v>
      </c>
      <c r="S131" s="24" t="s">
        <v>8069</v>
      </c>
      <c r="T131" s="90" t="s">
        <v>7983</v>
      </c>
      <c r="U131" s="1103" t="s">
        <v>2359</v>
      </c>
      <c r="V131" s="1103">
        <v>1</v>
      </c>
      <c r="W131" s="24" t="s">
        <v>448</v>
      </c>
      <c r="X131" s="24" t="s">
        <v>448</v>
      </c>
      <c r="Y131" s="96">
        <v>2.5</v>
      </c>
      <c r="Z131" s="30"/>
      <c r="AA131" s="30">
        <v>2.5</v>
      </c>
      <c r="AB131" s="59"/>
      <c r="AC131" s="59"/>
      <c r="AD131" s="35" t="s">
        <v>1104</v>
      </c>
      <c r="AE131" s="202" t="s">
        <v>19</v>
      </c>
      <c r="AF131" s="35" t="s">
        <v>1880</v>
      </c>
      <c r="AG131" s="1102"/>
    </row>
    <row r="132" spans="1:33" s="11" customFormat="1" ht="26.25" customHeight="1" x14ac:dyDescent="0.15">
      <c r="A132" s="8">
        <f t="shared" si="0"/>
        <v>130</v>
      </c>
      <c r="B132" s="36" t="s">
        <v>8065</v>
      </c>
      <c r="C132" s="26" t="s">
        <v>19</v>
      </c>
      <c r="D132" s="26" t="s">
        <v>19</v>
      </c>
      <c r="E132" s="26" t="s">
        <v>19</v>
      </c>
      <c r="F132" s="54" t="s">
        <v>2010</v>
      </c>
      <c r="G132" s="54" t="s">
        <v>8077</v>
      </c>
      <c r="H132" s="1" t="s">
        <v>1460</v>
      </c>
      <c r="I132" s="142" t="s">
        <v>4016</v>
      </c>
      <c r="J132" s="329" t="s">
        <v>4017</v>
      </c>
      <c r="K132" s="330" t="s">
        <v>4018</v>
      </c>
      <c r="L132" s="1103" t="s">
        <v>1826</v>
      </c>
      <c r="M132" s="1103" t="s">
        <v>111</v>
      </c>
      <c r="N132" s="1103" t="s">
        <v>1818</v>
      </c>
      <c r="O132" s="151" t="s">
        <v>1819</v>
      </c>
      <c r="P132" s="22" t="s">
        <v>1880</v>
      </c>
      <c r="Q132" s="1102" t="s">
        <v>5571</v>
      </c>
      <c r="R132" s="1102" t="s">
        <v>5571</v>
      </c>
      <c r="S132" s="24" t="s">
        <v>8069</v>
      </c>
      <c r="T132" s="90" t="s">
        <v>8012</v>
      </c>
      <c r="U132" s="24" t="s">
        <v>110</v>
      </c>
      <c r="V132" s="24">
        <v>2</v>
      </c>
      <c r="W132" s="24" t="s">
        <v>8075</v>
      </c>
      <c r="X132" s="24" t="s">
        <v>8076</v>
      </c>
      <c r="Y132" s="30"/>
      <c r="Z132" s="30">
        <v>3</v>
      </c>
      <c r="AA132" s="30">
        <v>3</v>
      </c>
      <c r="AB132" s="59"/>
      <c r="AC132" s="59"/>
      <c r="AD132" s="35" t="s">
        <v>1104</v>
      </c>
      <c r="AE132" s="202" t="s">
        <v>19</v>
      </c>
      <c r="AF132" s="35" t="s">
        <v>1880</v>
      </c>
      <c r="AG132" s="1102"/>
    </row>
    <row r="133" spans="1:33" s="11" customFormat="1" ht="26.25" customHeight="1" x14ac:dyDescent="0.15">
      <c r="A133" s="8">
        <f t="shared" si="0"/>
        <v>131</v>
      </c>
      <c r="B133" s="36" t="s">
        <v>8066</v>
      </c>
      <c r="C133" s="26" t="s">
        <v>19</v>
      </c>
      <c r="D133" s="26" t="s">
        <v>19</v>
      </c>
      <c r="E133" s="26" t="s">
        <v>19</v>
      </c>
      <c r="F133" s="151" t="s">
        <v>2018</v>
      </c>
      <c r="G133" s="54" t="s">
        <v>8078</v>
      </c>
      <c r="H133" s="1" t="s">
        <v>1460</v>
      </c>
      <c r="I133" s="142" t="s">
        <v>4016</v>
      </c>
      <c r="J133" s="329" t="s">
        <v>4027</v>
      </c>
      <c r="K133" s="330" t="s">
        <v>4028</v>
      </c>
      <c r="L133" s="1103" t="s">
        <v>1826</v>
      </c>
      <c r="M133" s="1103" t="s">
        <v>111</v>
      </c>
      <c r="N133" s="1103" t="s">
        <v>1818</v>
      </c>
      <c r="O133" s="151" t="s">
        <v>1819</v>
      </c>
      <c r="P133" s="22" t="s">
        <v>1880</v>
      </c>
      <c r="Q133" s="1102" t="s">
        <v>5571</v>
      </c>
      <c r="R133" s="1102" t="s">
        <v>5571</v>
      </c>
      <c r="S133" s="24" t="s">
        <v>8069</v>
      </c>
      <c r="T133" s="90" t="s">
        <v>8012</v>
      </c>
      <c r="U133" s="24" t="s">
        <v>110</v>
      </c>
      <c r="V133" s="24">
        <v>2</v>
      </c>
      <c r="W133" s="24" t="s">
        <v>8075</v>
      </c>
      <c r="X133" s="24" t="s">
        <v>8076</v>
      </c>
      <c r="Y133" s="30"/>
      <c r="Z133" s="30">
        <v>3</v>
      </c>
      <c r="AA133" s="30">
        <v>3</v>
      </c>
      <c r="AB133" s="59"/>
      <c r="AC133" s="59"/>
      <c r="AD133" s="35" t="s">
        <v>1104</v>
      </c>
      <c r="AE133" s="202" t="s">
        <v>19</v>
      </c>
      <c r="AF133" s="35" t="s">
        <v>1880</v>
      </c>
      <c r="AG133" s="1102"/>
    </row>
    <row r="134" spans="1:33" s="11" customFormat="1" ht="26.25" customHeight="1" x14ac:dyDescent="0.15">
      <c r="A134" s="8">
        <f t="shared" si="0"/>
        <v>132</v>
      </c>
      <c r="B134" s="36" t="s">
        <v>8067</v>
      </c>
      <c r="C134" s="26" t="s">
        <v>19</v>
      </c>
      <c r="D134" s="26" t="s">
        <v>19</v>
      </c>
      <c r="E134" s="26" t="s">
        <v>19</v>
      </c>
      <c r="F134" s="54" t="s">
        <v>2020</v>
      </c>
      <c r="G134" s="54" t="s">
        <v>8079</v>
      </c>
      <c r="H134" s="1" t="s">
        <v>1460</v>
      </c>
      <c r="I134" s="142" t="s">
        <v>4016</v>
      </c>
      <c r="J134" s="329" t="s">
        <v>4030</v>
      </c>
      <c r="K134" s="330" t="s">
        <v>4031</v>
      </c>
      <c r="L134" s="1103" t="s">
        <v>1826</v>
      </c>
      <c r="M134" s="1103" t="s">
        <v>111</v>
      </c>
      <c r="N134" s="1103" t="s">
        <v>1818</v>
      </c>
      <c r="O134" s="151" t="s">
        <v>1819</v>
      </c>
      <c r="P134" s="22" t="s">
        <v>1880</v>
      </c>
      <c r="Q134" s="1102" t="s">
        <v>5571</v>
      </c>
      <c r="R134" s="1102" t="s">
        <v>5571</v>
      </c>
      <c r="S134" s="24" t="s">
        <v>8069</v>
      </c>
      <c r="T134" s="90" t="s">
        <v>8012</v>
      </c>
      <c r="U134" s="24" t="s">
        <v>110</v>
      </c>
      <c r="V134" s="24">
        <v>2</v>
      </c>
      <c r="W134" s="24" t="s">
        <v>8075</v>
      </c>
      <c r="X134" s="24" t="s">
        <v>8076</v>
      </c>
      <c r="Y134" s="30"/>
      <c r="Z134" s="30">
        <v>3</v>
      </c>
      <c r="AA134" s="30">
        <v>3</v>
      </c>
      <c r="AB134" s="59"/>
      <c r="AC134" s="59"/>
      <c r="AD134" s="35" t="s">
        <v>1104</v>
      </c>
      <c r="AE134" s="202" t="s">
        <v>19</v>
      </c>
      <c r="AF134" s="35" t="s">
        <v>1880</v>
      </c>
      <c r="AG134" s="1102"/>
    </row>
    <row r="135" spans="1:33" s="11" customFormat="1" ht="26.25" customHeight="1" x14ac:dyDescent="0.15">
      <c r="A135" s="8">
        <f t="shared" si="0"/>
        <v>133</v>
      </c>
      <c r="B135" s="36" t="s">
        <v>8080</v>
      </c>
      <c r="C135" s="26" t="s">
        <v>19</v>
      </c>
      <c r="D135" s="26" t="s">
        <v>19</v>
      </c>
      <c r="E135" s="26" t="s">
        <v>19</v>
      </c>
      <c r="F135" s="29" t="s">
        <v>8081</v>
      </c>
      <c r="G135" s="99"/>
      <c r="H135" s="724"/>
      <c r="I135" s="724"/>
      <c r="J135" s="724"/>
      <c r="K135" s="725"/>
      <c r="L135" s="206"/>
      <c r="M135" s="206"/>
      <c r="N135" s="976"/>
      <c r="O135" s="215"/>
      <c r="P135" s="206"/>
      <c r="Q135" s="1111" t="s">
        <v>414</v>
      </c>
      <c r="R135" s="1111" t="s">
        <v>414</v>
      </c>
      <c r="S135" s="24" t="s">
        <v>8082</v>
      </c>
      <c r="T135" s="499"/>
      <c r="U135" s="206"/>
      <c r="V135" s="206"/>
      <c r="W135" s="24" t="s">
        <v>448</v>
      </c>
      <c r="X135" s="24" t="s">
        <v>448</v>
      </c>
      <c r="Y135" s="30">
        <v>189</v>
      </c>
      <c r="Z135" s="328"/>
      <c r="AA135" s="30">
        <v>189</v>
      </c>
      <c r="AB135" s="59" t="s">
        <v>6457</v>
      </c>
      <c r="AC135" s="59" t="s">
        <v>6457</v>
      </c>
      <c r="AD135" s="1105" t="s">
        <v>1104</v>
      </c>
      <c r="AE135" s="202" t="s">
        <v>1880</v>
      </c>
      <c r="AF135" s="133" t="s">
        <v>1880</v>
      </c>
      <c r="AG135" s="1104" t="s">
        <v>8083</v>
      </c>
    </row>
    <row r="136" spans="1:33" s="11" customFormat="1" ht="26.25" customHeight="1" x14ac:dyDescent="0.15">
      <c r="A136" s="8">
        <f t="shared" si="0"/>
        <v>134</v>
      </c>
      <c r="B136" s="36" t="s">
        <v>8087</v>
      </c>
      <c r="C136" s="26" t="s">
        <v>19</v>
      </c>
      <c r="D136" s="26" t="s">
        <v>19</v>
      </c>
      <c r="E136" s="26" t="s">
        <v>19</v>
      </c>
      <c r="F136" s="29" t="s">
        <v>4307</v>
      </c>
      <c r="G136" s="53" t="s">
        <v>8084</v>
      </c>
      <c r="H136" s="1" t="s">
        <v>23</v>
      </c>
      <c r="I136" s="142" t="s">
        <v>1448</v>
      </c>
      <c r="J136" s="329" t="s">
        <v>3491</v>
      </c>
      <c r="K136" s="330" t="s">
        <v>2466</v>
      </c>
      <c r="L136" s="1096" t="s">
        <v>2142</v>
      </c>
      <c r="M136" s="1106" t="s">
        <v>111</v>
      </c>
      <c r="N136" s="1095" t="s">
        <v>4676</v>
      </c>
      <c r="O136" s="54" t="s">
        <v>8085</v>
      </c>
      <c r="P136" s="22" t="s">
        <v>1880</v>
      </c>
      <c r="Q136" s="1095" t="s">
        <v>1152</v>
      </c>
      <c r="R136" s="1095" t="s">
        <v>1152</v>
      </c>
      <c r="S136" s="24" t="s">
        <v>8086</v>
      </c>
      <c r="T136" s="90" t="s">
        <v>7867</v>
      </c>
      <c r="U136" s="1106" t="s">
        <v>2359</v>
      </c>
      <c r="V136" s="1106">
        <v>1</v>
      </c>
      <c r="W136" s="24" t="s">
        <v>7181</v>
      </c>
      <c r="X136" s="24" t="s">
        <v>7182</v>
      </c>
      <c r="Y136" s="30">
        <v>2.7</v>
      </c>
      <c r="Z136" s="30">
        <v>7.5</v>
      </c>
      <c r="AA136" s="30">
        <v>10.199999999999999</v>
      </c>
      <c r="AB136" s="59"/>
      <c r="AC136" s="59"/>
      <c r="AD136" s="1106" t="s">
        <v>1104</v>
      </c>
      <c r="AE136" s="202" t="s">
        <v>1880</v>
      </c>
      <c r="AF136" s="133" t="s">
        <v>1880</v>
      </c>
      <c r="AG136" s="1095"/>
    </row>
    <row r="137" spans="1:33" s="11" customFormat="1" ht="26.25" customHeight="1" x14ac:dyDescent="0.15">
      <c r="A137" s="8">
        <f t="shared" si="0"/>
        <v>135</v>
      </c>
      <c r="B137" s="36" t="s">
        <v>8088</v>
      </c>
      <c r="C137" s="26" t="s">
        <v>19</v>
      </c>
      <c r="D137" s="26" t="s">
        <v>19</v>
      </c>
      <c r="E137" s="26" t="s">
        <v>19</v>
      </c>
      <c r="F137" s="29" t="s">
        <v>5063</v>
      </c>
      <c r="G137" s="53" t="s">
        <v>5068</v>
      </c>
      <c r="H137" s="1108" t="s">
        <v>4195</v>
      </c>
      <c r="I137" s="1108" t="s">
        <v>1124</v>
      </c>
      <c r="J137" s="1108" t="s">
        <v>5970</v>
      </c>
      <c r="K137" s="22" t="s">
        <v>4780</v>
      </c>
      <c r="L137" s="22" t="s">
        <v>5431</v>
      </c>
      <c r="M137" s="1110" t="s">
        <v>111</v>
      </c>
      <c r="N137" s="1109" t="s">
        <v>1131</v>
      </c>
      <c r="O137" s="54" t="s">
        <v>116</v>
      </c>
      <c r="P137" s="22" t="s">
        <v>1880</v>
      </c>
      <c r="Q137" s="1109" t="s">
        <v>5480</v>
      </c>
      <c r="R137" s="1109" t="s">
        <v>5480</v>
      </c>
      <c r="S137" s="24" t="s">
        <v>8082</v>
      </c>
      <c r="T137" s="90" t="s">
        <v>8070</v>
      </c>
      <c r="U137" s="1110" t="s">
        <v>2359</v>
      </c>
      <c r="V137" s="1110">
        <v>1</v>
      </c>
      <c r="W137" s="24" t="s">
        <v>8092</v>
      </c>
      <c r="X137" s="24" t="s">
        <v>6058</v>
      </c>
      <c r="Y137" s="30"/>
      <c r="Z137" s="30">
        <v>7.8</v>
      </c>
      <c r="AA137" s="30">
        <v>7.8</v>
      </c>
      <c r="AB137" s="59"/>
      <c r="AC137" s="59"/>
      <c r="AD137" s="35" t="s">
        <v>1104</v>
      </c>
      <c r="AE137" s="202" t="s">
        <v>19</v>
      </c>
      <c r="AF137" s="35" t="s">
        <v>1880</v>
      </c>
      <c r="AG137" s="1109"/>
    </row>
    <row r="138" spans="1:33" s="11" customFormat="1" ht="26.25" customHeight="1" x14ac:dyDescent="0.15">
      <c r="A138" s="8">
        <f t="shared" si="0"/>
        <v>136</v>
      </c>
      <c r="B138" s="36" t="s">
        <v>8089</v>
      </c>
      <c r="C138" s="26" t="s">
        <v>19</v>
      </c>
      <c r="D138" s="26" t="s">
        <v>19</v>
      </c>
      <c r="E138" s="26" t="s">
        <v>19</v>
      </c>
      <c r="F138" s="29" t="s">
        <v>5063</v>
      </c>
      <c r="G138" s="53" t="s">
        <v>8093</v>
      </c>
      <c r="H138" s="1108" t="s">
        <v>4195</v>
      </c>
      <c r="I138" s="1108" t="s">
        <v>1124</v>
      </c>
      <c r="J138" s="1108" t="s">
        <v>5970</v>
      </c>
      <c r="K138" s="22" t="s">
        <v>4780</v>
      </c>
      <c r="L138" s="22" t="s">
        <v>5431</v>
      </c>
      <c r="M138" s="1110" t="s">
        <v>111</v>
      </c>
      <c r="N138" s="1109" t="s">
        <v>1131</v>
      </c>
      <c r="O138" s="151" t="s">
        <v>7451</v>
      </c>
      <c r="P138" s="22" t="s">
        <v>1880</v>
      </c>
      <c r="Q138" s="1109" t="s">
        <v>5480</v>
      </c>
      <c r="R138" s="1109" t="s">
        <v>5480</v>
      </c>
      <c r="S138" s="24" t="s">
        <v>8086</v>
      </c>
      <c r="T138" s="90" t="s">
        <v>8094</v>
      </c>
      <c r="U138" s="1110" t="s">
        <v>2359</v>
      </c>
      <c r="V138" s="1110">
        <v>1</v>
      </c>
      <c r="W138" s="24" t="s">
        <v>448</v>
      </c>
      <c r="X138" s="24" t="s">
        <v>448</v>
      </c>
      <c r="Y138" s="30">
        <v>2.8</v>
      </c>
      <c r="Z138" s="30"/>
      <c r="AA138" s="30">
        <v>2.8</v>
      </c>
      <c r="AB138" s="59"/>
      <c r="AC138" s="59"/>
      <c r="AD138" s="35" t="s">
        <v>1104</v>
      </c>
      <c r="AE138" s="202" t="s">
        <v>19</v>
      </c>
      <c r="AF138" s="35" t="s">
        <v>1880</v>
      </c>
      <c r="AG138" s="1107"/>
    </row>
    <row r="139" spans="1:33" s="11" customFormat="1" ht="26.25" customHeight="1" x14ac:dyDescent="0.15">
      <c r="A139" s="8">
        <f t="shared" si="0"/>
        <v>137</v>
      </c>
      <c r="B139" s="36" t="s">
        <v>8090</v>
      </c>
      <c r="C139" s="26" t="s">
        <v>19</v>
      </c>
      <c r="D139" s="26" t="s">
        <v>19</v>
      </c>
      <c r="E139" s="26" t="s">
        <v>19</v>
      </c>
      <c r="F139" s="29" t="s">
        <v>6068</v>
      </c>
      <c r="G139" s="53" t="s">
        <v>6069</v>
      </c>
      <c r="H139" s="1109" t="s">
        <v>4195</v>
      </c>
      <c r="I139" s="1109" t="s">
        <v>1124</v>
      </c>
      <c r="J139" s="1109" t="s">
        <v>4706</v>
      </c>
      <c r="K139" s="22" t="s">
        <v>4168</v>
      </c>
      <c r="L139" s="22" t="s">
        <v>1826</v>
      </c>
      <c r="M139" s="1110" t="s">
        <v>111</v>
      </c>
      <c r="N139" s="221" t="s">
        <v>1818</v>
      </c>
      <c r="O139" s="222" t="s">
        <v>1819</v>
      </c>
      <c r="P139" s="22" t="s">
        <v>1880</v>
      </c>
      <c r="Q139" s="1109" t="s">
        <v>5480</v>
      </c>
      <c r="R139" s="1109" t="s">
        <v>5480</v>
      </c>
      <c r="S139" s="24" t="s">
        <v>8082</v>
      </c>
      <c r="T139" s="90" t="s">
        <v>8070</v>
      </c>
      <c r="U139" s="1110" t="s">
        <v>2359</v>
      </c>
      <c r="V139" s="1110">
        <v>1</v>
      </c>
      <c r="W139" s="24" t="s">
        <v>8092</v>
      </c>
      <c r="X139" s="24" t="s">
        <v>6058</v>
      </c>
      <c r="Y139" s="30"/>
      <c r="Z139" s="30">
        <v>7.8</v>
      </c>
      <c r="AA139" s="30">
        <v>7.8</v>
      </c>
      <c r="AB139" s="59"/>
      <c r="AC139" s="59"/>
      <c r="AD139" s="35" t="s">
        <v>1104</v>
      </c>
      <c r="AE139" s="202" t="s">
        <v>19</v>
      </c>
      <c r="AF139" s="35" t="s">
        <v>1880</v>
      </c>
      <c r="AG139" s="1109"/>
    </row>
    <row r="140" spans="1:33" s="11" customFormat="1" ht="26.25" customHeight="1" x14ac:dyDescent="0.15">
      <c r="A140" s="8">
        <f t="shared" si="0"/>
        <v>138</v>
      </c>
      <c r="B140" s="36" t="s">
        <v>8091</v>
      </c>
      <c r="C140" s="26" t="s">
        <v>19</v>
      </c>
      <c r="D140" s="26" t="s">
        <v>19</v>
      </c>
      <c r="E140" s="26" t="s">
        <v>19</v>
      </c>
      <c r="F140" s="29" t="s">
        <v>6068</v>
      </c>
      <c r="G140" s="53" t="s">
        <v>8095</v>
      </c>
      <c r="H140" s="1109" t="s">
        <v>4195</v>
      </c>
      <c r="I140" s="1109" t="s">
        <v>1124</v>
      </c>
      <c r="J140" s="1109" t="s">
        <v>4706</v>
      </c>
      <c r="K140" s="22" t="s">
        <v>4168</v>
      </c>
      <c r="L140" s="22" t="s">
        <v>1826</v>
      </c>
      <c r="M140" s="1110" t="s">
        <v>111</v>
      </c>
      <c r="N140" s="221" t="s">
        <v>1818</v>
      </c>
      <c r="O140" s="151" t="s">
        <v>7451</v>
      </c>
      <c r="P140" s="22" t="s">
        <v>1880</v>
      </c>
      <c r="Q140" s="1109" t="s">
        <v>5480</v>
      </c>
      <c r="R140" s="1109" t="s">
        <v>5480</v>
      </c>
      <c r="S140" s="24" t="s">
        <v>8086</v>
      </c>
      <c r="T140" s="90" t="s">
        <v>8094</v>
      </c>
      <c r="U140" s="1110" t="s">
        <v>2359</v>
      </c>
      <c r="V140" s="1110">
        <v>1</v>
      </c>
      <c r="W140" s="24" t="s">
        <v>448</v>
      </c>
      <c r="X140" s="24" t="s">
        <v>448</v>
      </c>
      <c r="Y140" s="30">
        <v>2.8</v>
      </c>
      <c r="Z140" s="30"/>
      <c r="AA140" s="30">
        <v>2.8</v>
      </c>
      <c r="AB140" s="59"/>
      <c r="AC140" s="59"/>
      <c r="AD140" s="35" t="s">
        <v>1104</v>
      </c>
      <c r="AE140" s="202" t="s">
        <v>19</v>
      </c>
      <c r="AF140" s="35" t="s">
        <v>1880</v>
      </c>
      <c r="AG140" s="1109"/>
    </row>
    <row r="141" spans="1:33" s="11" customFormat="1" ht="26.25" customHeight="1" x14ac:dyDescent="0.15">
      <c r="A141" s="8">
        <f t="shared" si="0"/>
        <v>139</v>
      </c>
      <c r="B141" s="36" t="s">
        <v>8096</v>
      </c>
      <c r="C141" s="26" t="s">
        <v>19</v>
      </c>
      <c r="D141" s="26" t="s">
        <v>19</v>
      </c>
      <c r="E141" s="26" t="s">
        <v>19</v>
      </c>
      <c r="F141" s="29" t="s">
        <v>8102</v>
      </c>
      <c r="G141" s="53" t="s">
        <v>7811</v>
      </c>
      <c r="H141" s="1113" t="s">
        <v>4691</v>
      </c>
      <c r="I141" s="1113" t="s">
        <v>3101</v>
      </c>
      <c r="J141" s="1113" t="s">
        <v>8103</v>
      </c>
      <c r="K141" s="1113" t="s">
        <v>4780</v>
      </c>
      <c r="L141" s="22" t="s">
        <v>1826</v>
      </c>
      <c r="M141" s="1114" t="s">
        <v>111</v>
      </c>
      <c r="N141" s="221" t="s">
        <v>1818</v>
      </c>
      <c r="O141" s="54" t="s">
        <v>3917</v>
      </c>
      <c r="P141" s="22" t="s">
        <v>1880</v>
      </c>
      <c r="Q141" s="1112" t="s">
        <v>3248</v>
      </c>
      <c r="R141" s="1112" t="s">
        <v>3248</v>
      </c>
      <c r="S141" s="24" t="s">
        <v>8086</v>
      </c>
      <c r="T141" s="90" t="s">
        <v>8104</v>
      </c>
      <c r="U141" s="1114" t="s">
        <v>2359</v>
      </c>
      <c r="V141" s="1114">
        <v>1</v>
      </c>
      <c r="W141" s="24" t="s">
        <v>448</v>
      </c>
      <c r="X141" s="24" t="s">
        <v>448</v>
      </c>
      <c r="Y141" s="30">
        <v>1.5</v>
      </c>
      <c r="Z141" s="30"/>
      <c r="AA141" s="30">
        <v>1.5</v>
      </c>
      <c r="AB141" s="59"/>
      <c r="AC141" s="59"/>
      <c r="AD141" s="35" t="s">
        <v>1104</v>
      </c>
      <c r="AE141" s="202" t="s">
        <v>19</v>
      </c>
      <c r="AF141" s="35" t="s">
        <v>1880</v>
      </c>
      <c r="AG141" s="1112"/>
    </row>
    <row r="142" spans="1:33" s="11" customFormat="1" ht="26.25" customHeight="1" x14ac:dyDescent="0.15">
      <c r="A142" s="8">
        <f t="shared" si="0"/>
        <v>140</v>
      </c>
      <c r="B142" s="36" t="s">
        <v>8097</v>
      </c>
      <c r="C142" s="26" t="s">
        <v>19</v>
      </c>
      <c r="D142" s="26" t="s">
        <v>19</v>
      </c>
      <c r="E142" s="26" t="s">
        <v>19</v>
      </c>
      <c r="F142" s="29" t="s">
        <v>4663</v>
      </c>
      <c r="G142" s="53" t="s">
        <v>8105</v>
      </c>
      <c r="H142" s="1113" t="s">
        <v>4195</v>
      </c>
      <c r="I142" s="1113" t="s">
        <v>6017</v>
      </c>
      <c r="J142" s="1113" t="s">
        <v>6024</v>
      </c>
      <c r="K142" s="1113" t="s">
        <v>6025</v>
      </c>
      <c r="L142" s="22" t="s">
        <v>1826</v>
      </c>
      <c r="M142" s="1114" t="s">
        <v>111</v>
      </c>
      <c r="N142" s="221" t="s">
        <v>1818</v>
      </c>
      <c r="O142" s="151" t="s">
        <v>7451</v>
      </c>
      <c r="P142" s="22" t="s">
        <v>1880</v>
      </c>
      <c r="Q142" s="1113" t="s">
        <v>5480</v>
      </c>
      <c r="R142" s="1113" t="s">
        <v>5480</v>
      </c>
      <c r="S142" s="24" t="s">
        <v>8106</v>
      </c>
      <c r="T142" s="90" t="s">
        <v>8104</v>
      </c>
      <c r="U142" s="1114" t="s">
        <v>2359</v>
      </c>
      <c r="V142" s="1114">
        <v>2</v>
      </c>
      <c r="W142" s="24" t="s">
        <v>448</v>
      </c>
      <c r="X142" s="24" t="s">
        <v>448</v>
      </c>
      <c r="Y142" s="30">
        <v>3</v>
      </c>
      <c r="Z142" s="30"/>
      <c r="AA142" s="30">
        <v>3</v>
      </c>
      <c r="AB142" s="59"/>
      <c r="AC142" s="59"/>
      <c r="AD142" s="35" t="s">
        <v>1104</v>
      </c>
      <c r="AE142" s="202" t="s">
        <v>19</v>
      </c>
      <c r="AF142" s="35" t="s">
        <v>1880</v>
      </c>
      <c r="AG142" s="1112"/>
    </row>
    <row r="143" spans="1:33" s="11" customFormat="1" ht="26.25" customHeight="1" x14ac:dyDescent="0.15">
      <c r="A143" s="8">
        <f t="shared" si="0"/>
        <v>141</v>
      </c>
      <c r="B143" s="36" t="s">
        <v>8098</v>
      </c>
      <c r="C143" s="26" t="s">
        <v>19</v>
      </c>
      <c r="D143" s="26" t="s">
        <v>19</v>
      </c>
      <c r="E143" s="26" t="s">
        <v>19</v>
      </c>
      <c r="F143" s="29" t="s">
        <v>8107</v>
      </c>
      <c r="G143" s="723" t="s">
        <v>7548</v>
      </c>
      <c r="H143" s="1113" t="s">
        <v>4712</v>
      </c>
      <c r="I143" s="1113" t="s">
        <v>3101</v>
      </c>
      <c r="J143" s="1113" t="s">
        <v>4821</v>
      </c>
      <c r="K143" s="1113" t="s">
        <v>4780</v>
      </c>
      <c r="L143" s="22" t="s">
        <v>1826</v>
      </c>
      <c r="M143" s="1114" t="s">
        <v>111</v>
      </c>
      <c r="N143" s="221" t="s">
        <v>1818</v>
      </c>
      <c r="O143" s="54" t="s">
        <v>1796</v>
      </c>
      <c r="P143" s="22" t="s">
        <v>1880</v>
      </c>
      <c r="Q143" s="1112" t="s">
        <v>3248</v>
      </c>
      <c r="R143" s="1112" t="s">
        <v>3248</v>
      </c>
      <c r="S143" s="484"/>
      <c r="T143" s="499"/>
      <c r="U143" s="484"/>
      <c r="V143" s="484"/>
      <c r="W143" s="24" t="s">
        <v>448</v>
      </c>
      <c r="X143" s="24" t="s">
        <v>448</v>
      </c>
      <c r="Y143" s="30">
        <v>0.9</v>
      </c>
      <c r="Z143" s="30"/>
      <c r="AA143" s="30">
        <v>0.9</v>
      </c>
      <c r="AB143" s="59"/>
      <c r="AC143" s="59"/>
      <c r="AD143" s="35" t="s">
        <v>1104</v>
      </c>
      <c r="AE143" s="202" t="s">
        <v>19</v>
      </c>
      <c r="AF143" s="35" t="s">
        <v>1880</v>
      </c>
      <c r="AG143" s="1112"/>
    </row>
    <row r="144" spans="1:33" s="11" customFormat="1" ht="26.25" customHeight="1" x14ac:dyDescent="0.15">
      <c r="A144" s="8">
        <f t="shared" si="0"/>
        <v>142</v>
      </c>
      <c r="B144" s="36" t="s">
        <v>8099</v>
      </c>
      <c r="C144" s="71" t="s">
        <v>8108</v>
      </c>
      <c r="D144" s="26" t="s">
        <v>19</v>
      </c>
      <c r="E144" s="26" t="s">
        <v>19</v>
      </c>
      <c r="F144" s="29" t="s">
        <v>3245</v>
      </c>
      <c r="G144" s="53" t="s">
        <v>8109</v>
      </c>
      <c r="H144" s="1113" t="s">
        <v>4195</v>
      </c>
      <c r="I144" s="1113" t="s">
        <v>5419</v>
      </c>
      <c r="J144" s="1113" t="s">
        <v>8110</v>
      </c>
      <c r="K144" s="1113" t="s">
        <v>4780</v>
      </c>
      <c r="L144" s="22" t="s">
        <v>1826</v>
      </c>
      <c r="M144" s="1114" t="s">
        <v>111</v>
      </c>
      <c r="N144" s="1112" t="s">
        <v>1150</v>
      </c>
      <c r="O144" s="54" t="s">
        <v>4534</v>
      </c>
      <c r="P144" s="22" t="s">
        <v>1880</v>
      </c>
      <c r="Q144" s="1113" t="s">
        <v>5480</v>
      </c>
      <c r="R144" s="1113" t="s">
        <v>5480</v>
      </c>
      <c r="S144" s="24" t="s">
        <v>8111</v>
      </c>
      <c r="T144" s="90" t="s">
        <v>8104</v>
      </c>
      <c r="U144" s="10" t="s">
        <v>1800</v>
      </c>
      <c r="V144" s="10">
        <v>1</v>
      </c>
      <c r="W144" s="24" t="s">
        <v>448</v>
      </c>
      <c r="X144" s="24" t="s">
        <v>448</v>
      </c>
      <c r="Y144" s="30">
        <v>7</v>
      </c>
      <c r="Z144" s="30"/>
      <c r="AA144" s="30">
        <v>7</v>
      </c>
      <c r="AB144" s="59"/>
      <c r="AC144" s="59"/>
      <c r="AD144" s="35" t="s">
        <v>1104</v>
      </c>
      <c r="AE144" s="202" t="s">
        <v>19</v>
      </c>
      <c r="AF144" s="35" t="s">
        <v>1880</v>
      </c>
      <c r="AG144" s="1112"/>
    </row>
    <row r="145" spans="1:33" s="11" customFormat="1" ht="26.25" customHeight="1" x14ac:dyDescent="0.15">
      <c r="A145" s="8">
        <f t="shared" si="0"/>
        <v>143</v>
      </c>
      <c r="B145" s="36" t="s">
        <v>8100</v>
      </c>
      <c r="C145" s="71" t="s">
        <v>8112</v>
      </c>
      <c r="D145" s="26" t="s">
        <v>19</v>
      </c>
      <c r="E145" s="26" t="s">
        <v>19</v>
      </c>
      <c r="F145" s="29" t="s">
        <v>3245</v>
      </c>
      <c r="G145" s="53" t="s">
        <v>8109</v>
      </c>
      <c r="H145" s="1113" t="s">
        <v>4195</v>
      </c>
      <c r="I145" s="1113" t="s">
        <v>3101</v>
      </c>
      <c r="J145" s="1113" t="s">
        <v>8113</v>
      </c>
      <c r="K145" s="1113" t="s">
        <v>4780</v>
      </c>
      <c r="L145" s="22" t="s">
        <v>1826</v>
      </c>
      <c r="M145" s="1114" t="s">
        <v>111</v>
      </c>
      <c r="N145" s="1113" t="s">
        <v>1150</v>
      </c>
      <c r="O145" s="54" t="s">
        <v>4534</v>
      </c>
      <c r="P145" s="22" t="s">
        <v>1880</v>
      </c>
      <c r="Q145" s="1113" t="s">
        <v>5480</v>
      </c>
      <c r="R145" s="1113" t="s">
        <v>5480</v>
      </c>
      <c r="S145" s="24" t="s">
        <v>8111</v>
      </c>
      <c r="T145" s="90" t="s">
        <v>8104</v>
      </c>
      <c r="U145" s="10" t="s">
        <v>1800</v>
      </c>
      <c r="V145" s="10">
        <v>1</v>
      </c>
      <c r="W145" s="24" t="s">
        <v>448</v>
      </c>
      <c r="X145" s="24" t="s">
        <v>448</v>
      </c>
      <c r="Y145" s="30">
        <v>7</v>
      </c>
      <c r="Z145" s="30"/>
      <c r="AA145" s="30">
        <v>7</v>
      </c>
      <c r="AB145" s="59"/>
      <c r="AC145" s="59"/>
      <c r="AD145" s="35" t="s">
        <v>1104</v>
      </c>
      <c r="AE145" s="202" t="s">
        <v>19</v>
      </c>
      <c r="AF145" s="35" t="s">
        <v>1880</v>
      </c>
      <c r="AG145" s="1107"/>
    </row>
    <row r="146" spans="1:33" s="11" customFormat="1" ht="26.25" customHeight="1" x14ac:dyDescent="0.15">
      <c r="A146" s="8">
        <f t="shared" si="0"/>
        <v>144</v>
      </c>
      <c r="B146" s="36" t="s">
        <v>8101</v>
      </c>
      <c r="C146" s="71" t="s">
        <v>8114</v>
      </c>
      <c r="D146" s="26" t="s">
        <v>19</v>
      </c>
      <c r="E146" s="26" t="s">
        <v>19</v>
      </c>
      <c r="F146" s="29" t="s">
        <v>3245</v>
      </c>
      <c r="G146" s="53" t="s">
        <v>8109</v>
      </c>
      <c r="H146" s="1113" t="s">
        <v>4195</v>
      </c>
      <c r="I146" s="1113" t="s">
        <v>1124</v>
      </c>
      <c r="J146" s="1113" t="s">
        <v>8115</v>
      </c>
      <c r="K146" s="1113" t="s">
        <v>4780</v>
      </c>
      <c r="L146" s="22" t="s">
        <v>1826</v>
      </c>
      <c r="M146" s="1114" t="s">
        <v>111</v>
      </c>
      <c r="N146" s="1113" t="s">
        <v>1150</v>
      </c>
      <c r="O146" s="54" t="s">
        <v>4534</v>
      </c>
      <c r="P146" s="22" t="s">
        <v>1880</v>
      </c>
      <c r="Q146" s="1113" t="s">
        <v>5480</v>
      </c>
      <c r="R146" s="1113" t="s">
        <v>5480</v>
      </c>
      <c r="S146" s="24" t="s">
        <v>8111</v>
      </c>
      <c r="T146" s="90" t="s">
        <v>8104</v>
      </c>
      <c r="U146" s="10" t="s">
        <v>1800</v>
      </c>
      <c r="V146" s="10">
        <v>1</v>
      </c>
      <c r="W146" s="24" t="s">
        <v>448</v>
      </c>
      <c r="X146" s="24" t="s">
        <v>448</v>
      </c>
      <c r="Y146" s="30">
        <v>7</v>
      </c>
      <c r="Z146" s="30"/>
      <c r="AA146" s="30">
        <v>7</v>
      </c>
      <c r="AB146" s="59"/>
      <c r="AC146" s="59"/>
      <c r="AD146" s="35" t="s">
        <v>1104</v>
      </c>
      <c r="AE146" s="202" t="s">
        <v>19</v>
      </c>
      <c r="AF146" s="35" t="s">
        <v>1880</v>
      </c>
      <c r="AG146" s="1107"/>
    </row>
    <row r="147" spans="1:33" s="11" customFormat="1" ht="26.25" customHeight="1" x14ac:dyDescent="0.15">
      <c r="A147" s="8">
        <f t="shared" si="0"/>
        <v>145</v>
      </c>
      <c r="B147" s="36" t="s">
        <v>8119</v>
      </c>
      <c r="C147" s="26" t="s">
        <v>19</v>
      </c>
      <c r="D147" s="26" t="s">
        <v>19</v>
      </c>
      <c r="E147" s="26" t="s">
        <v>19</v>
      </c>
      <c r="F147" s="29" t="s">
        <v>6078</v>
      </c>
      <c r="G147" s="29" t="s">
        <v>6905</v>
      </c>
      <c r="H147" s="1115" t="s">
        <v>3649</v>
      </c>
      <c r="I147" s="1115" t="s">
        <v>6079</v>
      </c>
      <c r="J147" s="1115" t="s">
        <v>6767</v>
      </c>
      <c r="K147" s="22" t="s">
        <v>4780</v>
      </c>
      <c r="L147" s="1116" t="s">
        <v>1826</v>
      </c>
      <c r="M147" s="1116" t="s">
        <v>111</v>
      </c>
      <c r="N147" s="1115" t="s">
        <v>1131</v>
      </c>
      <c r="O147" s="54" t="s">
        <v>6266</v>
      </c>
      <c r="P147" s="22" t="s">
        <v>1880</v>
      </c>
      <c r="Q147" s="1115" t="s">
        <v>5487</v>
      </c>
      <c r="R147" s="1115" t="s">
        <v>5487</v>
      </c>
      <c r="S147" s="24" t="s">
        <v>8116</v>
      </c>
      <c r="T147" s="90" t="s">
        <v>8117</v>
      </c>
      <c r="U147" s="1116" t="s">
        <v>2359</v>
      </c>
      <c r="V147" s="1116">
        <v>1</v>
      </c>
      <c r="W147" s="24" t="s">
        <v>7568</v>
      </c>
      <c r="X147" s="24" t="s">
        <v>8118</v>
      </c>
      <c r="Y147" s="30"/>
      <c r="Z147" s="30">
        <v>24</v>
      </c>
      <c r="AA147" s="30">
        <v>24</v>
      </c>
      <c r="AB147" s="59"/>
      <c r="AC147" s="59"/>
      <c r="AD147" s="35" t="s">
        <v>1104</v>
      </c>
      <c r="AE147" s="202" t="s">
        <v>19</v>
      </c>
      <c r="AF147" s="35" t="s">
        <v>1880</v>
      </c>
      <c r="AG147" s="1115"/>
    </row>
    <row r="148" spans="1:33" s="11" customFormat="1" ht="26.25" customHeight="1" x14ac:dyDescent="0.15">
      <c r="A148" s="8">
        <f t="shared" si="0"/>
        <v>146</v>
      </c>
      <c r="B148" s="36" t="s">
        <v>8125</v>
      </c>
      <c r="C148" s="26" t="s">
        <v>19</v>
      </c>
      <c r="D148" s="26" t="s">
        <v>19</v>
      </c>
      <c r="E148" s="26" t="s">
        <v>19</v>
      </c>
      <c r="F148" s="29" t="s">
        <v>2010</v>
      </c>
      <c r="G148" s="29" t="s">
        <v>8126</v>
      </c>
      <c r="H148" s="1117" t="s">
        <v>4712</v>
      </c>
      <c r="I148" s="1117" t="s">
        <v>8121</v>
      </c>
      <c r="J148" s="1117" t="s">
        <v>6397</v>
      </c>
      <c r="K148" s="22" t="s">
        <v>8122</v>
      </c>
      <c r="L148" s="1118" t="s">
        <v>1826</v>
      </c>
      <c r="M148" s="1118" t="s">
        <v>111</v>
      </c>
      <c r="N148" s="1117" t="s">
        <v>1131</v>
      </c>
      <c r="O148" s="151" t="s">
        <v>7451</v>
      </c>
      <c r="P148" s="22" t="s">
        <v>1880</v>
      </c>
      <c r="Q148" s="1117" t="s">
        <v>3248</v>
      </c>
      <c r="R148" s="1117" t="s">
        <v>3248</v>
      </c>
      <c r="S148" s="24" t="s">
        <v>8123</v>
      </c>
      <c r="T148" s="90" t="s">
        <v>8124</v>
      </c>
      <c r="U148" s="1118" t="s">
        <v>2359</v>
      </c>
      <c r="V148" s="1118">
        <v>2</v>
      </c>
      <c r="W148" s="24" t="s">
        <v>448</v>
      </c>
      <c r="X148" s="24" t="s">
        <v>448</v>
      </c>
      <c r="Y148" s="30">
        <v>3</v>
      </c>
      <c r="Z148" s="30"/>
      <c r="AA148" s="30">
        <v>3</v>
      </c>
      <c r="AB148" s="59"/>
      <c r="AC148" s="59"/>
      <c r="AD148" s="35" t="s">
        <v>1104</v>
      </c>
      <c r="AE148" s="202" t="s">
        <v>19</v>
      </c>
      <c r="AF148" s="35" t="s">
        <v>1880</v>
      </c>
      <c r="AG148" s="1117"/>
    </row>
    <row r="149" spans="1:33" s="11" customFormat="1" ht="26.25" customHeight="1" x14ac:dyDescent="0.15">
      <c r="A149" s="8">
        <f t="shared" si="0"/>
        <v>147</v>
      </c>
      <c r="B149" s="36" t="s">
        <v>8120</v>
      </c>
      <c r="C149" s="71" t="s">
        <v>8131</v>
      </c>
      <c r="D149" s="26" t="s">
        <v>19</v>
      </c>
      <c r="E149" s="26" t="s">
        <v>19</v>
      </c>
      <c r="F149" s="29" t="s">
        <v>8127</v>
      </c>
      <c r="G149" s="99" t="s">
        <v>8130</v>
      </c>
      <c r="H149" s="1119" t="s">
        <v>3649</v>
      </c>
      <c r="I149" s="1119" t="s">
        <v>4750</v>
      </c>
      <c r="J149" s="1119" t="s">
        <v>8128</v>
      </c>
      <c r="K149" s="22" t="s">
        <v>4780</v>
      </c>
      <c r="L149" s="1120" t="s">
        <v>1826</v>
      </c>
      <c r="M149" s="1120" t="s">
        <v>111</v>
      </c>
      <c r="N149" s="1119" t="s">
        <v>1131</v>
      </c>
      <c r="O149" s="54" t="s">
        <v>8129</v>
      </c>
      <c r="P149" s="22" t="s">
        <v>1880</v>
      </c>
      <c r="Q149" s="1119" t="s">
        <v>5487</v>
      </c>
      <c r="R149" s="1119" t="s">
        <v>5487</v>
      </c>
      <c r="S149" s="499"/>
      <c r="T149" s="484"/>
      <c r="U149" s="484"/>
      <c r="V149" s="484"/>
      <c r="W149" s="24" t="s">
        <v>448</v>
      </c>
      <c r="X149" s="24" t="s">
        <v>448</v>
      </c>
      <c r="Y149" s="30">
        <v>21.8</v>
      </c>
      <c r="Z149" s="30"/>
      <c r="AA149" s="30">
        <v>21.8</v>
      </c>
      <c r="AB149" s="59"/>
      <c r="AC149" s="59"/>
      <c r="AD149" s="35" t="s">
        <v>1104</v>
      </c>
      <c r="AE149" s="202" t="s">
        <v>19</v>
      </c>
      <c r="AF149" s="35" t="s">
        <v>1880</v>
      </c>
      <c r="AG149" s="1117"/>
    </row>
    <row r="150" spans="1:33" s="11" customFormat="1" ht="26.25" customHeight="1" x14ac:dyDescent="0.15">
      <c r="A150" s="8">
        <f t="shared" si="0"/>
        <v>148</v>
      </c>
      <c r="B150" s="36" t="s">
        <v>8136</v>
      </c>
      <c r="C150" s="26" t="s">
        <v>19</v>
      </c>
      <c r="D150" s="26" t="s">
        <v>19</v>
      </c>
      <c r="E150" s="26" t="s">
        <v>19</v>
      </c>
      <c r="F150" s="29" t="s">
        <v>3082</v>
      </c>
      <c r="G150" s="53" t="s">
        <v>8132</v>
      </c>
      <c r="H150" s="1121" t="s">
        <v>4195</v>
      </c>
      <c r="I150" s="1121" t="s">
        <v>2007</v>
      </c>
      <c r="J150" s="1121" t="s">
        <v>5633</v>
      </c>
      <c r="K150" s="22" t="s">
        <v>4780</v>
      </c>
      <c r="L150" s="22" t="s">
        <v>5431</v>
      </c>
      <c r="M150" s="1123" t="s">
        <v>111</v>
      </c>
      <c r="N150" s="1122" t="s">
        <v>1131</v>
      </c>
      <c r="O150" s="54" t="s">
        <v>8133</v>
      </c>
      <c r="P150" s="22" t="s">
        <v>1880</v>
      </c>
      <c r="Q150" s="1122" t="s">
        <v>1894</v>
      </c>
      <c r="R150" s="1122" t="s">
        <v>1894</v>
      </c>
      <c r="S150" s="24" t="s">
        <v>8134</v>
      </c>
      <c r="T150" s="90" t="s">
        <v>8135</v>
      </c>
      <c r="U150" s="1123" t="s">
        <v>2359</v>
      </c>
      <c r="V150" s="1123">
        <v>1</v>
      </c>
      <c r="W150" s="24" t="s">
        <v>448</v>
      </c>
      <c r="X150" s="24" t="s">
        <v>448</v>
      </c>
      <c r="Y150" s="30">
        <v>3.8</v>
      </c>
      <c r="Z150" s="30"/>
      <c r="AA150" s="30">
        <v>3.8</v>
      </c>
      <c r="AB150" s="59"/>
      <c r="AC150" s="59"/>
      <c r="AD150" s="35" t="s">
        <v>1104</v>
      </c>
      <c r="AE150" s="202" t="s">
        <v>19</v>
      </c>
      <c r="AF150" s="35" t="s">
        <v>1880</v>
      </c>
      <c r="AG150" s="1122"/>
    </row>
    <row r="151" spans="1:33" s="11" customFormat="1" ht="26.25" customHeight="1" x14ac:dyDescent="0.15">
      <c r="A151" s="8">
        <f t="shared" si="0"/>
        <v>149</v>
      </c>
      <c r="B151" s="36" t="s">
        <v>8137</v>
      </c>
      <c r="C151" s="26" t="s">
        <v>19</v>
      </c>
      <c r="D151" s="26" t="s">
        <v>19</v>
      </c>
      <c r="E151" s="26" t="s">
        <v>19</v>
      </c>
      <c r="F151" s="29" t="s">
        <v>9752</v>
      </c>
      <c r="G151" s="53" t="s">
        <v>8138</v>
      </c>
      <c r="H151" s="1094" t="s">
        <v>2012</v>
      </c>
      <c r="I151" s="1094" t="s">
        <v>2067</v>
      </c>
      <c r="J151" s="1094" t="s">
        <v>8139</v>
      </c>
      <c r="K151" s="22" t="s">
        <v>4780</v>
      </c>
      <c r="L151" s="22" t="s">
        <v>5431</v>
      </c>
      <c r="M151" s="1125" t="s">
        <v>1860</v>
      </c>
      <c r="N151" s="1124" t="s">
        <v>1131</v>
      </c>
      <c r="O151" s="54" t="s">
        <v>2224</v>
      </c>
      <c r="P151" s="22" t="s">
        <v>1880</v>
      </c>
      <c r="Q151" s="1095" t="s">
        <v>3248</v>
      </c>
      <c r="R151" s="1095" t="s">
        <v>3248</v>
      </c>
      <c r="S151" s="24" t="s">
        <v>8140</v>
      </c>
      <c r="T151" s="90" t="s">
        <v>8141</v>
      </c>
      <c r="U151" s="10" t="s">
        <v>1800</v>
      </c>
      <c r="V151" s="10">
        <v>1</v>
      </c>
      <c r="W151" s="24" t="s">
        <v>5710</v>
      </c>
      <c r="X151" s="24" t="s">
        <v>448</v>
      </c>
      <c r="Y151" s="30">
        <v>11.9</v>
      </c>
      <c r="Z151" s="30"/>
      <c r="AA151" s="30">
        <v>11.9</v>
      </c>
      <c r="AB151" s="59"/>
      <c r="AC151" s="59"/>
      <c r="AD151" s="35" t="s">
        <v>1104</v>
      </c>
      <c r="AE151" s="202" t="s">
        <v>19</v>
      </c>
      <c r="AF151" s="35" t="s">
        <v>1880</v>
      </c>
      <c r="AG151" s="1095"/>
    </row>
    <row r="152" spans="1:33" s="11" customFormat="1" ht="26.25" customHeight="1" x14ac:dyDescent="0.15">
      <c r="A152" s="8">
        <f t="shared" si="0"/>
        <v>150</v>
      </c>
      <c r="B152" s="36" t="s">
        <v>8143</v>
      </c>
      <c r="C152" s="71" t="s">
        <v>8145</v>
      </c>
      <c r="D152" s="26" t="s">
        <v>19</v>
      </c>
      <c r="E152" s="26" t="s">
        <v>19</v>
      </c>
      <c r="F152" s="29" t="s">
        <v>449</v>
      </c>
      <c r="G152" s="53" t="s">
        <v>8144</v>
      </c>
      <c r="H152" s="1128" t="s">
        <v>4791</v>
      </c>
      <c r="I152" s="1128" t="s">
        <v>2419</v>
      </c>
      <c r="J152" s="1128" t="s">
        <v>6738</v>
      </c>
      <c r="K152" s="22" t="s">
        <v>6549</v>
      </c>
      <c r="L152" s="22" t="s">
        <v>5431</v>
      </c>
      <c r="M152" s="22" t="s">
        <v>1880</v>
      </c>
      <c r="N152" s="1129" t="s">
        <v>1131</v>
      </c>
      <c r="O152" s="54" t="s">
        <v>5862</v>
      </c>
      <c r="P152" s="22" t="s">
        <v>1880</v>
      </c>
      <c r="Q152" s="1129" t="s">
        <v>446</v>
      </c>
      <c r="R152" s="1129" t="s">
        <v>446</v>
      </c>
      <c r="S152" s="24" t="s">
        <v>8146</v>
      </c>
      <c r="T152" s="90" t="s">
        <v>8147</v>
      </c>
      <c r="U152" s="24" t="s">
        <v>110</v>
      </c>
      <c r="V152" s="24">
        <v>2</v>
      </c>
      <c r="W152" s="24" t="s">
        <v>448</v>
      </c>
      <c r="X152" s="24" t="s">
        <v>448</v>
      </c>
      <c r="Y152" s="30">
        <v>3</v>
      </c>
      <c r="Z152" s="30"/>
      <c r="AA152" s="30">
        <v>3</v>
      </c>
      <c r="AB152" s="59"/>
      <c r="AC152" s="59"/>
      <c r="AD152" s="35" t="s">
        <v>1104</v>
      </c>
      <c r="AE152" s="202" t="s">
        <v>19</v>
      </c>
      <c r="AF152" s="35" t="s">
        <v>1880</v>
      </c>
      <c r="AG152" s="1129"/>
    </row>
    <row r="153" spans="1:33" s="11" customFormat="1" ht="26.25" customHeight="1" x14ac:dyDescent="0.15">
      <c r="A153" s="8">
        <f t="shared" si="0"/>
        <v>151</v>
      </c>
      <c r="B153" s="36" t="s">
        <v>8148</v>
      </c>
      <c r="C153" s="26" t="s">
        <v>19</v>
      </c>
      <c r="D153" s="26" t="s">
        <v>19</v>
      </c>
      <c r="E153" s="26" t="s">
        <v>19</v>
      </c>
      <c r="F153" s="29" t="s">
        <v>5664</v>
      </c>
      <c r="G153" s="53" t="s">
        <v>8149</v>
      </c>
      <c r="H153" s="1128" t="s">
        <v>4691</v>
      </c>
      <c r="I153" s="1128" t="s">
        <v>4728</v>
      </c>
      <c r="J153" s="1128" t="s">
        <v>5666</v>
      </c>
      <c r="K153" s="22" t="s">
        <v>4780</v>
      </c>
      <c r="L153" s="22" t="s">
        <v>5431</v>
      </c>
      <c r="M153" s="1130" t="s">
        <v>111</v>
      </c>
      <c r="N153" s="1129" t="s">
        <v>1131</v>
      </c>
      <c r="O153" s="54" t="s">
        <v>116</v>
      </c>
      <c r="P153" s="22" t="s">
        <v>1880</v>
      </c>
      <c r="Q153" s="1129" t="s">
        <v>1894</v>
      </c>
      <c r="R153" s="1129" t="s">
        <v>1894</v>
      </c>
      <c r="S153" s="24" t="s">
        <v>8146</v>
      </c>
      <c r="T153" s="90" t="s">
        <v>8150</v>
      </c>
      <c r="U153" s="24" t="s">
        <v>110</v>
      </c>
      <c r="V153" s="24">
        <v>1</v>
      </c>
      <c r="W153" s="90" t="s">
        <v>8151</v>
      </c>
      <c r="X153" s="90" t="s">
        <v>8152</v>
      </c>
      <c r="Y153" s="30"/>
      <c r="Z153" s="30">
        <v>9.1999999999999993</v>
      </c>
      <c r="AA153" s="30">
        <v>9.1999999999999993</v>
      </c>
      <c r="AB153" s="59"/>
      <c r="AC153" s="59"/>
      <c r="AD153" s="35" t="s">
        <v>1104</v>
      </c>
      <c r="AE153" s="202" t="s">
        <v>19</v>
      </c>
      <c r="AF153" s="35" t="s">
        <v>1880</v>
      </c>
      <c r="AG153" s="1129"/>
    </row>
    <row r="154" spans="1:33" s="11" customFormat="1" ht="26.25" customHeight="1" x14ac:dyDescent="0.15">
      <c r="A154" s="8">
        <f t="shared" si="0"/>
        <v>152</v>
      </c>
      <c r="B154" s="36" t="s">
        <v>8153</v>
      </c>
      <c r="C154" s="71" t="s">
        <v>8156</v>
      </c>
      <c r="D154" s="26" t="s">
        <v>19</v>
      </c>
      <c r="E154" s="26" t="s">
        <v>19</v>
      </c>
      <c r="F154" s="29" t="s">
        <v>5870</v>
      </c>
      <c r="G154" s="53" t="s">
        <v>7226</v>
      </c>
      <c r="H154" s="1129" t="s">
        <v>4195</v>
      </c>
      <c r="I154" s="1129" t="s">
        <v>3101</v>
      </c>
      <c r="J154" s="1129" t="s">
        <v>8159</v>
      </c>
      <c r="K154" s="22" t="s">
        <v>4780</v>
      </c>
      <c r="L154" s="22" t="s">
        <v>5431</v>
      </c>
      <c r="M154" s="1130" t="s">
        <v>111</v>
      </c>
      <c r="N154" s="1129" t="s">
        <v>1131</v>
      </c>
      <c r="O154" s="54" t="s">
        <v>2218</v>
      </c>
      <c r="P154" s="22" t="s">
        <v>1880</v>
      </c>
      <c r="Q154" s="1129" t="s">
        <v>5480</v>
      </c>
      <c r="R154" s="1129" t="s">
        <v>5480</v>
      </c>
      <c r="S154" s="24" t="s">
        <v>8160</v>
      </c>
      <c r="T154" s="90" t="s">
        <v>8161</v>
      </c>
      <c r="U154" s="10" t="s">
        <v>1800</v>
      </c>
      <c r="V154" s="10">
        <v>1</v>
      </c>
      <c r="W154" s="24" t="s">
        <v>5710</v>
      </c>
      <c r="X154" s="24" t="s">
        <v>448</v>
      </c>
      <c r="Y154" s="30">
        <v>42.9</v>
      </c>
      <c r="Z154" s="30"/>
      <c r="AA154" s="30">
        <v>42.9</v>
      </c>
      <c r="AB154" s="59"/>
      <c r="AC154" s="59"/>
      <c r="AD154" s="35" t="s">
        <v>1104</v>
      </c>
      <c r="AE154" s="202" t="s">
        <v>19</v>
      </c>
      <c r="AF154" s="35" t="s">
        <v>1880</v>
      </c>
      <c r="AG154" s="1129"/>
    </row>
    <row r="155" spans="1:33" s="11" customFormat="1" ht="26.25" customHeight="1" x14ac:dyDescent="0.15">
      <c r="A155" s="8">
        <f t="shared" si="0"/>
        <v>153</v>
      </c>
      <c r="B155" s="36" t="s">
        <v>8154</v>
      </c>
      <c r="C155" s="71" t="s">
        <v>8157</v>
      </c>
      <c r="D155" s="26" t="s">
        <v>19</v>
      </c>
      <c r="E155" s="26" t="s">
        <v>19</v>
      </c>
      <c r="F155" s="29" t="s">
        <v>5870</v>
      </c>
      <c r="G155" s="53" t="s">
        <v>7226</v>
      </c>
      <c r="H155" s="1129" t="s">
        <v>4195</v>
      </c>
      <c r="I155" s="1129" t="s">
        <v>3101</v>
      </c>
      <c r="J155" s="1129" t="s">
        <v>8159</v>
      </c>
      <c r="K155" s="22" t="s">
        <v>4780</v>
      </c>
      <c r="L155" s="22" t="s">
        <v>5431</v>
      </c>
      <c r="M155" s="1130" t="s">
        <v>111</v>
      </c>
      <c r="N155" s="1129" t="s">
        <v>445</v>
      </c>
      <c r="O155" s="54" t="s">
        <v>4534</v>
      </c>
      <c r="P155" s="22" t="s">
        <v>1880</v>
      </c>
      <c r="Q155" s="1129" t="s">
        <v>5480</v>
      </c>
      <c r="R155" s="1129" t="s">
        <v>5480</v>
      </c>
      <c r="S155" s="24" t="s">
        <v>8160</v>
      </c>
      <c r="T155" s="90" t="s">
        <v>8161</v>
      </c>
      <c r="U155" s="10" t="s">
        <v>1800</v>
      </c>
      <c r="V155" s="10">
        <v>1</v>
      </c>
      <c r="W155" s="24" t="s">
        <v>448</v>
      </c>
      <c r="X155" s="24" t="s">
        <v>448</v>
      </c>
      <c r="Y155" s="30">
        <v>10</v>
      </c>
      <c r="Z155" s="30"/>
      <c r="AA155" s="30">
        <v>10</v>
      </c>
      <c r="AB155" s="59"/>
      <c r="AC155" s="59"/>
      <c r="AD155" s="35" t="s">
        <v>1104</v>
      </c>
      <c r="AE155" s="202" t="s">
        <v>19</v>
      </c>
      <c r="AF155" s="35" t="s">
        <v>1880</v>
      </c>
      <c r="AG155" s="1129"/>
    </row>
    <row r="156" spans="1:33" s="11" customFormat="1" ht="26.25" customHeight="1" x14ac:dyDescent="0.15">
      <c r="A156" s="8">
        <f t="shared" si="0"/>
        <v>154</v>
      </c>
      <c r="B156" s="36" t="s">
        <v>8155</v>
      </c>
      <c r="C156" s="71" t="s">
        <v>8158</v>
      </c>
      <c r="D156" s="26" t="s">
        <v>19</v>
      </c>
      <c r="E156" s="26" t="s">
        <v>19</v>
      </c>
      <c r="F156" s="29" t="s">
        <v>5870</v>
      </c>
      <c r="G156" s="53" t="s">
        <v>7226</v>
      </c>
      <c r="H156" s="1129" t="s">
        <v>4195</v>
      </c>
      <c r="I156" s="1129" t="s">
        <v>3101</v>
      </c>
      <c r="J156" s="1129" t="s">
        <v>8159</v>
      </c>
      <c r="K156" s="22" t="s">
        <v>4780</v>
      </c>
      <c r="L156" s="22" t="s">
        <v>5431</v>
      </c>
      <c r="M156" s="1130" t="s">
        <v>111</v>
      </c>
      <c r="N156" s="1129" t="s">
        <v>5730</v>
      </c>
      <c r="O156" s="54" t="s">
        <v>5731</v>
      </c>
      <c r="P156" s="22" t="s">
        <v>1880</v>
      </c>
      <c r="Q156" s="1129" t="s">
        <v>5480</v>
      </c>
      <c r="R156" s="1129" t="s">
        <v>5480</v>
      </c>
      <c r="S156" s="24" t="s">
        <v>8160</v>
      </c>
      <c r="T156" s="90" t="s">
        <v>8161</v>
      </c>
      <c r="U156" s="10" t="s">
        <v>1800</v>
      </c>
      <c r="V156" s="10">
        <v>1</v>
      </c>
      <c r="W156" s="24" t="s">
        <v>448</v>
      </c>
      <c r="X156" s="24" t="s">
        <v>448</v>
      </c>
      <c r="Y156" s="30">
        <v>12.6</v>
      </c>
      <c r="Z156" s="30"/>
      <c r="AA156" s="30">
        <v>12.6</v>
      </c>
      <c r="AB156" s="59"/>
      <c r="AC156" s="59"/>
      <c r="AD156" s="35" t="s">
        <v>1104</v>
      </c>
      <c r="AE156" s="202" t="s">
        <v>19</v>
      </c>
      <c r="AF156" s="35" t="s">
        <v>1880</v>
      </c>
      <c r="AG156" s="1129"/>
    </row>
    <row r="157" spans="1:33" s="11" customFormat="1" ht="26.25" customHeight="1" x14ac:dyDescent="0.15">
      <c r="A157" s="8">
        <f t="shared" si="0"/>
        <v>155</v>
      </c>
      <c r="B157" s="36" t="s">
        <v>8162</v>
      </c>
      <c r="C157" s="26" t="s">
        <v>19</v>
      </c>
      <c r="D157" s="26" t="s">
        <v>19</v>
      </c>
      <c r="E157" s="26" t="s">
        <v>19</v>
      </c>
      <c r="F157" s="29" t="s">
        <v>1792</v>
      </c>
      <c r="G157" s="53" t="s">
        <v>8164</v>
      </c>
      <c r="H157" s="1129" t="s">
        <v>4691</v>
      </c>
      <c r="I157" s="1129" t="s">
        <v>4728</v>
      </c>
      <c r="J157" s="1129" t="s">
        <v>5784</v>
      </c>
      <c r="K157" s="22" t="s">
        <v>8163</v>
      </c>
      <c r="L157" s="22" t="s">
        <v>5431</v>
      </c>
      <c r="M157" s="1130" t="s">
        <v>111</v>
      </c>
      <c r="N157" s="1129" t="s">
        <v>1131</v>
      </c>
      <c r="O157" s="54" t="s">
        <v>1796</v>
      </c>
      <c r="P157" s="22" t="s">
        <v>1880</v>
      </c>
      <c r="Q157" s="1129" t="s">
        <v>1894</v>
      </c>
      <c r="R157" s="1129" t="s">
        <v>1894</v>
      </c>
      <c r="S157" s="24" t="s">
        <v>8165</v>
      </c>
      <c r="T157" s="90" t="s">
        <v>8166</v>
      </c>
      <c r="U157" s="10" t="s">
        <v>1800</v>
      </c>
      <c r="V157" s="10">
        <v>1</v>
      </c>
      <c r="W157" s="24" t="s">
        <v>448</v>
      </c>
      <c r="X157" s="24" t="s">
        <v>448</v>
      </c>
      <c r="Y157" s="30">
        <v>0.94499999999999995</v>
      </c>
      <c r="Z157" s="30"/>
      <c r="AA157" s="30">
        <v>0.94499999999999995</v>
      </c>
      <c r="AB157" s="59"/>
      <c r="AC157" s="59"/>
      <c r="AD157" s="35" t="s">
        <v>1104</v>
      </c>
      <c r="AE157" s="202" t="s">
        <v>19</v>
      </c>
      <c r="AF157" s="35" t="s">
        <v>1880</v>
      </c>
      <c r="AG157" s="1129"/>
    </row>
    <row r="158" spans="1:33" s="11" customFormat="1" ht="26.25" customHeight="1" x14ac:dyDescent="0.15">
      <c r="A158" s="8">
        <f t="shared" si="0"/>
        <v>156</v>
      </c>
      <c r="B158" s="36" t="s">
        <v>8184</v>
      </c>
      <c r="C158" s="26" t="s">
        <v>19</v>
      </c>
      <c r="D158" s="26" t="s">
        <v>19</v>
      </c>
      <c r="E158" s="26" t="s">
        <v>19</v>
      </c>
      <c r="F158" s="29" t="s">
        <v>8167</v>
      </c>
      <c r="G158" s="53" t="s">
        <v>8168</v>
      </c>
      <c r="H158" s="1133" t="s">
        <v>4195</v>
      </c>
      <c r="I158" s="1133" t="s">
        <v>5359</v>
      </c>
      <c r="J158" s="1133" t="s">
        <v>5360</v>
      </c>
      <c r="K158" s="22" t="s">
        <v>4780</v>
      </c>
      <c r="L158" s="1134" t="s">
        <v>2142</v>
      </c>
      <c r="M158" s="1134" t="s">
        <v>111</v>
      </c>
      <c r="N158" s="1133" t="s">
        <v>2422</v>
      </c>
      <c r="O158" s="151" t="s">
        <v>7451</v>
      </c>
      <c r="P158" s="22" t="s">
        <v>1880</v>
      </c>
      <c r="Q158" s="1133" t="s">
        <v>5480</v>
      </c>
      <c r="R158" s="1133" t="s">
        <v>5480</v>
      </c>
      <c r="S158" s="24" t="s">
        <v>8169</v>
      </c>
      <c r="T158" s="90" t="s">
        <v>8170</v>
      </c>
      <c r="U158" s="10" t="s">
        <v>1800</v>
      </c>
      <c r="V158" s="10">
        <v>1</v>
      </c>
      <c r="W158" s="24" t="s">
        <v>448</v>
      </c>
      <c r="X158" s="24" t="s">
        <v>448</v>
      </c>
      <c r="Y158" s="30">
        <v>2.6</v>
      </c>
      <c r="Z158" s="30"/>
      <c r="AA158" s="30">
        <v>2.6</v>
      </c>
      <c r="AB158" s="59"/>
      <c r="AC158" s="59"/>
      <c r="AD158" s="35" t="s">
        <v>1104</v>
      </c>
      <c r="AE158" s="202" t="s">
        <v>19</v>
      </c>
      <c r="AF158" s="35" t="s">
        <v>1880</v>
      </c>
      <c r="AG158" s="1133"/>
    </row>
    <row r="159" spans="1:33" s="11" customFormat="1" ht="26.25" customHeight="1" x14ac:dyDescent="0.15">
      <c r="A159" s="8">
        <f t="shared" si="0"/>
        <v>157</v>
      </c>
      <c r="B159" s="36" t="s">
        <v>8185</v>
      </c>
      <c r="C159" s="71" t="s">
        <v>8171</v>
      </c>
      <c r="D159" s="26" t="s">
        <v>19</v>
      </c>
      <c r="E159" s="26" t="s">
        <v>19</v>
      </c>
      <c r="F159" s="29" t="s">
        <v>4299</v>
      </c>
      <c r="G159" s="53" t="s">
        <v>8173</v>
      </c>
      <c r="H159" s="1132" t="s">
        <v>1487</v>
      </c>
      <c r="I159" s="1132" t="s">
        <v>22</v>
      </c>
      <c r="J159" s="1132" t="s">
        <v>1914</v>
      </c>
      <c r="K159" s="22" t="s">
        <v>4780</v>
      </c>
      <c r="L159" s="22" t="s">
        <v>5431</v>
      </c>
      <c r="M159" s="1134" t="s">
        <v>111</v>
      </c>
      <c r="N159" s="1133" t="s">
        <v>1131</v>
      </c>
      <c r="O159" s="54" t="s">
        <v>8172</v>
      </c>
      <c r="P159" s="22" t="s">
        <v>1880</v>
      </c>
      <c r="Q159" s="1133" t="s">
        <v>1894</v>
      </c>
      <c r="R159" s="1133" t="s">
        <v>1894</v>
      </c>
      <c r="S159" s="24" t="s">
        <v>8169</v>
      </c>
      <c r="T159" s="90" t="s">
        <v>8174</v>
      </c>
      <c r="U159" s="24" t="s">
        <v>110</v>
      </c>
      <c r="V159" s="24">
        <v>1</v>
      </c>
      <c r="W159" s="24" t="s">
        <v>448</v>
      </c>
      <c r="X159" s="24" t="s">
        <v>448</v>
      </c>
      <c r="Y159" s="30">
        <v>8.6</v>
      </c>
      <c r="Z159" s="30"/>
      <c r="AA159" s="30">
        <v>8.6</v>
      </c>
      <c r="AB159" s="59"/>
      <c r="AC159" s="59"/>
      <c r="AD159" s="35" t="s">
        <v>1104</v>
      </c>
      <c r="AE159" s="202" t="s">
        <v>19</v>
      </c>
      <c r="AF159" s="35" t="s">
        <v>1880</v>
      </c>
      <c r="AG159" s="1133"/>
    </row>
    <row r="160" spans="1:33" s="11" customFormat="1" ht="26.25" customHeight="1" x14ac:dyDescent="0.15">
      <c r="A160" s="8">
        <f t="shared" si="0"/>
        <v>158</v>
      </c>
      <c r="B160" s="36" t="s">
        <v>8175</v>
      </c>
      <c r="C160" s="26" t="s">
        <v>19</v>
      </c>
      <c r="D160" s="26" t="s">
        <v>19</v>
      </c>
      <c r="E160" s="26" t="s">
        <v>19</v>
      </c>
      <c r="F160" s="149" t="s">
        <v>845</v>
      </c>
      <c r="G160" s="26" t="s">
        <v>8178</v>
      </c>
      <c r="H160" s="18" t="s">
        <v>1829</v>
      </c>
      <c r="I160" s="142" t="s">
        <v>849</v>
      </c>
      <c r="J160" s="21" t="s">
        <v>852</v>
      </c>
      <c r="K160" s="22" t="s">
        <v>855</v>
      </c>
      <c r="L160" s="22" t="s">
        <v>1826</v>
      </c>
      <c r="M160" s="22" t="s">
        <v>1880</v>
      </c>
      <c r="N160" s="1136" t="s">
        <v>102</v>
      </c>
      <c r="O160" s="54" t="s">
        <v>851</v>
      </c>
      <c r="P160" s="22" t="s">
        <v>1880</v>
      </c>
      <c r="Q160" s="1136" t="s">
        <v>5487</v>
      </c>
      <c r="R160" s="1136" t="s">
        <v>5487</v>
      </c>
      <c r="S160" s="24" t="s">
        <v>8169</v>
      </c>
      <c r="T160" s="90" t="s">
        <v>8179</v>
      </c>
      <c r="U160" s="24" t="s">
        <v>110</v>
      </c>
      <c r="V160" s="24">
        <v>1</v>
      </c>
      <c r="W160" s="24" t="s">
        <v>8179</v>
      </c>
      <c r="X160" s="90" t="s">
        <v>8180</v>
      </c>
      <c r="Y160" s="30"/>
      <c r="Z160" s="30">
        <v>8</v>
      </c>
      <c r="AA160" s="30">
        <v>8</v>
      </c>
      <c r="AB160" s="59"/>
      <c r="AC160" s="59"/>
      <c r="AD160" s="35" t="s">
        <v>1104</v>
      </c>
      <c r="AE160" s="202" t="s">
        <v>19</v>
      </c>
      <c r="AF160" s="35" t="s">
        <v>1880</v>
      </c>
      <c r="AG160" s="1136"/>
    </row>
    <row r="161" spans="1:33" s="11" customFormat="1" ht="26.25" customHeight="1" x14ac:dyDescent="0.15">
      <c r="A161" s="8">
        <f t="shared" si="0"/>
        <v>159</v>
      </c>
      <c r="B161" s="36" t="s">
        <v>8176</v>
      </c>
      <c r="C161" s="26" t="s">
        <v>19</v>
      </c>
      <c r="D161" s="26" t="s">
        <v>9272</v>
      </c>
      <c r="E161" s="26" t="s">
        <v>19</v>
      </c>
      <c r="F161" s="149" t="s">
        <v>845</v>
      </c>
      <c r="G161" s="26" t="s">
        <v>8178</v>
      </c>
      <c r="H161" s="1135" t="s">
        <v>2135</v>
      </c>
      <c r="I161" s="1135" t="s">
        <v>1789</v>
      </c>
      <c r="J161" s="1135" t="s">
        <v>7783</v>
      </c>
      <c r="K161" s="22" t="s">
        <v>4780</v>
      </c>
      <c r="L161" s="22" t="s">
        <v>5478</v>
      </c>
      <c r="M161" s="1137" t="s">
        <v>111</v>
      </c>
      <c r="N161" s="1136" t="s">
        <v>4676</v>
      </c>
      <c r="O161" s="54" t="s">
        <v>851</v>
      </c>
      <c r="P161" s="1137" t="s">
        <v>111</v>
      </c>
      <c r="Q161" s="1136" t="s">
        <v>5487</v>
      </c>
      <c r="R161" s="1136" t="s">
        <v>5487</v>
      </c>
      <c r="S161" s="24" t="s">
        <v>8169</v>
      </c>
      <c r="T161" s="90" t="s">
        <v>8179</v>
      </c>
      <c r="U161" s="24" t="s">
        <v>110</v>
      </c>
      <c r="V161" s="24">
        <v>1</v>
      </c>
      <c r="W161" s="24" t="s">
        <v>8179</v>
      </c>
      <c r="X161" s="90" t="s">
        <v>8180</v>
      </c>
      <c r="Y161" s="30"/>
      <c r="Z161" s="30">
        <v>7</v>
      </c>
      <c r="AA161" s="30">
        <v>7</v>
      </c>
      <c r="AB161" s="59"/>
      <c r="AC161" s="59"/>
      <c r="AD161" s="1137" t="s">
        <v>1104</v>
      </c>
      <c r="AE161" s="202" t="s">
        <v>1880</v>
      </c>
      <c r="AF161" s="133" t="s">
        <v>1880</v>
      </c>
      <c r="AG161" s="1136"/>
    </row>
    <row r="162" spans="1:33" s="11" customFormat="1" ht="26.25" customHeight="1" x14ac:dyDescent="0.15">
      <c r="A162" s="8">
        <f t="shared" si="0"/>
        <v>160</v>
      </c>
      <c r="B162" s="36" t="s">
        <v>8177</v>
      </c>
      <c r="C162" s="26" t="s">
        <v>19</v>
      </c>
      <c r="D162" s="26" t="s">
        <v>19</v>
      </c>
      <c r="E162" s="26" t="s">
        <v>19</v>
      </c>
      <c r="F162" s="29" t="s">
        <v>5656</v>
      </c>
      <c r="G162" s="53" t="s">
        <v>8181</v>
      </c>
      <c r="H162" s="1135" t="s">
        <v>4691</v>
      </c>
      <c r="I162" s="1135" t="s">
        <v>4728</v>
      </c>
      <c r="J162" s="1135" t="s">
        <v>5658</v>
      </c>
      <c r="K162" s="22" t="s">
        <v>5659</v>
      </c>
      <c r="L162" s="22" t="s">
        <v>5431</v>
      </c>
      <c r="M162" s="1137" t="s">
        <v>1880</v>
      </c>
      <c r="N162" s="1136" t="s">
        <v>25</v>
      </c>
      <c r="O162" s="54" t="s">
        <v>116</v>
      </c>
      <c r="P162" s="22" t="s">
        <v>1880</v>
      </c>
      <c r="Q162" s="1136" t="s">
        <v>1894</v>
      </c>
      <c r="R162" s="1136" t="s">
        <v>1894</v>
      </c>
      <c r="S162" s="24" t="s">
        <v>8169</v>
      </c>
      <c r="T162" s="90" t="s">
        <v>8150</v>
      </c>
      <c r="U162" s="24" t="s">
        <v>110</v>
      </c>
      <c r="V162" s="24">
        <v>2</v>
      </c>
      <c r="W162" s="24" t="s">
        <v>8182</v>
      </c>
      <c r="X162" s="24" t="s">
        <v>8183</v>
      </c>
      <c r="Y162" s="30"/>
      <c r="Z162" s="30">
        <v>9.1999999999999993</v>
      </c>
      <c r="AA162" s="30">
        <v>9.1999999999999993</v>
      </c>
      <c r="AB162" s="59"/>
      <c r="AC162" s="59"/>
      <c r="AD162" s="35" t="s">
        <v>1104</v>
      </c>
      <c r="AE162" s="202" t="s">
        <v>19</v>
      </c>
      <c r="AF162" s="35" t="s">
        <v>1880</v>
      </c>
      <c r="AG162" s="1136"/>
    </row>
    <row r="163" spans="1:33" s="11" customFormat="1" ht="26.25" customHeight="1" x14ac:dyDescent="0.15">
      <c r="A163" s="8">
        <f t="shared" si="0"/>
        <v>161</v>
      </c>
      <c r="B163" s="36" t="s">
        <v>8187</v>
      </c>
      <c r="C163" s="26" t="s">
        <v>19</v>
      </c>
      <c r="D163" s="26" t="s">
        <v>19</v>
      </c>
      <c r="E163" s="26" t="s">
        <v>19</v>
      </c>
      <c r="F163" s="29" t="s">
        <v>6028</v>
      </c>
      <c r="G163" s="723" t="s">
        <v>7548</v>
      </c>
      <c r="H163" s="1138" t="s">
        <v>4195</v>
      </c>
      <c r="I163" s="1139" t="s">
        <v>4945</v>
      </c>
      <c r="J163" s="1138" t="s">
        <v>4946</v>
      </c>
      <c r="K163" s="22" t="s">
        <v>4561</v>
      </c>
      <c r="L163" s="22" t="s">
        <v>5431</v>
      </c>
      <c r="M163" s="1140" t="s">
        <v>1880</v>
      </c>
      <c r="N163" s="1139" t="s">
        <v>25</v>
      </c>
      <c r="O163" s="151" t="s">
        <v>7451</v>
      </c>
      <c r="P163" s="22" t="s">
        <v>1880</v>
      </c>
      <c r="Q163" s="1136" t="s">
        <v>1152</v>
      </c>
      <c r="R163" s="1136" t="s">
        <v>1152</v>
      </c>
      <c r="S163" s="24" t="s">
        <v>7572</v>
      </c>
      <c r="T163" s="499"/>
      <c r="U163" s="484"/>
      <c r="V163" s="484"/>
      <c r="W163" s="24" t="s">
        <v>448</v>
      </c>
      <c r="X163" s="24" t="s">
        <v>448</v>
      </c>
      <c r="Y163" s="30">
        <v>4.9000000000000004</v>
      </c>
      <c r="Z163" s="30"/>
      <c r="AA163" s="30">
        <v>4.9000000000000004</v>
      </c>
      <c r="AB163" s="59"/>
      <c r="AC163" s="59"/>
      <c r="AD163" s="35" t="s">
        <v>1104</v>
      </c>
      <c r="AE163" s="202" t="s">
        <v>19</v>
      </c>
      <c r="AF163" s="35" t="s">
        <v>1880</v>
      </c>
      <c r="AG163" s="1136"/>
    </row>
    <row r="164" spans="1:33" s="11" customFormat="1" ht="26.25" customHeight="1" x14ac:dyDescent="0.15">
      <c r="A164" s="8">
        <f t="shared" si="0"/>
        <v>162</v>
      </c>
      <c r="B164" s="36" t="s">
        <v>8188</v>
      </c>
      <c r="C164" s="26" t="s">
        <v>19</v>
      </c>
      <c r="D164" s="26" t="s">
        <v>19</v>
      </c>
      <c r="E164" s="26" t="s">
        <v>19</v>
      </c>
      <c r="F164" s="29" t="s">
        <v>8194</v>
      </c>
      <c r="G164" s="723" t="s">
        <v>8195</v>
      </c>
      <c r="H164" s="724"/>
      <c r="I164" s="724"/>
      <c r="J164" s="724"/>
      <c r="K164" s="725"/>
      <c r="L164" s="22" t="s">
        <v>5431</v>
      </c>
      <c r="M164" s="1145" t="s">
        <v>1880</v>
      </c>
      <c r="N164" s="1144" t="s">
        <v>25</v>
      </c>
      <c r="O164" s="215"/>
      <c r="P164" s="22" t="s">
        <v>1880</v>
      </c>
      <c r="Q164" s="1133" t="s">
        <v>2072</v>
      </c>
      <c r="R164" s="1133" t="s">
        <v>2072</v>
      </c>
      <c r="S164" s="484"/>
      <c r="T164" s="499"/>
      <c r="U164" s="484"/>
      <c r="V164" s="484"/>
      <c r="W164" s="24" t="s">
        <v>448</v>
      </c>
      <c r="X164" s="24" t="s">
        <v>448</v>
      </c>
      <c r="Y164" s="30">
        <v>1.9</v>
      </c>
      <c r="Z164" s="30"/>
      <c r="AA164" s="30">
        <v>1.9</v>
      </c>
      <c r="AB164" s="59"/>
      <c r="AC164" s="59"/>
      <c r="AD164" s="35" t="s">
        <v>1104</v>
      </c>
      <c r="AE164" s="202" t="s">
        <v>19</v>
      </c>
      <c r="AF164" s="35" t="s">
        <v>1880</v>
      </c>
      <c r="AG164" s="1133"/>
    </row>
    <row r="165" spans="1:33" s="11" customFormat="1" ht="26.25" customHeight="1" x14ac:dyDescent="0.15">
      <c r="A165" s="8">
        <f t="shared" si="0"/>
        <v>163</v>
      </c>
      <c r="B165" s="36" t="s">
        <v>8214</v>
      </c>
      <c r="C165" s="71" t="s">
        <v>8215</v>
      </c>
      <c r="D165" s="26" t="s">
        <v>19</v>
      </c>
      <c r="E165" s="26" t="s">
        <v>19</v>
      </c>
      <c r="F165" s="29" t="s">
        <v>8196</v>
      </c>
      <c r="G165" s="53" t="s">
        <v>8197</v>
      </c>
      <c r="H165" s="1144" t="s">
        <v>3649</v>
      </c>
      <c r="I165" s="1144" t="s">
        <v>5419</v>
      </c>
      <c r="J165" s="1144" t="s">
        <v>8198</v>
      </c>
      <c r="K165" s="22" t="s">
        <v>4780</v>
      </c>
      <c r="L165" s="22" t="s">
        <v>5431</v>
      </c>
      <c r="M165" s="1145" t="s">
        <v>1880</v>
      </c>
      <c r="N165" s="1144" t="s">
        <v>1131</v>
      </c>
      <c r="O165" s="54" t="s">
        <v>2192</v>
      </c>
      <c r="P165" s="22" t="s">
        <v>1880</v>
      </c>
      <c r="Q165" s="1144" t="s">
        <v>2072</v>
      </c>
      <c r="R165" s="1144" t="s">
        <v>2072</v>
      </c>
      <c r="S165" s="24" t="s">
        <v>8199</v>
      </c>
      <c r="T165" s="90" t="s">
        <v>8200</v>
      </c>
      <c r="U165" s="24" t="s">
        <v>110</v>
      </c>
      <c r="V165" s="24">
        <v>1</v>
      </c>
      <c r="W165" s="24" t="s">
        <v>2512</v>
      </c>
      <c r="X165" s="24" t="s">
        <v>448</v>
      </c>
      <c r="Y165" s="30">
        <v>16</v>
      </c>
      <c r="Z165" s="30"/>
      <c r="AA165" s="30">
        <v>16</v>
      </c>
      <c r="AB165" s="59"/>
      <c r="AC165" s="59"/>
      <c r="AD165" s="35" t="s">
        <v>1104</v>
      </c>
      <c r="AE165" s="202" t="s">
        <v>19</v>
      </c>
      <c r="AF165" s="35" t="s">
        <v>1880</v>
      </c>
      <c r="AG165" s="1141"/>
    </row>
    <row r="166" spans="1:33" s="11" customFormat="1" ht="26.25" customHeight="1" x14ac:dyDescent="0.15">
      <c r="A166" s="8">
        <f t="shared" si="0"/>
        <v>164</v>
      </c>
      <c r="B166" s="36" t="s">
        <v>8189</v>
      </c>
      <c r="C166" s="26" t="s">
        <v>19</v>
      </c>
      <c r="D166" s="26" t="s">
        <v>19</v>
      </c>
      <c r="E166" s="26" t="s">
        <v>19</v>
      </c>
      <c r="F166" s="29" t="s">
        <v>1792</v>
      </c>
      <c r="G166" s="53" t="s">
        <v>8201</v>
      </c>
      <c r="H166" s="1143" t="s">
        <v>4691</v>
      </c>
      <c r="I166" s="1144" t="s">
        <v>4728</v>
      </c>
      <c r="J166" s="1143" t="s">
        <v>5784</v>
      </c>
      <c r="K166" s="22" t="s">
        <v>1795</v>
      </c>
      <c r="L166" s="22" t="s">
        <v>5431</v>
      </c>
      <c r="M166" s="1145" t="s">
        <v>1880</v>
      </c>
      <c r="N166" s="1144" t="s">
        <v>1131</v>
      </c>
      <c r="O166" s="54" t="s">
        <v>116</v>
      </c>
      <c r="P166" s="1145" t="s">
        <v>19</v>
      </c>
      <c r="Q166" s="1144" t="s">
        <v>1151</v>
      </c>
      <c r="R166" s="1144" t="s">
        <v>1151</v>
      </c>
      <c r="S166" s="24" t="s">
        <v>8199</v>
      </c>
      <c r="T166" s="90" t="s">
        <v>8202</v>
      </c>
      <c r="U166" s="24" t="s">
        <v>110</v>
      </c>
      <c r="V166" s="24">
        <v>2</v>
      </c>
      <c r="W166" s="24" t="s">
        <v>8203</v>
      </c>
      <c r="X166" s="24" t="s">
        <v>8204</v>
      </c>
      <c r="Y166" s="30"/>
      <c r="Z166" s="30">
        <v>9.1999999999999993</v>
      </c>
      <c r="AA166" s="30">
        <v>9.1999999999999993</v>
      </c>
      <c r="AB166" s="59"/>
      <c r="AC166" s="59"/>
      <c r="AD166" s="35" t="s">
        <v>1104</v>
      </c>
      <c r="AE166" s="202" t="s">
        <v>19</v>
      </c>
      <c r="AF166" s="35" t="s">
        <v>1880</v>
      </c>
      <c r="AG166" s="1144"/>
    </row>
    <row r="167" spans="1:33" s="11" customFormat="1" ht="26.25" customHeight="1" x14ac:dyDescent="0.15">
      <c r="A167" s="8">
        <f t="shared" si="0"/>
        <v>165</v>
      </c>
      <c r="B167" s="36" t="s">
        <v>8190</v>
      </c>
      <c r="C167" s="26" t="s">
        <v>19</v>
      </c>
      <c r="D167" s="26" t="s">
        <v>19</v>
      </c>
      <c r="E167" s="26" t="s">
        <v>19</v>
      </c>
      <c r="F167" s="29" t="s">
        <v>8205</v>
      </c>
      <c r="G167" s="29" t="s">
        <v>8206</v>
      </c>
      <c r="H167" s="1145" t="s">
        <v>1147</v>
      </c>
      <c r="I167" s="82" t="s">
        <v>3136</v>
      </c>
      <c r="J167" s="22" t="s">
        <v>3489</v>
      </c>
      <c r="K167" s="22" t="s">
        <v>3135</v>
      </c>
      <c r="L167" s="1145" t="s">
        <v>2142</v>
      </c>
      <c r="M167" s="1145" t="s">
        <v>1861</v>
      </c>
      <c r="N167" s="1145" t="s">
        <v>2422</v>
      </c>
      <c r="O167" s="151" t="s">
        <v>7451</v>
      </c>
      <c r="P167" s="1145" t="s">
        <v>19</v>
      </c>
      <c r="Q167" s="1141" t="s">
        <v>1152</v>
      </c>
      <c r="R167" s="1141" t="s">
        <v>1152</v>
      </c>
      <c r="S167" s="90" t="s">
        <v>8207</v>
      </c>
      <c r="T167" s="90" t="s">
        <v>8207</v>
      </c>
      <c r="U167" s="24" t="s">
        <v>110</v>
      </c>
      <c r="V167" s="24">
        <v>1</v>
      </c>
      <c r="W167" s="24" t="s">
        <v>448</v>
      </c>
      <c r="X167" s="24" t="s">
        <v>448</v>
      </c>
      <c r="Y167" s="30">
        <v>1</v>
      </c>
      <c r="Z167" s="30"/>
      <c r="AA167" s="30">
        <v>1</v>
      </c>
      <c r="AB167" s="59"/>
      <c r="AC167" s="59"/>
      <c r="AD167" s="35" t="s">
        <v>1104</v>
      </c>
      <c r="AE167" s="202" t="s">
        <v>19</v>
      </c>
      <c r="AF167" s="35" t="s">
        <v>1880</v>
      </c>
      <c r="AG167" s="1141"/>
    </row>
    <row r="168" spans="1:33" s="11" customFormat="1" ht="26.25" customHeight="1" x14ac:dyDescent="0.15">
      <c r="A168" s="8">
        <f t="shared" si="0"/>
        <v>166</v>
      </c>
      <c r="B168" s="36" t="s">
        <v>8191</v>
      </c>
      <c r="C168" s="26" t="s">
        <v>19</v>
      </c>
      <c r="D168" s="26" t="s">
        <v>19</v>
      </c>
      <c r="E168" s="26" t="s">
        <v>19</v>
      </c>
      <c r="F168" s="29" t="s">
        <v>8208</v>
      </c>
      <c r="G168" s="53" t="s">
        <v>8209</v>
      </c>
      <c r="H168" s="1145" t="s">
        <v>1147</v>
      </c>
      <c r="I168" s="82" t="s">
        <v>2437</v>
      </c>
      <c r="J168" s="22" t="s">
        <v>3490</v>
      </c>
      <c r="K168" s="22" t="s">
        <v>2457</v>
      </c>
      <c r="L168" s="1145" t="s">
        <v>2142</v>
      </c>
      <c r="M168" s="1145" t="s">
        <v>1880</v>
      </c>
      <c r="N168" s="1145" t="s">
        <v>2422</v>
      </c>
      <c r="O168" s="151" t="s">
        <v>7451</v>
      </c>
      <c r="P168" s="1145" t="s">
        <v>19</v>
      </c>
      <c r="Q168" s="1144" t="s">
        <v>1152</v>
      </c>
      <c r="R168" s="1144" t="s">
        <v>1152</v>
      </c>
      <c r="S168" s="90" t="s">
        <v>8207</v>
      </c>
      <c r="T168" s="90" t="s">
        <v>8207</v>
      </c>
      <c r="U168" s="24" t="s">
        <v>110</v>
      </c>
      <c r="V168" s="24">
        <v>1</v>
      </c>
      <c r="W168" s="24" t="s">
        <v>448</v>
      </c>
      <c r="X168" s="24" t="s">
        <v>448</v>
      </c>
      <c r="Y168" s="30">
        <v>1</v>
      </c>
      <c r="Z168" s="30"/>
      <c r="AA168" s="30">
        <v>1</v>
      </c>
      <c r="AB168" s="59"/>
      <c r="AC168" s="59"/>
      <c r="AD168" s="35" t="s">
        <v>1104</v>
      </c>
      <c r="AE168" s="202" t="s">
        <v>19</v>
      </c>
      <c r="AF168" s="35" t="s">
        <v>1880</v>
      </c>
      <c r="AG168" s="1141"/>
    </row>
    <row r="169" spans="1:33" s="11" customFormat="1" ht="26.25" customHeight="1" x14ac:dyDescent="0.15">
      <c r="A169" s="8">
        <f t="shared" si="0"/>
        <v>167</v>
      </c>
      <c r="B169" s="36" t="s">
        <v>8192</v>
      </c>
      <c r="C169" s="26" t="s">
        <v>19</v>
      </c>
      <c r="D169" s="26" t="s">
        <v>19</v>
      </c>
      <c r="E169" s="26" t="s">
        <v>19</v>
      </c>
      <c r="F169" s="29" t="s">
        <v>6639</v>
      </c>
      <c r="G169" s="53" t="s">
        <v>8210</v>
      </c>
      <c r="H169" s="1143" t="s">
        <v>4791</v>
      </c>
      <c r="I169" s="1143" t="s">
        <v>3101</v>
      </c>
      <c r="J169" s="1143" t="s">
        <v>6641</v>
      </c>
      <c r="K169" s="22" t="s">
        <v>7829</v>
      </c>
      <c r="L169" s="1144" t="s">
        <v>5431</v>
      </c>
      <c r="M169" s="1145" t="s">
        <v>111</v>
      </c>
      <c r="N169" s="1144" t="s">
        <v>1131</v>
      </c>
      <c r="O169" s="54" t="s">
        <v>5500</v>
      </c>
      <c r="P169" s="22" t="s">
        <v>1880</v>
      </c>
      <c r="Q169" s="1144" t="s">
        <v>446</v>
      </c>
      <c r="R169" s="1144" t="s">
        <v>446</v>
      </c>
      <c r="S169" s="24" t="s">
        <v>8211</v>
      </c>
      <c r="T169" s="90" t="s">
        <v>8212</v>
      </c>
      <c r="U169" s="24" t="s">
        <v>110</v>
      </c>
      <c r="V169" s="24">
        <v>1</v>
      </c>
      <c r="W169" s="24" t="s">
        <v>448</v>
      </c>
      <c r="X169" s="24" t="s">
        <v>448</v>
      </c>
      <c r="Y169" s="30">
        <v>2</v>
      </c>
      <c r="Z169" s="30"/>
      <c r="AA169" s="30">
        <v>2</v>
      </c>
      <c r="AB169" s="59"/>
      <c r="AC169" s="59"/>
      <c r="AD169" s="35" t="s">
        <v>1104</v>
      </c>
      <c r="AE169" s="202" t="s">
        <v>19</v>
      </c>
      <c r="AF169" s="35" t="s">
        <v>1880</v>
      </c>
      <c r="AG169" s="1144"/>
    </row>
    <row r="170" spans="1:33" s="11" customFormat="1" ht="26.25" customHeight="1" x14ac:dyDescent="0.15">
      <c r="A170" s="8">
        <f t="shared" si="0"/>
        <v>168</v>
      </c>
      <c r="B170" s="36" t="s">
        <v>8193</v>
      </c>
      <c r="C170" s="71" t="s">
        <v>8245</v>
      </c>
      <c r="D170" s="26" t="s">
        <v>19</v>
      </c>
      <c r="E170" s="26" t="s">
        <v>19</v>
      </c>
      <c r="F170" s="29" t="s">
        <v>8213</v>
      </c>
      <c r="G170" s="29" t="s">
        <v>8247</v>
      </c>
      <c r="H170" s="1156" t="s">
        <v>8248</v>
      </c>
      <c r="I170" s="1156" t="s">
        <v>1124</v>
      </c>
      <c r="J170" s="1156" t="s">
        <v>8249</v>
      </c>
      <c r="K170" s="22" t="s">
        <v>4780</v>
      </c>
      <c r="L170" s="1156" t="s">
        <v>5431</v>
      </c>
      <c r="M170" s="1157" t="s">
        <v>111</v>
      </c>
      <c r="N170" s="1156" t="s">
        <v>1131</v>
      </c>
      <c r="O170" s="54" t="s">
        <v>8250</v>
      </c>
      <c r="P170" s="22" t="s">
        <v>1880</v>
      </c>
      <c r="Q170" s="1141" t="s">
        <v>1811</v>
      </c>
      <c r="R170" s="1144" t="s">
        <v>1811</v>
      </c>
      <c r="S170" s="24" t="s">
        <v>8251</v>
      </c>
      <c r="T170" s="90" t="s">
        <v>8252</v>
      </c>
      <c r="U170" s="24" t="s">
        <v>110</v>
      </c>
      <c r="V170" s="24">
        <v>2</v>
      </c>
      <c r="W170" s="24" t="s">
        <v>448</v>
      </c>
      <c r="X170" s="24" t="s">
        <v>448</v>
      </c>
      <c r="Y170" s="30">
        <v>50</v>
      </c>
      <c r="Z170" s="30"/>
      <c r="AA170" s="30">
        <v>50</v>
      </c>
      <c r="AB170" s="59"/>
      <c r="AC170" s="59"/>
      <c r="AD170" s="35" t="s">
        <v>1104</v>
      </c>
      <c r="AE170" s="202" t="s">
        <v>19</v>
      </c>
      <c r="AF170" s="35" t="s">
        <v>1880</v>
      </c>
      <c r="AG170" s="1141"/>
    </row>
    <row r="171" spans="1:33" s="11" customFormat="1" ht="26.25" customHeight="1" x14ac:dyDescent="0.15">
      <c r="A171" s="8">
        <f t="shared" si="0"/>
        <v>169</v>
      </c>
      <c r="B171" s="36" t="s">
        <v>8231</v>
      </c>
      <c r="C171" s="26" t="s">
        <v>19</v>
      </c>
      <c r="D171" s="26" t="s">
        <v>19</v>
      </c>
      <c r="E171" s="26" t="s">
        <v>19</v>
      </c>
      <c r="F171" s="29" t="s">
        <v>7912</v>
      </c>
      <c r="G171" s="53" t="s">
        <v>8216</v>
      </c>
      <c r="H171" s="1147" t="s">
        <v>4712</v>
      </c>
      <c r="I171" s="1147" t="s">
        <v>4692</v>
      </c>
      <c r="J171" s="1147" t="s">
        <v>6331</v>
      </c>
      <c r="K171" s="1148" t="s">
        <v>4780</v>
      </c>
      <c r="L171" s="1148" t="s">
        <v>1826</v>
      </c>
      <c r="M171" s="1148" t="s">
        <v>111</v>
      </c>
      <c r="N171" s="1148" t="s">
        <v>1818</v>
      </c>
      <c r="O171" s="151" t="s">
        <v>1819</v>
      </c>
      <c r="P171" s="22" t="s">
        <v>1880</v>
      </c>
      <c r="Q171" s="1147" t="s">
        <v>5571</v>
      </c>
      <c r="R171" s="1147" t="s">
        <v>5571</v>
      </c>
      <c r="S171" s="24" t="s">
        <v>8217</v>
      </c>
      <c r="T171" s="90" t="s">
        <v>8218</v>
      </c>
      <c r="U171" s="24" t="s">
        <v>110</v>
      </c>
      <c r="V171" s="24">
        <v>1</v>
      </c>
      <c r="W171" s="24" t="s">
        <v>8092</v>
      </c>
      <c r="X171" s="24" t="s">
        <v>6058</v>
      </c>
      <c r="Y171" s="30"/>
      <c r="Z171" s="30">
        <v>10</v>
      </c>
      <c r="AA171" s="30">
        <v>10</v>
      </c>
      <c r="AB171" s="59"/>
      <c r="AC171" s="59"/>
      <c r="AD171" s="1148" t="s">
        <v>1104</v>
      </c>
      <c r="AE171" s="202" t="s">
        <v>19</v>
      </c>
      <c r="AF171" s="35" t="s">
        <v>1880</v>
      </c>
      <c r="AG171" s="1147"/>
    </row>
    <row r="172" spans="1:33" s="11" customFormat="1" ht="26.25" customHeight="1" x14ac:dyDescent="0.15">
      <c r="A172" s="8">
        <f t="shared" si="0"/>
        <v>170</v>
      </c>
      <c r="B172" s="36" t="s">
        <v>8232</v>
      </c>
      <c r="C172" s="26" t="s">
        <v>19</v>
      </c>
      <c r="D172" s="26" t="s">
        <v>19</v>
      </c>
      <c r="E172" s="26" t="s">
        <v>19</v>
      </c>
      <c r="F172" s="29" t="s">
        <v>3886</v>
      </c>
      <c r="G172" s="53" t="s">
        <v>8219</v>
      </c>
      <c r="H172" s="1147" t="s">
        <v>4712</v>
      </c>
      <c r="I172" s="1147" t="s">
        <v>4692</v>
      </c>
      <c r="J172" s="1147" t="s">
        <v>6050</v>
      </c>
      <c r="K172" s="1148" t="s">
        <v>7038</v>
      </c>
      <c r="L172" s="1148" t="s">
        <v>1826</v>
      </c>
      <c r="M172" s="1148" t="s">
        <v>111</v>
      </c>
      <c r="N172" s="1148" t="s">
        <v>1818</v>
      </c>
      <c r="O172" s="151" t="s">
        <v>1819</v>
      </c>
      <c r="P172" s="22" t="s">
        <v>1880</v>
      </c>
      <c r="Q172" s="1147" t="s">
        <v>5571</v>
      </c>
      <c r="R172" s="1147" t="s">
        <v>5571</v>
      </c>
      <c r="S172" s="24" t="s">
        <v>8217</v>
      </c>
      <c r="T172" s="90" t="s">
        <v>8218</v>
      </c>
      <c r="U172" s="24" t="s">
        <v>110</v>
      </c>
      <c r="V172" s="24">
        <v>1</v>
      </c>
      <c r="W172" s="24" t="s">
        <v>7074</v>
      </c>
      <c r="X172" s="24" t="s">
        <v>6545</v>
      </c>
      <c r="Y172" s="30"/>
      <c r="Z172" s="30">
        <v>11</v>
      </c>
      <c r="AA172" s="30">
        <v>11</v>
      </c>
      <c r="AB172" s="59"/>
      <c r="AC172" s="59"/>
      <c r="AD172" s="1148" t="s">
        <v>1104</v>
      </c>
      <c r="AE172" s="202" t="s">
        <v>19</v>
      </c>
      <c r="AF172" s="35" t="s">
        <v>1880</v>
      </c>
      <c r="AG172" s="1147"/>
    </row>
    <row r="173" spans="1:33" s="11" customFormat="1" ht="26.25" customHeight="1" x14ac:dyDescent="0.15">
      <c r="A173" s="8">
        <f t="shared" si="0"/>
        <v>171</v>
      </c>
      <c r="B173" s="36" t="s">
        <v>8233</v>
      </c>
      <c r="C173" s="26" t="s">
        <v>19</v>
      </c>
      <c r="D173" s="26" t="s">
        <v>19</v>
      </c>
      <c r="E173" s="26" t="s">
        <v>19</v>
      </c>
      <c r="F173" s="29" t="s">
        <v>7960</v>
      </c>
      <c r="G173" s="53" t="s">
        <v>8220</v>
      </c>
      <c r="H173" s="1147" t="s">
        <v>1487</v>
      </c>
      <c r="I173" s="1147" t="s">
        <v>1416</v>
      </c>
      <c r="J173" s="1147" t="s">
        <v>7959</v>
      </c>
      <c r="K173" s="1148" t="s">
        <v>4780</v>
      </c>
      <c r="L173" s="1148" t="s">
        <v>1826</v>
      </c>
      <c r="M173" s="1148" t="s">
        <v>111</v>
      </c>
      <c r="N173" s="1148" t="s">
        <v>1818</v>
      </c>
      <c r="O173" s="151" t="s">
        <v>1819</v>
      </c>
      <c r="P173" s="22" t="s">
        <v>1880</v>
      </c>
      <c r="Q173" s="1147" t="s">
        <v>5571</v>
      </c>
      <c r="R173" s="1147" t="s">
        <v>5571</v>
      </c>
      <c r="S173" s="24" t="s">
        <v>8217</v>
      </c>
      <c r="T173" s="90" t="s">
        <v>8218</v>
      </c>
      <c r="U173" s="24" t="s">
        <v>110</v>
      </c>
      <c r="V173" s="24">
        <v>1</v>
      </c>
      <c r="W173" s="24" t="s">
        <v>8092</v>
      </c>
      <c r="X173" s="24" t="s">
        <v>6058</v>
      </c>
      <c r="Y173" s="30"/>
      <c r="Z173" s="30">
        <v>10</v>
      </c>
      <c r="AA173" s="30">
        <v>10</v>
      </c>
      <c r="AB173" s="59"/>
      <c r="AC173" s="59"/>
      <c r="AD173" s="1148" t="s">
        <v>1104</v>
      </c>
      <c r="AE173" s="202" t="s">
        <v>19</v>
      </c>
      <c r="AF173" s="35" t="s">
        <v>1880</v>
      </c>
      <c r="AG173" s="1147"/>
    </row>
    <row r="174" spans="1:33" s="11" customFormat="1" ht="26.25" customHeight="1" x14ac:dyDescent="0.15">
      <c r="A174" s="8">
        <f t="shared" si="0"/>
        <v>172</v>
      </c>
      <c r="B174" s="36" t="s">
        <v>8234</v>
      </c>
      <c r="C174" s="26" t="s">
        <v>19</v>
      </c>
      <c r="D174" s="26" t="s">
        <v>19</v>
      </c>
      <c r="E174" s="26" t="s">
        <v>19</v>
      </c>
      <c r="F174" s="54" t="s">
        <v>4141</v>
      </c>
      <c r="G174" s="98" t="s">
        <v>8221</v>
      </c>
      <c r="H174" s="1148" t="s">
        <v>2135</v>
      </c>
      <c r="I174" s="1148" t="s">
        <v>2533</v>
      </c>
      <c r="J174" s="21" t="s">
        <v>4143</v>
      </c>
      <c r="K174" s="1147" t="s">
        <v>4144</v>
      </c>
      <c r="L174" s="1148" t="s">
        <v>1826</v>
      </c>
      <c r="M174" s="1148" t="s">
        <v>111</v>
      </c>
      <c r="N174" s="1148" t="s">
        <v>1818</v>
      </c>
      <c r="O174" s="151" t="s">
        <v>1819</v>
      </c>
      <c r="P174" s="22" t="s">
        <v>1880</v>
      </c>
      <c r="Q174" s="1147" t="s">
        <v>5487</v>
      </c>
      <c r="R174" s="1147" t="s">
        <v>5487</v>
      </c>
      <c r="S174" s="24" t="s">
        <v>8222</v>
      </c>
      <c r="T174" s="90" t="s">
        <v>8218</v>
      </c>
      <c r="U174" s="1148" t="s">
        <v>2359</v>
      </c>
      <c r="V174" s="24">
        <v>1</v>
      </c>
      <c r="W174" s="24" t="s">
        <v>8092</v>
      </c>
      <c r="X174" s="24" t="s">
        <v>6058</v>
      </c>
      <c r="Y174" s="30"/>
      <c r="Z174" s="30">
        <v>7</v>
      </c>
      <c r="AA174" s="30">
        <v>7</v>
      </c>
      <c r="AB174" s="59"/>
      <c r="AC174" s="59"/>
      <c r="AD174" s="35" t="s">
        <v>1104</v>
      </c>
      <c r="AE174" s="202" t="s">
        <v>19</v>
      </c>
      <c r="AF174" s="35" t="s">
        <v>1880</v>
      </c>
      <c r="AG174" s="1147"/>
    </row>
    <row r="175" spans="1:33" s="11" customFormat="1" ht="26.25" customHeight="1" x14ac:dyDescent="0.15">
      <c r="A175" s="8">
        <f t="shared" si="0"/>
        <v>173</v>
      </c>
      <c r="B175" s="36" t="s">
        <v>8235</v>
      </c>
      <c r="C175" s="26" t="s">
        <v>19</v>
      </c>
      <c r="D175" s="26" t="s">
        <v>19</v>
      </c>
      <c r="E175" s="26" t="s">
        <v>19</v>
      </c>
      <c r="F175" s="54" t="s">
        <v>4133</v>
      </c>
      <c r="G175" s="98" t="s">
        <v>8223</v>
      </c>
      <c r="H175" s="1148" t="s">
        <v>2135</v>
      </c>
      <c r="I175" s="1148" t="s">
        <v>2533</v>
      </c>
      <c r="J175" s="21" t="s">
        <v>4134</v>
      </c>
      <c r="K175" s="1147" t="s">
        <v>4135</v>
      </c>
      <c r="L175" s="1148" t="s">
        <v>1826</v>
      </c>
      <c r="M175" s="1148" t="s">
        <v>111</v>
      </c>
      <c r="N175" s="1148" t="s">
        <v>1818</v>
      </c>
      <c r="O175" s="151" t="s">
        <v>1819</v>
      </c>
      <c r="P175" s="22" t="s">
        <v>1880</v>
      </c>
      <c r="Q175" s="1147" t="s">
        <v>5487</v>
      </c>
      <c r="R175" s="1147" t="s">
        <v>5487</v>
      </c>
      <c r="S175" s="24" t="s">
        <v>8222</v>
      </c>
      <c r="T175" s="90" t="s">
        <v>8218</v>
      </c>
      <c r="U175" s="1148" t="s">
        <v>2359</v>
      </c>
      <c r="V175" s="24">
        <v>1</v>
      </c>
      <c r="W175" s="24" t="s">
        <v>8092</v>
      </c>
      <c r="X175" s="24" t="s">
        <v>6058</v>
      </c>
      <c r="Y175" s="30"/>
      <c r="Z175" s="30">
        <v>7</v>
      </c>
      <c r="AA175" s="30">
        <v>7</v>
      </c>
      <c r="AB175" s="59"/>
      <c r="AC175" s="59"/>
      <c r="AD175" s="35" t="s">
        <v>1104</v>
      </c>
      <c r="AE175" s="202" t="s">
        <v>19</v>
      </c>
      <c r="AF175" s="35" t="s">
        <v>1880</v>
      </c>
      <c r="AG175" s="1147"/>
    </row>
    <row r="176" spans="1:33" s="11" customFormat="1" ht="26.25" customHeight="1" x14ac:dyDescent="0.15">
      <c r="A176" s="8">
        <f t="shared" si="0"/>
        <v>174</v>
      </c>
      <c r="B176" s="36" t="s">
        <v>8224</v>
      </c>
      <c r="C176" s="26" t="s">
        <v>19</v>
      </c>
      <c r="D176" s="26" t="s">
        <v>19</v>
      </c>
      <c r="E176" s="26" t="s">
        <v>19</v>
      </c>
      <c r="F176" s="29" t="s">
        <v>6009</v>
      </c>
      <c r="G176" s="29" t="s">
        <v>8227</v>
      </c>
      <c r="H176" s="1146" t="s">
        <v>1449</v>
      </c>
      <c r="I176" s="1146" t="s">
        <v>177</v>
      </c>
      <c r="J176" s="1146" t="s">
        <v>3263</v>
      </c>
      <c r="K176" s="22" t="s">
        <v>1733</v>
      </c>
      <c r="L176" s="22" t="s">
        <v>5431</v>
      </c>
      <c r="M176" s="1148" t="s">
        <v>111</v>
      </c>
      <c r="N176" s="1147" t="s">
        <v>1131</v>
      </c>
      <c r="O176" s="54" t="s">
        <v>1819</v>
      </c>
      <c r="P176" s="1148" t="s">
        <v>111</v>
      </c>
      <c r="Q176" s="1147" t="s">
        <v>5487</v>
      </c>
      <c r="R176" s="1147" t="s">
        <v>5487</v>
      </c>
      <c r="S176" s="24" t="s">
        <v>8222</v>
      </c>
      <c r="T176" s="90" t="s">
        <v>8218</v>
      </c>
      <c r="U176" s="1148" t="s">
        <v>2359</v>
      </c>
      <c r="V176" s="24">
        <v>1</v>
      </c>
      <c r="W176" s="24" t="s">
        <v>8092</v>
      </c>
      <c r="X176" s="24" t="s">
        <v>6058</v>
      </c>
      <c r="Y176" s="30"/>
      <c r="Z176" s="30">
        <v>7</v>
      </c>
      <c r="AA176" s="30">
        <v>7</v>
      </c>
      <c r="AB176" s="59"/>
      <c r="AC176" s="59"/>
      <c r="AD176" s="1148" t="s">
        <v>1104</v>
      </c>
      <c r="AE176" s="202" t="s">
        <v>1880</v>
      </c>
      <c r="AF176" s="133" t="s">
        <v>1880</v>
      </c>
      <c r="AG176" s="1147"/>
    </row>
    <row r="177" spans="1:33" s="11" customFormat="1" ht="26.25" customHeight="1" x14ac:dyDescent="0.15">
      <c r="A177" s="8">
        <f t="shared" si="0"/>
        <v>175</v>
      </c>
      <c r="B177" s="36" t="s">
        <v>8225</v>
      </c>
      <c r="C177" s="26" t="s">
        <v>19</v>
      </c>
      <c r="D177" s="26" t="s">
        <v>19</v>
      </c>
      <c r="E177" s="26" t="s">
        <v>19</v>
      </c>
      <c r="F177" s="29" t="s">
        <v>6009</v>
      </c>
      <c r="G177" s="29" t="s">
        <v>8227</v>
      </c>
      <c r="H177" s="1146" t="s">
        <v>1449</v>
      </c>
      <c r="I177" s="1146" t="s">
        <v>177</v>
      </c>
      <c r="J177" s="1146" t="s">
        <v>3264</v>
      </c>
      <c r="K177" s="22" t="s">
        <v>1732</v>
      </c>
      <c r="L177" s="22" t="s">
        <v>5431</v>
      </c>
      <c r="M177" s="1148" t="s">
        <v>111</v>
      </c>
      <c r="N177" s="1147" t="s">
        <v>1131</v>
      </c>
      <c r="O177" s="54" t="s">
        <v>851</v>
      </c>
      <c r="P177" s="1148" t="s">
        <v>111</v>
      </c>
      <c r="Q177" s="1147" t="s">
        <v>5487</v>
      </c>
      <c r="R177" s="1147" t="s">
        <v>5487</v>
      </c>
      <c r="S177" s="24" t="s">
        <v>8222</v>
      </c>
      <c r="T177" s="90" t="s">
        <v>8218</v>
      </c>
      <c r="U177" s="1148" t="s">
        <v>2359</v>
      </c>
      <c r="V177" s="24">
        <v>1</v>
      </c>
      <c r="W177" s="24" t="s">
        <v>8092</v>
      </c>
      <c r="X177" s="24" t="s">
        <v>6058</v>
      </c>
      <c r="Y177" s="30"/>
      <c r="Z177" s="30">
        <v>7</v>
      </c>
      <c r="AA177" s="30">
        <v>7</v>
      </c>
      <c r="AB177" s="59"/>
      <c r="AC177" s="59"/>
      <c r="AD177" s="1148" t="s">
        <v>1104</v>
      </c>
      <c r="AE177" s="202" t="s">
        <v>1880</v>
      </c>
      <c r="AF177" s="133" t="s">
        <v>1880</v>
      </c>
      <c r="AG177" s="1147"/>
    </row>
    <row r="178" spans="1:33" s="11" customFormat="1" ht="26.25" customHeight="1" x14ac:dyDescent="0.15">
      <c r="A178" s="8">
        <f t="shared" si="0"/>
        <v>176</v>
      </c>
      <c r="B178" s="36" t="s">
        <v>8226</v>
      </c>
      <c r="C178" s="26" t="s">
        <v>19</v>
      </c>
      <c r="D178" s="26" t="s">
        <v>19</v>
      </c>
      <c r="E178" s="26" t="s">
        <v>19</v>
      </c>
      <c r="F178" s="29" t="s">
        <v>6009</v>
      </c>
      <c r="G178" s="29" t="s">
        <v>8227</v>
      </c>
      <c r="H178" s="1146" t="s">
        <v>1449</v>
      </c>
      <c r="I178" s="1146" t="s">
        <v>177</v>
      </c>
      <c r="J178" s="1146" t="s">
        <v>3273</v>
      </c>
      <c r="K178" s="22" t="s">
        <v>1734</v>
      </c>
      <c r="L178" s="22" t="s">
        <v>5431</v>
      </c>
      <c r="M178" s="1148" t="s">
        <v>111</v>
      </c>
      <c r="N178" s="1147" t="s">
        <v>1131</v>
      </c>
      <c r="O178" s="54" t="s">
        <v>851</v>
      </c>
      <c r="P178" s="1148" t="s">
        <v>111</v>
      </c>
      <c r="Q178" s="1147" t="s">
        <v>5487</v>
      </c>
      <c r="R178" s="1147" t="s">
        <v>5487</v>
      </c>
      <c r="S178" s="24" t="s">
        <v>8222</v>
      </c>
      <c r="T178" s="90" t="s">
        <v>8218</v>
      </c>
      <c r="U178" s="1148" t="s">
        <v>2359</v>
      </c>
      <c r="V178" s="24">
        <v>1</v>
      </c>
      <c r="W178" s="24" t="s">
        <v>8092</v>
      </c>
      <c r="X178" s="24" t="s">
        <v>6058</v>
      </c>
      <c r="Y178" s="30"/>
      <c r="Z178" s="30">
        <v>7</v>
      </c>
      <c r="AA178" s="30">
        <v>7</v>
      </c>
      <c r="AB178" s="59"/>
      <c r="AC178" s="59"/>
      <c r="AD178" s="1148" t="s">
        <v>1104</v>
      </c>
      <c r="AE178" s="202" t="s">
        <v>1880</v>
      </c>
      <c r="AF178" s="133" t="s">
        <v>1880</v>
      </c>
      <c r="AG178" s="1147"/>
    </row>
    <row r="179" spans="1:33" s="11" customFormat="1" ht="26.25" customHeight="1" x14ac:dyDescent="0.15">
      <c r="A179" s="8">
        <f t="shared" si="0"/>
        <v>177</v>
      </c>
      <c r="B179" s="36" t="s">
        <v>8236</v>
      </c>
      <c r="C179" s="26" t="s">
        <v>19</v>
      </c>
      <c r="D179" s="26" t="s">
        <v>19</v>
      </c>
      <c r="E179" s="26" t="s">
        <v>19</v>
      </c>
      <c r="F179" s="54" t="s">
        <v>5389</v>
      </c>
      <c r="G179" s="98" t="s">
        <v>5504</v>
      </c>
      <c r="H179" s="1148" t="s">
        <v>2135</v>
      </c>
      <c r="I179" s="1148" t="s">
        <v>2533</v>
      </c>
      <c r="J179" s="21" t="s">
        <v>5390</v>
      </c>
      <c r="K179" s="1148" t="s">
        <v>1138</v>
      </c>
      <c r="L179" s="1148" t="s">
        <v>2142</v>
      </c>
      <c r="M179" s="1148" t="s">
        <v>111</v>
      </c>
      <c r="N179" s="1148" t="s">
        <v>2422</v>
      </c>
      <c r="O179" s="151" t="s">
        <v>1819</v>
      </c>
      <c r="P179" s="22" t="s">
        <v>1880</v>
      </c>
      <c r="Q179" s="1147" t="s">
        <v>5487</v>
      </c>
      <c r="R179" s="1147" t="s">
        <v>5487</v>
      </c>
      <c r="S179" s="24" t="s">
        <v>8222</v>
      </c>
      <c r="T179" s="90" t="s">
        <v>8218</v>
      </c>
      <c r="U179" s="1148" t="s">
        <v>2359</v>
      </c>
      <c r="V179" s="24">
        <v>1</v>
      </c>
      <c r="W179" s="24" t="s">
        <v>8092</v>
      </c>
      <c r="X179" s="24" t="s">
        <v>6058</v>
      </c>
      <c r="Y179" s="30"/>
      <c r="Z179" s="30">
        <v>7</v>
      </c>
      <c r="AA179" s="30">
        <v>7</v>
      </c>
      <c r="AB179" s="59"/>
      <c r="AC179" s="59"/>
      <c r="AD179" s="1148" t="s">
        <v>1104</v>
      </c>
      <c r="AE179" s="202" t="s">
        <v>1880</v>
      </c>
      <c r="AF179" s="133" t="s">
        <v>1880</v>
      </c>
      <c r="AG179" s="1147"/>
    </row>
    <row r="180" spans="1:33" s="11" customFormat="1" ht="26.25" customHeight="1" x14ac:dyDescent="0.15">
      <c r="A180" s="8">
        <f t="shared" si="0"/>
        <v>178</v>
      </c>
      <c r="B180" s="36" t="s">
        <v>8237</v>
      </c>
      <c r="C180" s="26" t="s">
        <v>19</v>
      </c>
      <c r="D180" s="26" t="s">
        <v>19</v>
      </c>
      <c r="E180" s="26" t="s">
        <v>19</v>
      </c>
      <c r="F180" s="29" t="s">
        <v>7938</v>
      </c>
      <c r="G180" s="53" t="s">
        <v>8228</v>
      </c>
      <c r="H180" s="1146" t="s">
        <v>3649</v>
      </c>
      <c r="I180" s="1146" t="s">
        <v>4750</v>
      </c>
      <c r="J180" s="1146" t="s">
        <v>5872</v>
      </c>
      <c r="K180" s="22" t="s">
        <v>4780</v>
      </c>
      <c r="L180" s="22" t="s">
        <v>5431</v>
      </c>
      <c r="M180" s="1148" t="s">
        <v>1880</v>
      </c>
      <c r="N180" s="1148" t="s">
        <v>1818</v>
      </c>
      <c r="O180" s="151" t="s">
        <v>1819</v>
      </c>
      <c r="P180" s="22" t="s">
        <v>1880</v>
      </c>
      <c r="Q180" s="1147" t="s">
        <v>5487</v>
      </c>
      <c r="R180" s="1147" t="s">
        <v>5487</v>
      </c>
      <c r="S180" s="24" t="s">
        <v>8222</v>
      </c>
      <c r="T180" s="90" t="s">
        <v>8218</v>
      </c>
      <c r="U180" s="1148" t="s">
        <v>2359</v>
      </c>
      <c r="V180" s="1148">
        <v>1</v>
      </c>
      <c r="W180" s="24" t="s">
        <v>8229</v>
      </c>
      <c r="X180" s="24" t="s">
        <v>8230</v>
      </c>
      <c r="Y180" s="30"/>
      <c r="Z180" s="30">
        <v>7</v>
      </c>
      <c r="AA180" s="30">
        <v>7</v>
      </c>
      <c r="AB180" s="59"/>
      <c r="AC180" s="59"/>
      <c r="AD180" s="35" t="s">
        <v>1104</v>
      </c>
      <c r="AE180" s="202" t="s">
        <v>19</v>
      </c>
      <c r="AF180" s="35" t="s">
        <v>1880</v>
      </c>
      <c r="AG180" s="1147"/>
    </row>
    <row r="181" spans="1:33" s="11" customFormat="1" ht="26.25" customHeight="1" x14ac:dyDescent="0.15">
      <c r="A181" s="8">
        <f t="shared" si="0"/>
        <v>179</v>
      </c>
      <c r="B181" s="36" t="s">
        <v>8240</v>
      </c>
      <c r="C181" s="26" t="s">
        <v>19</v>
      </c>
      <c r="D181" s="26" t="s">
        <v>19</v>
      </c>
      <c r="E181" s="26" t="s">
        <v>19</v>
      </c>
      <c r="F181" s="29" t="s">
        <v>4404</v>
      </c>
      <c r="G181" s="53" t="s">
        <v>8238</v>
      </c>
      <c r="H181" s="1149" t="s">
        <v>3649</v>
      </c>
      <c r="I181" s="1149" t="s">
        <v>7742</v>
      </c>
      <c r="J181" s="1149" t="s">
        <v>7743</v>
      </c>
      <c r="K181" s="22" t="s">
        <v>7744</v>
      </c>
      <c r="L181" s="1151" t="s">
        <v>1826</v>
      </c>
      <c r="M181" s="1151" t="s">
        <v>111</v>
      </c>
      <c r="N181" s="1150" t="s">
        <v>1818</v>
      </c>
      <c r="O181" s="54" t="s">
        <v>1796</v>
      </c>
      <c r="P181" s="22" t="s">
        <v>1880</v>
      </c>
      <c r="Q181" s="1150" t="s">
        <v>2072</v>
      </c>
      <c r="R181" s="1150" t="s">
        <v>2072</v>
      </c>
      <c r="S181" s="24" t="s">
        <v>8239</v>
      </c>
      <c r="T181" s="90" t="s">
        <v>6509</v>
      </c>
      <c r="U181" s="24" t="s">
        <v>2359</v>
      </c>
      <c r="V181" s="24">
        <v>1</v>
      </c>
      <c r="W181" s="24" t="s">
        <v>448</v>
      </c>
      <c r="X181" s="24" t="s">
        <v>448</v>
      </c>
      <c r="Y181" s="30">
        <v>1.02</v>
      </c>
      <c r="Z181" s="30"/>
      <c r="AA181" s="30">
        <v>1.02</v>
      </c>
      <c r="AB181" s="59"/>
      <c r="AC181" s="59"/>
      <c r="AD181" s="35" t="s">
        <v>1104</v>
      </c>
      <c r="AE181" s="202" t="s">
        <v>19</v>
      </c>
      <c r="AF181" s="35" t="s">
        <v>1880</v>
      </c>
      <c r="AG181" s="1150"/>
    </row>
    <row r="182" spans="1:33" s="11" customFormat="1" ht="26.25" customHeight="1" x14ac:dyDescent="0.15">
      <c r="A182" s="8">
        <f t="shared" si="0"/>
        <v>180</v>
      </c>
      <c r="B182" s="36" t="s">
        <v>8241</v>
      </c>
      <c r="C182" s="26" t="s">
        <v>19</v>
      </c>
      <c r="D182" s="26" t="s">
        <v>19</v>
      </c>
      <c r="E182" s="26" t="s">
        <v>19</v>
      </c>
      <c r="F182" s="29" t="s">
        <v>8243</v>
      </c>
      <c r="G182" s="53" t="s">
        <v>2070</v>
      </c>
      <c r="H182" s="1152" t="s">
        <v>4195</v>
      </c>
      <c r="I182" s="1152" t="s">
        <v>4196</v>
      </c>
      <c r="J182" s="1152" t="s">
        <v>4867</v>
      </c>
      <c r="K182" s="22" t="s">
        <v>4780</v>
      </c>
      <c r="L182" s="1154" t="s">
        <v>1826</v>
      </c>
      <c r="M182" s="1154" t="s">
        <v>111</v>
      </c>
      <c r="N182" s="1153" t="s">
        <v>1818</v>
      </c>
      <c r="O182" s="54" t="s">
        <v>5099</v>
      </c>
      <c r="P182" s="22" t="s">
        <v>1880</v>
      </c>
      <c r="Q182" s="1147" t="s">
        <v>7428</v>
      </c>
      <c r="R182" s="1147" t="s">
        <v>2072</v>
      </c>
      <c r="S182" s="24" t="s">
        <v>8239</v>
      </c>
      <c r="T182" s="90" t="s">
        <v>8169</v>
      </c>
      <c r="U182" s="24" t="s">
        <v>2359</v>
      </c>
      <c r="V182" s="24">
        <v>1</v>
      </c>
      <c r="W182" s="24" t="s">
        <v>448</v>
      </c>
      <c r="X182" s="24" t="s">
        <v>448</v>
      </c>
      <c r="Y182" s="30">
        <v>64.367999999999995</v>
      </c>
      <c r="Z182" s="30"/>
      <c r="AA182" s="30">
        <v>64.367999999999995</v>
      </c>
      <c r="AB182" s="59"/>
      <c r="AC182" s="59"/>
      <c r="AD182" s="35" t="s">
        <v>1104</v>
      </c>
      <c r="AE182" s="202" t="s">
        <v>19</v>
      </c>
      <c r="AF182" s="35" t="s">
        <v>1880</v>
      </c>
      <c r="AG182" s="1147"/>
    </row>
    <row r="183" spans="1:33" s="11" customFormat="1" ht="26.25" customHeight="1" x14ac:dyDescent="0.15">
      <c r="A183" s="8">
        <f t="shared" si="0"/>
        <v>181</v>
      </c>
      <c r="B183" s="36" t="s">
        <v>8242</v>
      </c>
      <c r="C183" s="26" t="s">
        <v>19</v>
      </c>
      <c r="D183" s="26" t="s">
        <v>19</v>
      </c>
      <c r="E183" s="26" t="s">
        <v>19</v>
      </c>
      <c r="F183" s="29" t="s">
        <v>8243</v>
      </c>
      <c r="G183" s="53" t="s">
        <v>2070</v>
      </c>
      <c r="H183" s="1152" t="s">
        <v>4195</v>
      </c>
      <c r="I183" s="1152" t="s">
        <v>4196</v>
      </c>
      <c r="J183" s="1152" t="s">
        <v>4867</v>
      </c>
      <c r="K183" s="22" t="s">
        <v>4780</v>
      </c>
      <c r="L183" s="1154" t="s">
        <v>1826</v>
      </c>
      <c r="M183" s="1154" t="s">
        <v>111</v>
      </c>
      <c r="N183" s="1153" t="s">
        <v>3990</v>
      </c>
      <c r="O183" s="54" t="s">
        <v>8244</v>
      </c>
      <c r="P183" s="22" t="s">
        <v>1880</v>
      </c>
      <c r="Q183" s="1153" t="s">
        <v>7428</v>
      </c>
      <c r="R183" s="1153" t="s">
        <v>2072</v>
      </c>
      <c r="S183" s="24" t="s">
        <v>8239</v>
      </c>
      <c r="T183" s="90" t="s">
        <v>8169</v>
      </c>
      <c r="U183" s="24" t="s">
        <v>2359</v>
      </c>
      <c r="V183" s="24">
        <v>1</v>
      </c>
      <c r="W183" s="24" t="s">
        <v>448</v>
      </c>
      <c r="X183" s="24" t="s">
        <v>448</v>
      </c>
      <c r="Y183" s="30">
        <v>79.317999999999998</v>
      </c>
      <c r="Z183" s="30"/>
      <c r="AA183" s="30">
        <v>79.317999999999998</v>
      </c>
      <c r="AB183" s="59"/>
      <c r="AC183" s="59"/>
      <c r="AD183" s="35" t="s">
        <v>1104</v>
      </c>
      <c r="AE183" s="202" t="s">
        <v>19</v>
      </c>
      <c r="AF183" s="35" t="s">
        <v>1880</v>
      </c>
      <c r="AG183" s="1147"/>
    </row>
    <row r="184" spans="1:33" s="11" customFormat="1" ht="26.25" customHeight="1" x14ac:dyDescent="0.15">
      <c r="A184" s="8">
        <f t="shared" si="0"/>
        <v>182</v>
      </c>
      <c r="B184" s="36" t="s">
        <v>8253</v>
      </c>
      <c r="C184" s="71" t="s">
        <v>8543</v>
      </c>
      <c r="D184" s="26" t="s">
        <v>19</v>
      </c>
      <c r="E184" s="26" t="s">
        <v>19</v>
      </c>
      <c r="F184" s="29" t="s">
        <v>8255</v>
      </c>
      <c r="G184" s="29" t="s">
        <v>8256</v>
      </c>
      <c r="H184" s="1155" t="s">
        <v>2112</v>
      </c>
      <c r="I184" s="1155" t="s">
        <v>1124</v>
      </c>
      <c r="J184" s="1155" t="s">
        <v>1125</v>
      </c>
      <c r="K184" s="22" t="s">
        <v>1126</v>
      </c>
      <c r="L184" s="1157" t="s">
        <v>1826</v>
      </c>
      <c r="M184" s="1157" t="s">
        <v>111</v>
      </c>
      <c r="N184" s="1156" t="s">
        <v>1150</v>
      </c>
      <c r="O184" s="54" t="s">
        <v>8257</v>
      </c>
      <c r="P184" s="22" t="s">
        <v>1880</v>
      </c>
      <c r="Q184" s="1147" t="s">
        <v>1785</v>
      </c>
      <c r="R184" s="1156" t="s">
        <v>1785</v>
      </c>
      <c r="S184" s="24" t="s">
        <v>8258</v>
      </c>
      <c r="T184" s="90" t="s">
        <v>8259</v>
      </c>
      <c r="U184" s="24" t="s">
        <v>2359</v>
      </c>
      <c r="V184" s="24">
        <v>3</v>
      </c>
      <c r="W184" s="24" t="s">
        <v>448</v>
      </c>
      <c r="X184" s="24" t="s">
        <v>448</v>
      </c>
      <c r="Y184" s="30">
        <v>25.52</v>
      </c>
      <c r="Z184" s="30"/>
      <c r="AA184" s="30">
        <v>25.52</v>
      </c>
      <c r="AB184" s="59"/>
      <c r="AC184" s="59"/>
      <c r="AD184" s="35" t="s">
        <v>1104</v>
      </c>
      <c r="AE184" s="202" t="s">
        <v>19</v>
      </c>
      <c r="AF184" s="35" t="s">
        <v>1880</v>
      </c>
      <c r="AG184" s="1147"/>
    </row>
    <row r="185" spans="1:33" s="11" customFormat="1" ht="26.25" customHeight="1" x14ac:dyDescent="0.15">
      <c r="A185" s="8">
        <f t="shared" si="0"/>
        <v>183</v>
      </c>
      <c r="B185" s="36" t="s">
        <v>8254</v>
      </c>
      <c r="C185" s="26" t="s">
        <v>19</v>
      </c>
      <c r="D185" s="26" t="s">
        <v>19</v>
      </c>
      <c r="E185" s="26" t="s">
        <v>19</v>
      </c>
      <c r="F185" s="29" t="s">
        <v>8255</v>
      </c>
      <c r="G185" s="29" t="s">
        <v>8256</v>
      </c>
      <c r="H185" s="1155" t="s">
        <v>2112</v>
      </c>
      <c r="I185" s="1155" t="s">
        <v>1124</v>
      </c>
      <c r="J185" s="1155" t="s">
        <v>1125</v>
      </c>
      <c r="K185" s="22" t="s">
        <v>1126</v>
      </c>
      <c r="L185" s="1157" t="s">
        <v>1826</v>
      </c>
      <c r="M185" s="1157" t="s">
        <v>111</v>
      </c>
      <c r="N185" s="1156" t="s">
        <v>1818</v>
      </c>
      <c r="O185" s="151" t="s">
        <v>7451</v>
      </c>
      <c r="P185" s="22" t="s">
        <v>1880</v>
      </c>
      <c r="Q185" s="1156" t="s">
        <v>1785</v>
      </c>
      <c r="R185" s="1156" t="s">
        <v>1785</v>
      </c>
      <c r="S185" s="24" t="s">
        <v>8258</v>
      </c>
      <c r="T185" s="90" t="s">
        <v>8259</v>
      </c>
      <c r="U185" s="24" t="s">
        <v>2359</v>
      </c>
      <c r="V185" s="24">
        <v>3</v>
      </c>
      <c r="W185" s="24" t="s">
        <v>448</v>
      </c>
      <c r="X185" s="24" t="s">
        <v>448</v>
      </c>
      <c r="Y185" s="30">
        <v>2</v>
      </c>
      <c r="Z185" s="30"/>
      <c r="AA185" s="30">
        <v>2</v>
      </c>
      <c r="AB185" s="59"/>
      <c r="AC185" s="59"/>
      <c r="AD185" s="35" t="s">
        <v>1104</v>
      </c>
      <c r="AE185" s="202" t="s">
        <v>19</v>
      </c>
      <c r="AF185" s="35" t="s">
        <v>1880</v>
      </c>
      <c r="AG185" s="1141"/>
    </row>
    <row r="186" spans="1:33" s="11" customFormat="1" ht="26.25" customHeight="1" x14ac:dyDescent="0.15">
      <c r="A186" s="8">
        <f t="shared" si="0"/>
        <v>184</v>
      </c>
      <c r="B186" s="36" t="s">
        <v>8263</v>
      </c>
      <c r="C186" s="71" t="s">
        <v>8329</v>
      </c>
      <c r="D186" s="26" t="s">
        <v>19</v>
      </c>
      <c r="E186" s="26" t="s">
        <v>19</v>
      </c>
      <c r="F186" s="29" t="s">
        <v>8264</v>
      </c>
      <c r="G186" s="53" t="s">
        <v>8265</v>
      </c>
      <c r="H186" s="1161" t="s">
        <v>4712</v>
      </c>
      <c r="I186" s="1161" t="s">
        <v>4692</v>
      </c>
      <c r="J186" s="1161" t="s">
        <v>8326</v>
      </c>
      <c r="K186" s="22" t="s">
        <v>8266</v>
      </c>
      <c r="L186" s="1162" t="s">
        <v>1826</v>
      </c>
      <c r="M186" s="1162" t="s">
        <v>111</v>
      </c>
      <c r="N186" s="1161" t="s">
        <v>1131</v>
      </c>
      <c r="O186" s="151" t="s">
        <v>1819</v>
      </c>
      <c r="P186" s="22" t="s">
        <v>1880</v>
      </c>
      <c r="Q186" s="1141" t="s">
        <v>3248</v>
      </c>
      <c r="R186" s="1141" t="s">
        <v>3248</v>
      </c>
      <c r="S186" s="24" t="s">
        <v>8261</v>
      </c>
      <c r="T186" s="90" t="s">
        <v>8267</v>
      </c>
      <c r="U186" s="24" t="s">
        <v>2359</v>
      </c>
      <c r="V186" s="24">
        <v>1</v>
      </c>
      <c r="W186" s="24" t="s">
        <v>8327</v>
      </c>
      <c r="X186" s="24" t="s">
        <v>8328</v>
      </c>
      <c r="Y186" s="30"/>
      <c r="Z186" s="30">
        <v>10</v>
      </c>
      <c r="AA186" s="30">
        <v>10</v>
      </c>
      <c r="AB186" s="59"/>
      <c r="AC186" s="59"/>
      <c r="AD186" s="35" t="s">
        <v>1104</v>
      </c>
      <c r="AE186" s="202" t="s">
        <v>19</v>
      </c>
      <c r="AF186" s="35" t="s">
        <v>1880</v>
      </c>
      <c r="AG186" s="1141"/>
    </row>
    <row r="187" spans="1:33" s="11" customFormat="1" ht="26.25" customHeight="1" x14ac:dyDescent="0.15">
      <c r="A187" s="8">
        <f t="shared" si="0"/>
        <v>185</v>
      </c>
      <c r="B187" s="36" t="s">
        <v>8268</v>
      </c>
      <c r="C187" s="26" t="s">
        <v>19</v>
      </c>
      <c r="D187" s="26" t="s">
        <v>9265</v>
      </c>
      <c r="E187" s="26" t="s">
        <v>19</v>
      </c>
      <c r="F187" s="29" t="s">
        <v>8269</v>
      </c>
      <c r="G187" s="53" t="s">
        <v>8270</v>
      </c>
      <c r="H187" s="1161" t="s">
        <v>4691</v>
      </c>
      <c r="I187" s="1161" t="s">
        <v>4728</v>
      </c>
      <c r="J187" s="1161" t="s">
        <v>8271</v>
      </c>
      <c r="K187" s="22" t="s">
        <v>4780</v>
      </c>
      <c r="L187" s="1162" t="s">
        <v>1826</v>
      </c>
      <c r="M187" s="1142" t="s">
        <v>8272</v>
      </c>
      <c r="N187" s="1161" t="s">
        <v>1131</v>
      </c>
      <c r="O187" s="151" t="s">
        <v>1819</v>
      </c>
      <c r="P187" s="22" t="s">
        <v>1880</v>
      </c>
      <c r="Q187" s="1141" t="s">
        <v>1151</v>
      </c>
      <c r="R187" s="1141" t="s">
        <v>1151</v>
      </c>
      <c r="S187" s="24" t="s">
        <v>8261</v>
      </c>
      <c r="T187" s="90" t="s">
        <v>8267</v>
      </c>
      <c r="U187" s="24" t="s">
        <v>2359</v>
      </c>
      <c r="V187" s="24">
        <v>2</v>
      </c>
      <c r="W187" s="24" t="s">
        <v>8273</v>
      </c>
      <c r="X187" s="24" t="s">
        <v>8274</v>
      </c>
      <c r="Y187" s="30"/>
      <c r="Z187" s="30">
        <v>26</v>
      </c>
      <c r="AA187" s="30">
        <v>26</v>
      </c>
      <c r="AB187" s="59"/>
      <c r="AC187" s="59"/>
      <c r="AD187" s="35" t="s">
        <v>1104</v>
      </c>
      <c r="AE187" s="202" t="s">
        <v>19</v>
      </c>
      <c r="AF187" s="35" t="s">
        <v>1880</v>
      </c>
      <c r="AG187" s="1141"/>
    </row>
    <row r="188" spans="1:33" s="11" customFormat="1" ht="26.25" customHeight="1" x14ac:dyDescent="0.15">
      <c r="A188" s="8">
        <f t="shared" si="0"/>
        <v>186</v>
      </c>
      <c r="B188" s="36" t="s">
        <v>8325</v>
      </c>
      <c r="C188" s="26" t="s">
        <v>19</v>
      </c>
      <c r="D188" s="26" t="s">
        <v>19</v>
      </c>
      <c r="E188" s="26" t="s">
        <v>19</v>
      </c>
      <c r="F188" s="29" t="s">
        <v>8276</v>
      </c>
      <c r="G188" s="53" t="s">
        <v>8277</v>
      </c>
      <c r="H188" s="1161" t="s">
        <v>4195</v>
      </c>
      <c r="I188" s="1161" t="s">
        <v>6907</v>
      </c>
      <c r="J188" s="1161" t="s">
        <v>8275</v>
      </c>
      <c r="K188" s="22" t="s">
        <v>6909</v>
      </c>
      <c r="L188" s="1162" t="s">
        <v>1826</v>
      </c>
      <c r="M188" s="1162" t="s">
        <v>111</v>
      </c>
      <c r="N188" s="1161" t="s">
        <v>1818</v>
      </c>
      <c r="O188" s="151" t="s">
        <v>7451</v>
      </c>
      <c r="P188" s="22" t="s">
        <v>1880</v>
      </c>
      <c r="Q188" s="1129" t="s">
        <v>1152</v>
      </c>
      <c r="R188" s="1163" t="s">
        <v>1152</v>
      </c>
      <c r="S188" s="24" t="s">
        <v>8261</v>
      </c>
      <c r="T188" s="90" t="s">
        <v>8267</v>
      </c>
      <c r="U188" s="24" t="s">
        <v>2359</v>
      </c>
      <c r="V188" s="24">
        <v>1</v>
      </c>
      <c r="W188" s="24" t="s">
        <v>448</v>
      </c>
      <c r="X188" s="24" t="s">
        <v>448</v>
      </c>
      <c r="Y188" s="30">
        <v>0.9</v>
      </c>
      <c r="Z188" s="30"/>
      <c r="AA188" s="30">
        <v>0.9</v>
      </c>
      <c r="AB188" s="59"/>
      <c r="AC188" s="59"/>
      <c r="AD188" s="35" t="s">
        <v>1104</v>
      </c>
      <c r="AE188" s="202" t="s">
        <v>19</v>
      </c>
      <c r="AF188" s="35" t="s">
        <v>1880</v>
      </c>
      <c r="AG188" s="1129"/>
    </row>
    <row r="189" spans="1:33" s="11" customFormat="1" ht="26.25" customHeight="1" x14ac:dyDescent="0.15">
      <c r="A189" s="8">
        <f t="shared" si="0"/>
        <v>187</v>
      </c>
      <c r="B189" s="36" t="s">
        <v>8278</v>
      </c>
      <c r="C189" s="26" t="s">
        <v>19</v>
      </c>
      <c r="D189" s="26" t="s">
        <v>19</v>
      </c>
      <c r="E189" s="26" t="s">
        <v>19</v>
      </c>
      <c r="F189" s="29" t="s">
        <v>7807</v>
      </c>
      <c r="G189" s="53" t="s">
        <v>8286</v>
      </c>
      <c r="H189" s="1161" t="s">
        <v>3649</v>
      </c>
      <c r="I189" s="1161" t="s">
        <v>4750</v>
      </c>
      <c r="J189" s="1161" t="s">
        <v>8298</v>
      </c>
      <c r="K189" s="22" t="s">
        <v>4780</v>
      </c>
      <c r="L189" s="1162" t="s">
        <v>1826</v>
      </c>
      <c r="M189" s="1162" t="s">
        <v>111</v>
      </c>
      <c r="N189" s="1163" t="s">
        <v>1818</v>
      </c>
      <c r="O189" s="54" t="s">
        <v>8288</v>
      </c>
      <c r="P189" s="22" t="s">
        <v>1880</v>
      </c>
      <c r="Q189" s="990" t="s">
        <v>2072</v>
      </c>
      <c r="R189" s="1161" t="s">
        <v>2072</v>
      </c>
      <c r="S189" s="24" t="s">
        <v>8261</v>
      </c>
      <c r="T189" s="90" t="s">
        <v>8297</v>
      </c>
      <c r="U189" s="10" t="s">
        <v>1800</v>
      </c>
      <c r="V189" s="10">
        <v>1</v>
      </c>
      <c r="W189" s="24" t="s">
        <v>5710</v>
      </c>
      <c r="X189" s="24" t="s">
        <v>448</v>
      </c>
      <c r="Y189" s="95">
        <v>31.85</v>
      </c>
      <c r="Z189" s="30"/>
      <c r="AA189" s="95">
        <v>31.85</v>
      </c>
      <c r="AB189" s="59"/>
      <c r="AC189" s="59"/>
      <c r="AD189" s="35" t="s">
        <v>1104</v>
      </c>
      <c r="AE189" s="202" t="s">
        <v>19</v>
      </c>
      <c r="AF189" s="35" t="s">
        <v>1880</v>
      </c>
      <c r="AG189" s="990"/>
    </row>
    <row r="190" spans="1:33" s="11" customFormat="1" ht="26.25" customHeight="1" x14ac:dyDescent="0.15">
      <c r="A190" s="8">
        <f t="shared" si="0"/>
        <v>188</v>
      </c>
      <c r="B190" s="36" t="s">
        <v>8279</v>
      </c>
      <c r="C190" s="71" t="s">
        <v>8330</v>
      </c>
      <c r="D190" s="26" t="s">
        <v>19</v>
      </c>
      <c r="E190" s="26" t="s">
        <v>19</v>
      </c>
      <c r="F190" s="29" t="s">
        <v>7807</v>
      </c>
      <c r="G190" s="53" t="s">
        <v>8286</v>
      </c>
      <c r="H190" s="1161" t="s">
        <v>3649</v>
      </c>
      <c r="I190" s="1161" t="s">
        <v>4750</v>
      </c>
      <c r="J190" s="1161" t="s">
        <v>8287</v>
      </c>
      <c r="K190" s="22" t="s">
        <v>4780</v>
      </c>
      <c r="L190" s="1162" t="s">
        <v>1826</v>
      </c>
      <c r="M190" s="1162" t="s">
        <v>111</v>
      </c>
      <c r="N190" s="1161" t="s">
        <v>1131</v>
      </c>
      <c r="O190" s="54" t="s">
        <v>8288</v>
      </c>
      <c r="P190" s="22" t="s">
        <v>1880</v>
      </c>
      <c r="Q190" s="1161" t="s">
        <v>2072</v>
      </c>
      <c r="R190" s="1161" t="s">
        <v>2072</v>
      </c>
      <c r="S190" s="24" t="s">
        <v>8261</v>
      </c>
      <c r="T190" s="90" t="s">
        <v>8297</v>
      </c>
      <c r="U190" s="10" t="s">
        <v>1800</v>
      </c>
      <c r="V190" s="10">
        <v>1</v>
      </c>
      <c r="W190" s="24" t="s">
        <v>5710</v>
      </c>
      <c r="X190" s="24" t="s">
        <v>448</v>
      </c>
      <c r="Y190" s="95">
        <v>34.9</v>
      </c>
      <c r="Z190" s="30"/>
      <c r="AA190" s="95">
        <v>34.9</v>
      </c>
      <c r="AB190" s="59"/>
      <c r="AC190" s="59"/>
      <c r="AD190" s="35" t="s">
        <v>1104</v>
      </c>
      <c r="AE190" s="202" t="s">
        <v>19</v>
      </c>
      <c r="AF190" s="35" t="s">
        <v>1880</v>
      </c>
      <c r="AG190" s="1161"/>
    </row>
    <row r="191" spans="1:33" s="11" customFormat="1" ht="26.25" customHeight="1" x14ac:dyDescent="0.15">
      <c r="A191" s="8">
        <f t="shared" si="0"/>
        <v>189</v>
      </c>
      <c r="B191" s="36" t="s">
        <v>8280</v>
      </c>
      <c r="C191" s="71" t="s">
        <v>8290</v>
      </c>
      <c r="D191" s="26" t="s">
        <v>19</v>
      </c>
      <c r="E191" s="26" t="s">
        <v>19</v>
      </c>
      <c r="F191" s="29" t="s">
        <v>7807</v>
      </c>
      <c r="G191" s="53" t="s">
        <v>8286</v>
      </c>
      <c r="H191" s="1161" t="s">
        <v>3649</v>
      </c>
      <c r="I191" s="1161" t="s">
        <v>4750</v>
      </c>
      <c r="J191" s="1161" t="s">
        <v>8289</v>
      </c>
      <c r="K191" s="22" t="s">
        <v>4780</v>
      </c>
      <c r="L191" s="1162" t="s">
        <v>1826</v>
      </c>
      <c r="M191" s="1162" t="s">
        <v>111</v>
      </c>
      <c r="N191" s="1161" t="s">
        <v>1131</v>
      </c>
      <c r="O191" s="54" t="s">
        <v>8798</v>
      </c>
      <c r="P191" s="22" t="s">
        <v>1880</v>
      </c>
      <c r="Q191" s="1161" t="s">
        <v>2072</v>
      </c>
      <c r="R191" s="1161" t="s">
        <v>2072</v>
      </c>
      <c r="S191" s="24" t="s">
        <v>8261</v>
      </c>
      <c r="T191" s="90" t="s">
        <v>8297</v>
      </c>
      <c r="U191" s="10" t="s">
        <v>1800</v>
      </c>
      <c r="V191" s="10">
        <v>1</v>
      </c>
      <c r="W191" s="24" t="s">
        <v>5711</v>
      </c>
      <c r="X191" s="24" t="s">
        <v>448</v>
      </c>
      <c r="Y191" s="95">
        <v>35.799999999999997</v>
      </c>
      <c r="Z191" s="30"/>
      <c r="AA191" s="95">
        <v>35.799999999999997</v>
      </c>
      <c r="AB191" s="59"/>
      <c r="AC191" s="59"/>
      <c r="AD191" s="35" t="s">
        <v>1104</v>
      </c>
      <c r="AE191" s="202" t="s">
        <v>19</v>
      </c>
      <c r="AF191" s="35" t="s">
        <v>1880</v>
      </c>
      <c r="AG191" s="1161"/>
    </row>
    <row r="192" spans="1:33" s="11" customFormat="1" ht="26.25" customHeight="1" x14ac:dyDescent="0.15">
      <c r="A192" s="8">
        <f t="shared" si="0"/>
        <v>190</v>
      </c>
      <c r="B192" s="36" t="s">
        <v>8281</v>
      </c>
      <c r="C192" s="71" t="s">
        <v>8291</v>
      </c>
      <c r="D192" s="26" t="s">
        <v>19</v>
      </c>
      <c r="E192" s="26" t="s">
        <v>19</v>
      </c>
      <c r="F192" s="29" t="s">
        <v>7807</v>
      </c>
      <c r="G192" s="53" t="s">
        <v>8286</v>
      </c>
      <c r="H192" s="1161" t="s">
        <v>3649</v>
      </c>
      <c r="I192" s="1161" t="s">
        <v>4750</v>
      </c>
      <c r="J192" s="1161" t="s">
        <v>8331</v>
      </c>
      <c r="K192" s="22" t="s">
        <v>4780</v>
      </c>
      <c r="L192" s="1162" t="s">
        <v>1826</v>
      </c>
      <c r="M192" s="1162" t="s">
        <v>111</v>
      </c>
      <c r="N192" s="1161" t="s">
        <v>1131</v>
      </c>
      <c r="O192" s="54" t="s">
        <v>8798</v>
      </c>
      <c r="P192" s="22" t="s">
        <v>1880</v>
      </c>
      <c r="Q192" s="1161" t="s">
        <v>2072</v>
      </c>
      <c r="R192" s="1161" t="s">
        <v>2072</v>
      </c>
      <c r="S192" s="24" t="s">
        <v>8261</v>
      </c>
      <c r="T192" s="90" t="s">
        <v>8297</v>
      </c>
      <c r="U192" s="10" t="s">
        <v>1800</v>
      </c>
      <c r="V192" s="10">
        <v>1</v>
      </c>
      <c r="W192" s="24" t="s">
        <v>5711</v>
      </c>
      <c r="X192" s="24" t="s">
        <v>448</v>
      </c>
      <c r="Y192" s="95">
        <v>35.799999999999997</v>
      </c>
      <c r="Z192" s="30"/>
      <c r="AA192" s="95">
        <v>35.799999999999997</v>
      </c>
      <c r="AB192" s="59"/>
      <c r="AC192" s="59"/>
      <c r="AD192" s="35" t="s">
        <v>1104</v>
      </c>
      <c r="AE192" s="202" t="s">
        <v>19</v>
      </c>
      <c r="AF192" s="35" t="s">
        <v>1880</v>
      </c>
      <c r="AG192" s="1161"/>
    </row>
    <row r="193" spans="1:33" s="11" customFormat="1" ht="26.25" customHeight="1" x14ac:dyDescent="0.15">
      <c r="A193" s="8">
        <f t="shared" si="0"/>
        <v>191</v>
      </c>
      <c r="B193" s="36" t="s">
        <v>10007</v>
      </c>
      <c r="C193" s="71" t="s">
        <v>8292</v>
      </c>
      <c r="D193" s="26" t="s">
        <v>19</v>
      </c>
      <c r="E193" s="26" t="s">
        <v>19</v>
      </c>
      <c r="F193" s="29" t="s">
        <v>7807</v>
      </c>
      <c r="G193" s="53" t="s">
        <v>8286</v>
      </c>
      <c r="H193" s="1161" t="s">
        <v>3649</v>
      </c>
      <c r="I193" s="1161" t="s">
        <v>4750</v>
      </c>
      <c r="J193" s="1161" t="s">
        <v>8332</v>
      </c>
      <c r="K193" s="22" t="s">
        <v>4780</v>
      </c>
      <c r="L193" s="1162" t="s">
        <v>1826</v>
      </c>
      <c r="M193" s="1162" t="s">
        <v>111</v>
      </c>
      <c r="N193" s="1161" t="s">
        <v>1131</v>
      </c>
      <c r="O193" s="54" t="s">
        <v>8799</v>
      </c>
      <c r="P193" s="22" t="s">
        <v>1880</v>
      </c>
      <c r="Q193" s="1161" t="s">
        <v>2072</v>
      </c>
      <c r="R193" s="1161" t="s">
        <v>2072</v>
      </c>
      <c r="S193" s="24" t="s">
        <v>8261</v>
      </c>
      <c r="T193" s="90" t="s">
        <v>8297</v>
      </c>
      <c r="U193" s="10" t="s">
        <v>1800</v>
      </c>
      <c r="V193" s="10">
        <v>1</v>
      </c>
      <c r="W193" s="24" t="s">
        <v>6842</v>
      </c>
      <c r="X193" s="24" t="s">
        <v>448</v>
      </c>
      <c r="Y193" s="95">
        <v>45.25</v>
      </c>
      <c r="Z193" s="30"/>
      <c r="AA193" s="95">
        <v>45.25</v>
      </c>
      <c r="AB193" s="59"/>
      <c r="AC193" s="59"/>
      <c r="AD193" s="35" t="s">
        <v>1104</v>
      </c>
      <c r="AE193" s="202" t="s">
        <v>19</v>
      </c>
      <c r="AF193" s="35" t="s">
        <v>1880</v>
      </c>
      <c r="AG193" s="1161"/>
    </row>
    <row r="194" spans="1:33" s="11" customFormat="1" ht="26.25" customHeight="1" x14ac:dyDescent="0.15">
      <c r="A194" s="8">
        <f t="shared" si="0"/>
        <v>192</v>
      </c>
      <c r="B194" s="36" t="s">
        <v>8282</v>
      </c>
      <c r="C194" s="71" t="s">
        <v>8293</v>
      </c>
      <c r="D194" s="26" t="s">
        <v>19</v>
      </c>
      <c r="E194" s="26" t="s">
        <v>19</v>
      </c>
      <c r="F194" s="29" t="s">
        <v>7807</v>
      </c>
      <c r="G194" s="53" t="s">
        <v>8286</v>
      </c>
      <c r="H194" s="1161" t="s">
        <v>3649</v>
      </c>
      <c r="I194" s="1161" t="s">
        <v>4750</v>
      </c>
      <c r="J194" s="1161" t="s">
        <v>8333</v>
      </c>
      <c r="K194" s="22" t="s">
        <v>4780</v>
      </c>
      <c r="L194" s="1162" t="s">
        <v>1826</v>
      </c>
      <c r="M194" s="1162" t="s">
        <v>111</v>
      </c>
      <c r="N194" s="1161" t="s">
        <v>1131</v>
      </c>
      <c r="O194" s="54" t="s">
        <v>8288</v>
      </c>
      <c r="P194" s="22" t="s">
        <v>1880</v>
      </c>
      <c r="Q194" s="1161" t="s">
        <v>2072</v>
      </c>
      <c r="R194" s="1161" t="s">
        <v>2072</v>
      </c>
      <c r="S194" s="24" t="s">
        <v>8261</v>
      </c>
      <c r="T194" s="90" t="s">
        <v>8297</v>
      </c>
      <c r="U194" s="10" t="s">
        <v>1800</v>
      </c>
      <c r="V194" s="10">
        <v>1</v>
      </c>
      <c r="W194" s="24" t="s">
        <v>5710</v>
      </c>
      <c r="X194" s="24" t="s">
        <v>448</v>
      </c>
      <c r="Y194" s="95">
        <v>34.85</v>
      </c>
      <c r="Z194" s="30"/>
      <c r="AA194" s="95">
        <v>34.85</v>
      </c>
      <c r="AB194" s="59"/>
      <c r="AC194" s="59"/>
      <c r="AD194" s="35" t="s">
        <v>1104</v>
      </c>
      <c r="AE194" s="202" t="s">
        <v>19</v>
      </c>
      <c r="AF194" s="35" t="s">
        <v>1880</v>
      </c>
      <c r="AG194" s="1161"/>
    </row>
    <row r="195" spans="1:33" s="11" customFormat="1" ht="26.25" customHeight="1" x14ac:dyDescent="0.15">
      <c r="A195" s="8">
        <f t="shared" si="0"/>
        <v>193</v>
      </c>
      <c r="B195" s="36" t="s">
        <v>8283</v>
      </c>
      <c r="C195" s="71" t="s">
        <v>8294</v>
      </c>
      <c r="D195" s="26" t="s">
        <v>19</v>
      </c>
      <c r="E195" s="26" t="s">
        <v>19</v>
      </c>
      <c r="F195" s="29" t="s">
        <v>7807</v>
      </c>
      <c r="G195" s="53" t="s">
        <v>8286</v>
      </c>
      <c r="H195" s="1161" t="s">
        <v>3649</v>
      </c>
      <c r="I195" s="1161" t="s">
        <v>4750</v>
      </c>
      <c r="J195" s="1161" t="s">
        <v>8334</v>
      </c>
      <c r="K195" s="22" t="s">
        <v>4780</v>
      </c>
      <c r="L195" s="1162" t="s">
        <v>1826</v>
      </c>
      <c r="M195" s="1162" t="s">
        <v>111</v>
      </c>
      <c r="N195" s="1161" t="s">
        <v>1131</v>
      </c>
      <c r="O195" s="54" t="s">
        <v>8288</v>
      </c>
      <c r="P195" s="22" t="s">
        <v>1880</v>
      </c>
      <c r="Q195" s="1161" t="s">
        <v>2072</v>
      </c>
      <c r="R195" s="1161" t="s">
        <v>2072</v>
      </c>
      <c r="S195" s="24" t="s">
        <v>8261</v>
      </c>
      <c r="T195" s="90" t="s">
        <v>8297</v>
      </c>
      <c r="U195" s="10" t="s">
        <v>1800</v>
      </c>
      <c r="V195" s="10">
        <v>1</v>
      </c>
      <c r="W195" s="24" t="s">
        <v>5710</v>
      </c>
      <c r="X195" s="24" t="s">
        <v>448</v>
      </c>
      <c r="Y195" s="95">
        <v>28.85</v>
      </c>
      <c r="Z195" s="30"/>
      <c r="AA195" s="95">
        <v>28.85</v>
      </c>
      <c r="AB195" s="59"/>
      <c r="AC195" s="59"/>
      <c r="AD195" s="35" t="s">
        <v>1104</v>
      </c>
      <c r="AE195" s="202" t="s">
        <v>19</v>
      </c>
      <c r="AF195" s="35" t="s">
        <v>1880</v>
      </c>
      <c r="AG195" s="1161"/>
    </row>
    <row r="196" spans="1:33" s="11" customFormat="1" ht="26.25" customHeight="1" x14ac:dyDescent="0.15">
      <c r="A196" s="8">
        <f t="shared" si="0"/>
        <v>194</v>
      </c>
      <c r="B196" s="36" t="s">
        <v>8284</v>
      </c>
      <c r="C196" s="71" t="s">
        <v>8295</v>
      </c>
      <c r="D196" s="26" t="s">
        <v>9818</v>
      </c>
      <c r="E196" s="26" t="s">
        <v>19</v>
      </c>
      <c r="F196" s="29" t="s">
        <v>7807</v>
      </c>
      <c r="G196" s="53" t="s">
        <v>8286</v>
      </c>
      <c r="H196" s="1161" t="s">
        <v>3649</v>
      </c>
      <c r="I196" s="1161" t="s">
        <v>4750</v>
      </c>
      <c r="J196" s="1161" t="s">
        <v>8335</v>
      </c>
      <c r="K196" s="22" t="s">
        <v>4780</v>
      </c>
      <c r="L196" s="1162" t="s">
        <v>1826</v>
      </c>
      <c r="M196" s="1162" t="s">
        <v>111</v>
      </c>
      <c r="N196" s="1161" t="s">
        <v>1131</v>
      </c>
      <c r="O196" s="54" t="s">
        <v>8288</v>
      </c>
      <c r="P196" s="22" t="s">
        <v>1880</v>
      </c>
      <c r="Q196" s="1161" t="s">
        <v>2072</v>
      </c>
      <c r="R196" s="1161" t="s">
        <v>2072</v>
      </c>
      <c r="S196" s="24" t="s">
        <v>8261</v>
      </c>
      <c r="T196" s="90" t="s">
        <v>8297</v>
      </c>
      <c r="U196" s="10" t="s">
        <v>1800</v>
      </c>
      <c r="V196" s="10">
        <v>1</v>
      </c>
      <c r="W196" s="24" t="s">
        <v>5710</v>
      </c>
      <c r="X196" s="24" t="s">
        <v>448</v>
      </c>
      <c r="Y196" s="95">
        <v>33.85</v>
      </c>
      <c r="Z196" s="30"/>
      <c r="AA196" s="95">
        <v>33.85</v>
      </c>
      <c r="AB196" s="59"/>
      <c r="AC196" s="59"/>
      <c r="AD196" s="35" t="s">
        <v>1104</v>
      </c>
      <c r="AE196" s="202" t="s">
        <v>19</v>
      </c>
      <c r="AF196" s="35" t="s">
        <v>1880</v>
      </c>
      <c r="AG196" s="1161"/>
    </row>
    <row r="197" spans="1:33" s="11" customFormat="1" ht="26.25" customHeight="1" x14ac:dyDescent="0.15">
      <c r="A197" s="8">
        <f t="shared" si="0"/>
        <v>195</v>
      </c>
      <c r="B197" s="36" t="s">
        <v>8285</v>
      </c>
      <c r="C197" s="71" t="s">
        <v>8296</v>
      </c>
      <c r="D197" s="26" t="s">
        <v>9817</v>
      </c>
      <c r="E197" s="26" t="s">
        <v>19</v>
      </c>
      <c r="F197" s="29" t="s">
        <v>7807</v>
      </c>
      <c r="G197" s="53" t="s">
        <v>8286</v>
      </c>
      <c r="H197" s="1161" t="s">
        <v>3649</v>
      </c>
      <c r="I197" s="1161" t="s">
        <v>4750</v>
      </c>
      <c r="J197" s="1161" t="s">
        <v>8336</v>
      </c>
      <c r="K197" s="22" t="s">
        <v>4780</v>
      </c>
      <c r="L197" s="1162" t="s">
        <v>1826</v>
      </c>
      <c r="M197" s="1162" t="s">
        <v>111</v>
      </c>
      <c r="N197" s="1161" t="s">
        <v>1131</v>
      </c>
      <c r="O197" s="54" t="s">
        <v>8288</v>
      </c>
      <c r="P197" s="22" t="s">
        <v>1880</v>
      </c>
      <c r="Q197" s="1161" t="s">
        <v>2072</v>
      </c>
      <c r="R197" s="1161" t="s">
        <v>2072</v>
      </c>
      <c r="S197" s="24" t="s">
        <v>8261</v>
      </c>
      <c r="T197" s="90" t="s">
        <v>8297</v>
      </c>
      <c r="U197" s="10" t="s">
        <v>1800</v>
      </c>
      <c r="V197" s="10">
        <v>1</v>
      </c>
      <c r="W197" s="24" t="s">
        <v>5710</v>
      </c>
      <c r="X197" s="24" t="s">
        <v>448</v>
      </c>
      <c r="Y197" s="95">
        <v>35.85</v>
      </c>
      <c r="Z197" s="30"/>
      <c r="AA197" s="95">
        <v>35.85</v>
      </c>
      <c r="AB197" s="59"/>
      <c r="AC197" s="59"/>
      <c r="AD197" s="35" t="s">
        <v>1104</v>
      </c>
      <c r="AE197" s="202" t="s">
        <v>19</v>
      </c>
      <c r="AF197" s="35" t="s">
        <v>1880</v>
      </c>
      <c r="AG197" s="1161"/>
    </row>
    <row r="198" spans="1:33" s="11" customFormat="1" ht="26.25" customHeight="1" x14ac:dyDescent="0.15">
      <c r="A198" s="8">
        <f t="shared" si="0"/>
        <v>196</v>
      </c>
      <c r="B198" s="36" t="s">
        <v>8299</v>
      </c>
      <c r="C198" s="26" t="s">
        <v>19</v>
      </c>
      <c r="D198" s="26" t="s">
        <v>19</v>
      </c>
      <c r="E198" s="26" t="s">
        <v>19</v>
      </c>
      <c r="F198" s="29" t="s">
        <v>6522</v>
      </c>
      <c r="G198" s="53" t="s">
        <v>5092</v>
      </c>
      <c r="H198" s="1161" t="s">
        <v>4195</v>
      </c>
      <c r="I198" s="1161" t="s">
        <v>4196</v>
      </c>
      <c r="J198" s="1161" t="s">
        <v>8300</v>
      </c>
      <c r="K198" s="22" t="s">
        <v>8303</v>
      </c>
      <c r="L198" s="1162" t="s">
        <v>1826</v>
      </c>
      <c r="M198" s="1162" t="s">
        <v>111</v>
      </c>
      <c r="N198" s="1161" t="s">
        <v>1131</v>
      </c>
      <c r="O198" s="151" t="s">
        <v>7451</v>
      </c>
      <c r="P198" s="22" t="s">
        <v>1880</v>
      </c>
      <c r="Q198" s="1159" t="s">
        <v>2072</v>
      </c>
      <c r="R198" s="1161" t="s">
        <v>2072</v>
      </c>
      <c r="S198" s="24" t="s">
        <v>8262</v>
      </c>
      <c r="T198" s="90" t="s">
        <v>8297</v>
      </c>
      <c r="U198" s="211" t="s">
        <v>2359</v>
      </c>
      <c r="V198" s="211">
        <v>1</v>
      </c>
      <c r="W198" s="24" t="s">
        <v>448</v>
      </c>
      <c r="X198" s="24" t="s">
        <v>448</v>
      </c>
      <c r="Y198" s="30">
        <v>4</v>
      </c>
      <c r="Z198" s="30"/>
      <c r="AA198" s="30">
        <v>4</v>
      </c>
      <c r="AB198" s="59"/>
      <c r="AC198" s="59"/>
      <c r="AD198" s="35" t="s">
        <v>1104</v>
      </c>
      <c r="AE198" s="202" t="s">
        <v>19</v>
      </c>
      <c r="AF198" s="35" t="s">
        <v>1880</v>
      </c>
      <c r="AG198" s="1159"/>
    </row>
    <row r="199" spans="1:33" s="11" customFormat="1" ht="26.25" customHeight="1" x14ac:dyDescent="0.15">
      <c r="A199" s="8">
        <f t="shared" si="0"/>
        <v>197</v>
      </c>
      <c r="B199" s="36" t="s">
        <v>8314</v>
      </c>
      <c r="C199" s="26" t="s">
        <v>19</v>
      </c>
      <c r="D199" s="26" t="s">
        <v>19</v>
      </c>
      <c r="E199" s="26" t="s">
        <v>19</v>
      </c>
      <c r="F199" s="29" t="s">
        <v>412</v>
      </c>
      <c r="G199" s="53" t="s">
        <v>5092</v>
      </c>
      <c r="H199" s="1161" t="s">
        <v>4195</v>
      </c>
      <c r="I199" s="1161" t="s">
        <v>4196</v>
      </c>
      <c r="J199" s="1161" t="s">
        <v>8304</v>
      </c>
      <c r="K199" s="22" t="s">
        <v>4780</v>
      </c>
      <c r="L199" s="1162" t="s">
        <v>1826</v>
      </c>
      <c r="M199" s="1162" t="s">
        <v>111</v>
      </c>
      <c r="N199" s="1161" t="s">
        <v>1131</v>
      </c>
      <c r="O199" s="151" t="s">
        <v>7451</v>
      </c>
      <c r="P199" s="22" t="s">
        <v>1880</v>
      </c>
      <c r="Q199" s="1161" t="s">
        <v>2072</v>
      </c>
      <c r="R199" s="1161" t="s">
        <v>2072</v>
      </c>
      <c r="S199" s="24" t="s">
        <v>8262</v>
      </c>
      <c r="T199" s="90" t="s">
        <v>8297</v>
      </c>
      <c r="U199" s="211" t="s">
        <v>2359</v>
      </c>
      <c r="V199" s="211">
        <v>1</v>
      </c>
      <c r="W199" s="24" t="s">
        <v>448</v>
      </c>
      <c r="X199" s="24" t="s">
        <v>448</v>
      </c>
      <c r="Y199" s="30">
        <v>4</v>
      </c>
      <c r="Z199" s="30"/>
      <c r="AA199" s="30">
        <v>4</v>
      </c>
      <c r="AB199" s="59"/>
      <c r="AC199" s="59"/>
      <c r="AD199" s="35" t="s">
        <v>1104</v>
      </c>
      <c r="AE199" s="202" t="s">
        <v>19</v>
      </c>
      <c r="AF199" s="35" t="s">
        <v>1880</v>
      </c>
      <c r="AG199" s="1161"/>
    </row>
    <row r="200" spans="1:33" s="11" customFormat="1" ht="26.25" customHeight="1" x14ac:dyDescent="0.15">
      <c r="A200" s="8">
        <f t="shared" si="0"/>
        <v>198</v>
      </c>
      <c r="B200" s="36" t="s">
        <v>8315</v>
      </c>
      <c r="C200" s="26" t="s">
        <v>19</v>
      </c>
      <c r="D200" s="26" t="s">
        <v>19</v>
      </c>
      <c r="E200" s="26" t="s">
        <v>19</v>
      </c>
      <c r="F200" s="29" t="s">
        <v>412</v>
      </c>
      <c r="G200" s="53" t="s">
        <v>5092</v>
      </c>
      <c r="H200" s="1161" t="s">
        <v>4195</v>
      </c>
      <c r="I200" s="1161" t="s">
        <v>4196</v>
      </c>
      <c r="J200" s="1161" t="s">
        <v>8305</v>
      </c>
      <c r="K200" s="22" t="s">
        <v>4780</v>
      </c>
      <c r="L200" s="1162" t="s">
        <v>1826</v>
      </c>
      <c r="M200" s="1162" t="s">
        <v>111</v>
      </c>
      <c r="N200" s="1161" t="s">
        <v>1131</v>
      </c>
      <c r="O200" s="151" t="s">
        <v>7451</v>
      </c>
      <c r="P200" s="22" t="s">
        <v>1880</v>
      </c>
      <c r="Q200" s="1161" t="s">
        <v>2072</v>
      </c>
      <c r="R200" s="1161" t="s">
        <v>2072</v>
      </c>
      <c r="S200" s="24" t="s">
        <v>8262</v>
      </c>
      <c r="T200" s="90" t="s">
        <v>8297</v>
      </c>
      <c r="U200" s="211" t="s">
        <v>2359</v>
      </c>
      <c r="V200" s="211">
        <v>1</v>
      </c>
      <c r="W200" s="24" t="s">
        <v>448</v>
      </c>
      <c r="X200" s="24" t="s">
        <v>448</v>
      </c>
      <c r="Y200" s="30">
        <v>4</v>
      </c>
      <c r="Z200" s="30"/>
      <c r="AA200" s="30">
        <v>4</v>
      </c>
      <c r="AB200" s="59"/>
      <c r="AC200" s="59"/>
      <c r="AD200" s="35" t="s">
        <v>1104</v>
      </c>
      <c r="AE200" s="202" t="s">
        <v>19</v>
      </c>
      <c r="AF200" s="35" t="s">
        <v>1880</v>
      </c>
      <c r="AG200" s="1161"/>
    </row>
    <row r="201" spans="1:33" s="11" customFormat="1" ht="26.25" customHeight="1" x14ac:dyDescent="0.15">
      <c r="A201" s="8">
        <f t="shared" si="0"/>
        <v>199</v>
      </c>
      <c r="B201" s="36" t="s">
        <v>8316</v>
      </c>
      <c r="C201" s="26" t="s">
        <v>19</v>
      </c>
      <c r="D201" s="26" t="s">
        <v>19</v>
      </c>
      <c r="E201" s="26" t="s">
        <v>19</v>
      </c>
      <c r="F201" s="29" t="s">
        <v>523</v>
      </c>
      <c r="G201" s="53" t="s">
        <v>5092</v>
      </c>
      <c r="H201" s="1161" t="s">
        <v>4195</v>
      </c>
      <c r="I201" s="1161" t="s">
        <v>4196</v>
      </c>
      <c r="J201" s="1161" t="s">
        <v>8306</v>
      </c>
      <c r="K201" s="22" t="s">
        <v>6119</v>
      </c>
      <c r="L201" s="1162" t="s">
        <v>1826</v>
      </c>
      <c r="M201" s="1162" t="s">
        <v>111</v>
      </c>
      <c r="N201" s="1161" t="s">
        <v>1131</v>
      </c>
      <c r="O201" s="151" t="s">
        <v>7451</v>
      </c>
      <c r="P201" s="22" t="s">
        <v>1880</v>
      </c>
      <c r="Q201" s="1161" t="s">
        <v>2072</v>
      </c>
      <c r="R201" s="1161" t="s">
        <v>2072</v>
      </c>
      <c r="S201" s="24" t="s">
        <v>8262</v>
      </c>
      <c r="T201" s="90" t="s">
        <v>8297</v>
      </c>
      <c r="U201" s="211" t="s">
        <v>2359</v>
      </c>
      <c r="V201" s="211">
        <v>1</v>
      </c>
      <c r="W201" s="24" t="s">
        <v>448</v>
      </c>
      <c r="X201" s="24" t="s">
        <v>448</v>
      </c>
      <c r="Y201" s="30">
        <v>4</v>
      </c>
      <c r="Z201" s="30"/>
      <c r="AA201" s="30">
        <v>4</v>
      </c>
      <c r="AB201" s="59"/>
      <c r="AC201" s="59"/>
      <c r="AD201" s="35" t="s">
        <v>1104</v>
      </c>
      <c r="AE201" s="202" t="s">
        <v>19</v>
      </c>
      <c r="AF201" s="35" t="s">
        <v>1880</v>
      </c>
      <c r="AG201" s="1161"/>
    </row>
    <row r="202" spans="1:33" s="11" customFormat="1" ht="26.25" customHeight="1" x14ac:dyDescent="0.15">
      <c r="A202" s="8">
        <f t="shared" si="0"/>
        <v>200</v>
      </c>
      <c r="B202" s="36" t="s">
        <v>8317</v>
      </c>
      <c r="C202" s="26" t="s">
        <v>19</v>
      </c>
      <c r="D202" s="26" t="s">
        <v>19</v>
      </c>
      <c r="E202" s="26" t="s">
        <v>19</v>
      </c>
      <c r="F202" s="29" t="s">
        <v>6521</v>
      </c>
      <c r="G202" s="53" t="s">
        <v>5092</v>
      </c>
      <c r="H202" s="1161" t="s">
        <v>4195</v>
      </c>
      <c r="I202" s="1161" t="s">
        <v>4196</v>
      </c>
      <c r="J202" s="1161" t="s">
        <v>8307</v>
      </c>
      <c r="K202" s="22" t="s">
        <v>4780</v>
      </c>
      <c r="L202" s="1162" t="s">
        <v>1826</v>
      </c>
      <c r="M202" s="1162" t="s">
        <v>111</v>
      </c>
      <c r="N202" s="1161" t="s">
        <v>1131</v>
      </c>
      <c r="O202" s="151" t="s">
        <v>7451</v>
      </c>
      <c r="P202" s="22" t="s">
        <v>1880</v>
      </c>
      <c r="Q202" s="1161" t="s">
        <v>2072</v>
      </c>
      <c r="R202" s="1161" t="s">
        <v>2072</v>
      </c>
      <c r="S202" s="24" t="s">
        <v>8262</v>
      </c>
      <c r="T202" s="90" t="s">
        <v>8297</v>
      </c>
      <c r="U202" s="211" t="s">
        <v>2359</v>
      </c>
      <c r="V202" s="211">
        <v>1</v>
      </c>
      <c r="W202" s="24" t="s">
        <v>448</v>
      </c>
      <c r="X202" s="24" t="s">
        <v>448</v>
      </c>
      <c r="Y202" s="30">
        <v>4</v>
      </c>
      <c r="Z202" s="30"/>
      <c r="AA202" s="30">
        <v>4</v>
      </c>
      <c r="AB202" s="59"/>
      <c r="AC202" s="59"/>
      <c r="AD202" s="35" t="s">
        <v>1104</v>
      </c>
      <c r="AE202" s="202" t="s">
        <v>19</v>
      </c>
      <c r="AF202" s="35" t="s">
        <v>1880</v>
      </c>
      <c r="AG202" s="1161"/>
    </row>
    <row r="203" spans="1:33" s="11" customFormat="1" ht="26.25" customHeight="1" x14ac:dyDescent="0.15">
      <c r="A203" s="8">
        <f t="shared" si="0"/>
        <v>201</v>
      </c>
      <c r="B203" s="36" t="s">
        <v>8318</v>
      </c>
      <c r="C203" s="26" t="s">
        <v>19</v>
      </c>
      <c r="D203" s="26" t="s">
        <v>19</v>
      </c>
      <c r="E203" s="26" t="s">
        <v>19</v>
      </c>
      <c r="F203" s="29" t="s">
        <v>438</v>
      </c>
      <c r="G203" s="53" t="s">
        <v>5092</v>
      </c>
      <c r="H203" s="1161" t="s">
        <v>4195</v>
      </c>
      <c r="I203" s="1161" t="s">
        <v>4196</v>
      </c>
      <c r="J203" s="1161" t="s">
        <v>8301</v>
      </c>
      <c r="K203" s="22" t="s">
        <v>8308</v>
      </c>
      <c r="L203" s="1162" t="s">
        <v>1826</v>
      </c>
      <c r="M203" s="1162" t="s">
        <v>111</v>
      </c>
      <c r="N203" s="1161" t="s">
        <v>1131</v>
      </c>
      <c r="O203" s="151" t="s">
        <v>7451</v>
      </c>
      <c r="P203" s="22" t="s">
        <v>1880</v>
      </c>
      <c r="Q203" s="1161" t="s">
        <v>2072</v>
      </c>
      <c r="R203" s="1161" t="s">
        <v>2072</v>
      </c>
      <c r="S203" s="24" t="s">
        <v>8262</v>
      </c>
      <c r="T203" s="90" t="s">
        <v>8297</v>
      </c>
      <c r="U203" s="211" t="s">
        <v>2359</v>
      </c>
      <c r="V203" s="211">
        <v>1</v>
      </c>
      <c r="W203" s="24" t="s">
        <v>448</v>
      </c>
      <c r="X203" s="24" t="s">
        <v>448</v>
      </c>
      <c r="Y203" s="30">
        <v>4</v>
      </c>
      <c r="Z203" s="30"/>
      <c r="AA203" s="30">
        <v>4</v>
      </c>
      <c r="AB203" s="59"/>
      <c r="AC203" s="59"/>
      <c r="AD203" s="35" t="s">
        <v>1104</v>
      </c>
      <c r="AE203" s="202" t="s">
        <v>19</v>
      </c>
      <c r="AF203" s="35" t="s">
        <v>1880</v>
      </c>
      <c r="AG203" s="1161"/>
    </row>
    <row r="204" spans="1:33" s="11" customFormat="1" ht="26.25" customHeight="1" x14ac:dyDescent="0.15">
      <c r="A204" s="8">
        <f t="shared" si="0"/>
        <v>202</v>
      </c>
      <c r="B204" s="36" t="s">
        <v>8319</v>
      </c>
      <c r="C204" s="26" t="s">
        <v>19</v>
      </c>
      <c r="D204" s="26" t="s">
        <v>19</v>
      </c>
      <c r="E204" s="26" t="s">
        <v>19</v>
      </c>
      <c r="F204" s="29" t="s">
        <v>8320</v>
      </c>
      <c r="G204" s="53" t="s">
        <v>5092</v>
      </c>
      <c r="H204" s="1161" t="s">
        <v>4195</v>
      </c>
      <c r="I204" s="1161" t="s">
        <v>4196</v>
      </c>
      <c r="J204" s="1161" t="s">
        <v>8309</v>
      </c>
      <c r="K204" s="22" t="s">
        <v>4780</v>
      </c>
      <c r="L204" s="1162" t="s">
        <v>1826</v>
      </c>
      <c r="M204" s="1162" t="s">
        <v>111</v>
      </c>
      <c r="N204" s="1161" t="s">
        <v>1131</v>
      </c>
      <c r="O204" s="151" t="s">
        <v>7451</v>
      </c>
      <c r="P204" s="22" t="s">
        <v>1880</v>
      </c>
      <c r="Q204" s="1161" t="s">
        <v>2072</v>
      </c>
      <c r="R204" s="1161" t="s">
        <v>2072</v>
      </c>
      <c r="S204" s="24" t="s">
        <v>8262</v>
      </c>
      <c r="T204" s="90" t="s">
        <v>8297</v>
      </c>
      <c r="U204" s="211" t="s">
        <v>2359</v>
      </c>
      <c r="V204" s="211">
        <v>1</v>
      </c>
      <c r="W204" s="24" t="s">
        <v>448</v>
      </c>
      <c r="X204" s="24" t="s">
        <v>448</v>
      </c>
      <c r="Y204" s="30">
        <v>4</v>
      </c>
      <c r="Z204" s="30"/>
      <c r="AA204" s="30">
        <v>4</v>
      </c>
      <c r="AB204" s="59"/>
      <c r="AC204" s="59"/>
      <c r="AD204" s="35" t="s">
        <v>1104</v>
      </c>
      <c r="AE204" s="202" t="s">
        <v>19</v>
      </c>
      <c r="AF204" s="35" t="s">
        <v>1880</v>
      </c>
      <c r="AG204" s="1161"/>
    </row>
    <row r="205" spans="1:33" s="11" customFormat="1" ht="26.25" customHeight="1" x14ac:dyDescent="0.15">
      <c r="A205" s="8">
        <f t="shared" si="0"/>
        <v>203</v>
      </c>
      <c r="B205" s="36" t="s">
        <v>8321</v>
      </c>
      <c r="C205" s="26" t="s">
        <v>19</v>
      </c>
      <c r="D205" s="26" t="s">
        <v>19</v>
      </c>
      <c r="E205" s="26" t="s">
        <v>19</v>
      </c>
      <c r="F205" s="29" t="s">
        <v>6520</v>
      </c>
      <c r="G205" s="53" t="s">
        <v>5092</v>
      </c>
      <c r="H205" s="1161" t="s">
        <v>4195</v>
      </c>
      <c r="I205" s="1161" t="s">
        <v>4196</v>
      </c>
      <c r="J205" s="1161" t="s">
        <v>8310</v>
      </c>
      <c r="K205" s="22" t="s">
        <v>8311</v>
      </c>
      <c r="L205" s="1162" t="s">
        <v>1826</v>
      </c>
      <c r="M205" s="1162" t="s">
        <v>111</v>
      </c>
      <c r="N205" s="1161" t="s">
        <v>1131</v>
      </c>
      <c r="O205" s="151" t="s">
        <v>7451</v>
      </c>
      <c r="P205" s="22" t="s">
        <v>1880</v>
      </c>
      <c r="Q205" s="1161" t="s">
        <v>2072</v>
      </c>
      <c r="R205" s="1161" t="s">
        <v>2072</v>
      </c>
      <c r="S205" s="24" t="s">
        <v>8262</v>
      </c>
      <c r="T205" s="90" t="s">
        <v>8297</v>
      </c>
      <c r="U205" s="211" t="s">
        <v>2359</v>
      </c>
      <c r="V205" s="211">
        <v>1</v>
      </c>
      <c r="W205" s="24" t="s">
        <v>448</v>
      </c>
      <c r="X205" s="24" t="s">
        <v>448</v>
      </c>
      <c r="Y205" s="30">
        <v>4</v>
      </c>
      <c r="Z205" s="30"/>
      <c r="AA205" s="30">
        <v>4</v>
      </c>
      <c r="AB205" s="59"/>
      <c r="AC205" s="59"/>
      <c r="AD205" s="35" t="s">
        <v>1104</v>
      </c>
      <c r="AE205" s="202" t="s">
        <v>19</v>
      </c>
      <c r="AF205" s="35" t="s">
        <v>1880</v>
      </c>
      <c r="AG205" s="1161"/>
    </row>
    <row r="206" spans="1:33" s="11" customFormat="1" ht="26.25" customHeight="1" x14ac:dyDescent="0.15">
      <c r="A206" s="8">
        <f t="shared" si="0"/>
        <v>204</v>
      </c>
      <c r="B206" s="36" t="s">
        <v>8322</v>
      </c>
      <c r="C206" s="26" t="s">
        <v>19</v>
      </c>
      <c r="D206" s="26" t="s">
        <v>19</v>
      </c>
      <c r="E206" s="26" t="s">
        <v>19</v>
      </c>
      <c r="F206" s="29" t="s">
        <v>5922</v>
      </c>
      <c r="G206" s="53" t="s">
        <v>5092</v>
      </c>
      <c r="H206" s="1161" t="s">
        <v>4195</v>
      </c>
      <c r="I206" s="1161" t="s">
        <v>4196</v>
      </c>
      <c r="J206" s="1161" t="s">
        <v>8312</v>
      </c>
      <c r="K206" s="22" t="s">
        <v>6872</v>
      </c>
      <c r="L206" s="1162" t="s">
        <v>1826</v>
      </c>
      <c r="M206" s="1162" t="s">
        <v>111</v>
      </c>
      <c r="N206" s="1161" t="s">
        <v>1131</v>
      </c>
      <c r="O206" s="151" t="s">
        <v>7451</v>
      </c>
      <c r="P206" s="22" t="s">
        <v>1880</v>
      </c>
      <c r="Q206" s="1161" t="s">
        <v>2072</v>
      </c>
      <c r="R206" s="1161" t="s">
        <v>2072</v>
      </c>
      <c r="S206" s="24" t="s">
        <v>8262</v>
      </c>
      <c r="T206" s="90" t="s">
        <v>8297</v>
      </c>
      <c r="U206" s="211" t="s">
        <v>2359</v>
      </c>
      <c r="V206" s="211">
        <v>1</v>
      </c>
      <c r="W206" s="24" t="s">
        <v>448</v>
      </c>
      <c r="X206" s="24" t="s">
        <v>448</v>
      </c>
      <c r="Y206" s="30">
        <v>4</v>
      </c>
      <c r="Z206" s="30"/>
      <c r="AA206" s="30">
        <v>4</v>
      </c>
      <c r="AB206" s="59"/>
      <c r="AC206" s="59"/>
      <c r="AD206" s="35" t="s">
        <v>1104</v>
      </c>
      <c r="AE206" s="202" t="s">
        <v>19</v>
      </c>
      <c r="AF206" s="35" t="s">
        <v>1880</v>
      </c>
      <c r="AG206" s="1161"/>
    </row>
    <row r="207" spans="1:33" s="11" customFormat="1" ht="26.25" customHeight="1" x14ac:dyDescent="0.15">
      <c r="A207" s="8">
        <f t="shared" si="0"/>
        <v>205</v>
      </c>
      <c r="B207" s="36" t="s">
        <v>8323</v>
      </c>
      <c r="C207" s="26" t="s">
        <v>19</v>
      </c>
      <c r="D207" s="26" t="s">
        <v>19</v>
      </c>
      <c r="E207" s="26" t="s">
        <v>19</v>
      </c>
      <c r="F207" s="29" t="s">
        <v>7310</v>
      </c>
      <c r="G207" s="53" t="s">
        <v>5092</v>
      </c>
      <c r="H207" s="1161" t="s">
        <v>4195</v>
      </c>
      <c r="I207" s="1161" t="s">
        <v>4196</v>
      </c>
      <c r="J207" s="1161" t="s">
        <v>8313</v>
      </c>
      <c r="K207" s="22" t="s">
        <v>7306</v>
      </c>
      <c r="L207" s="1162" t="s">
        <v>1826</v>
      </c>
      <c r="M207" s="1162" t="s">
        <v>111</v>
      </c>
      <c r="N207" s="1161" t="s">
        <v>1131</v>
      </c>
      <c r="O207" s="151" t="s">
        <v>7451</v>
      </c>
      <c r="P207" s="22" t="s">
        <v>1880</v>
      </c>
      <c r="Q207" s="1161" t="s">
        <v>2072</v>
      </c>
      <c r="R207" s="1161" t="s">
        <v>2072</v>
      </c>
      <c r="S207" s="24" t="s">
        <v>8262</v>
      </c>
      <c r="T207" s="90" t="s">
        <v>8297</v>
      </c>
      <c r="U207" s="211" t="s">
        <v>2359</v>
      </c>
      <c r="V207" s="211">
        <v>1</v>
      </c>
      <c r="W207" s="24" t="s">
        <v>448</v>
      </c>
      <c r="X207" s="24" t="s">
        <v>448</v>
      </c>
      <c r="Y207" s="30">
        <v>4</v>
      </c>
      <c r="Z207" s="30"/>
      <c r="AA207" s="30">
        <v>4</v>
      </c>
      <c r="AB207" s="59"/>
      <c r="AC207" s="59"/>
      <c r="AD207" s="35" t="s">
        <v>1104</v>
      </c>
      <c r="AE207" s="202" t="s">
        <v>19</v>
      </c>
      <c r="AF207" s="35" t="s">
        <v>1880</v>
      </c>
      <c r="AG207" s="1161"/>
    </row>
    <row r="208" spans="1:33" s="11" customFormat="1" ht="26.25" customHeight="1" x14ac:dyDescent="0.15">
      <c r="A208" s="8">
        <f t="shared" si="0"/>
        <v>206</v>
      </c>
      <c r="B208" s="36" t="s">
        <v>8324</v>
      </c>
      <c r="C208" s="26" t="s">
        <v>19</v>
      </c>
      <c r="D208" s="26" t="s">
        <v>19</v>
      </c>
      <c r="E208" s="26" t="s">
        <v>19</v>
      </c>
      <c r="F208" s="29" t="s">
        <v>7311</v>
      </c>
      <c r="G208" s="53" t="s">
        <v>5092</v>
      </c>
      <c r="H208" s="1161" t="s">
        <v>4195</v>
      </c>
      <c r="I208" s="1161" t="s">
        <v>4196</v>
      </c>
      <c r="J208" s="1161" t="s">
        <v>8302</v>
      </c>
      <c r="K208" s="22" t="s">
        <v>7308</v>
      </c>
      <c r="L208" s="1162" t="s">
        <v>1826</v>
      </c>
      <c r="M208" s="1162" t="s">
        <v>111</v>
      </c>
      <c r="N208" s="1161" t="s">
        <v>1131</v>
      </c>
      <c r="O208" s="151" t="s">
        <v>7451</v>
      </c>
      <c r="P208" s="22" t="s">
        <v>1880</v>
      </c>
      <c r="Q208" s="1161" t="s">
        <v>2072</v>
      </c>
      <c r="R208" s="1161" t="s">
        <v>2072</v>
      </c>
      <c r="S208" s="24" t="s">
        <v>8262</v>
      </c>
      <c r="T208" s="90" t="s">
        <v>8297</v>
      </c>
      <c r="U208" s="211" t="s">
        <v>2359</v>
      </c>
      <c r="V208" s="211">
        <v>1</v>
      </c>
      <c r="W208" s="24" t="s">
        <v>448</v>
      </c>
      <c r="X208" s="24" t="s">
        <v>448</v>
      </c>
      <c r="Y208" s="30">
        <v>4</v>
      </c>
      <c r="Z208" s="30"/>
      <c r="AA208" s="30">
        <v>4</v>
      </c>
      <c r="AB208" s="59"/>
      <c r="AC208" s="59"/>
      <c r="AD208" s="35" t="s">
        <v>1104</v>
      </c>
      <c r="AE208" s="202" t="s">
        <v>19</v>
      </c>
      <c r="AF208" s="35" t="s">
        <v>1880</v>
      </c>
      <c r="AG208" s="1161"/>
    </row>
    <row r="209" spans="1:33" s="11" customFormat="1" ht="26.25" customHeight="1" x14ac:dyDescent="0.15">
      <c r="A209" s="8">
        <f t="shared" si="0"/>
        <v>207</v>
      </c>
      <c r="B209" s="36" t="s">
        <v>8337</v>
      </c>
      <c r="C209" s="26" t="s">
        <v>19</v>
      </c>
      <c r="D209" s="26" t="s">
        <v>19</v>
      </c>
      <c r="E209" s="26" t="s">
        <v>19</v>
      </c>
      <c r="F209" s="29" t="s">
        <v>8338</v>
      </c>
      <c r="G209" s="53" t="s">
        <v>5092</v>
      </c>
      <c r="H209" s="1164" t="s">
        <v>5374</v>
      </c>
      <c r="I209" s="1164" t="s">
        <v>4196</v>
      </c>
      <c r="J209" s="1164" t="s">
        <v>8339</v>
      </c>
      <c r="K209" s="22" t="s">
        <v>8340</v>
      </c>
      <c r="L209" s="1165" t="s">
        <v>1826</v>
      </c>
      <c r="M209" s="1165" t="s">
        <v>111</v>
      </c>
      <c r="N209" s="1164" t="s">
        <v>2848</v>
      </c>
      <c r="O209" s="54" t="s">
        <v>1739</v>
      </c>
      <c r="P209" s="22" t="s">
        <v>1880</v>
      </c>
      <c r="Q209" s="1159" t="s">
        <v>3591</v>
      </c>
      <c r="R209" s="1164" t="s">
        <v>3591</v>
      </c>
      <c r="S209" s="24" t="s">
        <v>8341</v>
      </c>
      <c r="T209" s="271" t="s">
        <v>8267</v>
      </c>
      <c r="U209" s="211" t="s">
        <v>2359</v>
      </c>
      <c r="V209" s="211">
        <v>1</v>
      </c>
      <c r="W209" s="24" t="s">
        <v>448</v>
      </c>
      <c r="X209" s="24" t="s">
        <v>448</v>
      </c>
      <c r="Y209" s="30">
        <v>1.59</v>
      </c>
      <c r="Z209" s="30"/>
      <c r="AA209" s="30">
        <v>1.59</v>
      </c>
      <c r="AB209" s="59"/>
      <c r="AC209" s="59"/>
      <c r="AD209" s="35" t="s">
        <v>1104</v>
      </c>
      <c r="AE209" s="202" t="s">
        <v>19</v>
      </c>
      <c r="AF209" s="35" t="s">
        <v>1880</v>
      </c>
      <c r="AG209" s="1159"/>
    </row>
    <row r="210" spans="1:33" s="11" customFormat="1" ht="26.25" customHeight="1" x14ac:dyDescent="0.15">
      <c r="A210" s="8">
        <f t="shared" si="0"/>
        <v>208</v>
      </c>
      <c r="B210" s="36" t="s">
        <v>8462</v>
      </c>
      <c r="C210" s="26" t="s">
        <v>19</v>
      </c>
      <c r="D210" s="26" t="s">
        <v>19</v>
      </c>
      <c r="E210" s="26" t="s">
        <v>19</v>
      </c>
      <c r="F210" s="29" t="s">
        <v>2532</v>
      </c>
      <c r="G210" s="53" t="s">
        <v>8461</v>
      </c>
      <c r="H210" s="1168" t="s">
        <v>1449</v>
      </c>
      <c r="I210" s="1168" t="s">
        <v>177</v>
      </c>
      <c r="J210" s="1168" t="s">
        <v>8343</v>
      </c>
      <c r="K210" s="22" t="s">
        <v>6271</v>
      </c>
      <c r="L210" s="1167" t="s">
        <v>1826</v>
      </c>
      <c r="M210" s="1167" t="s">
        <v>111</v>
      </c>
      <c r="N210" s="1166" t="s">
        <v>1131</v>
      </c>
      <c r="O210" s="151" t="s">
        <v>1819</v>
      </c>
      <c r="P210" s="22" t="s">
        <v>1880</v>
      </c>
      <c r="Q210" s="1159" t="s">
        <v>2072</v>
      </c>
      <c r="R210" s="1159" t="s">
        <v>2072</v>
      </c>
      <c r="S210" s="24" t="s">
        <v>8342</v>
      </c>
      <c r="T210" s="271" t="s">
        <v>8354</v>
      </c>
      <c r="U210" s="211" t="s">
        <v>2359</v>
      </c>
      <c r="V210" s="211">
        <v>1</v>
      </c>
      <c r="W210" s="24" t="s">
        <v>7074</v>
      </c>
      <c r="X210" s="24" t="s">
        <v>6545</v>
      </c>
      <c r="Y210" s="30"/>
      <c r="Z210" s="30">
        <v>8</v>
      </c>
      <c r="AA210" s="30">
        <v>8</v>
      </c>
      <c r="AB210" s="59"/>
      <c r="AC210" s="59"/>
      <c r="AD210" s="35" t="s">
        <v>1104</v>
      </c>
      <c r="AE210" s="202" t="s">
        <v>19</v>
      </c>
      <c r="AF210" s="35" t="s">
        <v>1880</v>
      </c>
      <c r="AG210" s="1159"/>
    </row>
    <row r="211" spans="1:33" s="11" customFormat="1" ht="26.25" customHeight="1" x14ac:dyDescent="0.15">
      <c r="A211" s="8">
        <f t="shared" si="0"/>
        <v>209</v>
      </c>
      <c r="B211" s="36" t="s">
        <v>8344</v>
      </c>
      <c r="C211" s="26" t="s">
        <v>19</v>
      </c>
      <c r="D211" s="26" t="s">
        <v>19</v>
      </c>
      <c r="E211" s="26" t="s">
        <v>19</v>
      </c>
      <c r="F211" s="29" t="s">
        <v>6248</v>
      </c>
      <c r="G211" s="53" t="s">
        <v>8351</v>
      </c>
      <c r="H211" s="1169" t="s">
        <v>4195</v>
      </c>
      <c r="I211" s="1169" t="s">
        <v>4728</v>
      </c>
      <c r="J211" s="1169" t="s">
        <v>5399</v>
      </c>
      <c r="K211" s="22" t="s">
        <v>6250</v>
      </c>
      <c r="L211" s="22" t="s">
        <v>5431</v>
      </c>
      <c r="M211" s="1171" t="s">
        <v>1860</v>
      </c>
      <c r="N211" s="1170" t="s">
        <v>1131</v>
      </c>
      <c r="O211" s="151" t="s">
        <v>7451</v>
      </c>
      <c r="P211" s="22" t="s">
        <v>1880</v>
      </c>
      <c r="Q211" s="1170" t="s">
        <v>1151</v>
      </c>
      <c r="R211" s="1170" t="s">
        <v>1151</v>
      </c>
      <c r="S211" s="24" t="s">
        <v>8350</v>
      </c>
      <c r="T211" s="90" t="s">
        <v>8341</v>
      </c>
      <c r="U211" s="24" t="s">
        <v>2359</v>
      </c>
      <c r="V211" s="24">
        <v>2</v>
      </c>
      <c r="W211" s="24" t="s">
        <v>448</v>
      </c>
      <c r="X211" s="24" t="s">
        <v>448</v>
      </c>
      <c r="Y211" s="30">
        <v>2.8</v>
      </c>
      <c r="Z211" s="30"/>
      <c r="AA211" s="30">
        <v>2.8</v>
      </c>
      <c r="AB211" s="59"/>
      <c r="AC211" s="59"/>
      <c r="AD211" s="35" t="s">
        <v>1104</v>
      </c>
      <c r="AE211" s="202" t="s">
        <v>19</v>
      </c>
      <c r="AF211" s="35" t="s">
        <v>1880</v>
      </c>
      <c r="AG211" s="1170"/>
    </row>
    <row r="212" spans="1:33" s="11" customFormat="1" ht="26.25" customHeight="1" x14ac:dyDescent="0.15">
      <c r="A212" s="8">
        <f t="shared" si="0"/>
        <v>210</v>
      </c>
      <c r="B212" s="36" t="s">
        <v>8345</v>
      </c>
      <c r="C212" s="26" t="s">
        <v>19</v>
      </c>
      <c r="D212" s="26" t="s">
        <v>19</v>
      </c>
      <c r="E212" s="26" t="s">
        <v>19</v>
      </c>
      <c r="F212" s="29" t="s">
        <v>6231</v>
      </c>
      <c r="G212" s="53" t="s">
        <v>8352</v>
      </c>
      <c r="H212" s="1169" t="s">
        <v>4195</v>
      </c>
      <c r="I212" s="1170" t="s">
        <v>4728</v>
      </c>
      <c r="J212" s="1169" t="s">
        <v>6233</v>
      </c>
      <c r="K212" s="22" t="s">
        <v>6236</v>
      </c>
      <c r="L212" s="22" t="s">
        <v>5431</v>
      </c>
      <c r="M212" s="1171" t="s">
        <v>3504</v>
      </c>
      <c r="N212" s="216" t="s">
        <v>25</v>
      </c>
      <c r="O212" s="151" t="s">
        <v>7451</v>
      </c>
      <c r="P212" s="22" t="s">
        <v>1880</v>
      </c>
      <c r="Q212" s="1170" t="s">
        <v>1151</v>
      </c>
      <c r="R212" s="1170" t="s">
        <v>1151</v>
      </c>
      <c r="S212" s="24" t="s">
        <v>8350</v>
      </c>
      <c r="T212" s="90" t="s">
        <v>8341</v>
      </c>
      <c r="U212" s="24" t="s">
        <v>2359</v>
      </c>
      <c r="V212" s="24">
        <v>2</v>
      </c>
      <c r="W212" s="24" t="s">
        <v>448</v>
      </c>
      <c r="X212" s="24" t="s">
        <v>448</v>
      </c>
      <c r="Y212" s="30">
        <v>2.8</v>
      </c>
      <c r="Z212" s="30"/>
      <c r="AA212" s="30">
        <v>2.8</v>
      </c>
      <c r="AB212" s="59"/>
      <c r="AC212" s="59"/>
      <c r="AD212" s="35" t="s">
        <v>1104</v>
      </c>
      <c r="AE212" s="202" t="s">
        <v>19</v>
      </c>
      <c r="AF212" s="35" t="s">
        <v>1880</v>
      </c>
      <c r="AG212" s="1170"/>
    </row>
    <row r="213" spans="1:33" s="11" customFormat="1" ht="26.25" customHeight="1" x14ac:dyDescent="0.15">
      <c r="A213" s="8">
        <f t="shared" si="0"/>
        <v>211</v>
      </c>
      <c r="B213" s="36" t="s">
        <v>8346</v>
      </c>
      <c r="C213" s="26" t="s">
        <v>19</v>
      </c>
      <c r="D213" s="26" t="s">
        <v>19</v>
      </c>
      <c r="E213" s="26" t="s">
        <v>19</v>
      </c>
      <c r="F213" s="29" t="s">
        <v>5671</v>
      </c>
      <c r="G213" s="53" t="s">
        <v>8353</v>
      </c>
      <c r="H213" s="1170" t="s">
        <v>4195</v>
      </c>
      <c r="I213" s="1170" t="s">
        <v>4728</v>
      </c>
      <c r="J213" s="1170" t="s">
        <v>5673</v>
      </c>
      <c r="K213" s="22" t="s">
        <v>5674</v>
      </c>
      <c r="L213" s="22" t="s">
        <v>5478</v>
      </c>
      <c r="M213" s="1171" t="s">
        <v>8359</v>
      </c>
      <c r="N213" s="1170" t="s">
        <v>4676</v>
      </c>
      <c r="O213" s="151" t="s">
        <v>7451</v>
      </c>
      <c r="P213" s="22" t="s">
        <v>1880</v>
      </c>
      <c r="Q213" s="1170" t="s">
        <v>1151</v>
      </c>
      <c r="R213" s="1170" t="s">
        <v>1151</v>
      </c>
      <c r="S213" s="24" t="s">
        <v>8350</v>
      </c>
      <c r="T213" s="90" t="s">
        <v>8354</v>
      </c>
      <c r="U213" s="24" t="s">
        <v>2359</v>
      </c>
      <c r="V213" s="24">
        <v>2</v>
      </c>
      <c r="W213" s="24" t="s">
        <v>448</v>
      </c>
      <c r="X213" s="24" t="s">
        <v>448</v>
      </c>
      <c r="Y213" s="30">
        <v>2.8</v>
      </c>
      <c r="Z213" s="30"/>
      <c r="AA213" s="30">
        <v>2.8</v>
      </c>
      <c r="AB213" s="59"/>
      <c r="AC213" s="59"/>
      <c r="AD213" s="35" t="s">
        <v>1104</v>
      </c>
      <c r="AE213" s="202" t="s">
        <v>19</v>
      </c>
      <c r="AF213" s="35" t="s">
        <v>1880</v>
      </c>
      <c r="AG213" s="1170"/>
    </row>
    <row r="214" spans="1:33" s="11" customFormat="1" ht="26.25" customHeight="1" x14ac:dyDescent="0.15">
      <c r="A214" s="8">
        <f t="shared" si="0"/>
        <v>212</v>
      </c>
      <c r="B214" s="36" t="s">
        <v>8347</v>
      </c>
      <c r="C214" s="26" t="s">
        <v>19</v>
      </c>
      <c r="D214" s="26" t="s">
        <v>19</v>
      </c>
      <c r="E214" s="26" t="s">
        <v>19</v>
      </c>
      <c r="F214" s="29" t="s">
        <v>3979</v>
      </c>
      <c r="G214" s="53" t="s">
        <v>8355</v>
      </c>
      <c r="H214" s="1169" t="s">
        <v>4195</v>
      </c>
      <c r="I214" s="1170" t="s">
        <v>4728</v>
      </c>
      <c r="J214" s="1169" t="s">
        <v>5406</v>
      </c>
      <c r="K214" s="22" t="s">
        <v>6241</v>
      </c>
      <c r="L214" s="22" t="s">
        <v>5478</v>
      </c>
      <c r="M214" s="1171" t="s">
        <v>8358</v>
      </c>
      <c r="N214" s="1170" t="s">
        <v>4676</v>
      </c>
      <c r="O214" s="151" t="s">
        <v>7451</v>
      </c>
      <c r="P214" s="22" t="s">
        <v>1880</v>
      </c>
      <c r="Q214" s="1170" t="s">
        <v>1151</v>
      </c>
      <c r="R214" s="1170" t="s">
        <v>1151</v>
      </c>
      <c r="S214" s="24" t="s">
        <v>8350</v>
      </c>
      <c r="T214" s="90" t="s">
        <v>8354</v>
      </c>
      <c r="U214" s="24" t="s">
        <v>2359</v>
      </c>
      <c r="V214" s="24">
        <v>2</v>
      </c>
      <c r="W214" s="24" t="s">
        <v>448</v>
      </c>
      <c r="X214" s="24" t="s">
        <v>448</v>
      </c>
      <c r="Y214" s="30">
        <v>2.8</v>
      </c>
      <c r="Z214" s="30"/>
      <c r="AA214" s="30">
        <v>2.8</v>
      </c>
      <c r="AB214" s="59"/>
      <c r="AC214" s="59"/>
      <c r="AD214" s="35" t="s">
        <v>1104</v>
      </c>
      <c r="AE214" s="202" t="s">
        <v>19</v>
      </c>
      <c r="AF214" s="35" t="s">
        <v>1880</v>
      </c>
      <c r="AG214" s="1170"/>
    </row>
    <row r="215" spans="1:33" s="11" customFormat="1" ht="26.25" customHeight="1" x14ac:dyDescent="0.15">
      <c r="A215" s="8">
        <f t="shared" si="0"/>
        <v>213</v>
      </c>
      <c r="B215" s="36" t="s">
        <v>8348</v>
      </c>
      <c r="C215" s="26" t="s">
        <v>19</v>
      </c>
      <c r="D215" s="26" t="s">
        <v>19</v>
      </c>
      <c r="E215" s="26" t="s">
        <v>19</v>
      </c>
      <c r="F215" s="29" t="s">
        <v>3979</v>
      </c>
      <c r="G215" s="53" t="s">
        <v>8356</v>
      </c>
      <c r="H215" s="1170" t="s">
        <v>4195</v>
      </c>
      <c r="I215" s="1170" t="s">
        <v>4728</v>
      </c>
      <c r="J215" s="1170" t="s">
        <v>7603</v>
      </c>
      <c r="K215" s="22" t="s">
        <v>1138</v>
      </c>
      <c r="L215" s="1171" t="s">
        <v>1826</v>
      </c>
      <c r="M215" s="1171" t="s">
        <v>8357</v>
      </c>
      <c r="N215" s="1170" t="s">
        <v>1131</v>
      </c>
      <c r="O215" s="151" t="s">
        <v>7451</v>
      </c>
      <c r="P215" s="22" t="s">
        <v>1880</v>
      </c>
      <c r="Q215" s="1170" t="s">
        <v>1151</v>
      </c>
      <c r="R215" s="1170" t="s">
        <v>1151</v>
      </c>
      <c r="S215" s="24" t="s">
        <v>8350</v>
      </c>
      <c r="T215" s="90" t="s">
        <v>8354</v>
      </c>
      <c r="U215" s="24" t="s">
        <v>2359</v>
      </c>
      <c r="V215" s="24">
        <v>2</v>
      </c>
      <c r="W215" s="24" t="s">
        <v>448</v>
      </c>
      <c r="X215" s="24" t="s">
        <v>448</v>
      </c>
      <c r="Y215" s="30">
        <v>2.8</v>
      </c>
      <c r="Z215" s="30"/>
      <c r="AA215" s="30">
        <v>2.8</v>
      </c>
      <c r="AB215" s="59"/>
      <c r="AC215" s="59"/>
      <c r="AD215" s="35" t="s">
        <v>1104</v>
      </c>
      <c r="AE215" s="202" t="s">
        <v>19</v>
      </c>
      <c r="AF215" s="35" t="s">
        <v>1880</v>
      </c>
      <c r="AG215" s="1170"/>
    </row>
    <row r="216" spans="1:33" s="11" customFormat="1" ht="27" customHeight="1" x14ac:dyDescent="0.15">
      <c r="A216" s="8">
        <f t="shared" si="0"/>
        <v>214</v>
      </c>
      <c r="B216" s="36" t="s">
        <v>8349</v>
      </c>
      <c r="C216" s="26" t="s">
        <v>19</v>
      </c>
      <c r="D216" s="26" t="s">
        <v>19</v>
      </c>
      <c r="E216" s="26" t="s">
        <v>19</v>
      </c>
      <c r="F216" s="29" t="s">
        <v>5939</v>
      </c>
      <c r="G216" s="53" t="s">
        <v>8360</v>
      </c>
      <c r="H216" s="1169" t="s">
        <v>2475</v>
      </c>
      <c r="I216" s="302" t="s">
        <v>1789</v>
      </c>
      <c r="J216" s="1169" t="s">
        <v>3902</v>
      </c>
      <c r="K216" s="1171" t="s">
        <v>4780</v>
      </c>
      <c r="L216" s="22" t="s">
        <v>5431</v>
      </c>
      <c r="M216" s="1171" t="s">
        <v>1880</v>
      </c>
      <c r="N216" s="1170" t="s">
        <v>1131</v>
      </c>
      <c r="O216" s="54" t="s">
        <v>1819</v>
      </c>
      <c r="P216" s="22" t="s">
        <v>1880</v>
      </c>
      <c r="Q216" s="1170" t="s">
        <v>1785</v>
      </c>
      <c r="R216" s="1170" t="s">
        <v>1785</v>
      </c>
      <c r="S216" s="24" t="s">
        <v>8350</v>
      </c>
      <c r="T216" s="90" t="s">
        <v>8361</v>
      </c>
      <c r="U216" s="24" t="s">
        <v>2359</v>
      </c>
      <c r="V216" s="24">
        <v>1</v>
      </c>
      <c r="W216" s="24" t="s">
        <v>8361</v>
      </c>
      <c r="X216" s="24" t="s">
        <v>8362</v>
      </c>
      <c r="Y216" s="30"/>
      <c r="Z216" s="30">
        <v>9.6999999999999993</v>
      </c>
      <c r="AA216" s="30">
        <v>9.6999999999999993</v>
      </c>
      <c r="AB216" s="59"/>
      <c r="AC216" s="59"/>
      <c r="AD216" s="35" t="s">
        <v>1104</v>
      </c>
      <c r="AE216" s="202" t="s">
        <v>19</v>
      </c>
      <c r="AF216" s="35" t="s">
        <v>1880</v>
      </c>
      <c r="AG216" s="1170"/>
    </row>
    <row r="217" spans="1:33" s="11" customFormat="1" ht="26.25" customHeight="1" x14ac:dyDescent="0.15">
      <c r="A217" s="8">
        <f t="shared" si="0"/>
        <v>215</v>
      </c>
      <c r="B217" s="36" t="s">
        <v>8363</v>
      </c>
      <c r="C217" s="26" t="s">
        <v>19</v>
      </c>
      <c r="D217" s="26" t="s">
        <v>19</v>
      </c>
      <c r="E217" s="26" t="s">
        <v>19</v>
      </c>
      <c r="F217" s="29" t="s">
        <v>6446</v>
      </c>
      <c r="G217" s="53" t="s">
        <v>8373</v>
      </c>
      <c r="H217" s="1175" t="s">
        <v>4195</v>
      </c>
      <c r="I217" s="1175" t="s">
        <v>4750</v>
      </c>
      <c r="J217" s="37" t="s">
        <v>6447</v>
      </c>
      <c r="K217" s="1175" t="s">
        <v>4780</v>
      </c>
      <c r="L217" s="22" t="s">
        <v>1826</v>
      </c>
      <c r="M217" s="1175" t="s">
        <v>111</v>
      </c>
      <c r="N217" s="1174" t="s">
        <v>2848</v>
      </c>
      <c r="O217" s="54" t="s">
        <v>1739</v>
      </c>
      <c r="P217" s="22" t="s">
        <v>1880</v>
      </c>
      <c r="Q217" s="1174" t="s">
        <v>1894</v>
      </c>
      <c r="R217" s="1174" t="s">
        <v>1894</v>
      </c>
      <c r="S217" s="24" t="s">
        <v>8374</v>
      </c>
      <c r="T217" s="90" t="s">
        <v>8375</v>
      </c>
      <c r="U217" s="10" t="s">
        <v>1800</v>
      </c>
      <c r="V217" s="10">
        <v>1</v>
      </c>
      <c r="W217" s="24" t="s">
        <v>448</v>
      </c>
      <c r="X217" s="24" t="s">
        <v>448</v>
      </c>
      <c r="Y217" s="30">
        <v>0.6</v>
      </c>
      <c r="Z217" s="30"/>
      <c r="AA217" s="30">
        <v>0.6</v>
      </c>
      <c r="AB217" s="59"/>
      <c r="AC217" s="59"/>
      <c r="AD217" s="35" t="s">
        <v>1104</v>
      </c>
      <c r="AE217" s="202" t="s">
        <v>19</v>
      </c>
      <c r="AF217" s="35" t="s">
        <v>1880</v>
      </c>
      <c r="AG217" s="1174"/>
    </row>
    <row r="218" spans="1:33" s="11" customFormat="1" ht="26.25" customHeight="1" x14ac:dyDescent="0.15">
      <c r="A218" s="8">
        <f t="shared" si="0"/>
        <v>216</v>
      </c>
      <c r="B218" s="36" t="s">
        <v>8364</v>
      </c>
      <c r="C218" s="26" t="s">
        <v>19</v>
      </c>
      <c r="D218" s="26" t="s">
        <v>19</v>
      </c>
      <c r="E218" s="26" t="s">
        <v>19</v>
      </c>
      <c r="F218" s="54" t="s">
        <v>728</v>
      </c>
      <c r="G218" s="54" t="s">
        <v>8376</v>
      </c>
      <c r="H218" s="1174" t="s">
        <v>507</v>
      </c>
      <c r="I218" s="1173" t="s">
        <v>571</v>
      </c>
      <c r="J218" s="1174" t="s">
        <v>718</v>
      </c>
      <c r="K218" s="2" t="s">
        <v>717</v>
      </c>
      <c r="L218" s="22" t="s">
        <v>1826</v>
      </c>
      <c r="M218" s="1175" t="s">
        <v>111</v>
      </c>
      <c r="N218" s="1174" t="s">
        <v>2848</v>
      </c>
      <c r="O218" s="54" t="s">
        <v>1739</v>
      </c>
      <c r="P218" s="22" t="s">
        <v>1880</v>
      </c>
      <c r="Q218" s="1174" t="s">
        <v>1894</v>
      </c>
      <c r="R218" s="1174" t="s">
        <v>1894</v>
      </c>
      <c r="S218" s="24" t="s">
        <v>8374</v>
      </c>
      <c r="T218" s="90" t="s">
        <v>8375</v>
      </c>
      <c r="U218" s="10" t="s">
        <v>1800</v>
      </c>
      <c r="V218" s="10">
        <v>1</v>
      </c>
      <c r="W218" s="24" t="s">
        <v>448</v>
      </c>
      <c r="X218" s="24" t="s">
        <v>448</v>
      </c>
      <c r="Y218" s="30">
        <v>0.6</v>
      </c>
      <c r="Z218" s="30"/>
      <c r="AA218" s="30">
        <v>0.6</v>
      </c>
      <c r="AB218" s="59"/>
      <c r="AC218" s="59"/>
      <c r="AD218" s="35" t="s">
        <v>1104</v>
      </c>
      <c r="AE218" s="202" t="s">
        <v>19</v>
      </c>
      <c r="AF218" s="35" t="s">
        <v>1880</v>
      </c>
      <c r="AG218" s="1172"/>
    </row>
    <row r="219" spans="1:33" s="11" customFormat="1" ht="26.25" customHeight="1" x14ac:dyDescent="0.15">
      <c r="A219" s="8">
        <f t="shared" si="0"/>
        <v>217</v>
      </c>
      <c r="B219" s="36" t="s">
        <v>8365</v>
      </c>
      <c r="C219" s="26" t="s">
        <v>19</v>
      </c>
      <c r="D219" s="26" t="s">
        <v>19</v>
      </c>
      <c r="E219" s="26" t="s">
        <v>19</v>
      </c>
      <c r="F219" s="54" t="s">
        <v>731</v>
      </c>
      <c r="G219" s="54" t="s">
        <v>8377</v>
      </c>
      <c r="H219" s="1174" t="s">
        <v>507</v>
      </c>
      <c r="I219" s="1173" t="s">
        <v>571</v>
      </c>
      <c r="J219" s="1174" t="s">
        <v>719</v>
      </c>
      <c r="K219" s="2" t="s">
        <v>729</v>
      </c>
      <c r="L219" s="22" t="s">
        <v>1826</v>
      </c>
      <c r="M219" s="1175" t="s">
        <v>111</v>
      </c>
      <c r="N219" s="1174" t="s">
        <v>2848</v>
      </c>
      <c r="O219" s="54" t="s">
        <v>1739</v>
      </c>
      <c r="P219" s="22" t="s">
        <v>1880</v>
      </c>
      <c r="Q219" s="1174" t="s">
        <v>1894</v>
      </c>
      <c r="R219" s="1174" t="s">
        <v>1894</v>
      </c>
      <c r="S219" s="24" t="s">
        <v>8374</v>
      </c>
      <c r="T219" s="90" t="s">
        <v>8375</v>
      </c>
      <c r="U219" s="10" t="s">
        <v>1800</v>
      </c>
      <c r="V219" s="10">
        <v>1</v>
      </c>
      <c r="W219" s="24" t="s">
        <v>448</v>
      </c>
      <c r="X219" s="24" t="s">
        <v>448</v>
      </c>
      <c r="Y219" s="30">
        <v>0.6</v>
      </c>
      <c r="Z219" s="30"/>
      <c r="AA219" s="30">
        <v>0.6</v>
      </c>
      <c r="AB219" s="59"/>
      <c r="AC219" s="59"/>
      <c r="AD219" s="35" t="s">
        <v>1104</v>
      </c>
      <c r="AE219" s="202" t="s">
        <v>19</v>
      </c>
      <c r="AF219" s="35" t="s">
        <v>1880</v>
      </c>
      <c r="AG219" s="1172"/>
    </row>
    <row r="220" spans="1:33" s="11" customFormat="1" ht="26.25" customHeight="1" x14ac:dyDescent="0.15">
      <c r="A220" s="8">
        <f t="shared" si="0"/>
        <v>218</v>
      </c>
      <c r="B220" s="36" t="s">
        <v>8366</v>
      </c>
      <c r="C220" s="26" t="s">
        <v>19</v>
      </c>
      <c r="D220" s="26" t="s">
        <v>19</v>
      </c>
      <c r="E220" s="26" t="s">
        <v>19</v>
      </c>
      <c r="F220" s="54" t="s">
        <v>733</v>
      </c>
      <c r="G220" s="54" t="s">
        <v>8378</v>
      </c>
      <c r="H220" s="1174" t="s">
        <v>507</v>
      </c>
      <c r="I220" s="1173" t="s">
        <v>571</v>
      </c>
      <c r="J220" s="1174" t="s">
        <v>721</v>
      </c>
      <c r="K220" s="2" t="s">
        <v>720</v>
      </c>
      <c r="L220" s="22" t="s">
        <v>1826</v>
      </c>
      <c r="M220" s="1175" t="s">
        <v>111</v>
      </c>
      <c r="N220" s="1174" t="s">
        <v>2848</v>
      </c>
      <c r="O220" s="54" t="s">
        <v>1739</v>
      </c>
      <c r="P220" s="22" t="s">
        <v>1880</v>
      </c>
      <c r="Q220" s="1174" t="s">
        <v>1894</v>
      </c>
      <c r="R220" s="1174" t="s">
        <v>1894</v>
      </c>
      <c r="S220" s="24" t="s">
        <v>8374</v>
      </c>
      <c r="T220" s="90" t="s">
        <v>8375</v>
      </c>
      <c r="U220" s="10" t="s">
        <v>1800</v>
      </c>
      <c r="V220" s="10">
        <v>1</v>
      </c>
      <c r="W220" s="24" t="s">
        <v>448</v>
      </c>
      <c r="X220" s="24" t="s">
        <v>448</v>
      </c>
      <c r="Y220" s="30">
        <v>0.6</v>
      </c>
      <c r="Z220" s="30"/>
      <c r="AA220" s="30">
        <v>0.6</v>
      </c>
      <c r="AB220" s="59"/>
      <c r="AC220" s="59"/>
      <c r="AD220" s="35" t="s">
        <v>1104</v>
      </c>
      <c r="AE220" s="202" t="s">
        <v>19</v>
      </c>
      <c r="AF220" s="35" t="s">
        <v>1880</v>
      </c>
      <c r="AG220" s="1172"/>
    </row>
    <row r="221" spans="1:33" s="11" customFormat="1" ht="26.25" customHeight="1" x14ac:dyDescent="0.15">
      <c r="A221" s="8">
        <f t="shared" si="0"/>
        <v>219</v>
      </c>
      <c r="B221" s="36" t="s">
        <v>8367</v>
      </c>
      <c r="C221" s="26" t="s">
        <v>19</v>
      </c>
      <c r="D221" s="26" t="s">
        <v>19</v>
      </c>
      <c r="E221" s="26" t="s">
        <v>19</v>
      </c>
      <c r="F221" s="29" t="s">
        <v>4333</v>
      </c>
      <c r="G221" s="53" t="s">
        <v>8379</v>
      </c>
      <c r="H221" s="1" t="s">
        <v>23</v>
      </c>
      <c r="I221" s="142" t="s">
        <v>177</v>
      </c>
      <c r="J221" s="1" t="s">
        <v>5008</v>
      </c>
      <c r="K221" s="1" t="s">
        <v>5009</v>
      </c>
      <c r="L221" s="1175" t="s">
        <v>1826</v>
      </c>
      <c r="M221" s="1175" t="s">
        <v>111</v>
      </c>
      <c r="N221" s="1174" t="s">
        <v>1131</v>
      </c>
      <c r="O221" s="151" t="s">
        <v>7451</v>
      </c>
      <c r="P221" s="22" t="s">
        <v>1880</v>
      </c>
      <c r="Q221" s="1174" t="s">
        <v>1894</v>
      </c>
      <c r="R221" s="1174" t="s">
        <v>1894</v>
      </c>
      <c r="S221" s="24" t="s">
        <v>8374</v>
      </c>
      <c r="T221" s="90" t="s">
        <v>8375</v>
      </c>
      <c r="U221" s="10" t="s">
        <v>1800</v>
      </c>
      <c r="V221" s="10">
        <v>1</v>
      </c>
      <c r="W221" s="24" t="s">
        <v>448</v>
      </c>
      <c r="X221" s="24" t="s">
        <v>448</v>
      </c>
      <c r="Y221" s="30">
        <v>2.75</v>
      </c>
      <c r="Z221" s="30"/>
      <c r="AA221" s="30">
        <v>2.75</v>
      </c>
      <c r="AB221" s="59"/>
      <c r="AC221" s="59"/>
      <c r="AD221" s="35" t="s">
        <v>1104</v>
      </c>
      <c r="AE221" s="202" t="s">
        <v>19</v>
      </c>
      <c r="AF221" s="35" t="s">
        <v>1880</v>
      </c>
      <c r="AG221" s="1172"/>
    </row>
    <row r="222" spans="1:33" s="11" customFormat="1" ht="26.25" customHeight="1" x14ac:dyDescent="0.15">
      <c r="A222" s="8">
        <f t="shared" si="0"/>
        <v>220</v>
      </c>
      <c r="B222" s="36" t="s">
        <v>8368</v>
      </c>
      <c r="C222" s="26" t="s">
        <v>19</v>
      </c>
      <c r="D222" s="26" t="s">
        <v>19</v>
      </c>
      <c r="E222" s="26" t="s">
        <v>19</v>
      </c>
      <c r="F222" s="29" t="s">
        <v>4333</v>
      </c>
      <c r="G222" s="53" t="s">
        <v>8380</v>
      </c>
      <c r="H222" s="1" t="s">
        <v>23</v>
      </c>
      <c r="I222" s="142" t="s">
        <v>177</v>
      </c>
      <c r="J222" s="1" t="s">
        <v>5008</v>
      </c>
      <c r="K222" s="1" t="s">
        <v>5009</v>
      </c>
      <c r="L222" s="1175" t="s">
        <v>1826</v>
      </c>
      <c r="M222" s="1175" t="s">
        <v>111</v>
      </c>
      <c r="N222" s="1174" t="s">
        <v>1131</v>
      </c>
      <c r="O222" s="54" t="s">
        <v>1819</v>
      </c>
      <c r="P222" s="22" t="s">
        <v>1880</v>
      </c>
      <c r="Q222" s="1174" t="s">
        <v>1894</v>
      </c>
      <c r="R222" s="1174" t="s">
        <v>1894</v>
      </c>
      <c r="S222" s="24" t="s">
        <v>8374</v>
      </c>
      <c r="T222" s="90" t="s">
        <v>8375</v>
      </c>
      <c r="U222" s="10" t="s">
        <v>1800</v>
      </c>
      <c r="V222" s="10">
        <v>1</v>
      </c>
      <c r="W222" s="24" t="s">
        <v>7181</v>
      </c>
      <c r="X222" s="24" t="s">
        <v>7182</v>
      </c>
      <c r="Y222" s="30"/>
      <c r="Z222" s="30">
        <v>9.31</v>
      </c>
      <c r="AA222" s="30">
        <v>9.31</v>
      </c>
      <c r="AB222" s="59"/>
      <c r="AC222" s="59"/>
      <c r="AD222" s="35" t="s">
        <v>1104</v>
      </c>
      <c r="AE222" s="202" t="s">
        <v>19</v>
      </c>
      <c r="AF222" s="35" t="s">
        <v>1880</v>
      </c>
      <c r="AG222" s="1172"/>
    </row>
    <row r="223" spans="1:33" s="11" customFormat="1" ht="26.25" customHeight="1" x14ac:dyDescent="0.15">
      <c r="A223" s="8">
        <f t="shared" si="0"/>
        <v>221</v>
      </c>
      <c r="B223" s="36" t="s">
        <v>8369</v>
      </c>
      <c r="C223" s="26" t="s">
        <v>19</v>
      </c>
      <c r="D223" s="26" t="s">
        <v>19</v>
      </c>
      <c r="E223" s="26" t="s">
        <v>19</v>
      </c>
      <c r="F223" s="29" t="s">
        <v>3543</v>
      </c>
      <c r="G223" s="53" t="s">
        <v>8381</v>
      </c>
      <c r="H223" s="1" t="s">
        <v>23</v>
      </c>
      <c r="I223" s="1" t="s">
        <v>177</v>
      </c>
      <c r="J223" s="1" t="s">
        <v>4966</v>
      </c>
      <c r="K223" s="22" t="s">
        <v>3545</v>
      </c>
      <c r="L223" s="1175" t="s">
        <v>1826</v>
      </c>
      <c r="M223" s="1175" t="s">
        <v>111</v>
      </c>
      <c r="N223" s="1174" t="s">
        <v>1131</v>
      </c>
      <c r="O223" s="151" t="s">
        <v>7451</v>
      </c>
      <c r="P223" s="22" t="s">
        <v>1880</v>
      </c>
      <c r="Q223" s="1174" t="s">
        <v>1894</v>
      </c>
      <c r="R223" s="1174" t="s">
        <v>1894</v>
      </c>
      <c r="S223" s="24" t="s">
        <v>8374</v>
      </c>
      <c r="T223" s="90" t="s">
        <v>8375</v>
      </c>
      <c r="U223" s="10" t="s">
        <v>1800</v>
      </c>
      <c r="V223" s="10">
        <v>1</v>
      </c>
      <c r="W223" s="24" t="s">
        <v>448</v>
      </c>
      <c r="X223" s="24" t="s">
        <v>448</v>
      </c>
      <c r="Y223" s="30">
        <v>2.75</v>
      </c>
      <c r="Z223" s="30"/>
      <c r="AA223" s="30">
        <v>2.75</v>
      </c>
      <c r="AB223" s="59"/>
      <c r="AC223" s="59"/>
      <c r="AD223" s="35" t="s">
        <v>1104</v>
      </c>
      <c r="AE223" s="202" t="s">
        <v>19</v>
      </c>
      <c r="AF223" s="35" t="s">
        <v>1880</v>
      </c>
      <c r="AG223" s="1170"/>
    </row>
    <row r="224" spans="1:33" s="11" customFormat="1" ht="26.25" customHeight="1" x14ac:dyDescent="0.15">
      <c r="A224" s="8">
        <f t="shared" si="0"/>
        <v>222</v>
      </c>
      <c r="B224" s="36" t="s">
        <v>8370</v>
      </c>
      <c r="C224" s="26" t="s">
        <v>19</v>
      </c>
      <c r="D224" s="26" t="s">
        <v>19</v>
      </c>
      <c r="E224" s="26" t="s">
        <v>19</v>
      </c>
      <c r="F224" s="29" t="s">
        <v>3543</v>
      </c>
      <c r="G224" s="53" t="s">
        <v>8382</v>
      </c>
      <c r="H224" s="1" t="s">
        <v>23</v>
      </c>
      <c r="I224" s="1" t="s">
        <v>177</v>
      </c>
      <c r="J224" s="1" t="s">
        <v>4966</v>
      </c>
      <c r="K224" s="22" t="s">
        <v>3545</v>
      </c>
      <c r="L224" s="1175" t="s">
        <v>1826</v>
      </c>
      <c r="M224" s="1175" t="s">
        <v>111</v>
      </c>
      <c r="N224" s="1174" t="s">
        <v>1131</v>
      </c>
      <c r="O224" s="54" t="s">
        <v>1819</v>
      </c>
      <c r="P224" s="22" t="s">
        <v>1880</v>
      </c>
      <c r="Q224" s="1174" t="s">
        <v>1894</v>
      </c>
      <c r="R224" s="1174" t="s">
        <v>1894</v>
      </c>
      <c r="S224" s="24" t="s">
        <v>8374</v>
      </c>
      <c r="T224" s="90" t="s">
        <v>8375</v>
      </c>
      <c r="U224" s="10" t="s">
        <v>1800</v>
      </c>
      <c r="V224" s="10">
        <v>1</v>
      </c>
      <c r="W224" s="24" t="s">
        <v>7181</v>
      </c>
      <c r="X224" s="24" t="s">
        <v>7182</v>
      </c>
      <c r="Y224" s="30"/>
      <c r="Z224" s="30">
        <v>9.31</v>
      </c>
      <c r="AA224" s="30">
        <v>9.31</v>
      </c>
      <c r="AB224" s="59"/>
      <c r="AC224" s="59"/>
      <c r="AD224" s="35" t="s">
        <v>1104</v>
      </c>
      <c r="AE224" s="202" t="s">
        <v>19</v>
      </c>
      <c r="AF224" s="35" t="s">
        <v>1880</v>
      </c>
      <c r="AG224" s="1170"/>
    </row>
    <row r="225" spans="1:33" s="11" customFormat="1" ht="26.25" customHeight="1" x14ac:dyDescent="0.15">
      <c r="A225" s="8">
        <f t="shared" si="0"/>
        <v>223</v>
      </c>
      <c r="B225" s="36" t="s">
        <v>8371</v>
      </c>
      <c r="C225" s="26" t="s">
        <v>19</v>
      </c>
      <c r="D225" s="26" t="s">
        <v>19</v>
      </c>
      <c r="E225" s="26" t="s">
        <v>19</v>
      </c>
      <c r="F225" s="29" t="s">
        <v>3547</v>
      </c>
      <c r="G225" s="53" t="s">
        <v>8383</v>
      </c>
      <c r="H225" s="1" t="s">
        <v>23</v>
      </c>
      <c r="I225" s="1" t="s">
        <v>177</v>
      </c>
      <c r="J225" s="1" t="s">
        <v>4969</v>
      </c>
      <c r="K225" s="22" t="s">
        <v>3550</v>
      </c>
      <c r="L225" s="1175" t="s">
        <v>1826</v>
      </c>
      <c r="M225" s="1175" t="s">
        <v>111</v>
      </c>
      <c r="N225" s="1174" t="s">
        <v>1131</v>
      </c>
      <c r="O225" s="151" t="s">
        <v>7451</v>
      </c>
      <c r="P225" s="22" t="s">
        <v>1880</v>
      </c>
      <c r="Q225" s="1174" t="s">
        <v>1894</v>
      </c>
      <c r="R225" s="1174" t="s">
        <v>1894</v>
      </c>
      <c r="S225" s="24" t="s">
        <v>8374</v>
      </c>
      <c r="T225" s="90" t="s">
        <v>8375</v>
      </c>
      <c r="U225" s="10" t="s">
        <v>1800</v>
      </c>
      <c r="V225" s="10">
        <v>1</v>
      </c>
      <c r="W225" s="24" t="s">
        <v>448</v>
      </c>
      <c r="X225" s="24" t="s">
        <v>448</v>
      </c>
      <c r="Y225" s="30">
        <v>2.75</v>
      </c>
      <c r="Z225" s="30"/>
      <c r="AA225" s="30">
        <v>2.75</v>
      </c>
      <c r="AB225" s="59"/>
      <c r="AC225" s="59"/>
      <c r="AD225" s="35" t="s">
        <v>1104</v>
      </c>
      <c r="AE225" s="202" t="s">
        <v>19</v>
      </c>
      <c r="AF225" s="35" t="s">
        <v>1880</v>
      </c>
      <c r="AG225" s="1170"/>
    </row>
    <row r="226" spans="1:33" s="11" customFormat="1" ht="26.25" customHeight="1" x14ac:dyDescent="0.15">
      <c r="A226" s="8">
        <f t="shared" si="0"/>
        <v>224</v>
      </c>
      <c r="B226" s="36" t="s">
        <v>8372</v>
      </c>
      <c r="C226" s="26" t="s">
        <v>19</v>
      </c>
      <c r="D226" s="26" t="s">
        <v>19</v>
      </c>
      <c r="E226" s="26" t="s">
        <v>19</v>
      </c>
      <c r="F226" s="29" t="s">
        <v>3547</v>
      </c>
      <c r="G226" s="53" t="s">
        <v>8383</v>
      </c>
      <c r="H226" s="1" t="s">
        <v>23</v>
      </c>
      <c r="I226" s="1" t="s">
        <v>177</v>
      </c>
      <c r="J226" s="1" t="s">
        <v>4969</v>
      </c>
      <c r="K226" s="22" t="s">
        <v>3550</v>
      </c>
      <c r="L226" s="1175" t="s">
        <v>1826</v>
      </c>
      <c r="M226" s="1175" t="s">
        <v>111</v>
      </c>
      <c r="N226" s="1174" t="s">
        <v>1131</v>
      </c>
      <c r="O226" s="54" t="s">
        <v>1819</v>
      </c>
      <c r="P226" s="22" t="s">
        <v>1880</v>
      </c>
      <c r="Q226" s="1174" t="s">
        <v>1894</v>
      </c>
      <c r="R226" s="1174" t="s">
        <v>1894</v>
      </c>
      <c r="S226" s="24" t="s">
        <v>8374</v>
      </c>
      <c r="T226" s="90" t="s">
        <v>8375</v>
      </c>
      <c r="U226" s="10" t="s">
        <v>1800</v>
      </c>
      <c r="V226" s="10">
        <v>1</v>
      </c>
      <c r="W226" s="24" t="s">
        <v>7181</v>
      </c>
      <c r="X226" s="24" t="s">
        <v>7182</v>
      </c>
      <c r="Y226" s="30"/>
      <c r="Z226" s="30">
        <v>9.31</v>
      </c>
      <c r="AA226" s="30">
        <v>9.31</v>
      </c>
      <c r="AB226" s="59"/>
      <c r="AC226" s="59"/>
      <c r="AD226" s="35" t="s">
        <v>1104</v>
      </c>
      <c r="AE226" s="202" t="s">
        <v>19</v>
      </c>
      <c r="AF226" s="35" t="s">
        <v>1880</v>
      </c>
      <c r="AG226" s="1159"/>
    </row>
    <row r="227" spans="1:33" s="11" customFormat="1" ht="41.25" customHeight="1" x14ac:dyDescent="0.15">
      <c r="A227" s="8">
        <f t="shared" si="0"/>
        <v>225</v>
      </c>
      <c r="B227" s="36" t="s">
        <v>8473</v>
      </c>
      <c r="C227" s="26" t="s">
        <v>19</v>
      </c>
      <c r="D227" s="26" t="s">
        <v>19</v>
      </c>
      <c r="E227" s="26" t="s">
        <v>19</v>
      </c>
      <c r="F227" s="29" t="s">
        <v>8384</v>
      </c>
      <c r="G227" s="53" t="s">
        <v>8471</v>
      </c>
      <c r="H227" s="1173" t="s">
        <v>3649</v>
      </c>
      <c r="I227" s="1173" t="s">
        <v>4196</v>
      </c>
      <c r="J227" s="1173" t="s">
        <v>5804</v>
      </c>
      <c r="K227" s="22" t="s">
        <v>4780</v>
      </c>
      <c r="L227" s="1175" t="s">
        <v>1826</v>
      </c>
      <c r="M227" s="1175" t="s">
        <v>111</v>
      </c>
      <c r="N227" s="28" t="s">
        <v>25</v>
      </c>
      <c r="O227" s="222" t="s">
        <v>1796</v>
      </c>
      <c r="P227" s="22" t="s">
        <v>1880</v>
      </c>
      <c r="Q227" s="1174" t="s">
        <v>2072</v>
      </c>
      <c r="R227" s="1174" t="s">
        <v>2072</v>
      </c>
      <c r="S227" s="24" t="s">
        <v>8385</v>
      </c>
      <c r="T227" s="90" t="s">
        <v>8472</v>
      </c>
      <c r="U227" s="24" t="s">
        <v>110</v>
      </c>
      <c r="V227" s="24">
        <v>1</v>
      </c>
      <c r="W227" s="24" t="s">
        <v>448</v>
      </c>
      <c r="X227" s="24" t="s">
        <v>448</v>
      </c>
      <c r="Y227" s="30">
        <v>11.2</v>
      </c>
      <c r="Z227" s="30"/>
      <c r="AA227" s="30">
        <v>11.2</v>
      </c>
      <c r="AB227" s="59"/>
      <c r="AC227" s="59"/>
      <c r="AD227" s="35" t="s">
        <v>1104</v>
      </c>
      <c r="AE227" s="202" t="s">
        <v>19</v>
      </c>
      <c r="AF227" s="35" t="s">
        <v>1880</v>
      </c>
      <c r="AG227" s="1174"/>
    </row>
    <row r="228" spans="1:33" s="11" customFormat="1" ht="26.25" customHeight="1" x14ac:dyDescent="0.15">
      <c r="A228" s="8">
        <f t="shared" si="0"/>
        <v>226</v>
      </c>
      <c r="B228" s="36" t="s">
        <v>8386</v>
      </c>
      <c r="C228" s="26" t="s">
        <v>19</v>
      </c>
      <c r="D228" s="26" t="s">
        <v>19</v>
      </c>
      <c r="E228" s="26" t="s">
        <v>19</v>
      </c>
      <c r="F228" s="29" t="s">
        <v>6227</v>
      </c>
      <c r="G228" s="53" t="s">
        <v>8391</v>
      </c>
      <c r="H228" s="1177" t="s">
        <v>4712</v>
      </c>
      <c r="I228" s="1177" t="s">
        <v>4728</v>
      </c>
      <c r="J228" s="1177" t="s">
        <v>5458</v>
      </c>
      <c r="K228" s="22" t="s">
        <v>4780</v>
      </c>
      <c r="L228" s="22" t="s">
        <v>5431</v>
      </c>
      <c r="M228" s="1178" t="s">
        <v>4713</v>
      </c>
      <c r="N228" s="28" t="s">
        <v>25</v>
      </c>
      <c r="O228" s="151" t="s">
        <v>7451</v>
      </c>
      <c r="P228" s="22" t="s">
        <v>1880</v>
      </c>
      <c r="Q228" s="1177" t="s">
        <v>1894</v>
      </c>
      <c r="R228" s="1177" t="s">
        <v>1894</v>
      </c>
      <c r="S228" s="24" t="s">
        <v>8392</v>
      </c>
      <c r="T228" s="90" t="s">
        <v>7469</v>
      </c>
      <c r="U228" s="24" t="s">
        <v>110</v>
      </c>
      <c r="V228" s="24">
        <v>2</v>
      </c>
      <c r="W228" s="24" t="s">
        <v>448</v>
      </c>
      <c r="X228" s="24" t="s">
        <v>448</v>
      </c>
      <c r="Y228" s="30">
        <v>2.8</v>
      </c>
      <c r="Z228" s="30"/>
      <c r="AA228" s="30">
        <v>2.8</v>
      </c>
      <c r="AB228" s="59"/>
      <c r="AC228" s="59"/>
      <c r="AD228" s="35" t="s">
        <v>1104</v>
      </c>
      <c r="AE228" s="202" t="s">
        <v>19</v>
      </c>
      <c r="AF228" s="35" t="s">
        <v>1880</v>
      </c>
      <c r="AG228" s="1177"/>
    </row>
    <row r="229" spans="1:33" s="11" customFormat="1" ht="26.25" customHeight="1" x14ac:dyDescent="0.15">
      <c r="A229" s="8">
        <f t="shared" si="0"/>
        <v>227</v>
      </c>
      <c r="B229" s="36" t="s">
        <v>8387</v>
      </c>
      <c r="C229" s="26" t="s">
        <v>19</v>
      </c>
      <c r="D229" s="26" t="s">
        <v>19</v>
      </c>
      <c r="E229" s="26" t="s">
        <v>19</v>
      </c>
      <c r="F229" s="29" t="s">
        <v>6061</v>
      </c>
      <c r="G229" s="53" t="s">
        <v>8393</v>
      </c>
      <c r="H229" s="1177" t="s">
        <v>4712</v>
      </c>
      <c r="I229" s="1177" t="s">
        <v>4728</v>
      </c>
      <c r="J229" s="1177" t="s">
        <v>6062</v>
      </c>
      <c r="K229" s="22" t="s">
        <v>4780</v>
      </c>
      <c r="L229" s="22" t="s">
        <v>5431</v>
      </c>
      <c r="M229" s="1178" t="s">
        <v>8394</v>
      </c>
      <c r="N229" s="28" t="s">
        <v>25</v>
      </c>
      <c r="O229" s="151" t="s">
        <v>7451</v>
      </c>
      <c r="P229" s="1178" t="s">
        <v>19</v>
      </c>
      <c r="Q229" s="1177" t="s">
        <v>1151</v>
      </c>
      <c r="R229" s="1177" t="s">
        <v>1151</v>
      </c>
      <c r="S229" s="24" t="s">
        <v>8392</v>
      </c>
      <c r="T229" s="90" t="s">
        <v>7469</v>
      </c>
      <c r="U229" s="24" t="s">
        <v>110</v>
      </c>
      <c r="V229" s="24">
        <v>2</v>
      </c>
      <c r="W229" s="24" t="s">
        <v>448</v>
      </c>
      <c r="X229" s="24" t="s">
        <v>448</v>
      </c>
      <c r="Y229" s="30">
        <v>2.8</v>
      </c>
      <c r="Z229" s="30"/>
      <c r="AA229" s="30">
        <v>2.8</v>
      </c>
      <c r="AB229" s="59"/>
      <c r="AC229" s="59"/>
      <c r="AD229" s="35" t="s">
        <v>1104</v>
      </c>
      <c r="AE229" s="202" t="s">
        <v>19</v>
      </c>
      <c r="AF229" s="35" t="s">
        <v>1880</v>
      </c>
      <c r="AG229" s="1177"/>
    </row>
    <row r="230" spans="1:33" s="11" customFormat="1" ht="26.25" customHeight="1" x14ac:dyDescent="0.15">
      <c r="A230" s="8">
        <f t="shared" si="0"/>
        <v>228</v>
      </c>
      <c r="B230" s="36" t="s">
        <v>8388</v>
      </c>
      <c r="C230" s="26" t="s">
        <v>19</v>
      </c>
      <c r="D230" s="26" t="s">
        <v>19</v>
      </c>
      <c r="E230" s="26" t="s">
        <v>19</v>
      </c>
      <c r="F230" s="29" t="s">
        <v>6213</v>
      </c>
      <c r="G230" s="53" t="s">
        <v>8395</v>
      </c>
      <c r="H230" s="1177" t="s">
        <v>4195</v>
      </c>
      <c r="I230" s="1177" t="s">
        <v>4728</v>
      </c>
      <c r="J230" s="1177" t="s">
        <v>6215</v>
      </c>
      <c r="K230" s="22" t="s">
        <v>6216</v>
      </c>
      <c r="L230" s="22" t="s">
        <v>5431</v>
      </c>
      <c r="M230" s="1178" t="s">
        <v>1860</v>
      </c>
      <c r="N230" s="28" t="s">
        <v>25</v>
      </c>
      <c r="O230" s="151" t="s">
        <v>7451</v>
      </c>
      <c r="P230" s="22" t="s">
        <v>1880</v>
      </c>
      <c r="Q230" s="1177" t="s">
        <v>1894</v>
      </c>
      <c r="R230" s="1177" t="s">
        <v>1894</v>
      </c>
      <c r="S230" s="24" t="s">
        <v>8392</v>
      </c>
      <c r="T230" s="90" t="s">
        <v>8396</v>
      </c>
      <c r="U230" s="24" t="s">
        <v>110</v>
      </c>
      <c r="V230" s="24">
        <v>2</v>
      </c>
      <c r="W230" s="24" t="s">
        <v>448</v>
      </c>
      <c r="X230" s="24" t="s">
        <v>448</v>
      </c>
      <c r="Y230" s="30">
        <v>2.8</v>
      </c>
      <c r="Z230" s="30"/>
      <c r="AA230" s="30">
        <v>2.8</v>
      </c>
      <c r="AB230" s="59"/>
      <c r="AC230" s="59"/>
      <c r="AD230" s="35" t="s">
        <v>1104</v>
      </c>
      <c r="AE230" s="202" t="s">
        <v>19</v>
      </c>
      <c r="AF230" s="35" t="s">
        <v>1880</v>
      </c>
      <c r="AG230" s="1177"/>
    </row>
    <row r="231" spans="1:33" s="11" customFormat="1" ht="26.25" customHeight="1" x14ac:dyDescent="0.15">
      <c r="A231" s="8">
        <f t="shared" si="0"/>
        <v>229</v>
      </c>
      <c r="B231" s="36" t="s">
        <v>8389</v>
      </c>
      <c r="C231" s="26" t="s">
        <v>19</v>
      </c>
      <c r="D231" s="26" t="s">
        <v>19</v>
      </c>
      <c r="E231" s="26" t="s">
        <v>19</v>
      </c>
      <c r="F231" s="29" t="s">
        <v>5762</v>
      </c>
      <c r="G231" s="29" t="s">
        <v>6768</v>
      </c>
      <c r="H231" s="1176" t="s">
        <v>4791</v>
      </c>
      <c r="I231" s="1176" t="s">
        <v>5461</v>
      </c>
      <c r="J231" s="1176" t="s">
        <v>5764</v>
      </c>
      <c r="K231" s="22" t="s">
        <v>4780</v>
      </c>
      <c r="L231" s="22" t="s">
        <v>5431</v>
      </c>
      <c r="M231" s="22" t="s">
        <v>8401</v>
      </c>
      <c r="N231" s="1177" t="s">
        <v>1131</v>
      </c>
      <c r="O231" s="54" t="s">
        <v>8400</v>
      </c>
      <c r="P231" s="22" t="s">
        <v>1880</v>
      </c>
      <c r="Q231" s="1177" t="s">
        <v>446</v>
      </c>
      <c r="R231" s="1177" t="s">
        <v>446</v>
      </c>
      <c r="S231" s="24" t="s">
        <v>8392</v>
      </c>
      <c r="T231" s="90" t="s">
        <v>8397</v>
      </c>
      <c r="U231" s="24" t="s">
        <v>110</v>
      </c>
      <c r="V231" s="24">
        <v>1</v>
      </c>
      <c r="W231" s="24" t="s">
        <v>8398</v>
      </c>
      <c r="X231" s="24" t="s">
        <v>8399</v>
      </c>
      <c r="Y231" s="30"/>
      <c r="Z231" s="30">
        <v>23</v>
      </c>
      <c r="AA231" s="30">
        <v>23</v>
      </c>
      <c r="AB231" s="59"/>
      <c r="AC231" s="59"/>
      <c r="AD231" s="35" t="s">
        <v>1104</v>
      </c>
      <c r="AE231" s="202" t="s">
        <v>19</v>
      </c>
      <c r="AF231" s="35" t="s">
        <v>1880</v>
      </c>
      <c r="AG231" s="1177"/>
    </row>
    <row r="232" spans="1:33" s="11" customFormat="1" ht="26.25" customHeight="1" x14ac:dyDescent="0.15">
      <c r="A232" s="8">
        <f t="shared" si="0"/>
        <v>230</v>
      </c>
      <c r="B232" s="36" t="s">
        <v>8390</v>
      </c>
      <c r="C232" s="26" t="s">
        <v>19</v>
      </c>
      <c r="D232" s="26" t="s">
        <v>19</v>
      </c>
      <c r="E232" s="26" t="s">
        <v>19</v>
      </c>
      <c r="F232" s="29" t="s">
        <v>5765</v>
      </c>
      <c r="G232" s="29" t="s">
        <v>6978</v>
      </c>
      <c r="H232" s="1178" t="s">
        <v>2032</v>
      </c>
      <c r="I232" s="1178" t="s">
        <v>6977</v>
      </c>
      <c r="J232" s="1178" t="s">
        <v>3807</v>
      </c>
      <c r="K232" s="1178" t="s">
        <v>4780</v>
      </c>
      <c r="L232" s="1178" t="s">
        <v>1826</v>
      </c>
      <c r="M232" s="1178" t="s">
        <v>8402</v>
      </c>
      <c r="N232" s="22" t="s">
        <v>454</v>
      </c>
      <c r="O232" s="54" t="s">
        <v>8403</v>
      </c>
      <c r="P232" s="1178" t="s">
        <v>111</v>
      </c>
      <c r="Q232" s="1177" t="s">
        <v>446</v>
      </c>
      <c r="R232" s="1177" t="s">
        <v>446</v>
      </c>
      <c r="S232" s="24" t="s">
        <v>8392</v>
      </c>
      <c r="T232" s="90" t="s">
        <v>8404</v>
      </c>
      <c r="U232" s="1178" t="s">
        <v>2359</v>
      </c>
      <c r="V232" s="1178">
        <v>1</v>
      </c>
      <c r="W232" s="24" t="s">
        <v>8327</v>
      </c>
      <c r="X232" s="24" t="s">
        <v>8405</v>
      </c>
      <c r="Y232" s="30"/>
      <c r="Z232" s="30">
        <v>20</v>
      </c>
      <c r="AA232" s="30">
        <v>20</v>
      </c>
      <c r="AB232" s="59"/>
      <c r="AC232" s="59"/>
      <c r="AD232" s="1178" t="s">
        <v>1104</v>
      </c>
      <c r="AE232" s="202" t="s">
        <v>1880</v>
      </c>
      <c r="AF232" s="133" t="s">
        <v>1880</v>
      </c>
      <c r="AG232" s="1177"/>
    </row>
    <row r="233" spans="1:33" s="11" customFormat="1" ht="26.25" customHeight="1" x14ac:dyDescent="0.15">
      <c r="A233" s="8">
        <f t="shared" si="0"/>
        <v>231</v>
      </c>
      <c r="B233" s="36" t="s">
        <v>8406</v>
      </c>
      <c r="C233" s="26" t="s">
        <v>19</v>
      </c>
      <c r="D233" s="26" t="s">
        <v>19</v>
      </c>
      <c r="E233" s="26" t="s">
        <v>19</v>
      </c>
      <c r="F233" s="29" t="s">
        <v>6618</v>
      </c>
      <c r="G233" s="29" t="s">
        <v>6624</v>
      </c>
      <c r="H233" s="1179" t="s">
        <v>2135</v>
      </c>
      <c r="I233" s="1179" t="s">
        <v>2327</v>
      </c>
      <c r="J233" s="1180" t="s">
        <v>6619</v>
      </c>
      <c r="K233" s="22" t="s">
        <v>3651</v>
      </c>
      <c r="L233" s="22" t="s">
        <v>5431</v>
      </c>
      <c r="M233" s="22" t="s">
        <v>1880</v>
      </c>
      <c r="N233" s="1180" t="s">
        <v>1131</v>
      </c>
      <c r="O233" s="54" t="s">
        <v>116</v>
      </c>
      <c r="P233" s="22" t="s">
        <v>1880</v>
      </c>
      <c r="Q233" s="1180" t="s">
        <v>5487</v>
      </c>
      <c r="R233" s="1180" t="s">
        <v>5487</v>
      </c>
      <c r="S233" s="24" t="s">
        <v>8392</v>
      </c>
      <c r="T233" s="90" t="s">
        <v>8116</v>
      </c>
      <c r="U233" s="24" t="s">
        <v>110</v>
      </c>
      <c r="V233" s="24">
        <v>2</v>
      </c>
      <c r="W233" s="24" t="s">
        <v>8408</v>
      </c>
      <c r="X233" s="24" t="s">
        <v>8409</v>
      </c>
      <c r="Y233" s="30"/>
      <c r="Z233" s="30">
        <v>7</v>
      </c>
      <c r="AA233" s="30">
        <v>7</v>
      </c>
      <c r="AB233" s="59"/>
      <c r="AC233" s="59"/>
      <c r="AD233" s="35" t="s">
        <v>1104</v>
      </c>
      <c r="AE233" s="202" t="s">
        <v>1880</v>
      </c>
      <c r="AF233" s="35" t="s">
        <v>1880</v>
      </c>
      <c r="AG233" s="1180"/>
    </row>
    <row r="234" spans="1:33" s="11" customFormat="1" ht="26.25" customHeight="1" x14ac:dyDescent="0.15">
      <c r="A234" s="8">
        <f t="shared" si="0"/>
        <v>232</v>
      </c>
      <c r="B234" s="36" t="s">
        <v>8407</v>
      </c>
      <c r="C234" s="26" t="s">
        <v>19</v>
      </c>
      <c r="D234" s="26" t="s">
        <v>19</v>
      </c>
      <c r="E234" s="26" t="s">
        <v>19</v>
      </c>
      <c r="F234" s="29" t="s">
        <v>8410</v>
      </c>
      <c r="G234" s="53" t="s">
        <v>8411</v>
      </c>
      <c r="H234" s="1173" t="s">
        <v>1147</v>
      </c>
      <c r="I234" s="1173" t="s">
        <v>2533</v>
      </c>
      <c r="J234" s="1173" t="s">
        <v>8412</v>
      </c>
      <c r="K234" s="1181" t="s">
        <v>4780</v>
      </c>
      <c r="L234" s="1175" t="s">
        <v>1826</v>
      </c>
      <c r="M234" s="22" t="s">
        <v>1880</v>
      </c>
      <c r="N234" s="1180" t="s">
        <v>1131</v>
      </c>
      <c r="O234" s="54" t="s">
        <v>5094</v>
      </c>
      <c r="P234" s="22" t="s">
        <v>1880</v>
      </c>
      <c r="Q234" s="1174" t="s">
        <v>1152</v>
      </c>
      <c r="R234" s="1174" t="s">
        <v>1152</v>
      </c>
      <c r="S234" s="24" t="s">
        <v>8413</v>
      </c>
      <c r="T234" s="90" t="s">
        <v>8414</v>
      </c>
      <c r="U234" s="10" t="s">
        <v>1800</v>
      </c>
      <c r="V234" s="10">
        <v>1</v>
      </c>
      <c r="W234" s="24" t="s">
        <v>448</v>
      </c>
      <c r="X234" s="24" t="s">
        <v>448</v>
      </c>
      <c r="Y234" s="30">
        <v>8</v>
      </c>
      <c r="Z234" s="30"/>
      <c r="AA234" s="30">
        <v>8</v>
      </c>
      <c r="AB234" s="59"/>
      <c r="AC234" s="59"/>
      <c r="AD234" s="35" t="s">
        <v>1104</v>
      </c>
      <c r="AE234" s="202" t="s">
        <v>1880</v>
      </c>
      <c r="AF234" s="35" t="s">
        <v>1880</v>
      </c>
      <c r="AG234" s="1174"/>
    </row>
    <row r="235" spans="1:33" s="11" customFormat="1" ht="26.25" customHeight="1" x14ac:dyDescent="0.15">
      <c r="A235" s="8">
        <f t="shared" si="0"/>
        <v>233</v>
      </c>
      <c r="B235" s="36"/>
      <c r="C235" s="26"/>
      <c r="D235" s="711"/>
      <c r="E235" s="26"/>
      <c r="F235" s="29"/>
      <c r="G235" s="53"/>
      <c r="H235" s="1173"/>
      <c r="I235" s="1173"/>
      <c r="J235" s="1173"/>
      <c r="K235" s="22"/>
      <c r="L235" s="1175"/>
      <c r="M235" s="1175"/>
      <c r="N235" s="1174"/>
      <c r="O235" s="54"/>
      <c r="P235" s="1175"/>
      <c r="Q235" s="1174"/>
      <c r="R235" s="1174"/>
      <c r="S235" s="24"/>
      <c r="T235" s="90"/>
      <c r="U235" s="24"/>
      <c r="V235" s="24"/>
      <c r="W235" s="24"/>
      <c r="X235" s="24"/>
      <c r="Y235" s="30"/>
      <c r="Z235" s="30"/>
      <c r="AA235" s="30"/>
      <c r="AB235" s="59"/>
      <c r="AC235" s="59"/>
      <c r="AD235" s="1175"/>
      <c r="AE235" s="202"/>
      <c r="AF235" s="133"/>
      <c r="AG235" s="1174"/>
    </row>
    <row r="236" spans="1:33" s="11" customFormat="1" ht="26.25" customHeight="1" x14ac:dyDescent="0.15">
      <c r="A236" s="8">
        <f t="shared" si="0"/>
        <v>234</v>
      </c>
      <c r="B236" s="36"/>
      <c r="C236" s="26"/>
      <c r="D236" s="711"/>
      <c r="E236" s="26"/>
      <c r="F236" s="29"/>
      <c r="G236" s="53"/>
      <c r="H236" s="1173"/>
      <c r="I236" s="1173"/>
      <c r="J236" s="1173"/>
      <c r="K236" s="22"/>
      <c r="L236" s="1175"/>
      <c r="M236" s="1175"/>
      <c r="N236" s="1174"/>
      <c r="O236" s="54"/>
      <c r="P236" s="1175"/>
      <c r="Q236" s="1174"/>
      <c r="R236" s="1174"/>
      <c r="S236" s="24"/>
      <c r="T236" s="90"/>
      <c r="U236" s="24"/>
      <c r="V236" s="24"/>
      <c r="W236" s="24"/>
      <c r="X236" s="24"/>
      <c r="Y236" s="30"/>
      <c r="Z236" s="30"/>
      <c r="AA236" s="30"/>
      <c r="AB236" s="59"/>
      <c r="AC236" s="59"/>
      <c r="AD236" s="1175"/>
      <c r="AE236" s="202"/>
      <c r="AF236" s="133"/>
      <c r="AG236" s="1174"/>
    </row>
    <row r="237" spans="1:33" s="11" customFormat="1" ht="26.25" customHeight="1" x14ac:dyDescent="0.15">
      <c r="A237" s="8">
        <f t="shared" si="0"/>
        <v>235</v>
      </c>
      <c r="B237" s="36"/>
      <c r="C237" s="26"/>
      <c r="D237" s="711"/>
      <c r="E237" s="26"/>
      <c r="F237" s="29"/>
      <c r="G237" s="53"/>
      <c r="H237" s="1173"/>
      <c r="I237" s="1173"/>
      <c r="J237" s="1173"/>
      <c r="K237" s="22"/>
      <c r="L237" s="1175"/>
      <c r="M237" s="1175"/>
      <c r="N237" s="1174"/>
      <c r="O237" s="54"/>
      <c r="P237" s="1175"/>
      <c r="Q237" s="1174"/>
      <c r="R237" s="1174"/>
      <c r="S237" s="24"/>
      <c r="T237" s="90"/>
      <c r="U237" s="24"/>
      <c r="V237" s="24"/>
      <c r="W237" s="24"/>
      <c r="X237" s="24"/>
      <c r="Y237" s="30"/>
      <c r="Z237" s="30"/>
      <c r="AA237" s="30"/>
      <c r="AB237" s="59"/>
      <c r="AC237" s="59"/>
      <c r="AD237" s="1175"/>
      <c r="AE237" s="202"/>
      <c r="AF237" s="133"/>
      <c r="AG237" s="1174"/>
    </row>
    <row r="238" spans="1:33" s="11" customFormat="1" ht="26.25" customHeight="1" x14ac:dyDescent="0.15">
      <c r="A238" s="8">
        <f t="shared" si="0"/>
        <v>236</v>
      </c>
      <c r="B238" s="36"/>
      <c r="C238" s="26"/>
      <c r="D238" s="711"/>
      <c r="E238" s="26"/>
      <c r="F238" s="29"/>
      <c r="G238" s="53"/>
      <c r="H238" s="1173"/>
      <c r="I238" s="1173"/>
      <c r="J238" s="1173"/>
      <c r="K238" s="22"/>
      <c r="L238" s="1175"/>
      <c r="M238" s="1175"/>
      <c r="N238" s="1174"/>
      <c r="O238" s="54"/>
      <c r="P238" s="1175"/>
      <c r="Q238" s="1174"/>
      <c r="R238" s="1174"/>
      <c r="S238" s="24"/>
      <c r="T238" s="90"/>
      <c r="U238" s="24"/>
      <c r="V238" s="24"/>
      <c r="W238" s="24"/>
      <c r="X238" s="24"/>
      <c r="Y238" s="30"/>
      <c r="Z238" s="30"/>
      <c r="AA238" s="30"/>
      <c r="AB238" s="59"/>
      <c r="AC238" s="59"/>
      <c r="AD238" s="1175"/>
      <c r="AE238" s="202"/>
      <c r="AF238" s="133"/>
      <c r="AG238" s="1174"/>
    </row>
    <row r="239" spans="1:33" s="11" customFormat="1" ht="26.25" customHeight="1" x14ac:dyDescent="0.15">
      <c r="A239" s="8">
        <f t="shared" si="0"/>
        <v>237</v>
      </c>
      <c r="B239" s="36"/>
      <c r="C239" s="26"/>
      <c r="D239" s="711"/>
      <c r="E239" s="26"/>
      <c r="F239" s="29"/>
      <c r="G239" s="53"/>
      <c r="H239" s="1173"/>
      <c r="I239" s="1173"/>
      <c r="J239" s="1173"/>
      <c r="K239" s="22"/>
      <c r="L239" s="1175"/>
      <c r="M239" s="1175"/>
      <c r="N239" s="1174"/>
      <c r="O239" s="54"/>
      <c r="P239" s="1175"/>
      <c r="Q239" s="1174"/>
      <c r="R239" s="1174"/>
      <c r="S239" s="24"/>
      <c r="T239" s="90"/>
      <c r="U239" s="24"/>
      <c r="V239" s="24"/>
      <c r="W239" s="24"/>
      <c r="X239" s="24"/>
      <c r="Y239" s="30"/>
      <c r="Z239" s="30"/>
      <c r="AA239" s="30"/>
      <c r="AB239" s="59"/>
      <c r="AC239" s="59"/>
      <c r="AD239" s="1175"/>
      <c r="AE239" s="202"/>
      <c r="AF239" s="133"/>
      <c r="AG239" s="1174"/>
    </row>
    <row r="240" spans="1:33" s="11" customFormat="1" ht="26.25" customHeight="1" x14ac:dyDescent="0.15">
      <c r="A240" s="8">
        <f t="shared" si="0"/>
        <v>238</v>
      </c>
      <c r="B240" s="36"/>
      <c r="C240" s="26"/>
      <c r="D240" s="711"/>
      <c r="E240" s="26"/>
      <c r="F240" s="29"/>
      <c r="G240" s="53"/>
      <c r="H240" s="1173"/>
      <c r="I240" s="1173"/>
      <c r="J240" s="1173"/>
      <c r="K240" s="22"/>
      <c r="L240" s="1175"/>
      <c r="M240" s="1175"/>
      <c r="N240" s="1174"/>
      <c r="O240" s="54"/>
      <c r="P240" s="1175"/>
      <c r="Q240" s="1174"/>
      <c r="R240" s="1174"/>
      <c r="S240" s="24"/>
      <c r="T240" s="90"/>
      <c r="U240" s="24"/>
      <c r="V240" s="24"/>
      <c r="W240" s="24"/>
      <c r="X240" s="24"/>
      <c r="Y240" s="30"/>
      <c r="Z240" s="30"/>
      <c r="AA240" s="30"/>
      <c r="AB240" s="59"/>
      <c r="AC240" s="59"/>
      <c r="AD240" s="1175"/>
      <c r="AE240" s="202"/>
      <c r="AF240" s="133"/>
      <c r="AG240" s="1174"/>
    </row>
    <row r="241" spans="1:33" s="11" customFormat="1" ht="26.25" customHeight="1" x14ac:dyDescent="0.15">
      <c r="A241" s="8">
        <f t="shared" si="0"/>
        <v>239</v>
      </c>
      <c r="B241" s="36"/>
      <c r="C241" s="26"/>
      <c r="D241" s="711"/>
      <c r="E241" s="26"/>
      <c r="F241" s="29"/>
      <c r="G241" s="53"/>
      <c r="H241" s="1158"/>
      <c r="I241" s="1158"/>
      <c r="J241" s="1158"/>
      <c r="K241" s="22"/>
      <c r="L241" s="1160"/>
      <c r="M241" s="1160"/>
      <c r="N241" s="1159"/>
      <c r="O241" s="54"/>
      <c r="P241" s="1160"/>
      <c r="Q241" s="1159"/>
      <c r="R241" s="1159"/>
      <c r="S241" s="24"/>
      <c r="T241" s="90"/>
      <c r="U241" s="24"/>
      <c r="V241" s="24"/>
      <c r="W241" s="24"/>
      <c r="X241" s="24"/>
      <c r="Y241" s="30"/>
      <c r="Z241" s="30"/>
      <c r="AA241" s="30"/>
      <c r="AB241" s="59"/>
      <c r="AC241" s="59"/>
      <c r="AD241" s="1160"/>
      <c r="AE241" s="202"/>
      <c r="AF241" s="133"/>
      <c r="AG241" s="1159"/>
    </row>
    <row r="242" spans="1:33" s="11" customFormat="1" ht="26.25" customHeight="1" x14ac:dyDescent="0.15">
      <c r="A242" s="8">
        <f t="shared" si="0"/>
        <v>240</v>
      </c>
      <c r="B242" s="36"/>
      <c r="C242" s="26"/>
      <c r="D242" s="711"/>
      <c r="E242" s="26"/>
      <c r="F242" s="29"/>
      <c r="G242" s="53"/>
      <c r="H242" s="966"/>
      <c r="I242" s="966"/>
      <c r="J242" s="966"/>
      <c r="K242" s="22"/>
      <c r="L242" s="968"/>
      <c r="M242" s="968"/>
      <c r="N242" s="967"/>
      <c r="O242" s="54"/>
      <c r="P242" s="968"/>
      <c r="Q242" s="967"/>
      <c r="R242" s="967"/>
      <c r="S242" s="24"/>
      <c r="T242" s="90"/>
      <c r="U242" s="24"/>
      <c r="V242" s="24"/>
      <c r="W242" s="24"/>
      <c r="X242" s="24"/>
      <c r="Y242" s="30"/>
      <c r="Z242" s="30"/>
      <c r="AA242" s="30"/>
      <c r="AB242" s="59"/>
      <c r="AC242" s="59"/>
      <c r="AD242" s="968"/>
      <c r="AE242" s="202"/>
      <c r="AF242" s="133"/>
      <c r="AG242" s="967"/>
    </row>
    <row r="243" spans="1:33" s="11" customFormat="1" ht="26.25" customHeight="1" x14ac:dyDescent="0.15">
      <c r="A243" s="8"/>
      <c r="B243" s="36"/>
      <c r="C243" s="26"/>
      <c r="D243" s="26"/>
      <c r="E243" s="26"/>
      <c r="F243" s="29"/>
      <c r="G243" s="53"/>
      <c r="H243" s="966"/>
      <c r="I243" s="1"/>
      <c r="J243" s="37"/>
      <c r="K243" s="22"/>
      <c r="L243" s="22"/>
      <c r="M243" s="22"/>
      <c r="N243" s="967"/>
      <c r="O243" s="54"/>
      <c r="P243" s="22"/>
      <c r="Q243" s="967"/>
      <c r="R243" s="967"/>
      <c r="S243" s="24"/>
      <c r="T243" s="90"/>
      <c r="U243" s="146" t="s">
        <v>3144</v>
      </c>
      <c r="V243" s="146"/>
      <c r="W243" s="146"/>
      <c r="X243" s="146"/>
      <c r="Y243" s="148">
        <f>SUM(Y3:Y242)</f>
        <v>2304.4636380000011</v>
      </c>
      <c r="Z243" s="148">
        <f>SUM(Z3:Z242)</f>
        <v>728.28</v>
      </c>
      <c r="AA243" s="148">
        <f>SUM(AA3:AA242)</f>
        <v>3032.7436380000008</v>
      </c>
      <c r="AB243" s="702"/>
      <c r="AC243" s="702"/>
      <c r="AD243" s="35"/>
      <c r="AE243" s="35"/>
      <c r="AF243" s="35"/>
      <c r="AG243" s="967"/>
    </row>
    <row r="244" spans="1:33" x14ac:dyDescent="0.15">
      <c r="C244" t="s">
        <v>4680</v>
      </c>
    </row>
    <row r="505" spans="23:23" x14ac:dyDescent="0.15">
      <c r="W505" t="s">
        <v>7027</v>
      </c>
    </row>
    <row r="506" spans="23:23" x14ac:dyDescent="0.15">
      <c r="W506" t="s">
        <v>7028</v>
      </c>
    </row>
    <row r="507" spans="23:23" x14ac:dyDescent="0.15">
      <c r="W507" t="s">
        <v>7029</v>
      </c>
    </row>
  </sheetData>
  <autoFilter ref="A2:AG244" xr:uid="{00000000-0009-0000-0000-000000000000}"/>
  <mergeCells count="1">
    <mergeCell ref="A1:AF1"/>
  </mergeCells>
  <phoneticPr fontId="22"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20"/>
  <sheetViews>
    <sheetView zoomScaleNormal="100" workbookViewId="0">
      <pane xSplit="2" ySplit="2" topLeftCell="C107" activePane="bottomRight" state="frozen"/>
      <selection pane="topRight" activeCell="C1" sqref="C1"/>
      <selection pane="bottomLeft" activeCell="A3" sqref="A3"/>
      <selection pane="bottomRight" activeCell="H116" sqref="H116:N11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9" width="12.25" style="38" customWidth="1"/>
    <col min="30" max="30" width="10.875" customWidth="1"/>
    <col min="31" max="31" width="13.75" customWidth="1"/>
    <col min="33" max="33" width="37.875" customWidth="1"/>
  </cols>
  <sheetData>
    <row r="1" spans="1:33" s="3" customFormat="1" ht="33" customHeight="1" x14ac:dyDescent="0.15">
      <c r="A1" s="1953" t="s">
        <v>7542</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row>
    <row r="2" spans="1:33" s="4" customFormat="1" ht="27.95" customHeight="1" x14ac:dyDescent="0.15">
      <c r="A2" s="25" t="s">
        <v>0</v>
      </c>
      <c r="B2" s="25" t="s">
        <v>1</v>
      </c>
      <c r="C2" s="25" t="s">
        <v>2</v>
      </c>
      <c r="D2" s="25" t="s">
        <v>3</v>
      </c>
      <c r="E2" s="25" t="s">
        <v>958</v>
      </c>
      <c r="F2" s="25" t="s">
        <v>4</v>
      </c>
      <c r="G2" s="25" t="s">
        <v>5</v>
      </c>
      <c r="H2" s="25" t="s">
        <v>7</v>
      </c>
      <c r="I2" s="25" t="s">
        <v>6</v>
      </c>
      <c r="J2" s="25" t="s">
        <v>419</v>
      </c>
      <c r="K2" s="25" t="s">
        <v>420</v>
      </c>
      <c r="L2" s="25" t="s">
        <v>1825</v>
      </c>
      <c r="M2" s="25" t="s">
        <v>1857</v>
      </c>
      <c r="N2" s="25" t="s">
        <v>10</v>
      </c>
      <c r="O2" s="25" t="s">
        <v>8</v>
      </c>
      <c r="P2" s="25" t="s">
        <v>9</v>
      </c>
      <c r="Q2" s="25" t="s">
        <v>3342</v>
      </c>
      <c r="R2" s="25" t="s">
        <v>3343</v>
      </c>
      <c r="S2" s="25" t="s">
        <v>2126</v>
      </c>
      <c r="T2" s="49" t="s">
        <v>2127</v>
      </c>
      <c r="U2" s="32" t="s">
        <v>14</v>
      </c>
      <c r="V2" s="32" t="s">
        <v>13</v>
      </c>
      <c r="W2" s="25" t="s">
        <v>11</v>
      </c>
      <c r="X2" s="25" t="s">
        <v>12</v>
      </c>
      <c r="Y2" s="134" t="s">
        <v>429</v>
      </c>
      <c r="Z2" s="134" t="s">
        <v>2183</v>
      </c>
      <c r="AA2" s="134" t="s">
        <v>431</v>
      </c>
      <c r="AB2" s="134" t="s">
        <v>6455</v>
      </c>
      <c r="AC2" s="134" t="s">
        <v>6456</v>
      </c>
      <c r="AD2" s="25" t="s">
        <v>2124</v>
      </c>
      <c r="AE2" s="25" t="s">
        <v>2123</v>
      </c>
      <c r="AF2" s="25" t="s">
        <v>2125</v>
      </c>
      <c r="AG2" s="25" t="s">
        <v>3252</v>
      </c>
    </row>
    <row r="3" spans="1:33" s="11" customFormat="1" ht="26.25" customHeight="1" x14ac:dyDescent="0.15">
      <c r="A3" s="8">
        <v>1</v>
      </c>
      <c r="B3" s="36" t="s">
        <v>6478</v>
      </c>
      <c r="C3" s="26" t="s">
        <v>19</v>
      </c>
      <c r="D3" s="26" t="s">
        <v>19</v>
      </c>
      <c r="E3" s="26" t="s">
        <v>19</v>
      </c>
      <c r="F3" s="149" t="s">
        <v>845</v>
      </c>
      <c r="G3" s="26" t="s">
        <v>19</v>
      </c>
      <c r="H3" s="18" t="s">
        <v>1829</v>
      </c>
      <c r="I3" s="142" t="s">
        <v>849</v>
      </c>
      <c r="J3" s="21" t="s">
        <v>852</v>
      </c>
      <c r="K3" s="22" t="s">
        <v>855</v>
      </c>
      <c r="L3" s="22" t="s">
        <v>1826</v>
      </c>
      <c r="M3" s="22" t="s">
        <v>1880</v>
      </c>
      <c r="N3" s="706" t="s">
        <v>102</v>
      </c>
      <c r="O3" s="54" t="s">
        <v>851</v>
      </c>
      <c r="P3" s="22" t="s">
        <v>1880</v>
      </c>
      <c r="Q3" s="706" t="s">
        <v>854</v>
      </c>
      <c r="R3" s="706" t="s">
        <v>854</v>
      </c>
      <c r="S3" s="24" t="s">
        <v>111</v>
      </c>
      <c r="T3" s="90" t="s">
        <v>111</v>
      </c>
      <c r="U3" s="24" t="s">
        <v>111</v>
      </c>
      <c r="V3" s="24" t="s">
        <v>1880</v>
      </c>
      <c r="W3" s="24" t="s">
        <v>6425</v>
      </c>
      <c r="X3" s="24" t="s">
        <v>5552</v>
      </c>
      <c r="Y3" s="30"/>
      <c r="Z3" s="30">
        <v>12</v>
      </c>
      <c r="AA3" s="30">
        <f>Y3+Z3</f>
        <v>12</v>
      </c>
      <c r="AB3" s="59"/>
      <c r="AC3" s="59"/>
      <c r="AD3" s="35" t="s">
        <v>1104</v>
      </c>
      <c r="AE3" s="202" t="s">
        <v>19</v>
      </c>
      <c r="AF3" s="35" t="s">
        <v>1880</v>
      </c>
      <c r="AG3" s="706" t="s">
        <v>5193</v>
      </c>
    </row>
    <row r="4" spans="1:33" s="11" customFormat="1" ht="26.25" customHeight="1" x14ac:dyDescent="0.15">
      <c r="A4" s="8">
        <v>2</v>
      </c>
      <c r="B4" s="36" t="s">
        <v>6479</v>
      </c>
      <c r="C4" s="26" t="s">
        <v>19</v>
      </c>
      <c r="D4" s="26" t="s">
        <v>19</v>
      </c>
      <c r="E4" s="26" t="s">
        <v>19</v>
      </c>
      <c r="F4" s="29" t="s">
        <v>5635</v>
      </c>
      <c r="G4" s="53" t="s">
        <v>6483</v>
      </c>
      <c r="H4" s="705" t="s">
        <v>4712</v>
      </c>
      <c r="I4" s="705" t="s">
        <v>4196</v>
      </c>
      <c r="J4" s="705" t="s">
        <v>5637</v>
      </c>
      <c r="K4" s="22" t="s">
        <v>4780</v>
      </c>
      <c r="L4" s="22" t="s">
        <v>5431</v>
      </c>
      <c r="M4" s="707" t="s">
        <v>111</v>
      </c>
      <c r="N4" s="706" t="s">
        <v>1131</v>
      </c>
      <c r="O4" s="54" t="s">
        <v>5638</v>
      </c>
      <c r="P4" s="22" t="s">
        <v>1880</v>
      </c>
      <c r="Q4" s="706" t="s">
        <v>5571</v>
      </c>
      <c r="R4" s="706" t="s">
        <v>5571</v>
      </c>
      <c r="S4" s="24" t="s">
        <v>6484</v>
      </c>
      <c r="T4" s="90" t="s">
        <v>6485</v>
      </c>
      <c r="U4" s="24" t="s">
        <v>108</v>
      </c>
      <c r="V4" s="24">
        <v>1</v>
      </c>
      <c r="W4" s="24" t="s">
        <v>6425</v>
      </c>
      <c r="X4" s="24" t="s">
        <v>5552</v>
      </c>
      <c r="Y4" s="30">
        <v>4</v>
      </c>
      <c r="Z4" s="30">
        <v>12.5</v>
      </c>
      <c r="AA4" s="30">
        <v>16.5</v>
      </c>
      <c r="AB4" s="59"/>
      <c r="AC4" s="59"/>
      <c r="AD4" s="35" t="s">
        <v>1104</v>
      </c>
      <c r="AE4" s="202" t="s">
        <v>19</v>
      </c>
      <c r="AF4" s="35" t="s">
        <v>1880</v>
      </c>
      <c r="AG4" s="706"/>
    </row>
    <row r="5" spans="1:33" s="11" customFormat="1" ht="26.25" customHeight="1" x14ac:dyDescent="0.15">
      <c r="A5" s="8">
        <v>3</v>
      </c>
      <c r="B5" s="36" t="s">
        <v>6480</v>
      </c>
      <c r="C5" s="26" t="s">
        <v>19</v>
      </c>
      <c r="D5" s="26" t="s">
        <v>19</v>
      </c>
      <c r="E5" s="26" t="s">
        <v>19</v>
      </c>
      <c r="F5" s="29" t="s">
        <v>5640</v>
      </c>
      <c r="G5" s="53" t="s">
        <v>6486</v>
      </c>
      <c r="H5" s="705" t="s">
        <v>4712</v>
      </c>
      <c r="I5" s="705" t="s">
        <v>4196</v>
      </c>
      <c r="J5" s="705" t="s">
        <v>5430</v>
      </c>
      <c r="K5" s="22" t="s">
        <v>4780</v>
      </c>
      <c r="L5" s="22" t="s">
        <v>5431</v>
      </c>
      <c r="M5" s="707" t="s">
        <v>111</v>
      </c>
      <c r="N5" s="706" t="s">
        <v>1131</v>
      </c>
      <c r="O5" s="54" t="s">
        <v>5638</v>
      </c>
      <c r="P5" s="22" t="s">
        <v>1880</v>
      </c>
      <c r="Q5" s="706" t="s">
        <v>5571</v>
      </c>
      <c r="R5" s="706" t="s">
        <v>5571</v>
      </c>
      <c r="S5" s="24" t="s">
        <v>6484</v>
      </c>
      <c r="T5" s="90" t="s">
        <v>6485</v>
      </c>
      <c r="U5" s="24" t="s">
        <v>108</v>
      </c>
      <c r="V5" s="24">
        <v>1</v>
      </c>
      <c r="W5" s="24" t="s">
        <v>6425</v>
      </c>
      <c r="X5" s="24" t="s">
        <v>5552</v>
      </c>
      <c r="Y5" s="30">
        <v>6</v>
      </c>
      <c r="Z5" s="30">
        <v>12.5</v>
      </c>
      <c r="AA5" s="30">
        <v>18.5</v>
      </c>
      <c r="AB5" s="59"/>
      <c r="AC5" s="59"/>
      <c r="AD5" s="35" t="s">
        <v>1104</v>
      </c>
      <c r="AE5" s="202" t="s">
        <v>19</v>
      </c>
      <c r="AF5" s="35" t="s">
        <v>1880</v>
      </c>
      <c r="AG5" s="706"/>
    </row>
    <row r="6" spans="1:33" s="11" customFormat="1" ht="26.25" customHeight="1" x14ac:dyDescent="0.15">
      <c r="A6" s="8">
        <v>4</v>
      </c>
      <c r="B6" s="36" t="s">
        <v>6481</v>
      </c>
      <c r="C6" s="26" t="s">
        <v>19</v>
      </c>
      <c r="D6" s="26" t="s">
        <v>19</v>
      </c>
      <c r="E6" s="26" t="s">
        <v>19</v>
      </c>
      <c r="F6" s="29" t="s">
        <v>5642</v>
      </c>
      <c r="G6" s="53" t="s">
        <v>6487</v>
      </c>
      <c r="H6" s="705" t="s">
        <v>4712</v>
      </c>
      <c r="I6" s="705" t="s">
        <v>4196</v>
      </c>
      <c r="J6" s="705" t="s">
        <v>5395</v>
      </c>
      <c r="K6" s="22" t="s">
        <v>4780</v>
      </c>
      <c r="L6" s="22" t="s">
        <v>5431</v>
      </c>
      <c r="M6" s="707" t="s">
        <v>111</v>
      </c>
      <c r="N6" s="706" t="s">
        <v>1131</v>
      </c>
      <c r="O6" s="54" t="s">
        <v>5638</v>
      </c>
      <c r="P6" s="22" t="s">
        <v>1880</v>
      </c>
      <c r="Q6" s="706" t="s">
        <v>5571</v>
      </c>
      <c r="R6" s="706" t="s">
        <v>5571</v>
      </c>
      <c r="S6" s="24" t="s">
        <v>6484</v>
      </c>
      <c r="T6" s="90" t="s">
        <v>6485</v>
      </c>
      <c r="U6" s="24" t="s">
        <v>108</v>
      </c>
      <c r="V6" s="24">
        <v>1</v>
      </c>
      <c r="W6" s="24" t="s">
        <v>6425</v>
      </c>
      <c r="X6" s="24" t="s">
        <v>5552</v>
      </c>
      <c r="Y6" s="30">
        <v>4</v>
      </c>
      <c r="Z6" s="30">
        <v>12.5</v>
      </c>
      <c r="AA6" s="30">
        <v>16.5</v>
      </c>
      <c r="AB6" s="59"/>
      <c r="AC6" s="59"/>
      <c r="AD6" s="35" t="s">
        <v>1104</v>
      </c>
      <c r="AE6" s="202" t="s">
        <v>19</v>
      </c>
      <c r="AF6" s="35" t="s">
        <v>1880</v>
      </c>
      <c r="AG6" s="706"/>
    </row>
    <row r="7" spans="1:33" s="11" customFormat="1" ht="26.25" customHeight="1" x14ac:dyDescent="0.15">
      <c r="A7" s="8">
        <v>5</v>
      </c>
      <c r="B7" s="36" t="s">
        <v>6482</v>
      </c>
      <c r="C7" s="26" t="s">
        <v>19</v>
      </c>
      <c r="D7" s="26" t="s">
        <v>19</v>
      </c>
      <c r="E7" s="26" t="s">
        <v>19</v>
      </c>
      <c r="F7" s="29" t="s">
        <v>5644</v>
      </c>
      <c r="G7" s="53" t="s">
        <v>6488</v>
      </c>
      <c r="H7" s="705" t="s">
        <v>4712</v>
      </c>
      <c r="I7" s="705" t="s">
        <v>4196</v>
      </c>
      <c r="J7" s="705" t="s">
        <v>5646</v>
      </c>
      <c r="K7" s="22" t="s">
        <v>4780</v>
      </c>
      <c r="L7" s="22" t="s">
        <v>5431</v>
      </c>
      <c r="M7" s="707" t="s">
        <v>111</v>
      </c>
      <c r="N7" s="706" t="s">
        <v>1131</v>
      </c>
      <c r="O7" s="54" t="s">
        <v>5638</v>
      </c>
      <c r="P7" s="22" t="s">
        <v>1880</v>
      </c>
      <c r="Q7" s="706" t="s">
        <v>5571</v>
      </c>
      <c r="R7" s="706" t="s">
        <v>5571</v>
      </c>
      <c r="S7" s="24" t="s">
        <v>6484</v>
      </c>
      <c r="T7" s="90" t="s">
        <v>6485</v>
      </c>
      <c r="U7" s="24" t="s">
        <v>108</v>
      </c>
      <c r="V7" s="24">
        <v>1</v>
      </c>
      <c r="W7" s="24" t="s">
        <v>6425</v>
      </c>
      <c r="X7" s="24" t="s">
        <v>5552</v>
      </c>
      <c r="Y7" s="30">
        <v>4</v>
      </c>
      <c r="Z7" s="30">
        <v>12.5</v>
      </c>
      <c r="AA7" s="30">
        <v>16.5</v>
      </c>
      <c r="AB7" s="59"/>
      <c r="AC7" s="59"/>
      <c r="AD7" s="35" t="s">
        <v>1104</v>
      </c>
      <c r="AE7" s="202" t="s">
        <v>19</v>
      </c>
      <c r="AF7" s="35" t="s">
        <v>1880</v>
      </c>
      <c r="AG7" s="706"/>
    </row>
    <row r="8" spans="1:33" s="11" customFormat="1" ht="26.25" customHeight="1" x14ac:dyDescent="0.15">
      <c r="A8" s="8">
        <v>6</v>
      </c>
      <c r="B8" s="36" t="s">
        <v>6490</v>
      </c>
      <c r="C8" s="26" t="s">
        <v>19</v>
      </c>
      <c r="D8" s="711" t="s">
        <v>6489</v>
      </c>
      <c r="E8" s="26" t="s">
        <v>19</v>
      </c>
      <c r="F8" s="29" t="s">
        <v>5497</v>
      </c>
      <c r="G8" s="53" t="s">
        <v>6491</v>
      </c>
      <c r="H8" s="705" t="s">
        <v>3641</v>
      </c>
      <c r="I8" s="705" t="s">
        <v>1789</v>
      </c>
      <c r="J8" s="705" t="s">
        <v>5086</v>
      </c>
      <c r="K8" s="22" t="s">
        <v>5087</v>
      </c>
      <c r="L8" s="707" t="s">
        <v>1826</v>
      </c>
      <c r="M8" s="707" t="s">
        <v>111</v>
      </c>
      <c r="N8" s="28" t="s">
        <v>25</v>
      </c>
      <c r="O8" s="54" t="s">
        <v>4753</v>
      </c>
      <c r="P8" s="22" t="s">
        <v>1880</v>
      </c>
      <c r="Q8" s="706" t="s">
        <v>446</v>
      </c>
      <c r="R8" s="706" t="s">
        <v>446</v>
      </c>
      <c r="S8" s="24" t="s">
        <v>6484</v>
      </c>
      <c r="T8" s="90" t="s">
        <v>6389</v>
      </c>
      <c r="U8" s="24" t="s">
        <v>110</v>
      </c>
      <c r="V8" s="24">
        <v>1</v>
      </c>
      <c r="W8" s="24" t="s">
        <v>448</v>
      </c>
      <c r="X8" s="24" t="s">
        <v>448</v>
      </c>
      <c r="Y8" s="30">
        <v>3.5</v>
      </c>
      <c r="Z8" s="30"/>
      <c r="AA8" s="30">
        <v>3.5</v>
      </c>
      <c r="AB8" s="59"/>
      <c r="AC8" s="59"/>
      <c r="AD8" s="35" t="s">
        <v>1104</v>
      </c>
      <c r="AE8" s="202" t="s">
        <v>19</v>
      </c>
      <c r="AF8" s="35" t="s">
        <v>1880</v>
      </c>
      <c r="AG8" s="706"/>
    </row>
    <row r="9" spans="1:33" s="11" customFormat="1" ht="26.25" customHeight="1" x14ac:dyDescent="0.15">
      <c r="A9" s="8">
        <v>7</v>
      </c>
      <c r="B9" s="36" t="s">
        <v>6492</v>
      </c>
      <c r="C9" s="26" t="s">
        <v>19</v>
      </c>
      <c r="D9" s="26" t="s">
        <v>19</v>
      </c>
      <c r="E9" s="26" t="s">
        <v>19</v>
      </c>
      <c r="F9" s="29" t="s">
        <v>5497</v>
      </c>
      <c r="G9" s="53" t="s">
        <v>6493</v>
      </c>
      <c r="H9" s="705" t="s">
        <v>3641</v>
      </c>
      <c r="I9" s="705" t="s">
        <v>1789</v>
      </c>
      <c r="J9" s="705" t="s">
        <v>5086</v>
      </c>
      <c r="K9" s="22" t="s">
        <v>5087</v>
      </c>
      <c r="L9" s="707" t="s">
        <v>1826</v>
      </c>
      <c r="M9" s="707" t="s">
        <v>111</v>
      </c>
      <c r="N9" s="28" t="s">
        <v>25</v>
      </c>
      <c r="O9" s="222" t="s">
        <v>1819</v>
      </c>
      <c r="P9" s="707" t="s">
        <v>111</v>
      </c>
      <c r="Q9" s="706" t="s">
        <v>1785</v>
      </c>
      <c r="R9" s="706" t="s">
        <v>1785</v>
      </c>
      <c r="S9" s="24" t="s">
        <v>6494</v>
      </c>
      <c r="T9" s="90" t="s">
        <v>6469</v>
      </c>
      <c r="U9" s="707" t="s">
        <v>2359</v>
      </c>
      <c r="V9" s="707">
        <v>1</v>
      </c>
      <c r="W9" s="223" t="s">
        <v>6496</v>
      </c>
      <c r="X9" s="223" t="s">
        <v>6497</v>
      </c>
      <c r="Y9" s="30"/>
      <c r="Z9" s="328">
        <v>7.5</v>
      </c>
      <c r="AA9" s="30">
        <v>7.5</v>
      </c>
      <c r="AB9" s="59"/>
      <c r="AC9" s="59"/>
      <c r="AD9" s="707" t="s">
        <v>1104</v>
      </c>
      <c r="AE9" s="202" t="s">
        <v>1880</v>
      </c>
      <c r="AF9" s="133" t="s">
        <v>1880</v>
      </c>
      <c r="AG9" s="706" t="s">
        <v>6498</v>
      </c>
    </row>
    <row r="10" spans="1:33" s="11" customFormat="1" ht="26.25" customHeight="1" x14ac:dyDescent="0.15">
      <c r="A10" s="8">
        <v>8</v>
      </c>
      <c r="B10" s="36" t="s">
        <v>6499</v>
      </c>
      <c r="C10" s="26" t="s">
        <v>19</v>
      </c>
      <c r="D10" s="26" t="s">
        <v>19</v>
      </c>
      <c r="E10" s="26" t="s">
        <v>19</v>
      </c>
      <c r="F10" s="29" t="s">
        <v>5497</v>
      </c>
      <c r="G10" s="53" t="s">
        <v>6500</v>
      </c>
      <c r="H10" s="705" t="s">
        <v>3641</v>
      </c>
      <c r="I10" s="102" t="s">
        <v>1789</v>
      </c>
      <c r="J10" s="37" t="s">
        <v>5499</v>
      </c>
      <c r="K10" s="22" t="s">
        <v>1138</v>
      </c>
      <c r="L10" s="22" t="s">
        <v>1826</v>
      </c>
      <c r="M10" s="707" t="s">
        <v>111</v>
      </c>
      <c r="N10" s="706" t="s">
        <v>1818</v>
      </c>
      <c r="O10" s="54" t="s">
        <v>116</v>
      </c>
      <c r="P10" s="22" t="s">
        <v>1880</v>
      </c>
      <c r="Q10" s="706" t="s">
        <v>446</v>
      </c>
      <c r="R10" s="706" t="s">
        <v>446</v>
      </c>
      <c r="S10" s="24" t="s">
        <v>6494</v>
      </c>
      <c r="T10" s="90" t="s">
        <v>6469</v>
      </c>
      <c r="U10" s="24" t="s">
        <v>108</v>
      </c>
      <c r="V10" s="24">
        <v>1</v>
      </c>
      <c r="W10" s="24" t="s">
        <v>6501</v>
      </c>
      <c r="X10" s="24" t="s">
        <v>6502</v>
      </c>
      <c r="Y10" s="30"/>
      <c r="Z10" s="30">
        <v>8</v>
      </c>
      <c r="AA10" s="30">
        <v>8</v>
      </c>
      <c r="AB10" s="59"/>
      <c r="AC10" s="59"/>
      <c r="AD10" s="707" t="s">
        <v>1104</v>
      </c>
      <c r="AE10" s="202" t="s">
        <v>1880</v>
      </c>
      <c r="AF10" s="133" t="s">
        <v>1880</v>
      </c>
      <c r="AG10" s="706" t="s">
        <v>6498</v>
      </c>
    </row>
    <row r="11" spans="1:33" s="11" customFormat="1" ht="26.25" customHeight="1" x14ac:dyDescent="0.15">
      <c r="A11" s="8">
        <v>9</v>
      </c>
      <c r="B11" s="36" t="s">
        <v>6503</v>
      </c>
      <c r="C11" s="26" t="s">
        <v>19</v>
      </c>
      <c r="D11" s="711" t="s">
        <v>6504</v>
      </c>
      <c r="E11" s="26" t="s">
        <v>19</v>
      </c>
      <c r="F11" s="29" t="s">
        <v>5497</v>
      </c>
      <c r="G11" s="53" t="s">
        <v>6505</v>
      </c>
      <c r="H11" s="705" t="s">
        <v>3641</v>
      </c>
      <c r="I11" s="102" t="s">
        <v>1789</v>
      </c>
      <c r="J11" s="37" t="s">
        <v>5499</v>
      </c>
      <c r="K11" s="22" t="s">
        <v>1138</v>
      </c>
      <c r="L11" s="22" t="s">
        <v>1826</v>
      </c>
      <c r="M11" s="707" t="s">
        <v>111</v>
      </c>
      <c r="N11" s="706" t="s">
        <v>1818</v>
      </c>
      <c r="O11" s="54" t="s">
        <v>5567</v>
      </c>
      <c r="P11" s="22" t="s">
        <v>1880</v>
      </c>
      <c r="Q11" s="706" t="s">
        <v>446</v>
      </c>
      <c r="R11" s="706" t="s">
        <v>446</v>
      </c>
      <c r="S11" s="24" t="s">
        <v>6494</v>
      </c>
      <c r="T11" s="90" t="s">
        <v>6389</v>
      </c>
      <c r="U11" s="24" t="s">
        <v>110</v>
      </c>
      <c r="V11" s="24">
        <v>1</v>
      </c>
      <c r="W11" s="24" t="s">
        <v>448</v>
      </c>
      <c r="X11" s="24" t="s">
        <v>448</v>
      </c>
      <c r="Y11" s="30">
        <v>1.2</v>
      </c>
      <c r="Z11" s="30"/>
      <c r="AA11" s="30">
        <v>1.2</v>
      </c>
      <c r="AB11" s="59"/>
      <c r="AC11" s="59"/>
      <c r="AD11" s="707" t="s">
        <v>1104</v>
      </c>
      <c r="AE11" s="202" t="s">
        <v>1880</v>
      </c>
      <c r="AF11" s="133" t="s">
        <v>1880</v>
      </c>
      <c r="AG11" s="706"/>
    </row>
    <row r="12" spans="1:33" s="11" customFormat="1" ht="26.25" customHeight="1" x14ac:dyDescent="0.15">
      <c r="A12" s="8">
        <v>10</v>
      </c>
      <c r="B12" s="36" t="s">
        <v>6506</v>
      </c>
      <c r="C12" s="26" t="s">
        <v>19</v>
      </c>
      <c r="D12" s="711" t="s">
        <v>19</v>
      </c>
      <c r="E12" s="26" t="s">
        <v>19</v>
      </c>
      <c r="F12" s="29" t="s">
        <v>5497</v>
      </c>
      <c r="G12" s="53" t="s">
        <v>6507</v>
      </c>
      <c r="H12" s="705" t="s">
        <v>3641</v>
      </c>
      <c r="I12" s="705" t="s">
        <v>1789</v>
      </c>
      <c r="J12" s="705" t="s">
        <v>5080</v>
      </c>
      <c r="K12" s="22" t="s">
        <v>1138</v>
      </c>
      <c r="L12" s="707" t="s">
        <v>1826</v>
      </c>
      <c r="M12" s="707" t="s">
        <v>111</v>
      </c>
      <c r="N12" s="28" t="s">
        <v>25</v>
      </c>
      <c r="O12" s="222" t="s">
        <v>1819</v>
      </c>
      <c r="P12" s="707" t="s">
        <v>111</v>
      </c>
      <c r="Q12" s="706" t="s">
        <v>1785</v>
      </c>
      <c r="R12" s="706" t="s">
        <v>1785</v>
      </c>
      <c r="S12" s="24" t="s">
        <v>6494</v>
      </c>
      <c r="T12" s="90" t="s">
        <v>6469</v>
      </c>
      <c r="U12" s="707" t="s">
        <v>2359</v>
      </c>
      <c r="V12" s="707">
        <v>1</v>
      </c>
      <c r="W12" s="24" t="s">
        <v>6508</v>
      </c>
      <c r="X12" s="24" t="s">
        <v>6509</v>
      </c>
      <c r="Y12" s="30"/>
      <c r="Z12" s="328">
        <v>8</v>
      </c>
      <c r="AA12" s="30">
        <v>8</v>
      </c>
      <c r="AB12" s="59"/>
      <c r="AC12" s="59"/>
      <c r="AD12" s="707" t="s">
        <v>1104</v>
      </c>
      <c r="AE12" s="202" t="s">
        <v>1880</v>
      </c>
      <c r="AF12" s="133" t="s">
        <v>1880</v>
      </c>
      <c r="AG12" s="706" t="s">
        <v>6498</v>
      </c>
    </row>
    <row r="13" spans="1:33" s="11" customFormat="1" ht="26.25" customHeight="1" x14ac:dyDescent="0.15">
      <c r="A13" s="8">
        <v>11</v>
      </c>
      <c r="B13" s="36" t="s">
        <v>6511</v>
      </c>
      <c r="C13" s="26" t="s">
        <v>19</v>
      </c>
      <c r="D13" s="711" t="s">
        <v>6510</v>
      </c>
      <c r="E13" s="26" t="s">
        <v>19</v>
      </c>
      <c r="F13" s="29" t="s">
        <v>5497</v>
      </c>
      <c r="G13" s="53" t="s">
        <v>6512</v>
      </c>
      <c r="H13" s="705" t="s">
        <v>3641</v>
      </c>
      <c r="I13" s="705" t="s">
        <v>1789</v>
      </c>
      <c r="J13" s="705" t="s">
        <v>5080</v>
      </c>
      <c r="K13" s="22" t="s">
        <v>1138</v>
      </c>
      <c r="L13" s="707" t="s">
        <v>1826</v>
      </c>
      <c r="M13" s="707" t="s">
        <v>111</v>
      </c>
      <c r="N13" s="706" t="s">
        <v>1818</v>
      </c>
      <c r="O13" s="54" t="s">
        <v>5567</v>
      </c>
      <c r="P13" s="707" t="s">
        <v>111</v>
      </c>
      <c r="Q13" s="706" t="s">
        <v>1785</v>
      </c>
      <c r="R13" s="706" t="s">
        <v>1785</v>
      </c>
      <c r="S13" s="24" t="s">
        <v>6494</v>
      </c>
      <c r="T13" s="90" t="s">
        <v>6389</v>
      </c>
      <c r="U13" s="24" t="s">
        <v>110</v>
      </c>
      <c r="V13" s="24">
        <v>1</v>
      </c>
      <c r="W13" s="24" t="s">
        <v>448</v>
      </c>
      <c r="X13" s="24" t="s">
        <v>448</v>
      </c>
      <c r="Y13" s="30">
        <v>1.2</v>
      </c>
      <c r="Z13" s="30"/>
      <c r="AA13" s="30">
        <v>1.2</v>
      </c>
      <c r="AB13" s="59"/>
      <c r="AC13" s="59"/>
      <c r="AD13" s="707" t="s">
        <v>1104</v>
      </c>
      <c r="AE13" s="202" t="s">
        <v>1880</v>
      </c>
      <c r="AF13" s="133" t="s">
        <v>1880</v>
      </c>
      <c r="AG13" s="706"/>
    </row>
    <row r="14" spans="1:33" s="11" customFormat="1" ht="26.25" customHeight="1" x14ac:dyDescent="0.15">
      <c r="A14" s="8">
        <v>12</v>
      </c>
      <c r="B14" s="36" t="s">
        <v>6513</v>
      </c>
      <c r="C14" s="26" t="s">
        <v>19</v>
      </c>
      <c r="D14" s="26" t="s">
        <v>19</v>
      </c>
      <c r="E14" s="26" t="s">
        <v>19</v>
      </c>
      <c r="F14" s="29" t="s">
        <v>412</v>
      </c>
      <c r="G14" s="53" t="s">
        <v>6519</v>
      </c>
      <c r="H14" s="705" t="s">
        <v>1147</v>
      </c>
      <c r="I14" s="705" t="s">
        <v>2067</v>
      </c>
      <c r="J14" s="705" t="s">
        <v>1808</v>
      </c>
      <c r="K14" s="22" t="s">
        <v>1138</v>
      </c>
      <c r="L14" s="707" t="s">
        <v>1826</v>
      </c>
      <c r="M14" s="707" t="s">
        <v>111</v>
      </c>
      <c r="N14" s="28" t="s">
        <v>25</v>
      </c>
      <c r="O14" s="222" t="s">
        <v>1819</v>
      </c>
      <c r="P14" s="707" t="s">
        <v>19</v>
      </c>
      <c r="Q14" s="706" t="s">
        <v>1811</v>
      </c>
      <c r="R14" s="706" t="s">
        <v>2072</v>
      </c>
      <c r="S14" s="24" t="s">
        <v>6494</v>
      </c>
      <c r="T14" s="90" t="s">
        <v>6407</v>
      </c>
      <c r="U14" s="707" t="s">
        <v>1800</v>
      </c>
      <c r="V14" s="707">
        <v>1</v>
      </c>
      <c r="W14" s="24" t="s">
        <v>6495</v>
      </c>
      <c r="X14" s="24" t="s">
        <v>4430</v>
      </c>
      <c r="Y14" s="30"/>
      <c r="Z14" s="328">
        <v>15</v>
      </c>
      <c r="AA14" s="30">
        <v>15</v>
      </c>
      <c r="AB14" s="59"/>
      <c r="AC14" s="59"/>
      <c r="AD14" s="707" t="s">
        <v>1104</v>
      </c>
      <c r="AE14" s="202" t="s">
        <v>1880</v>
      </c>
      <c r="AF14" s="133" t="s">
        <v>1880</v>
      </c>
      <c r="AG14" s="706"/>
    </row>
    <row r="15" spans="1:33" s="11" customFormat="1" ht="26.25" customHeight="1" x14ac:dyDescent="0.15">
      <c r="A15" s="8">
        <v>13</v>
      </c>
      <c r="B15" s="36" t="s">
        <v>6514</v>
      </c>
      <c r="C15" s="26" t="s">
        <v>19</v>
      </c>
      <c r="D15" s="26" t="s">
        <v>19</v>
      </c>
      <c r="E15" s="26" t="s">
        <v>19</v>
      </c>
      <c r="F15" s="29" t="s">
        <v>412</v>
      </c>
      <c r="G15" s="53" t="s">
        <v>6519</v>
      </c>
      <c r="H15" s="705" t="s">
        <v>1147</v>
      </c>
      <c r="I15" s="705" t="s">
        <v>2067</v>
      </c>
      <c r="J15" s="705" t="s">
        <v>3801</v>
      </c>
      <c r="K15" s="22" t="s">
        <v>1138</v>
      </c>
      <c r="L15" s="707" t="s">
        <v>1826</v>
      </c>
      <c r="M15" s="707" t="s">
        <v>111</v>
      </c>
      <c r="N15" s="28" t="s">
        <v>25</v>
      </c>
      <c r="O15" s="222" t="s">
        <v>1819</v>
      </c>
      <c r="P15" s="707" t="s">
        <v>19</v>
      </c>
      <c r="Q15" s="706" t="s">
        <v>1811</v>
      </c>
      <c r="R15" s="706" t="s">
        <v>2072</v>
      </c>
      <c r="S15" s="24" t="s">
        <v>6494</v>
      </c>
      <c r="T15" s="90" t="s">
        <v>6407</v>
      </c>
      <c r="U15" s="707" t="s">
        <v>1800</v>
      </c>
      <c r="V15" s="707">
        <v>1</v>
      </c>
      <c r="W15" s="24" t="s">
        <v>6495</v>
      </c>
      <c r="X15" s="24" t="s">
        <v>4430</v>
      </c>
      <c r="Y15" s="30"/>
      <c r="Z15" s="328">
        <v>15</v>
      </c>
      <c r="AA15" s="30">
        <v>15</v>
      </c>
      <c r="AB15" s="59"/>
      <c r="AC15" s="59"/>
      <c r="AD15" s="707" t="s">
        <v>1104</v>
      </c>
      <c r="AE15" s="202" t="s">
        <v>1880</v>
      </c>
      <c r="AF15" s="133" t="s">
        <v>1880</v>
      </c>
      <c r="AG15" s="706"/>
    </row>
    <row r="16" spans="1:33" s="11" customFormat="1" ht="26.25" customHeight="1" x14ac:dyDescent="0.15">
      <c r="A16" s="8">
        <v>14</v>
      </c>
      <c r="B16" s="36" t="s">
        <v>6515</v>
      </c>
      <c r="C16" s="26" t="s">
        <v>19</v>
      </c>
      <c r="D16" s="26" t="s">
        <v>19</v>
      </c>
      <c r="E16" s="26" t="s">
        <v>19</v>
      </c>
      <c r="F16" s="29" t="s">
        <v>6520</v>
      </c>
      <c r="G16" s="53" t="s">
        <v>6519</v>
      </c>
      <c r="H16" s="705" t="s">
        <v>1147</v>
      </c>
      <c r="I16" s="705" t="s">
        <v>2067</v>
      </c>
      <c r="J16" s="705" t="s">
        <v>3962</v>
      </c>
      <c r="K16" s="22" t="s">
        <v>1820</v>
      </c>
      <c r="L16" s="707" t="s">
        <v>1826</v>
      </c>
      <c r="M16" s="707" t="s">
        <v>111</v>
      </c>
      <c r="N16" s="28" t="s">
        <v>25</v>
      </c>
      <c r="O16" s="222" t="s">
        <v>1819</v>
      </c>
      <c r="P16" s="707" t="s">
        <v>19</v>
      </c>
      <c r="Q16" s="706" t="s">
        <v>1811</v>
      </c>
      <c r="R16" s="706" t="s">
        <v>2072</v>
      </c>
      <c r="S16" s="24" t="s">
        <v>6494</v>
      </c>
      <c r="T16" s="90" t="s">
        <v>6407</v>
      </c>
      <c r="U16" s="707" t="s">
        <v>1800</v>
      </c>
      <c r="V16" s="707">
        <v>1</v>
      </c>
      <c r="W16" s="24" t="s">
        <v>6495</v>
      </c>
      <c r="X16" s="24" t="s">
        <v>4430</v>
      </c>
      <c r="Y16" s="30"/>
      <c r="Z16" s="328">
        <v>15</v>
      </c>
      <c r="AA16" s="30">
        <v>15</v>
      </c>
      <c r="AB16" s="59"/>
      <c r="AC16" s="59"/>
      <c r="AD16" s="707" t="s">
        <v>1104</v>
      </c>
      <c r="AE16" s="202" t="s">
        <v>1880</v>
      </c>
      <c r="AF16" s="133" t="s">
        <v>1880</v>
      </c>
      <c r="AG16" s="706"/>
    </row>
    <row r="17" spans="1:33" s="11" customFormat="1" ht="26.25" customHeight="1" x14ac:dyDescent="0.15">
      <c r="A17" s="8">
        <v>15</v>
      </c>
      <c r="B17" s="36" t="s">
        <v>6516</v>
      </c>
      <c r="C17" s="26" t="s">
        <v>19</v>
      </c>
      <c r="D17" s="26" t="s">
        <v>19</v>
      </c>
      <c r="E17" s="26" t="s">
        <v>19</v>
      </c>
      <c r="F17" s="29" t="s">
        <v>6521</v>
      </c>
      <c r="G17" s="53" t="s">
        <v>6519</v>
      </c>
      <c r="H17" s="705" t="s">
        <v>1147</v>
      </c>
      <c r="I17" s="705" t="s">
        <v>2067</v>
      </c>
      <c r="J17" s="705" t="s">
        <v>2340</v>
      </c>
      <c r="K17" s="22" t="s">
        <v>1138</v>
      </c>
      <c r="L17" s="707" t="s">
        <v>1826</v>
      </c>
      <c r="M17" s="707" t="s">
        <v>111</v>
      </c>
      <c r="N17" s="28" t="s">
        <v>25</v>
      </c>
      <c r="O17" s="222" t="s">
        <v>1819</v>
      </c>
      <c r="P17" s="707" t="s">
        <v>19</v>
      </c>
      <c r="Q17" s="706" t="s">
        <v>1811</v>
      </c>
      <c r="R17" s="706" t="s">
        <v>2072</v>
      </c>
      <c r="S17" s="24" t="s">
        <v>6494</v>
      </c>
      <c r="T17" s="90" t="s">
        <v>6407</v>
      </c>
      <c r="U17" s="707" t="s">
        <v>1800</v>
      </c>
      <c r="V17" s="707">
        <v>1</v>
      </c>
      <c r="W17" s="24" t="s">
        <v>6495</v>
      </c>
      <c r="X17" s="24" t="s">
        <v>4430</v>
      </c>
      <c r="Y17" s="30"/>
      <c r="Z17" s="328">
        <v>15</v>
      </c>
      <c r="AA17" s="30">
        <v>15</v>
      </c>
      <c r="AB17" s="59"/>
      <c r="AC17" s="59"/>
      <c r="AD17" s="707" t="s">
        <v>1104</v>
      </c>
      <c r="AE17" s="202" t="s">
        <v>1880</v>
      </c>
      <c r="AF17" s="133" t="s">
        <v>1880</v>
      </c>
      <c r="AG17" s="706"/>
    </row>
    <row r="18" spans="1:33" s="11" customFormat="1" ht="26.25" customHeight="1" x14ac:dyDescent="0.15">
      <c r="A18" s="8">
        <v>16</v>
      </c>
      <c r="B18" s="36" t="s">
        <v>6517</v>
      </c>
      <c r="C18" s="26" t="s">
        <v>19</v>
      </c>
      <c r="D18" s="26" t="s">
        <v>19</v>
      </c>
      <c r="E18" s="26" t="s">
        <v>19</v>
      </c>
      <c r="F18" s="29" t="s">
        <v>6522</v>
      </c>
      <c r="G18" s="53" t="s">
        <v>6519</v>
      </c>
      <c r="H18" s="705" t="s">
        <v>1147</v>
      </c>
      <c r="I18" s="705" t="s">
        <v>2067</v>
      </c>
      <c r="J18" s="705" t="s">
        <v>4481</v>
      </c>
      <c r="K18" s="22" t="s">
        <v>4640</v>
      </c>
      <c r="L18" s="707" t="s">
        <v>1826</v>
      </c>
      <c r="M18" s="707" t="s">
        <v>111</v>
      </c>
      <c r="N18" s="28" t="s">
        <v>25</v>
      </c>
      <c r="O18" s="222" t="s">
        <v>1819</v>
      </c>
      <c r="P18" s="707" t="s">
        <v>19</v>
      </c>
      <c r="Q18" s="706" t="s">
        <v>1811</v>
      </c>
      <c r="R18" s="706" t="s">
        <v>2072</v>
      </c>
      <c r="S18" s="24" t="s">
        <v>6494</v>
      </c>
      <c r="T18" s="90" t="s">
        <v>6407</v>
      </c>
      <c r="U18" s="707" t="s">
        <v>1800</v>
      </c>
      <c r="V18" s="707">
        <v>1</v>
      </c>
      <c r="W18" s="24" t="s">
        <v>6495</v>
      </c>
      <c r="X18" s="24" t="s">
        <v>4430</v>
      </c>
      <c r="Y18" s="30"/>
      <c r="Z18" s="328">
        <v>15</v>
      </c>
      <c r="AA18" s="30">
        <v>15</v>
      </c>
      <c r="AB18" s="59"/>
      <c r="AC18" s="59"/>
      <c r="AD18" s="707" t="s">
        <v>1104</v>
      </c>
      <c r="AE18" s="202" t="s">
        <v>1880</v>
      </c>
      <c r="AF18" s="133" t="s">
        <v>1880</v>
      </c>
      <c r="AG18" s="706"/>
    </row>
    <row r="19" spans="1:33" s="11" customFormat="1" ht="26.25" customHeight="1" x14ac:dyDescent="0.15">
      <c r="A19" s="8">
        <v>17</v>
      </c>
      <c r="B19" s="36" t="s">
        <v>6518</v>
      </c>
      <c r="C19" s="26" t="s">
        <v>19</v>
      </c>
      <c r="D19" s="26" t="s">
        <v>19</v>
      </c>
      <c r="E19" s="26" t="s">
        <v>19</v>
      </c>
      <c r="F19" s="29" t="s">
        <v>438</v>
      </c>
      <c r="G19" s="53" t="s">
        <v>6519</v>
      </c>
      <c r="H19" s="705" t="s">
        <v>1147</v>
      </c>
      <c r="I19" s="705" t="s">
        <v>2067</v>
      </c>
      <c r="J19" s="705" t="s">
        <v>1821</v>
      </c>
      <c r="K19" s="22" t="s">
        <v>3805</v>
      </c>
      <c r="L19" s="707" t="s">
        <v>1826</v>
      </c>
      <c r="M19" s="707" t="s">
        <v>111</v>
      </c>
      <c r="N19" s="28" t="s">
        <v>25</v>
      </c>
      <c r="O19" s="222" t="s">
        <v>1819</v>
      </c>
      <c r="P19" s="707" t="s">
        <v>19</v>
      </c>
      <c r="Q19" s="706" t="s">
        <v>1811</v>
      </c>
      <c r="R19" s="706" t="s">
        <v>2072</v>
      </c>
      <c r="S19" s="24" t="s">
        <v>6494</v>
      </c>
      <c r="T19" s="90" t="s">
        <v>6407</v>
      </c>
      <c r="U19" s="707" t="s">
        <v>1800</v>
      </c>
      <c r="V19" s="707">
        <v>1</v>
      </c>
      <c r="W19" s="24" t="s">
        <v>6495</v>
      </c>
      <c r="X19" s="24" t="s">
        <v>4430</v>
      </c>
      <c r="Y19" s="30"/>
      <c r="Z19" s="328">
        <v>15</v>
      </c>
      <c r="AA19" s="30">
        <v>15</v>
      </c>
      <c r="AB19" s="59"/>
      <c r="AC19" s="59"/>
      <c r="AD19" s="707" t="s">
        <v>1104</v>
      </c>
      <c r="AE19" s="202" t="s">
        <v>1880</v>
      </c>
      <c r="AF19" s="133" t="s">
        <v>1880</v>
      </c>
      <c r="AG19" s="706"/>
    </row>
    <row r="20" spans="1:33" s="11" customFormat="1" ht="26.25" customHeight="1" x14ac:dyDescent="0.15">
      <c r="A20" s="8">
        <v>18</v>
      </c>
      <c r="B20" s="36" t="s">
        <v>6523</v>
      </c>
      <c r="C20" s="26" t="s">
        <v>19</v>
      </c>
      <c r="D20" s="26" t="s">
        <v>19</v>
      </c>
      <c r="E20" s="26" t="s">
        <v>19</v>
      </c>
      <c r="F20" s="151" t="s">
        <v>3552</v>
      </c>
      <c r="G20" s="54" t="s">
        <v>6524</v>
      </c>
      <c r="H20" s="707" t="s">
        <v>1881</v>
      </c>
      <c r="I20" s="707" t="s">
        <v>1146</v>
      </c>
      <c r="J20" s="21" t="s">
        <v>3554</v>
      </c>
      <c r="K20" s="707" t="s">
        <v>3555</v>
      </c>
      <c r="L20" s="707" t="s">
        <v>2142</v>
      </c>
      <c r="M20" s="707" t="s">
        <v>3556</v>
      </c>
      <c r="N20" s="707" t="s">
        <v>2422</v>
      </c>
      <c r="O20" s="151" t="s">
        <v>1819</v>
      </c>
      <c r="P20" s="707" t="s">
        <v>111</v>
      </c>
      <c r="Q20" s="707" t="s">
        <v>1151</v>
      </c>
      <c r="R20" s="707" t="s">
        <v>1151</v>
      </c>
      <c r="S20" s="24" t="s">
        <v>6494</v>
      </c>
      <c r="T20" s="130" t="s">
        <v>6525</v>
      </c>
      <c r="U20" s="707" t="s">
        <v>2359</v>
      </c>
      <c r="V20" s="707">
        <v>1</v>
      </c>
      <c r="W20" s="707" t="s">
        <v>6525</v>
      </c>
      <c r="X20" s="707" t="s">
        <v>6526</v>
      </c>
      <c r="Y20" s="150"/>
      <c r="Z20" s="150">
        <v>9.6</v>
      </c>
      <c r="AA20" s="150">
        <v>9.6</v>
      </c>
      <c r="AB20" s="59"/>
      <c r="AC20" s="59"/>
      <c r="AD20" s="707" t="s">
        <v>1104</v>
      </c>
      <c r="AE20" s="202" t="s">
        <v>1880</v>
      </c>
      <c r="AF20" s="133" t="s">
        <v>1880</v>
      </c>
      <c r="AG20" s="706" t="s">
        <v>6527</v>
      </c>
    </row>
    <row r="21" spans="1:33" s="11" customFormat="1" ht="26.25" customHeight="1" x14ac:dyDescent="0.15">
      <c r="A21" s="8">
        <v>19</v>
      </c>
      <c r="B21" s="36" t="s">
        <v>6528</v>
      </c>
      <c r="C21" s="26" t="s">
        <v>19</v>
      </c>
      <c r="D21" s="26" t="s">
        <v>19</v>
      </c>
      <c r="E21" s="26" t="s">
        <v>19</v>
      </c>
      <c r="F21" s="29" t="s">
        <v>5911</v>
      </c>
      <c r="G21" s="53" t="s">
        <v>6529</v>
      </c>
      <c r="H21" s="706" t="s">
        <v>4195</v>
      </c>
      <c r="I21" s="706" t="s">
        <v>4196</v>
      </c>
      <c r="J21" s="706" t="s">
        <v>5912</v>
      </c>
      <c r="K21" s="22" t="s">
        <v>4780</v>
      </c>
      <c r="L21" s="22" t="s">
        <v>5431</v>
      </c>
      <c r="M21" s="707" t="s">
        <v>111</v>
      </c>
      <c r="N21" s="707" t="s">
        <v>1818</v>
      </c>
      <c r="O21" s="54" t="s">
        <v>6261</v>
      </c>
      <c r="P21" s="22" t="s">
        <v>1880</v>
      </c>
      <c r="Q21" s="706" t="s">
        <v>1894</v>
      </c>
      <c r="R21" s="706" t="s">
        <v>1894</v>
      </c>
      <c r="S21" s="24" t="s">
        <v>6484</v>
      </c>
      <c r="T21" s="90" t="s">
        <v>5162</v>
      </c>
      <c r="U21" s="707" t="s">
        <v>1800</v>
      </c>
      <c r="V21" s="707">
        <v>1</v>
      </c>
      <c r="W21" s="24" t="s">
        <v>448</v>
      </c>
      <c r="X21" s="24" t="s">
        <v>448</v>
      </c>
      <c r="Y21" s="136">
        <v>5.3811960000000001</v>
      </c>
      <c r="Z21" s="30"/>
      <c r="AA21" s="136">
        <v>5.3811960000000001</v>
      </c>
      <c r="AB21" s="59"/>
      <c r="AC21" s="59"/>
      <c r="AD21" s="35" t="s">
        <v>1104</v>
      </c>
      <c r="AE21" s="202" t="s">
        <v>19</v>
      </c>
      <c r="AF21" s="35" t="s">
        <v>1880</v>
      </c>
      <c r="AG21" s="706"/>
    </row>
    <row r="22" spans="1:33" s="11" customFormat="1" ht="26.25" customHeight="1" x14ac:dyDescent="0.15">
      <c r="A22" s="8">
        <v>20</v>
      </c>
      <c r="B22" s="36" t="s">
        <v>6530</v>
      </c>
      <c r="C22" s="26" t="s">
        <v>19</v>
      </c>
      <c r="D22" s="26" t="s">
        <v>19</v>
      </c>
      <c r="E22" s="26" t="s">
        <v>19</v>
      </c>
      <c r="F22" s="29" t="s">
        <v>2481</v>
      </c>
      <c r="G22" s="53" t="s">
        <v>6533</v>
      </c>
      <c r="H22" s="708" t="s">
        <v>1147</v>
      </c>
      <c r="I22" s="708" t="s">
        <v>1789</v>
      </c>
      <c r="J22" s="37" t="s">
        <v>2484</v>
      </c>
      <c r="K22" s="22" t="s">
        <v>2485</v>
      </c>
      <c r="L22" s="22" t="s">
        <v>1826</v>
      </c>
      <c r="M22" s="710" t="s">
        <v>111</v>
      </c>
      <c r="N22" s="709" t="s">
        <v>1818</v>
      </c>
      <c r="O22" s="54" t="s">
        <v>1819</v>
      </c>
      <c r="P22" s="71" t="s">
        <v>19</v>
      </c>
      <c r="Q22" s="709" t="s">
        <v>1811</v>
      </c>
      <c r="R22" s="709" t="s">
        <v>2072</v>
      </c>
      <c r="S22" s="24" t="s">
        <v>6534</v>
      </c>
      <c r="T22" s="90" t="s">
        <v>6407</v>
      </c>
      <c r="U22" s="710" t="s">
        <v>1800</v>
      </c>
      <c r="V22" s="710">
        <v>1</v>
      </c>
      <c r="W22" s="24" t="s">
        <v>6534</v>
      </c>
      <c r="X22" s="24" t="s">
        <v>4430</v>
      </c>
      <c r="Y22" s="30"/>
      <c r="Z22" s="30">
        <v>14.85</v>
      </c>
      <c r="AA22" s="30">
        <v>14.85</v>
      </c>
      <c r="AB22" s="59"/>
      <c r="AC22" s="59"/>
      <c r="AD22" s="35" t="s">
        <v>1104</v>
      </c>
      <c r="AE22" s="202" t="s">
        <v>1880</v>
      </c>
      <c r="AF22" s="35" t="s">
        <v>1880</v>
      </c>
      <c r="AG22" s="709"/>
    </row>
    <row r="23" spans="1:33" s="11" customFormat="1" ht="26.25" customHeight="1" x14ac:dyDescent="0.15">
      <c r="A23" s="8">
        <v>21</v>
      </c>
      <c r="B23" s="36" t="s">
        <v>6531</v>
      </c>
      <c r="C23" s="26" t="s">
        <v>19</v>
      </c>
      <c r="D23" s="26" t="s">
        <v>19</v>
      </c>
      <c r="E23" s="26" t="s">
        <v>19</v>
      </c>
      <c r="F23" s="29" t="s">
        <v>2492</v>
      </c>
      <c r="G23" s="53" t="s">
        <v>6535</v>
      </c>
      <c r="H23" s="708" t="s">
        <v>1147</v>
      </c>
      <c r="I23" s="708" t="s">
        <v>1789</v>
      </c>
      <c r="J23" s="708" t="s">
        <v>2494</v>
      </c>
      <c r="K23" s="22" t="s">
        <v>2495</v>
      </c>
      <c r="L23" s="22" t="s">
        <v>1826</v>
      </c>
      <c r="M23" s="710" t="s">
        <v>111</v>
      </c>
      <c r="N23" s="709" t="s">
        <v>1818</v>
      </c>
      <c r="O23" s="54" t="s">
        <v>1819</v>
      </c>
      <c r="P23" s="71" t="s">
        <v>19</v>
      </c>
      <c r="Q23" s="709" t="s">
        <v>1811</v>
      </c>
      <c r="R23" s="709" t="s">
        <v>2072</v>
      </c>
      <c r="S23" s="24" t="s">
        <v>6534</v>
      </c>
      <c r="T23" s="90" t="s">
        <v>6407</v>
      </c>
      <c r="U23" s="710" t="s">
        <v>1800</v>
      </c>
      <c r="V23" s="710">
        <v>1</v>
      </c>
      <c r="W23" s="24" t="s">
        <v>6534</v>
      </c>
      <c r="X23" s="24" t="s">
        <v>4430</v>
      </c>
      <c r="Y23" s="30"/>
      <c r="Z23" s="30">
        <v>14.75</v>
      </c>
      <c r="AA23" s="30">
        <v>14.75</v>
      </c>
      <c r="AB23" s="59"/>
      <c r="AC23" s="59"/>
      <c r="AD23" s="35" t="s">
        <v>1104</v>
      </c>
      <c r="AE23" s="202" t="s">
        <v>1880</v>
      </c>
      <c r="AF23" s="35" t="s">
        <v>1880</v>
      </c>
      <c r="AG23" s="709"/>
    </row>
    <row r="24" spans="1:33" s="11" customFormat="1" ht="26.25" customHeight="1" x14ac:dyDescent="0.15">
      <c r="A24" s="8">
        <v>22</v>
      </c>
      <c r="B24" s="36" t="s">
        <v>6532</v>
      </c>
      <c r="C24" s="26" t="s">
        <v>19</v>
      </c>
      <c r="D24" s="26" t="s">
        <v>19</v>
      </c>
      <c r="E24" s="26" t="s">
        <v>19</v>
      </c>
      <c r="F24" s="29" t="s">
        <v>2492</v>
      </c>
      <c r="G24" s="53" t="s">
        <v>6535</v>
      </c>
      <c r="H24" s="708" t="s">
        <v>1147</v>
      </c>
      <c r="I24" s="708" t="s">
        <v>1789</v>
      </c>
      <c r="J24" s="708" t="s">
        <v>2498</v>
      </c>
      <c r="K24" s="22" t="s">
        <v>1138</v>
      </c>
      <c r="L24" s="22" t="s">
        <v>1826</v>
      </c>
      <c r="M24" s="710" t="s">
        <v>111</v>
      </c>
      <c r="N24" s="709" t="s">
        <v>1818</v>
      </c>
      <c r="O24" s="54" t="s">
        <v>1819</v>
      </c>
      <c r="P24" s="71" t="s">
        <v>19</v>
      </c>
      <c r="Q24" s="709" t="s">
        <v>1811</v>
      </c>
      <c r="R24" s="709" t="s">
        <v>2072</v>
      </c>
      <c r="S24" s="24" t="s">
        <v>6534</v>
      </c>
      <c r="T24" s="90" t="s">
        <v>6407</v>
      </c>
      <c r="U24" s="710" t="s">
        <v>1800</v>
      </c>
      <c r="V24" s="710">
        <v>1</v>
      </c>
      <c r="W24" s="24" t="s">
        <v>6534</v>
      </c>
      <c r="X24" s="24" t="s">
        <v>4430</v>
      </c>
      <c r="Y24" s="30"/>
      <c r="Z24" s="30">
        <v>14.75</v>
      </c>
      <c r="AA24" s="30">
        <v>14.75</v>
      </c>
      <c r="AB24" s="59"/>
      <c r="AC24" s="59"/>
      <c r="AD24" s="35" t="s">
        <v>1104</v>
      </c>
      <c r="AE24" s="202" t="s">
        <v>1880</v>
      </c>
      <c r="AF24" s="35" t="s">
        <v>1880</v>
      </c>
      <c r="AG24" s="709"/>
    </row>
    <row r="25" spans="1:33" s="11" customFormat="1" ht="33.75" customHeight="1" x14ac:dyDescent="0.15">
      <c r="A25" s="8">
        <v>23</v>
      </c>
      <c r="B25" s="36" t="s">
        <v>6536</v>
      </c>
      <c r="C25" s="26" t="s">
        <v>19</v>
      </c>
      <c r="D25" s="26" t="s">
        <v>19</v>
      </c>
      <c r="E25" s="26" t="s">
        <v>19</v>
      </c>
      <c r="F25" s="29" t="s">
        <v>5718</v>
      </c>
      <c r="G25" s="53" t="s">
        <v>6537</v>
      </c>
      <c r="H25" s="712" t="s">
        <v>2135</v>
      </c>
      <c r="I25" s="712" t="s">
        <v>1146</v>
      </c>
      <c r="J25" s="712" t="s">
        <v>5298</v>
      </c>
      <c r="K25" s="22" t="s">
        <v>4780</v>
      </c>
      <c r="L25" s="22" t="s">
        <v>1826</v>
      </c>
      <c r="M25" s="714" t="s">
        <v>111</v>
      </c>
      <c r="N25" s="713" t="s">
        <v>1818</v>
      </c>
      <c r="O25" s="54" t="s">
        <v>2423</v>
      </c>
      <c r="P25" s="71" t="s">
        <v>19</v>
      </c>
      <c r="Q25" s="709" t="s">
        <v>854</v>
      </c>
      <c r="R25" s="709" t="s">
        <v>854</v>
      </c>
      <c r="S25" s="24" t="s">
        <v>6538</v>
      </c>
      <c r="T25" s="90" t="s">
        <v>6539</v>
      </c>
      <c r="U25" s="714" t="s">
        <v>1800</v>
      </c>
      <c r="V25" s="714">
        <v>1</v>
      </c>
      <c r="W25" s="24" t="s">
        <v>6540</v>
      </c>
      <c r="X25" s="24" t="s">
        <v>7826</v>
      </c>
      <c r="Y25" s="30"/>
      <c r="Z25" s="30">
        <v>12</v>
      </c>
      <c r="AA25" s="30">
        <v>12</v>
      </c>
      <c r="AB25" s="59"/>
      <c r="AC25" s="59"/>
      <c r="AD25" s="35" t="s">
        <v>1104</v>
      </c>
      <c r="AE25" s="202" t="s">
        <v>1880</v>
      </c>
      <c r="AF25" s="35" t="s">
        <v>1880</v>
      </c>
      <c r="AG25" s="709"/>
    </row>
    <row r="26" spans="1:33" s="11" customFormat="1" ht="26.25" customHeight="1" x14ac:dyDescent="0.15">
      <c r="A26" s="8">
        <v>24</v>
      </c>
      <c r="B26" s="36" t="s">
        <v>6546</v>
      </c>
      <c r="C26" s="26" t="s">
        <v>19</v>
      </c>
      <c r="D26" s="36" t="s">
        <v>6547</v>
      </c>
      <c r="E26" s="26" t="s">
        <v>19</v>
      </c>
      <c r="F26" s="29" t="s">
        <v>449</v>
      </c>
      <c r="G26" s="53" t="s">
        <v>6541</v>
      </c>
      <c r="H26" s="717" t="s">
        <v>2032</v>
      </c>
      <c r="I26" s="717" t="s">
        <v>3685</v>
      </c>
      <c r="J26" s="717" t="s">
        <v>3690</v>
      </c>
      <c r="K26" s="22" t="s">
        <v>6549</v>
      </c>
      <c r="L26" s="22" t="s">
        <v>1826</v>
      </c>
      <c r="M26" s="716" t="s">
        <v>111</v>
      </c>
      <c r="N26" s="715" t="s">
        <v>1818</v>
      </c>
      <c r="O26" s="54" t="s">
        <v>6542</v>
      </c>
      <c r="P26" s="71" t="s">
        <v>19</v>
      </c>
      <c r="Q26" s="715" t="s">
        <v>446</v>
      </c>
      <c r="R26" s="715" t="s">
        <v>446</v>
      </c>
      <c r="S26" s="24" t="s">
        <v>6543</v>
      </c>
      <c r="T26" s="90" t="s">
        <v>6544</v>
      </c>
      <c r="U26" s="24" t="s">
        <v>110</v>
      </c>
      <c r="V26" s="24">
        <v>2</v>
      </c>
      <c r="W26" s="24" t="s">
        <v>6425</v>
      </c>
      <c r="X26" s="24" t="s">
        <v>6545</v>
      </c>
      <c r="Y26" s="30">
        <v>5.8</v>
      </c>
      <c r="Z26" s="30">
        <v>14</v>
      </c>
      <c r="AA26" s="30">
        <v>19.8</v>
      </c>
      <c r="AB26" s="59"/>
      <c r="AC26" s="59"/>
      <c r="AD26" s="35" t="s">
        <v>1104</v>
      </c>
      <c r="AE26" s="202" t="s">
        <v>1880</v>
      </c>
      <c r="AF26" s="35" t="s">
        <v>1880</v>
      </c>
      <c r="AG26" s="715"/>
    </row>
    <row r="27" spans="1:33" s="11" customFormat="1" ht="26.25" customHeight="1" x14ac:dyDescent="0.15">
      <c r="A27" s="8">
        <v>25</v>
      </c>
      <c r="B27" s="36" t="s">
        <v>6548</v>
      </c>
      <c r="C27" s="26" t="s">
        <v>19</v>
      </c>
      <c r="D27" s="26" t="s">
        <v>19</v>
      </c>
      <c r="E27" s="26" t="s">
        <v>19</v>
      </c>
      <c r="F27" s="29" t="s">
        <v>5232</v>
      </c>
      <c r="G27" s="53" t="s">
        <v>7982</v>
      </c>
      <c r="H27" s="718" t="s">
        <v>3649</v>
      </c>
      <c r="I27" s="718" t="s">
        <v>4701</v>
      </c>
      <c r="J27" s="717" t="s">
        <v>5300</v>
      </c>
      <c r="K27" s="717" t="s">
        <v>5298</v>
      </c>
      <c r="L27" s="719" t="s">
        <v>1826</v>
      </c>
      <c r="M27" s="719" t="s">
        <v>111</v>
      </c>
      <c r="N27" s="719" t="s">
        <v>1818</v>
      </c>
      <c r="O27" s="54" t="s">
        <v>116</v>
      </c>
      <c r="P27" s="71" t="s">
        <v>19</v>
      </c>
      <c r="Q27" s="715" t="s">
        <v>854</v>
      </c>
      <c r="R27" s="715" t="s">
        <v>854</v>
      </c>
      <c r="S27" s="24" t="s">
        <v>6543</v>
      </c>
      <c r="T27" s="90" t="s">
        <v>7983</v>
      </c>
      <c r="U27" s="24" t="s">
        <v>110</v>
      </c>
      <c r="V27" s="24">
        <v>1</v>
      </c>
      <c r="W27" s="24" t="s">
        <v>6425</v>
      </c>
      <c r="X27" s="24" t="s">
        <v>5552</v>
      </c>
      <c r="Y27" s="30"/>
      <c r="Z27" s="30">
        <v>2.5</v>
      </c>
      <c r="AA27" s="30">
        <v>2.5</v>
      </c>
      <c r="AB27" s="59"/>
      <c r="AC27" s="59"/>
      <c r="AD27" s="35" t="s">
        <v>1104</v>
      </c>
      <c r="AE27" s="202" t="s">
        <v>1880</v>
      </c>
      <c r="AF27" s="35" t="s">
        <v>1880</v>
      </c>
      <c r="AG27" s="715"/>
    </row>
    <row r="28" spans="1:33" s="11" customFormat="1" ht="26.25" customHeight="1" x14ac:dyDescent="0.15">
      <c r="A28" s="8">
        <v>26</v>
      </c>
      <c r="B28" s="36" t="s">
        <v>6550</v>
      </c>
      <c r="C28" s="26" t="s">
        <v>19</v>
      </c>
      <c r="D28" s="711" t="s">
        <v>6552</v>
      </c>
      <c r="E28" s="26" t="s">
        <v>19</v>
      </c>
      <c r="F28" s="29" t="s">
        <v>5736</v>
      </c>
      <c r="G28" s="53" t="s">
        <v>6553</v>
      </c>
      <c r="H28" s="721" t="s">
        <v>5456</v>
      </c>
      <c r="I28" s="721" t="s">
        <v>5419</v>
      </c>
      <c r="J28" s="720" t="s">
        <v>6554</v>
      </c>
      <c r="K28" s="22" t="s">
        <v>4780</v>
      </c>
      <c r="L28" s="722" t="s">
        <v>1826</v>
      </c>
      <c r="M28" s="722" t="s">
        <v>111</v>
      </c>
      <c r="N28" s="721" t="s">
        <v>1131</v>
      </c>
      <c r="O28" s="54" t="s">
        <v>6555</v>
      </c>
      <c r="P28" s="71" t="s">
        <v>19</v>
      </c>
      <c r="Q28" s="721" t="s">
        <v>5489</v>
      </c>
      <c r="R28" s="721" t="s">
        <v>5489</v>
      </c>
      <c r="S28" s="24" t="s">
        <v>6556</v>
      </c>
      <c r="T28" s="90" t="s">
        <v>6437</v>
      </c>
      <c r="U28" s="24" t="s">
        <v>110</v>
      </c>
      <c r="V28" s="24">
        <v>2</v>
      </c>
      <c r="W28" s="24" t="s">
        <v>448</v>
      </c>
      <c r="X28" s="24" t="s">
        <v>448</v>
      </c>
      <c r="Y28" s="30">
        <v>5.7249999999999996</v>
      </c>
      <c r="Z28" s="30"/>
      <c r="AA28" s="30">
        <v>5.7249999999999996</v>
      </c>
      <c r="AB28" s="59"/>
      <c r="AC28" s="59"/>
      <c r="AD28" s="35" t="s">
        <v>1104</v>
      </c>
      <c r="AE28" s="202" t="s">
        <v>1880</v>
      </c>
      <c r="AF28" s="35" t="s">
        <v>1880</v>
      </c>
      <c r="AG28" s="721"/>
    </row>
    <row r="29" spans="1:33" s="11" customFormat="1" ht="26.25" customHeight="1" x14ac:dyDescent="0.15">
      <c r="A29" s="8">
        <v>27</v>
      </c>
      <c r="B29" s="36" t="s">
        <v>6551</v>
      </c>
      <c r="C29" s="26" t="s">
        <v>19</v>
      </c>
      <c r="D29" s="26" t="s">
        <v>19</v>
      </c>
      <c r="E29" s="26" t="s">
        <v>19</v>
      </c>
      <c r="F29" s="29" t="s">
        <v>3082</v>
      </c>
      <c r="G29" s="53" t="s">
        <v>5647</v>
      </c>
      <c r="H29" s="720" t="s">
        <v>4195</v>
      </c>
      <c r="I29" s="720" t="s">
        <v>2007</v>
      </c>
      <c r="J29" s="720" t="s">
        <v>5633</v>
      </c>
      <c r="K29" s="22" t="s">
        <v>4780</v>
      </c>
      <c r="L29" s="22" t="s">
        <v>5431</v>
      </c>
      <c r="M29" s="722" t="s">
        <v>111</v>
      </c>
      <c r="N29" s="721" t="s">
        <v>1131</v>
      </c>
      <c r="O29" s="54" t="s">
        <v>116</v>
      </c>
      <c r="P29" s="22" t="s">
        <v>1880</v>
      </c>
      <c r="Q29" s="721" t="s">
        <v>1894</v>
      </c>
      <c r="R29" s="721" t="s">
        <v>1894</v>
      </c>
      <c r="S29" s="24" t="s">
        <v>6556</v>
      </c>
      <c r="T29" s="90" t="s">
        <v>6557</v>
      </c>
      <c r="U29" s="24" t="s">
        <v>110</v>
      </c>
      <c r="V29" s="24">
        <v>1</v>
      </c>
      <c r="W29" s="24" t="s">
        <v>6425</v>
      </c>
      <c r="X29" s="24" t="s">
        <v>5552</v>
      </c>
      <c r="Y29" s="30"/>
      <c r="Z29" s="30">
        <v>9.5</v>
      </c>
      <c r="AA29" s="30">
        <v>9.5</v>
      </c>
      <c r="AB29" s="59"/>
      <c r="AC29" s="59"/>
      <c r="AD29" s="35" t="s">
        <v>1104</v>
      </c>
      <c r="AE29" s="202" t="s">
        <v>19</v>
      </c>
      <c r="AF29" s="35" t="s">
        <v>1880</v>
      </c>
      <c r="AG29" s="721"/>
    </row>
    <row r="30" spans="1:33" s="11" customFormat="1" ht="26.25" customHeight="1" x14ac:dyDescent="0.15">
      <c r="A30" s="8">
        <v>28</v>
      </c>
      <c r="B30" s="36" t="s">
        <v>6558</v>
      </c>
      <c r="C30" s="26" t="s">
        <v>19</v>
      </c>
      <c r="D30" s="26" t="s">
        <v>19</v>
      </c>
      <c r="E30" s="26" t="s">
        <v>19</v>
      </c>
      <c r="F30" s="29" t="s">
        <v>6559</v>
      </c>
      <c r="G30" s="29" t="s">
        <v>6560</v>
      </c>
      <c r="H30" s="720" t="s">
        <v>2347</v>
      </c>
      <c r="I30" s="295" t="s">
        <v>4978</v>
      </c>
      <c r="J30" s="37" t="s">
        <v>4979</v>
      </c>
      <c r="K30" s="22" t="s">
        <v>1138</v>
      </c>
      <c r="L30" s="22" t="s">
        <v>1826</v>
      </c>
      <c r="M30" s="722" t="s">
        <v>6561</v>
      </c>
      <c r="N30" s="722" t="s">
        <v>1818</v>
      </c>
      <c r="O30" s="54" t="s">
        <v>1796</v>
      </c>
      <c r="P30" s="22" t="s">
        <v>1880</v>
      </c>
      <c r="Q30" s="721" t="s">
        <v>5487</v>
      </c>
      <c r="R30" s="721" t="s">
        <v>5487</v>
      </c>
      <c r="S30" s="24" t="s">
        <v>6556</v>
      </c>
      <c r="T30" s="90" t="s">
        <v>6562</v>
      </c>
      <c r="U30" s="24" t="s">
        <v>110</v>
      </c>
      <c r="V30" s="24">
        <v>1</v>
      </c>
      <c r="W30" s="24" t="s">
        <v>448</v>
      </c>
      <c r="X30" s="24">
        <v>21018</v>
      </c>
      <c r="Y30" s="30">
        <v>5.5</v>
      </c>
      <c r="Z30" s="30"/>
      <c r="AA30" s="30">
        <v>5.5</v>
      </c>
      <c r="AB30" s="59" t="s">
        <v>6457</v>
      </c>
      <c r="AC30" s="59" t="s">
        <v>6457</v>
      </c>
      <c r="AD30" s="35" t="s">
        <v>1104</v>
      </c>
      <c r="AE30" s="202" t="s">
        <v>19</v>
      </c>
      <c r="AF30" s="35" t="s">
        <v>1880</v>
      </c>
      <c r="AG30" s="721"/>
    </row>
    <row r="31" spans="1:33" s="11" customFormat="1" ht="26.25" customHeight="1" x14ac:dyDescent="0.15">
      <c r="A31" s="8">
        <v>29</v>
      </c>
      <c r="B31" s="36" t="s">
        <v>7729</v>
      </c>
      <c r="C31" s="26" t="s">
        <v>19</v>
      </c>
      <c r="D31" s="723" t="s">
        <v>19</v>
      </c>
      <c r="E31" s="26" t="s">
        <v>19</v>
      </c>
      <c r="F31" s="29" t="s">
        <v>5656</v>
      </c>
      <c r="G31" s="53" t="s">
        <v>6563</v>
      </c>
      <c r="H31" s="724"/>
      <c r="I31" s="724"/>
      <c r="J31" s="724"/>
      <c r="K31" s="725"/>
      <c r="L31" s="725"/>
      <c r="M31" s="722" t="s">
        <v>111</v>
      </c>
      <c r="N31" s="726"/>
      <c r="O31" s="215"/>
      <c r="P31" s="22" t="s">
        <v>1880</v>
      </c>
      <c r="Q31" s="721" t="s">
        <v>1894</v>
      </c>
      <c r="R31" s="721" t="s">
        <v>1894</v>
      </c>
      <c r="S31" s="24" t="s">
        <v>6556</v>
      </c>
      <c r="T31" s="90" t="s">
        <v>6564</v>
      </c>
      <c r="U31" s="24" t="s">
        <v>110</v>
      </c>
      <c r="V31" s="24">
        <v>1</v>
      </c>
      <c r="W31" s="24" t="s">
        <v>448</v>
      </c>
      <c r="X31" s="24" t="s">
        <v>448</v>
      </c>
      <c r="Y31" s="30">
        <v>9.4</v>
      </c>
      <c r="Z31" s="30"/>
      <c r="AA31" s="30">
        <v>9.4</v>
      </c>
      <c r="AB31" s="59"/>
      <c r="AC31" s="59"/>
      <c r="AD31" s="35" t="s">
        <v>1104</v>
      </c>
      <c r="AE31" s="202" t="s">
        <v>19</v>
      </c>
      <c r="AF31" s="35" t="s">
        <v>1880</v>
      </c>
      <c r="AG31" s="721" t="s">
        <v>7728</v>
      </c>
    </row>
    <row r="32" spans="1:33" s="11" customFormat="1" ht="26.25" customHeight="1" x14ac:dyDescent="0.15">
      <c r="A32" s="8">
        <v>30</v>
      </c>
      <c r="B32" s="36" t="s">
        <v>7731</v>
      </c>
      <c r="C32" s="26" t="s">
        <v>19</v>
      </c>
      <c r="D32" s="723" t="s">
        <v>19</v>
      </c>
      <c r="E32" s="26" t="s">
        <v>19</v>
      </c>
      <c r="F32" s="29" t="s">
        <v>6565</v>
      </c>
      <c r="G32" s="53" t="s">
        <v>6678</v>
      </c>
      <c r="H32" s="724"/>
      <c r="I32" s="761"/>
      <c r="J32" s="762"/>
      <c r="K32" s="725"/>
      <c r="L32" s="725"/>
      <c r="M32" s="722" t="s">
        <v>111</v>
      </c>
      <c r="N32" s="726"/>
      <c r="O32" s="215"/>
      <c r="P32" s="22" t="s">
        <v>1880</v>
      </c>
      <c r="Q32" s="721" t="s">
        <v>1894</v>
      </c>
      <c r="R32" s="721" t="s">
        <v>1894</v>
      </c>
      <c r="S32" s="24" t="s">
        <v>6556</v>
      </c>
      <c r="T32" s="90" t="s">
        <v>6564</v>
      </c>
      <c r="U32" s="24" t="s">
        <v>110</v>
      </c>
      <c r="V32" s="24">
        <v>1</v>
      </c>
      <c r="W32" s="24" t="s">
        <v>448</v>
      </c>
      <c r="X32" s="24" t="s">
        <v>448</v>
      </c>
      <c r="Y32" s="30">
        <v>8.4</v>
      </c>
      <c r="Z32" s="30"/>
      <c r="AA32" s="30">
        <v>8.4</v>
      </c>
      <c r="AB32" s="59"/>
      <c r="AC32" s="59"/>
      <c r="AD32" s="35" t="s">
        <v>1104</v>
      </c>
      <c r="AE32" s="202" t="s">
        <v>19</v>
      </c>
      <c r="AF32" s="35" t="s">
        <v>1880</v>
      </c>
      <c r="AG32" s="721" t="s">
        <v>7730</v>
      </c>
    </row>
    <row r="33" spans="1:33" s="11" customFormat="1" ht="26.25" customHeight="1" x14ac:dyDescent="0.15">
      <c r="A33" s="8">
        <v>31</v>
      </c>
      <c r="B33" s="36" t="s">
        <v>6568</v>
      </c>
      <c r="C33" s="26" t="s">
        <v>19</v>
      </c>
      <c r="D33" s="26" t="s">
        <v>19</v>
      </c>
      <c r="E33" s="26" t="s">
        <v>19</v>
      </c>
      <c r="F33" s="29" t="s">
        <v>5127</v>
      </c>
      <c r="G33" s="53" t="s">
        <v>5128</v>
      </c>
      <c r="H33" s="727" t="s">
        <v>1147</v>
      </c>
      <c r="I33" s="302" t="s">
        <v>2437</v>
      </c>
      <c r="J33" s="727" t="s">
        <v>3491</v>
      </c>
      <c r="K33" s="727" t="s">
        <v>2466</v>
      </c>
      <c r="L33" s="22" t="s">
        <v>2142</v>
      </c>
      <c r="M33" s="729" t="s">
        <v>1880</v>
      </c>
      <c r="N33" s="22" t="s">
        <v>2422</v>
      </c>
      <c r="O33" s="54" t="s">
        <v>851</v>
      </c>
      <c r="P33" s="729" t="s">
        <v>111</v>
      </c>
      <c r="Q33" s="728" t="s">
        <v>1152</v>
      </c>
      <c r="R33" s="728" t="s">
        <v>1152</v>
      </c>
      <c r="S33" s="24" t="s">
        <v>6572</v>
      </c>
      <c r="T33" s="90" t="s">
        <v>5816</v>
      </c>
      <c r="U33" s="729" t="s">
        <v>2359</v>
      </c>
      <c r="V33" s="729">
        <v>1</v>
      </c>
      <c r="W33" s="24" t="s">
        <v>5605</v>
      </c>
      <c r="X33" s="24" t="s">
        <v>5606</v>
      </c>
      <c r="Y33" s="30"/>
      <c r="Z33" s="30">
        <v>8</v>
      </c>
      <c r="AA33" s="30">
        <v>8</v>
      </c>
      <c r="AB33" s="59"/>
      <c r="AC33" s="59"/>
      <c r="AD33" s="35" t="s">
        <v>1104</v>
      </c>
      <c r="AE33" s="202" t="s">
        <v>19</v>
      </c>
      <c r="AF33" s="35" t="s">
        <v>1880</v>
      </c>
      <c r="AG33" s="728"/>
    </row>
    <row r="34" spans="1:33" s="11" customFormat="1" ht="26.25" customHeight="1" x14ac:dyDescent="0.15">
      <c r="A34" s="8">
        <v>32</v>
      </c>
      <c r="B34" s="36" t="s">
        <v>6569</v>
      </c>
      <c r="C34" s="26" t="s">
        <v>19</v>
      </c>
      <c r="D34" s="26" t="s">
        <v>19</v>
      </c>
      <c r="E34" s="26" t="s">
        <v>19</v>
      </c>
      <c r="F34" s="29" t="s">
        <v>5840</v>
      </c>
      <c r="G34" s="53" t="s">
        <v>6573</v>
      </c>
      <c r="H34" s="1" t="s">
        <v>1457</v>
      </c>
      <c r="I34" s="142" t="s">
        <v>167</v>
      </c>
      <c r="J34" s="1" t="s">
        <v>5843</v>
      </c>
      <c r="K34" s="22" t="s">
        <v>5844</v>
      </c>
      <c r="L34" s="729" t="s">
        <v>1826</v>
      </c>
      <c r="M34" s="729" t="s">
        <v>111</v>
      </c>
      <c r="N34" s="728" t="s">
        <v>1131</v>
      </c>
      <c r="O34" s="54" t="s">
        <v>6266</v>
      </c>
      <c r="P34" s="729" t="s">
        <v>111</v>
      </c>
      <c r="Q34" s="728" t="s">
        <v>1774</v>
      </c>
      <c r="R34" s="728" t="s">
        <v>1774</v>
      </c>
      <c r="S34" s="24" t="s">
        <v>6572</v>
      </c>
      <c r="T34" s="90" t="s">
        <v>6437</v>
      </c>
      <c r="U34" s="729" t="s">
        <v>2359</v>
      </c>
      <c r="V34" s="729">
        <v>1</v>
      </c>
      <c r="W34" s="24" t="s">
        <v>6425</v>
      </c>
      <c r="X34" s="24" t="s">
        <v>6470</v>
      </c>
      <c r="Y34" s="30"/>
      <c r="Z34" s="30">
        <v>21</v>
      </c>
      <c r="AA34" s="30">
        <v>21</v>
      </c>
      <c r="AB34" s="59"/>
      <c r="AC34" s="59"/>
      <c r="AD34" s="729" t="s">
        <v>1104</v>
      </c>
      <c r="AE34" s="202" t="s">
        <v>1880</v>
      </c>
      <c r="AF34" s="133" t="s">
        <v>1880</v>
      </c>
      <c r="AG34" s="728"/>
    </row>
    <row r="35" spans="1:33" s="11" customFormat="1" ht="26.25" customHeight="1" x14ac:dyDescent="0.15">
      <c r="A35" s="8">
        <v>33</v>
      </c>
      <c r="B35" s="36" t="s">
        <v>6570</v>
      </c>
      <c r="C35" s="26" t="s">
        <v>19</v>
      </c>
      <c r="D35" s="26" t="s">
        <v>19</v>
      </c>
      <c r="E35" s="26" t="s">
        <v>19</v>
      </c>
      <c r="F35" s="29" t="s">
        <v>5846</v>
      </c>
      <c r="G35" s="53" t="s">
        <v>6574</v>
      </c>
      <c r="H35" s="1" t="s">
        <v>1457</v>
      </c>
      <c r="I35" s="142" t="s">
        <v>167</v>
      </c>
      <c r="J35" s="1" t="s">
        <v>5848</v>
      </c>
      <c r="K35" s="22" t="s">
        <v>5847</v>
      </c>
      <c r="L35" s="729" t="s">
        <v>1826</v>
      </c>
      <c r="M35" s="729" t="s">
        <v>111</v>
      </c>
      <c r="N35" s="728" t="s">
        <v>1131</v>
      </c>
      <c r="O35" s="54" t="s">
        <v>6266</v>
      </c>
      <c r="P35" s="729" t="s">
        <v>111</v>
      </c>
      <c r="Q35" s="728" t="s">
        <v>1774</v>
      </c>
      <c r="R35" s="728" t="s">
        <v>1774</v>
      </c>
      <c r="S35" s="24" t="s">
        <v>6572</v>
      </c>
      <c r="T35" s="90" t="s">
        <v>6437</v>
      </c>
      <c r="U35" s="729" t="s">
        <v>2359</v>
      </c>
      <c r="V35" s="729">
        <v>1</v>
      </c>
      <c r="W35" s="24" t="s">
        <v>6425</v>
      </c>
      <c r="X35" s="24" t="s">
        <v>6470</v>
      </c>
      <c r="Y35" s="30"/>
      <c r="Z35" s="30">
        <v>21</v>
      </c>
      <c r="AA35" s="30">
        <v>21</v>
      </c>
      <c r="AB35" s="59"/>
      <c r="AC35" s="59"/>
      <c r="AD35" s="729" t="s">
        <v>1104</v>
      </c>
      <c r="AE35" s="202" t="s">
        <v>1880</v>
      </c>
      <c r="AF35" s="133" t="s">
        <v>1880</v>
      </c>
      <c r="AG35" s="728"/>
    </row>
    <row r="36" spans="1:33" s="11" customFormat="1" ht="26.25" customHeight="1" x14ac:dyDescent="0.15">
      <c r="A36" s="8">
        <v>34</v>
      </c>
      <c r="B36" s="36" t="s">
        <v>6571</v>
      </c>
      <c r="C36" s="26" t="s">
        <v>19</v>
      </c>
      <c r="D36" s="26" t="s">
        <v>19</v>
      </c>
      <c r="E36" s="26" t="s">
        <v>19</v>
      </c>
      <c r="F36" s="29" t="s">
        <v>5858</v>
      </c>
      <c r="G36" s="53" t="s">
        <v>6575</v>
      </c>
      <c r="H36" s="1" t="s">
        <v>1457</v>
      </c>
      <c r="I36" s="142" t="s">
        <v>167</v>
      </c>
      <c r="J36" s="1" t="s">
        <v>5855</v>
      </c>
      <c r="K36" s="22" t="s">
        <v>5854</v>
      </c>
      <c r="L36" s="22" t="s">
        <v>5478</v>
      </c>
      <c r="M36" s="729" t="s">
        <v>111</v>
      </c>
      <c r="N36" s="728" t="s">
        <v>4676</v>
      </c>
      <c r="O36" s="54" t="s">
        <v>6266</v>
      </c>
      <c r="P36" s="729" t="s">
        <v>111</v>
      </c>
      <c r="Q36" s="728" t="s">
        <v>1774</v>
      </c>
      <c r="R36" s="728" t="s">
        <v>1774</v>
      </c>
      <c r="S36" s="24" t="s">
        <v>6572</v>
      </c>
      <c r="T36" s="90" t="s">
        <v>6437</v>
      </c>
      <c r="U36" s="729" t="s">
        <v>2359</v>
      </c>
      <c r="V36" s="729">
        <v>1</v>
      </c>
      <c r="W36" s="24" t="s">
        <v>6425</v>
      </c>
      <c r="X36" s="24" t="s">
        <v>6470</v>
      </c>
      <c r="Y36" s="30"/>
      <c r="Z36" s="30">
        <v>21</v>
      </c>
      <c r="AA36" s="30">
        <v>21</v>
      </c>
      <c r="AB36" s="59"/>
      <c r="AC36" s="59"/>
      <c r="AD36" s="729" t="s">
        <v>1104</v>
      </c>
      <c r="AE36" s="202" t="s">
        <v>1880</v>
      </c>
      <c r="AF36" s="133" t="s">
        <v>1880</v>
      </c>
      <c r="AG36" s="728"/>
    </row>
    <row r="37" spans="1:33" s="11" customFormat="1" ht="26.25" customHeight="1" x14ac:dyDescent="0.15">
      <c r="A37" s="8">
        <v>35</v>
      </c>
      <c r="B37" s="36" t="s">
        <v>6581</v>
      </c>
      <c r="C37" s="26" t="s">
        <v>19</v>
      </c>
      <c r="D37" s="26" t="s">
        <v>19</v>
      </c>
      <c r="E37" s="26" t="s">
        <v>19</v>
      </c>
      <c r="F37" s="29" t="s">
        <v>6582</v>
      </c>
      <c r="G37" s="53" t="s">
        <v>6583</v>
      </c>
      <c r="H37" s="1" t="s">
        <v>1457</v>
      </c>
      <c r="I37" s="142" t="s">
        <v>225</v>
      </c>
      <c r="J37" s="1" t="s">
        <v>5316</v>
      </c>
      <c r="K37" s="22" t="s">
        <v>4780</v>
      </c>
      <c r="L37" s="22" t="s">
        <v>5478</v>
      </c>
      <c r="M37" s="732" t="s">
        <v>111</v>
      </c>
      <c r="N37" s="731" t="s">
        <v>4676</v>
      </c>
      <c r="O37" s="54" t="s">
        <v>6584</v>
      </c>
      <c r="P37" s="732" t="s">
        <v>111</v>
      </c>
      <c r="Q37" s="731" t="s">
        <v>1774</v>
      </c>
      <c r="R37" s="731" t="s">
        <v>1774</v>
      </c>
      <c r="S37" s="24" t="s">
        <v>6585</v>
      </c>
      <c r="T37" s="90" t="s">
        <v>6586</v>
      </c>
      <c r="U37" s="732" t="s">
        <v>2359</v>
      </c>
      <c r="V37" s="24">
        <v>3</v>
      </c>
      <c r="W37" s="24" t="s">
        <v>6587</v>
      </c>
      <c r="X37" s="24" t="s">
        <v>6588</v>
      </c>
      <c r="Y37" s="30"/>
      <c r="Z37" s="30">
        <v>12.6</v>
      </c>
      <c r="AA37" s="30">
        <v>12.6</v>
      </c>
      <c r="AB37" s="59"/>
      <c r="AC37" s="59"/>
      <c r="AD37" s="732" t="s">
        <v>1104</v>
      </c>
      <c r="AE37" s="202" t="s">
        <v>1880</v>
      </c>
      <c r="AF37" s="133" t="s">
        <v>1880</v>
      </c>
      <c r="AG37" s="731"/>
    </row>
    <row r="38" spans="1:33" s="11" customFormat="1" ht="26.25" customHeight="1" x14ac:dyDescent="0.15">
      <c r="A38" s="8">
        <v>36</v>
      </c>
      <c r="B38" s="36" t="s">
        <v>6589</v>
      </c>
      <c r="C38" s="26" t="s">
        <v>19</v>
      </c>
      <c r="D38" s="711" t="s">
        <v>6590</v>
      </c>
      <c r="E38" s="26" t="s">
        <v>19</v>
      </c>
      <c r="F38" s="29" t="s">
        <v>6022</v>
      </c>
      <c r="G38" s="53" t="s">
        <v>6591</v>
      </c>
      <c r="H38" s="1" t="s">
        <v>23</v>
      </c>
      <c r="I38" s="142" t="s">
        <v>4733</v>
      </c>
      <c r="J38" s="1" t="s">
        <v>6592</v>
      </c>
      <c r="K38" s="22" t="s">
        <v>6025</v>
      </c>
      <c r="L38" s="22" t="s">
        <v>5431</v>
      </c>
      <c r="M38" s="734" t="s">
        <v>111</v>
      </c>
      <c r="N38" s="733" t="s">
        <v>1131</v>
      </c>
      <c r="O38" s="54" t="s">
        <v>5500</v>
      </c>
      <c r="P38" s="740" t="s">
        <v>111</v>
      </c>
      <c r="Q38" s="731" t="s">
        <v>5480</v>
      </c>
      <c r="R38" s="731" t="s">
        <v>5480</v>
      </c>
      <c r="S38" s="24" t="s">
        <v>6593</v>
      </c>
      <c r="T38" s="90" t="s">
        <v>6594</v>
      </c>
      <c r="U38" s="24" t="s">
        <v>110</v>
      </c>
      <c r="V38" s="24">
        <v>1</v>
      </c>
      <c r="W38" s="24" t="s">
        <v>448</v>
      </c>
      <c r="X38" s="24" t="s">
        <v>448</v>
      </c>
      <c r="Y38" s="30">
        <v>3.1</v>
      </c>
      <c r="Z38" s="30"/>
      <c r="AA38" s="30">
        <v>3.1</v>
      </c>
      <c r="AB38" s="59"/>
      <c r="AC38" s="59"/>
      <c r="AD38" s="734" t="s">
        <v>1104</v>
      </c>
      <c r="AE38" s="202" t="s">
        <v>1880</v>
      </c>
      <c r="AF38" s="133" t="s">
        <v>1880</v>
      </c>
      <c r="AG38" s="731"/>
    </row>
    <row r="39" spans="1:33" s="11" customFormat="1" ht="41.25" customHeight="1" x14ac:dyDescent="0.15">
      <c r="A39" s="8">
        <v>37</v>
      </c>
      <c r="B39" s="36" t="s">
        <v>6808</v>
      </c>
      <c r="C39" s="26" t="s">
        <v>19</v>
      </c>
      <c r="D39" s="26" t="s">
        <v>19</v>
      </c>
      <c r="E39" s="26" t="s">
        <v>19</v>
      </c>
      <c r="F39" s="29" t="s">
        <v>6595</v>
      </c>
      <c r="G39" s="53" t="s">
        <v>6596</v>
      </c>
      <c r="H39" s="735" t="s">
        <v>5003</v>
      </c>
      <c r="I39" s="735" t="s">
        <v>3101</v>
      </c>
      <c r="J39" s="735" t="s">
        <v>6598</v>
      </c>
      <c r="K39" s="22" t="s">
        <v>4780</v>
      </c>
      <c r="L39" s="22" t="s">
        <v>5431</v>
      </c>
      <c r="M39" s="739" t="s">
        <v>111</v>
      </c>
      <c r="N39" s="738" t="s">
        <v>1131</v>
      </c>
      <c r="O39" s="54" t="s">
        <v>7736</v>
      </c>
      <c r="P39" s="734" t="s">
        <v>111</v>
      </c>
      <c r="Q39" s="736" t="s">
        <v>446</v>
      </c>
      <c r="R39" s="736" t="s">
        <v>446</v>
      </c>
      <c r="S39" s="24" t="s">
        <v>6600</v>
      </c>
      <c r="T39" s="90" t="s">
        <v>6599</v>
      </c>
      <c r="U39" s="24" t="s">
        <v>110</v>
      </c>
      <c r="V39" s="24">
        <v>1</v>
      </c>
      <c r="W39" s="24" t="s">
        <v>448</v>
      </c>
      <c r="X39" s="24" t="s">
        <v>448</v>
      </c>
      <c r="Y39" s="30">
        <v>12.3</v>
      </c>
      <c r="Z39" s="30"/>
      <c r="AA39" s="30">
        <v>12.3</v>
      </c>
      <c r="AB39" s="59"/>
      <c r="AC39" s="59"/>
      <c r="AD39" s="737" t="s">
        <v>1104</v>
      </c>
      <c r="AE39" s="202" t="s">
        <v>1880</v>
      </c>
      <c r="AF39" s="133" t="s">
        <v>1880</v>
      </c>
      <c r="AG39" s="54" t="s">
        <v>7737</v>
      </c>
    </row>
    <row r="40" spans="1:33" s="11" customFormat="1" ht="41.25" customHeight="1" x14ac:dyDescent="0.15">
      <c r="A40" s="8">
        <v>37</v>
      </c>
      <c r="B40" s="36" t="s">
        <v>6809</v>
      </c>
      <c r="C40" s="26" t="s">
        <v>19</v>
      </c>
      <c r="D40" s="26" t="s">
        <v>19</v>
      </c>
      <c r="E40" s="26" t="s">
        <v>19</v>
      </c>
      <c r="F40" s="29" t="s">
        <v>6595</v>
      </c>
      <c r="G40" s="53" t="s">
        <v>6596</v>
      </c>
      <c r="H40" s="806" t="s">
        <v>5003</v>
      </c>
      <c r="I40" s="806" t="s">
        <v>3101</v>
      </c>
      <c r="J40" s="806" t="s">
        <v>6598</v>
      </c>
      <c r="K40" s="22" t="s">
        <v>4780</v>
      </c>
      <c r="L40" s="22" t="s">
        <v>5431</v>
      </c>
      <c r="M40" s="808" t="s">
        <v>111</v>
      </c>
      <c r="N40" s="807" t="s">
        <v>445</v>
      </c>
      <c r="O40" s="54" t="s">
        <v>6810</v>
      </c>
      <c r="P40" s="808" t="s">
        <v>111</v>
      </c>
      <c r="Q40" s="807" t="s">
        <v>446</v>
      </c>
      <c r="R40" s="807" t="s">
        <v>446</v>
      </c>
      <c r="S40" s="24" t="s">
        <v>6600</v>
      </c>
      <c r="T40" s="90" t="s">
        <v>6599</v>
      </c>
      <c r="U40" s="24" t="s">
        <v>110</v>
      </c>
      <c r="V40" s="24">
        <v>1</v>
      </c>
      <c r="W40" s="24" t="s">
        <v>448</v>
      </c>
      <c r="X40" s="24" t="s">
        <v>448</v>
      </c>
      <c r="Y40" s="30">
        <v>4</v>
      </c>
      <c r="Z40" s="30"/>
      <c r="AA40" s="30">
        <v>4</v>
      </c>
      <c r="AB40" s="59"/>
      <c r="AC40" s="59"/>
      <c r="AD40" s="808" t="s">
        <v>1104</v>
      </c>
      <c r="AE40" s="202" t="s">
        <v>1880</v>
      </c>
      <c r="AF40" s="133" t="s">
        <v>1880</v>
      </c>
      <c r="AG40" s="807"/>
    </row>
    <row r="41" spans="1:33" s="11" customFormat="1" ht="26.25" customHeight="1" x14ac:dyDescent="0.15">
      <c r="A41" s="8">
        <v>38</v>
      </c>
      <c r="B41" s="36" t="s">
        <v>6604</v>
      </c>
      <c r="C41" s="26" t="s">
        <v>19</v>
      </c>
      <c r="D41" s="26" t="s">
        <v>19</v>
      </c>
      <c r="E41" s="26" t="s">
        <v>19</v>
      </c>
      <c r="F41" s="29" t="s">
        <v>5700</v>
      </c>
      <c r="G41" s="53" t="s">
        <v>6601</v>
      </c>
      <c r="H41" s="741" t="s">
        <v>4208</v>
      </c>
      <c r="I41" s="741" t="s">
        <v>5419</v>
      </c>
      <c r="J41" s="741" t="s">
        <v>5443</v>
      </c>
      <c r="K41" s="741" t="s">
        <v>4059</v>
      </c>
      <c r="L41" s="741" t="s">
        <v>5431</v>
      </c>
      <c r="M41" s="742" t="s">
        <v>111</v>
      </c>
      <c r="N41" s="28" t="s">
        <v>25</v>
      </c>
      <c r="O41" s="151" t="s">
        <v>2423</v>
      </c>
      <c r="P41" s="22" t="s">
        <v>1880</v>
      </c>
      <c r="Q41" s="741" t="s">
        <v>2348</v>
      </c>
      <c r="R41" s="741" t="s">
        <v>2348</v>
      </c>
      <c r="S41" s="24" t="s">
        <v>6602</v>
      </c>
      <c r="T41" s="90" t="s">
        <v>6603</v>
      </c>
      <c r="U41" s="742" t="s">
        <v>2359</v>
      </c>
      <c r="V41" s="742">
        <v>1</v>
      </c>
      <c r="W41" s="24" t="s">
        <v>6425</v>
      </c>
      <c r="X41" s="24" t="s">
        <v>6470</v>
      </c>
      <c r="Y41" s="30"/>
      <c r="Z41" s="30">
        <v>25.5</v>
      </c>
      <c r="AA41" s="30">
        <v>25.5</v>
      </c>
      <c r="AB41" s="59"/>
      <c r="AC41" s="59"/>
      <c r="AD41" s="35" t="s">
        <v>1104</v>
      </c>
      <c r="AE41" s="202" t="s">
        <v>1880</v>
      </c>
      <c r="AF41" s="35" t="s">
        <v>1880</v>
      </c>
      <c r="AG41" s="741" t="s">
        <v>6606</v>
      </c>
    </row>
    <row r="42" spans="1:33" s="11" customFormat="1" ht="26.25" customHeight="1" x14ac:dyDescent="0.15">
      <c r="A42" s="8">
        <v>39</v>
      </c>
      <c r="B42" s="36" t="s">
        <v>6607</v>
      </c>
      <c r="C42" s="26" t="s">
        <v>19</v>
      </c>
      <c r="D42" s="26" t="s">
        <v>19</v>
      </c>
      <c r="E42" s="26" t="s">
        <v>19</v>
      </c>
      <c r="F42" s="29" t="s">
        <v>6103</v>
      </c>
      <c r="G42" s="53" t="s">
        <v>6608</v>
      </c>
      <c r="H42" s="743" t="s">
        <v>3649</v>
      </c>
      <c r="I42" s="743" t="s">
        <v>3101</v>
      </c>
      <c r="J42" s="743" t="s">
        <v>6106</v>
      </c>
      <c r="K42" s="743" t="s">
        <v>6609</v>
      </c>
      <c r="L42" s="743" t="s">
        <v>5431</v>
      </c>
      <c r="M42" s="744" t="s">
        <v>111</v>
      </c>
      <c r="N42" s="28" t="s">
        <v>25</v>
      </c>
      <c r="O42" s="54" t="s">
        <v>4753</v>
      </c>
      <c r="P42" s="22" t="s">
        <v>1880</v>
      </c>
      <c r="Q42" s="741" t="s">
        <v>446</v>
      </c>
      <c r="R42" s="741" t="s">
        <v>446</v>
      </c>
      <c r="S42" s="24" t="s">
        <v>6610</v>
      </c>
      <c r="T42" s="90" t="s">
        <v>6587</v>
      </c>
      <c r="U42" s="24" t="s">
        <v>110</v>
      </c>
      <c r="V42" s="24">
        <v>2</v>
      </c>
      <c r="W42" s="24" t="s">
        <v>448</v>
      </c>
      <c r="X42" s="24" t="s">
        <v>448</v>
      </c>
      <c r="Y42" s="30">
        <v>0.62</v>
      </c>
      <c r="Z42" s="30"/>
      <c r="AA42" s="30">
        <v>0.62</v>
      </c>
      <c r="AB42" s="59"/>
      <c r="AC42" s="59"/>
      <c r="AD42" s="35" t="s">
        <v>1104</v>
      </c>
      <c r="AE42" s="202" t="s">
        <v>1880</v>
      </c>
      <c r="AF42" s="35" t="s">
        <v>1880</v>
      </c>
      <c r="AG42" s="741"/>
    </row>
    <row r="43" spans="1:33" s="11" customFormat="1" ht="26.25" customHeight="1" x14ac:dyDescent="0.15">
      <c r="A43" s="8">
        <v>40</v>
      </c>
      <c r="B43" s="36" t="s">
        <v>6611</v>
      </c>
      <c r="C43" s="26" t="s">
        <v>19</v>
      </c>
      <c r="D43" s="26" t="s">
        <v>19</v>
      </c>
      <c r="E43" s="26" t="s">
        <v>19</v>
      </c>
      <c r="F43" s="52" t="s">
        <v>2177</v>
      </c>
      <c r="G43" s="53" t="s">
        <v>6613</v>
      </c>
      <c r="H43" s="746" t="s">
        <v>1147</v>
      </c>
      <c r="I43" s="746" t="s">
        <v>1789</v>
      </c>
      <c r="J43" s="747" t="s">
        <v>3485</v>
      </c>
      <c r="K43" s="22" t="s">
        <v>2141</v>
      </c>
      <c r="L43" s="22" t="s">
        <v>2142</v>
      </c>
      <c r="M43" s="22" t="s">
        <v>1880</v>
      </c>
      <c r="N43" s="747" t="s">
        <v>2422</v>
      </c>
      <c r="O43" s="47" t="s">
        <v>1819</v>
      </c>
      <c r="P43" s="22" t="s">
        <v>1880</v>
      </c>
      <c r="Q43" s="747" t="s">
        <v>1811</v>
      </c>
      <c r="R43" s="747" t="s">
        <v>1811</v>
      </c>
      <c r="S43" s="34" t="s">
        <v>6615</v>
      </c>
      <c r="T43" s="50" t="s">
        <v>6614</v>
      </c>
      <c r="U43" s="755" t="s">
        <v>2359</v>
      </c>
      <c r="V43" s="755">
        <v>1</v>
      </c>
      <c r="W43" s="24" t="s">
        <v>6425</v>
      </c>
      <c r="X43" s="24" t="s">
        <v>5552</v>
      </c>
      <c r="Y43" s="30"/>
      <c r="Z43" s="136">
        <v>11.000000999999999</v>
      </c>
      <c r="AA43" s="136">
        <v>11.000000999999999</v>
      </c>
      <c r="AB43" s="59"/>
      <c r="AC43" s="59"/>
      <c r="AD43" s="35" t="s">
        <v>1104</v>
      </c>
      <c r="AE43" s="202" t="s">
        <v>1880</v>
      </c>
      <c r="AF43" s="35" t="s">
        <v>1880</v>
      </c>
      <c r="AG43" s="745" t="s">
        <v>6626</v>
      </c>
    </row>
    <row r="44" spans="1:33" s="11" customFormat="1" ht="26.25" customHeight="1" x14ac:dyDescent="0.15">
      <c r="A44" s="8">
        <v>41</v>
      </c>
      <c r="B44" s="36" t="s">
        <v>6612</v>
      </c>
      <c r="C44" s="26" t="s">
        <v>19</v>
      </c>
      <c r="D44" s="26" t="s">
        <v>19</v>
      </c>
      <c r="E44" s="26" t="s">
        <v>19</v>
      </c>
      <c r="F44" s="52" t="s">
        <v>6616</v>
      </c>
      <c r="G44" s="53" t="s">
        <v>6617</v>
      </c>
      <c r="H44" s="746" t="s">
        <v>1147</v>
      </c>
      <c r="I44" s="746" t="s">
        <v>1789</v>
      </c>
      <c r="J44" s="747" t="s">
        <v>3486</v>
      </c>
      <c r="K44" s="22" t="s">
        <v>2180</v>
      </c>
      <c r="L44" s="22" t="s">
        <v>2142</v>
      </c>
      <c r="M44" s="22" t="s">
        <v>1880</v>
      </c>
      <c r="N44" s="747" t="s">
        <v>2422</v>
      </c>
      <c r="O44" s="47" t="s">
        <v>1819</v>
      </c>
      <c r="P44" s="22" t="s">
        <v>1880</v>
      </c>
      <c r="Q44" s="747" t="s">
        <v>1811</v>
      </c>
      <c r="R44" s="747" t="s">
        <v>1811</v>
      </c>
      <c r="S44" s="34" t="s">
        <v>6615</v>
      </c>
      <c r="T44" s="50" t="s">
        <v>6614</v>
      </c>
      <c r="U44" s="10" t="s">
        <v>1800</v>
      </c>
      <c r="V44" s="10">
        <v>1</v>
      </c>
      <c r="W44" s="24" t="s">
        <v>6425</v>
      </c>
      <c r="X44" s="24" t="s">
        <v>5552</v>
      </c>
      <c r="Y44" s="30"/>
      <c r="Z44" s="136">
        <v>11.000000999999999</v>
      </c>
      <c r="AA44" s="136">
        <v>11.000000999999999</v>
      </c>
      <c r="AB44" s="59"/>
      <c r="AC44" s="59"/>
      <c r="AD44" s="35" t="s">
        <v>1104</v>
      </c>
      <c r="AE44" s="202" t="s">
        <v>1880</v>
      </c>
      <c r="AF44" s="35" t="s">
        <v>1880</v>
      </c>
      <c r="AG44" s="750" t="s">
        <v>6626</v>
      </c>
    </row>
    <row r="45" spans="1:33" s="11" customFormat="1" ht="26.25" customHeight="1" x14ac:dyDescent="0.15">
      <c r="A45" s="8">
        <v>42</v>
      </c>
      <c r="B45" s="36" t="s">
        <v>6625</v>
      </c>
      <c r="C45" s="26" t="s">
        <v>19</v>
      </c>
      <c r="D45" s="26" t="s">
        <v>19</v>
      </c>
      <c r="E45" s="26" t="s">
        <v>19</v>
      </c>
      <c r="F45" s="29" t="s">
        <v>6618</v>
      </c>
      <c r="G45" s="53" t="s">
        <v>6624</v>
      </c>
      <c r="H45" s="748" t="s">
        <v>2135</v>
      </c>
      <c r="I45" s="748" t="s">
        <v>2327</v>
      </c>
      <c r="J45" s="749" t="s">
        <v>6619</v>
      </c>
      <c r="K45" s="22" t="s">
        <v>3651</v>
      </c>
      <c r="L45" s="22" t="s">
        <v>5431</v>
      </c>
      <c r="M45" s="22" t="s">
        <v>1880</v>
      </c>
      <c r="N45" s="749" t="s">
        <v>1131</v>
      </c>
      <c r="O45" s="54" t="s">
        <v>6266</v>
      </c>
      <c r="P45" s="22" t="s">
        <v>1880</v>
      </c>
      <c r="Q45" s="749" t="s">
        <v>854</v>
      </c>
      <c r="R45" s="749" t="s">
        <v>5487</v>
      </c>
      <c r="S45" s="24" t="s">
        <v>6620</v>
      </c>
      <c r="T45" s="90" t="s">
        <v>6621</v>
      </c>
      <c r="U45" s="24" t="s">
        <v>110</v>
      </c>
      <c r="V45" s="24">
        <v>1</v>
      </c>
      <c r="W45" s="24" t="s">
        <v>6622</v>
      </c>
      <c r="X45" s="24" t="s">
        <v>6623</v>
      </c>
      <c r="Y45" s="30"/>
      <c r="Z45" s="30">
        <v>21</v>
      </c>
      <c r="AA45" s="30">
        <v>21</v>
      </c>
      <c r="AB45" s="59"/>
      <c r="AC45" s="59"/>
      <c r="AD45" s="35" t="s">
        <v>1104</v>
      </c>
      <c r="AE45" s="202" t="s">
        <v>1880</v>
      </c>
      <c r="AF45" s="35" t="s">
        <v>1880</v>
      </c>
      <c r="AG45" s="749"/>
    </row>
    <row r="46" spans="1:33" s="11" customFormat="1" ht="26.25" customHeight="1" x14ac:dyDescent="0.15">
      <c r="A46" s="8">
        <v>43</v>
      </c>
      <c r="B46" s="36" t="s">
        <v>6627</v>
      </c>
      <c r="C46" s="752" t="s">
        <v>6634</v>
      </c>
      <c r="D46" s="26" t="s">
        <v>19</v>
      </c>
      <c r="E46" s="611" t="s">
        <v>6784</v>
      </c>
      <c r="F46" s="29" t="s">
        <v>6628</v>
      </c>
      <c r="G46" s="53" t="s">
        <v>6629</v>
      </c>
      <c r="H46" s="751" t="s">
        <v>2135</v>
      </c>
      <c r="I46" s="751" t="s">
        <v>2533</v>
      </c>
      <c r="J46" s="752" t="s">
        <v>6631</v>
      </c>
      <c r="K46" s="22" t="s">
        <v>6630</v>
      </c>
      <c r="L46" s="22" t="s">
        <v>5431</v>
      </c>
      <c r="M46" s="22" t="s">
        <v>1880</v>
      </c>
      <c r="N46" s="752" t="s">
        <v>1131</v>
      </c>
      <c r="O46" s="54" t="s">
        <v>5234</v>
      </c>
      <c r="P46" s="22" t="s">
        <v>1880</v>
      </c>
      <c r="Q46" s="752" t="s">
        <v>854</v>
      </c>
      <c r="R46" s="752" t="s">
        <v>5487</v>
      </c>
      <c r="S46" s="24" t="s">
        <v>6632</v>
      </c>
      <c r="T46" s="90" t="s">
        <v>6633</v>
      </c>
      <c r="U46" s="24" t="s">
        <v>110</v>
      </c>
      <c r="V46" s="24">
        <v>1</v>
      </c>
      <c r="W46" s="24" t="s">
        <v>6610</v>
      </c>
      <c r="X46" s="24" t="s">
        <v>6635</v>
      </c>
      <c r="Y46" s="30">
        <v>7</v>
      </c>
      <c r="Z46" s="30"/>
      <c r="AA46" s="30">
        <v>7</v>
      </c>
      <c r="AB46" s="59"/>
      <c r="AC46" s="59"/>
      <c r="AD46" s="35" t="s">
        <v>1104</v>
      </c>
      <c r="AE46" s="202" t="s">
        <v>1880</v>
      </c>
      <c r="AF46" s="35" t="s">
        <v>1880</v>
      </c>
      <c r="AG46" s="752"/>
    </row>
    <row r="47" spans="1:33" s="11" customFormat="1" ht="35.25" customHeight="1" x14ac:dyDescent="0.15">
      <c r="A47" s="8">
        <v>44</v>
      </c>
      <c r="B47" s="36" t="s">
        <v>6643</v>
      </c>
      <c r="C47" s="26" t="s">
        <v>19</v>
      </c>
      <c r="D47" s="26" t="s">
        <v>19</v>
      </c>
      <c r="E47" s="26" t="s">
        <v>19</v>
      </c>
      <c r="F47" s="29" t="s">
        <v>3836</v>
      </c>
      <c r="G47" s="54" t="s">
        <v>4942</v>
      </c>
      <c r="H47" s="753" t="s">
        <v>4195</v>
      </c>
      <c r="I47" s="753" t="s">
        <v>4937</v>
      </c>
      <c r="J47" s="753" t="s">
        <v>4938</v>
      </c>
      <c r="K47" s="753" t="s">
        <v>4939</v>
      </c>
      <c r="L47" s="22" t="s">
        <v>1826</v>
      </c>
      <c r="M47" s="754" t="s">
        <v>1880</v>
      </c>
      <c r="N47" s="216" t="s">
        <v>25</v>
      </c>
      <c r="O47" s="54" t="s">
        <v>851</v>
      </c>
      <c r="P47" s="754" t="s">
        <v>111</v>
      </c>
      <c r="Q47" s="753" t="s">
        <v>1152</v>
      </c>
      <c r="R47" s="753" t="s">
        <v>1152</v>
      </c>
      <c r="S47" s="24" t="s">
        <v>6636</v>
      </c>
      <c r="T47" s="90" t="s">
        <v>6637</v>
      </c>
      <c r="U47" s="754" t="s">
        <v>2359</v>
      </c>
      <c r="V47" s="754">
        <v>1</v>
      </c>
      <c r="W47" s="24" t="s">
        <v>5741</v>
      </c>
      <c r="X47" s="24" t="s">
        <v>6638</v>
      </c>
      <c r="Y47" s="30"/>
      <c r="Z47" s="30">
        <v>8</v>
      </c>
      <c r="AA47" s="30">
        <v>8</v>
      </c>
      <c r="AB47" s="59"/>
      <c r="AC47" s="59"/>
      <c r="AD47" s="754" t="s">
        <v>1104</v>
      </c>
      <c r="AE47" s="202" t="s">
        <v>1880</v>
      </c>
      <c r="AF47" s="133" t="s">
        <v>1880</v>
      </c>
      <c r="AG47" s="753"/>
    </row>
    <row r="48" spans="1:33" s="11" customFormat="1" ht="26.25" customHeight="1" x14ac:dyDescent="0.15">
      <c r="A48" s="8">
        <v>45</v>
      </c>
      <c r="B48" s="36" t="s">
        <v>6644</v>
      </c>
      <c r="C48" s="26" t="s">
        <v>19</v>
      </c>
      <c r="D48" s="36" t="s">
        <v>6642</v>
      </c>
      <c r="E48" s="26" t="s">
        <v>19</v>
      </c>
      <c r="F48" s="29" t="s">
        <v>6639</v>
      </c>
      <c r="G48" s="53" t="s">
        <v>6640</v>
      </c>
      <c r="H48" s="753" t="s">
        <v>4791</v>
      </c>
      <c r="I48" s="753" t="s">
        <v>3101</v>
      </c>
      <c r="J48" s="753" t="s">
        <v>6641</v>
      </c>
      <c r="K48" s="22" t="s">
        <v>4780</v>
      </c>
      <c r="L48" s="22" t="s">
        <v>1826</v>
      </c>
      <c r="M48" s="754" t="s">
        <v>1880</v>
      </c>
      <c r="N48" s="940" t="s">
        <v>1131</v>
      </c>
      <c r="O48" s="151" t="s">
        <v>7451</v>
      </c>
      <c r="P48" s="754" t="s">
        <v>111</v>
      </c>
      <c r="Q48" s="753" t="s">
        <v>446</v>
      </c>
      <c r="R48" s="753" t="s">
        <v>446</v>
      </c>
      <c r="S48" s="24" t="s">
        <v>6636</v>
      </c>
      <c r="T48" s="90" t="s">
        <v>5627</v>
      </c>
      <c r="U48" s="754" t="s">
        <v>2359</v>
      </c>
      <c r="V48" s="754">
        <v>1</v>
      </c>
      <c r="W48" s="24" t="s">
        <v>448</v>
      </c>
      <c r="X48" s="24" t="s">
        <v>448</v>
      </c>
      <c r="Y48" s="30">
        <v>3</v>
      </c>
      <c r="Z48" s="30"/>
      <c r="AA48" s="30">
        <v>3</v>
      </c>
      <c r="AB48" s="59"/>
      <c r="AC48" s="59"/>
      <c r="AD48" s="754" t="s">
        <v>1104</v>
      </c>
      <c r="AE48" s="202" t="s">
        <v>1880</v>
      </c>
      <c r="AF48" s="133" t="s">
        <v>1880</v>
      </c>
      <c r="AG48" s="753"/>
    </row>
    <row r="49" spans="1:33" s="11" customFormat="1" ht="26.25" customHeight="1" x14ac:dyDescent="0.15">
      <c r="A49" s="8">
        <v>46</v>
      </c>
      <c r="B49" s="36" t="s">
        <v>6645</v>
      </c>
      <c r="C49" s="26" t="s">
        <v>19</v>
      </c>
      <c r="D49" s="26" t="s">
        <v>19</v>
      </c>
      <c r="E49" s="26" t="s">
        <v>19</v>
      </c>
      <c r="F49" s="151" t="s">
        <v>3612</v>
      </c>
      <c r="G49" s="53" t="s">
        <v>6650</v>
      </c>
      <c r="H49" s="757" t="s">
        <v>2135</v>
      </c>
      <c r="I49" s="757" t="s">
        <v>2533</v>
      </c>
      <c r="J49" s="21" t="s">
        <v>3667</v>
      </c>
      <c r="K49" s="756" t="s">
        <v>3668</v>
      </c>
      <c r="L49" s="757" t="s">
        <v>1826</v>
      </c>
      <c r="M49" s="757" t="s">
        <v>111</v>
      </c>
      <c r="N49" s="22" t="s">
        <v>454</v>
      </c>
      <c r="O49" s="54" t="s">
        <v>6651</v>
      </c>
      <c r="P49" s="757" t="s">
        <v>111</v>
      </c>
      <c r="Q49" s="756" t="s">
        <v>854</v>
      </c>
      <c r="R49" s="756" t="s">
        <v>5487</v>
      </c>
      <c r="S49" s="24" t="s">
        <v>6652</v>
      </c>
      <c r="T49" s="90" t="s">
        <v>6653</v>
      </c>
      <c r="U49" s="757" t="s">
        <v>2359</v>
      </c>
      <c r="V49" s="757">
        <v>1</v>
      </c>
      <c r="W49" s="24" t="s">
        <v>448</v>
      </c>
      <c r="X49" s="24" t="s">
        <v>448</v>
      </c>
      <c r="Y49" s="30">
        <v>2</v>
      </c>
      <c r="Z49" s="30"/>
      <c r="AA49" s="30">
        <v>2</v>
      </c>
      <c r="AB49" s="59"/>
      <c r="AC49" s="59"/>
      <c r="AD49" s="757" t="s">
        <v>1104</v>
      </c>
      <c r="AE49" s="202" t="s">
        <v>1880</v>
      </c>
      <c r="AF49" s="133" t="s">
        <v>1880</v>
      </c>
      <c r="AG49" s="756"/>
    </row>
    <row r="50" spans="1:33" s="11" customFormat="1" ht="26.25" customHeight="1" x14ac:dyDescent="0.15">
      <c r="A50" s="8">
        <v>47</v>
      </c>
      <c r="B50" s="36" t="s">
        <v>6646</v>
      </c>
      <c r="C50" s="26" t="s">
        <v>19</v>
      </c>
      <c r="D50" s="26" t="s">
        <v>19</v>
      </c>
      <c r="E50" s="26" t="s">
        <v>19</v>
      </c>
      <c r="F50" s="151" t="s">
        <v>3614</v>
      </c>
      <c r="G50" s="53" t="s">
        <v>6654</v>
      </c>
      <c r="H50" s="757" t="s">
        <v>2135</v>
      </c>
      <c r="I50" s="757" t="s">
        <v>2533</v>
      </c>
      <c r="J50" s="21" t="s">
        <v>3634</v>
      </c>
      <c r="K50" s="757" t="s">
        <v>3635</v>
      </c>
      <c r="L50" s="757" t="s">
        <v>1826</v>
      </c>
      <c r="M50" s="757" t="s">
        <v>111</v>
      </c>
      <c r="N50" s="22" t="s">
        <v>454</v>
      </c>
      <c r="O50" s="54" t="s">
        <v>6651</v>
      </c>
      <c r="P50" s="757" t="s">
        <v>111</v>
      </c>
      <c r="Q50" s="756" t="s">
        <v>854</v>
      </c>
      <c r="R50" s="756" t="s">
        <v>5487</v>
      </c>
      <c r="S50" s="24" t="s">
        <v>6652</v>
      </c>
      <c r="T50" s="90" t="s">
        <v>6653</v>
      </c>
      <c r="U50" s="757" t="s">
        <v>2359</v>
      </c>
      <c r="V50" s="757">
        <v>1</v>
      </c>
      <c r="W50" s="24" t="s">
        <v>448</v>
      </c>
      <c r="X50" s="24" t="s">
        <v>448</v>
      </c>
      <c r="Y50" s="30">
        <v>2</v>
      </c>
      <c r="Z50" s="30"/>
      <c r="AA50" s="30">
        <v>2</v>
      </c>
      <c r="AB50" s="59"/>
      <c r="AC50" s="59"/>
      <c r="AD50" s="757" t="s">
        <v>1104</v>
      </c>
      <c r="AE50" s="202" t="s">
        <v>1880</v>
      </c>
      <c r="AF50" s="133" t="s">
        <v>1880</v>
      </c>
      <c r="AG50" s="756"/>
    </row>
    <row r="51" spans="1:33" s="11" customFormat="1" ht="26.25" customHeight="1" x14ac:dyDescent="0.15">
      <c r="A51" s="8">
        <v>48</v>
      </c>
      <c r="B51" s="36" t="s">
        <v>6647</v>
      </c>
      <c r="C51" s="26" t="s">
        <v>19</v>
      </c>
      <c r="D51" s="26" t="s">
        <v>19</v>
      </c>
      <c r="E51" s="26" t="s">
        <v>19</v>
      </c>
      <c r="F51" s="151" t="s">
        <v>3615</v>
      </c>
      <c r="G51" s="54" t="s">
        <v>6655</v>
      </c>
      <c r="H51" s="757" t="s">
        <v>2135</v>
      </c>
      <c r="I51" s="757" t="s">
        <v>2533</v>
      </c>
      <c r="J51" s="44" t="s">
        <v>3644</v>
      </c>
      <c r="K51" s="71" t="s">
        <v>3633</v>
      </c>
      <c r="L51" s="757" t="s">
        <v>1826</v>
      </c>
      <c r="M51" s="757" t="s">
        <v>111</v>
      </c>
      <c r="N51" s="22" t="s">
        <v>454</v>
      </c>
      <c r="O51" s="54" t="s">
        <v>6651</v>
      </c>
      <c r="P51" s="757" t="s">
        <v>111</v>
      </c>
      <c r="Q51" s="756" t="s">
        <v>854</v>
      </c>
      <c r="R51" s="756" t="s">
        <v>5487</v>
      </c>
      <c r="S51" s="24" t="s">
        <v>6652</v>
      </c>
      <c r="T51" s="90" t="s">
        <v>6653</v>
      </c>
      <c r="U51" s="757" t="s">
        <v>2359</v>
      </c>
      <c r="V51" s="757">
        <v>1</v>
      </c>
      <c r="W51" s="24" t="s">
        <v>448</v>
      </c>
      <c r="X51" s="24" t="s">
        <v>448</v>
      </c>
      <c r="Y51" s="30">
        <v>2</v>
      </c>
      <c r="Z51" s="30"/>
      <c r="AA51" s="30">
        <v>2</v>
      </c>
      <c r="AB51" s="59"/>
      <c r="AC51" s="59"/>
      <c r="AD51" s="757" t="s">
        <v>1104</v>
      </c>
      <c r="AE51" s="202" t="s">
        <v>1880</v>
      </c>
      <c r="AF51" s="133" t="s">
        <v>1880</v>
      </c>
      <c r="AG51" s="756"/>
    </row>
    <row r="52" spans="1:33" s="11" customFormat="1" ht="26.25" customHeight="1" x14ac:dyDescent="0.15">
      <c r="A52" s="8">
        <v>49</v>
      </c>
      <c r="B52" s="36" t="s">
        <v>6648</v>
      </c>
      <c r="C52" s="26" t="s">
        <v>19</v>
      </c>
      <c r="D52" s="26" t="s">
        <v>19</v>
      </c>
      <c r="E52" s="26" t="s">
        <v>19</v>
      </c>
      <c r="F52" s="54" t="s">
        <v>3617</v>
      </c>
      <c r="G52" s="53" t="s">
        <v>6656</v>
      </c>
      <c r="H52" s="757" t="s">
        <v>2135</v>
      </c>
      <c r="I52" s="757" t="s">
        <v>2533</v>
      </c>
      <c r="J52" s="21" t="s">
        <v>5900</v>
      </c>
      <c r="K52" s="757" t="s">
        <v>4780</v>
      </c>
      <c r="L52" s="757" t="s">
        <v>1826</v>
      </c>
      <c r="M52" s="757" t="s">
        <v>111</v>
      </c>
      <c r="N52" s="22" t="s">
        <v>454</v>
      </c>
      <c r="O52" s="54" t="s">
        <v>6651</v>
      </c>
      <c r="P52" s="757" t="s">
        <v>111</v>
      </c>
      <c r="Q52" s="756" t="s">
        <v>854</v>
      </c>
      <c r="R52" s="756" t="s">
        <v>5487</v>
      </c>
      <c r="S52" s="24" t="s">
        <v>6652</v>
      </c>
      <c r="T52" s="90" t="s">
        <v>6653</v>
      </c>
      <c r="U52" s="757" t="s">
        <v>2359</v>
      </c>
      <c r="V52" s="757">
        <v>1</v>
      </c>
      <c r="W52" s="24" t="s">
        <v>448</v>
      </c>
      <c r="X52" s="24" t="s">
        <v>448</v>
      </c>
      <c r="Y52" s="30">
        <v>2</v>
      </c>
      <c r="Z52" s="30"/>
      <c r="AA52" s="30">
        <v>2</v>
      </c>
      <c r="AB52" s="59"/>
      <c r="AC52" s="59"/>
      <c r="AD52" s="757" t="s">
        <v>1104</v>
      </c>
      <c r="AE52" s="202" t="s">
        <v>1880</v>
      </c>
      <c r="AF52" s="133" t="s">
        <v>1880</v>
      </c>
      <c r="AG52" s="756"/>
    </row>
    <row r="53" spans="1:33" s="11" customFormat="1" ht="26.25" customHeight="1" x14ac:dyDescent="0.15">
      <c r="A53" s="8">
        <v>50</v>
      </c>
      <c r="B53" s="36" t="s">
        <v>6649</v>
      </c>
      <c r="C53" s="26" t="s">
        <v>19</v>
      </c>
      <c r="D53" s="26" t="s">
        <v>19</v>
      </c>
      <c r="E53" s="26" t="s">
        <v>19</v>
      </c>
      <c r="F53" s="54" t="s">
        <v>3617</v>
      </c>
      <c r="G53" s="53" t="s">
        <v>6656</v>
      </c>
      <c r="H53" s="757" t="s">
        <v>2135</v>
      </c>
      <c r="I53" s="757" t="s">
        <v>2533</v>
      </c>
      <c r="J53" s="757" t="s">
        <v>4587</v>
      </c>
      <c r="K53" s="757" t="s">
        <v>4780</v>
      </c>
      <c r="L53" s="757" t="s">
        <v>1826</v>
      </c>
      <c r="M53" s="757" t="s">
        <v>111</v>
      </c>
      <c r="N53" s="22" t="s">
        <v>454</v>
      </c>
      <c r="O53" s="54" t="s">
        <v>6651</v>
      </c>
      <c r="P53" s="757" t="s">
        <v>111</v>
      </c>
      <c r="Q53" s="756" t="s">
        <v>854</v>
      </c>
      <c r="R53" s="756" t="s">
        <v>5487</v>
      </c>
      <c r="S53" s="24" t="s">
        <v>6652</v>
      </c>
      <c r="T53" s="90" t="s">
        <v>6653</v>
      </c>
      <c r="U53" s="757" t="s">
        <v>2359</v>
      </c>
      <c r="V53" s="757">
        <v>1</v>
      </c>
      <c r="W53" s="24" t="s">
        <v>448</v>
      </c>
      <c r="X53" s="24" t="s">
        <v>448</v>
      </c>
      <c r="Y53" s="30">
        <v>2</v>
      </c>
      <c r="Z53" s="30"/>
      <c r="AA53" s="30">
        <v>2</v>
      </c>
      <c r="AB53" s="59"/>
      <c r="AC53" s="59"/>
      <c r="AD53" s="757" t="s">
        <v>1104</v>
      </c>
      <c r="AE53" s="202" t="s">
        <v>1880</v>
      </c>
      <c r="AF53" s="133" t="s">
        <v>1880</v>
      </c>
      <c r="AG53" s="756"/>
    </row>
    <row r="54" spans="1:33" s="11" customFormat="1" ht="26.25" customHeight="1" x14ac:dyDescent="0.15">
      <c r="A54" s="8">
        <v>51</v>
      </c>
      <c r="B54" s="36" t="s">
        <v>6657</v>
      </c>
      <c r="C54" s="26" t="s">
        <v>19</v>
      </c>
      <c r="D54" s="26" t="s">
        <v>19</v>
      </c>
      <c r="E54" s="26" t="s">
        <v>19</v>
      </c>
      <c r="F54" s="29" t="s">
        <v>5623</v>
      </c>
      <c r="G54" s="53" t="s">
        <v>6659</v>
      </c>
      <c r="H54" s="757" t="s">
        <v>2012</v>
      </c>
      <c r="I54" s="757" t="s">
        <v>2437</v>
      </c>
      <c r="J54" s="757" t="s">
        <v>6658</v>
      </c>
      <c r="K54" s="22" t="s">
        <v>4780</v>
      </c>
      <c r="L54" s="757" t="s">
        <v>1826</v>
      </c>
      <c r="M54" s="757" t="s">
        <v>111</v>
      </c>
      <c r="N54" s="22" t="s">
        <v>454</v>
      </c>
      <c r="O54" s="54" t="s">
        <v>116</v>
      </c>
      <c r="P54" s="757" t="s">
        <v>111</v>
      </c>
      <c r="Q54" s="752" t="s">
        <v>5571</v>
      </c>
      <c r="R54" s="752" t="s">
        <v>5571</v>
      </c>
      <c r="S54" s="24" t="s">
        <v>6652</v>
      </c>
      <c r="T54" s="90" t="s">
        <v>6636</v>
      </c>
      <c r="U54" s="757" t="s">
        <v>2359</v>
      </c>
      <c r="V54" s="757">
        <v>1</v>
      </c>
      <c r="W54" s="24" t="s">
        <v>6587</v>
      </c>
      <c r="X54" s="24" t="s">
        <v>6588</v>
      </c>
      <c r="Y54" s="30"/>
      <c r="Z54" s="30">
        <v>10</v>
      </c>
      <c r="AA54" s="30">
        <v>10</v>
      </c>
      <c r="AB54" s="59"/>
      <c r="AC54" s="59"/>
      <c r="AD54" s="757" t="s">
        <v>1104</v>
      </c>
      <c r="AE54" s="202" t="s">
        <v>1880</v>
      </c>
      <c r="AF54" s="133" t="s">
        <v>1880</v>
      </c>
      <c r="AG54" s="752"/>
    </row>
    <row r="55" spans="1:33" s="11" customFormat="1" ht="26.25" customHeight="1" x14ac:dyDescent="0.15">
      <c r="A55" s="8">
        <v>52</v>
      </c>
      <c r="B55" s="36" t="s">
        <v>6660</v>
      </c>
      <c r="C55" s="26" t="s">
        <v>19</v>
      </c>
      <c r="D55" s="26" t="s">
        <v>19</v>
      </c>
      <c r="E55" s="26" t="s">
        <v>19</v>
      </c>
      <c r="F55" s="29" t="s">
        <v>6669</v>
      </c>
      <c r="G55" s="53" t="s">
        <v>6661</v>
      </c>
      <c r="H55" s="760" t="s">
        <v>1147</v>
      </c>
      <c r="I55" s="760" t="s">
        <v>2352</v>
      </c>
      <c r="J55" s="760" t="s">
        <v>3664</v>
      </c>
      <c r="K55" s="71" t="s">
        <v>3484</v>
      </c>
      <c r="L55" s="22" t="s">
        <v>5478</v>
      </c>
      <c r="M55" s="760" t="s">
        <v>111</v>
      </c>
      <c r="N55" s="22" t="s">
        <v>6662</v>
      </c>
      <c r="O55" s="54" t="s">
        <v>6663</v>
      </c>
      <c r="P55" s="760" t="s">
        <v>111</v>
      </c>
      <c r="Q55" s="759" t="s">
        <v>5480</v>
      </c>
      <c r="R55" s="759" t="s">
        <v>5480</v>
      </c>
      <c r="S55" s="24" t="s">
        <v>6664</v>
      </c>
      <c r="T55" s="90" t="s">
        <v>6652</v>
      </c>
      <c r="U55" s="24" t="s">
        <v>108</v>
      </c>
      <c r="V55" s="10">
        <v>1</v>
      </c>
      <c r="W55" s="24" t="s">
        <v>448</v>
      </c>
      <c r="X55" s="24" t="s">
        <v>448</v>
      </c>
      <c r="Y55" s="30">
        <v>1.8</v>
      </c>
      <c r="Z55" s="30"/>
      <c r="AA55" s="30">
        <v>1.8</v>
      </c>
      <c r="AB55" s="59"/>
      <c r="AC55" s="59"/>
      <c r="AD55" s="760" t="s">
        <v>1104</v>
      </c>
      <c r="AE55" s="202" t="s">
        <v>1880</v>
      </c>
      <c r="AF55" s="133" t="s">
        <v>1880</v>
      </c>
      <c r="AG55" s="759"/>
    </row>
    <row r="56" spans="1:33" s="11" customFormat="1" ht="26.25" customHeight="1" x14ac:dyDescent="0.15">
      <c r="A56" s="8">
        <v>53</v>
      </c>
      <c r="B56" s="36" t="s">
        <v>7733</v>
      </c>
      <c r="C56" s="26" t="s">
        <v>19</v>
      </c>
      <c r="D56" s="723" t="s">
        <v>19</v>
      </c>
      <c r="E56" s="26" t="s">
        <v>19</v>
      </c>
      <c r="F56" s="29" t="s">
        <v>6666</v>
      </c>
      <c r="G56" s="53" t="s">
        <v>6667</v>
      </c>
      <c r="H56" s="724"/>
      <c r="I56" s="724"/>
      <c r="J56" s="724"/>
      <c r="K56" s="725"/>
      <c r="L56" s="725"/>
      <c r="M56" s="206"/>
      <c r="N56" s="726"/>
      <c r="O56" s="215"/>
      <c r="P56" s="760" t="s">
        <v>111</v>
      </c>
      <c r="Q56" s="759" t="s">
        <v>1894</v>
      </c>
      <c r="R56" s="759" t="s">
        <v>1894</v>
      </c>
      <c r="S56" s="24" t="s">
        <v>6664</v>
      </c>
      <c r="T56" s="90" t="s">
        <v>6668</v>
      </c>
      <c r="U56" s="760" t="s">
        <v>2359</v>
      </c>
      <c r="V56" s="760">
        <v>1</v>
      </c>
      <c r="W56" s="24" t="s">
        <v>448</v>
      </c>
      <c r="X56" s="24" t="s">
        <v>448</v>
      </c>
      <c r="Y56" s="30">
        <v>7.15</v>
      </c>
      <c r="Z56" s="30"/>
      <c r="AA56" s="30">
        <v>7.15</v>
      </c>
      <c r="AB56" s="59"/>
      <c r="AC56" s="59"/>
      <c r="AD56" s="760" t="s">
        <v>1104</v>
      </c>
      <c r="AE56" s="202" t="s">
        <v>1880</v>
      </c>
      <c r="AF56" s="133" t="s">
        <v>1880</v>
      </c>
      <c r="AG56" s="54" t="s">
        <v>7732</v>
      </c>
    </row>
    <row r="57" spans="1:33" s="11" customFormat="1" ht="26.25" customHeight="1" x14ac:dyDescent="0.15">
      <c r="A57" s="8">
        <v>54</v>
      </c>
      <c r="B57" s="36" t="s">
        <v>6665</v>
      </c>
      <c r="C57" s="26" t="s">
        <v>19</v>
      </c>
      <c r="D57" s="26" t="s">
        <v>19</v>
      </c>
      <c r="E57" s="26" t="s">
        <v>19</v>
      </c>
      <c r="F57" s="29" t="s">
        <v>6670</v>
      </c>
      <c r="G57" s="53" t="s">
        <v>6671</v>
      </c>
      <c r="H57" s="758" t="s">
        <v>2113</v>
      </c>
      <c r="I57" s="758" t="s">
        <v>1779</v>
      </c>
      <c r="J57" s="758" t="s">
        <v>1778</v>
      </c>
      <c r="K57" s="22" t="s">
        <v>1777</v>
      </c>
      <c r="L57" s="760" t="s">
        <v>1826</v>
      </c>
      <c r="M57" s="760" t="s">
        <v>111</v>
      </c>
      <c r="N57" s="760" t="s">
        <v>1818</v>
      </c>
      <c r="O57" s="151" t="s">
        <v>1819</v>
      </c>
      <c r="P57" s="760" t="s">
        <v>111</v>
      </c>
      <c r="Q57" s="759" t="s">
        <v>1831</v>
      </c>
      <c r="R57" s="759" t="s">
        <v>5489</v>
      </c>
      <c r="S57" s="24" t="s">
        <v>6672</v>
      </c>
      <c r="T57" s="90" t="s">
        <v>6673</v>
      </c>
      <c r="U57" s="760" t="s">
        <v>2359</v>
      </c>
      <c r="V57" s="760">
        <v>2</v>
      </c>
      <c r="W57" s="24" t="s">
        <v>6495</v>
      </c>
      <c r="X57" s="24" t="s">
        <v>4430</v>
      </c>
      <c r="Y57" s="30"/>
      <c r="Z57" s="30">
        <v>8</v>
      </c>
      <c r="AA57" s="30">
        <v>8</v>
      </c>
      <c r="AB57" s="59"/>
      <c r="AC57" s="59"/>
      <c r="AD57" s="760" t="s">
        <v>1104</v>
      </c>
      <c r="AE57" s="202" t="s">
        <v>1880</v>
      </c>
      <c r="AF57" s="133" t="s">
        <v>1880</v>
      </c>
      <c r="AG57" s="759"/>
    </row>
    <row r="58" spans="1:33" s="11" customFormat="1" ht="26.25" customHeight="1" x14ac:dyDescent="0.15">
      <c r="A58" s="8">
        <v>55</v>
      </c>
      <c r="B58" s="36" t="s">
        <v>7735</v>
      </c>
      <c r="C58" s="26" t="s">
        <v>19</v>
      </c>
      <c r="D58" s="723" t="s">
        <v>19</v>
      </c>
      <c r="E58" s="26" t="s">
        <v>19</v>
      </c>
      <c r="F58" s="29" t="s">
        <v>6231</v>
      </c>
      <c r="G58" s="53" t="s">
        <v>6675</v>
      </c>
      <c r="H58" s="724"/>
      <c r="I58" s="724"/>
      <c r="J58" s="724"/>
      <c r="K58" s="725"/>
      <c r="L58" s="725"/>
      <c r="M58" s="206"/>
      <c r="N58" s="726"/>
      <c r="O58" s="215"/>
      <c r="P58" s="765" t="s">
        <v>111</v>
      </c>
      <c r="Q58" s="764" t="s">
        <v>1894</v>
      </c>
      <c r="R58" s="764" t="s">
        <v>1894</v>
      </c>
      <c r="S58" s="24" t="s">
        <v>6677</v>
      </c>
      <c r="T58" s="90" t="s">
        <v>6676</v>
      </c>
      <c r="U58" s="24" t="s">
        <v>110</v>
      </c>
      <c r="V58" s="24">
        <v>1</v>
      </c>
      <c r="W58" s="24" t="s">
        <v>448</v>
      </c>
      <c r="X58" s="24" t="s">
        <v>448</v>
      </c>
      <c r="Y58" s="30">
        <v>3.875</v>
      </c>
      <c r="Z58" s="30"/>
      <c r="AA58" s="30">
        <v>3.875</v>
      </c>
      <c r="AB58" s="59"/>
      <c r="AC58" s="59"/>
      <c r="AD58" s="765" t="s">
        <v>1104</v>
      </c>
      <c r="AE58" s="202" t="s">
        <v>1880</v>
      </c>
      <c r="AF58" s="133" t="s">
        <v>1880</v>
      </c>
      <c r="AG58" s="54" t="s">
        <v>7734</v>
      </c>
    </row>
    <row r="59" spans="1:33" s="11" customFormat="1" ht="26.25" customHeight="1" x14ac:dyDescent="0.15">
      <c r="A59" s="8">
        <v>56</v>
      </c>
      <c r="B59" s="36" t="s">
        <v>6674</v>
      </c>
      <c r="C59" s="26" t="s">
        <v>19</v>
      </c>
      <c r="D59" s="26" t="s">
        <v>19</v>
      </c>
      <c r="E59" s="26" t="s">
        <v>19</v>
      </c>
      <c r="F59" s="29" t="s">
        <v>845</v>
      </c>
      <c r="G59" s="53" t="s">
        <v>6764</v>
      </c>
      <c r="H59" s="799" t="s">
        <v>3649</v>
      </c>
      <c r="I59" s="799" t="s">
        <v>5419</v>
      </c>
      <c r="J59" s="799" t="s">
        <v>6761</v>
      </c>
      <c r="K59" s="22" t="s">
        <v>4780</v>
      </c>
      <c r="L59" s="22" t="s">
        <v>5478</v>
      </c>
      <c r="M59" s="22" t="s">
        <v>1880</v>
      </c>
      <c r="N59" s="800" t="s">
        <v>2429</v>
      </c>
      <c r="O59" s="54" t="s">
        <v>6183</v>
      </c>
      <c r="P59" s="22" t="s">
        <v>1880</v>
      </c>
      <c r="Q59" s="71" t="s">
        <v>854</v>
      </c>
      <c r="R59" s="800" t="s">
        <v>5487</v>
      </c>
      <c r="S59" s="24" t="s">
        <v>6763</v>
      </c>
      <c r="T59" s="90" t="s">
        <v>6668</v>
      </c>
      <c r="U59" s="24" t="s">
        <v>110</v>
      </c>
      <c r="V59" s="24">
        <v>2</v>
      </c>
      <c r="W59" s="24" t="s">
        <v>448</v>
      </c>
      <c r="X59" s="24" t="s">
        <v>448</v>
      </c>
      <c r="Y59" s="30">
        <v>4.8</v>
      </c>
      <c r="Z59" s="30"/>
      <c r="AA59" s="30">
        <v>4.8</v>
      </c>
      <c r="AB59" s="59"/>
      <c r="AC59" s="59"/>
      <c r="AD59" s="765" t="s">
        <v>1104</v>
      </c>
      <c r="AE59" s="202" t="s">
        <v>1880</v>
      </c>
      <c r="AF59" s="133" t="s">
        <v>1880</v>
      </c>
      <c r="AG59" s="54" t="s">
        <v>6681</v>
      </c>
    </row>
    <row r="60" spans="1:33" s="11" customFormat="1" ht="26.25" customHeight="1" x14ac:dyDescent="0.15">
      <c r="A60" s="8">
        <v>57</v>
      </c>
      <c r="B60" s="36" t="s">
        <v>6682</v>
      </c>
      <c r="C60" s="26" t="s">
        <v>19</v>
      </c>
      <c r="D60" s="26" t="s">
        <v>6697</v>
      </c>
      <c r="E60" s="26" t="s">
        <v>19</v>
      </c>
      <c r="F60" s="29" t="s">
        <v>6688</v>
      </c>
      <c r="G60" s="53" t="s">
        <v>6689</v>
      </c>
      <c r="H60" s="767" t="s">
        <v>2032</v>
      </c>
      <c r="I60" s="102" t="s">
        <v>819</v>
      </c>
      <c r="J60" s="37" t="s">
        <v>1129</v>
      </c>
      <c r="K60" s="22" t="s">
        <v>856</v>
      </c>
      <c r="L60" s="22" t="s">
        <v>1826</v>
      </c>
      <c r="M60" s="22" t="s">
        <v>1880</v>
      </c>
      <c r="N60" s="940" t="s">
        <v>1131</v>
      </c>
      <c r="O60" s="151" t="s">
        <v>7451</v>
      </c>
      <c r="P60" s="769" t="s">
        <v>111</v>
      </c>
      <c r="Q60" s="766" t="s">
        <v>446</v>
      </c>
      <c r="R60" s="768" t="s">
        <v>446</v>
      </c>
      <c r="S60" s="24" t="s">
        <v>6686</v>
      </c>
      <c r="T60" s="90" t="s">
        <v>6677</v>
      </c>
      <c r="U60" s="24" t="s">
        <v>110</v>
      </c>
      <c r="V60" s="24">
        <v>1</v>
      </c>
      <c r="W60" s="24" t="s">
        <v>448</v>
      </c>
      <c r="X60" s="24" t="s">
        <v>448</v>
      </c>
      <c r="Y60" s="30">
        <v>3</v>
      </c>
      <c r="Z60" s="30"/>
      <c r="AA60" s="30">
        <v>3</v>
      </c>
      <c r="AB60" s="59"/>
      <c r="AC60" s="59"/>
      <c r="AD60" s="769" t="s">
        <v>1104</v>
      </c>
      <c r="AE60" s="202" t="s">
        <v>1880</v>
      </c>
      <c r="AF60" s="133" t="s">
        <v>1880</v>
      </c>
      <c r="AG60" s="766"/>
    </row>
    <row r="61" spans="1:33" s="11" customFormat="1" ht="26.25" customHeight="1" x14ac:dyDescent="0.15">
      <c r="A61" s="8">
        <v>58</v>
      </c>
      <c r="B61" s="36" t="s">
        <v>6683</v>
      </c>
      <c r="C61" s="26" t="s">
        <v>19</v>
      </c>
      <c r="D61" s="26" t="s">
        <v>6698</v>
      </c>
      <c r="E61" s="26" t="s">
        <v>19</v>
      </c>
      <c r="F61" s="29" t="s">
        <v>5541</v>
      </c>
      <c r="G61" s="53" t="s">
        <v>6690</v>
      </c>
      <c r="H61" s="767" t="s">
        <v>2032</v>
      </c>
      <c r="I61" s="767" t="s">
        <v>270</v>
      </c>
      <c r="J61" s="21" t="s">
        <v>610</v>
      </c>
      <c r="K61" s="21" t="s">
        <v>609</v>
      </c>
      <c r="L61" s="22" t="s">
        <v>1826</v>
      </c>
      <c r="M61" s="22" t="s">
        <v>1880</v>
      </c>
      <c r="N61" s="768" t="s">
        <v>102</v>
      </c>
      <c r="O61" s="54" t="s">
        <v>5500</v>
      </c>
      <c r="P61" s="769" t="s">
        <v>111</v>
      </c>
      <c r="Q61" s="766" t="s">
        <v>446</v>
      </c>
      <c r="R61" s="766" t="s">
        <v>446</v>
      </c>
      <c r="S61" s="24" t="s">
        <v>6686</v>
      </c>
      <c r="T61" s="90" t="s">
        <v>6652</v>
      </c>
      <c r="U61" s="24" t="s">
        <v>110</v>
      </c>
      <c r="V61" s="24">
        <v>1</v>
      </c>
      <c r="W61" s="24" t="s">
        <v>448</v>
      </c>
      <c r="X61" s="24" t="s">
        <v>448</v>
      </c>
      <c r="Y61" s="30">
        <v>1.85</v>
      </c>
      <c r="Z61" s="30"/>
      <c r="AA61" s="30">
        <v>1.85</v>
      </c>
      <c r="AB61" s="59"/>
      <c r="AC61" s="59"/>
      <c r="AD61" s="769" t="s">
        <v>1104</v>
      </c>
      <c r="AE61" s="202" t="s">
        <v>1880</v>
      </c>
      <c r="AF61" s="133" t="s">
        <v>1880</v>
      </c>
      <c r="AG61" s="766"/>
    </row>
    <row r="62" spans="1:33" s="11" customFormat="1" ht="26.25" customHeight="1" x14ac:dyDescent="0.15">
      <c r="A62" s="8">
        <v>59</v>
      </c>
      <c r="B62" s="36" t="s">
        <v>6684</v>
      </c>
      <c r="C62" s="26" t="s">
        <v>19</v>
      </c>
      <c r="D62" s="26" t="s">
        <v>19</v>
      </c>
      <c r="E62" s="26" t="s">
        <v>19</v>
      </c>
      <c r="F62" s="29" t="s">
        <v>5541</v>
      </c>
      <c r="G62" s="53" t="s">
        <v>6691</v>
      </c>
      <c r="H62" s="767" t="s">
        <v>2032</v>
      </c>
      <c r="I62" s="767" t="s">
        <v>270</v>
      </c>
      <c r="J62" s="21" t="s">
        <v>610</v>
      </c>
      <c r="K62" s="21" t="s">
        <v>609</v>
      </c>
      <c r="L62" s="22" t="s">
        <v>1826</v>
      </c>
      <c r="M62" s="22" t="s">
        <v>1880</v>
      </c>
      <c r="N62" s="768" t="s">
        <v>6692</v>
      </c>
      <c r="O62" s="54" t="s">
        <v>5567</v>
      </c>
      <c r="P62" s="769" t="s">
        <v>111</v>
      </c>
      <c r="Q62" s="766" t="s">
        <v>446</v>
      </c>
      <c r="R62" s="768" t="s">
        <v>446</v>
      </c>
      <c r="S62" s="24" t="s">
        <v>6686</v>
      </c>
      <c r="T62" s="90" t="s">
        <v>6652</v>
      </c>
      <c r="U62" s="24" t="s">
        <v>110</v>
      </c>
      <c r="V62" s="24">
        <v>1</v>
      </c>
      <c r="W62" s="24" t="s">
        <v>448</v>
      </c>
      <c r="X62" s="24" t="s">
        <v>448</v>
      </c>
      <c r="Y62" s="30">
        <v>0.6</v>
      </c>
      <c r="Z62" s="30"/>
      <c r="AA62" s="30">
        <v>0.6</v>
      </c>
      <c r="AB62" s="59"/>
      <c r="AC62" s="59"/>
      <c r="AD62" s="769" t="s">
        <v>1104</v>
      </c>
      <c r="AE62" s="202" t="s">
        <v>1880</v>
      </c>
      <c r="AF62" s="133" t="s">
        <v>1880</v>
      </c>
      <c r="AG62" s="766"/>
    </row>
    <row r="63" spans="1:33" s="11" customFormat="1" ht="26.25" customHeight="1" x14ac:dyDescent="0.15">
      <c r="A63" s="8">
        <v>60</v>
      </c>
      <c r="B63" s="36" t="s">
        <v>6685</v>
      </c>
      <c r="C63" s="26" t="s">
        <v>19</v>
      </c>
      <c r="D63" s="26" t="s">
        <v>6695</v>
      </c>
      <c r="E63" s="26" t="s">
        <v>19</v>
      </c>
      <c r="F63" s="29" t="s">
        <v>5930</v>
      </c>
      <c r="G63" s="53" t="s">
        <v>6693</v>
      </c>
      <c r="H63" s="767" t="s">
        <v>2032</v>
      </c>
      <c r="I63" s="767" t="s">
        <v>2031</v>
      </c>
      <c r="J63" s="768" t="s">
        <v>2039</v>
      </c>
      <c r="K63" s="768" t="s">
        <v>2038</v>
      </c>
      <c r="L63" s="22" t="s">
        <v>1826</v>
      </c>
      <c r="M63" s="22" t="s">
        <v>1880</v>
      </c>
      <c r="N63" s="940" t="s">
        <v>1131</v>
      </c>
      <c r="O63" s="151" t="s">
        <v>7451</v>
      </c>
      <c r="P63" s="769" t="s">
        <v>111</v>
      </c>
      <c r="Q63" s="763" t="s">
        <v>446</v>
      </c>
      <c r="R63" s="768" t="s">
        <v>446</v>
      </c>
      <c r="S63" s="24" t="s">
        <v>6686</v>
      </c>
      <c r="T63" s="90" t="s">
        <v>6677</v>
      </c>
      <c r="U63" s="24" t="s">
        <v>110</v>
      </c>
      <c r="V63" s="24">
        <v>1</v>
      </c>
      <c r="W63" s="24" t="s">
        <v>448</v>
      </c>
      <c r="X63" s="24" t="s">
        <v>448</v>
      </c>
      <c r="Y63" s="30">
        <v>3</v>
      </c>
      <c r="Z63" s="30"/>
      <c r="AA63" s="30">
        <v>3</v>
      </c>
      <c r="AB63" s="59"/>
      <c r="AC63" s="59"/>
      <c r="AD63" s="769" t="s">
        <v>1104</v>
      </c>
      <c r="AE63" s="202" t="s">
        <v>1880</v>
      </c>
      <c r="AF63" s="133" t="s">
        <v>1880</v>
      </c>
      <c r="AG63" s="763"/>
    </row>
    <row r="64" spans="1:33" s="11" customFormat="1" ht="26.25" customHeight="1" x14ac:dyDescent="0.15">
      <c r="A64" s="8">
        <v>61</v>
      </c>
      <c r="B64" s="36" t="s">
        <v>6687</v>
      </c>
      <c r="C64" s="26" t="s">
        <v>19</v>
      </c>
      <c r="D64" s="26" t="s">
        <v>6696</v>
      </c>
      <c r="E64" s="26" t="s">
        <v>19</v>
      </c>
      <c r="F64" s="29" t="s">
        <v>5932</v>
      </c>
      <c r="G64" s="53" t="s">
        <v>6694</v>
      </c>
      <c r="H64" s="767" t="s">
        <v>2032</v>
      </c>
      <c r="I64" s="767" t="s">
        <v>2031</v>
      </c>
      <c r="J64" s="768" t="s">
        <v>2041</v>
      </c>
      <c r="K64" s="768" t="s">
        <v>2040</v>
      </c>
      <c r="L64" s="22" t="s">
        <v>1826</v>
      </c>
      <c r="M64" s="22" t="s">
        <v>1880</v>
      </c>
      <c r="N64" s="940" t="s">
        <v>1131</v>
      </c>
      <c r="O64" s="151" t="s">
        <v>7451</v>
      </c>
      <c r="P64" s="769" t="s">
        <v>111</v>
      </c>
      <c r="Q64" s="766" t="s">
        <v>446</v>
      </c>
      <c r="R64" s="768" t="s">
        <v>446</v>
      </c>
      <c r="S64" s="24" t="s">
        <v>6686</v>
      </c>
      <c r="T64" s="90" t="s">
        <v>6677</v>
      </c>
      <c r="U64" s="24" t="s">
        <v>110</v>
      </c>
      <c r="V64" s="24">
        <v>1</v>
      </c>
      <c r="W64" s="24" t="s">
        <v>448</v>
      </c>
      <c r="X64" s="24" t="s">
        <v>448</v>
      </c>
      <c r="Y64" s="30">
        <v>3</v>
      </c>
      <c r="Z64" s="30"/>
      <c r="AA64" s="30">
        <v>3</v>
      </c>
      <c r="AB64" s="59"/>
      <c r="AC64" s="59"/>
      <c r="AD64" s="769" t="s">
        <v>1104</v>
      </c>
      <c r="AE64" s="202" t="s">
        <v>1880</v>
      </c>
      <c r="AF64" s="133" t="s">
        <v>1880</v>
      </c>
      <c r="AG64" s="766"/>
    </row>
    <row r="65" spans="1:33" s="11" customFormat="1" ht="26.25" customHeight="1" x14ac:dyDescent="0.15">
      <c r="A65" s="8">
        <v>62</v>
      </c>
      <c r="B65" s="36" t="s">
        <v>6707</v>
      </c>
      <c r="C65" s="26" t="s">
        <v>19</v>
      </c>
      <c r="D65" s="26" t="s">
        <v>19</v>
      </c>
      <c r="E65" s="36" t="s">
        <v>6722</v>
      </c>
      <c r="F65" s="29" t="s">
        <v>6701</v>
      </c>
      <c r="G65" s="53" t="s">
        <v>6702</v>
      </c>
      <c r="H65" s="773" t="s">
        <v>2475</v>
      </c>
      <c r="I65" s="773" t="s">
        <v>2067</v>
      </c>
      <c r="J65" s="774" t="s">
        <v>6703</v>
      </c>
      <c r="K65" s="22" t="s">
        <v>4780</v>
      </c>
      <c r="L65" s="22" t="s">
        <v>1826</v>
      </c>
      <c r="M65" s="22" t="s">
        <v>1880</v>
      </c>
      <c r="N65" s="775" t="s">
        <v>6704</v>
      </c>
      <c r="O65" s="54" t="s">
        <v>6183</v>
      </c>
      <c r="P65" s="775" t="s">
        <v>111</v>
      </c>
      <c r="Q65" s="771" t="s">
        <v>446</v>
      </c>
      <c r="R65" s="771" t="s">
        <v>446</v>
      </c>
      <c r="S65" s="24" t="s">
        <v>6705</v>
      </c>
      <c r="T65" s="90" t="s">
        <v>6706</v>
      </c>
      <c r="U65" s="24" t="s">
        <v>110</v>
      </c>
      <c r="V65" s="24">
        <v>1</v>
      </c>
      <c r="W65" s="24" t="s">
        <v>448</v>
      </c>
      <c r="X65" s="24" t="s">
        <v>448</v>
      </c>
      <c r="Y65" s="30">
        <v>4.5</v>
      </c>
      <c r="Z65" s="30"/>
      <c r="AA65" s="30">
        <v>4.5</v>
      </c>
      <c r="AB65" s="59"/>
      <c r="AC65" s="59"/>
      <c r="AD65" s="772" t="s">
        <v>1104</v>
      </c>
      <c r="AE65" s="202" t="s">
        <v>1880</v>
      </c>
      <c r="AF65" s="133" t="s">
        <v>1880</v>
      </c>
      <c r="AG65" s="771"/>
    </row>
    <row r="66" spans="1:33" s="11" customFormat="1" ht="26.25" customHeight="1" x14ac:dyDescent="0.15">
      <c r="A66" s="8">
        <v>63</v>
      </c>
      <c r="B66" s="36" t="s">
        <v>6708</v>
      </c>
      <c r="C66" s="26" t="s">
        <v>19</v>
      </c>
      <c r="D66" s="26" t="s">
        <v>19</v>
      </c>
      <c r="E66" s="26" t="s">
        <v>19</v>
      </c>
      <c r="F66" s="29" t="s">
        <v>6268</v>
      </c>
      <c r="G66" s="53" t="s">
        <v>6710</v>
      </c>
      <c r="H66" s="776" t="s">
        <v>3649</v>
      </c>
      <c r="I66" s="776" t="s">
        <v>4750</v>
      </c>
      <c r="J66" s="776" t="s">
        <v>6270</v>
      </c>
      <c r="K66" s="22" t="s">
        <v>6271</v>
      </c>
      <c r="L66" s="22" t="s">
        <v>5431</v>
      </c>
      <c r="M66" s="778" t="s">
        <v>1880</v>
      </c>
      <c r="N66" s="777" t="s">
        <v>1131</v>
      </c>
      <c r="O66" s="54" t="s">
        <v>116</v>
      </c>
      <c r="P66" s="22" t="s">
        <v>1880</v>
      </c>
      <c r="Q66" s="777" t="s">
        <v>5487</v>
      </c>
      <c r="R66" s="777" t="s">
        <v>5487</v>
      </c>
      <c r="S66" s="24" t="s">
        <v>6711</v>
      </c>
      <c r="T66" s="90" t="s">
        <v>6668</v>
      </c>
      <c r="U66" s="24" t="s">
        <v>110</v>
      </c>
      <c r="V66" s="24">
        <v>2</v>
      </c>
      <c r="W66" s="24" t="s">
        <v>6425</v>
      </c>
      <c r="X66" s="24" t="s">
        <v>5552</v>
      </c>
      <c r="Y66" s="30"/>
      <c r="Z66" s="30">
        <v>8</v>
      </c>
      <c r="AA66" s="30">
        <v>8</v>
      </c>
      <c r="AB66" s="59"/>
      <c r="AC66" s="59"/>
      <c r="AD66" s="35" t="s">
        <v>1104</v>
      </c>
      <c r="AE66" s="202" t="s">
        <v>19</v>
      </c>
      <c r="AF66" s="35" t="s">
        <v>1880</v>
      </c>
      <c r="AG66" s="777"/>
    </row>
    <row r="67" spans="1:33" s="11" customFormat="1" ht="26.25" customHeight="1" x14ac:dyDescent="0.15">
      <c r="A67" s="8">
        <v>64</v>
      </c>
      <c r="B67" s="36" t="s">
        <v>6709</v>
      </c>
      <c r="C67" s="26" t="s">
        <v>19</v>
      </c>
      <c r="D67" s="26" t="s">
        <v>19</v>
      </c>
      <c r="E67" s="26" t="s">
        <v>19</v>
      </c>
      <c r="F67" s="29" t="s">
        <v>6712</v>
      </c>
      <c r="G67" s="53" t="s">
        <v>6713</v>
      </c>
      <c r="H67" s="776" t="s">
        <v>4195</v>
      </c>
      <c r="I67" s="776" t="s">
        <v>6714</v>
      </c>
      <c r="J67" s="776" t="s">
        <v>6715</v>
      </c>
      <c r="K67" s="22" t="s">
        <v>4780</v>
      </c>
      <c r="L67" s="22" t="s">
        <v>5431</v>
      </c>
      <c r="M67" s="778" t="s">
        <v>1880</v>
      </c>
      <c r="N67" s="777" t="s">
        <v>445</v>
      </c>
      <c r="O67" s="54" t="s">
        <v>4534</v>
      </c>
      <c r="P67" s="22" t="s">
        <v>1880</v>
      </c>
      <c r="Q67" s="777" t="s">
        <v>5480</v>
      </c>
      <c r="R67" s="777" t="s">
        <v>5480</v>
      </c>
      <c r="S67" s="24" t="s">
        <v>6711</v>
      </c>
      <c r="T67" s="90" t="s">
        <v>6705</v>
      </c>
      <c r="U67" s="24" t="s">
        <v>110</v>
      </c>
      <c r="V67" s="24">
        <v>1</v>
      </c>
      <c r="W67" s="24" t="s">
        <v>448</v>
      </c>
      <c r="X67" s="24" t="s">
        <v>448</v>
      </c>
      <c r="Y67" s="30">
        <v>23.3</v>
      </c>
      <c r="Z67" s="30"/>
      <c r="AA67" s="30">
        <v>23.3</v>
      </c>
      <c r="AB67" s="59"/>
      <c r="AC67" s="59"/>
      <c r="AD67" s="35" t="s">
        <v>1104</v>
      </c>
      <c r="AE67" s="202" t="s">
        <v>19</v>
      </c>
      <c r="AF67" s="35" t="s">
        <v>1880</v>
      </c>
      <c r="AG67" s="777"/>
    </row>
    <row r="68" spans="1:33" s="11" customFormat="1" ht="26.25" customHeight="1" x14ac:dyDescent="0.15">
      <c r="A68" s="8">
        <v>65</v>
      </c>
      <c r="B68" s="36" t="s">
        <v>6716</v>
      </c>
      <c r="C68" s="26" t="s">
        <v>19</v>
      </c>
      <c r="D68" s="26" t="s">
        <v>19</v>
      </c>
      <c r="E68" s="26" t="s">
        <v>19</v>
      </c>
      <c r="F68" s="29" t="s">
        <v>7079</v>
      </c>
      <c r="G68" s="99" t="s">
        <v>5486</v>
      </c>
      <c r="H68" s="10" t="s">
        <v>1460</v>
      </c>
      <c r="I68" s="10" t="s">
        <v>556</v>
      </c>
      <c r="J68" s="779" t="s">
        <v>6717</v>
      </c>
      <c r="K68" s="22" t="s">
        <v>4780</v>
      </c>
      <c r="L68" s="22" t="s">
        <v>5431</v>
      </c>
      <c r="M68" s="780" t="s">
        <v>1880</v>
      </c>
      <c r="N68" s="779" t="s">
        <v>1131</v>
      </c>
      <c r="O68" s="54" t="s">
        <v>5500</v>
      </c>
      <c r="P68" s="22" t="s">
        <v>1880</v>
      </c>
      <c r="Q68" s="779" t="s">
        <v>5571</v>
      </c>
      <c r="R68" s="779" t="s">
        <v>5571</v>
      </c>
      <c r="S68" s="484"/>
      <c r="T68" s="499"/>
      <c r="U68" s="484"/>
      <c r="V68" s="484"/>
      <c r="W68" s="24" t="s">
        <v>448</v>
      </c>
      <c r="X68" s="24" t="s">
        <v>448</v>
      </c>
      <c r="Y68" s="30">
        <v>0.59599999999999997</v>
      </c>
      <c r="Z68" s="30"/>
      <c r="AA68" s="30">
        <v>0.59599999999999997</v>
      </c>
      <c r="AB68" s="59"/>
      <c r="AC68" s="59"/>
      <c r="AD68" s="35" t="s">
        <v>1104</v>
      </c>
      <c r="AE68" s="202" t="s">
        <v>19</v>
      </c>
      <c r="AF68" s="35" t="s">
        <v>1880</v>
      </c>
      <c r="AG68" s="779"/>
    </row>
    <row r="69" spans="1:33" s="11" customFormat="1" ht="26.25" customHeight="1" x14ac:dyDescent="0.15">
      <c r="A69" s="8">
        <v>66</v>
      </c>
      <c r="B69" s="36" t="s">
        <v>6718</v>
      </c>
      <c r="C69" s="26" t="s">
        <v>19</v>
      </c>
      <c r="D69" s="26" t="s">
        <v>19</v>
      </c>
      <c r="E69" s="26" t="s">
        <v>19</v>
      </c>
      <c r="F69" s="29" t="s">
        <v>6031</v>
      </c>
      <c r="G69" s="53" t="s">
        <v>5691</v>
      </c>
      <c r="H69" s="10" t="s">
        <v>1449</v>
      </c>
      <c r="I69" s="10" t="s">
        <v>556</v>
      </c>
      <c r="J69" s="781" t="s">
        <v>6719</v>
      </c>
      <c r="K69" s="22" t="s">
        <v>4780</v>
      </c>
      <c r="L69" s="22" t="s">
        <v>5431</v>
      </c>
      <c r="M69" s="782" t="s">
        <v>1860</v>
      </c>
      <c r="N69" s="781" t="s">
        <v>1131</v>
      </c>
      <c r="O69" s="54" t="s">
        <v>116</v>
      </c>
      <c r="P69" s="22" t="s">
        <v>1880</v>
      </c>
      <c r="Q69" s="779" t="s">
        <v>854</v>
      </c>
      <c r="R69" s="779" t="s">
        <v>5487</v>
      </c>
      <c r="S69" s="24" t="s">
        <v>6720</v>
      </c>
      <c r="T69" s="90" t="s">
        <v>6721</v>
      </c>
      <c r="U69" s="24" t="s">
        <v>110</v>
      </c>
      <c r="V69" s="24">
        <v>2</v>
      </c>
      <c r="W69" s="24" t="s">
        <v>6425</v>
      </c>
      <c r="X69" s="24" t="s">
        <v>5552</v>
      </c>
      <c r="Y69" s="30"/>
      <c r="Z69" s="30">
        <v>10</v>
      </c>
      <c r="AA69" s="30">
        <v>10</v>
      </c>
      <c r="AB69" s="59"/>
      <c r="AC69" s="59"/>
      <c r="AD69" s="35" t="s">
        <v>1104</v>
      </c>
      <c r="AE69" s="202" t="s">
        <v>19</v>
      </c>
      <c r="AF69" s="35" t="s">
        <v>1880</v>
      </c>
      <c r="AG69" s="779"/>
    </row>
    <row r="70" spans="1:33" s="11" customFormat="1" ht="26.25" customHeight="1" x14ac:dyDescent="0.15">
      <c r="A70" s="8">
        <v>67</v>
      </c>
      <c r="B70" s="36" t="s">
        <v>6723</v>
      </c>
      <c r="C70" s="26" t="s">
        <v>19</v>
      </c>
      <c r="D70" s="26" t="s">
        <v>19</v>
      </c>
      <c r="E70" s="26" t="s">
        <v>19</v>
      </c>
      <c r="F70" s="29" t="s">
        <v>6078</v>
      </c>
      <c r="G70" s="53" t="s">
        <v>6725</v>
      </c>
      <c r="H70" s="783" t="s">
        <v>3649</v>
      </c>
      <c r="I70" s="783" t="s">
        <v>6079</v>
      </c>
      <c r="J70" s="783" t="s">
        <v>6080</v>
      </c>
      <c r="K70" s="22" t="s">
        <v>4780</v>
      </c>
      <c r="L70" s="22" t="s">
        <v>5431</v>
      </c>
      <c r="M70" s="22" t="s">
        <v>1880</v>
      </c>
      <c r="N70" s="784" t="s">
        <v>102</v>
      </c>
      <c r="O70" s="54" t="s">
        <v>5638</v>
      </c>
      <c r="P70" s="22" t="s">
        <v>1880</v>
      </c>
      <c r="Q70" s="784" t="s">
        <v>854</v>
      </c>
      <c r="R70" s="784" t="s">
        <v>5487</v>
      </c>
      <c r="S70" s="24" t="s">
        <v>6726</v>
      </c>
      <c r="T70" s="90" t="s">
        <v>6727</v>
      </c>
      <c r="U70" s="24" t="s">
        <v>110</v>
      </c>
      <c r="V70" s="24">
        <v>1</v>
      </c>
      <c r="W70" s="24" t="s">
        <v>6728</v>
      </c>
      <c r="X70" s="24" t="s">
        <v>6729</v>
      </c>
      <c r="Y70" s="30"/>
      <c r="Z70" s="30">
        <v>11</v>
      </c>
      <c r="AA70" s="30">
        <v>11</v>
      </c>
      <c r="AB70" s="59"/>
      <c r="AC70" s="59"/>
      <c r="AD70" s="35" t="s">
        <v>1104</v>
      </c>
      <c r="AE70" s="202" t="s">
        <v>19</v>
      </c>
      <c r="AF70" s="35" t="s">
        <v>1880</v>
      </c>
      <c r="AG70" s="784"/>
    </row>
    <row r="71" spans="1:33" s="11" customFormat="1" ht="26.25" customHeight="1" x14ac:dyDescent="0.15">
      <c r="A71" s="8">
        <v>68</v>
      </c>
      <c r="B71" s="36" t="s">
        <v>6724</v>
      </c>
      <c r="C71" s="26" t="s">
        <v>19</v>
      </c>
      <c r="D71" s="26" t="s">
        <v>19</v>
      </c>
      <c r="E71" s="26" t="s">
        <v>19</v>
      </c>
      <c r="F71" s="29" t="s">
        <v>6730</v>
      </c>
      <c r="G71" s="53" t="s">
        <v>6731</v>
      </c>
      <c r="H71" s="783" t="s">
        <v>4195</v>
      </c>
      <c r="I71" s="783" t="s">
        <v>6714</v>
      </c>
      <c r="J71" s="783" t="s">
        <v>6733</v>
      </c>
      <c r="K71" s="22" t="s">
        <v>6734</v>
      </c>
      <c r="L71" s="22" t="s">
        <v>5431</v>
      </c>
      <c r="M71" s="22" t="s">
        <v>1880</v>
      </c>
      <c r="N71" s="784" t="s">
        <v>445</v>
      </c>
      <c r="O71" s="54" t="s">
        <v>4534</v>
      </c>
      <c r="P71" s="22" t="s">
        <v>1880</v>
      </c>
      <c r="Q71" s="784" t="s">
        <v>5480</v>
      </c>
      <c r="R71" s="784" t="s">
        <v>5480</v>
      </c>
      <c r="S71" s="24" t="s">
        <v>6726</v>
      </c>
      <c r="T71" s="90" t="s">
        <v>6732</v>
      </c>
      <c r="U71" s="24" t="s">
        <v>108</v>
      </c>
      <c r="V71" s="24">
        <v>1</v>
      </c>
      <c r="W71" s="24" t="s">
        <v>448</v>
      </c>
      <c r="X71" s="24" t="s">
        <v>448</v>
      </c>
      <c r="Y71" s="30">
        <v>23.3</v>
      </c>
      <c r="Z71" s="30"/>
      <c r="AA71" s="30">
        <v>23.3</v>
      </c>
      <c r="AB71" s="59"/>
      <c r="AC71" s="59"/>
      <c r="AD71" s="35" t="s">
        <v>1104</v>
      </c>
      <c r="AE71" s="202" t="s">
        <v>19</v>
      </c>
      <c r="AF71" s="35" t="s">
        <v>1880</v>
      </c>
      <c r="AG71" s="784"/>
    </row>
    <row r="72" spans="1:33" s="11" customFormat="1" ht="26.25" customHeight="1" x14ac:dyDescent="0.15">
      <c r="A72" s="8">
        <v>69</v>
      </c>
      <c r="B72" s="36" t="s">
        <v>6735</v>
      </c>
      <c r="C72" s="26" t="s">
        <v>19</v>
      </c>
      <c r="D72" s="26" t="s">
        <v>19</v>
      </c>
      <c r="E72" s="26" t="s">
        <v>19</v>
      </c>
      <c r="F72" s="29" t="s">
        <v>449</v>
      </c>
      <c r="G72" s="53" t="s">
        <v>6737</v>
      </c>
      <c r="H72" s="785" t="s">
        <v>4791</v>
      </c>
      <c r="I72" s="785" t="s">
        <v>2419</v>
      </c>
      <c r="J72" s="785" t="s">
        <v>6738</v>
      </c>
      <c r="K72" s="22" t="s">
        <v>6549</v>
      </c>
      <c r="L72" s="22" t="s">
        <v>5431</v>
      </c>
      <c r="M72" s="22" t="s">
        <v>1880</v>
      </c>
      <c r="N72" s="786" t="s">
        <v>102</v>
      </c>
      <c r="O72" s="54" t="s">
        <v>6739</v>
      </c>
      <c r="P72" s="22" t="s">
        <v>1880</v>
      </c>
      <c r="Q72" s="784" t="s">
        <v>446</v>
      </c>
      <c r="R72" s="784" t="s">
        <v>446</v>
      </c>
      <c r="S72" s="24" t="s">
        <v>6740</v>
      </c>
      <c r="T72" s="90" t="s">
        <v>6741</v>
      </c>
      <c r="U72" s="24" t="s">
        <v>110</v>
      </c>
      <c r="V72" s="24">
        <v>2</v>
      </c>
      <c r="W72" s="24" t="s">
        <v>448</v>
      </c>
      <c r="X72" s="24" t="s">
        <v>448</v>
      </c>
      <c r="Y72" s="30">
        <v>8.4</v>
      </c>
      <c r="Z72" s="30"/>
      <c r="AA72" s="30">
        <v>8.4</v>
      </c>
      <c r="AB72" s="59"/>
      <c r="AC72" s="59"/>
      <c r="AD72" s="35" t="s">
        <v>1104</v>
      </c>
      <c r="AE72" s="202" t="s">
        <v>19</v>
      </c>
      <c r="AF72" s="35" t="s">
        <v>1880</v>
      </c>
      <c r="AG72" s="784"/>
    </row>
    <row r="73" spans="1:33" s="11" customFormat="1" ht="26.25" customHeight="1" x14ac:dyDescent="0.15">
      <c r="A73" s="8">
        <v>70</v>
      </c>
      <c r="B73" s="36" t="s">
        <v>6736</v>
      </c>
      <c r="C73" s="71" t="s">
        <v>6744</v>
      </c>
      <c r="D73" s="26" t="s">
        <v>19</v>
      </c>
      <c r="E73" s="26" t="s">
        <v>19</v>
      </c>
      <c r="F73" s="29" t="s">
        <v>6357</v>
      </c>
      <c r="G73" s="53" t="s">
        <v>6745</v>
      </c>
      <c r="H73" s="790" t="s">
        <v>2112</v>
      </c>
      <c r="I73" s="790" t="s">
        <v>1124</v>
      </c>
      <c r="J73" s="790" t="s">
        <v>6746</v>
      </c>
      <c r="K73" s="22" t="s">
        <v>4780</v>
      </c>
      <c r="L73" s="22" t="s">
        <v>5431</v>
      </c>
      <c r="M73" s="22" t="s">
        <v>1880</v>
      </c>
      <c r="N73" s="790" t="s">
        <v>102</v>
      </c>
      <c r="O73" s="54" t="s">
        <v>4753</v>
      </c>
      <c r="P73" s="22" t="s">
        <v>1880</v>
      </c>
      <c r="Q73" s="771" t="s">
        <v>6371</v>
      </c>
      <c r="R73" s="771" t="s">
        <v>5489</v>
      </c>
      <c r="S73" s="24" t="s">
        <v>6747</v>
      </c>
      <c r="T73" s="90" t="s">
        <v>6686</v>
      </c>
      <c r="U73" s="24" t="s">
        <v>110</v>
      </c>
      <c r="V73" s="24">
        <v>1</v>
      </c>
      <c r="W73" s="24" t="s">
        <v>448</v>
      </c>
      <c r="X73" s="24" t="s">
        <v>448</v>
      </c>
      <c r="Y73" s="30">
        <v>23.12</v>
      </c>
      <c r="Z73" s="30"/>
      <c r="AA73" s="30">
        <v>23.12</v>
      </c>
      <c r="AB73" s="59"/>
      <c r="AC73" s="59"/>
      <c r="AD73" s="35" t="s">
        <v>1104</v>
      </c>
      <c r="AE73" s="202" t="s">
        <v>19</v>
      </c>
      <c r="AF73" s="35" t="s">
        <v>1880</v>
      </c>
      <c r="AG73" s="771"/>
    </row>
    <row r="74" spans="1:33" s="11" customFormat="1" ht="26.25" customHeight="1" x14ac:dyDescent="0.15">
      <c r="A74" s="8">
        <v>71</v>
      </c>
      <c r="B74" s="36" t="s">
        <v>6742</v>
      </c>
      <c r="C74" s="26" t="s">
        <v>19</v>
      </c>
      <c r="D74" s="26" t="s">
        <v>19</v>
      </c>
      <c r="E74" s="26" t="s">
        <v>19</v>
      </c>
      <c r="F74" s="29" t="s">
        <v>6748</v>
      </c>
      <c r="G74" s="53" t="s">
        <v>6749</v>
      </c>
      <c r="H74" s="787" t="s">
        <v>4195</v>
      </c>
      <c r="I74" s="789" t="s">
        <v>6714</v>
      </c>
      <c r="J74" s="787" t="s">
        <v>6750</v>
      </c>
      <c r="K74" s="22" t="s">
        <v>4780</v>
      </c>
      <c r="L74" s="22" t="s">
        <v>5431</v>
      </c>
      <c r="M74" s="22" t="s">
        <v>1880</v>
      </c>
      <c r="N74" s="790" t="s">
        <v>445</v>
      </c>
      <c r="O74" s="54" t="s">
        <v>4534</v>
      </c>
      <c r="P74" s="22" t="s">
        <v>1880</v>
      </c>
      <c r="Q74" s="790" t="s">
        <v>5480</v>
      </c>
      <c r="R74" s="790" t="s">
        <v>5480</v>
      </c>
      <c r="S74" s="24" t="s">
        <v>6747</v>
      </c>
      <c r="T74" s="90" t="s">
        <v>6740</v>
      </c>
      <c r="U74" s="24" t="s">
        <v>108</v>
      </c>
      <c r="V74" s="24">
        <v>1</v>
      </c>
      <c r="W74" s="24" t="s">
        <v>448</v>
      </c>
      <c r="X74" s="24" t="s">
        <v>448</v>
      </c>
      <c r="Y74" s="30">
        <v>23.3</v>
      </c>
      <c r="Z74" s="30"/>
      <c r="AA74" s="30">
        <v>23.3</v>
      </c>
      <c r="AB74" s="59"/>
      <c r="AC74" s="59"/>
      <c r="AD74" s="35" t="s">
        <v>1104</v>
      </c>
      <c r="AE74" s="202" t="s">
        <v>19</v>
      </c>
      <c r="AF74" s="35" t="s">
        <v>1880</v>
      </c>
      <c r="AG74" s="788"/>
    </row>
    <row r="75" spans="1:33" s="11" customFormat="1" ht="26.25" customHeight="1" x14ac:dyDescent="0.15">
      <c r="A75" s="8">
        <v>72</v>
      </c>
      <c r="B75" s="36" t="s">
        <v>6743</v>
      </c>
      <c r="C75" s="26" t="s">
        <v>19</v>
      </c>
      <c r="D75" s="26" t="s">
        <v>19</v>
      </c>
      <c r="E75" s="26" t="s">
        <v>19</v>
      </c>
      <c r="F75" s="29" t="s">
        <v>5746</v>
      </c>
      <c r="G75" s="53" t="s">
        <v>5747</v>
      </c>
      <c r="H75" s="789" t="s">
        <v>4208</v>
      </c>
      <c r="I75" s="789" t="s">
        <v>6751</v>
      </c>
      <c r="J75" s="789" t="s">
        <v>6752</v>
      </c>
      <c r="K75" s="22" t="s">
        <v>6753</v>
      </c>
      <c r="L75" s="22" t="s">
        <v>5478</v>
      </c>
      <c r="M75" s="22" t="s">
        <v>1880</v>
      </c>
      <c r="N75" s="788" t="s">
        <v>2422</v>
      </c>
      <c r="O75" s="54" t="s">
        <v>116</v>
      </c>
      <c r="P75" s="22" t="s">
        <v>1880</v>
      </c>
      <c r="Q75" s="788" t="s">
        <v>1774</v>
      </c>
      <c r="R75" s="788" t="s">
        <v>1774</v>
      </c>
      <c r="S75" s="24" t="s">
        <v>6747</v>
      </c>
      <c r="T75" s="90" t="s">
        <v>6557</v>
      </c>
      <c r="U75" s="24" t="s">
        <v>110</v>
      </c>
      <c r="V75" s="24">
        <v>1</v>
      </c>
      <c r="W75" s="24" t="s">
        <v>6425</v>
      </c>
      <c r="X75" s="24" t="s">
        <v>5552</v>
      </c>
      <c r="Y75" s="30"/>
      <c r="Z75" s="30">
        <v>7.5</v>
      </c>
      <c r="AA75" s="30">
        <v>7.5</v>
      </c>
      <c r="AB75" s="59"/>
      <c r="AC75" s="59"/>
      <c r="AD75" s="35" t="s">
        <v>1104</v>
      </c>
      <c r="AE75" s="202" t="s">
        <v>19</v>
      </c>
      <c r="AF75" s="35" t="s">
        <v>1880</v>
      </c>
      <c r="AG75" s="788"/>
    </row>
    <row r="76" spans="1:33" s="11" customFormat="1" ht="33.75" customHeight="1" x14ac:dyDescent="0.15">
      <c r="A76" s="8">
        <v>73</v>
      </c>
      <c r="B76" s="36" t="s">
        <v>6755</v>
      </c>
      <c r="C76" s="71" t="s">
        <v>6760</v>
      </c>
      <c r="D76" s="26" t="s">
        <v>19</v>
      </c>
      <c r="E76" s="26" t="s">
        <v>19</v>
      </c>
      <c r="F76" s="29" t="s">
        <v>845</v>
      </c>
      <c r="G76" s="53" t="s">
        <v>6759</v>
      </c>
      <c r="H76" s="791" t="s">
        <v>3649</v>
      </c>
      <c r="I76" s="791" t="s">
        <v>5419</v>
      </c>
      <c r="J76" s="791" t="s">
        <v>6761</v>
      </c>
      <c r="K76" s="22" t="s">
        <v>4780</v>
      </c>
      <c r="L76" s="22" t="s">
        <v>5478</v>
      </c>
      <c r="M76" s="22" t="s">
        <v>1880</v>
      </c>
      <c r="N76" s="792" t="s">
        <v>2422</v>
      </c>
      <c r="O76" s="54" t="s">
        <v>6762</v>
      </c>
      <c r="P76" s="22" t="s">
        <v>1880</v>
      </c>
      <c r="Q76" s="71" t="s">
        <v>5487</v>
      </c>
      <c r="R76" s="792" t="s">
        <v>5487</v>
      </c>
      <c r="S76" s="24" t="s">
        <v>6763</v>
      </c>
      <c r="T76" s="90" t="s">
        <v>6720</v>
      </c>
      <c r="U76" s="24" t="s">
        <v>110</v>
      </c>
      <c r="V76" s="24">
        <v>2</v>
      </c>
      <c r="W76" s="24" t="s">
        <v>5710</v>
      </c>
      <c r="X76" s="24" t="s">
        <v>448</v>
      </c>
      <c r="Y76" s="30">
        <v>10</v>
      </c>
      <c r="Z76" s="30"/>
      <c r="AA76" s="30">
        <v>10</v>
      </c>
      <c r="AB76" s="59"/>
      <c r="AC76" s="59"/>
      <c r="AD76" s="35" t="s">
        <v>1104</v>
      </c>
      <c r="AE76" s="202" t="s">
        <v>19</v>
      </c>
      <c r="AF76" s="35" t="s">
        <v>1880</v>
      </c>
      <c r="AG76" s="792"/>
    </row>
    <row r="77" spans="1:33" s="11" customFormat="1" ht="26.25" customHeight="1" x14ac:dyDescent="0.15">
      <c r="A77" s="8">
        <v>74</v>
      </c>
      <c r="B77" s="36" t="s">
        <v>6756</v>
      </c>
      <c r="C77" s="26" t="s">
        <v>19</v>
      </c>
      <c r="D77" s="26" t="s">
        <v>19</v>
      </c>
      <c r="E77" s="26" t="s">
        <v>19</v>
      </c>
      <c r="F77" s="29" t="s">
        <v>845</v>
      </c>
      <c r="G77" s="53" t="s">
        <v>6764</v>
      </c>
      <c r="H77" s="791" t="s">
        <v>3649</v>
      </c>
      <c r="I77" s="791" t="s">
        <v>5419</v>
      </c>
      <c r="J77" s="791" t="s">
        <v>6761</v>
      </c>
      <c r="K77" s="22" t="s">
        <v>4780</v>
      </c>
      <c r="L77" s="22" t="s">
        <v>5478</v>
      </c>
      <c r="M77" s="22" t="s">
        <v>1880</v>
      </c>
      <c r="N77" s="792" t="s">
        <v>2429</v>
      </c>
      <c r="O77" s="54" t="s">
        <v>6183</v>
      </c>
      <c r="P77" s="22" t="s">
        <v>1880</v>
      </c>
      <c r="Q77" s="71" t="s">
        <v>854</v>
      </c>
      <c r="R77" s="792" t="s">
        <v>5487</v>
      </c>
      <c r="S77" s="24" t="s">
        <v>6763</v>
      </c>
      <c r="T77" s="90" t="s">
        <v>6668</v>
      </c>
      <c r="U77" s="24" t="s">
        <v>110</v>
      </c>
      <c r="V77" s="24">
        <v>2</v>
      </c>
      <c r="W77" s="24" t="s">
        <v>448</v>
      </c>
      <c r="X77" s="24" t="s">
        <v>448</v>
      </c>
      <c r="Y77" s="30">
        <v>4.8</v>
      </c>
      <c r="Z77" s="30"/>
      <c r="AA77" s="30">
        <v>4.8</v>
      </c>
      <c r="AB77" s="59" t="s">
        <v>6457</v>
      </c>
      <c r="AC77" s="59" t="s">
        <v>6457</v>
      </c>
      <c r="AD77" s="35" t="s">
        <v>1104</v>
      </c>
      <c r="AE77" s="202" t="s">
        <v>19</v>
      </c>
      <c r="AF77" s="35" t="s">
        <v>1880</v>
      </c>
      <c r="AG77" s="792" t="s">
        <v>6794</v>
      </c>
    </row>
    <row r="78" spans="1:33" s="11" customFormat="1" ht="26.25" customHeight="1" x14ac:dyDescent="0.15">
      <c r="A78" s="8">
        <v>75</v>
      </c>
      <c r="B78" s="36" t="s">
        <v>6757</v>
      </c>
      <c r="C78" s="26" t="s">
        <v>19</v>
      </c>
      <c r="D78" s="26" t="s">
        <v>19</v>
      </c>
      <c r="E78" s="26" t="s">
        <v>19</v>
      </c>
      <c r="F78" s="29" t="s">
        <v>845</v>
      </c>
      <c r="G78" s="53" t="s">
        <v>6765</v>
      </c>
      <c r="H78" s="791" t="s">
        <v>3649</v>
      </c>
      <c r="I78" s="791" t="s">
        <v>5419</v>
      </c>
      <c r="J78" s="791" t="s">
        <v>6766</v>
      </c>
      <c r="K78" s="22" t="s">
        <v>6767</v>
      </c>
      <c r="L78" s="22" t="s">
        <v>5431</v>
      </c>
      <c r="M78" s="22" t="s">
        <v>1880</v>
      </c>
      <c r="N78" s="792" t="s">
        <v>1131</v>
      </c>
      <c r="O78" s="54" t="s">
        <v>6183</v>
      </c>
      <c r="P78" s="22" t="s">
        <v>1880</v>
      </c>
      <c r="Q78" s="71" t="s">
        <v>854</v>
      </c>
      <c r="R78" s="792" t="s">
        <v>5487</v>
      </c>
      <c r="S78" s="24" t="s">
        <v>6763</v>
      </c>
      <c r="T78" s="90" t="s">
        <v>6668</v>
      </c>
      <c r="U78" s="24" t="s">
        <v>110</v>
      </c>
      <c r="V78" s="24">
        <v>2</v>
      </c>
      <c r="W78" s="24" t="s">
        <v>448</v>
      </c>
      <c r="X78" s="24" t="s">
        <v>448</v>
      </c>
      <c r="Y78" s="30">
        <v>2.8</v>
      </c>
      <c r="Z78" s="30"/>
      <c r="AA78" s="30">
        <v>2.8</v>
      </c>
      <c r="AB78" s="59"/>
      <c r="AC78" s="59"/>
      <c r="AD78" s="35" t="s">
        <v>1104</v>
      </c>
      <c r="AE78" s="202" t="s">
        <v>19</v>
      </c>
      <c r="AF78" s="35" t="s">
        <v>1880</v>
      </c>
      <c r="AG78" s="792"/>
    </row>
    <row r="79" spans="1:33" s="11" customFormat="1" ht="26.25" customHeight="1" x14ac:dyDescent="0.15">
      <c r="A79" s="8">
        <v>76</v>
      </c>
      <c r="B79" s="36" t="s">
        <v>6758</v>
      </c>
      <c r="C79" s="26" t="s">
        <v>19</v>
      </c>
      <c r="D79" s="26" t="s">
        <v>19</v>
      </c>
      <c r="E79" s="26" t="s">
        <v>19</v>
      </c>
      <c r="F79" s="29" t="s">
        <v>5762</v>
      </c>
      <c r="G79" s="29" t="s">
        <v>6768</v>
      </c>
      <c r="H79" s="791" t="s">
        <v>4791</v>
      </c>
      <c r="I79" s="791" t="s">
        <v>5461</v>
      </c>
      <c r="J79" s="791" t="s">
        <v>5764</v>
      </c>
      <c r="K79" s="22" t="s">
        <v>4780</v>
      </c>
      <c r="L79" s="22" t="s">
        <v>5431</v>
      </c>
      <c r="M79" s="22" t="s">
        <v>1880</v>
      </c>
      <c r="N79" s="792" t="s">
        <v>1131</v>
      </c>
      <c r="O79" s="54" t="s">
        <v>116</v>
      </c>
      <c r="P79" s="22" t="s">
        <v>1880</v>
      </c>
      <c r="Q79" s="792" t="s">
        <v>446</v>
      </c>
      <c r="R79" s="792" t="s">
        <v>446</v>
      </c>
      <c r="S79" s="24" t="s">
        <v>6763</v>
      </c>
      <c r="T79" s="90" t="s">
        <v>6769</v>
      </c>
      <c r="U79" s="24" t="s">
        <v>110</v>
      </c>
      <c r="V79" s="24">
        <v>1</v>
      </c>
      <c r="W79" s="24" t="s">
        <v>6770</v>
      </c>
      <c r="X79" s="24" t="s">
        <v>6771</v>
      </c>
      <c r="Y79" s="30"/>
      <c r="Z79" s="30">
        <v>9</v>
      </c>
      <c r="AA79" s="30">
        <v>9</v>
      </c>
      <c r="AB79" s="59"/>
      <c r="AC79" s="59"/>
      <c r="AD79" s="35" t="s">
        <v>1104</v>
      </c>
      <c r="AE79" s="202" t="s">
        <v>19</v>
      </c>
      <c r="AF79" s="35" t="s">
        <v>1880</v>
      </c>
      <c r="AG79" s="792"/>
    </row>
    <row r="80" spans="1:33" s="11" customFormat="1" ht="32.25" customHeight="1" x14ac:dyDescent="0.15">
      <c r="A80" s="8">
        <v>77</v>
      </c>
      <c r="B80" s="36" t="s">
        <v>6772</v>
      </c>
      <c r="C80" s="26" t="s">
        <v>19</v>
      </c>
      <c r="D80" s="723" t="s">
        <v>19</v>
      </c>
      <c r="E80" s="26" t="s">
        <v>19</v>
      </c>
      <c r="F80" s="29" t="s">
        <v>6773</v>
      </c>
      <c r="G80" s="53" t="s">
        <v>6774</v>
      </c>
      <c r="H80" s="793" t="s">
        <v>4691</v>
      </c>
      <c r="I80" s="793" t="s">
        <v>4728</v>
      </c>
      <c r="J80" s="793" t="s">
        <v>6775</v>
      </c>
      <c r="K80" s="22" t="s">
        <v>4780</v>
      </c>
      <c r="L80" s="22" t="s">
        <v>5431</v>
      </c>
      <c r="M80" s="22" t="s">
        <v>1880</v>
      </c>
      <c r="N80" s="794" t="s">
        <v>1131</v>
      </c>
      <c r="O80" s="54" t="s">
        <v>4753</v>
      </c>
      <c r="P80" s="22" t="s">
        <v>1880</v>
      </c>
      <c r="Q80" s="792" t="s">
        <v>1894</v>
      </c>
      <c r="R80" s="792" t="s">
        <v>1894</v>
      </c>
      <c r="S80" s="24" t="s">
        <v>6776</v>
      </c>
      <c r="T80" s="90" t="s">
        <v>6777</v>
      </c>
      <c r="U80" s="24" t="s">
        <v>110</v>
      </c>
      <c r="V80" s="24">
        <v>2</v>
      </c>
      <c r="W80" s="24" t="s">
        <v>448</v>
      </c>
      <c r="X80" s="24" t="s">
        <v>448</v>
      </c>
      <c r="Y80" s="30">
        <v>1.4</v>
      </c>
      <c r="Z80" s="30"/>
      <c r="AA80" s="30">
        <v>1.4</v>
      </c>
      <c r="AB80" s="59"/>
      <c r="AC80" s="59"/>
      <c r="AD80" s="35" t="s">
        <v>1104</v>
      </c>
      <c r="AE80" s="202" t="s">
        <v>19</v>
      </c>
      <c r="AF80" s="35" t="s">
        <v>1880</v>
      </c>
      <c r="AG80" s="792"/>
    </row>
    <row r="81" spans="1:33" s="11" customFormat="1" ht="26.25" customHeight="1" x14ac:dyDescent="0.15">
      <c r="A81" s="8">
        <v>78</v>
      </c>
      <c r="B81" s="36" t="s">
        <v>6778</v>
      </c>
      <c r="C81" s="26" t="s">
        <v>19</v>
      </c>
      <c r="D81" s="26" t="s">
        <v>19</v>
      </c>
      <c r="E81" s="26" t="s">
        <v>19</v>
      </c>
      <c r="F81" s="54" t="s">
        <v>2010</v>
      </c>
      <c r="G81" s="54" t="s">
        <v>4015</v>
      </c>
      <c r="H81" s="1" t="s">
        <v>1460</v>
      </c>
      <c r="I81" s="142" t="s">
        <v>4016</v>
      </c>
      <c r="J81" s="329" t="s">
        <v>4017</v>
      </c>
      <c r="K81" s="330" t="s">
        <v>4018</v>
      </c>
      <c r="L81" s="796" t="s">
        <v>1826</v>
      </c>
      <c r="M81" s="796" t="s">
        <v>111</v>
      </c>
      <c r="N81" s="796" t="s">
        <v>1818</v>
      </c>
      <c r="O81" s="151" t="s">
        <v>1819</v>
      </c>
      <c r="P81" s="22" t="s">
        <v>1880</v>
      </c>
      <c r="Q81" s="795" t="s">
        <v>5571</v>
      </c>
      <c r="R81" s="795" t="s">
        <v>5571</v>
      </c>
      <c r="S81" s="24" t="s">
        <v>6781</v>
      </c>
      <c r="T81" s="90" t="s">
        <v>6732</v>
      </c>
      <c r="U81" s="24" t="s">
        <v>110</v>
      </c>
      <c r="V81" s="24">
        <v>2</v>
      </c>
      <c r="W81" s="24" t="s">
        <v>6782</v>
      </c>
      <c r="X81" s="24" t="s">
        <v>6783</v>
      </c>
      <c r="Y81" s="30"/>
      <c r="Z81" s="30">
        <v>3</v>
      </c>
      <c r="AA81" s="30">
        <v>3</v>
      </c>
      <c r="AB81" s="59"/>
      <c r="AC81" s="59"/>
      <c r="AD81" s="35" t="s">
        <v>1104</v>
      </c>
      <c r="AE81" s="202" t="s">
        <v>19</v>
      </c>
      <c r="AF81" s="35" t="s">
        <v>1880</v>
      </c>
      <c r="AG81" s="795"/>
    </row>
    <row r="82" spans="1:33" s="11" customFormat="1" ht="26.25" customHeight="1" x14ac:dyDescent="0.15">
      <c r="A82" s="8">
        <v>79</v>
      </c>
      <c r="B82" s="36" t="s">
        <v>6779</v>
      </c>
      <c r="C82" s="26" t="s">
        <v>19</v>
      </c>
      <c r="D82" s="26" t="s">
        <v>19</v>
      </c>
      <c r="E82" s="26" t="s">
        <v>19</v>
      </c>
      <c r="F82" s="151" t="s">
        <v>2018</v>
      </c>
      <c r="G82" s="54" t="s">
        <v>4026</v>
      </c>
      <c r="H82" s="1" t="s">
        <v>1460</v>
      </c>
      <c r="I82" s="142" t="s">
        <v>4016</v>
      </c>
      <c r="J82" s="329" t="s">
        <v>4027</v>
      </c>
      <c r="K82" s="330" t="s">
        <v>4028</v>
      </c>
      <c r="L82" s="796" t="s">
        <v>1826</v>
      </c>
      <c r="M82" s="796" t="s">
        <v>111</v>
      </c>
      <c r="N82" s="796" t="s">
        <v>1818</v>
      </c>
      <c r="O82" s="151" t="s">
        <v>1819</v>
      </c>
      <c r="P82" s="22" t="s">
        <v>1880</v>
      </c>
      <c r="Q82" s="795" t="s">
        <v>5571</v>
      </c>
      <c r="R82" s="795" t="s">
        <v>5571</v>
      </c>
      <c r="S82" s="24" t="s">
        <v>6781</v>
      </c>
      <c r="T82" s="90" t="s">
        <v>6732</v>
      </c>
      <c r="U82" s="24" t="s">
        <v>110</v>
      </c>
      <c r="V82" s="24">
        <v>2</v>
      </c>
      <c r="W82" s="24" t="s">
        <v>6782</v>
      </c>
      <c r="X82" s="24" t="s">
        <v>6783</v>
      </c>
      <c r="Y82" s="30"/>
      <c r="Z82" s="30">
        <v>3</v>
      </c>
      <c r="AA82" s="30">
        <v>3</v>
      </c>
      <c r="AB82" s="59"/>
      <c r="AC82" s="59"/>
      <c r="AD82" s="35" t="s">
        <v>1104</v>
      </c>
      <c r="AE82" s="202" t="s">
        <v>19</v>
      </c>
      <c r="AF82" s="35" t="s">
        <v>1880</v>
      </c>
      <c r="AG82" s="795"/>
    </row>
    <row r="83" spans="1:33" s="11" customFormat="1" ht="26.25" customHeight="1" x14ac:dyDescent="0.15">
      <c r="A83" s="8">
        <v>80</v>
      </c>
      <c r="B83" s="36" t="s">
        <v>6780</v>
      </c>
      <c r="C83" s="26" t="s">
        <v>19</v>
      </c>
      <c r="D83" s="26" t="s">
        <v>19</v>
      </c>
      <c r="E83" s="26" t="s">
        <v>19</v>
      </c>
      <c r="F83" s="54" t="s">
        <v>2020</v>
      </c>
      <c r="G83" s="54" t="s">
        <v>4029</v>
      </c>
      <c r="H83" s="1" t="s">
        <v>1460</v>
      </c>
      <c r="I83" s="142" t="s">
        <v>4016</v>
      </c>
      <c r="J83" s="329" t="s">
        <v>4030</v>
      </c>
      <c r="K83" s="330" t="s">
        <v>4031</v>
      </c>
      <c r="L83" s="796" t="s">
        <v>1826</v>
      </c>
      <c r="M83" s="796" t="s">
        <v>111</v>
      </c>
      <c r="N83" s="796" t="s">
        <v>1818</v>
      </c>
      <c r="O83" s="151" t="s">
        <v>1819</v>
      </c>
      <c r="P83" s="22" t="s">
        <v>1880</v>
      </c>
      <c r="Q83" s="795" t="s">
        <v>5571</v>
      </c>
      <c r="R83" s="795" t="s">
        <v>5571</v>
      </c>
      <c r="S83" s="24" t="s">
        <v>6781</v>
      </c>
      <c r="T83" s="90" t="s">
        <v>6732</v>
      </c>
      <c r="U83" s="24" t="s">
        <v>110</v>
      </c>
      <c r="V83" s="24">
        <v>2</v>
      </c>
      <c r="W83" s="24" t="s">
        <v>6782</v>
      </c>
      <c r="X83" s="24" t="s">
        <v>6783</v>
      </c>
      <c r="Y83" s="30"/>
      <c r="Z83" s="30">
        <v>3</v>
      </c>
      <c r="AA83" s="30">
        <v>3</v>
      </c>
      <c r="AB83" s="59"/>
      <c r="AC83" s="59"/>
      <c r="AD83" s="35" t="s">
        <v>1104</v>
      </c>
      <c r="AE83" s="202" t="s">
        <v>19</v>
      </c>
      <c r="AF83" s="35" t="s">
        <v>1880</v>
      </c>
      <c r="AG83" s="795"/>
    </row>
    <row r="84" spans="1:33" s="11" customFormat="1" ht="26.25" customHeight="1" x14ac:dyDescent="0.15">
      <c r="A84" s="8">
        <v>81</v>
      </c>
      <c r="B84" s="36" t="s">
        <v>6785</v>
      </c>
      <c r="C84" s="26" t="s">
        <v>19</v>
      </c>
      <c r="D84" s="723" t="s">
        <v>19</v>
      </c>
      <c r="E84" s="26" t="s">
        <v>19</v>
      </c>
      <c r="F84" s="29" t="s">
        <v>6786</v>
      </c>
      <c r="G84" s="53" t="s">
        <v>6789</v>
      </c>
      <c r="H84" s="1" t="s">
        <v>1433</v>
      </c>
      <c r="I84" s="142" t="s">
        <v>151</v>
      </c>
      <c r="J84" s="329" t="s">
        <v>6787</v>
      </c>
      <c r="K84" s="330" t="s">
        <v>6788</v>
      </c>
      <c r="L84" s="797" t="s">
        <v>1826</v>
      </c>
      <c r="M84" s="797" t="s">
        <v>111</v>
      </c>
      <c r="N84" s="797" t="s">
        <v>1818</v>
      </c>
      <c r="O84" s="54" t="s">
        <v>5500</v>
      </c>
      <c r="P84" s="22" t="s">
        <v>1880</v>
      </c>
      <c r="Q84" s="792" t="s">
        <v>446</v>
      </c>
      <c r="R84" s="792" t="s">
        <v>446</v>
      </c>
      <c r="S84" s="24" t="s">
        <v>6790</v>
      </c>
      <c r="T84" s="90" t="s">
        <v>6791</v>
      </c>
      <c r="U84" s="24" t="s">
        <v>108</v>
      </c>
      <c r="V84" s="24">
        <v>1</v>
      </c>
      <c r="W84" s="24" t="s">
        <v>448</v>
      </c>
      <c r="X84" s="24" t="s">
        <v>448</v>
      </c>
      <c r="Y84" s="30">
        <v>0.8</v>
      </c>
      <c r="Z84" s="30"/>
      <c r="AA84" s="30">
        <v>0.8</v>
      </c>
      <c r="AB84" s="59"/>
      <c r="AC84" s="59"/>
      <c r="AD84" s="35" t="s">
        <v>1104</v>
      </c>
      <c r="AE84" s="202" t="s">
        <v>19</v>
      </c>
      <c r="AF84" s="35" t="s">
        <v>1880</v>
      </c>
      <c r="AG84" s="792"/>
    </row>
    <row r="85" spans="1:33" s="11" customFormat="1" ht="26.25" customHeight="1" x14ac:dyDescent="0.15">
      <c r="A85" s="8">
        <v>82</v>
      </c>
      <c r="B85" s="36" t="s">
        <v>6795</v>
      </c>
      <c r="C85" s="26" t="s">
        <v>19</v>
      </c>
      <c r="D85" s="26" t="s">
        <v>19</v>
      </c>
      <c r="E85" s="26" t="s">
        <v>19</v>
      </c>
      <c r="F85" s="29" t="s">
        <v>5968</v>
      </c>
      <c r="G85" s="53" t="s">
        <v>6797</v>
      </c>
      <c r="H85" s="1" t="s">
        <v>23</v>
      </c>
      <c r="I85" s="142" t="s">
        <v>556</v>
      </c>
      <c r="J85" s="329" t="s">
        <v>5062</v>
      </c>
      <c r="K85" s="22" t="s">
        <v>4780</v>
      </c>
      <c r="L85" s="802" t="s">
        <v>1826</v>
      </c>
      <c r="M85" s="802" t="s">
        <v>111</v>
      </c>
      <c r="N85" s="801" t="s">
        <v>445</v>
      </c>
      <c r="O85" s="54" t="s">
        <v>6798</v>
      </c>
      <c r="P85" s="22" t="s">
        <v>1880</v>
      </c>
      <c r="Q85" s="801" t="s">
        <v>5480</v>
      </c>
      <c r="R85" s="801" t="s">
        <v>5480</v>
      </c>
      <c r="S85" s="24" t="s">
        <v>6799</v>
      </c>
      <c r="T85" s="90" t="s">
        <v>6800</v>
      </c>
      <c r="U85" s="24" t="s">
        <v>110</v>
      </c>
      <c r="V85" s="24">
        <v>1</v>
      </c>
      <c r="W85" s="24" t="s">
        <v>448</v>
      </c>
      <c r="X85" s="24" t="s">
        <v>448</v>
      </c>
      <c r="Y85" s="30">
        <v>8.5</v>
      </c>
      <c r="Z85" s="30"/>
      <c r="AA85" s="30">
        <v>8.5</v>
      </c>
      <c r="AB85" s="59"/>
      <c r="AC85" s="59"/>
      <c r="AD85" s="35" t="s">
        <v>1104</v>
      </c>
      <c r="AE85" s="202" t="s">
        <v>19</v>
      </c>
      <c r="AF85" s="35" t="s">
        <v>1880</v>
      </c>
      <c r="AG85" s="801"/>
    </row>
    <row r="86" spans="1:33" s="11" customFormat="1" ht="26.25" customHeight="1" x14ac:dyDescent="0.15">
      <c r="A86" s="8">
        <v>83</v>
      </c>
      <c r="B86" s="36" t="s">
        <v>6796</v>
      </c>
      <c r="C86" s="26" t="s">
        <v>19</v>
      </c>
      <c r="D86" s="26" t="s">
        <v>19</v>
      </c>
      <c r="E86" s="26" t="s">
        <v>19</v>
      </c>
      <c r="F86" s="29" t="s">
        <v>6068</v>
      </c>
      <c r="G86" s="53" t="s">
        <v>6801</v>
      </c>
      <c r="H86" s="1" t="s">
        <v>23</v>
      </c>
      <c r="I86" s="142" t="s">
        <v>556</v>
      </c>
      <c r="J86" s="329" t="s">
        <v>4167</v>
      </c>
      <c r="K86" s="22" t="s">
        <v>4887</v>
      </c>
      <c r="L86" s="802" t="s">
        <v>1826</v>
      </c>
      <c r="M86" s="802" t="s">
        <v>111</v>
      </c>
      <c r="N86" s="801" t="s">
        <v>445</v>
      </c>
      <c r="O86" s="54" t="s">
        <v>6798</v>
      </c>
      <c r="P86" s="22" t="s">
        <v>1880</v>
      </c>
      <c r="Q86" s="801" t="s">
        <v>5480</v>
      </c>
      <c r="R86" s="801" t="s">
        <v>5480</v>
      </c>
      <c r="S86" s="24" t="s">
        <v>6799</v>
      </c>
      <c r="T86" s="90" t="s">
        <v>6800</v>
      </c>
      <c r="U86" s="24" t="s">
        <v>110</v>
      </c>
      <c r="V86" s="24">
        <v>1</v>
      </c>
      <c r="W86" s="24" t="s">
        <v>448</v>
      </c>
      <c r="X86" s="24" t="s">
        <v>448</v>
      </c>
      <c r="Y86" s="30">
        <v>8.5</v>
      </c>
      <c r="Z86" s="30"/>
      <c r="AA86" s="30">
        <v>8.5</v>
      </c>
      <c r="AB86" s="59"/>
      <c r="AC86" s="59"/>
      <c r="AD86" s="35" t="s">
        <v>1104</v>
      </c>
      <c r="AE86" s="202" t="s">
        <v>19</v>
      </c>
      <c r="AF86" s="35" t="s">
        <v>1880</v>
      </c>
      <c r="AG86" s="801"/>
    </row>
    <row r="87" spans="1:33" s="11" customFormat="1" ht="26.25" customHeight="1" x14ac:dyDescent="0.15">
      <c r="A87" s="8">
        <v>84</v>
      </c>
      <c r="B87" s="36" t="s">
        <v>6802</v>
      </c>
      <c r="C87" s="26" t="s">
        <v>19</v>
      </c>
      <c r="D87" s="26" t="s">
        <v>19</v>
      </c>
      <c r="E87" s="26" t="s">
        <v>19</v>
      </c>
      <c r="F87" s="29" t="s">
        <v>6803</v>
      </c>
      <c r="G87" s="99" t="s">
        <v>5753</v>
      </c>
      <c r="H87" s="1" t="s">
        <v>23</v>
      </c>
      <c r="I87" s="142" t="s">
        <v>6805</v>
      </c>
      <c r="J87" s="329" t="s">
        <v>6806</v>
      </c>
      <c r="K87" s="725"/>
      <c r="L87" s="725"/>
      <c r="M87" s="206"/>
      <c r="N87" s="805" t="s">
        <v>445</v>
      </c>
      <c r="O87" s="54" t="s">
        <v>6798</v>
      </c>
      <c r="P87" s="22" t="s">
        <v>1880</v>
      </c>
      <c r="Q87" s="804" t="s">
        <v>5480</v>
      </c>
      <c r="R87" s="804" t="s">
        <v>5480</v>
      </c>
      <c r="S87" s="24" t="s">
        <v>6804</v>
      </c>
      <c r="T87" s="499"/>
      <c r="U87" s="484"/>
      <c r="V87" s="484"/>
      <c r="W87" s="24" t="s">
        <v>448</v>
      </c>
      <c r="X87" s="24" t="s">
        <v>448</v>
      </c>
      <c r="Y87" s="30">
        <v>9</v>
      </c>
      <c r="Z87" s="30"/>
      <c r="AA87" s="30">
        <v>9</v>
      </c>
      <c r="AB87" s="59" t="s">
        <v>6457</v>
      </c>
      <c r="AC87" s="59" t="s">
        <v>6457</v>
      </c>
      <c r="AD87" s="35" t="s">
        <v>1104</v>
      </c>
      <c r="AE87" s="202" t="s">
        <v>19</v>
      </c>
      <c r="AF87" s="35" t="s">
        <v>1880</v>
      </c>
      <c r="AG87" s="771" t="s">
        <v>6807</v>
      </c>
    </row>
    <row r="88" spans="1:33" s="11" customFormat="1" ht="43.5" customHeight="1" x14ac:dyDescent="0.15">
      <c r="A88" s="8">
        <v>85</v>
      </c>
      <c r="B88" s="36" t="s">
        <v>6811</v>
      </c>
      <c r="C88" s="26" t="s">
        <v>19</v>
      </c>
      <c r="D88" s="26" t="s">
        <v>9264</v>
      </c>
      <c r="E88" s="36" t="s">
        <v>7205</v>
      </c>
      <c r="F88" s="29" t="s">
        <v>6813</v>
      </c>
      <c r="G88" s="53" t="s">
        <v>6814</v>
      </c>
      <c r="H88" s="803" t="s">
        <v>6815</v>
      </c>
      <c r="I88" s="803" t="s">
        <v>6816</v>
      </c>
      <c r="J88" s="803" t="s">
        <v>6817</v>
      </c>
      <c r="K88" s="22" t="s">
        <v>6818</v>
      </c>
      <c r="L88" s="810" t="s">
        <v>1826</v>
      </c>
      <c r="M88" s="810" t="s">
        <v>111</v>
      </c>
      <c r="N88" s="804" t="s">
        <v>6819</v>
      </c>
      <c r="O88" s="54" t="s">
        <v>6823</v>
      </c>
      <c r="P88" s="22" t="s">
        <v>1880</v>
      </c>
      <c r="Q88" s="804" t="s">
        <v>6820</v>
      </c>
      <c r="R88" s="809" t="s">
        <v>6820</v>
      </c>
      <c r="S88" s="24" t="s">
        <v>6821</v>
      </c>
      <c r="T88" s="90" t="s">
        <v>6822</v>
      </c>
      <c r="U88" s="24" t="s">
        <v>110</v>
      </c>
      <c r="V88" s="24">
        <v>1</v>
      </c>
      <c r="W88" s="24" t="s">
        <v>6843</v>
      </c>
      <c r="X88" s="24" t="s">
        <v>448</v>
      </c>
      <c r="Y88" s="30">
        <v>139.64400000000001</v>
      </c>
      <c r="Z88" s="30"/>
      <c r="AA88" s="30">
        <v>139.64400000000001</v>
      </c>
      <c r="AB88" s="59"/>
      <c r="AC88" s="59"/>
      <c r="AD88" s="35" t="s">
        <v>1104</v>
      </c>
      <c r="AE88" s="202" t="s">
        <v>19</v>
      </c>
      <c r="AF88" s="35" t="s">
        <v>1880</v>
      </c>
      <c r="AG88" s="804"/>
    </row>
    <row r="89" spans="1:33" s="11" customFormat="1" ht="26.25" customHeight="1" x14ac:dyDescent="0.15">
      <c r="A89" s="8">
        <v>86</v>
      </c>
      <c r="B89" s="36" t="s">
        <v>6812</v>
      </c>
      <c r="C89" s="26" t="s">
        <v>19</v>
      </c>
      <c r="D89" s="26" t="s">
        <v>19</v>
      </c>
      <c r="E89" s="36" t="s">
        <v>6992</v>
      </c>
      <c r="F89" s="29" t="s">
        <v>6824</v>
      </c>
      <c r="G89" s="53" t="s">
        <v>6825</v>
      </c>
      <c r="H89" s="803" t="s">
        <v>6815</v>
      </c>
      <c r="I89" s="803" t="s">
        <v>6826</v>
      </c>
      <c r="J89" s="803" t="s">
        <v>6827</v>
      </c>
      <c r="K89" s="22" t="s">
        <v>6818</v>
      </c>
      <c r="L89" s="810" t="s">
        <v>1826</v>
      </c>
      <c r="M89" s="810" t="s">
        <v>111</v>
      </c>
      <c r="N89" s="804" t="s">
        <v>6828</v>
      </c>
      <c r="O89" s="54" t="s">
        <v>6798</v>
      </c>
      <c r="P89" s="22" t="s">
        <v>1880</v>
      </c>
      <c r="Q89" s="809" t="s">
        <v>5480</v>
      </c>
      <c r="R89" s="809" t="s">
        <v>5480</v>
      </c>
      <c r="S89" s="24" t="s">
        <v>6821</v>
      </c>
      <c r="T89" s="90" t="s">
        <v>6829</v>
      </c>
      <c r="U89" s="24" t="s">
        <v>110</v>
      </c>
      <c r="V89" s="24">
        <v>1</v>
      </c>
      <c r="W89" s="24" t="s">
        <v>448</v>
      </c>
      <c r="X89" s="24" t="s">
        <v>448</v>
      </c>
      <c r="Y89" s="30">
        <v>8</v>
      </c>
      <c r="Z89" s="30"/>
      <c r="AA89" s="30">
        <v>8</v>
      </c>
      <c r="AB89" s="59"/>
      <c r="AC89" s="59"/>
      <c r="AD89" s="35" t="s">
        <v>1104</v>
      </c>
      <c r="AE89" s="202" t="s">
        <v>19</v>
      </c>
      <c r="AF89" s="35" t="s">
        <v>1880</v>
      </c>
      <c r="AG89" s="804"/>
    </row>
    <row r="90" spans="1:33" s="11" customFormat="1" ht="35.25" customHeight="1" x14ac:dyDescent="0.15">
      <c r="A90" s="8">
        <v>87</v>
      </c>
      <c r="B90" s="36" t="s">
        <v>6830</v>
      </c>
      <c r="C90" s="71" t="s">
        <v>6832</v>
      </c>
      <c r="D90" s="26" t="s">
        <v>19</v>
      </c>
      <c r="E90" s="611" t="s">
        <v>8246</v>
      </c>
      <c r="F90" s="29" t="s">
        <v>6834</v>
      </c>
      <c r="G90" s="53" t="s">
        <v>6835</v>
      </c>
      <c r="H90" s="811" t="s">
        <v>5003</v>
      </c>
      <c r="I90" s="811" t="s">
        <v>6836</v>
      </c>
      <c r="J90" s="811" t="s">
        <v>6837</v>
      </c>
      <c r="K90" s="22" t="s">
        <v>4780</v>
      </c>
      <c r="L90" s="812" t="s">
        <v>1826</v>
      </c>
      <c r="M90" s="812" t="s">
        <v>111</v>
      </c>
      <c r="N90" s="811" t="s">
        <v>1131</v>
      </c>
      <c r="O90" s="54" t="s">
        <v>1928</v>
      </c>
      <c r="P90" s="22" t="s">
        <v>1880</v>
      </c>
      <c r="Q90" s="811" t="s">
        <v>5489</v>
      </c>
      <c r="R90" s="811" t="s">
        <v>5489</v>
      </c>
      <c r="S90" s="24" t="s">
        <v>6839</v>
      </c>
      <c r="T90" s="90" t="s">
        <v>6840</v>
      </c>
      <c r="U90" s="24" t="s">
        <v>6841</v>
      </c>
      <c r="V90" s="24">
        <v>1</v>
      </c>
      <c r="W90" s="24" t="s">
        <v>6842</v>
      </c>
      <c r="X90" s="24" t="s">
        <v>448</v>
      </c>
      <c r="Y90" s="30">
        <v>54.341999999999999</v>
      </c>
      <c r="Z90" s="30"/>
      <c r="AA90" s="30">
        <v>54.341999999999999</v>
      </c>
      <c r="AB90" s="1131"/>
      <c r="AC90" s="59"/>
      <c r="AD90" s="35" t="s">
        <v>1104</v>
      </c>
      <c r="AE90" s="202" t="s">
        <v>19</v>
      </c>
      <c r="AF90" s="35" t="s">
        <v>1880</v>
      </c>
      <c r="AG90" s="811"/>
    </row>
    <row r="91" spans="1:33" s="11" customFormat="1" ht="35.25" customHeight="1" x14ac:dyDescent="0.15">
      <c r="A91" s="8">
        <v>88</v>
      </c>
      <c r="B91" s="36" t="s">
        <v>6831</v>
      </c>
      <c r="C91" s="71" t="s">
        <v>6833</v>
      </c>
      <c r="D91" s="26" t="s">
        <v>19</v>
      </c>
      <c r="E91" s="36" t="s">
        <v>6878</v>
      </c>
      <c r="F91" s="29" t="s">
        <v>6834</v>
      </c>
      <c r="G91" s="53" t="s">
        <v>6835</v>
      </c>
      <c r="H91" s="811" t="s">
        <v>5003</v>
      </c>
      <c r="I91" s="811" t="s">
        <v>6836</v>
      </c>
      <c r="J91" s="811" t="s">
        <v>6837</v>
      </c>
      <c r="K91" s="22" t="s">
        <v>4780</v>
      </c>
      <c r="L91" s="812" t="s">
        <v>1826</v>
      </c>
      <c r="M91" s="812" t="s">
        <v>111</v>
      </c>
      <c r="N91" s="811" t="s">
        <v>445</v>
      </c>
      <c r="O91" s="54" t="s">
        <v>6838</v>
      </c>
      <c r="P91" s="22" t="s">
        <v>1880</v>
      </c>
      <c r="Q91" s="811" t="s">
        <v>5489</v>
      </c>
      <c r="R91" s="811" t="s">
        <v>5489</v>
      </c>
      <c r="S91" s="24" t="s">
        <v>6839</v>
      </c>
      <c r="T91" s="90" t="s">
        <v>6840</v>
      </c>
      <c r="U91" s="24" t="s">
        <v>6841</v>
      </c>
      <c r="V91" s="24">
        <v>1</v>
      </c>
      <c r="W91" s="24" t="s">
        <v>448</v>
      </c>
      <c r="X91" s="24" t="s">
        <v>448</v>
      </c>
      <c r="Y91" s="30">
        <v>23.81</v>
      </c>
      <c r="Z91" s="30"/>
      <c r="AA91" s="30">
        <v>23.81</v>
      </c>
      <c r="AB91" s="1131"/>
      <c r="AC91" s="59"/>
      <c r="AD91" s="35" t="s">
        <v>1104</v>
      </c>
      <c r="AE91" s="202" t="s">
        <v>19</v>
      </c>
      <c r="AF91" s="35" t="s">
        <v>1880</v>
      </c>
      <c r="AG91" s="1127"/>
    </row>
    <row r="92" spans="1:33" s="11" customFormat="1" ht="26.25" customHeight="1" x14ac:dyDescent="0.15">
      <c r="A92" s="8">
        <v>89</v>
      </c>
      <c r="B92" s="36" t="s">
        <v>6844</v>
      </c>
      <c r="C92" s="26" t="s">
        <v>19</v>
      </c>
      <c r="D92" s="26" t="s">
        <v>19</v>
      </c>
      <c r="E92" s="26" t="s">
        <v>19</v>
      </c>
      <c r="F92" s="29" t="s">
        <v>5968</v>
      </c>
      <c r="G92" s="53" t="s">
        <v>6846</v>
      </c>
      <c r="H92" s="813" t="s">
        <v>4195</v>
      </c>
      <c r="I92" s="813" t="s">
        <v>1124</v>
      </c>
      <c r="J92" s="813" t="s">
        <v>5970</v>
      </c>
      <c r="K92" s="22" t="s">
        <v>4780</v>
      </c>
      <c r="L92" s="22" t="s">
        <v>5431</v>
      </c>
      <c r="M92" s="815" t="s">
        <v>111</v>
      </c>
      <c r="N92" s="814" t="s">
        <v>1131</v>
      </c>
      <c r="O92" s="54" t="s">
        <v>116</v>
      </c>
      <c r="P92" s="22" t="s">
        <v>1880</v>
      </c>
      <c r="Q92" s="814" t="s">
        <v>5480</v>
      </c>
      <c r="R92" s="814" t="s">
        <v>5480</v>
      </c>
      <c r="S92" s="24" t="s">
        <v>6847</v>
      </c>
      <c r="T92" s="90" t="s">
        <v>6800</v>
      </c>
      <c r="U92" s="815" t="s">
        <v>2359</v>
      </c>
      <c r="V92" s="815">
        <v>1</v>
      </c>
      <c r="W92" s="24" t="s">
        <v>6799</v>
      </c>
      <c r="X92" s="24" t="s">
        <v>6848</v>
      </c>
      <c r="Y92" s="30"/>
      <c r="Z92" s="30">
        <v>12</v>
      </c>
      <c r="AA92" s="30">
        <v>12</v>
      </c>
      <c r="AB92" s="59"/>
      <c r="AC92" s="59"/>
      <c r="AD92" s="35" t="s">
        <v>1104</v>
      </c>
      <c r="AE92" s="202" t="s">
        <v>19</v>
      </c>
      <c r="AF92" s="35" t="s">
        <v>1880</v>
      </c>
      <c r="AG92" s="814"/>
    </row>
    <row r="93" spans="1:33" s="11" customFormat="1" ht="26.25" customHeight="1" x14ac:dyDescent="0.15">
      <c r="A93" s="8">
        <v>90</v>
      </c>
      <c r="B93" s="36" t="s">
        <v>6845</v>
      </c>
      <c r="C93" s="26" t="s">
        <v>19</v>
      </c>
      <c r="D93" s="26" t="s">
        <v>19</v>
      </c>
      <c r="E93" s="26" t="s">
        <v>19</v>
      </c>
      <c r="F93" s="29" t="s">
        <v>6068</v>
      </c>
      <c r="G93" s="53" t="s">
        <v>6069</v>
      </c>
      <c r="H93" s="814" t="s">
        <v>4195</v>
      </c>
      <c r="I93" s="814" t="s">
        <v>1124</v>
      </c>
      <c r="J93" s="814" t="s">
        <v>4706</v>
      </c>
      <c r="K93" s="22" t="s">
        <v>4168</v>
      </c>
      <c r="L93" s="22" t="s">
        <v>1826</v>
      </c>
      <c r="M93" s="815" t="s">
        <v>111</v>
      </c>
      <c r="N93" s="221" t="s">
        <v>1818</v>
      </c>
      <c r="O93" s="222" t="s">
        <v>1819</v>
      </c>
      <c r="P93" s="22" t="s">
        <v>1880</v>
      </c>
      <c r="Q93" s="814" t="s">
        <v>5480</v>
      </c>
      <c r="R93" s="814" t="s">
        <v>5480</v>
      </c>
      <c r="S93" s="24" t="s">
        <v>6847</v>
      </c>
      <c r="T93" s="90" t="s">
        <v>6800</v>
      </c>
      <c r="U93" s="815" t="s">
        <v>2359</v>
      </c>
      <c r="V93" s="815">
        <v>1</v>
      </c>
      <c r="W93" s="24" t="s">
        <v>6799</v>
      </c>
      <c r="X93" s="24" t="s">
        <v>6848</v>
      </c>
      <c r="Y93" s="30"/>
      <c r="Z93" s="30">
        <v>12</v>
      </c>
      <c r="AA93" s="30">
        <v>12</v>
      </c>
      <c r="AB93" s="59"/>
      <c r="AC93" s="59"/>
      <c r="AD93" s="35" t="s">
        <v>1104</v>
      </c>
      <c r="AE93" s="202" t="s">
        <v>19</v>
      </c>
      <c r="AF93" s="35" t="s">
        <v>1880</v>
      </c>
      <c r="AG93" s="814"/>
    </row>
    <row r="94" spans="1:33" s="11" customFormat="1" ht="26.25" customHeight="1" x14ac:dyDescent="0.15">
      <c r="A94" s="8">
        <v>91</v>
      </c>
      <c r="B94" s="36" t="s">
        <v>6849</v>
      </c>
      <c r="C94" s="26" t="s">
        <v>19</v>
      </c>
      <c r="D94" s="71" t="s">
        <v>6851</v>
      </c>
      <c r="E94" s="26" t="s">
        <v>19</v>
      </c>
      <c r="F94" s="29" t="s">
        <v>6688</v>
      </c>
      <c r="G94" s="53" t="s">
        <v>6852</v>
      </c>
      <c r="H94" s="816" t="s">
        <v>4791</v>
      </c>
      <c r="I94" s="816" t="s">
        <v>4792</v>
      </c>
      <c r="J94" s="816" t="s">
        <v>1129</v>
      </c>
      <c r="K94" s="22" t="s">
        <v>6853</v>
      </c>
      <c r="L94" s="22" t="s">
        <v>1826</v>
      </c>
      <c r="M94" s="817" t="s">
        <v>111</v>
      </c>
      <c r="N94" s="221" t="s">
        <v>1818</v>
      </c>
      <c r="O94" s="54" t="s">
        <v>6854</v>
      </c>
      <c r="P94" s="22" t="s">
        <v>1880</v>
      </c>
      <c r="Q94" s="816" t="s">
        <v>6855</v>
      </c>
      <c r="R94" s="816" t="s">
        <v>6855</v>
      </c>
      <c r="S94" s="24" t="s">
        <v>6856</v>
      </c>
      <c r="T94" s="90" t="s">
        <v>6857</v>
      </c>
      <c r="U94" s="817" t="s">
        <v>2359</v>
      </c>
      <c r="V94" s="817">
        <v>1</v>
      </c>
      <c r="W94" s="24" t="s">
        <v>448</v>
      </c>
      <c r="X94" s="24" t="s">
        <v>448</v>
      </c>
      <c r="Y94" s="30">
        <v>1.5</v>
      </c>
      <c r="Z94" s="30"/>
      <c r="AA94" s="30">
        <v>1.5</v>
      </c>
      <c r="AB94" s="59"/>
      <c r="AC94" s="59"/>
      <c r="AD94" s="35" t="s">
        <v>1104</v>
      </c>
      <c r="AE94" s="202" t="s">
        <v>19</v>
      </c>
      <c r="AF94" s="35" t="s">
        <v>1880</v>
      </c>
      <c r="AG94" s="816"/>
    </row>
    <row r="95" spans="1:33" s="11" customFormat="1" ht="26.25" customHeight="1" x14ac:dyDescent="0.15">
      <c r="A95" s="8">
        <v>92</v>
      </c>
      <c r="B95" s="36" t="s">
        <v>6850</v>
      </c>
      <c r="C95" s="26" t="s">
        <v>19</v>
      </c>
      <c r="D95" s="26" t="s">
        <v>19</v>
      </c>
      <c r="E95" s="26" t="s">
        <v>19</v>
      </c>
      <c r="F95" s="29" t="s">
        <v>6858</v>
      </c>
      <c r="G95" s="53" t="s">
        <v>6859</v>
      </c>
      <c r="H95" s="816" t="s">
        <v>4791</v>
      </c>
      <c r="I95" s="816" t="s">
        <v>4792</v>
      </c>
      <c r="J95" s="816" t="s">
        <v>4874</v>
      </c>
      <c r="K95" s="22" t="s">
        <v>6860</v>
      </c>
      <c r="L95" s="22" t="s">
        <v>1826</v>
      </c>
      <c r="M95" s="817" t="s">
        <v>111</v>
      </c>
      <c r="N95" s="816" t="s">
        <v>6692</v>
      </c>
      <c r="O95" s="54" t="s">
        <v>6861</v>
      </c>
      <c r="P95" s="22" t="s">
        <v>1880</v>
      </c>
      <c r="Q95" s="816" t="s">
        <v>6855</v>
      </c>
      <c r="R95" s="816" t="s">
        <v>6855</v>
      </c>
      <c r="S95" s="24" t="s">
        <v>6856</v>
      </c>
      <c r="T95" s="90" t="s">
        <v>6862</v>
      </c>
      <c r="U95" s="817" t="s">
        <v>2359</v>
      </c>
      <c r="V95" s="817">
        <v>1</v>
      </c>
      <c r="W95" s="24" t="s">
        <v>448</v>
      </c>
      <c r="X95" s="24" t="s">
        <v>448</v>
      </c>
      <c r="Y95" s="30">
        <v>1</v>
      </c>
      <c r="Z95" s="30"/>
      <c r="AA95" s="30">
        <v>1</v>
      </c>
      <c r="AB95" s="59"/>
      <c r="AC95" s="59"/>
      <c r="AD95" s="35" t="s">
        <v>1104</v>
      </c>
      <c r="AE95" s="202" t="s">
        <v>19</v>
      </c>
      <c r="AF95" s="35" t="s">
        <v>1880</v>
      </c>
      <c r="AG95" s="816"/>
    </row>
    <row r="96" spans="1:33" s="11" customFormat="1" ht="26.25" customHeight="1" x14ac:dyDescent="0.15">
      <c r="A96" s="8">
        <v>93</v>
      </c>
      <c r="B96" s="36" t="s">
        <v>6863</v>
      </c>
      <c r="C96" s="26" t="s">
        <v>19</v>
      </c>
      <c r="D96" s="26" t="s">
        <v>19</v>
      </c>
      <c r="E96" s="26" t="s">
        <v>19</v>
      </c>
      <c r="F96" s="29" t="s">
        <v>6824</v>
      </c>
      <c r="G96" s="53" t="s">
        <v>6867</v>
      </c>
      <c r="H96" s="818" t="s">
        <v>4195</v>
      </c>
      <c r="I96" s="818" t="s">
        <v>3101</v>
      </c>
      <c r="J96" s="818" t="s">
        <v>6827</v>
      </c>
      <c r="K96" s="22" t="s">
        <v>4780</v>
      </c>
      <c r="L96" s="820" t="s">
        <v>1826</v>
      </c>
      <c r="M96" s="820" t="s">
        <v>111</v>
      </c>
      <c r="N96" s="221" t="s">
        <v>1818</v>
      </c>
      <c r="O96" s="54" t="s">
        <v>6864</v>
      </c>
      <c r="P96" s="22" t="s">
        <v>1880</v>
      </c>
      <c r="Q96" s="819" t="s">
        <v>6865</v>
      </c>
      <c r="R96" s="819" t="s">
        <v>6865</v>
      </c>
      <c r="S96" s="24" t="s">
        <v>6866</v>
      </c>
      <c r="T96" s="90" t="s">
        <v>6866</v>
      </c>
      <c r="U96" s="821" t="s">
        <v>2359</v>
      </c>
      <c r="V96" s="821">
        <v>1</v>
      </c>
      <c r="W96" s="24" t="s">
        <v>448</v>
      </c>
      <c r="X96" s="24" t="s">
        <v>448</v>
      </c>
      <c r="Y96" s="30">
        <v>2</v>
      </c>
      <c r="Z96" s="30"/>
      <c r="AA96" s="30">
        <v>2</v>
      </c>
      <c r="AB96" s="59" t="s">
        <v>6457</v>
      </c>
      <c r="AC96" s="59" t="s">
        <v>6457</v>
      </c>
      <c r="AD96" s="35" t="s">
        <v>1104</v>
      </c>
      <c r="AE96" s="202" t="s">
        <v>19</v>
      </c>
      <c r="AF96" s="35" t="s">
        <v>1880</v>
      </c>
      <c r="AG96" s="819"/>
    </row>
    <row r="97" spans="1:33" s="11" customFormat="1" ht="26.25" customHeight="1" x14ac:dyDescent="0.15">
      <c r="A97" s="8">
        <v>94</v>
      </c>
      <c r="B97" s="36" t="s">
        <v>6868</v>
      </c>
      <c r="C97" s="26" t="s">
        <v>19</v>
      </c>
      <c r="D97" s="26" t="s">
        <v>19</v>
      </c>
      <c r="E97" s="26" t="s">
        <v>19</v>
      </c>
      <c r="F97" s="29" t="s">
        <v>6869</v>
      </c>
      <c r="G97" s="29" t="s">
        <v>6870</v>
      </c>
      <c r="H97" s="822" t="s">
        <v>4195</v>
      </c>
      <c r="I97" s="822" t="s">
        <v>4196</v>
      </c>
      <c r="J97" s="822" t="s">
        <v>6871</v>
      </c>
      <c r="K97" s="22" t="s">
        <v>6872</v>
      </c>
      <c r="L97" s="823" t="s">
        <v>1826</v>
      </c>
      <c r="M97" s="823" t="s">
        <v>111</v>
      </c>
      <c r="N97" s="221" t="s">
        <v>1818</v>
      </c>
      <c r="O97" s="222" t="s">
        <v>1819</v>
      </c>
      <c r="P97" s="22" t="s">
        <v>1880</v>
      </c>
      <c r="Q97" s="819" t="s">
        <v>414</v>
      </c>
      <c r="R97" s="819" t="s">
        <v>6873</v>
      </c>
      <c r="S97" s="24" t="s">
        <v>6874</v>
      </c>
      <c r="T97" s="90" t="s">
        <v>6875</v>
      </c>
      <c r="U97" s="823" t="s">
        <v>2359</v>
      </c>
      <c r="V97" s="823">
        <v>1</v>
      </c>
      <c r="W97" s="24" t="s">
        <v>6876</v>
      </c>
      <c r="X97" s="24" t="s">
        <v>6877</v>
      </c>
      <c r="Y97" s="30"/>
      <c r="Z97" s="30">
        <v>14.8</v>
      </c>
      <c r="AA97" s="30">
        <v>14.8</v>
      </c>
      <c r="AB97" s="59"/>
      <c r="AC97" s="59"/>
      <c r="AD97" s="35" t="s">
        <v>1104</v>
      </c>
      <c r="AE97" s="202" t="s">
        <v>19</v>
      </c>
      <c r="AF97" s="35" t="s">
        <v>1880</v>
      </c>
      <c r="AG97" s="819"/>
    </row>
    <row r="98" spans="1:33" s="11" customFormat="1" ht="26.25" customHeight="1" x14ac:dyDescent="0.15">
      <c r="A98" s="8">
        <v>95</v>
      </c>
      <c r="B98" s="36" t="s">
        <v>6879</v>
      </c>
      <c r="C98" s="71" t="s">
        <v>6889</v>
      </c>
      <c r="D98" s="26" t="s">
        <v>19</v>
      </c>
      <c r="E98" s="36" t="s">
        <v>7581</v>
      </c>
      <c r="F98" s="29" t="s">
        <v>7078</v>
      </c>
      <c r="G98" s="53" t="s">
        <v>6881</v>
      </c>
      <c r="H98" s="824" t="s">
        <v>4712</v>
      </c>
      <c r="I98" s="824" t="s">
        <v>5383</v>
      </c>
      <c r="J98" s="824" t="s">
        <v>6882</v>
      </c>
      <c r="K98" s="22" t="s">
        <v>6883</v>
      </c>
      <c r="L98" s="825" t="s">
        <v>1826</v>
      </c>
      <c r="M98" s="825" t="s">
        <v>111</v>
      </c>
      <c r="N98" s="221" t="s">
        <v>1818</v>
      </c>
      <c r="O98" s="54" t="s">
        <v>2192</v>
      </c>
      <c r="P98" s="22" t="s">
        <v>1880</v>
      </c>
      <c r="Q98" s="824" t="s">
        <v>5480</v>
      </c>
      <c r="R98" s="824" t="s">
        <v>5480</v>
      </c>
      <c r="S98" s="24" t="s">
        <v>6884</v>
      </c>
      <c r="T98" s="90" t="s">
        <v>6885</v>
      </c>
      <c r="U98" s="825" t="s">
        <v>2359</v>
      </c>
      <c r="V98" s="825">
        <v>1</v>
      </c>
      <c r="W98" s="24" t="s">
        <v>6886</v>
      </c>
      <c r="X98" s="24" t="s">
        <v>448</v>
      </c>
      <c r="Y98" s="30">
        <v>39.9</v>
      </c>
      <c r="Z98" s="30"/>
      <c r="AA98" s="30">
        <v>39.9</v>
      </c>
      <c r="AB98" s="59"/>
      <c r="AC98" s="59"/>
      <c r="AD98" s="35" t="s">
        <v>1104</v>
      </c>
      <c r="AE98" s="202" t="s">
        <v>19</v>
      </c>
      <c r="AF98" s="35" t="s">
        <v>1880</v>
      </c>
      <c r="AG98" s="824"/>
    </row>
    <row r="99" spans="1:33" s="11" customFormat="1" ht="49.5" customHeight="1" x14ac:dyDescent="0.15">
      <c r="A99" s="8">
        <v>96</v>
      </c>
      <c r="B99" s="36" t="s">
        <v>6880</v>
      </c>
      <c r="C99" s="26" t="s">
        <v>19</v>
      </c>
      <c r="D99" s="26" t="s">
        <v>19</v>
      </c>
      <c r="E99" s="611" t="s">
        <v>7255</v>
      </c>
      <c r="F99" s="29" t="s">
        <v>6887</v>
      </c>
      <c r="G99" s="53" t="s">
        <v>6888</v>
      </c>
      <c r="H99" s="824" t="s">
        <v>4195</v>
      </c>
      <c r="I99" s="824" t="s">
        <v>5383</v>
      </c>
      <c r="J99" s="824" t="s">
        <v>6890</v>
      </c>
      <c r="K99" s="22" t="s">
        <v>6891</v>
      </c>
      <c r="L99" s="825" t="s">
        <v>1826</v>
      </c>
      <c r="M99" s="825" t="s">
        <v>111</v>
      </c>
      <c r="N99" s="221" t="s">
        <v>1818</v>
      </c>
      <c r="O99" s="54" t="s">
        <v>6892</v>
      </c>
      <c r="P99" s="22" t="s">
        <v>1880</v>
      </c>
      <c r="Q99" s="824" t="s">
        <v>5480</v>
      </c>
      <c r="R99" s="824" t="s">
        <v>5480</v>
      </c>
      <c r="S99" s="24" t="s">
        <v>6884</v>
      </c>
      <c r="T99" s="90" t="s">
        <v>6893</v>
      </c>
      <c r="U99" s="825" t="s">
        <v>2359</v>
      </c>
      <c r="V99" s="825">
        <v>1</v>
      </c>
      <c r="W99" s="24" t="s">
        <v>448</v>
      </c>
      <c r="X99" s="24" t="s">
        <v>448</v>
      </c>
      <c r="Y99" s="30">
        <v>8.8019999999999996</v>
      </c>
      <c r="Z99" s="30"/>
      <c r="AA99" s="30">
        <v>8.8019999999999996</v>
      </c>
      <c r="AB99" s="59"/>
      <c r="AC99" s="59"/>
      <c r="AD99" s="35" t="s">
        <v>1104</v>
      </c>
      <c r="AE99" s="202" t="s">
        <v>19</v>
      </c>
      <c r="AF99" s="35" t="s">
        <v>1880</v>
      </c>
      <c r="AG99" s="824"/>
    </row>
    <row r="100" spans="1:33" s="11" customFormat="1" ht="26.25" customHeight="1" x14ac:dyDescent="0.15">
      <c r="A100" s="8">
        <v>97</v>
      </c>
      <c r="B100" s="36" t="s">
        <v>6894</v>
      </c>
      <c r="C100" s="71" t="s">
        <v>6902</v>
      </c>
      <c r="D100" s="26" t="s">
        <v>19</v>
      </c>
      <c r="E100" s="26" t="s">
        <v>19</v>
      </c>
      <c r="F100" s="29" t="s">
        <v>6895</v>
      </c>
      <c r="G100" s="29" t="s">
        <v>6896</v>
      </c>
      <c r="H100" s="826" t="s">
        <v>4195</v>
      </c>
      <c r="I100" s="826" t="s">
        <v>3101</v>
      </c>
      <c r="J100" s="826" t="s">
        <v>6897</v>
      </c>
      <c r="K100" s="22" t="s">
        <v>6898</v>
      </c>
      <c r="L100" s="22" t="s">
        <v>2142</v>
      </c>
      <c r="M100" s="827" t="s">
        <v>111</v>
      </c>
      <c r="N100" s="826" t="s">
        <v>6899</v>
      </c>
      <c r="O100" s="54" t="s">
        <v>4723</v>
      </c>
      <c r="P100" s="22" t="s">
        <v>1880</v>
      </c>
      <c r="Q100" s="826" t="s">
        <v>5480</v>
      </c>
      <c r="R100" s="826" t="s">
        <v>5480</v>
      </c>
      <c r="S100" s="24" t="s">
        <v>6900</v>
      </c>
      <c r="T100" s="90" t="s">
        <v>6901</v>
      </c>
      <c r="U100" s="24" t="s">
        <v>108</v>
      </c>
      <c r="V100" s="24">
        <v>1</v>
      </c>
      <c r="W100" s="24" t="s">
        <v>448</v>
      </c>
      <c r="X100" s="24" t="s">
        <v>448</v>
      </c>
      <c r="Y100" s="30">
        <v>8.75</v>
      </c>
      <c r="Z100" s="30"/>
      <c r="AA100" s="30">
        <v>8.75</v>
      </c>
      <c r="AB100" s="59"/>
      <c r="AC100" s="59"/>
      <c r="AD100" s="35" t="s">
        <v>1104</v>
      </c>
      <c r="AE100" s="202" t="s">
        <v>19</v>
      </c>
      <c r="AF100" s="35" t="s">
        <v>1880</v>
      </c>
      <c r="AG100" s="826"/>
    </row>
    <row r="101" spans="1:33" s="11" customFormat="1" ht="26.25" customHeight="1" x14ac:dyDescent="0.15">
      <c r="A101" s="8">
        <v>98</v>
      </c>
      <c r="B101" s="36" t="s">
        <v>6903</v>
      </c>
      <c r="C101" s="26" t="s">
        <v>19</v>
      </c>
      <c r="D101" s="26" t="s">
        <v>19</v>
      </c>
      <c r="E101" s="26" t="s">
        <v>19</v>
      </c>
      <c r="F101" s="29" t="s">
        <v>6078</v>
      </c>
      <c r="G101" s="29" t="s">
        <v>6905</v>
      </c>
      <c r="H101" s="828" t="s">
        <v>3649</v>
      </c>
      <c r="I101" s="828" t="s">
        <v>6079</v>
      </c>
      <c r="J101" s="828" t="s">
        <v>6767</v>
      </c>
      <c r="K101" s="22" t="s">
        <v>6906</v>
      </c>
      <c r="L101" s="829" t="s">
        <v>1826</v>
      </c>
      <c r="M101" s="829" t="s">
        <v>111</v>
      </c>
      <c r="N101" s="828" t="s">
        <v>6910</v>
      </c>
      <c r="O101" s="54" t="s">
        <v>6911</v>
      </c>
      <c r="P101" s="22" t="s">
        <v>1880</v>
      </c>
      <c r="Q101" s="828" t="s">
        <v>6912</v>
      </c>
      <c r="R101" s="828" t="s">
        <v>6912</v>
      </c>
      <c r="S101" s="24" t="s">
        <v>6913</v>
      </c>
      <c r="T101" s="90" t="s">
        <v>6914</v>
      </c>
      <c r="U101" s="829" t="s">
        <v>2359</v>
      </c>
      <c r="V101" s="829">
        <v>1</v>
      </c>
      <c r="W101" s="24" t="s">
        <v>6915</v>
      </c>
      <c r="X101" s="24" t="s">
        <v>6916</v>
      </c>
      <c r="Y101" s="30"/>
      <c r="Z101" s="30">
        <v>9</v>
      </c>
      <c r="AA101" s="30">
        <v>9</v>
      </c>
      <c r="AB101" s="59"/>
      <c r="AC101" s="59"/>
      <c r="AD101" s="35" t="s">
        <v>1104</v>
      </c>
      <c r="AE101" s="202" t="s">
        <v>19</v>
      </c>
      <c r="AF101" s="35" t="s">
        <v>1880</v>
      </c>
      <c r="AG101" s="828"/>
    </row>
    <row r="102" spans="1:33" s="11" customFormat="1" ht="26.25" customHeight="1" x14ac:dyDescent="0.15">
      <c r="A102" s="8">
        <v>99</v>
      </c>
      <c r="B102" s="36" t="s">
        <v>6904</v>
      </c>
      <c r="C102" s="26" t="s">
        <v>19</v>
      </c>
      <c r="D102" s="26" t="s">
        <v>19</v>
      </c>
      <c r="E102" s="26" t="s">
        <v>19</v>
      </c>
      <c r="F102" s="29" t="s">
        <v>6917</v>
      </c>
      <c r="G102" s="53" t="s">
        <v>6918</v>
      </c>
      <c r="H102" s="828" t="s">
        <v>4195</v>
      </c>
      <c r="I102" s="828" t="s">
        <v>6907</v>
      </c>
      <c r="J102" s="828" t="s">
        <v>6908</v>
      </c>
      <c r="K102" s="22" t="s">
        <v>6909</v>
      </c>
      <c r="L102" s="829" t="s">
        <v>1826</v>
      </c>
      <c r="M102" s="829" t="s">
        <v>111</v>
      </c>
      <c r="N102" s="828" t="s">
        <v>6910</v>
      </c>
      <c r="O102" s="54" t="s">
        <v>6911</v>
      </c>
      <c r="P102" s="22" t="s">
        <v>1880</v>
      </c>
      <c r="Q102" s="828" t="s">
        <v>6919</v>
      </c>
      <c r="R102" s="828" t="s">
        <v>6919</v>
      </c>
      <c r="S102" s="24" t="s">
        <v>6913</v>
      </c>
      <c r="T102" s="90" t="s">
        <v>6920</v>
      </c>
      <c r="U102" s="24" t="s">
        <v>108</v>
      </c>
      <c r="V102" s="24">
        <v>1</v>
      </c>
      <c r="W102" s="24" t="s">
        <v>6921</v>
      </c>
      <c r="X102" s="24" t="s">
        <v>6922</v>
      </c>
      <c r="Y102" s="30"/>
      <c r="Z102" s="30">
        <v>9.75</v>
      </c>
      <c r="AA102" s="30">
        <v>9.75</v>
      </c>
      <c r="AB102" s="59"/>
      <c r="AC102" s="59"/>
      <c r="AD102" s="35" t="s">
        <v>1104</v>
      </c>
      <c r="AE102" s="202" t="s">
        <v>19</v>
      </c>
      <c r="AF102" s="35" t="s">
        <v>1880</v>
      </c>
      <c r="AG102" s="828"/>
    </row>
    <row r="103" spans="1:33" s="11" customFormat="1" ht="26.25" customHeight="1" x14ac:dyDescent="0.15">
      <c r="A103" s="8">
        <v>100</v>
      </c>
      <c r="B103" s="36" t="s">
        <v>6923</v>
      </c>
      <c r="C103" s="71" t="s">
        <v>6926</v>
      </c>
      <c r="D103" s="26" t="s">
        <v>19</v>
      </c>
      <c r="E103" s="26" t="s">
        <v>19</v>
      </c>
      <c r="F103" s="29" t="s">
        <v>6930</v>
      </c>
      <c r="G103" s="29" t="s">
        <v>6931</v>
      </c>
      <c r="H103" s="832" t="s">
        <v>4195</v>
      </c>
      <c r="I103" s="832" t="s">
        <v>4196</v>
      </c>
      <c r="J103" s="832" t="s">
        <v>5524</v>
      </c>
      <c r="K103" s="22" t="s">
        <v>4780</v>
      </c>
      <c r="L103" s="833" t="s">
        <v>1826</v>
      </c>
      <c r="M103" s="833" t="s">
        <v>111</v>
      </c>
      <c r="N103" s="832" t="s">
        <v>2441</v>
      </c>
      <c r="O103" s="54" t="s">
        <v>6929</v>
      </c>
      <c r="P103" s="22" t="s">
        <v>1880</v>
      </c>
      <c r="Q103" s="830" t="s">
        <v>6933</v>
      </c>
      <c r="R103" s="832" t="s">
        <v>6933</v>
      </c>
      <c r="S103" s="24" t="s">
        <v>6934</v>
      </c>
      <c r="T103" s="90" t="s">
        <v>6935</v>
      </c>
      <c r="U103" s="24" t="s">
        <v>108</v>
      </c>
      <c r="V103" s="24">
        <v>1</v>
      </c>
      <c r="W103" s="24" t="s">
        <v>448</v>
      </c>
      <c r="X103" s="24" t="s">
        <v>448</v>
      </c>
      <c r="Y103" s="136">
        <v>69.775502000000003</v>
      </c>
      <c r="Z103" s="30"/>
      <c r="AA103" s="136">
        <v>69.775502000000003</v>
      </c>
      <c r="AB103" s="59"/>
      <c r="AC103" s="59"/>
      <c r="AD103" s="35" t="s">
        <v>1104</v>
      </c>
      <c r="AE103" s="202" t="s">
        <v>19</v>
      </c>
      <c r="AF103" s="35" t="s">
        <v>1880</v>
      </c>
      <c r="AG103" s="830"/>
    </row>
    <row r="104" spans="1:33" s="11" customFormat="1" ht="26.25" customHeight="1" x14ac:dyDescent="0.15">
      <c r="A104" s="8">
        <v>101</v>
      </c>
      <c r="B104" s="36" t="s">
        <v>6924</v>
      </c>
      <c r="C104" s="71" t="s">
        <v>6927</v>
      </c>
      <c r="D104" s="26" t="s">
        <v>19</v>
      </c>
      <c r="E104" s="26" t="s">
        <v>19</v>
      </c>
      <c r="F104" s="29" t="s">
        <v>6930</v>
      </c>
      <c r="G104" s="29" t="s">
        <v>6931</v>
      </c>
      <c r="H104" s="832" t="s">
        <v>4195</v>
      </c>
      <c r="I104" s="832" t="s">
        <v>4196</v>
      </c>
      <c r="J104" s="832" t="s">
        <v>5525</v>
      </c>
      <c r="K104" s="22" t="s">
        <v>4780</v>
      </c>
      <c r="L104" s="833" t="s">
        <v>1826</v>
      </c>
      <c r="M104" s="833" t="s">
        <v>111</v>
      </c>
      <c r="N104" s="832" t="s">
        <v>2441</v>
      </c>
      <c r="O104" s="54" t="s">
        <v>6929</v>
      </c>
      <c r="P104" s="22" t="s">
        <v>1880</v>
      </c>
      <c r="Q104" s="832" t="s">
        <v>6933</v>
      </c>
      <c r="R104" s="832" t="s">
        <v>6933</v>
      </c>
      <c r="S104" s="24" t="s">
        <v>6934</v>
      </c>
      <c r="T104" s="90" t="s">
        <v>6935</v>
      </c>
      <c r="U104" s="24" t="s">
        <v>108</v>
      </c>
      <c r="V104" s="24">
        <v>1</v>
      </c>
      <c r="W104" s="24" t="s">
        <v>448</v>
      </c>
      <c r="X104" s="24" t="s">
        <v>448</v>
      </c>
      <c r="Y104" s="836">
        <v>69.775503900000004</v>
      </c>
      <c r="Z104" s="30"/>
      <c r="AA104" s="836">
        <v>69.775503900000004</v>
      </c>
      <c r="AB104" s="59"/>
      <c r="AC104" s="59"/>
      <c r="AD104" s="35" t="s">
        <v>1104</v>
      </c>
      <c r="AE104" s="202" t="s">
        <v>19</v>
      </c>
      <c r="AF104" s="35" t="s">
        <v>1880</v>
      </c>
      <c r="AG104" s="830"/>
    </row>
    <row r="105" spans="1:33" s="11" customFormat="1" ht="26.25" customHeight="1" x14ac:dyDescent="0.15">
      <c r="A105" s="8">
        <v>102</v>
      </c>
      <c r="B105" s="36" t="s">
        <v>6925</v>
      </c>
      <c r="C105" s="71" t="s">
        <v>6928</v>
      </c>
      <c r="D105" s="26" t="s">
        <v>19</v>
      </c>
      <c r="E105" s="26" t="s">
        <v>19</v>
      </c>
      <c r="F105" s="29" t="s">
        <v>6930</v>
      </c>
      <c r="G105" s="29" t="s">
        <v>6931</v>
      </c>
      <c r="H105" s="832" t="s">
        <v>4195</v>
      </c>
      <c r="I105" s="832" t="s">
        <v>4196</v>
      </c>
      <c r="J105" s="832" t="s">
        <v>5515</v>
      </c>
      <c r="K105" s="22" t="s">
        <v>6932</v>
      </c>
      <c r="L105" s="833" t="s">
        <v>1826</v>
      </c>
      <c r="M105" s="833" t="s">
        <v>111</v>
      </c>
      <c r="N105" s="832" t="s">
        <v>2441</v>
      </c>
      <c r="O105" s="54" t="s">
        <v>6929</v>
      </c>
      <c r="P105" s="22" t="s">
        <v>1880</v>
      </c>
      <c r="Q105" s="832" t="s">
        <v>6933</v>
      </c>
      <c r="R105" s="832" t="s">
        <v>6933</v>
      </c>
      <c r="S105" s="24" t="s">
        <v>6934</v>
      </c>
      <c r="T105" s="90" t="s">
        <v>6936</v>
      </c>
      <c r="U105" s="24" t="s">
        <v>108</v>
      </c>
      <c r="V105" s="24">
        <v>1</v>
      </c>
      <c r="W105" s="24" t="s">
        <v>448</v>
      </c>
      <c r="X105" s="24" t="s">
        <v>448</v>
      </c>
      <c r="Y105" s="836">
        <v>69.775501899999995</v>
      </c>
      <c r="Z105" s="30"/>
      <c r="AA105" s="836">
        <v>69.775501899999995</v>
      </c>
      <c r="AB105" s="59"/>
      <c r="AC105" s="59"/>
      <c r="AD105" s="35" t="s">
        <v>1104</v>
      </c>
      <c r="AE105" s="202" t="s">
        <v>19</v>
      </c>
      <c r="AF105" s="35" t="s">
        <v>1880</v>
      </c>
      <c r="AG105" s="830"/>
    </row>
    <row r="106" spans="1:33" s="11" customFormat="1" ht="26.25" customHeight="1" x14ac:dyDescent="0.15">
      <c r="A106" s="8">
        <v>103</v>
      </c>
      <c r="B106" s="36" t="s">
        <v>6937</v>
      </c>
      <c r="C106" s="26" t="s">
        <v>19</v>
      </c>
      <c r="D106" s="26" t="s">
        <v>19</v>
      </c>
      <c r="E106" s="26" t="s">
        <v>19</v>
      </c>
      <c r="F106" s="151" t="s">
        <v>3611</v>
      </c>
      <c r="G106" s="54" t="s">
        <v>6947</v>
      </c>
      <c r="H106" s="833" t="s">
        <v>2135</v>
      </c>
      <c r="I106" s="833" t="s">
        <v>2533</v>
      </c>
      <c r="J106" s="832" t="s">
        <v>1010</v>
      </c>
      <c r="K106" s="2" t="s">
        <v>1011</v>
      </c>
      <c r="L106" s="833" t="s">
        <v>1826</v>
      </c>
      <c r="M106" s="833" t="s">
        <v>111</v>
      </c>
      <c r="N106" s="22" t="s">
        <v>454</v>
      </c>
      <c r="O106" s="54" t="s">
        <v>1819</v>
      </c>
      <c r="P106" s="833" t="s">
        <v>111</v>
      </c>
      <c r="Q106" s="832" t="s">
        <v>6933</v>
      </c>
      <c r="R106" s="832" t="s">
        <v>6933</v>
      </c>
      <c r="S106" s="24" t="s">
        <v>6934</v>
      </c>
      <c r="T106" s="130" t="s">
        <v>6948</v>
      </c>
      <c r="U106" s="833" t="s">
        <v>2359</v>
      </c>
      <c r="V106" s="833">
        <v>1</v>
      </c>
      <c r="W106" s="833" t="s">
        <v>6949</v>
      </c>
      <c r="X106" s="833" t="s">
        <v>6950</v>
      </c>
      <c r="Y106" s="150"/>
      <c r="Z106" s="150">
        <v>7</v>
      </c>
      <c r="AA106" s="150">
        <v>7</v>
      </c>
      <c r="AB106" s="701"/>
      <c r="AC106" s="701"/>
      <c r="AD106" s="833" t="s">
        <v>1104</v>
      </c>
      <c r="AE106" s="202" t="s">
        <v>1880</v>
      </c>
      <c r="AF106" s="133" t="s">
        <v>1880</v>
      </c>
      <c r="AG106" s="832"/>
    </row>
    <row r="107" spans="1:33" s="11" customFormat="1" ht="26.25" customHeight="1" x14ac:dyDescent="0.15">
      <c r="A107" s="8">
        <v>104</v>
      </c>
      <c r="B107" s="36" t="s">
        <v>6938</v>
      </c>
      <c r="C107" s="26" t="s">
        <v>19</v>
      </c>
      <c r="D107" s="26" t="s">
        <v>19</v>
      </c>
      <c r="E107" s="26" t="s">
        <v>19</v>
      </c>
      <c r="F107" s="151" t="s">
        <v>3612</v>
      </c>
      <c r="G107" s="54" t="s">
        <v>6951</v>
      </c>
      <c r="H107" s="833" t="s">
        <v>2135</v>
      </c>
      <c r="I107" s="833" t="s">
        <v>2533</v>
      </c>
      <c r="J107" s="21" t="s">
        <v>3667</v>
      </c>
      <c r="K107" s="832" t="s">
        <v>3668</v>
      </c>
      <c r="L107" s="833" t="s">
        <v>1826</v>
      </c>
      <c r="M107" s="833" t="s">
        <v>111</v>
      </c>
      <c r="N107" s="22" t="s">
        <v>454</v>
      </c>
      <c r="O107" s="54" t="s">
        <v>851</v>
      </c>
      <c r="P107" s="833" t="s">
        <v>111</v>
      </c>
      <c r="Q107" s="832" t="s">
        <v>6933</v>
      </c>
      <c r="R107" s="832" t="s">
        <v>6933</v>
      </c>
      <c r="S107" s="24" t="s">
        <v>6934</v>
      </c>
      <c r="T107" s="130" t="s">
        <v>6948</v>
      </c>
      <c r="U107" s="833" t="s">
        <v>2359</v>
      </c>
      <c r="V107" s="833">
        <v>1</v>
      </c>
      <c r="W107" s="833" t="s">
        <v>6949</v>
      </c>
      <c r="X107" s="833" t="s">
        <v>6950</v>
      </c>
      <c r="Y107" s="150"/>
      <c r="Z107" s="150">
        <v>7</v>
      </c>
      <c r="AA107" s="150">
        <v>7</v>
      </c>
      <c r="AB107" s="701"/>
      <c r="AC107" s="701"/>
      <c r="AD107" s="833" t="s">
        <v>1104</v>
      </c>
      <c r="AE107" s="202" t="s">
        <v>1880</v>
      </c>
      <c r="AF107" s="133" t="s">
        <v>1880</v>
      </c>
      <c r="AG107" s="832"/>
    </row>
    <row r="108" spans="1:33" s="11" customFormat="1" ht="26.25" customHeight="1" x14ac:dyDescent="0.15">
      <c r="A108" s="8">
        <v>105</v>
      </c>
      <c r="B108" s="36" t="s">
        <v>6939</v>
      </c>
      <c r="C108" s="26" t="s">
        <v>19</v>
      </c>
      <c r="D108" s="26" t="s">
        <v>19</v>
      </c>
      <c r="E108" s="26" t="s">
        <v>19</v>
      </c>
      <c r="F108" s="54" t="s">
        <v>3613</v>
      </c>
      <c r="G108" s="54" t="s">
        <v>6952</v>
      </c>
      <c r="H108" s="833" t="s">
        <v>2135</v>
      </c>
      <c r="I108" s="833" t="s">
        <v>2533</v>
      </c>
      <c r="J108" s="21" t="s">
        <v>3636</v>
      </c>
      <c r="K108" s="833" t="s">
        <v>3637</v>
      </c>
      <c r="L108" s="833" t="s">
        <v>2142</v>
      </c>
      <c r="M108" s="833" t="s">
        <v>111</v>
      </c>
      <c r="N108" s="22" t="s">
        <v>575</v>
      </c>
      <c r="O108" s="54" t="s">
        <v>851</v>
      </c>
      <c r="P108" s="833" t="s">
        <v>111</v>
      </c>
      <c r="Q108" s="832" t="s">
        <v>6933</v>
      </c>
      <c r="R108" s="832" t="s">
        <v>6933</v>
      </c>
      <c r="S108" s="24" t="s">
        <v>6934</v>
      </c>
      <c r="T108" s="130" t="s">
        <v>6948</v>
      </c>
      <c r="U108" s="833" t="s">
        <v>2359</v>
      </c>
      <c r="V108" s="833">
        <v>1</v>
      </c>
      <c r="W108" s="833" t="s">
        <v>6949</v>
      </c>
      <c r="X108" s="833" t="s">
        <v>6950</v>
      </c>
      <c r="Y108" s="150"/>
      <c r="Z108" s="150">
        <v>7</v>
      </c>
      <c r="AA108" s="150">
        <v>7</v>
      </c>
      <c r="AB108" s="701"/>
      <c r="AC108" s="701"/>
      <c r="AD108" s="833" t="s">
        <v>1104</v>
      </c>
      <c r="AE108" s="202" t="s">
        <v>1880</v>
      </c>
      <c r="AF108" s="133" t="s">
        <v>1880</v>
      </c>
      <c r="AG108" s="832"/>
    </row>
    <row r="109" spans="1:33" s="11" customFormat="1" ht="26.25" customHeight="1" x14ac:dyDescent="0.15">
      <c r="A109" s="8">
        <v>106</v>
      </c>
      <c r="B109" s="36" t="s">
        <v>6940</v>
      </c>
      <c r="C109" s="26" t="s">
        <v>19</v>
      </c>
      <c r="D109" s="26" t="s">
        <v>19</v>
      </c>
      <c r="E109" s="26" t="s">
        <v>19</v>
      </c>
      <c r="F109" s="151" t="s">
        <v>3614</v>
      </c>
      <c r="G109" s="54" t="s">
        <v>6954</v>
      </c>
      <c r="H109" s="833" t="s">
        <v>2135</v>
      </c>
      <c r="I109" s="833" t="s">
        <v>2533</v>
      </c>
      <c r="J109" s="21" t="s">
        <v>3634</v>
      </c>
      <c r="K109" s="833" t="s">
        <v>3635</v>
      </c>
      <c r="L109" s="833" t="s">
        <v>1826</v>
      </c>
      <c r="M109" s="833" t="s">
        <v>111</v>
      </c>
      <c r="N109" s="22" t="s">
        <v>454</v>
      </c>
      <c r="O109" s="54" t="s">
        <v>851</v>
      </c>
      <c r="P109" s="833" t="s">
        <v>111</v>
      </c>
      <c r="Q109" s="832" t="s">
        <v>6933</v>
      </c>
      <c r="R109" s="832" t="s">
        <v>6933</v>
      </c>
      <c r="S109" s="24" t="s">
        <v>6934</v>
      </c>
      <c r="T109" s="130" t="s">
        <v>6948</v>
      </c>
      <c r="U109" s="833" t="s">
        <v>2359</v>
      </c>
      <c r="V109" s="833">
        <v>1</v>
      </c>
      <c r="W109" s="833" t="s">
        <v>6949</v>
      </c>
      <c r="X109" s="833" t="s">
        <v>6950</v>
      </c>
      <c r="Y109" s="150"/>
      <c r="Z109" s="150">
        <v>7</v>
      </c>
      <c r="AA109" s="150">
        <v>7</v>
      </c>
      <c r="AB109" s="701"/>
      <c r="AC109" s="701"/>
      <c r="AD109" s="833" t="s">
        <v>1104</v>
      </c>
      <c r="AE109" s="202" t="s">
        <v>1880</v>
      </c>
      <c r="AF109" s="133" t="s">
        <v>1880</v>
      </c>
      <c r="AG109" s="832"/>
    </row>
    <row r="110" spans="1:33" s="11" customFormat="1" ht="26.25" customHeight="1" x14ac:dyDescent="0.15">
      <c r="A110" s="8">
        <v>107</v>
      </c>
      <c r="B110" s="36" t="s">
        <v>6941</v>
      </c>
      <c r="C110" s="26" t="s">
        <v>19</v>
      </c>
      <c r="D110" s="26" t="s">
        <v>19</v>
      </c>
      <c r="E110" s="26" t="s">
        <v>19</v>
      </c>
      <c r="F110" s="151" t="s">
        <v>3615</v>
      </c>
      <c r="G110" s="54" t="s">
        <v>6953</v>
      </c>
      <c r="H110" s="833" t="s">
        <v>2135</v>
      </c>
      <c r="I110" s="833" t="s">
        <v>2533</v>
      </c>
      <c r="J110" s="44" t="s">
        <v>3644</v>
      </c>
      <c r="K110" s="71" t="s">
        <v>3633</v>
      </c>
      <c r="L110" s="833" t="s">
        <v>1826</v>
      </c>
      <c r="M110" s="833" t="s">
        <v>111</v>
      </c>
      <c r="N110" s="22" t="s">
        <v>454</v>
      </c>
      <c r="O110" s="54" t="s">
        <v>851</v>
      </c>
      <c r="P110" s="833" t="s">
        <v>111</v>
      </c>
      <c r="Q110" s="832" t="s">
        <v>6933</v>
      </c>
      <c r="R110" s="832" t="s">
        <v>6933</v>
      </c>
      <c r="S110" s="24" t="s">
        <v>6934</v>
      </c>
      <c r="T110" s="130" t="s">
        <v>6948</v>
      </c>
      <c r="U110" s="833" t="s">
        <v>2359</v>
      </c>
      <c r="V110" s="833">
        <v>1</v>
      </c>
      <c r="W110" s="833" t="s">
        <v>6949</v>
      </c>
      <c r="X110" s="833" t="s">
        <v>6950</v>
      </c>
      <c r="Y110" s="150"/>
      <c r="Z110" s="150">
        <v>7</v>
      </c>
      <c r="AA110" s="150">
        <v>7</v>
      </c>
      <c r="AB110" s="701"/>
      <c r="AC110" s="701"/>
      <c r="AD110" s="833" t="s">
        <v>1104</v>
      </c>
      <c r="AE110" s="202" t="s">
        <v>1880</v>
      </c>
      <c r="AF110" s="133" t="s">
        <v>1880</v>
      </c>
      <c r="AG110" s="832"/>
    </row>
    <row r="111" spans="1:33" s="11" customFormat="1" ht="26.25" customHeight="1" x14ac:dyDescent="0.15">
      <c r="A111" s="8">
        <v>108</v>
      </c>
      <c r="B111" s="36" t="s">
        <v>6942</v>
      </c>
      <c r="C111" s="26" t="s">
        <v>19</v>
      </c>
      <c r="D111" s="26" t="s">
        <v>19</v>
      </c>
      <c r="E111" s="26" t="s">
        <v>19</v>
      </c>
      <c r="F111" s="151" t="s">
        <v>3614</v>
      </c>
      <c r="G111" s="54" t="s">
        <v>6955</v>
      </c>
      <c r="H111" s="833" t="s">
        <v>2135</v>
      </c>
      <c r="I111" s="833" t="s">
        <v>2533</v>
      </c>
      <c r="J111" s="21" t="s">
        <v>3631</v>
      </c>
      <c r="K111" s="833" t="s">
        <v>3632</v>
      </c>
      <c r="L111" s="833" t="s">
        <v>2142</v>
      </c>
      <c r="M111" s="833" t="s">
        <v>111</v>
      </c>
      <c r="N111" s="22" t="s">
        <v>575</v>
      </c>
      <c r="O111" s="54" t="s">
        <v>851</v>
      </c>
      <c r="P111" s="833" t="s">
        <v>111</v>
      </c>
      <c r="Q111" s="832" t="s">
        <v>6933</v>
      </c>
      <c r="R111" s="832" t="s">
        <v>6933</v>
      </c>
      <c r="S111" s="24" t="s">
        <v>6934</v>
      </c>
      <c r="T111" s="130" t="s">
        <v>6948</v>
      </c>
      <c r="U111" s="833" t="s">
        <v>2359</v>
      </c>
      <c r="V111" s="833">
        <v>1</v>
      </c>
      <c r="W111" s="833" t="s">
        <v>6949</v>
      </c>
      <c r="X111" s="833" t="s">
        <v>6950</v>
      </c>
      <c r="Y111" s="150"/>
      <c r="Z111" s="150">
        <v>7</v>
      </c>
      <c r="AA111" s="150">
        <v>7</v>
      </c>
      <c r="AB111" s="701"/>
      <c r="AC111" s="701"/>
      <c r="AD111" s="833" t="s">
        <v>1104</v>
      </c>
      <c r="AE111" s="202" t="s">
        <v>1880</v>
      </c>
      <c r="AF111" s="133" t="s">
        <v>1880</v>
      </c>
      <c r="AG111" s="832"/>
    </row>
    <row r="112" spans="1:33" s="11" customFormat="1" ht="26.25" customHeight="1" x14ac:dyDescent="0.15">
      <c r="A112" s="8">
        <v>109</v>
      </c>
      <c r="B112" s="36" t="s">
        <v>6943</v>
      </c>
      <c r="C112" s="26" t="s">
        <v>19</v>
      </c>
      <c r="D112" s="26" t="s">
        <v>19</v>
      </c>
      <c r="E112" s="26" t="s">
        <v>19</v>
      </c>
      <c r="F112" s="151" t="s">
        <v>3614</v>
      </c>
      <c r="G112" s="54" t="s">
        <v>6956</v>
      </c>
      <c r="H112" s="833" t="s">
        <v>2135</v>
      </c>
      <c r="I112" s="833" t="s">
        <v>2533</v>
      </c>
      <c r="J112" s="21" t="s">
        <v>3630</v>
      </c>
      <c r="K112" s="2" t="s">
        <v>1018</v>
      </c>
      <c r="L112" s="833" t="s">
        <v>2142</v>
      </c>
      <c r="M112" s="833" t="s">
        <v>111</v>
      </c>
      <c r="N112" s="22" t="s">
        <v>575</v>
      </c>
      <c r="O112" s="54" t="s">
        <v>851</v>
      </c>
      <c r="P112" s="833" t="s">
        <v>111</v>
      </c>
      <c r="Q112" s="832" t="s">
        <v>6933</v>
      </c>
      <c r="R112" s="832" t="s">
        <v>6933</v>
      </c>
      <c r="S112" s="24" t="s">
        <v>6934</v>
      </c>
      <c r="T112" s="130" t="s">
        <v>6948</v>
      </c>
      <c r="U112" s="833" t="s">
        <v>2359</v>
      </c>
      <c r="V112" s="833">
        <v>1</v>
      </c>
      <c r="W112" s="833" t="s">
        <v>6949</v>
      </c>
      <c r="X112" s="833" t="s">
        <v>6950</v>
      </c>
      <c r="Y112" s="150"/>
      <c r="Z112" s="150">
        <v>7</v>
      </c>
      <c r="AA112" s="150">
        <v>7</v>
      </c>
      <c r="AB112" s="701"/>
      <c r="AC112" s="701"/>
      <c r="AD112" s="833" t="s">
        <v>1104</v>
      </c>
      <c r="AE112" s="202" t="s">
        <v>1880</v>
      </c>
      <c r="AF112" s="133" t="s">
        <v>1880</v>
      </c>
      <c r="AG112" s="832"/>
    </row>
    <row r="113" spans="1:33" s="11" customFormat="1" ht="26.25" customHeight="1" x14ac:dyDescent="0.15">
      <c r="A113" s="8">
        <v>110</v>
      </c>
      <c r="B113" s="36" t="s">
        <v>6944</v>
      </c>
      <c r="C113" s="26" t="s">
        <v>19</v>
      </c>
      <c r="D113" s="26" t="s">
        <v>19</v>
      </c>
      <c r="E113" s="26" t="s">
        <v>19</v>
      </c>
      <c r="F113" s="151" t="s">
        <v>3616</v>
      </c>
      <c r="G113" s="54" t="s">
        <v>6957</v>
      </c>
      <c r="H113" s="833" t="s">
        <v>2135</v>
      </c>
      <c r="I113" s="833" t="s">
        <v>2533</v>
      </c>
      <c r="J113" s="21" t="s">
        <v>3629</v>
      </c>
      <c r="K113" s="71" t="s">
        <v>3645</v>
      </c>
      <c r="L113" s="833" t="s">
        <v>2142</v>
      </c>
      <c r="M113" s="833" t="s">
        <v>111</v>
      </c>
      <c r="N113" s="22" t="s">
        <v>575</v>
      </c>
      <c r="O113" s="54" t="s">
        <v>851</v>
      </c>
      <c r="P113" s="833" t="s">
        <v>111</v>
      </c>
      <c r="Q113" s="832" t="s">
        <v>6933</v>
      </c>
      <c r="R113" s="832" t="s">
        <v>6933</v>
      </c>
      <c r="S113" s="24" t="s">
        <v>6934</v>
      </c>
      <c r="T113" s="130" t="s">
        <v>6948</v>
      </c>
      <c r="U113" s="833" t="s">
        <v>2359</v>
      </c>
      <c r="V113" s="833">
        <v>1</v>
      </c>
      <c r="W113" s="833" t="s">
        <v>6949</v>
      </c>
      <c r="X113" s="833" t="s">
        <v>6950</v>
      </c>
      <c r="Y113" s="150"/>
      <c r="Z113" s="150">
        <v>7</v>
      </c>
      <c r="AA113" s="150">
        <v>7</v>
      </c>
      <c r="AB113" s="701"/>
      <c r="AC113" s="701"/>
      <c r="AD113" s="833" t="s">
        <v>1104</v>
      </c>
      <c r="AE113" s="202" t="s">
        <v>1880</v>
      </c>
      <c r="AF113" s="133" t="s">
        <v>1880</v>
      </c>
      <c r="AG113" s="832"/>
    </row>
    <row r="114" spans="1:33" s="11" customFormat="1" ht="26.25" customHeight="1" x14ac:dyDescent="0.15">
      <c r="A114" s="8">
        <v>111</v>
      </c>
      <c r="B114" s="36" t="s">
        <v>6945</v>
      </c>
      <c r="C114" s="26" t="s">
        <v>19</v>
      </c>
      <c r="D114" s="26" t="s">
        <v>19</v>
      </c>
      <c r="E114" s="26" t="s">
        <v>19</v>
      </c>
      <c r="F114" s="54" t="s">
        <v>3617</v>
      </c>
      <c r="G114" s="54" t="s">
        <v>6959</v>
      </c>
      <c r="H114" s="833" t="s">
        <v>2135</v>
      </c>
      <c r="I114" s="833" t="s">
        <v>2533</v>
      </c>
      <c r="J114" s="21" t="s">
        <v>5900</v>
      </c>
      <c r="K114" s="833" t="s">
        <v>4780</v>
      </c>
      <c r="L114" s="833" t="s">
        <v>1826</v>
      </c>
      <c r="M114" s="833" t="s">
        <v>111</v>
      </c>
      <c r="N114" s="22" t="s">
        <v>454</v>
      </c>
      <c r="O114" s="54" t="s">
        <v>851</v>
      </c>
      <c r="P114" s="833" t="s">
        <v>111</v>
      </c>
      <c r="Q114" s="832" t="s">
        <v>6933</v>
      </c>
      <c r="R114" s="832" t="s">
        <v>6933</v>
      </c>
      <c r="S114" s="24" t="s">
        <v>6934</v>
      </c>
      <c r="T114" s="130" t="s">
        <v>6948</v>
      </c>
      <c r="U114" s="833" t="s">
        <v>2359</v>
      </c>
      <c r="V114" s="833">
        <v>1</v>
      </c>
      <c r="W114" s="833" t="s">
        <v>6949</v>
      </c>
      <c r="X114" s="833" t="s">
        <v>6950</v>
      </c>
      <c r="Y114" s="150"/>
      <c r="Z114" s="150">
        <v>7</v>
      </c>
      <c r="AA114" s="150">
        <v>7</v>
      </c>
      <c r="AB114" s="701"/>
      <c r="AC114" s="701"/>
      <c r="AD114" s="833" t="s">
        <v>1104</v>
      </c>
      <c r="AE114" s="202" t="s">
        <v>1880</v>
      </c>
      <c r="AF114" s="133" t="s">
        <v>1880</v>
      </c>
      <c r="AG114" s="832"/>
    </row>
    <row r="115" spans="1:33" s="11" customFormat="1" ht="26.25" customHeight="1" x14ac:dyDescent="0.15">
      <c r="A115" s="8">
        <v>112</v>
      </c>
      <c r="B115" s="36" t="s">
        <v>6946</v>
      </c>
      <c r="C115" s="26" t="s">
        <v>19</v>
      </c>
      <c r="D115" s="26" t="s">
        <v>19</v>
      </c>
      <c r="E115" s="26" t="s">
        <v>19</v>
      </c>
      <c r="F115" s="54" t="s">
        <v>3617</v>
      </c>
      <c r="G115" s="54" t="s">
        <v>6958</v>
      </c>
      <c r="H115" s="833" t="s">
        <v>2135</v>
      </c>
      <c r="I115" s="833" t="s">
        <v>2533</v>
      </c>
      <c r="J115" s="833" t="s">
        <v>4587</v>
      </c>
      <c r="K115" s="833" t="s">
        <v>4780</v>
      </c>
      <c r="L115" s="833" t="s">
        <v>1826</v>
      </c>
      <c r="M115" s="833" t="s">
        <v>111</v>
      </c>
      <c r="N115" s="22" t="s">
        <v>454</v>
      </c>
      <c r="O115" s="54" t="s">
        <v>851</v>
      </c>
      <c r="P115" s="833" t="s">
        <v>111</v>
      </c>
      <c r="Q115" s="832" t="s">
        <v>6933</v>
      </c>
      <c r="R115" s="832" t="s">
        <v>6933</v>
      </c>
      <c r="S115" s="24" t="s">
        <v>6934</v>
      </c>
      <c r="T115" s="130" t="s">
        <v>6948</v>
      </c>
      <c r="U115" s="833" t="s">
        <v>2359</v>
      </c>
      <c r="V115" s="833">
        <v>1</v>
      </c>
      <c r="W115" s="833" t="s">
        <v>6949</v>
      </c>
      <c r="X115" s="833" t="s">
        <v>6950</v>
      </c>
      <c r="Y115" s="150"/>
      <c r="Z115" s="150">
        <v>7</v>
      </c>
      <c r="AA115" s="150">
        <v>7</v>
      </c>
      <c r="AB115" s="701"/>
      <c r="AC115" s="701"/>
      <c r="AD115" s="833" t="s">
        <v>1104</v>
      </c>
      <c r="AE115" s="202" t="s">
        <v>1880</v>
      </c>
      <c r="AF115" s="133" t="s">
        <v>1880</v>
      </c>
      <c r="AG115" s="826"/>
    </row>
    <row r="116" spans="1:33" s="11" customFormat="1" ht="26.25" customHeight="1" x14ac:dyDescent="0.15">
      <c r="A116" s="8">
        <v>113</v>
      </c>
      <c r="B116" s="36" t="s">
        <v>6960</v>
      </c>
      <c r="C116" s="71" t="s">
        <v>6967</v>
      </c>
      <c r="D116" s="26" t="s">
        <v>19</v>
      </c>
      <c r="E116" s="611" t="s">
        <v>7026</v>
      </c>
      <c r="F116" s="29" t="s">
        <v>6961</v>
      </c>
      <c r="G116" s="53" t="s">
        <v>6962</v>
      </c>
      <c r="H116" s="833" t="s">
        <v>6963</v>
      </c>
      <c r="I116" s="833" t="s">
        <v>2327</v>
      </c>
      <c r="J116" s="833" t="s">
        <v>6964</v>
      </c>
      <c r="K116" s="833" t="s">
        <v>4780</v>
      </c>
      <c r="L116" s="833" t="s">
        <v>1826</v>
      </c>
      <c r="M116" s="833" t="s">
        <v>111</v>
      </c>
      <c r="N116" s="22" t="s">
        <v>454</v>
      </c>
      <c r="O116" s="54" t="s">
        <v>6965</v>
      </c>
      <c r="P116" s="833" t="s">
        <v>111</v>
      </c>
      <c r="Q116" s="832" t="s">
        <v>5489</v>
      </c>
      <c r="R116" s="832" t="s">
        <v>5489</v>
      </c>
      <c r="S116" s="24" t="s">
        <v>6934</v>
      </c>
      <c r="T116" s="90" t="s">
        <v>6966</v>
      </c>
      <c r="U116" s="833" t="s">
        <v>2359</v>
      </c>
      <c r="V116" s="833">
        <v>1</v>
      </c>
      <c r="W116" s="24" t="s">
        <v>448</v>
      </c>
      <c r="X116" s="24" t="s">
        <v>448</v>
      </c>
      <c r="Y116" s="30">
        <v>3.254</v>
      </c>
      <c r="Z116" s="30"/>
      <c r="AA116" s="30">
        <v>3.254</v>
      </c>
      <c r="AB116" s="59"/>
      <c r="AC116" s="59"/>
      <c r="AD116" s="833" t="s">
        <v>1104</v>
      </c>
      <c r="AE116" s="202" t="s">
        <v>1880</v>
      </c>
      <c r="AF116" s="133" t="s">
        <v>1880</v>
      </c>
      <c r="AG116" s="832"/>
    </row>
    <row r="117" spans="1:33" s="11" customFormat="1" ht="26.25" customHeight="1" x14ac:dyDescent="0.15">
      <c r="A117" s="8">
        <v>114</v>
      </c>
      <c r="B117" s="36" t="s">
        <v>6984</v>
      </c>
      <c r="C117" s="26" t="s">
        <v>19</v>
      </c>
      <c r="D117" s="26" t="s">
        <v>19</v>
      </c>
      <c r="E117" s="36" t="s">
        <v>7077</v>
      </c>
      <c r="F117" s="29" t="s">
        <v>5765</v>
      </c>
      <c r="G117" s="29" t="s">
        <v>6978</v>
      </c>
      <c r="H117" s="835" t="s">
        <v>2032</v>
      </c>
      <c r="I117" s="835" t="s">
        <v>6977</v>
      </c>
      <c r="J117" s="835" t="s">
        <v>3807</v>
      </c>
      <c r="K117" s="835" t="s">
        <v>4780</v>
      </c>
      <c r="L117" s="837" t="s">
        <v>1826</v>
      </c>
      <c r="M117" s="837" t="s">
        <v>111</v>
      </c>
      <c r="N117" s="22" t="s">
        <v>454</v>
      </c>
      <c r="O117" s="54" t="s">
        <v>5638</v>
      </c>
      <c r="P117" s="837" t="s">
        <v>111</v>
      </c>
      <c r="Q117" s="834" t="s">
        <v>6979</v>
      </c>
      <c r="R117" s="834" t="s">
        <v>6979</v>
      </c>
      <c r="S117" s="24" t="s">
        <v>6980</v>
      </c>
      <c r="T117" s="90" t="s">
        <v>6981</v>
      </c>
      <c r="U117" s="837" t="s">
        <v>2359</v>
      </c>
      <c r="V117" s="837">
        <v>1</v>
      </c>
      <c r="W117" s="24" t="s">
        <v>6982</v>
      </c>
      <c r="X117" s="24" t="s">
        <v>6983</v>
      </c>
      <c r="Y117" s="30"/>
      <c r="Z117" s="30">
        <v>9</v>
      </c>
      <c r="AA117" s="30">
        <v>9</v>
      </c>
      <c r="AB117" s="59"/>
      <c r="AC117" s="59"/>
      <c r="AD117" s="837" t="s">
        <v>1104</v>
      </c>
      <c r="AE117" s="202" t="s">
        <v>1880</v>
      </c>
      <c r="AF117" s="133" t="s">
        <v>1880</v>
      </c>
      <c r="AG117" s="834"/>
    </row>
    <row r="118" spans="1:33" s="11" customFormat="1" ht="45" customHeight="1" x14ac:dyDescent="0.15">
      <c r="A118" s="8">
        <v>115</v>
      </c>
      <c r="B118" s="36" t="s">
        <v>6968</v>
      </c>
      <c r="C118" s="26" t="s">
        <v>19</v>
      </c>
      <c r="D118" s="26" t="s">
        <v>19</v>
      </c>
      <c r="E118" s="26" t="s">
        <v>19</v>
      </c>
      <c r="F118" s="29" t="s">
        <v>6969</v>
      </c>
      <c r="G118" s="29" t="s">
        <v>6970</v>
      </c>
      <c r="H118" s="835" t="s">
        <v>2328</v>
      </c>
      <c r="I118" s="835" t="s">
        <v>2327</v>
      </c>
      <c r="J118" s="835" t="s">
        <v>4271</v>
      </c>
      <c r="K118" s="835" t="s">
        <v>4780</v>
      </c>
      <c r="L118" s="835" t="s">
        <v>1826</v>
      </c>
      <c r="M118" s="835" t="s">
        <v>111</v>
      </c>
      <c r="N118" s="22" t="s">
        <v>454</v>
      </c>
      <c r="O118" s="54" t="s">
        <v>6971</v>
      </c>
      <c r="P118" s="835" t="s">
        <v>111</v>
      </c>
      <c r="Q118" s="834" t="s">
        <v>6972</v>
      </c>
      <c r="R118" s="834" t="s">
        <v>6972</v>
      </c>
      <c r="S118" s="24" t="s">
        <v>6973</v>
      </c>
      <c r="T118" s="90" t="s">
        <v>6974</v>
      </c>
      <c r="U118" s="835" t="s">
        <v>2359</v>
      </c>
      <c r="V118" s="835">
        <v>1</v>
      </c>
      <c r="W118" s="24" t="s">
        <v>6975</v>
      </c>
      <c r="X118" s="24" t="s">
        <v>6976</v>
      </c>
      <c r="Y118" s="30"/>
      <c r="Z118" s="30">
        <v>14.895</v>
      </c>
      <c r="AA118" s="30">
        <v>14.895</v>
      </c>
      <c r="AB118" s="59"/>
      <c r="AC118" s="59"/>
      <c r="AD118" s="835" t="s">
        <v>1104</v>
      </c>
      <c r="AE118" s="202" t="s">
        <v>1880</v>
      </c>
      <c r="AF118" s="133" t="s">
        <v>1880</v>
      </c>
      <c r="AG118" s="834"/>
    </row>
    <row r="119" spans="1:33" s="11" customFormat="1" ht="26.25" customHeight="1" x14ac:dyDescent="0.15">
      <c r="A119" s="8">
        <v>116</v>
      </c>
      <c r="B119" s="36" t="s">
        <v>6985</v>
      </c>
      <c r="C119" s="26" t="s">
        <v>19</v>
      </c>
      <c r="D119" s="26" t="s">
        <v>19</v>
      </c>
      <c r="E119" s="26" t="s">
        <v>19</v>
      </c>
      <c r="F119" s="29" t="s">
        <v>6378</v>
      </c>
      <c r="G119" s="29" t="s">
        <v>7045</v>
      </c>
      <c r="H119" s="838" t="s">
        <v>2328</v>
      </c>
      <c r="I119" s="838" t="s">
        <v>2327</v>
      </c>
      <c r="J119" s="838" t="s">
        <v>6987</v>
      </c>
      <c r="K119" s="838" t="s">
        <v>4780</v>
      </c>
      <c r="L119" s="838" t="s">
        <v>1826</v>
      </c>
      <c r="M119" s="838" t="s">
        <v>111</v>
      </c>
      <c r="N119" s="22" t="s">
        <v>454</v>
      </c>
      <c r="O119" s="54" t="s">
        <v>5567</v>
      </c>
      <c r="P119" s="838" t="s">
        <v>111</v>
      </c>
      <c r="Q119" s="841" t="s">
        <v>414</v>
      </c>
      <c r="R119" s="841" t="s">
        <v>414</v>
      </c>
      <c r="S119" s="24" t="s">
        <v>6973</v>
      </c>
      <c r="T119" s="90" t="s">
        <v>6966</v>
      </c>
      <c r="U119" s="852" t="s">
        <v>2359</v>
      </c>
      <c r="V119" s="852">
        <v>1</v>
      </c>
      <c r="W119" s="24" t="s">
        <v>448</v>
      </c>
      <c r="X119" s="24" t="s">
        <v>448</v>
      </c>
      <c r="Y119" s="30">
        <v>5.7</v>
      </c>
      <c r="Z119" s="30"/>
      <c r="AA119" s="30">
        <v>5.7</v>
      </c>
      <c r="AB119" s="59"/>
      <c r="AC119" s="59"/>
      <c r="AD119" s="838" t="s">
        <v>1104</v>
      </c>
      <c r="AE119" s="202" t="s">
        <v>1880</v>
      </c>
      <c r="AF119" s="133" t="s">
        <v>1880</v>
      </c>
      <c r="AG119" s="834"/>
    </row>
    <row r="120" spans="1:33" s="11" customFormat="1" ht="26.25" customHeight="1" x14ac:dyDescent="0.15">
      <c r="A120" s="8">
        <v>117</v>
      </c>
      <c r="B120" s="36" t="s">
        <v>6986</v>
      </c>
      <c r="C120" s="26" t="s">
        <v>19</v>
      </c>
      <c r="D120" s="26" t="s">
        <v>19</v>
      </c>
      <c r="E120" s="36" t="s">
        <v>9338</v>
      </c>
      <c r="F120" s="29" t="s">
        <v>6988</v>
      </c>
      <c r="G120" s="53" t="s">
        <v>6989</v>
      </c>
      <c r="H120" s="831" t="s">
        <v>4712</v>
      </c>
      <c r="I120" s="831" t="s">
        <v>5383</v>
      </c>
      <c r="J120" s="831" t="s">
        <v>6990</v>
      </c>
      <c r="K120" s="22" t="s">
        <v>4780</v>
      </c>
      <c r="L120" s="838" t="s">
        <v>1826</v>
      </c>
      <c r="M120" s="838" t="s">
        <v>111</v>
      </c>
      <c r="N120" s="22" t="s">
        <v>454</v>
      </c>
      <c r="O120" s="54" t="s">
        <v>2192</v>
      </c>
      <c r="P120" s="838" t="s">
        <v>111</v>
      </c>
      <c r="Q120" s="832" t="s">
        <v>5480</v>
      </c>
      <c r="R120" s="832" t="s">
        <v>5480</v>
      </c>
      <c r="S120" s="24" t="s">
        <v>6991</v>
      </c>
      <c r="T120" s="90" t="s">
        <v>6934</v>
      </c>
      <c r="U120" s="24" t="s">
        <v>108</v>
      </c>
      <c r="V120" s="24">
        <v>1</v>
      </c>
      <c r="W120" s="24" t="s">
        <v>5710</v>
      </c>
      <c r="X120" s="24" t="s">
        <v>448</v>
      </c>
      <c r="Y120" s="30">
        <v>43</v>
      </c>
      <c r="Z120" s="30"/>
      <c r="AA120" s="30">
        <v>43</v>
      </c>
      <c r="AB120" s="59"/>
      <c r="AC120" s="59"/>
      <c r="AD120" s="838" t="s">
        <v>1104</v>
      </c>
      <c r="AE120" s="202" t="s">
        <v>1880</v>
      </c>
      <c r="AF120" s="133" t="s">
        <v>1880</v>
      </c>
      <c r="AG120" s="832"/>
    </row>
    <row r="121" spans="1:33" s="11" customFormat="1" ht="26.25" customHeight="1" x14ac:dyDescent="0.15">
      <c r="A121" s="8">
        <v>118</v>
      </c>
      <c r="B121" s="36" t="s">
        <v>6993</v>
      </c>
      <c r="C121" s="71" t="s">
        <v>6998</v>
      </c>
      <c r="D121" s="26" t="s">
        <v>19</v>
      </c>
      <c r="E121" s="26" t="s">
        <v>19</v>
      </c>
      <c r="F121" s="29" t="s">
        <v>6994</v>
      </c>
      <c r="G121" s="29" t="s">
        <v>6999</v>
      </c>
      <c r="H121" s="839" t="s">
        <v>4195</v>
      </c>
      <c r="I121" s="839" t="s">
        <v>3101</v>
      </c>
      <c r="J121" s="839" t="s">
        <v>6995</v>
      </c>
      <c r="K121" s="22" t="s">
        <v>4780</v>
      </c>
      <c r="L121" s="22" t="s">
        <v>6996</v>
      </c>
      <c r="M121" s="840" t="s">
        <v>111</v>
      </c>
      <c r="N121" s="839" t="s">
        <v>4676</v>
      </c>
      <c r="O121" s="54" t="s">
        <v>4677</v>
      </c>
      <c r="P121" s="840" t="s">
        <v>111</v>
      </c>
      <c r="Q121" s="839" t="s">
        <v>5480</v>
      </c>
      <c r="R121" s="839" t="s">
        <v>5480</v>
      </c>
      <c r="S121" s="24" t="s">
        <v>6997</v>
      </c>
      <c r="T121" s="90" t="s">
        <v>6997</v>
      </c>
      <c r="U121" s="840" t="s">
        <v>2359</v>
      </c>
      <c r="V121" s="840">
        <v>1</v>
      </c>
      <c r="W121" s="24" t="s">
        <v>448</v>
      </c>
      <c r="X121" s="24" t="s">
        <v>448</v>
      </c>
      <c r="Y121" s="30">
        <v>9.52</v>
      </c>
      <c r="Z121" s="30"/>
      <c r="AA121" s="30">
        <v>9.52</v>
      </c>
      <c r="AB121" s="59"/>
      <c r="AC121" s="59"/>
      <c r="AD121" s="840" t="s">
        <v>1104</v>
      </c>
      <c r="AE121" s="202" t="s">
        <v>1880</v>
      </c>
      <c r="AF121" s="133" t="s">
        <v>1880</v>
      </c>
      <c r="AG121" s="839"/>
    </row>
    <row r="122" spans="1:33" s="11" customFormat="1" ht="26.25" customHeight="1" x14ac:dyDescent="0.15">
      <c r="A122" s="8">
        <v>119</v>
      </c>
      <c r="B122" s="36" t="s">
        <v>7000</v>
      </c>
      <c r="C122" s="71" t="s">
        <v>7004</v>
      </c>
      <c r="D122" s="71" t="s">
        <v>7007</v>
      </c>
      <c r="E122" s="26" t="s">
        <v>19</v>
      </c>
      <c r="F122" s="29" t="s">
        <v>7001</v>
      </c>
      <c r="G122" s="53" t="s">
        <v>7002</v>
      </c>
      <c r="H122" s="842" t="s">
        <v>4195</v>
      </c>
      <c r="I122" s="842" t="s">
        <v>6907</v>
      </c>
      <c r="J122" s="842" t="s">
        <v>6908</v>
      </c>
      <c r="K122" s="22" t="s">
        <v>6909</v>
      </c>
      <c r="L122" s="843" t="s">
        <v>1826</v>
      </c>
      <c r="M122" s="843" t="s">
        <v>111</v>
      </c>
      <c r="N122" s="22" t="s">
        <v>454</v>
      </c>
      <c r="O122" s="54" t="s">
        <v>7003</v>
      </c>
      <c r="P122" s="843" t="s">
        <v>111</v>
      </c>
      <c r="Q122" s="842" t="s">
        <v>5480</v>
      </c>
      <c r="R122" s="842" t="s">
        <v>5480</v>
      </c>
      <c r="S122" s="24" t="s">
        <v>7005</v>
      </c>
      <c r="T122" s="90" t="s">
        <v>7006</v>
      </c>
      <c r="U122" s="24" t="s">
        <v>108</v>
      </c>
      <c r="V122" s="24">
        <v>1</v>
      </c>
      <c r="W122" s="24" t="s">
        <v>448</v>
      </c>
      <c r="X122" s="24" t="s">
        <v>448</v>
      </c>
      <c r="Y122" s="30">
        <v>4.5</v>
      </c>
      <c r="Z122" s="30"/>
      <c r="AA122" s="30">
        <v>4.5</v>
      </c>
      <c r="AB122" s="59"/>
      <c r="AC122" s="59"/>
      <c r="AD122" s="843" t="s">
        <v>1104</v>
      </c>
      <c r="AE122" s="202" t="s">
        <v>1880</v>
      </c>
      <c r="AF122" s="133" t="s">
        <v>1880</v>
      </c>
      <c r="AG122" s="839"/>
    </row>
    <row r="123" spans="1:33" s="11" customFormat="1" ht="26.25" customHeight="1" x14ac:dyDescent="0.15">
      <c r="A123" s="8">
        <v>120</v>
      </c>
      <c r="B123" s="36" t="s">
        <v>7008</v>
      </c>
      <c r="C123" s="26" t="s">
        <v>19</v>
      </c>
      <c r="D123" s="26" t="s">
        <v>19</v>
      </c>
      <c r="E123" s="26" t="s">
        <v>19</v>
      </c>
      <c r="F123" s="29" t="s">
        <v>7011</v>
      </c>
      <c r="G123" s="29" t="s">
        <v>7012</v>
      </c>
      <c r="H123" s="849" t="s">
        <v>4712</v>
      </c>
      <c r="I123" s="849" t="s">
        <v>5383</v>
      </c>
      <c r="J123" s="849" t="s">
        <v>5384</v>
      </c>
      <c r="K123" s="22" t="s">
        <v>6421</v>
      </c>
      <c r="L123" s="22" t="s">
        <v>7013</v>
      </c>
      <c r="M123" s="846" t="s">
        <v>111</v>
      </c>
      <c r="N123" s="22" t="s">
        <v>454</v>
      </c>
      <c r="O123" s="54" t="s">
        <v>7014</v>
      </c>
      <c r="P123" s="846" t="s">
        <v>111</v>
      </c>
      <c r="Q123" s="845" t="s">
        <v>5480</v>
      </c>
      <c r="R123" s="845" t="s">
        <v>5480</v>
      </c>
      <c r="S123" s="24" t="s">
        <v>7015</v>
      </c>
      <c r="T123" s="90" t="s">
        <v>7016</v>
      </c>
      <c r="U123" s="24" t="s">
        <v>7017</v>
      </c>
      <c r="V123" s="24">
        <v>3</v>
      </c>
      <c r="W123" s="24" t="s">
        <v>448</v>
      </c>
      <c r="X123" s="24" t="s">
        <v>448</v>
      </c>
      <c r="Y123" s="30">
        <v>13.802</v>
      </c>
      <c r="Z123" s="30"/>
      <c r="AA123" s="30">
        <v>13.802</v>
      </c>
      <c r="AB123" s="59"/>
      <c r="AC123" s="59"/>
      <c r="AD123" s="846" t="s">
        <v>1104</v>
      </c>
      <c r="AE123" s="202" t="s">
        <v>1880</v>
      </c>
      <c r="AF123" s="133" t="s">
        <v>1880</v>
      </c>
      <c r="AG123" s="845"/>
    </row>
    <row r="124" spans="1:33" s="11" customFormat="1" ht="26.25" customHeight="1" x14ac:dyDescent="0.15">
      <c r="A124" s="8">
        <v>121</v>
      </c>
      <c r="B124" s="36" t="s">
        <v>7009</v>
      </c>
      <c r="C124" s="71" t="s">
        <v>7412</v>
      </c>
      <c r="D124" s="26" t="s">
        <v>19</v>
      </c>
      <c r="E124" s="36" t="s">
        <v>7609</v>
      </c>
      <c r="F124" s="29" t="s">
        <v>7018</v>
      </c>
      <c r="G124" s="53" t="s">
        <v>7019</v>
      </c>
      <c r="H124" s="844" t="s">
        <v>7020</v>
      </c>
      <c r="I124" s="844" t="s">
        <v>7021</v>
      </c>
      <c r="J124" s="844" t="s">
        <v>7022</v>
      </c>
      <c r="K124" s="22" t="s">
        <v>7413</v>
      </c>
      <c r="L124" s="22" t="s">
        <v>7013</v>
      </c>
      <c r="M124" s="846" t="s">
        <v>111</v>
      </c>
      <c r="N124" s="22" t="s">
        <v>454</v>
      </c>
      <c r="O124" s="54" t="s">
        <v>2224</v>
      </c>
      <c r="P124" s="846" t="s">
        <v>111</v>
      </c>
      <c r="Q124" s="845" t="s">
        <v>7023</v>
      </c>
      <c r="R124" s="845" t="s">
        <v>7023</v>
      </c>
      <c r="S124" s="24" t="s">
        <v>7015</v>
      </c>
      <c r="T124" s="90" t="s">
        <v>7016</v>
      </c>
      <c r="U124" s="846" t="s">
        <v>2359</v>
      </c>
      <c r="V124" s="846">
        <v>1</v>
      </c>
      <c r="W124" s="24" t="s">
        <v>448</v>
      </c>
      <c r="X124" s="24" t="s">
        <v>448</v>
      </c>
      <c r="Y124" s="30">
        <v>18.5</v>
      </c>
      <c r="Z124" s="30"/>
      <c r="AA124" s="30">
        <v>18.5</v>
      </c>
      <c r="AB124" s="59"/>
      <c r="AC124" s="59"/>
      <c r="AD124" s="846" t="s">
        <v>1104</v>
      </c>
      <c r="AE124" s="202" t="s">
        <v>1880</v>
      </c>
      <c r="AF124" s="133" t="s">
        <v>1880</v>
      </c>
      <c r="AG124" s="845"/>
    </row>
    <row r="125" spans="1:33" s="11" customFormat="1" ht="26.25" customHeight="1" x14ac:dyDescent="0.15">
      <c r="A125" s="8">
        <v>122</v>
      </c>
      <c r="B125" s="36" t="s">
        <v>7010</v>
      </c>
      <c r="C125" s="26" t="s">
        <v>19</v>
      </c>
      <c r="D125" s="26" t="s">
        <v>19</v>
      </c>
      <c r="E125" s="26" t="s">
        <v>19</v>
      </c>
      <c r="F125" s="123" t="s">
        <v>7024</v>
      </c>
      <c r="G125" s="99" t="s">
        <v>5486</v>
      </c>
      <c r="H125" s="882" t="s">
        <v>3649</v>
      </c>
      <c r="I125" s="882" t="s">
        <v>4750</v>
      </c>
      <c r="J125" s="882" t="s">
        <v>7194</v>
      </c>
      <c r="K125" s="22" t="s">
        <v>7195</v>
      </c>
      <c r="L125" s="22" t="s">
        <v>5478</v>
      </c>
      <c r="M125" s="848" t="s">
        <v>111</v>
      </c>
      <c r="N125" s="883" t="s">
        <v>4676</v>
      </c>
      <c r="O125" s="76" t="s">
        <v>7196</v>
      </c>
      <c r="P125" s="848" t="s">
        <v>111</v>
      </c>
      <c r="Q125" s="847" t="s">
        <v>5487</v>
      </c>
      <c r="R125" s="847" t="s">
        <v>5487</v>
      </c>
      <c r="S125" s="24" t="s">
        <v>7025</v>
      </c>
      <c r="T125" s="499"/>
      <c r="U125" s="484"/>
      <c r="V125" s="484"/>
      <c r="W125" s="484"/>
      <c r="X125" s="484"/>
      <c r="Y125" s="30">
        <v>2.5</v>
      </c>
      <c r="Z125" s="30"/>
      <c r="AA125" s="30">
        <v>2.5</v>
      </c>
      <c r="AB125" s="59"/>
      <c r="AC125" s="59"/>
      <c r="AD125" s="848" t="s">
        <v>1104</v>
      </c>
      <c r="AE125" s="202" t="s">
        <v>1880</v>
      </c>
      <c r="AF125" s="133" t="s">
        <v>1880</v>
      </c>
      <c r="AG125" s="845"/>
    </row>
    <row r="126" spans="1:33" s="11" customFormat="1" ht="26.25" customHeight="1" x14ac:dyDescent="0.15">
      <c r="A126" s="8">
        <v>123</v>
      </c>
      <c r="B126" s="36" t="s">
        <v>7030</v>
      </c>
      <c r="C126" s="26" t="s">
        <v>19</v>
      </c>
      <c r="D126" s="26" t="s">
        <v>19</v>
      </c>
      <c r="E126" s="26" t="s">
        <v>19</v>
      </c>
      <c r="F126" s="29" t="s">
        <v>7036</v>
      </c>
      <c r="G126" s="53" t="s">
        <v>7037</v>
      </c>
      <c r="H126" s="850" t="s">
        <v>4712</v>
      </c>
      <c r="I126" s="850" t="s">
        <v>4692</v>
      </c>
      <c r="J126" s="850" t="s">
        <v>6050</v>
      </c>
      <c r="K126" s="22" t="s">
        <v>7038</v>
      </c>
      <c r="L126" s="22" t="s">
        <v>5431</v>
      </c>
      <c r="M126" s="852" t="s">
        <v>111</v>
      </c>
      <c r="N126" s="22" t="s">
        <v>454</v>
      </c>
      <c r="O126" s="54" t="s">
        <v>7039</v>
      </c>
      <c r="P126" s="852" t="s">
        <v>111</v>
      </c>
      <c r="Q126" s="851" t="s">
        <v>7040</v>
      </c>
      <c r="R126" s="851" t="s">
        <v>7040</v>
      </c>
      <c r="S126" s="24" t="s">
        <v>7041</v>
      </c>
      <c r="T126" s="90" t="s">
        <v>7042</v>
      </c>
      <c r="U126" s="852" t="s">
        <v>2359</v>
      </c>
      <c r="V126" s="852">
        <v>1</v>
      </c>
      <c r="W126" s="24" t="s">
        <v>7043</v>
      </c>
      <c r="X126" s="24" t="s">
        <v>7044</v>
      </c>
      <c r="Y126" s="30"/>
      <c r="Z126" s="30">
        <v>11</v>
      </c>
      <c r="AA126" s="30">
        <v>11</v>
      </c>
      <c r="AB126" s="59"/>
      <c r="AC126" s="59"/>
      <c r="AD126" s="852" t="s">
        <v>1104</v>
      </c>
      <c r="AE126" s="202" t="s">
        <v>1880</v>
      </c>
      <c r="AF126" s="133" t="s">
        <v>1880</v>
      </c>
      <c r="AG126" s="851"/>
    </row>
    <row r="127" spans="1:33" s="11" customFormat="1" ht="26.25" customHeight="1" x14ac:dyDescent="0.15">
      <c r="A127" s="8">
        <v>124</v>
      </c>
      <c r="B127" s="36" t="s">
        <v>7031</v>
      </c>
      <c r="C127" s="26" t="s">
        <v>19</v>
      </c>
      <c r="D127" s="26" t="s">
        <v>19</v>
      </c>
      <c r="E127" s="26" t="s">
        <v>19</v>
      </c>
      <c r="F127" s="53" t="s">
        <v>7047</v>
      </c>
      <c r="G127" s="29" t="s">
        <v>7046</v>
      </c>
      <c r="H127" s="850" t="s">
        <v>3649</v>
      </c>
      <c r="I127" s="850" t="s">
        <v>4750</v>
      </c>
      <c r="J127" s="853" t="s">
        <v>7076</v>
      </c>
      <c r="K127" s="1100" t="s">
        <v>8055</v>
      </c>
      <c r="L127" s="22" t="s">
        <v>5431</v>
      </c>
      <c r="M127" s="852" t="s">
        <v>111</v>
      </c>
      <c r="N127" s="22" t="s">
        <v>454</v>
      </c>
      <c r="O127" s="54" t="s">
        <v>2224</v>
      </c>
      <c r="P127" s="852" t="s">
        <v>111</v>
      </c>
      <c r="Q127" s="851" t="s">
        <v>7048</v>
      </c>
      <c r="R127" s="851" t="s">
        <v>7048</v>
      </c>
      <c r="S127" s="24" t="s">
        <v>7041</v>
      </c>
      <c r="T127" s="90" t="s">
        <v>7049</v>
      </c>
      <c r="U127" s="852" t="s">
        <v>2359</v>
      </c>
      <c r="V127" s="852">
        <v>1</v>
      </c>
      <c r="W127" s="24" t="s">
        <v>7050</v>
      </c>
      <c r="X127" s="24" t="s">
        <v>7051</v>
      </c>
      <c r="Y127" s="30"/>
      <c r="Z127" s="30">
        <v>4</v>
      </c>
      <c r="AA127" s="30">
        <v>4</v>
      </c>
      <c r="AB127" s="59"/>
      <c r="AC127" s="59"/>
      <c r="AD127" s="852" t="s">
        <v>1104</v>
      </c>
      <c r="AE127" s="202" t="s">
        <v>1880</v>
      </c>
      <c r="AF127" s="133" t="s">
        <v>1880</v>
      </c>
      <c r="AG127" s="851"/>
    </row>
    <row r="128" spans="1:33" s="11" customFormat="1" ht="26.25" customHeight="1" x14ac:dyDescent="0.15">
      <c r="A128" s="8">
        <v>125</v>
      </c>
      <c r="B128" s="36" t="s">
        <v>7032</v>
      </c>
      <c r="C128" s="26" t="s">
        <v>19</v>
      </c>
      <c r="D128" s="26" t="s">
        <v>19</v>
      </c>
      <c r="E128" s="26" t="s">
        <v>19</v>
      </c>
      <c r="F128" s="53" t="s">
        <v>7052</v>
      </c>
      <c r="G128" s="53" t="s">
        <v>7053</v>
      </c>
      <c r="H128" s="850" t="s">
        <v>3649</v>
      </c>
      <c r="I128" s="850" t="s">
        <v>4750</v>
      </c>
      <c r="J128" s="850" t="s">
        <v>7054</v>
      </c>
      <c r="K128" s="22" t="s">
        <v>7055</v>
      </c>
      <c r="L128" s="22" t="s">
        <v>5431</v>
      </c>
      <c r="M128" s="852" t="s">
        <v>111</v>
      </c>
      <c r="N128" s="22" t="s">
        <v>454</v>
      </c>
      <c r="O128" s="54" t="s">
        <v>6651</v>
      </c>
      <c r="P128" s="852" t="s">
        <v>111</v>
      </c>
      <c r="Q128" s="851" t="s">
        <v>7048</v>
      </c>
      <c r="R128" s="851" t="s">
        <v>7048</v>
      </c>
      <c r="S128" s="24" t="s">
        <v>7041</v>
      </c>
      <c r="T128" s="90" t="s">
        <v>7056</v>
      </c>
      <c r="U128" s="852" t="s">
        <v>2359</v>
      </c>
      <c r="V128" s="852">
        <v>1</v>
      </c>
      <c r="W128" s="24" t="s">
        <v>7057</v>
      </c>
      <c r="X128" s="24" t="s">
        <v>7058</v>
      </c>
      <c r="Y128" s="30"/>
      <c r="Z128" s="30">
        <v>2</v>
      </c>
      <c r="AA128" s="30">
        <v>2</v>
      </c>
      <c r="AB128" s="59"/>
      <c r="AC128" s="59"/>
      <c r="AD128" s="852" t="s">
        <v>1104</v>
      </c>
      <c r="AE128" s="202" t="s">
        <v>1880</v>
      </c>
      <c r="AF128" s="133" t="s">
        <v>1880</v>
      </c>
      <c r="AG128" s="851"/>
    </row>
    <row r="129" spans="1:33" s="11" customFormat="1" ht="26.25" customHeight="1" x14ac:dyDescent="0.15">
      <c r="A129" s="8">
        <v>126</v>
      </c>
      <c r="B129" s="36" t="s">
        <v>7033</v>
      </c>
      <c r="C129" s="26" t="s">
        <v>19</v>
      </c>
      <c r="D129" s="26" t="s">
        <v>19</v>
      </c>
      <c r="E129" s="26" t="s">
        <v>19</v>
      </c>
      <c r="F129" s="29" t="s">
        <v>7052</v>
      </c>
      <c r="G129" s="53" t="s">
        <v>7059</v>
      </c>
      <c r="H129" s="850" t="s">
        <v>3649</v>
      </c>
      <c r="I129" s="850" t="s">
        <v>4750</v>
      </c>
      <c r="J129" s="850" t="s">
        <v>4916</v>
      </c>
      <c r="K129" s="22" t="s">
        <v>7060</v>
      </c>
      <c r="L129" s="22" t="s">
        <v>7061</v>
      </c>
      <c r="M129" s="852" t="s">
        <v>111</v>
      </c>
      <c r="N129" s="851" t="s">
        <v>7062</v>
      </c>
      <c r="O129" s="54" t="s">
        <v>7039</v>
      </c>
      <c r="P129" s="852" t="s">
        <v>111</v>
      </c>
      <c r="Q129" s="851" t="s">
        <v>7048</v>
      </c>
      <c r="R129" s="851" t="s">
        <v>7048</v>
      </c>
      <c r="S129" s="24" t="s">
        <v>7041</v>
      </c>
      <c r="T129" s="90" t="s">
        <v>7042</v>
      </c>
      <c r="U129" s="852" t="s">
        <v>2359</v>
      </c>
      <c r="V129" s="852">
        <v>1</v>
      </c>
      <c r="W129" s="24" t="s">
        <v>7063</v>
      </c>
      <c r="X129" s="24" t="s">
        <v>7064</v>
      </c>
      <c r="Y129" s="30"/>
      <c r="Z129" s="30">
        <v>7</v>
      </c>
      <c r="AA129" s="30">
        <v>7</v>
      </c>
      <c r="AB129" s="59"/>
      <c r="AC129" s="59"/>
      <c r="AD129" s="852" t="s">
        <v>1104</v>
      </c>
      <c r="AE129" s="202" t="s">
        <v>1880</v>
      </c>
      <c r="AF129" s="133" t="s">
        <v>1880</v>
      </c>
      <c r="AG129" s="851"/>
    </row>
    <row r="130" spans="1:33" s="11" customFormat="1" ht="26.25" customHeight="1" x14ac:dyDescent="0.15">
      <c r="A130" s="8">
        <v>127</v>
      </c>
      <c r="B130" s="36" t="s">
        <v>7034</v>
      </c>
      <c r="C130" s="26" t="s">
        <v>19</v>
      </c>
      <c r="D130" s="26" t="s">
        <v>19</v>
      </c>
      <c r="E130" s="26" t="s">
        <v>19</v>
      </c>
      <c r="F130" s="29" t="s">
        <v>7052</v>
      </c>
      <c r="G130" s="53" t="s">
        <v>7065</v>
      </c>
      <c r="H130" s="850" t="s">
        <v>3649</v>
      </c>
      <c r="I130" s="850" t="s">
        <v>4750</v>
      </c>
      <c r="J130" s="850" t="s">
        <v>5556</v>
      </c>
      <c r="K130" s="22" t="s">
        <v>7055</v>
      </c>
      <c r="L130" s="22" t="s">
        <v>7061</v>
      </c>
      <c r="M130" s="852" t="s">
        <v>111</v>
      </c>
      <c r="N130" s="851" t="s">
        <v>7062</v>
      </c>
      <c r="O130" s="54" t="s">
        <v>7039</v>
      </c>
      <c r="P130" s="852" t="s">
        <v>111</v>
      </c>
      <c r="Q130" s="851" t="s">
        <v>7048</v>
      </c>
      <c r="R130" s="851" t="s">
        <v>7048</v>
      </c>
      <c r="S130" s="24" t="s">
        <v>7041</v>
      </c>
      <c r="T130" s="90" t="s">
        <v>7042</v>
      </c>
      <c r="U130" s="852" t="s">
        <v>2359</v>
      </c>
      <c r="V130" s="852">
        <v>1</v>
      </c>
      <c r="W130" s="24" t="s">
        <v>7063</v>
      </c>
      <c r="X130" s="24" t="s">
        <v>7064</v>
      </c>
      <c r="Y130" s="30"/>
      <c r="Z130" s="30">
        <v>7</v>
      </c>
      <c r="AA130" s="30">
        <v>7</v>
      </c>
      <c r="AB130" s="59"/>
      <c r="AC130" s="59"/>
      <c r="AD130" s="852" t="s">
        <v>1104</v>
      </c>
      <c r="AE130" s="202" t="s">
        <v>1880</v>
      </c>
      <c r="AF130" s="133" t="s">
        <v>1880</v>
      </c>
      <c r="AG130" s="851"/>
    </row>
    <row r="131" spans="1:33" s="11" customFormat="1" ht="26.25" customHeight="1" x14ac:dyDescent="0.15">
      <c r="A131" s="8">
        <v>128</v>
      </c>
      <c r="B131" s="36" t="s">
        <v>7035</v>
      </c>
      <c r="C131" s="26" t="s">
        <v>19</v>
      </c>
      <c r="D131" s="26" t="s">
        <v>19</v>
      </c>
      <c r="E131" s="36" t="s">
        <v>7616</v>
      </c>
      <c r="F131" s="29" t="s">
        <v>7066</v>
      </c>
      <c r="G131" s="29" t="s">
        <v>7067</v>
      </c>
      <c r="H131" s="850" t="s">
        <v>2112</v>
      </c>
      <c r="I131" s="850" t="s">
        <v>1124</v>
      </c>
      <c r="J131" s="850" t="s">
        <v>1125</v>
      </c>
      <c r="K131" s="22" t="s">
        <v>7068</v>
      </c>
      <c r="L131" s="22" t="s">
        <v>7069</v>
      </c>
      <c r="M131" s="852" t="s">
        <v>111</v>
      </c>
      <c r="N131" s="851" t="s">
        <v>7070</v>
      </c>
      <c r="O131" s="54" t="s">
        <v>7071</v>
      </c>
      <c r="P131" s="852" t="s">
        <v>111</v>
      </c>
      <c r="Q131" s="851" t="s">
        <v>7072</v>
      </c>
      <c r="R131" s="851" t="s">
        <v>7072</v>
      </c>
      <c r="S131" s="24" t="s">
        <v>7041</v>
      </c>
      <c r="T131" s="90" t="s">
        <v>7073</v>
      </c>
      <c r="U131" s="852" t="s">
        <v>2359</v>
      </c>
      <c r="V131" s="852">
        <v>1</v>
      </c>
      <c r="W131" s="24" t="s">
        <v>7074</v>
      </c>
      <c r="X131" s="24" t="s">
        <v>7075</v>
      </c>
      <c r="Y131" s="30">
        <v>6.96</v>
      </c>
      <c r="Z131" s="30">
        <v>22</v>
      </c>
      <c r="AA131" s="30">
        <v>28.96</v>
      </c>
      <c r="AB131" s="59"/>
      <c r="AC131" s="59"/>
      <c r="AD131" s="852" t="s">
        <v>1104</v>
      </c>
      <c r="AE131" s="202" t="s">
        <v>1880</v>
      </c>
      <c r="AF131" s="133" t="s">
        <v>1880</v>
      </c>
      <c r="AG131" s="851"/>
    </row>
    <row r="132" spans="1:33" s="11" customFormat="1" ht="26.25" customHeight="1" x14ac:dyDescent="0.15">
      <c r="A132" s="8">
        <v>129</v>
      </c>
      <c r="B132" s="36" t="s">
        <v>7103</v>
      </c>
      <c r="C132" s="71" t="s">
        <v>7107</v>
      </c>
      <c r="D132" s="26" t="s">
        <v>19</v>
      </c>
      <c r="E132" s="36" t="s">
        <v>7766</v>
      </c>
      <c r="F132" s="29" t="s">
        <v>7082</v>
      </c>
      <c r="G132" s="29" t="s">
        <v>7081</v>
      </c>
      <c r="H132" s="854" t="s">
        <v>2908</v>
      </c>
      <c r="I132" s="854" t="s">
        <v>1540</v>
      </c>
      <c r="J132" s="854" t="s">
        <v>7080</v>
      </c>
      <c r="K132" s="22" t="s">
        <v>4780</v>
      </c>
      <c r="L132" s="22" t="s">
        <v>5431</v>
      </c>
      <c r="M132" s="856" t="s">
        <v>111</v>
      </c>
      <c r="N132" s="855" t="s">
        <v>1131</v>
      </c>
      <c r="O132" s="54" t="s">
        <v>7106</v>
      </c>
      <c r="P132" s="856" t="s">
        <v>111</v>
      </c>
      <c r="Q132" s="855" t="s">
        <v>446</v>
      </c>
      <c r="R132" s="855" t="s">
        <v>446</v>
      </c>
      <c r="S132" s="24" t="s">
        <v>7083</v>
      </c>
      <c r="T132" s="90" t="s">
        <v>7084</v>
      </c>
      <c r="U132" s="24" t="s">
        <v>108</v>
      </c>
      <c r="V132" s="24">
        <v>1</v>
      </c>
      <c r="W132" s="24" t="s">
        <v>7085</v>
      </c>
      <c r="X132" s="24" t="s">
        <v>448</v>
      </c>
      <c r="Y132" s="30">
        <v>26.509</v>
      </c>
      <c r="Z132" s="30"/>
      <c r="AA132" s="30">
        <v>26.509</v>
      </c>
      <c r="AB132" s="59"/>
      <c r="AC132" s="59"/>
      <c r="AD132" s="856" t="s">
        <v>1104</v>
      </c>
      <c r="AE132" s="202" t="s">
        <v>1880</v>
      </c>
      <c r="AF132" s="133" t="s">
        <v>1880</v>
      </c>
      <c r="AG132" s="920" t="s">
        <v>7366</v>
      </c>
    </row>
    <row r="133" spans="1:33" s="11" customFormat="1" ht="26.25" customHeight="1" x14ac:dyDescent="0.15">
      <c r="A133" s="8">
        <v>130</v>
      </c>
      <c r="B133" s="36" t="s">
        <v>7086</v>
      </c>
      <c r="C133" s="71" t="s">
        <v>111</v>
      </c>
      <c r="D133" s="26" t="s">
        <v>19</v>
      </c>
      <c r="E133" s="26" t="s">
        <v>19</v>
      </c>
      <c r="F133" s="29" t="s">
        <v>6009</v>
      </c>
      <c r="G133" s="29" t="s">
        <v>7089</v>
      </c>
      <c r="H133" s="857" t="s">
        <v>1449</v>
      </c>
      <c r="I133" s="857" t="s">
        <v>177</v>
      </c>
      <c r="J133" s="857" t="s">
        <v>3263</v>
      </c>
      <c r="K133" s="22" t="s">
        <v>1733</v>
      </c>
      <c r="L133" s="22" t="s">
        <v>5431</v>
      </c>
      <c r="M133" s="859" t="s">
        <v>111</v>
      </c>
      <c r="N133" s="858" t="s">
        <v>1131</v>
      </c>
      <c r="O133" s="54" t="s">
        <v>1819</v>
      </c>
      <c r="P133" s="859" t="s">
        <v>111</v>
      </c>
      <c r="Q133" s="858" t="s">
        <v>5487</v>
      </c>
      <c r="R133" s="858" t="s">
        <v>5487</v>
      </c>
      <c r="S133" s="24" t="s">
        <v>7090</v>
      </c>
      <c r="T133" s="90" t="s">
        <v>6003</v>
      </c>
      <c r="U133" s="24" t="s">
        <v>110</v>
      </c>
      <c r="V133" s="24">
        <v>2</v>
      </c>
      <c r="W133" s="24" t="s">
        <v>6799</v>
      </c>
      <c r="X133" s="24" t="s">
        <v>6848</v>
      </c>
      <c r="Y133" s="30"/>
      <c r="Z133" s="30">
        <v>6.8330000000000002</v>
      </c>
      <c r="AA133" s="30">
        <v>6.8330000000000002</v>
      </c>
      <c r="AB133" s="59"/>
      <c r="AC133" s="59"/>
      <c r="AD133" s="859" t="s">
        <v>1104</v>
      </c>
      <c r="AE133" s="202" t="s">
        <v>1880</v>
      </c>
      <c r="AF133" s="133" t="s">
        <v>1880</v>
      </c>
      <c r="AG133" s="858"/>
    </row>
    <row r="134" spans="1:33" s="11" customFormat="1" ht="26.25" customHeight="1" x14ac:dyDescent="0.15">
      <c r="A134" s="8">
        <v>131</v>
      </c>
      <c r="B134" s="36" t="s">
        <v>7087</v>
      </c>
      <c r="C134" s="71" t="s">
        <v>111</v>
      </c>
      <c r="D134" s="26" t="s">
        <v>19</v>
      </c>
      <c r="E134" s="26" t="s">
        <v>19</v>
      </c>
      <c r="F134" s="29" t="s">
        <v>6009</v>
      </c>
      <c r="G134" s="29" t="s">
        <v>7089</v>
      </c>
      <c r="H134" s="857" t="s">
        <v>1449</v>
      </c>
      <c r="I134" s="857" t="s">
        <v>177</v>
      </c>
      <c r="J134" s="857" t="s">
        <v>3264</v>
      </c>
      <c r="K134" s="22" t="s">
        <v>1732</v>
      </c>
      <c r="L134" s="22" t="s">
        <v>5431</v>
      </c>
      <c r="M134" s="859" t="s">
        <v>111</v>
      </c>
      <c r="N134" s="858" t="s">
        <v>1131</v>
      </c>
      <c r="O134" s="54" t="s">
        <v>851</v>
      </c>
      <c r="P134" s="859" t="s">
        <v>111</v>
      </c>
      <c r="Q134" s="858" t="s">
        <v>5487</v>
      </c>
      <c r="R134" s="858" t="s">
        <v>5487</v>
      </c>
      <c r="S134" s="24" t="s">
        <v>7090</v>
      </c>
      <c r="T134" s="90" t="s">
        <v>6003</v>
      </c>
      <c r="U134" s="24" t="s">
        <v>110</v>
      </c>
      <c r="V134" s="24">
        <v>2</v>
      </c>
      <c r="W134" s="24" t="s">
        <v>6799</v>
      </c>
      <c r="X134" s="24" t="s">
        <v>6848</v>
      </c>
      <c r="Y134" s="30"/>
      <c r="Z134" s="30">
        <v>6.8330000000000002</v>
      </c>
      <c r="AA134" s="30">
        <v>6.8330000000000002</v>
      </c>
      <c r="AB134" s="59"/>
      <c r="AC134" s="59"/>
      <c r="AD134" s="859" t="s">
        <v>1104</v>
      </c>
      <c r="AE134" s="202" t="s">
        <v>1880</v>
      </c>
      <c r="AF134" s="133" t="s">
        <v>1880</v>
      </c>
      <c r="AG134" s="858"/>
    </row>
    <row r="135" spans="1:33" s="11" customFormat="1" ht="26.25" customHeight="1" x14ac:dyDescent="0.15">
      <c r="A135" s="8">
        <v>132</v>
      </c>
      <c r="B135" s="36" t="s">
        <v>7088</v>
      </c>
      <c r="C135" s="71" t="s">
        <v>111</v>
      </c>
      <c r="D135" s="26" t="s">
        <v>19</v>
      </c>
      <c r="E135" s="26" t="s">
        <v>19</v>
      </c>
      <c r="F135" s="29" t="s">
        <v>6009</v>
      </c>
      <c r="G135" s="29" t="s">
        <v>7089</v>
      </c>
      <c r="H135" s="857" t="s">
        <v>1449</v>
      </c>
      <c r="I135" s="857" t="s">
        <v>177</v>
      </c>
      <c r="J135" s="857" t="s">
        <v>3273</v>
      </c>
      <c r="K135" s="22" t="s">
        <v>1734</v>
      </c>
      <c r="L135" s="22" t="s">
        <v>5431</v>
      </c>
      <c r="M135" s="859" t="s">
        <v>111</v>
      </c>
      <c r="N135" s="858" t="s">
        <v>1131</v>
      </c>
      <c r="O135" s="54" t="s">
        <v>851</v>
      </c>
      <c r="P135" s="859" t="s">
        <v>111</v>
      </c>
      <c r="Q135" s="858" t="s">
        <v>5487</v>
      </c>
      <c r="R135" s="858" t="s">
        <v>5487</v>
      </c>
      <c r="S135" s="24" t="s">
        <v>7090</v>
      </c>
      <c r="T135" s="90" t="s">
        <v>6003</v>
      </c>
      <c r="U135" s="24" t="s">
        <v>110</v>
      </c>
      <c r="V135" s="24">
        <v>2</v>
      </c>
      <c r="W135" s="24" t="s">
        <v>6799</v>
      </c>
      <c r="X135" s="24" t="s">
        <v>6848</v>
      </c>
      <c r="Y135" s="30"/>
      <c r="Z135" s="30">
        <v>6.8330000000000002</v>
      </c>
      <c r="AA135" s="30">
        <v>6.8330000000000002</v>
      </c>
      <c r="AB135" s="59"/>
      <c r="AC135" s="59"/>
      <c r="AD135" s="859" t="s">
        <v>1104</v>
      </c>
      <c r="AE135" s="202" t="s">
        <v>1880</v>
      </c>
      <c r="AF135" s="133" t="s">
        <v>1880</v>
      </c>
      <c r="AG135" s="858"/>
    </row>
    <row r="136" spans="1:33" s="11" customFormat="1" ht="26.25" customHeight="1" x14ac:dyDescent="0.15">
      <c r="A136" s="8">
        <v>133</v>
      </c>
      <c r="B136" s="36" t="s">
        <v>7091</v>
      </c>
      <c r="C136" s="859" t="s">
        <v>111</v>
      </c>
      <c r="D136" s="859" t="s">
        <v>111</v>
      </c>
      <c r="E136" s="859" t="s">
        <v>111</v>
      </c>
      <c r="F136" s="54" t="s">
        <v>4133</v>
      </c>
      <c r="G136" s="98" t="s">
        <v>7092</v>
      </c>
      <c r="H136" s="859" t="s">
        <v>2135</v>
      </c>
      <c r="I136" s="859" t="s">
        <v>2533</v>
      </c>
      <c r="J136" s="21" t="s">
        <v>4134</v>
      </c>
      <c r="K136" s="858" t="s">
        <v>4135</v>
      </c>
      <c r="L136" s="859" t="s">
        <v>1826</v>
      </c>
      <c r="M136" s="859" t="s">
        <v>111</v>
      </c>
      <c r="N136" s="859" t="s">
        <v>1818</v>
      </c>
      <c r="O136" s="151" t="s">
        <v>1819</v>
      </c>
      <c r="P136" s="22" t="s">
        <v>1880</v>
      </c>
      <c r="Q136" s="858" t="s">
        <v>5487</v>
      </c>
      <c r="R136" s="858" t="s">
        <v>5487</v>
      </c>
      <c r="S136" s="24" t="s">
        <v>7090</v>
      </c>
      <c r="T136" s="90" t="s">
        <v>6003</v>
      </c>
      <c r="U136" s="859" t="s">
        <v>2359</v>
      </c>
      <c r="V136" s="24">
        <v>2</v>
      </c>
      <c r="W136" s="24" t="s">
        <v>6799</v>
      </c>
      <c r="X136" s="24" t="s">
        <v>6848</v>
      </c>
      <c r="Y136" s="30"/>
      <c r="Z136" s="30">
        <v>6.8330000000000002</v>
      </c>
      <c r="AA136" s="30">
        <v>6.8330000000000002</v>
      </c>
      <c r="AB136" s="59"/>
      <c r="AC136" s="59"/>
      <c r="AD136" s="35" t="s">
        <v>1104</v>
      </c>
      <c r="AE136" s="202" t="s">
        <v>19</v>
      </c>
      <c r="AF136" s="35" t="s">
        <v>1880</v>
      </c>
      <c r="AG136" s="858"/>
    </row>
    <row r="137" spans="1:33" s="11" customFormat="1" ht="26.25" customHeight="1" x14ac:dyDescent="0.15">
      <c r="A137" s="8">
        <v>134</v>
      </c>
      <c r="B137" s="36" t="s">
        <v>7104</v>
      </c>
      <c r="C137" s="859" t="s">
        <v>111</v>
      </c>
      <c r="D137" s="859" t="s">
        <v>111</v>
      </c>
      <c r="E137" s="859" t="s">
        <v>111</v>
      </c>
      <c r="F137" s="54" t="s">
        <v>4141</v>
      </c>
      <c r="G137" s="98" t="s">
        <v>7093</v>
      </c>
      <c r="H137" s="859" t="s">
        <v>2135</v>
      </c>
      <c r="I137" s="859" t="s">
        <v>2533</v>
      </c>
      <c r="J137" s="21" t="s">
        <v>4143</v>
      </c>
      <c r="K137" s="858" t="s">
        <v>4144</v>
      </c>
      <c r="L137" s="859" t="s">
        <v>1826</v>
      </c>
      <c r="M137" s="859" t="s">
        <v>111</v>
      </c>
      <c r="N137" s="859" t="s">
        <v>1818</v>
      </c>
      <c r="O137" s="151" t="s">
        <v>1819</v>
      </c>
      <c r="P137" s="22" t="s">
        <v>1880</v>
      </c>
      <c r="Q137" s="858" t="s">
        <v>5487</v>
      </c>
      <c r="R137" s="858" t="s">
        <v>5487</v>
      </c>
      <c r="S137" s="24" t="s">
        <v>7090</v>
      </c>
      <c r="T137" s="90" t="s">
        <v>6003</v>
      </c>
      <c r="U137" s="859" t="s">
        <v>2359</v>
      </c>
      <c r="V137" s="24">
        <v>2</v>
      </c>
      <c r="W137" s="24" t="s">
        <v>6799</v>
      </c>
      <c r="X137" s="24" t="s">
        <v>6848</v>
      </c>
      <c r="Y137" s="30"/>
      <c r="Z137" s="30">
        <v>6.8330000000000002</v>
      </c>
      <c r="AA137" s="30">
        <v>6.8330000000000002</v>
      </c>
      <c r="AB137" s="59"/>
      <c r="AC137" s="59"/>
      <c r="AD137" s="35" t="s">
        <v>1104</v>
      </c>
      <c r="AE137" s="202" t="s">
        <v>19</v>
      </c>
      <c r="AF137" s="35" t="s">
        <v>1880</v>
      </c>
      <c r="AG137" s="858"/>
    </row>
    <row r="138" spans="1:33" s="11" customFormat="1" ht="26.25" customHeight="1" x14ac:dyDescent="0.15">
      <c r="A138" s="8">
        <v>135</v>
      </c>
      <c r="B138" s="36" t="s">
        <v>7105</v>
      </c>
      <c r="C138" s="859" t="s">
        <v>111</v>
      </c>
      <c r="D138" s="859" t="s">
        <v>111</v>
      </c>
      <c r="E138" s="859" t="s">
        <v>111</v>
      </c>
      <c r="F138" s="54" t="s">
        <v>5389</v>
      </c>
      <c r="G138" s="98" t="s">
        <v>5504</v>
      </c>
      <c r="H138" s="859" t="s">
        <v>2135</v>
      </c>
      <c r="I138" s="859" t="s">
        <v>2533</v>
      </c>
      <c r="J138" s="21" t="s">
        <v>5390</v>
      </c>
      <c r="K138" s="859" t="s">
        <v>1138</v>
      </c>
      <c r="L138" s="859" t="s">
        <v>2142</v>
      </c>
      <c r="M138" s="859" t="s">
        <v>111</v>
      </c>
      <c r="N138" s="859" t="s">
        <v>2422</v>
      </c>
      <c r="O138" s="151" t="s">
        <v>1819</v>
      </c>
      <c r="P138" s="22" t="s">
        <v>1880</v>
      </c>
      <c r="Q138" s="858" t="s">
        <v>5487</v>
      </c>
      <c r="R138" s="858" t="s">
        <v>5487</v>
      </c>
      <c r="S138" s="24" t="s">
        <v>7090</v>
      </c>
      <c r="T138" s="90" t="s">
        <v>6003</v>
      </c>
      <c r="U138" s="859" t="s">
        <v>2359</v>
      </c>
      <c r="V138" s="24">
        <v>2</v>
      </c>
      <c r="W138" s="24" t="s">
        <v>6799</v>
      </c>
      <c r="X138" s="24" t="s">
        <v>6848</v>
      </c>
      <c r="Y138" s="30"/>
      <c r="Z138" s="30">
        <v>6.8330000000000002</v>
      </c>
      <c r="AA138" s="30">
        <v>6.8330000000000002</v>
      </c>
      <c r="AB138" s="59"/>
      <c r="AC138" s="59"/>
      <c r="AD138" s="35" t="s">
        <v>1104</v>
      </c>
      <c r="AE138" s="202" t="s">
        <v>19</v>
      </c>
      <c r="AF138" s="35" t="s">
        <v>1880</v>
      </c>
      <c r="AG138" s="804"/>
    </row>
    <row r="139" spans="1:33" s="11" customFormat="1" ht="26.25" customHeight="1" x14ac:dyDescent="0.15">
      <c r="A139" s="8">
        <v>136</v>
      </c>
      <c r="B139" s="36" t="s">
        <v>7094</v>
      </c>
      <c r="C139" s="71" t="s">
        <v>7109</v>
      </c>
      <c r="D139" s="859" t="s">
        <v>111</v>
      </c>
      <c r="E139" s="36" t="s">
        <v>7608</v>
      </c>
      <c r="F139" s="29" t="s">
        <v>6895</v>
      </c>
      <c r="G139" s="29" t="s">
        <v>7096</v>
      </c>
      <c r="H139" s="860" t="s">
        <v>4195</v>
      </c>
      <c r="I139" s="860" t="s">
        <v>5359</v>
      </c>
      <c r="J139" s="860" t="s">
        <v>7108</v>
      </c>
      <c r="K139" s="861" t="s">
        <v>1138</v>
      </c>
      <c r="L139" s="861" t="s">
        <v>2142</v>
      </c>
      <c r="M139" s="861" t="s">
        <v>111</v>
      </c>
      <c r="N139" s="862" t="s">
        <v>2422</v>
      </c>
      <c r="O139" s="54" t="s">
        <v>7098</v>
      </c>
      <c r="P139" s="22" t="s">
        <v>1880</v>
      </c>
      <c r="Q139" s="858" t="s">
        <v>7100</v>
      </c>
      <c r="R139" s="860" t="s">
        <v>7100</v>
      </c>
      <c r="S139" s="24" t="s">
        <v>7101</v>
      </c>
      <c r="T139" s="90" t="s">
        <v>7102</v>
      </c>
      <c r="U139" s="24" t="s">
        <v>108</v>
      </c>
      <c r="V139" s="24">
        <v>1</v>
      </c>
      <c r="W139" s="24" t="s">
        <v>5711</v>
      </c>
      <c r="X139" s="24" t="s">
        <v>448</v>
      </c>
      <c r="Y139" s="30">
        <v>17.28</v>
      </c>
      <c r="Z139" s="30"/>
      <c r="AA139" s="30">
        <v>17.28</v>
      </c>
      <c r="AB139" s="59"/>
      <c r="AC139" s="59"/>
      <c r="AD139" s="35" t="s">
        <v>1104</v>
      </c>
      <c r="AE139" s="202" t="s">
        <v>19</v>
      </c>
      <c r="AF139" s="35" t="s">
        <v>1880</v>
      </c>
      <c r="AG139" s="858"/>
    </row>
    <row r="140" spans="1:33" s="11" customFormat="1" ht="26.25" customHeight="1" x14ac:dyDescent="0.15">
      <c r="A140" s="8">
        <v>137</v>
      </c>
      <c r="B140" s="36" t="s">
        <v>7095</v>
      </c>
      <c r="C140" s="71" t="s">
        <v>7110</v>
      </c>
      <c r="D140" s="859" t="s">
        <v>111</v>
      </c>
      <c r="E140" s="859" t="s">
        <v>111</v>
      </c>
      <c r="F140" s="29" t="s">
        <v>6895</v>
      </c>
      <c r="G140" s="29" t="s">
        <v>7096</v>
      </c>
      <c r="H140" s="860" t="s">
        <v>4195</v>
      </c>
      <c r="I140" s="860" t="s">
        <v>5359</v>
      </c>
      <c r="J140" s="860" t="s">
        <v>7097</v>
      </c>
      <c r="K140" s="861" t="s">
        <v>1138</v>
      </c>
      <c r="L140" s="861" t="s">
        <v>2142</v>
      </c>
      <c r="M140" s="861" t="s">
        <v>111</v>
      </c>
      <c r="N140" s="860" t="s">
        <v>445</v>
      </c>
      <c r="O140" s="54" t="s">
        <v>7099</v>
      </c>
      <c r="P140" s="22" t="s">
        <v>1880</v>
      </c>
      <c r="Q140" s="860" t="s">
        <v>7100</v>
      </c>
      <c r="R140" s="860" t="s">
        <v>7100</v>
      </c>
      <c r="S140" s="24" t="s">
        <v>7101</v>
      </c>
      <c r="T140" s="90" t="s">
        <v>7102</v>
      </c>
      <c r="U140" s="24" t="s">
        <v>108</v>
      </c>
      <c r="V140" s="24">
        <v>1</v>
      </c>
      <c r="W140" s="24" t="s">
        <v>448</v>
      </c>
      <c r="X140" s="24" t="s">
        <v>448</v>
      </c>
      <c r="Y140" s="30">
        <v>7.5</v>
      </c>
      <c r="Z140" s="30"/>
      <c r="AA140" s="30">
        <v>7.5</v>
      </c>
      <c r="AB140" s="59"/>
      <c r="AC140" s="59"/>
      <c r="AD140" s="35" t="s">
        <v>1104</v>
      </c>
      <c r="AE140" s="202" t="s">
        <v>19</v>
      </c>
      <c r="AF140" s="35" t="s">
        <v>1880</v>
      </c>
      <c r="AG140" s="858"/>
    </row>
    <row r="141" spans="1:33" s="11" customFormat="1" ht="26.25" customHeight="1" x14ac:dyDescent="0.15">
      <c r="A141" s="8">
        <v>138</v>
      </c>
      <c r="B141" s="36" t="s">
        <v>7111</v>
      </c>
      <c r="C141" s="71" t="s">
        <v>7113</v>
      </c>
      <c r="D141" s="864" t="s">
        <v>111</v>
      </c>
      <c r="E141" s="611" t="s">
        <v>7697</v>
      </c>
      <c r="F141" s="29" t="s">
        <v>6895</v>
      </c>
      <c r="G141" s="29" t="s">
        <v>7096</v>
      </c>
      <c r="H141" s="863" t="s">
        <v>4195</v>
      </c>
      <c r="I141" s="863" t="s">
        <v>4701</v>
      </c>
      <c r="J141" s="863" t="s">
        <v>7115</v>
      </c>
      <c r="K141" s="22" t="s">
        <v>7116</v>
      </c>
      <c r="L141" s="863" t="s">
        <v>5431</v>
      </c>
      <c r="M141" s="864" t="s">
        <v>111</v>
      </c>
      <c r="N141" s="863" t="s">
        <v>1131</v>
      </c>
      <c r="O141" s="54" t="s">
        <v>2192</v>
      </c>
      <c r="P141" s="22" t="s">
        <v>1880</v>
      </c>
      <c r="Q141" s="863" t="s">
        <v>5480</v>
      </c>
      <c r="R141" s="863" t="s">
        <v>5480</v>
      </c>
      <c r="S141" s="24" t="s">
        <v>7117</v>
      </c>
      <c r="T141" s="90" t="s">
        <v>7118</v>
      </c>
      <c r="U141" s="24" t="s">
        <v>108</v>
      </c>
      <c r="V141" s="24">
        <v>1</v>
      </c>
      <c r="W141" s="24" t="s">
        <v>7119</v>
      </c>
      <c r="X141" s="24" t="s">
        <v>448</v>
      </c>
      <c r="Y141" s="30">
        <v>38.96</v>
      </c>
      <c r="Z141" s="30"/>
      <c r="AA141" s="30">
        <v>38.96</v>
      </c>
      <c r="AB141" s="59"/>
      <c r="AC141" s="59"/>
      <c r="AD141" s="35" t="s">
        <v>1104</v>
      </c>
      <c r="AE141" s="202" t="s">
        <v>19</v>
      </c>
      <c r="AF141" s="35" t="s">
        <v>1880</v>
      </c>
      <c r="AG141" s="863"/>
    </row>
    <row r="142" spans="1:33" s="11" customFormat="1" ht="26.25" customHeight="1" x14ac:dyDescent="0.15">
      <c r="A142" s="8">
        <v>139</v>
      </c>
      <c r="B142" s="36" t="s">
        <v>7112</v>
      </c>
      <c r="C142" s="71" t="s">
        <v>7114</v>
      </c>
      <c r="D142" s="864" t="s">
        <v>111</v>
      </c>
      <c r="E142" s="864" t="s">
        <v>111</v>
      </c>
      <c r="F142" s="29" t="s">
        <v>6895</v>
      </c>
      <c r="G142" s="29" t="s">
        <v>7096</v>
      </c>
      <c r="H142" s="863" t="s">
        <v>4195</v>
      </c>
      <c r="I142" s="863" t="s">
        <v>4701</v>
      </c>
      <c r="J142" s="863" t="s">
        <v>7115</v>
      </c>
      <c r="K142" s="22" t="s">
        <v>7116</v>
      </c>
      <c r="L142" s="863" t="s">
        <v>5431</v>
      </c>
      <c r="M142" s="864" t="s">
        <v>111</v>
      </c>
      <c r="N142" s="863" t="s">
        <v>445</v>
      </c>
      <c r="O142" s="54" t="s">
        <v>4534</v>
      </c>
      <c r="P142" s="22" t="s">
        <v>1880</v>
      </c>
      <c r="Q142" s="863" t="s">
        <v>5480</v>
      </c>
      <c r="R142" s="863" t="s">
        <v>5480</v>
      </c>
      <c r="S142" s="24" t="s">
        <v>7117</v>
      </c>
      <c r="T142" s="90" t="s">
        <v>7118</v>
      </c>
      <c r="U142" s="24" t="s">
        <v>108</v>
      </c>
      <c r="V142" s="24">
        <v>1</v>
      </c>
      <c r="W142" s="24" t="s">
        <v>448</v>
      </c>
      <c r="X142" s="24" t="s">
        <v>448</v>
      </c>
      <c r="Y142" s="30">
        <v>4.62</v>
      </c>
      <c r="Z142" s="30"/>
      <c r="AA142" s="30">
        <v>4.62</v>
      </c>
      <c r="AB142" s="59"/>
      <c r="AC142" s="59"/>
      <c r="AD142" s="35" t="s">
        <v>1104</v>
      </c>
      <c r="AE142" s="202" t="s">
        <v>19</v>
      </c>
      <c r="AF142" s="35" t="s">
        <v>1880</v>
      </c>
      <c r="AG142" s="863"/>
    </row>
    <row r="143" spans="1:33" s="11" customFormat="1" ht="26.25" customHeight="1" x14ac:dyDescent="0.15">
      <c r="A143" s="8">
        <v>140</v>
      </c>
      <c r="B143" s="36" t="s">
        <v>7120</v>
      </c>
      <c r="C143" s="867" t="s">
        <v>111</v>
      </c>
      <c r="D143" s="867" t="s">
        <v>111</v>
      </c>
      <c r="E143" s="36" t="s">
        <v>7365</v>
      </c>
      <c r="F143" s="29" t="s">
        <v>7122</v>
      </c>
      <c r="G143" s="53" t="s">
        <v>6661</v>
      </c>
      <c r="H143" s="865" t="s">
        <v>7124</v>
      </c>
      <c r="I143" s="865" t="s">
        <v>7125</v>
      </c>
      <c r="J143" s="865" t="s">
        <v>7126</v>
      </c>
      <c r="K143" s="865" t="s">
        <v>7127</v>
      </c>
      <c r="L143" s="866" t="s">
        <v>5431</v>
      </c>
      <c r="M143" s="867" t="s">
        <v>111</v>
      </c>
      <c r="N143" s="866" t="s">
        <v>1131</v>
      </c>
      <c r="O143" s="54" t="s">
        <v>2192</v>
      </c>
      <c r="P143" s="22" t="s">
        <v>1880</v>
      </c>
      <c r="Q143" s="866" t="s">
        <v>5480</v>
      </c>
      <c r="R143" s="866" t="s">
        <v>5480</v>
      </c>
      <c r="S143" s="24" t="s">
        <v>7128</v>
      </c>
      <c r="T143" s="90" t="s">
        <v>7129</v>
      </c>
      <c r="U143" s="24" t="s">
        <v>108</v>
      </c>
      <c r="V143" s="24">
        <v>1</v>
      </c>
      <c r="W143" s="24" t="s">
        <v>5710</v>
      </c>
      <c r="X143" s="24" t="s">
        <v>448</v>
      </c>
      <c r="Y143" s="30">
        <v>32.700000000000003</v>
      </c>
      <c r="Z143" s="30"/>
      <c r="AA143" s="30">
        <v>32.700000000000003</v>
      </c>
      <c r="AB143" s="59"/>
      <c r="AC143" s="59"/>
      <c r="AD143" s="35" t="s">
        <v>1104</v>
      </c>
      <c r="AE143" s="202" t="s">
        <v>19</v>
      </c>
      <c r="AF143" s="35" t="s">
        <v>1880</v>
      </c>
      <c r="AG143" s="866"/>
    </row>
    <row r="144" spans="1:33" s="11" customFormat="1" ht="26.25" customHeight="1" x14ac:dyDescent="0.15">
      <c r="A144" s="8">
        <v>141</v>
      </c>
      <c r="B144" s="36" t="s">
        <v>7121</v>
      </c>
      <c r="C144" s="867" t="s">
        <v>111</v>
      </c>
      <c r="D144" s="867" t="s">
        <v>111</v>
      </c>
      <c r="E144" s="867" t="s">
        <v>111</v>
      </c>
      <c r="F144" s="29" t="s">
        <v>7122</v>
      </c>
      <c r="G144" s="53" t="s">
        <v>7123</v>
      </c>
      <c r="H144" s="865" t="s">
        <v>7124</v>
      </c>
      <c r="I144" s="865" t="s">
        <v>7125</v>
      </c>
      <c r="J144" s="865" t="s">
        <v>7126</v>
      </c>
      <c r="K144" s="865" t="s">
        <v>7127</v>
      </c>
      <c r="L144" s="866" t="s">
        <v>5431</v>
      </c>
      <c r="M144" s="867" t="s">
        <v>111</v>
      </c>
      <c r="N144" s="866" t="s">
        <v>445</v>
      </c>
      <c r="O144" s="54" t="s">
        <v>4534</v>
      </c>
      <c r="P144" s="22" t="s">
        <v>1880</v>
      </c>
      <c r="Q144" s="866" t="s">
        <v>5480</v>
      </c>
      <c r="R144" s="866" t="s">
        <v>5480</v>
      </c>
      <c r="S144" s="24" t="s">
        <v>7128</v>
      </c>
      <c r="T144" s="90" t="s">
        <v>7129</v>
      </c>
      <c r="U144" s="24" t="s">
        <v>108</v>
      </c>
      <c r="V144" s="24">
        <v>1</v>
      </c>
      <c r="W144" s="24" t="s">
        <v>448</v>
      </c>
      <c r="X144" s="24" t="s">
        <v>448</v>
      </c>
      <c r="Y144" s="30">
        <v>2.8</v>
      </c>
      <c r="Z144" s="30"/>
      <c r="AA144" s="30">
        <v>2.8</v>
      </c>
      <c r="AB144" s="59"/>
      <c r="AC144" s="59"/>
      <c r="AD144" s="35" t="s">
        <v>1104</v>
      </c>
      <c r="AE144" s="202" t="s">
        <v>19</v>
      </c>
      <c r="AF144" s="35" t="s">
        <v>1880</v>
      </c>
      <c r="AG144" s="866"/>
    </row>
    <row r="145" spans="1:33" s="11" customFormat="1" ht="33" customHeight="1" x14ac:dyDescent="0.15">
      <c r="A145" s="8">
        <v>142</v>
      </c>
      <c r="B145" s="36" t="s">
        <v>7130</v>
      </c>
      <c r="C145" s="867" t="s">
        <v>111</v>
      </c>
      <c r="D145" s="867" t="s">
        <v>111</v>
      </c>
      <c r="E145" s="611" t="s">
        <v>7701</v>
      </c>
      <c r="F145" s="29" t="s">
        <v>7131</v>
      </c>
      <c r="G145" s="53" t="s">
        <v>7132</v>
      </c>
      <c r="H145" s="865" t="s">
        <v>7133</v>
      </c>
      <c r="I145" s="865" t="s">
        <v>7134</v>
      </c>
      <c r="J145" s="865" t="s">
        <v>7135</v>
      </c>
      <c r="K145" s="22" t="s">
        <v>4780</v>
      </c>
      <c r="L145" s="866" t="s">
        <v>5431</v>
      </c>
      <c r="M145" s="867" t="s">
        <v>7142</v>
      </c>
      <c r="N145" s="866" t="s">
        <v>7136</v>
      </c>
      <c r="O145" s="54" t="s">
        <v>7137</v>
      </c>
      <c r="P145" s="22" t="s">
        <v>1880</v>
      </c>
      <c r="Q145" s="866" t="s">
        <v>7138</v>
      </c>
      <c r="R145" s="866" t="s">
        <v>7138</v>
      </c>
      <c r="S145" s="24" t="s">
        <v>7128</v>
      </c>
      <c r="T145" s="90" t="s">
        <v>7139</v>
      </c>
      <c r="U145" s="24" t="s">
        <v>7140</v>
      </c>
      <c r="V145" s="24">
        <v>1</v>
      </c>
      <c r="W145" s="24" t="s">
        <v>7141</v>
      </c>
      <c r="X145" s="24" t="s">
        <v>448</v>
      </c>
      <c r="Y145" s="30">
        <v>53.22</v>
      </c>
      <c r="Z145" s="30"/>
      <c r="AA145" s="30">
        <v>53.22</v>
      </c>
      <c r="AB145" s="59"/>
      <c r="AC145" s="59"/>
      <c r="AD145" s="35" t="s">
        <v>1104</v>
      </c>
      <c r="AE145" s="202" t="s">
        <v>19</v>
      </c>
      <c r="AF145" s="35" t="s">
        <v>1880</v>
      </c>
      <c r="AG145" s="866"/>
    </row>
    <row r="146" spans="1:33" s="11" customFormat="1" ht="26.25" customHeight="1" x14ac:dyDescent="0.15">
      <c r="A146" s="8">
        <v>143</v>
      </c>
      <c r="B146" s="36" t="s">
        <v>7143</v>
      </c>
      <c r="C146" s="71" t="s">
        <v>7145</v>
      </c>
      <c r="D146" s="870" t="s">
        <v>111</v>
      </c>
      <c r="E146" s="870" t="s">
        <v>111</v>
      </c>
      <c r="F146" s="29" t="s">
        <v>7146</v>
      </c>
      <c r="G146" s="53" t="s">
        <v>7147</v>
      </c>
      <c r="H146" s="868" t="s">
        <v>4195</v>
      </c>
      <c r="I146" s="868" t="s">
        <v>4196</v>
      </c>
      <c r="J146" s="868" t="s">
        <v>7148</v>
      </c>
      <c r="K146" s="22" t="s">
        <v>7149</v>
      </c>
      <c r="L146" s="869" t="s">
        <v>5431</v>
      </c>
      <c r="M146" s="870" t="s">
        <v>111</v>
      </c>
      <c r="N146" s="869" t="s">
        <v>6692</v>
      </c>
      <c r="O146" s="54" t="s">
        <v>5567</v>
      </c>
      <c r="P146" s="22" t="s">
        <v>1880</v>
      </c>
      <c r="Q146" s="866" t="s">
        <v>7150</v>
      </c>
      <c r="R146" s="866" t="s">
        <v>7150</v>
      </c>
      <c r="S146" s="24" t="s">
        <v>7151</v>
      </c>
      <c r="T146" s="90" t="s">
        <v>7152</v>
      </c>
      <c r="U146" s="24" t="s">
        <v>108</v>
      </c>
      <c r="V146" s="24">
        <v>1</v>
      </c>
      <c r="W146" s="24" t="s">
        <v>448</v>
      </c>
      <c r="X146" s="24" t="s">
        <v>448</v>
      </c>
      <c r="Y146" s="30">
        <v>18.5</v>
      </c>
      <c r="Z146" s="30"/>
      <c r="AA146" s="30">
        <v>18.5</v>
      </c>
      <c r="AB146" s="59"/>
      <c r="AC146" s="59"/>
      <c r="AD146" s="35" t="s">
        <v>1104</v>
      </c>
      <c r="AE146" s="202" t="s">
        <v>19</v>
      </c>
      <c r="AF146" s="35" t="s">
        <v>1880</v>
      </c>
      <c r="AG146" s="866"/>
    </row>
    <row r="147" spans="1:33" s="11" customFormat="1" ht="26.25" customHeight="1" x14ac:dyDescent="0.15">
      <c r="A147" s="8">
        <v>144</v>
      </c>
      <c r="B147" s="36" t="s">
        <v>7144</v>
      </c>
      <c r="C147" s="870" t="s">
        <v>111</v>
      </c>
      <c r="D147" s="870" t="s">
        <v>111</v>
      </c>
      <c r="E147" s="870" t="s">
        <v>111</v>
      </c>
      <c r="F147" s="29" t="s">
        <v>7153</v>
      </c>
      <c r="G147" s="53" t="s">
        <v>7154</v>
      </c>
      <c r="H147" s="868" t="s">
        <v>4208</v>
      </c>
      <c r="I147" s="868" t="s">
        <v>2419</v>
      </c>
      <c r="J147" s="868" t="s">
        <v>7155</v>
      </c>
      <c r="K147" s="22" t="s">
        <v>7156</v>
      </c>
      <c r="L147" s="870" t="s">
        <v>2142</v>
      </c>
      <c r="M147" s="870" t="s">
        <v>111</v>
      </c>
      <c r="N147" s="866" t="s">
        <v>7157</v>
      </c>
      <c r="O147" s="54" t="s">
        <v>6020</v>
      </c>
      <c r="P147" s="22" t="s">
        <v>1880</v>
      </c>
      <c r="Q147" s="869" t="s">
        <v>7150</v>
      </c>
      <c r="R147" s="869" t="s">
        <v>7150</v>
      </c>
      <c r="S147" s="24" t="s">
        <v>7151</v>
      </c>
      <c r="T147" s="90" t="s">
        <v>7158</v>
      </c>
      <c r="U147" s="24" t="s">
        <v>110</v>
      </c>
      <c r="V147" s="24">
        <v>2</v>
      </c>
      <c r="W147" s="24" t="s">
        <v>448</v>
      </c>
      <c r="X147" s="24" t="s">
        <v>448</v>
      </c>
      <c r="Y147" s="30">
        <v>4.5</v>
      </c>
      <c r="Z147" s="30"/>
      <c r="AA147" s="30">
        <v>4.5</v>
      </c>
      <c r="AB147" s="59"/>
      <c r="AC147" s="59"/>
      <c r="AD147" s="35" t="s">
        <v>1104</v>
      </c>
      <c r="AE147" s="202" t="s">
        <v>19</v>
      </c>
      <c r="AF147" s="35" t="s">
        <v>1880</v>
      </c>
      <c r="AG147" s="866"/>
    </row>
    <row r="148" spans="1:33" s="11" customFormat="1" ht="26.25" customHeight="1" x14ac:dyDescent="0.15">
      <c r="A148" s="8">
        <v>145</v>
      </c>
      <c r="B148" s="36" t="s">
        <v>7159</v>
      </c>
      <c r="C148" s="71" t="s">
        <v>7160</v>
      </c>
      <c r="D148" s="873" t="s">
        <v>111</v>
      </c>
      <c r="E148" s="611" t="s">
        <v>7579</v>
      </c>
      <c r="F148" s="29" t="s">
        <v>7161</v>
      </c>
      <c r="G148" s="53" t="s">
        <v>7162</v>
      </c>
      <c r="H148" s="871" t="s">
        <v>4195</v>
      </c>
      <c r="I148" s="871" t="s">
        <v>4196</v>
      </c>
      <c r="J148" s="871" t="s">
        <v>7163</v>
      </c>
      <c r="K148" s="22" t="s">
        <v>7164</v>
      </c>
      <c r="L148" s="872" t="s">
        <v>5431</v>
      </c>
      <c r="M148" s="873" t="s">
        <v>111</v>
      </c>
      <c r="N148" s="872" t="s">
        <v>2848</v>
      </c>
      <c r="O148" s="54" t="s">
        <v>1739</v>
      </c>
      <c r="P148" s="22" t="s">
        <v>1880</v>
      </c>
      <c r="Q148" s="872" t="s">
        <v>5487</v>
      </c>
      <c r="R148" s="872" t="s">
        <v>5487</v>
      </c>
      <c r="S148" s="24" t="s">
        <v>7165</v>
      </c>
      <c r="T148" s="90" t="s">
        <v>7166</v>
      </c>
      <c r="U148" s="24" t="s">
        <v>110</v>
      </c>
      <c r="V148" s="24">
        <v>1</v>
      </c>
      <c r="W148" s="24" t="s">
        <v>448</v>
      </c>
      <c r="X148" s="24" t="s">
        <v>448</v>
      </c>
      <c r="Y148" s="30">
        <v>48.5</v>
      </c>
      <c r="Z148" s="30"/>
      <c r="AA148" s="30">
        <v>48.5</v>
      </c>
      <c r="AB148" s="59"/>
      <c r="AC148" s="59"/>
      <c r="AD148" s="35" t="s">
        <v>1104</v>
      </c>
      <c r="AE148" s="202" t="s">
        <v>19</v>
      </c>
      <c r="AF148" s="35" t="s">
        <v>1880</v>
      </c>
      <c r="AG148" s="866"/>
    </row>
    <row r="149" spans="1:33" s="11" customFormat="1" ht="26.25" customHeight="1" x14ac:dyDescent="0.15">
      <c r="A149" s="8">
        <v>146</v>
      </c>
      <c r="B149" s="36" t="s">
        <v>7167</v>
      </c>
      <c r="C149" s="876" t="s">
        <v>111</v>
      </c>
      <c r="D149" s="876" t="s">
        <v>7168</v>
      </c>
      <c r="E149" s="876" t="s">
        <v>111</v>
      </c>
      <c r="F149" s="29" t="s">
        <v>7170</v>
      </c>
      <c r="G149" s="53" t="s">
        <v>6789</v>
      </c>
      <c r="H149" s="874" t="s">
        <v>4791</v>
      </c>
      <c r="I149" s="874" t="s">
        <v>3101</v>
      </c>
      <c r="J149" s="874" t="s">
        <v>6641</v>
      </c>
      <c r="K149" s="22" t="s">
        <v>7169</v>
      </c>
      <c r="L149" s="875" t="s">
        <v>5431</v>
      </c>
      <c r="M149" s="876" t="s">
        <v>111</v>
      </c>
      <c r="N149" s="875" t="s">
        <v>7171</v>
      </c>
      <c r="O149" s="54" t="s">
        <v>7172</v>
      </c>
      <c r="P149" s="22" t="s">
        <v>1880</v>
      </c>
      <c r="Q149" s="875" t="s">
        <v>7173</v>
      </c>
      <c r="R149" s="875" t="s">
        <v>446</v>
      </c>
      <c r="S149" s="24" t="s">
        <v>7174</v>
      </c>
      <c r="T149" s="90" t="s">
        <v>7175</v>
      </c>
      <c r="U149" s="24" t="s">
        <v>110</v>
      </c>
      <c r="V149" s="24">
        <v>1</v>
      </c>
      <c r="W149" s="24" t="s">
        <v>448</v>
      </c>
      <c r="X149" s="24" t="s">
        <v>448</v>
      </c>
      <c r="Y149" s="30">
        <v>1.52</v>
      </c>
      <c r="Z149" s="30"/>
      <c r="AA149" s="30">
        <v>1.52</v>
      </c>
      <c r="AB149" s="59"/>
      <c r="AC149" s="59"/>
      <c r="AD149" s="35" t="s">
        <v>1104</v>
      </c>
      <c r="AE149" s="202" t="s">
        <v>19</v>
      </c>
      <c r="AF149" s="35" t="s">
        <v>1880</v>
      </c>
      <c r="AG149" s="875"/>
    </row>
    <row r="150" spans="1:33" s="11" customFormat="1" ht="26.25" customHeight="1" x14ac:dyDescent="0.15">
      <c r="A150" s="8">
        <v>147</v>
      </c>
      <c r="B150" s="36" t="s">
        <v>7176</v>
      </c>
      <c r="C150" s="878" t="s">
        <v>111</v>
      </c>
      <c r="D150" s="878" t="s">
        <v>111</v>
      </c>
      <c r="E150" s="878" t="s">
        <v>111</v>
      </c>
      <c r="F150" s="29" t="s">
        <v>7177</v>
      </c>
      <c r="G150" s="53" t="s">
        <v>7178</v>
      </c>
      <c r="H150" s="878" t="s">
        <v>1881</v>
      </c>
      <c r="I150" s="878" t="s">
        <v>2437</v>
      </c>
      <c r="J150" s="22" t="s">
        <v>1951</v>
      </c>
      <c r="K150" s="878" t="s">
        <v>5905</v>
      </c>
      <c r="L150" s="878" t="s">
        <v>1826</v>
      </c>
      <c r="M150" s="878" t="s">
        <v>111</v>
      </c>
      <c r="N150" s="878" t="s">
        <v>1818</v>
      </c>
      <c r="O150" s="151" t="s">
        <v>1819</v>
      </c>
      <c r="P150" s="22" t="s">
        <v>1880</v>
      </c>
      <c r="Q150" s="221" t="s">
        <v>3248</v>
      </c>
      <c r="R150" s="877" t="s">
        <v>3248</v>
      </c>
      <c r="S150" s="24" t="s">
        <v>7179</v>
      </c>
      <c r="T150" s="90" t="s">
        <v>7180</v>
      </c>
      <c r="U150" s="878" t="s">
        <v>2359</v>
      </c>
      <c r="V150" s="878">
        <v>1</v>
      </c>
      <c r="W150" s="366" t="s">
        <v>7181</v>
      </c>
      <c r="X150" s="211" t="s">
        <v>7182</v>
      </c>
      <c r="Y150" s="30"/>
      <c r="Z150" s="30">
        <v>5.2</v>
      </c>
      <c r="AA150" s="30">
        <v>5.2</v>
      </c>
      <c r="AB150" s="59"/>
      <c r="AC150" s="59"/>
      <c r="AD150" s="35" t="s">
        <v>1104</v>
      </c>
      <c r="AE150" s="202" t="s">
        <v>19</v>
      </c>
      <c r="AF150" s="35" t="s">
        <v>1880</v>
      </c>
      <c r="AG150" s="877"/>
    </row>
    <row r="151" spans="1:33" s="11" customFormat="1" ht="26.25" customHeight="1" x14ac:dyDescent="0.15">
      <c r="A151" s="8">
        <v>148</v>
      </c>
      <c r="B151" s="36" t="s">
        <v>7183</v>
      </c>
      <c r="C151" s="881" t="s">
        <v>111</v>
      </c>
      <c r="D151" s="881" t="s">
        <v>111</v>
      </c>
      <c r="E151" s="881" t="s">
        <v>111</v>
      </c>
      <c r="F151" s="29" t="s">
        <v>7184</v>
      </c>
      <c r="G151" s="53" t="s">
        <v>7185</v>
      </c>
      <c r="H151" s="18" t="s">
        <v>1449</v>
      </c>
      <c r="I151" s="18" t="s">
        <v>7186</v>
      </c>
      <c r="J151" s="879" t="s">
        <v>7187</v>
      </c>
      <c r="K151" s="881" t="s">
        <v>7188</v>
      </c>
      <c r="L151" s="22" t="s">
        <v>7189</v>
      </c>
      <c r="M151" s="881" t="s">
        <v>111</v>
      </c>
      <c r="N151" s="881" t="s">
        <v>1818</v>
      </c>
      <c r="O151" s="54" t="s">
        <v>2192</v>
      </c>
      <c r="P151" s="22" t="s">
        <v>1880</v>
      </c>
      <c r="Q151" s="880" t="s">
        <v>7190</v>
      </c>
      <c r="R151" s="880" t="s">
        <v>7190</v>
      </c>
      <c r="S151" s="24" t="s">
        <v>7191</v>
      </c>
      <c r="T151" s="90" t="s">
        <v>7192</v>
      </c>
      <c r="U151" s="881" t="s">
        <v>2359</v>
      </c>
      <c r="V151" s="881">
        <v>1</v>
      </c>
      <c r="W151" s="24" t="s">
        <v>7193</v>
      </c>
      <c r="X151" s="24" t="s">
        <v>448</v>
      </c>
      <c r="Y151" s="30">
        <v>35.299999999999997</v>
      </c>
      <c r="Z151" s="30"/>
      <c r="AA151" s="30">
        <v>35.299999999999997</v>
      </c>
      <c r="AB151" s="59"/>
      <c r="AC151" s="59"/>
      <c r="AD151" s="35" t="s">
        <v>1104</v>
      </c>
      <c r="AE151" s="202" t="s">
        <v>19</v>
      </c>
      <c r="AF151" s="35" t="s">
        <v>1880</v>
      </c>
      <c r="AG151" s="880"/>
    </row>
    <row r="152" spans="1:33" s="11" customFormat="1" ht="26.25" customHeight="1" x14ac:dyDescent="0.15">
      <c r="A152" s="8">
        <v>149</v>
      </c>
      <c r="B152" s="36" t="s">
        <v>7197</v>
      </c>
      <c r="C152" s="885" t="s">
        <v>111</v>
      </c>
      <c r="D152" s="885" t="s">
        <v>111</v>
      </c>
      <c r="E152" s="885" t="s">
        <v>111</v>
      </c>
      <c r="F152" s="29" t="s">
        <v>3543</v>
      </c>
      <c r="G152" s="53" t="s">
        <v>7200</v>
      </c>
      <c r="H152" s="1" t="s">
        <v>23</v>
      </c>
      <c r="I152" s="1" t="s">
        <v>177</v>
      </c>
      <c r="J152" s="1" t="s">
        <v>4966</v>
      </c>
      <c r="K152" s="22" t="s">
        <v>3545</v>
      </c>
      <c r="L152" s="885" t="s">
        <v>1826</v>
      </c>
      <c r="M152" s="885" t="s">
        <v>111</v>
      </c>
      <c r="N152" s="884" t="s">
        <v>102</v>
      </c>
      <c r="O152" s="89" t="s">
        <v>851</v>
      </c>
      <c r="P152" s="885" t="s">
        <v>111</v>
      </c>
      <c r="Q152" s="884" t="s">
        <v>1151</v>
      </c>
      <c r="R152" s="884" t="s">
        <v>1151</v>
      </c>
      <c r="S152" s="24" t="s">
        <v>7203</v>
      </c>
      <c r="T152" s="90" t="s">
        <v>7204</v>
      </c>
      <c r="U152" s="885" t="s">
        <v>2359</v>
      </c>
      <c r="V152" s="885">
        <v>1</v>
      </c>
      <c r="W152" s="24" t="s">
        <v>6495</v>
      </c>
      <c r="X152" s="24" t="s">
        <v>4430</v>
      </c>
      <c r="Y152" s="30"/>
      <c r="Z152" s="30">
        <v>9.6</v>
      </c>
      <c r="AA152" s="30">
        <v>9.6</v>
      </c>
      <c r="AB152" s="59"/>
      <c r="AC152" s="59"/>
      <c r="AD152" s="885" t="s">
        <v>1104</v>
      </c>
      <c r="AE152" s="202" t="s">
        <v>1880</v>
      </c>
      <c r="AF152" s="133" t="s">
        <v>1880</v>
      </c>
      <c r="AG152" s="884"/>
    </row>
    <row r="153" spans="1:33" s="11" customFormat="1" ht="26.25" customHeight="1" x14ac:dyDescent="0.15">
      <c r="A153" s="8">
        <v>150</v>
      </c>
      <c r="B153" s="36" t="s">
        <v>7198</v>
      </c>
      <c r="C153" s="885" t="s">
        <v>111</v>
      </c>
      <c r="D153" s="885" t="s">
        <v>111</v>
      </c>
      <c r="E153" s="885" t="s">
        <v>111</v>
      </c>
      <c r="F153" s="29" t="s">
        <v>3547</v>
      </c>
      <c r="G153" s="53" t="s">
        <v>7201</v>
      </c>
      <c r="H153" s="1" t="s">
        <v>23</v>
      </c>
      <c r="I153" s="1" t="s">
        <v>177</v>
      </c>
      <c r="J153" s="1" t="s">
        <v>4969</v>
      </c>
      <c r="K153" s="22" t="s">
        <v>3550</v>
      </c>
      <c r="L153" s="885" t="s">
        <v>1826</v>
      </c>
      <c r="M153" s="885" t="s">
        <v>111</v>
      </c>
      <c r="N153" s="884" t="s">
        <v>102</v>
      </c>
      <c r="O153" s="89" t="s">
        <v>851</v>
      </c>
      <c r="P153" s="885" t="s">
        <v>111</v>
      </c>
      <c r="Q153" s="884" t="s">
        <v>1151</v>
      </c>
      <c r="R153" s="884" t="s">
        <v>1151</v>
      </c>
      <c r="S153" s="24" t="s">
        <v>7203</v>
      </c>
      <c r="T153" s="90" t="s">
        <v>7204</v>
      </c>
      <c r="U153" s="885" t="s">
        <v>2359</v>
      </c>
      <c r="V153" s="885">
        <v>1</v>
      </c>
      <c r="W153" s="24" t="s">
        <v>6495</v>
      </c>
      <c r="X153" s="24" t="s">
        <v>4430</v>
      </c>
      <c r="Y153" s="30"/>
      <c r="Z153" s="30">
        <v>9.6</v>
      </c>
      <c r="AA153" s="30">
        <v>9.6</v>
      </c>
      <c r="AB153" s="59"/>
      <c r="AC153" s="59"/>
      <c r="AD153" s="885" t="s">
        <v>1104</v>
      </c>
      <c r="AE153" s="202" t="s">
        <v>1880</v>
      </c>
      <c r="AF153" s="133" t="s">
        <v>1880</v>
      </c>
      <c r="AG153" s="884"/>
    </row>
    <row r="154" spans="1:33" s="11" customFormat="1" ht="26.25" customHeight="1" x14ac:dyDescent="0.15">
      <c r="A154" s="8">
        <v>151</v>
      </c>
      <c r="B154" s="36" t="s">
        <v>7199</v>
      </c>
      <c r="C154" s="885" t="s">
        <v>111</v>
      </c>
      <c r="D154" s="885" t="s">
        <v>111</v>
      </c>
      <c r="E154" s="885" t="s">
        <v>111</v>
      </c>
      <c r="F154" s="294" t="s">
        <v>3539</v>
      </c>
      <c r="G154" s="53" t="s">
        <v>7202</v>
      </c>
      <c r="H154" s="1" t="s">
        <v>23</v>
      </c>
      <c r="I154" s="142" t="s">
        <v>177</v>
      </c>
      <c r="J154" s="1" t="s">
        <v>5008</v>
      </c>
      <c r="K154" s="1" t="s">
        <v>5009</v>
      </c>
      <c r="L154" s="885" t="s">
        <v>1826</v>
      </c>
      <c r="M154" s="885" t="s">
        <v>111</v>
      </c>
      <c r="N154" s="884" t="s">
        <v>102</v>
      </c>
      <c r="O154" s="89" t="s">
        <v>851</v>
      </c>
      <c r="P154" s="885" t="s">
        <v>111</v>
      </c>
      <c r="Q154" s="884" t="s">
        <v>1151</v>
      </c>
      <c r="R154" s="884" t="s">
        <v>1151</v>
      </c>
      <c r="S154" s="24" t="s">
        <v>7203</v>
      </c>
      <c r="T154" s="90" t="s">
        <v>7204</v>
      </c>
      <c r="U154" s="885" t="s">
        <v>2359</v>
      </c>
      <c r="V154" s="885">
        <v>1</v>
      </c>
      <c r="W154" s="24" t="s">
        <v>6495</v>
      </c>
      <c r="X154" s="24" t="s">
        <v>4430</v>
      </c>
      <c r="Y154" s="30"/>
      <c r="Z154" s="30">
        <v>9.6</v>
      </c>
      <c r="AA154" s="30">
        <v>9.6</v>
      </c>
      <c r="AB154" s="59"/>
      <c r="AC154" s="59"/>
      <c r="AD154" s="885" t="s">
        <v>1104</v>
      </c>
      <c r="AE154" s="202" t="s">
        <v>1880</v>
      </c>
      <c r="AF154" s="133" t="s">
        <v>1880</v>
      </c>
      <c r="AG154" s="884"/>
    </row>
    <row r="155" spans="1:33" s="11" customFormat="1" ht="26.25" customHeight="1" x14ac:dyDescent="0.15">
      <c r="A155" s="8">
        <v>152</v>
      </c>
      <c r="B155" s="36" t="s">
        <v>7206</v>
      </c>
      <c r="C155" s="888" t="s">
        <v>111</v>
      </c>
      <c r="D155" s="888" t="s">
        <v>111</v>
      </c>
      <c r="E155" s="888" t="s">
        <v>111</v>
      </c>
      <c r="F155" s="294" t="s">
        <v>5127</v>
      </c>
      <c r="G155" s="53" t="s">
        <v>5128</v>
      </c>
      <c r="H155" s="886" t="s">
        <v>1147</v>
      </c>
      <c r="I155" s="302" t="s">
        <v>2437</v>
      </c>
      <c r="J155" s="886" t="s">
        <v>3491</v>
      </c>
      <c r="K155" s="886" t="s">
        <v>2466</v>
      </c>
      <c r="L155" s="22" t="s">
        <v>2142</v>
      </c>
      <c r="M155" s="888" t="s">
        <v>1880</v>
      </c>
      <c r="N155" s="22" t="s">
        <v>2422</v>
      </c>
      <c r="O155" s="54" t="s">
        <v>7207</v>
      </c>
      <c r="P155" s="888" t="s">
        <v>111</v>
      </c>
      <c r="Q155" s="887" t="s">
        <v>1152</v>
      </c>
      <c r="R155" s="887" t="s">
        <v>1152</v>
      </c>
      <c r="S155" s="24" t="s">
        <v>7208</v>
      </c>
      <c r="T155" s="90" t="s">
        <v>7243</v>
      </c>
      <c r="U155" s="896" t="s">
        <v>2359</v>
      </c>
      <c r="V155" s="896">
        <v>2</v>
      </c>
      <c r="W155" s="24" t="s">
        <v>7244</v>
      </c>
      <c r="X155" s="24" t="s">
        <v>4430</v>
      </c>
      <c r="Y155" s="30"/>
      <c r="Z155" s="30">
        <v>4</v>
      </c>
      <c r="AA155" s="30">
        <v>4</v>
      </c>
      <c r="AB155" s="59"/>
      <c r="AC155" s="59"/>
      <c r="AD155" s="35" t="s">
        <v>1104</v>
      </c>
      <c r="AE155" s="202" t="s">
        <v>19</v>
      </c>
      <c r="AF155" s="35" t="s">
        <v>1880</v>
      </c>
      <c r="AG155" s="887"/>
    </row>
    <row r="156" spans="1:33" s="11" customFormat="1" ht="26.25" customHeight="1" x14ac:dyDescent="0.15">
      <c r="A156" s="8">
        <v>153</v>
      </c>
      <c r="B156" s="36" t="s">
        <v>7209</v>
      </c>
      <c r="C156" s="888" t="s">
        <v>111</v>
      </c>
      <c r="D156" s="888" t="s">
        <v>111</v>
      </c>
      <c r="E156" s="888" t="s">
        <v>111</v>
      </c>
      <c r="F156" s="29" t="s">
        <v>7212</v>
      </c>
      <c r="G156" s="53" t="s">
        <v>7213</v>
      </c>
      <c r="H156" s="892" t="s">
        <v>2475</v>
      </c>
      <c r="I156" s="302" t="s">
        <v>1789</v>
      </c>
      <c r="J156" s="892" t="s">
        <v>3902</v>
      </c>
      <c r="K156" s="888" t="s">
        <v>7214</v>
      </c>
      <c r="L156" s="22" t="s">
        <v>7215</v>
      </c>
      <c r="M156" s="894" t="s">
        <v>1880</v>
      </c>
      <c r="N156" s="887" t="s">
        <v>7216</v>
      </c>
      <c r="O156" s="54" t="s">
        <v>5638</v>
      </c>
      <c r="P156" s="894" t="s">
        <v>111</v>
      </c>
      <c r="Q156" s="887" t="s">
        <v>7210</v>
      </c>
      <c r="R156" s="887" t="s">
        <v>7210</v>
      </c>
      <c r="S156" s="24" t="s">
        <v>7217</v>
      </c>
      <c r="T156" s="90" t="s">
        <v>7218</v>
      </c>
      <c r="U156" s="894" t="s">
        <v>2359</v>
      </c>
      <c r="V156" s="894">
        <v>1</v>
      </c>
      <c r="W156" s="24" t="s">
        <v>7219</v>
      </c>
      <c r="X156" s="24" t="s">
        <v>7220</v>
      </c>
      <c r="Y156" s="30"/>
      <c r="Z156" s="30">
        <v>10</v>
      </c>
      <c r="AA156" s="30">
        <v>10</v>
      </c>
      <c r="AB156" s="59"/>
      <c r="AC156" s="59"/>
      <c r="AD156" s="35" t="s">
        <v>1104</v>
      </c>
      <c r="AE156" s="202" t="s">
        <v>19</v>
      </c>
      <c r="AF156" s="35" t="s">
        <v>1880</v>
      </c>
      <c r="AG156" s="54" t="s">
        <v>7221</v>
      </c>
    </row>
    <row r="157" spans="1:33" s="11" customFormat="1" ht="45" customHeight="1" x14ac:dyDescent="0.15">
      <c r="A157" s="8">
        <v>154</v>
      </c>
      <c r="B157" s="36" t="s">
        <v>7222</v>
      </c>
      <c r="C157" s="891" t="s">
        <v>111</v>
      </c>
      <c r="D157" s="891" t="s">
        <v>111</v>
      </c>
      <c r="E157" s="611" t="s">
        <v>8596</v>
      </c>
      <c r="F157" s="29" t="s">
        <v>7225</v>
      </c>
      <c r="G157" s="53" t="s">
        <v>7226</v>
      </c>
      <c r="H157" s="889" t="s">
        <v>4691</v>
      </c>
      <c r="I157" s="889" t="s">
        <v>6836</v>
      </c>
      <c r="J157" s="892" t="s">
        <v>7227</v>
      </c>
      <c r="K157" s="894" t="s">
        <v>7214</v>
      </c>
      <c r="L157" s="22" t="s">
        <v>7215</v>
      </c>
      <c r="M157" s="894" t="s">
        <v>1880</v>
      </c>
      <c r="N157" s="893" t="s">
        <v>7228</v>
      </c>
      <c r="O157" s="54" t="s">
        <v>5731</v>
      </c>
      <c r="P157" s="894" t="s">
        <v>111</v>
      </c>
      <c r="Q157" s="890" t="s">
        <v>7211</v>
      </c>
      <c r="R157" s="890" t="s">
        <v>7211</v>
      </c>
      <c r="S157" s="24" t="s">
        <v>7217</v>
      </c>
      <c r="T157" s="90" t="s">
        <v>7229</v>
      </c>
      <c r="U157" s="24" t="s">
        <v>108</v>
      </c>
      <c r="V157" s="24">
        <v>1</v>
      </c>
      <c r="W157" s="24" t="s">
        <v>448</v>
      </c>
      <c r="X157" s="24" t="s">
        <v>448</v>
      </c>
      <c r="Y157" s="30">
        <v>3.8228</v>
      </c>
      <c r="Z157" s="30"/>
      <c r="AA157" s="30">
        <v>3.8228</v>
      </c>
      <c r="AB157" s="59"/>
      <c r="AC157" s="59"/>
      <c r="AD157" s="35" t="s">
        <v>1104</v>
      </c>
      <c r="AE157" s="202" t="s">
        <v>19</v>
      </c>
      <c r="AF157" s="35" t="s">
        <v>1880</v>
      </c>
      <c r="AG157" s="890"/>
    </row>
    <row r="158" spans="1:33" s="11" customFormat="1" ht="81.75" customHeight="1" x14ac:dyDescent="0.15">
      <c r="A158" s="8">
        <v>155</v>
      </c>
      <c r="B158" s="36" t="s">
        <v>7223</v>
      </c>
      <c r="C158" s="894" t="s">
        <v>111</v>
      </c>
      <c r="D158" s="894" t="s">
        <v>111</v>
      </c>
      <c r="E158" s="611" t="s">
        <v>8597</v>
      </c>
      <c r="F158" s="29" t="s">
        <v>7225</v>
      </c>
      <c r="G158" s="53" t="s">
        <v>7226</v>
      </c>
      <c r="H158" s="895" t="s">
        <v>4691</v>
      </c>
      <c r="I158" s="892" t="s">
        <v>6836</v>
      </c>
      <c r="J158" s="892" t="s">
        <v>7227</v>
      </c>
      <c r="K158" s="894" t="s">
        <v>7214</v>
      </c>
      <c r="L158" s="22" t="s">
        <v>7215</v>
      </c>
      <c r="M158" s="894" t="s">
        <v>1880</v>
      </c>
      <c r="N158" s="893" t="s">
        <v>7216</v>
      </c>
      <c r="O158" s="54" t="s">
        <v>2192</v>
      </c>
      <c r="P158" s="894" t="s">
        <v>111</v>
      </c>
      <c r="Q158" s="893" t="s">
        <v>5571</v>
      </c>
      <c r="R158" s="893" t="s">
        <v>5571</v>
      </c>
      <c r="S158" s="24" t="s">
        <v>7217</v>
      </c>
      <c r="T158" s="90" t="s">
        <v>7229</v>
      </c>
      <c r="U158" s="24" t="s">
        <v>108</v>
      </c>
      <c r="V158" s="24">
        <v>1</v>
      </c>
      <c r="W158" s="24" t="s">
        <v>5710</v>
      </c>
      <c r="X158" s="24" t="s">
        <v>448</v>
      </c>
      <c r="Y158" s="30">
        <v>66.627700000000004</v>
      </c>
      <c r="Z158" s="30"/>
      <c r="AA158" s="30">
        <v>66.627700000000004</v>
      </c>
      <c r="AB158" s="59"/>
      <c r="AC158" s="59"/>
      <c r="AD158" s="35" t="s">
        <v>1104</v>
      </c>
      <c r="AE158" s="202" t="s">
        <v>19</v>
      </c>
      <c r="AF158" s="35" t="s">
        <v>1880</v>
      </c>
      <c r="AG158" s="893"/>
    </row>
    <row r="159" spans="1:33" s="11" customFormat="1" ht="45" customHeight="1" x14ac:dyDescent="0.15">
      <c r="A159" s="8">
        <v>156</v>
      </c>
      <c r="B159" s="36" t="s">
        <v>7224</v>
      </c>
      <c r="C159" s="894" t="s">
        <v>111</v>
      </c>
      <c r="D159" s="894" t="s">
        <v>111</v>
      </c>
      <c r="E159" s="611" t="s">
        <v>8598</v>
      </c>
      <c r="F159" s="29" t="s">
        <v>7225</v>
      </c>
      <c r="G159" s="53" t="s">
        <v>7226</v>
      </c>
      <c r="H159" s="895" t="s">
        <v>4691</v>
      </c>
      <c r="I159" s="892" t="s">
        <v>6836</v>
      </c>
      <c r="J159" s="892" t="s">
        <v>7227</v>
      </c>
      <c r="K159" s="894" t="s">
        <v>7214</v>
      </c>
      <c r="L159" s="22" t="s">
        <v>7215</v>
      </c>
      <c r="M159" s="894" t="s">
        <v>1880</v>
      </c>
      <c r="N159" s="893" t="s">
        <v>7230</v>
      </c>
      <c r="O159" s="54" t="s">
        <v>7241</v>
      </c>
      <c r="P159" s="894" t="s">
        <v>111</v>
      </c>
      <c r="Q159" s="893" t="s">
        <v>5571</v>
      </c>
      <c r="R159" s="893" t="s">
        <v>5571</v>
      </c>
      <c r="S159" s="24" t="s">
        <v>7217</v>
      </c>
      <c r="T159" s="90" t="s">
        <v>7229</v>
      </c>
      <c r="U159" s="24" t="s">
        <v>108</v>
      </c>
      <c r="V159" s="24">
        <v>1</v>
      </c>
      <c r="W159" s="24" t="s">
        <v>448</v>
      </c>
      <c r="X159" s="24" t="s">
        <v>448</v>
      </c>
      <c r="Y159" s="30">
        <v>2.3494999999999999</v>
      </c>
      <c r="Z159" s="30"/>
      <c r="AA159" s="30">
        <v>2.3494999999999999</v>
      </c>
      <c r="AB159" s="59"/>
      <c r="AC159" s="59"/>
      <c r="AD159" s="35" t="s">
        <v>1104</v>
      </c>
      <c r="AE159" s="202" t="s">
        <v>19</v>
      </c>
      <c r="AF159" s="35" t="s">
        <v>1880</v>
      </c>
      <c r="AG159" s="893"/>
    </row>
    <row r="160" spans="1:33" s="11" customFormat="1" ht="26.25" customHeight="1" x14ac:dyDescent="0.15">
      <c r="A160" s="8">
        <v>157</v>
      </c>
      <c r="B160" s="36" t="s">
        <v>7231</v>
      </c>
      <c r="C160" s="71" t="s">
        <v>7233</v>
      </c>
      <c r="D160" s="894" t="s">
        <v>111</v>
      </c>
      <c r="E160" s="894" t="s">
        <v>111</v>
      </c>
      <c r="F160" s="29" t="s">
        <v>6378</v>
      </c>
      <c r="G160" s="53" t="s">
        <v>7238</v>
      </c>
      <c r="H160" s="893" t="s">
        <v>6360</v>
      </c>
      <c r="I160" s="893" t="s">
        <v>1124</v>
      </c>
      <c r="J160" s="893" t="s">
        <v>7235</v>
      </c>
      <c r="K160" s="894" t="s">
        <v>7214</v>
      </c>
      <c r="L160" s="22" t="s">
        <v>7215</v>
      </c>
      <c r="M160" s="894" t="s">
        <v>1880</v>
      </c>
      <c r="N160" s="893" t="s">
        <v>1131</v>
      </c>
      <c r="O160" s="54" t="s">
        <v>7237</v>
      </c>
      <c r="P160" s="894" t="s">
        <v>111</v>
      </c>
      <c r="Q160" s="893" t="s">
        <v>7239</v>
      </c>
      <c r="R160" s="893" t="s">
        <v>7239</v>
      </c>
      <c r="S160" s="24" t="s">
        <v>7240</v>
      </c>
      <c r="T160" s="90" t="s">
        <v>7218</v>
      </c>
      <c r="U160" s="894" t="s">
        <v>2359</v>
      </c>
      <c r="V160" s="894">
        <v>1</v>
      </c>
      <c r="W160" s="24" t="s">
        <v>448</v>
      </c>
      <c r="X160" s="24" t="s">
        <v>448</v>
      </c>
      <c r="Y160" s="30">
        <v>22.8</v>
      </c>
      <c r="Z160" s="30"/>
      <c r="AA160" s="30">
        <v>22.8</v>
      </c>
      <c r="AB160" s="59"/>
      <c r="AC160" s="59"/>
      <c r="AD160" s="35" t="s">
        <v>1104</v>
      </c>
      <c r="AE160" s="202" t="s">
        <v>19</v>
      </c>
      <c r="AF160" s="35" t="s">
        <v>1880</v>
      </c>
      <c r="AG160" s="893"/>
    </row>
    <row r="161" spans="1:33" s="11" customFormat="1" ht="26.25" customHeight="1" x14ac:dyDescent="0.15">
      <c r="A161" s="8">
        <v>158</v>
      </c>
      <c r="B161" s="36" t="s">
        <v>7232</v>
      </c>
      <c r="C161" s="71" t="s">
        <v>7234</v>
      </c>
      <c r="D161" s="894" t="s">
        <v>111</v>
      </c>
      <c r="E161" s="894" t="s">
        <v>111</v>
      </c>
      <c r="F161" s="29" t="s">
        <v>6378</v>
      </c>
      <c r="G161" s="53" t="s">
        <v>7238</v>
      </c>
      <c r="H161" s="893" t="s">
        <v>2112</v>
      </c>
      <c r="I161" s="893" t="s">
        <v>1124</v>
      </c>
      <c r="J161" s="893" t="s">
        <v>7236</v>
      </c>
      <c r="K161" s="894" t="s">
        <v>7214</v>
      </c>
      <c r="L161" s="22" t="s">
        <v>7215</v>
      </c>
      <c r="M161" s="894" t="s">
        <v>1880</v>
      </c>
      <c r="N161" s="893" t="s">
        <v>1131</v>
      </c>
      <c r="O161" s="54" t="s">
        <v>7237</v>
      </c>
      <c r="P161" s="894" t="s">
        <v>111</v>
      </c>
      <c r="Q161" s="893" t="s">
        <v>7239</v>
      </c>
      <c r="R161" s="893" t="s">
        <v>7239</v>
      </c>
      <c r="S161" s="24" t="s">
        <v>7240</v>
      </c>
      <c r="T161" s="90" t="s">
        <v>7218</v>
      </c>
      <c r="U161" s="894" t="s">
        <v>2359</v>
      </c>
      <c r="V161" s="894">
        <v>1</v>
      </c>
      <c r="W161" s="24" t="s">
        <v>448</v>
      </c>
      <c r="X161" s="24" t="s">
        <v>448</v>
      </c>
      <c r="Y161" s="30">
        <v>22.8</v>
      </c>
      <c r="Z161" s="30"/>
      <c r="AA161" s="30">
        <v>22.8</v>
      </c>
      <c r="AB161" s="59"/>
      <c r="AC161" s="59"/>
      <c r="AD161" s="35" t="s">
        <v>1104</v>
      </c>
      <c r="AE161" s="202" t="s">
        <v>19</v>
      </c>
      <c r="AF161" s="35" t="s">
        <v>1880</v>
      </c>
      <c r="AG161" s="887"/>
    </row>
    <row r="162" spans="1:33" s="11" customFormat="1" ht="26.25" customHeight="1" x14ac:dyDescent="0.15">
      <c r="A162" s="8">
        <v>159</v>
      </c>
      <c r="B162" s="36" t="s">
        <v>7245</v>
      </c>
      <c r="C162" s="898" t="s">
        <v>111</v>
      </c>
      <c r="D162" s="898" t="s">
        <v>111</v>
      </c>
      <c r="E162" s="898" t="s">
        <v>111</v>
      </c>
      <c r="F162" s="29" t="s">
        <v>7249</v>
      </c>
      <c r="G162" s="53" t="s">
        <v>7250</v>
      </c>
      <c r="H162" s="1" t="s">
        <v>1457</v>
      </c>
      <c r="I162" s="142" t="s">
        <v>167</v>
      </c>
      <c r="J162" s="1" t="s">
        <v>5843</v>
      </c>
      <c r="K162" s="22" t="s">
        <v>5844</v>
      </c>
      <c r="L162" s="898" t="s">
        <v>1826</v>
      </c>
      <c r="M162" s="898" t="s">
        <v>111</v>
      </c>
      <c r="N162" s="897" t="s">
        <v>1131</v>
      </c>
      <c r="O162" s="899" t="s">
        <v>7251</v>
      </c>
      <c r="P162" s="898" t="s">
        <v>111</v>
      </c>
      <c r="Q162" s="897" t="s">
        <v>7252</v>
      </c>
      <c r="R162" s="897" t="s">
        <v>7252</v>
      </c>
      <c r="S162" s="24" t="s">
        <v>7253</v>
      </c>
      <c r="T162" s="90" t="s">
        <v>7254</v>
      </c>
      <c r="U162" s="898" t="s">
        <v>2359</v>
      </c>
      <c r="V162" s="898">
        <v>1</v>
      </c>
      <c r="W162" s="24" t="s">
        <v>448</v>
      </c>
      <c r="X162" s="24" t="s">
        <v>448</v>
      </c>
      <c r="Y162" s="30">
        <v>3</v>
      </c>
      <c r="Z162" s="30"/>
      <c r="AA162" s="30">
        <v>3</v>
      </c>
      <c r="AB162" s="59"/>
      <c r="AC162" s="59"/>
      <c r="AD162" s="35" t="s">
        <v>1104</v>
      </c>
      <c r="AE162" s="202" t="s">
        <v>19</v>
      </c>
      <c r="AF162" s="35" t="s">
        <v>1880</v>
      </c>
      <c r="AG162" s="897"/>
    </row>
    <row r="163" spans="1:33" s="11" customFormat="1" ht="26.25" customHeight="1" x14ac:dyDescent="0.15">
      <c r="A163" s="8">
        <v>160</v>
      </c>
      <c r="B163" s="36" t="s">
        <v>7246</v>
      </c>
      <c r="C163" s="898" t="s">
        <v>111</v>
      </c>
      <c r="D163" s="898" t="s">
        <v>111</v>
      </c>
      <c r="E163" s="898" t="s">
        <v>111</v>
      </c>
      <c r="F163" s="29" t="s">
        <v>7249</v>
      </c>
      <c r="G163" s="53" t="s">
        <v>7250</v>
      </c>
      <c r="H163" s="1" t="s">
        <v>1457</v>
      </c>
      <c r="I163" s="142" t="s">
        <v>167</v>
      </c>
      <c r="J163" s="1" t="s">
        <v>5848</v>
      </c>
      <c r="K163" s="22" t="s">
        <v>5847</v>
      </c>
      <c r="L163" s="898" t="s">
        <v>1826</v>
      </c>
      <c r="M163" s="898" t="s">
        <v>111</v>
      </c>
      <c r="N163" s="897" t="s">
        <v>1131</v>
      </c>
      <c r="O163" s="899" t="s">
        <v>7251</v>
      </c>
      <c r="P163" s="898" t="s">
        <v>111</v>
      </c>
      <c r="Q163" s="897" t="s">
        <v>7252</v>
      </c>
      <c r="R163" s="897" t="s">
        <v>7252</v>
      </c>
      <c r="S163" s="24" t="s">
        <v>7253</v>
      </c>
      <c r="T163" s="90" t="s">
        <v>7254</v>
      </c>
      <c r="U163" s="898" t="s">
        <v>2359</v>
      </c>
      <c r="V163" s="898">
        <v>1</v>
      </c>
      <c r="W163" s="24" t="s">
        <v>448</v>
      </c>
      <c r="X163" s="24" t="s">
        <v>448</v>
      </c>
      <c r="Y163" s="30">
        <v>3</v>
      </c>
      <c r="Z163" s="30"/>
      <c r="AA163" s="30">
        <v>3</v>
      </c>
      <c r="AB163" s="59"/>
      <c r="AC163" s="59"/>
      <c r="AD163" s="35" t="s">
        <v>1104</v>
      </c>
      <c r="AE163" s="202" t="s">
        <v>19</v>
      </c>
      <c r="AF163" s="35" t="s">
        <v>1880</v>
      </c>
      <c r="AG163" s="897"/>
    </row>
    <row r="164" spans="1:33" s="11" customFormat="1" ht="26.25" customHeight="1" x14ac:dyDescent="0.15">
      <c r="A164" s="8">
        <v>161</v>
      </c>
      <c r="B164" s="36" t="s">
        <v>7247</v>
      </c>
      <c r="C164" s="898" t="s">
        <v>111</v>
      </c>
      <c r="D164" s="898" t="s">
        <v>111</v>
      </c>
      <c r="E164" s="898" t="s">
        <v>111</v>
      </c>
      <c r="F164" s="29" t="s">
        <v>7249</v>
      </c>
      <c r="G164" s="53" t="s">
        <v>7250</v>
      </c>
      <c r="H164" s="1" t="s">
        <v>1457</v>
      </c>
      <c r="I164" s="142" t="s">
        <v>167</v>
      </c>
      <c r="J164" s="1" t="s">
        <v>5855</v>
      </c>
      <c r="K164" s="22" t="s">
        <v>5854</v>
      </c>
      <c r="L164" s="22" t="s">
        <v>5478</v>
      </c>
      <c r="M164" s="898" t="s">
        <v>111</v>
      </c>
      <c r="N164" s="897" t="s">
        <v>4676</v>
      </c>
      <c r="O164" s="899" t="s">
        <v>7251</v>
      </c>
      <c r="P164" s="898" t="s">
        <v>111</v>
      </c>
      <c r="Q164" s="897" t="s">
        <v>7252</v>
      </c>
      <c r="R164" s="897" t="s">
        <v>7252</v>
      </c>
      <c r="S164" s="24" t="s">
        <v>7253</v>
      </c>
      <c r="T164" s="90" t="s">
        <v>7254</v>
      </c>
      <c r="U164" s="898" t="s">
        <v>2359</v>
      </c>
      <c r="V164" s="898">
        <v>1</v>
      </c>
      <c r="W164" s="24" t="s">
        <v>448</v>
      </c>
      <c r="X164" s="24" t="s">
        <v>448</v>
      </c>
      <c r="Y164" s="30">
        <v>2</v>
      </c>
      <c r="Z164" s="30"/>
      <c r="AA164" s="30">
        <v>2</v>
      </c>
      <c r="AB164" s="59"/>
      <c r="AC164" s="59"/>
      <c r="AD164" s="35" t="s">
        <v>1104</v>
      </c>
      <c r="AE164" s="202" t="s">
        <v>19</v>
      </c>
      <c r="AF164" s="35" t="s">
        <v>1880</v>
      </c>
      <c r="AG164" s="897"/>
    </row>
    <row r="165" spans="1:33" s="11" customFormat="1" ht="26.25" customHeight="1" x14ac:dyDescent="0.15">
      <c r="A165" s="8">
        <v>162</v>
      </c>
      <c r="B165" s="36" t="s">
        <v>7248</v>
      </c>
      <c r="C165" s="898" t="s">
        <v>111</v>
      </c>
      <c r="D165" s="898" t="s">
        <v>111</v>
      </c>
      <c r="E165" s="898" t="s">
        <v>111</v>
      </c>
      <c r="F165" s="29" t="s">
        <v>7249</v>
      </c>
      <c r="G165" s="53" t="s">
        <v>7250</v>
      </c>
      <c r="H165" s="1" t="s">
        <v>1457</v>
      </c>
      <c r="I165" s="142" t="s">
        <v>167</v>
      </c>
      <c r="J165" s="1" t="s">
        <v>5855</v>
      </c>
      <c r="K165" s="22" t="s">
        <v>5854</v>
      </c>
      <c r="L165" s="22" t="s">
        <v>5478</v>
      </c>
      <c r="M165" s="898" t="s">
        <v>111</v>
      </c>
      <c r="N165" s="897" t="s">
        <v>5863</v>
      </c>
      <c r="O165" s="899" t="s">
        <v>7251</v>
      </c>
      <c r="P165" s="898" t="s">
        <v>111</v>
      </c>
      <c r="Q165" s="897" t="s">
        <v>7252</v>
      </c>
      <c r="R165" s="897" t="s">
        <v>7252</v>
      </c>
      <c r="S165" s="24" t="s">
        <v>7253</v>
      </c>
      <c r="T165" s="90" t="s">
        <v>7254</v>
      </c>
      <c r="U165" s="898" t="s">
        <v>2359</v>
      </c>
      <c r="V165" s="898">
        <v>1</v>
      </c>
      <c r="W165" s="24" t="s">
        <v>448</v>
      </c>
      <c r="X165" s="24" t="s">
        <v>448</v>
      </c>
      <c r="Y165" s="30">
        <v>2</v>
      </c>
      <c r="Z165" s="30"/>
      <c r="AA165" s="30">
        <v>2</v>
      </c>
      <c r="AB165" s="59"/>
      <c r="AC165" s="59"/>
      <c r="AD165" s="35" t="s">
        <v>1104</v>
      </c>
      <c r="AE165" s="202" t="s">
        <v>19</v>
      </c>
      <c r="AF165" s="35" t="s">
        <v>1880</v>
      </c>
      <c r="AG165" s="897"/>
    </row>
    <row r="166" spans="1:33" s="11" customFormat="1" ht="26.25" customHeight="1" x14ac:dyDescent="0.15">
      <c r="A166" s="8">
        <v>163</v>
      </c>
      <c r="B166" s="36" t="s">
        <v>7256</v>
      </c>
      <c r="C166" s="71" t="s">
        <v>7257</v>
      </c>
      <c r="D166" s="901" t="s">
        <v>111</v>
      </c>
      <c r="E166" s="36" t="s">
        <v>7580</v>
      </c>
      <c r="F166" s="29" t="s">
        <v>7258</v>
      </c>
      <c r="G166" s="29" t="s">
        <v>7259</v>
      </c>
      <c r="H166" s="902" t="s">
        <v>4712</v>
      </c>
      <c r="I166" s="902" t="s">
        <v>1124</v>
      </c>
      <c r="J166" s="902" t="s">
        <v>7260</v>
      </c>
      <c r="K166" s="901" t="s">
        <v>7262</v>
      </c>
      <c r="L166" s="903" t="s">
        <v>7261</v>
      </c>
      <c r="M166" s="903" t="s">
        <v>111</v>
      </c>
      <c r="N166" s="902" t="s">
        <v>1131</v>
      </c>
      <c r="O166" s="54" t="s">
        <v>5234</v>
      </c>
      <c r="P166" s="903" t="s">
        <v>111</v>
      </c>
      <c r="Q166" s="900" t="s">
        <v>7263</v>
      </c>
      <c r="R166" s="900" t="s">
        <v>7263</v>
      </c>
      <c r="S166" s="24" t="s">
        <v>7264</v>
      </c>
      <c r="T166" s="90" t="s">
        <v>7265</v>
      </c>
      <c r="U166" s="903" t="s">
        <v>2359</v>
      </c>
      <c r="V166" s="903">
        <v>1</v>
      </c>
      <c r="W166" s="24" t="s">
        <v>448</v>
      </c>
      <c r="X166" s="24" t="s">
        <v>448</v>
      </c>
      <c r="Y166" s="30">
        <v>8.5</v>
      </c>
      <c r="Z166" s="30"/>
      <c r="AA166" s="30">
        <v>8.5</v>
      </c>
      <c r="AB166" s="59"/>
      <c r="AC166" s="59"/>
      <c r="AD166" s="35" t="s">
        <v>1104</v>
      </c>
      <c r="AE166" s="202" t="s">
        <v>19</v>
      </c>
      <c r="AF166" s="35" t="s">
        <v>1880</v>
      </c>
      <c r="AG166" s="900"/>
    </row>
    <row r="167" spans="1:33" s="11" customFormat="1" ht="26.25" customHeight="1" x14ac:dyDescent="0.15">
      <c r="A167" s="8">
        <v>164</v>
      </c>
      <c r="B167" s="36" t="s">
        <v>7272</v>
      </c>
      <c r="C167" s="901" t="s">
        <v>111</v>
      </c>
      <c r="D167" s="901" t="s">
        <v>111</v>
      </c>
      <c r="E167" s="901" t="s">
        <v>111</v>
      </c>
      <c r="F167" s="29" t="s">
        <v>7266</v>
      </c>
      <c r="G167" s="29" t="s">
        <v>7267</v>
      </c>
      <c r="H167" s="902" t="s">
        <v>4712</v>
      </c>
      <c r="I167" s="902" t="s">
        <v>1124</v>
      </c>
      <c r="J167" s="902" t="s">
        <v>5961</v>
      </c>
      <c r="K167" s="903" t="s">
        <v>7262</v>
      </c>
      <c r="L167" s="903" t="s">
        <v>7261</v>
      </c>
      <c r="M167" s="903" t="s">
        <v>111</v>
      </c>
      <c r="N167" s="902" t="s">
        <v>1131</v>
      </c>
      <c r="O167" s="54" t="s">
        <v>7268</v>
      </c>
      <c r="P167" s="903" t="s">
        <v>111</v>
      </c>
      <c r="Q167" s="902" t="s">
        <v>7263</v>
      </c>
      <c r="R167" s="902" t="s">
        <v>7263</v>
      </c>
      <c r="S167" s="24" t="s">
        <v>7264</v>
      </c>
      <c r="T167" s="90" t="s">
        <v>7265</v>
      </c>
      <c r="U167" s="903" t="s">
        <v>2359</v>
      </c>
      <c r="V167" s="903">
        <v>1</v>
      </c>
      <c r="W167" s="24" t="s">
        <v>6876</v>
      </c>
      <c r="X167" s="24" t="s">
        <v>6877</v>
      </c>
      <c r="Y167" s="30"/>
      <c r="Z167" s="30">
        <v>8.5</v>
      </c>
      <c r="AA167" s="30">
        <v>8.5</v>
      </c>
      <c r="AB167" s="59"/>
      <c r="AC167" s="59"/>
      <c r="AD167" s="35" t="s">
        <v>1104</v>
      </c>
      <c r="AE167" s="202" t="s">
        <v>19</v>
      </c>
      <c r="AF167" s="35" t="s">
        <v>1880</v>
      </c>
      <c r="AG167" s="900"/>
    </row>
    <row r="168" spans="1:33" s="11" customFormat="1" ht="26.25" customHeight="1" x14ac:dyDescent="0.15">
      <c r="A168" s="8">
        <v>165</v>
      </c>
      <c r="B168" s="36" t="s">
        <v>7273</v>
      </c>
      <c r="C168" s="901" t="s">
        <v>111</v>
      </c>
      <c r="D168" s="901" t="s">
        <v>111</v>
      </c>
      <c r="E168" s="901" t="s">
        <v>111</v>
      </c>
      <c r="F168" s="29" t="s">
        <v>7266</v>
      </c>
      <c r="G168" s="29" t="s">
        <v>7269</v>
      </c>
      <c r="H168" s="902" t="s">
        <v>4712</v>
      </c>
      <c r="I168" s="902" t="s">
        <v>1124</v>
      </c>
      <c r="J168" s="902" t="s">
        <v>5961</v>
      </c>
      <c r="K168" s="903" t="s">
        <v>7262</v>
      </c>
      <c r="L168" s="903" t="s">
        <v>7261</v>
      </c>
      <c r="M168" s="903" t="s">
        <v>111</v>
      </c>
      <c r="N168" s="902" t="s">
        <v>1131</v>
      </c>
      <c r="O168" s="54" t="s">
        <v>7270</v>
      </c>
      <c r="P168" s="903" t="s">
        <v>111</v>
      </c>
      <c r="Q168" s="902" t="s">
        <v>7263</v>
      </c>
      <c r="R168" s="902" t="s">
        <v>7263</v>
      </c>
      <c r="S168" s="24" t="s">
        <v>7264</v>
      </c>
      <c r="T168" s="90" t="s">
        <v>7271</v>
      </c>
      <c r="U168" s="903" t="s">
        <v>2359</v>
      </c>
      <c r="V168" s="903">
        <v>1</v>
      </c>
      <c r="W168" s="24" t="s">
        <v>448</v>
      </c>
      <c r="X168" s="24" t="s">
        <v>448</v>
      </c>
      <c r="Y168" s="30">
        <v>7.8</v>
      </c>
      <c r="Z168" s="30"/>
      <c r="AA168" s="30">
        <v>7.8</v>
      </c>
      <c r="AB168" s="59"/>
      <c r="AC168" s="59"/>
      <c r="AD168" s="35" t="s">
        <v>1104</v>
      </c>
      <c r="AE168" s="202" t="s">
        <v>19</v>
      </c>
      <c r="AF168" s="35" t="s">
        <v>1880</v>
      </c>
      <c r="AG168" s="900"/>
    </row>
    <row r="169" spans="1:33" s="11" customFormat="1" ht="26.25" customHeight="1" x14ac:dyDescent="0.15">
      <c r="A169" s="8">
        <v>166</v>
      </c>
      <c r="B169" s="36" t="s">
        <v>7274</v>
      </c>
      <c r="C169" s="906" t="s">
        <v>111</v>
      </c>
      <c r="D169" s="906" t="s">
        <v>111</v>
      </c>
      <c r="E169" s="906" t="s">
        <v>111</v>
      </c>
      <c r="F169" s="29" t="s">
        <v>6028</v>
      </c>
      <c r="G169" s="53" t="s">
        <v>6438</v>
      </c>
      <c r="H169" s="904" t="s">
        <v>4195</v>
      </c>
      <c r="I169" s="904" t="s">
        <v>4945</v>
      </c>
      <c r="J169" s="904" t="s">
        <v>4946</v>
      </c>
      <c r="K169" s="22" t="s">
        <v>6439</v>
      </c>
      <c r="L169" s="22" t="s">
        <v>1826</v>
      </c>
      <c r="M169" s="906" t="s">
        <v>111</v>
      </c>
      <c r="N169" s="905" t="s">
        <v>1818</v>
      </c>
      <c r="O169" s="54" t="s">
        <v>116</v>
      </c>
      <c r="P169" s="22" t="s">
        <v>1880</v>
      </c>
      <c r="Q169" s="905" t="s">
        <v>5480</v>
      </c>
      <c r="R169" s="905" t="s">
        <v>5480</v>
      </c>
      <c r="S169" s="24" t="s">
        <v>6256</v>
      </c>
      <c r="T169" s="90" t="s">
        <v>7275</v>
      </c>
      <c r="U169" s="24" t="s">
        <v>110</v>
      </c>
      <c r="V169" s="24">
        <v>1</v>
      </c>
      <c r="W169" s="24" t="s">
        <v>6991</v>
      </c>
      <c r="X169" s="24" t="s">
        <v>7276</v>
      </c>
      <c r="Y169" s="30"/>
      <c r="Z169" s="30">
        <v>9</v>
      </c>
      <c r="AA169" s="30">
        <v>9</v>
      </c>
      <c r="AB169" s="59"/>
      <c r="AC169" s="59"/>
      <c r="AD169" s="35" t="s">
        <v>1104</v>
      </c>
      <c r="AE169" s="202" t="s">
        <v>19</v>
      </c>
      <c r="AF169" s="35" t="s">
        <v>1880</v>
      </c>
      <c r="AG169" s="905"/>
    </row>
    <row r="170" spans="1:33" s="11" customFormat="1" ht="26.25" customHeight="1" x14ac:dyDescent="0.15">
      <c r="A170" s="8">
        <v>167</v>
      </c>
      <c r="B170" s="36" t="s">
        <v>7277</v>
      </c>
      <c r="C170" s="71" t="s">
        <v>7280</v>
      </c>
      <c r="D170" s="909" t="s">
        <v>111</v>
      </c>
      <c r="E170" s="909" t="s">
        <v>111</v>
      </c>
      <c r="F170" s="29" t="s">
        <v>7082</v>
      </c>
      <c r="G170" s="29" t="s">
        <v>7278</v>
      </c>
      <c r="H170" s="907" t="s">
        <v>2908</v>
      </c>
      <c r="I170" s="907" t="s">
        <v>1540</v>
      </c>
      <c r="J170" s="907" t="s">
        <v>7080</v>
      </c>
      <c r="K170" s="22" t="s">
        <v>4780</v>
      </c>
      <c r="L170" s="22" t="s">
        <v>5431</v>
      </c>
      <c r="M170" s="909" t="s">
        <v>111</v>
      </c>
      <c r="N170" s="908" t="s">
        <v>1131</v>
      </c>
      <c r="O170" s="54" t="s">
        <v>6261</v>
      </c>
      <c r="P170" s="909" t="s">
        <v>111</v>
      </c>
      <c r="Q170" s="908" t="s">
        <v>446</v>
      </c>
      <c r="R170" s="908" t="s">
        <v>446</v>
      </c>
      <c r="S170" s="24" t="s">
        <v>7279</v>
      </c>
      <c r="T170" s="90" t="s">
        <v>7275</v>
      </c>
      <c r="U170" s="24" t="s">
        <v>110</v>
      </c>
      <c r="V170" s="24">
        <v>1</v>
      </c>
      <c r="W170" s="24" t="s">
        <v>448</v>
      </c>
      <c r="X170" s="24" t="s">
        <v>448</v>
      </c>
      <c r="Y170" s="30">
        <v>126.53</v>
      </c>
      <c r="Z170" s="30"/>
      <c r="AA170" s="30">
        <v>126.53</v>
      </c>
      <c r="AB170" s="59"/>
      <c r="AC170" s="59"/>
      <c r="AD170" s="909" t="s">
        <v>1104</v>
      </c>
      <c r="AE170" s="202" t="s">
        <v>1880</v>
      </c>
      <c r="AF170" s="133" t="s">
        <v>1880</v>
      </c>
      <c r="AG170" s="908"/>
    </row>
    <row r="171" spans="1:33" s="11" customFormat="1" ht="26.25" customHeight="1" x14ac:dyDescent="0.15">
      <c r="A171" s="8">
        <v>168</v>
      </c>
      <c r="B171" s="36" t="s">
        <v>7281</v>
      </c>
      <c r="C171" s="912" t="s">
        <v>111</v>
      </c>
      <c r="D171" s="912" t="s">
        <v>111</v>
      </c>
      <c r="E171" s="912" t="s">
        <v>111</v>
      </c>
      <c r="F171" s="29" t="s">
        <v>6858</v>
      </c>
      <c r="G171" s="53" t="s">
        <v>7282</v>
      </c>
      <c r="H171" s="910" t="s">
        <v>1452</v>
      </c>
      <c r="I171" s="910" t="s">
        <v>270</v>
      </c>
      <c r="J171" s="910" t="s">
        <v>1727</v>
      </c>
      <c r="K171" s="22" t="s">
        <v>7283</v>
      </c>
      <c r="L171" s="22" t="s">
        <v>5431</v>
      </c>
      <c r="M171" s="912" t="s">
        <v>111</v>
      </c>
      <c r="N171" s="911" t="s">
        <v>6692</v>
      </c>
      <c r="O171" s="54" t="s">
        <v>5567</v>
      </c>
      <c r="P171" s="22" t="s">
        <v>1880</v>
      </c>
      <c r="Q171" s="911" t="s">
        <v>446</v>
      </c>
      <c r="R171" s="911" t="s">
        <v>446</v>
      </c>
      <c r="S171" s="24" t="s">
        <v>7284</v>
      </c>
      <c r="T171" s="90" t="s">
        <v>7285</v>
      </c>
      <c r="U171" s="24" t="s">
        <v>110</v>
      </c>
      <c r="V171" s="24">
        <v>1</v>
      </c>
      <c r="W171" s="24" t="s">
        <v>448</v>
      </c>
      <c r="X171" s="24" t="s">
        <v>448</v>
      </c>
      <c r="Y171" s="30">
        <v>1</v>
      </c>
      <c r="Z171" s="30"/>
      <c r="AA171" s="30">
        <v>1</v>
      </c>
      <c r="AB171" s="59"/>
      <c r="AC171" s="59"/>
      <c r="AD171" s="912" t="s">
        <v>1104</v>
      </c>
      <c r="AE171" s="202" t="s">
        <v>1880</v>
      </c>
      <c r="AF171" s="133" t="s">
        <v>1880</v>
      </c>
      <c r="AG171" s="911"/>
    </row>
    <row r="172" spans="1:33" s="11" customFormat="1" ht="29.25" customHeight="1" x14ac:dyDescent="0.15">
      <c r="A172" s="8">
        <v>169</v>
      </c>
      <c r="B172" s="36" t="s">
        <v>7286</v>
      </c>
      <c r="C172" s="915" t="s">
        <v>111</v>
      </c>
      <c r="D172" s="915" t="s">
        <v>111</v>
      </c>
      <c r="E172" s="915" t="s">
        <v>111</v>
      </c>
      <c r="F172" s="29" t="s">
        <v>6521</v>
      </c>
      <c r="G172" s="53" t="s">
        <v>7289</v>
      </c>
      <c r="H172" s="913" t="s">
        <v>1147</v>
      </c>
      <c r="I172" s="913" t="s">
        <v>2067</v>
      </c>
      <c r="J172" s="913" t="s">
        <v>2340</v>
      </c>
      <c r="K172" s="22" t="s">
        <v>1138</v>
      </c>
      <c r="L172" s="915" t="s">
        <v>1826</v>
      </c>
      <c r="M172" s="915" t="s">
        <v>111</v>
      </c>
      <c r="N172" s="28" t="s">
        <v>25</v>
      </c>
      <c r="O172" s="222" t="s">
        <v>7340</v>
      </c>
      <c r="P172" s="915" t="s">
        <v>19</v>
      </c>
      <c r="Q172" s="914" t="s">
        <v>1811</v>
      </c>
      <c r="R172" s="914" t="s">
        <v>2072</v>
      </c>
      <c r="S172" s="24" t="s">
        <v>7290</v>
      </c>
      <c r="T172" s="90" t="s">
        <v>7291</v>
      </c>
      <c r="U172" s="915" t="s">
        <v>1800</v>
      </c>
      <c r="V172" s="915">
        <v>1</v>
      </c>
      <c r="W172" s="24" t="s">
        <v>7181</v>
      </c>
      <c r="X172" s="24" t="s">
        <v>7182</v>
      </c>
      <c r="Y172" s="30"/>
      <c r="Z172" s="328">
        <v>14.8</v>
      </c>
      <c r="AA172" s="30">
        <v>14.8</v>
      </c>
      <c r="AB172" s="59"/>
      <c r="AC172" s="59"/>
      <c r="AD172" s="915" t="s">
        <v>1104</v>
      </c>
      <c r="AE172" s="202" t="s">
        <v>1880</v>
      </c>
      <c r="AF172" s="133" t="s">
        <v>1880</v>
      </c>
      <c r="AG172" s="914"/>
    </row>
    <row r="173" spans="1:33" s="11" customFormat="1" ht="29.25" customHeight="1" x14ac:dyDescent="0.15">
      <c r="A173" s="8">
        <v>170</v>
      </c>
      <c r="B173" s="36" t="s">
        <v>7287</v>
      </c>
      <c r="C173" s="915" t="s">
        <v>111</v>
      </c>
      <c r="D173" s="915" t="s">
        <v>111</v>
      </c>
      <c r="E173" s="915" t="s">
        <v>111</v>
      </c>
      <c r="F173" s="29" t="s">
        <v>6522</v>
      </c>
      <c r="G173" s="53" t="s">
        <v>7289</v>
      </c>
      <c r="H173" s="913" t="s">
        <v>1147</v>
      </c>
      <c r="I173" s="913" t="s">
        <v>2067</v>
      </c>
      <c r="J173" s="913" t="s">
        <v>4481</v>
      </c>
      <c r="K173" s="22" t="s">
        <v>4640</v>
      </c>
      <c r="L173" s="915" t="s">
        <v>1826</v>
      </c>
      <c r="M173" s="915" t="s">
        <v>111</v>
      </c>
      <c r="N173" s="28" t="s">
        <v>25</v>
      </c>
      <c r="O173" s="222" t="s">
        <v>7340</v>
      </c>
      <c r="P173" s="915" t="s">
        <v>19</v>
      </c>
      <c r="Q173" s="914" t="s">
        <v>1811</v>
      </c>
      <c r="R173" s="914" t="s">
        <v>2072</v>
      </c>
      <c r="S173" s="24" t="s">
        <v>7290</v>
      </c>
      <c r="T173" s="90" t="s">
        <v>7291</v>
      </c>
      <c r="U173" s="915" t="s">
        <v>1800</v>
      </c>
      <c r="V173" s="915">
        <v>1</v>
      </c>
      <c r="W173" s="24" t="s">
        <v>7181</v>
      </c>
      <c r="X173" s="24" t="s">
        <v>7182</v>
      </c>
      <c r="Y173" s="30"/>
      <c r="Z173" s="328">
        <v>14.8</v>
      </c>
      <c r="AA173" s="30">
        <v>14.8</v>
      </c>
      <c r="AB173" s="59"/>
      <c r="AC173" s="59"/>
      <c r="AD173" s="915" t="s">
        <v>1104</v>
      </c>
      <c r="AE173" s="202" t="s">
        <v>1880</v>
      </c>
      <c r="AF173" s="133" t="s">
        <v>1880</v>
      </c>
      <c r="AG173" s="914"/>
    </row>
    <row r="174" spans="1:33" s="11" customFormat="1" ht="29.25" customHeight="1" x14ac:dyDescent="0.15">
      <c r="A174" s="8">
        <v>171</v>
      </c>
      <c r="B174" s="36" t="s">
        <v>7288</v>
      </c>
      <c r="C174" s="915" t="s">
        <v>111</v>
      </c>
      <c r="D174" s="915" t="s">
        <v>111</v>
      </c>
      <c r="E174" s="915" t="s">
        <v>111</v>
      </c>
      <c r="F174" s="29" t="s">
        <v>438</v>
      </c>
      <c r="G174" s="53" t="s">
        <v>7289</v>
      </c>
      <c r="H174" s="913" t="s">
        <v>1147</v>
      </c>
      <c r="I174" s="913" t="s">
        <v>2067</v>
      </c>
      <c r="J174" s="913" t="s">
        <v>1821</v>
      </c>
      <c r="K174" s="22" t="s">
        <v>3805</v>
      </c>
      <c r="L174" s="915" t="s">
        <v>1826</v>
      </c>
      <c r="M174" s="915" t="s">
        <v>111</v>
      </c>
      <c r="N174" s="28" t="s">
        <v>25</v>
      </c>
      <c r="O174" s="222" t="s">
        <v>7340</v>
      </c>
      <c r="P174" s="915" t="s">
        <v>19</v>
      </c>
      <c r="Q174" s="914" t="s">
        <v>1811</v>
      </c>
      <c r="R174" s="914" t="s">
        <v>2072</v>
      </c>
      <c r="S174" s="24" t="s">
        <v>7290</v>
      </c>
      <c r="T174" s="90" t="s">
        <v>7291</v>
      </c>
      <c r="U174" s="915" t="s">
        <v>1800</v>
      </c>
      <c r="V174" s="915">
        <v>1</v>
      </c>
      <c r="W174" s="24" t="s">
        <v>7181</v>
      </c>
      <c r="X174" s="24" t="s">
        <v>7182</v>
      </c>
      <c r="Y174" s="30"/>
      <c r="Z174" s="328">
        <v>14.8</v>
      </c>
      <c r="AA174" s="30">
        <v>14.8</v>
      </c>
      <c r="AB174" s="59"/>
      <c r="AC174" s="59"/>
      <c r="AD174" s="915" t="s">
        <v>1104</v>
      </c>
      <c r="AE174" s="202" t="s">
        <v>1880</v>
      </c>
      <c r="AF174" s="133" t="s">
        <v>1880</v>
      </c>
      <c r="AG174" s="914"/>
    </row>
    <row r="175" spans="1:33" s="11" customFormat="1" ht="24" customHeight="1" x14ac:dyDescent="0.15">
      <c r="A175" s="8">
        <v>172</v>
      </c>
      <c r="B175" s="36" t="s">
        <v>7292</v>
      </c>
      <c r="C175" s="915" t="s">
        <v>111</v>
      </c>
      <c r="D175" s="36" t="s">
        <v>7330</v>
      </c>
      <c r="E175" s="915" t="s">
        <v>111</v>
      </c>
      <c r="F175" s="29" t="s">
        <v>412</v>
      </c>
      <c r="G175" s="53" t="s">
        <v>7309</v>
      </c>
      <c r="H175" s="913" t="s">
        <v>1147</v>
      </c>
      <c r="I175" s="913" t="s">
        <v>2067</v>
      </c>
      <c r="J175" s="913" t="s">
        <v>1808</v>
      </c>
      <c r="K175" s="22" t="s">
        <v>1138</v>
      </c>
      <c r="L175" s="915" t="s">
        <v>1826</v>
      </c>
      <c r="M175" s="915" t="s">
        <v>111</v>
      </c>
      <c r="N175" s="28" t="s">
        <v>25</v>
      </c>
      <c r="O175" s="222" t="s">
        <v>3917</v>
      </c>
      <c r="P175" s="915" t="s">
        <v>19</v>
      </c>
      <c r="Q175" s="914" t="s">
        <v>2072</v>
      </c>
      <c r="R175" s="914" t="s">
        <v>2072</v>
      </c>
      <c r="S175" s="24" t="s">
        <v>7290</v>
      </c>
      <c r="T175" s="90" t="s">
        <v>7312</v>
      </c>
      <c r="U175" s="915" t="s">
        <v>1800</v>
      </c>
      <c r="V175" s="915">
        <v>1</v>
      </c>
      <c r="W175" s="24" t="s">
        <v>448</v>
      </c>
      <c r="X175" s="24" t="s">
        <v>448</v>
      </c>
      <c r="Y175" s="30">
        <v>4.3</v>
      </c>
      <c r="Z175" s="328"/>
      <c r="AA175" s="30">
        <v>4.3</v>
      </c>
      <c r="AB175" s="59"/>
      <c r="AC175" s="59"/>
      <c r="AD175" s="915" t="s">
        <v>1104</v>
      </c>
      <c r="AE175" s="202" t="s">
        <v>1880</v>
      </c>
      <c r="AF175" s="133" t="s">
        <v>1880</v>
      </c>
      <c r="AG175" s="914"/>
    </row>
    <row r="176" spans="1:33" s="11" customFormat="1" ht="24" customHeight="1" x14ac:dyDescent="0.15">
      <c r="A176" s="8">
        <v>173</v>
      </c>
      <c r="B176" s="36" t="s">
        <v>7293</v>
      </c>
      <c r="C176" s="915" t="s">
        <v>111</v>
      </c>
      <c r="D176" s="36" t="s">
        <v>7329</v>
      </c>
      <c r="E176" s="915" t="s">
        <v>111</v>
      </c>
      <c r="F176" s="29" t="s">
        <v>412</v>
      </c>
      <c r="G176" s="53" t="s">
        <v>7309</v>
      </c>
      <c r="H176" s="913" t="s">
        <v>1147</v>
      </c>
      <c r="I176" s="913" t="s">
        <v>2067</v>
      </c>
      <c r="J176" s="913" t="s">
        <v>3801</v>
      </c>
      <c r="K176" s="22" t="s">
        <v>1138</v>
      </c>
      <c r="L176" s="915" t="s">
        <v>1826</v>
      </c>
      <c r="M176" s="915" t="s">
        <v>111</v>
      </c>
      <c r="N176" s="28" t="s">
        <v>25</v>
      </c>
      <c r="O176" s="222" t="s">
        <v>3917</v>
      </c>
      <c r="P176" s="915" t="s">
        <v>19</v>
      </c>
      <c r="Q176" s="916" t="s">
        <v>2072</v>
      </c>
      <c r="R176" s="914" t="s">
        <v>2072</v>
      </c>
      <c r="S176" s="24" t="s">
        <v>7290</v>
      </c>
      <c r="T176" s="90" t="s">
        <v>7312</v>
      </c>
      <c r="U176" s="915" t="s">
        <v>1800</v>
      </c>
      <c r="V176" s="915">
        <v>1</v>
      </c>
      <c r="W176" s="24" t="s">
        <v>448</v>
      </c>
      <c r="X176" s="24" t="s">
        <v>448</v>
      </c>
      <c r="Y176" s="30">
        <v>4.3</v>
      </c>
      <c r="Z176" s="328"/>
      <c r="AA176" s="30">
        <v>4.3</v>
      </c>
      <c r="AB176" s="59"/>
      <c r="AC176" s="59"/>
      <c r="AD176" s="915" t="s">
        <v>1104</v>
      </c>
      <c r="AE176" s="202" t="s">
        <v>1880</v>
      </c>
      <c r="AF176" s="133" t="s">
        <v>1880</v>
      </c>
      <c r="AG176" s="914"/>
    </row>
    <row r="177" spans="1:33" s="11" customFormat="1" ht="24" customHeight="1" x14ac:dyDescent="0.15">
      <c r="A177" s="8">
        <v>174</v>
      </c>
      <c r="B177" s="36" t="s">
        <v>7294</v>
      </c>
      <c r="C177" s="915" t="s">
        <v>111</v>
      </c>
      <c r="D177" s="36" t="s">
        <v>7334</v>
      </c>
      <c r="E177" s="915" t="s">
        <v>111</v>
      </c>
      <c r="F177" s="29" t="s">
        <v>6520</v>
      </c>
      <c r="G177" s="53" t="s">
        <v>7309</v>
      </c>
      <c r="H177" s="913" t="s">
        <v>1147</v>
      </c>
      <c r="I177" s="913" t="s">
        <v>2067</v>
      </c>
      <c r="J177" s="913" t="s">
        <v>3962</v>
      </c>
      <c r="K177" s="22" t="s">
        <v>1820</v>
      </c>
      <c r="L177" s="915" t="s">
        <v>1826</v>
      </c>
      <c r="M177" s="915" t="s">
        <v>111</v>
      </c>
      <c r="N177" s="28" t="s">
        <v>25</v>
      </c>
      <c r="O177" s="222" t="s">
        <v>3917</v>
      </c>
      <c r="P177" s="915" t="s">
        <v>19</v>
      </c>
      <c r="Q177" s="916" t="s">
        <v>2072</v>
      </c>
      <c r="R177" s="914" t="s">
        <v>2072</v>
      </c>
      <c r="S177" s="24" t="s">
        <v>7290</v>
      </c>
      <c r="T177" s="90" t="s">
        <v>7312</v>
      </c>
      <c r="U177" s="915" t="s">
        <v>1800</v>
      </c>
      <c r="V177" s="915">
        <v>1</v>
      </c>
      <c r="W177" s="24" t="s">
        <v>448</v>
      </c>
      <c r="X177" s="24" t="s">
        <v>448</v>
      </c>
      <c r="Y177" s="30">
        <v>4.3</v>
      </c>
      <c r="Z177" s="328"/>
      <c r="AA177" s="30">
        <v>4.3</v>
      </c>
      <c r="AB177" s="59"/>
      <c r="AC177" s="59"/>
      <c r="AD177" s="915" t="s">
        <v>1104</v>
      </c>
      <c r="AE177" s="202" t="s">
        <v>1880</v>
      </c>
      <c r="AF177" s="133" t="s">
        <v>1880</v>
      </c>
      <c r="AG177" s="914"/>
    </row>
    <row r="178" spans="1:33" s="11" customFormat="1" ht="24" customHeight="1" x14ac:dyDescent="0.15">
      <c r="A178" s="8">
        <v>175</v>
      </c>
      <c r="B178" s="36" t="s">
        <v>7295</v>
      </c>
      <c r="C178" s="915" t="s">
        <v>111</v>
      </c>
      <c r="D178" s="36" t="s">
        <v>7331</v>
      </c>
      <c r="E178" s="915" t="s">
        <v>111</v>
      </c>
      <c r="F178" s="29" t="s">
        <v>6521</v>
      </c>
      <c r="G178" s="53" t="s">
        <v>7309</v>
      </c>
      <c r="H178" s="913" t="s">
        <v>1147</v>
      </c>
      <c r="I178" s="913" t="s">
        <v>2067</v>
      </c>
      <c r="J178" s="913" t="s">
        <v>2340</v>
      </c>
      <c r="K178" s="22" t="s">
        <v>1138</v>
      </c>
      <c r="L178" s="915" t="s">
        <v>1826</v>
      </c>
      <c r="M178" s="915" t="s">
        <v>111</v>
      </c>
      <c r="N178" s="28" t="s">
        <v>25</v>
      </c>
      <c r="O178" s="222" t="s">
        <v>3917</v>
      </c>
      <c r="P178" s="915" t="s">
        <v>19</v>
      </c>
      <c r="Q178" s="916" t="s">
        <v>2072</v>
      </c>
      <c r="R178" s="914" t="s">
        <v>2072</v>
      </c>
      <c r="S178" s="24" t="s">
        <v>7290</v>
      </c>
      <c r="T178" s="90" t="s">
        <v>7312</v>
      </c>
      <c r="U178" s="915" t="s">
        <v>1800</v>
      </c>
      <c r="V178" s="915">
        <v>1</v>
      </c>
      <c r="W178" s="24" t="s">
        <v>448</v>
      </c>
      <c r="X178" s="24" t="s">
        <v>448</v>
      </c>
      <c r="Y178" s="30">
        <v>4.3</v>
      </c>
      <c r="Z178" s="328"/>
      <c r="AA178" s="30">
        <v>4.3</v>
      </c>
      <c r="AB178" s="59"/>
      <c r="AC178" s="59"/>
      <c r="AD178" s="915" t="s">
        <v>1104</v>
      </c>
      <c r="AE178" s="202" t="s">
        <v>1880</v>
      </c>
      <c r="AF178" s="133" t="s">
        <v>1880</v>
      </c>
      <c r="AG178" s="914"/>
    </row>
    <row r="179" spans="1:33" s="11" customFormat="1" ht="24" customHeight="1" x14ac:dyDescent="0.15">
      <c r="A179" s="8">
        <v>176</v>
      </c>
      <c r="B179" s="36" t="s">
        <v>7296</v>
      </c>
      <c r="C179" s="915" t="s">
        <v>111</v>
      </c>
      <c r="D179" s="36" t="s">
        <v>7333</v>
      </c>
      <c r="E179" s="915" t="s">
        <v>111</v>
      </c>
      <c r="F179" s="29" t="s">
        <v>6522</v>
      </c>
      <c r="G179" s="53" t="s">
        <v>7309</v>
      </c>
      <c r="H179" s="913" t="s">
        <v>1147</v>
      </c>
      <c r="I179" s="913" t="s">
        <v>2067</v>
      </c>
      <c r="J179" s="913" t="s">
        <v>4481</v>
      </c>
      <c r="K179" s="22" t="s">
        <v>4640</v>
      </c>
      <c r="L179" s="915" t="s">
        <v>1826</v>
      </c>
      <c r="M179" s="915" t="s">
        <v>111</v>
      </c>
      <c r="N179" s="28" t="s">
        <v>25</v>
      </c>
      <c r="O179" s="222" t="s">
        <v>3917</v>
      </c>
      <c r="P179" s="915" t="s">
        <v>19</v>
      </c>
      <c r="Q179" s="916" t="s">
        <v>2072</v>
      </c>
      <c r="R179" s="914" t="s">
        <v>2072</v>
      </c>
      <c r="S179" s="24" t="s">
        <v>7290</v>
      </c>
      <c r="T179" s="90" t="s">
        <v>7312</v>
      </c>
      <c r="U179" s="915" t="s">
        <v>1800</v>
      </c>
      <c r="V179" s="915">
        <v>1</v>
      </c>
      <c r="W179" s="24" t="s">
        <v>448</v>
      </c>
      <c r="X179" s="24" t="s">
        <v>448</v>
      </c>
      <c r="Y179" s="30">
        <v>4.3</v>
      </c>
      <c r="Z179" s="328"/>
      <c r="AA179" s="30">
        <v>4.3</v>
      </c>
      <c r="AB179" s="59"/>
      <c r="AC179" s="59"/>
      <c r="AD179" s="915" t="s">
        <v>1104</v>
      </c>
      <c r="AE179" s="202" t="s">
        <v>1880</v>
      </c>
      <c r="AF179" s="133" t="s">
        <v>1880</v>
      </c>
      <c r="AG179" s="914"/>
    </row>
    <row r="180" spans="1:33" s="11" customFormat="1" ht="24" customHeight="1" x14ac:dyDescent="0.15">
      <c r="A180" s="8">
        <v>177</v>
      </c>
      <c r="B180" s="36" t="s">
        <v>7297</v>
      </c>
      <c r="C180" s="915" t="s">
        <v>111</v>
      </c>
      <c r="D180" s="36" t="s">
        <v>7332</v>
      </c>
      <c r="E180" s="915" t="s">
        <v>111</v>
      </c>
      <c r="F180" s="29" t="s">
        <v>438</v>
      </c>
      <c r="G180" s="53" t="s">
        <v>7309</v>
      </c>
      <c r="H180" s="913" t="s">
        <v>1147</v>
      </c>
      <c r="I180" s="913" t="s">
        <v>2067</v>
      </c>
      <c r="J180" s="913" t="s">
        <v>1821</v>
      </c>
      <c r="K180" s="22" t="s">
        <v>3805</v>
      </c>
      <c r="L180" s="915" t="s">
        <v>1826</v>
      </c>
      <c r="M180" s="915" t="s">
        <v>111</v>
      </c>
      <c r="N180" s="28" t="s">
        <v>25</v>
      </c>
      <c r="O180" s="222" t="s">
        <v>3917</v>
      </c>
      <c r="P180" s="915" t="s">
        <v>19</v>
      </c>
      <c r="Q180" s="916" t="s">
        <v>2072</v>
      </c>
      <c r="R180" s="914" t="s">
        <v>2072</v>
      </c>
      <c r="S180" s="24" t="s">
        <v>7290</v>
      </c>
      <c r="T180" s="90" t="s">
        <v>7312</v>
      </c>
      <c r="U180" s="915" t="s">
        <v>1800</v>
      </c>
      <c r="V180" s="915">
        <v>1</v>
      </c>
      <c r="W180" s="24" t="s">
        <v>448</v>
      </c>
      <c r="X180" s="24" t="s">
        <v>448</v>
      </c>
      <c r="Y180" s="30">
        <v>4.3</v>
      </c>
      <c r="Z180" s="328"/>
      <c r="AA180" s="30">
        <v>4.3</v>
      </c>
      <c r="AB180" s="59"/>
      <c r="AC180" s="59"/>
      <c r="AD180" s="915" t="s">
        <v>1104</v>
      </c>
      <c r="AE180" s="202" t="s">
        <v>1880</v>
      </c>
      <c r="AF180" s="133" t="s">
        <v>1880</v>
      </c>
      <c r="AG180" s="914"/>
    </row>
    <row r="181" spans="1:33" s="11" customFormat="1" ht="24" customHeight="1" x14ac:dyDescent="0.15">
      <c r="A181" s="8">
        <v>178</v>
      </c>
      <c r="B181" s="36" t="s">
        <v>7298</v>
      </c>
      <c r="C181" s="915" t="s">
        <v>111</v>
      </c>
      <c r="D181" s="36" t="s">
        <v>7335</v>
      </c>
      <c r="E181" s="915" t="s">
        <v>111</v>
      </c>
      <c r="F181" s="29" t="s">
        <v>5922</v>
      </c>
      <c r="G181" s="53" t="s">
        <v>7309</v>
      </c>
      <c r="H181" s="1" t="s">
        <v>23</v>
      </c>
      <c r="I181" s="142" t="s">
        <v>28</v>
      </c>
      <c r="J181" s="329" t="s">
        <v>4757</v>
      </c>
      <c r="K181" s="330" t="s">
        <v>4758</v>
      </c>
      <c r="L181" s="915" t="s">
        <v>1826</v>
      </c>
      <c r="M181" s="915" t="s">
        <v>111</v>
      </c>
      <c r="N181" s="915" t="s">
        <v>1818</v>
      </c>
      <c r="O181" s="222" t="s">
        <v>3917</v>
      </c>
      <c r="P181" s="915" t="s">
        <v>111</v>
      </c>
      <c r="Q181" s="916" t="s">
        <v>2072</v>
      </c>
      <c r="R181" s="914" t="s">
        <v>5487</v>
      </c>
      <c r="S181" s="24" t="s">
        <v>7290</v>
      </c>
      <c r="T181" s="90" t="s">
        <v>7312</v>
      </c>
      <c r="U181" s="24" t="s">
        <v>108</v>
      </c>
      <c r="V181" s="10">
        <v>1</v>
      </c>
      <c r="W181" s="24" t="s">
        <v>448</v>
      </c>
      <c r="X181" s="24" t="s">
        <v>448</v>
      </c>
      <c r="Y181" s="30">
        <v>4.3</v>
      </c>
      <c r="Z181" s="328"/>
      <c r="AA181" s="30">
        <v>4.3</v>
      </c>
      <c r="AB181" s="59"/>
      <c r="AC181" s="59"/>
      <c r="AD181" s="915" t="s">
        <v>1104</v>
      </c>
      <c r="AE181" s="202" t="s">
        <v>1880</v>
      </c>
      <c r="AF181" s="133" t="s">
        <v>1880</v>
      </c>
      <c r="AG181" s="914"/>
    </row>
    <row r="182" spans="1:33" s="11" customFormat="1" ht="24" customHeight="1" x14ac:dyDescent="0.15">
      <c r="A182" s="8">
        <v>179</v>
      </c>
      <c r="B182" s="36" t="s">
        <v>7299</v>
      </c>
      <c r="C182" s="915" t="s">
        <v>111</v>
      </c>
      <c r="D182" s="36" t="s">
        <v>7339</v>
      </c>
      <c r="E182" s="915" t="s">
        <v>111</v>
      </c>
      <c r="F182" s="29" t="s">
        <v>6117</v>
      </c>
      <c r="G182" s="53" t="s">
        <v>7309</v>
      </c>
      <c r="H182" s="1" t="s">
        <v>23</v>
      </c>
      <c r="I182" s="142" t="s">
        <v>28</v>
      </c>
      <c r="J182" s="329" t="s">
        <v>3881</v>
      </c>
      <c r="K182" s="22" t="s">
        <v>6119</v>
      </c>
      <c r="L182" s="22" t="s">
        <v>5431</v>
      </c>
      <c r="M182" s="915" t="s">
        <v>111</v>
      </c>
      <c r="N182" s="915" t="s">
        <v>1818</v>
      </c>
      <c r="O182" s="54" t="s">
        <v>7341</v>
      </c>
      <c r="P182" s="22" t="s">
        <v>1880</v>
      </c>
      <c r="Q182" s="916" t="s">
        <v>2072</v>
      </c>
      <c r="R182" s="914" t="s">
        <v>5487</v>
      </c>
      <c r="S182" s="24" t="s">
        <v>7290</v>
      </c>
      <c r="T182" s="90" t="s">
        <v>7312</v>
      </c>
      <c r="U182" s="24" t="s">
        <v>108</v>
      </c>
      <c r="V182" s="10">
        <v>1</v>
      </c>
      <c r="W182" s="24" t="s">
        <v>448</v>
      </c>
      <c r="X182" s="24" t="s">
        <v>448</v>
      </c>
      <c r="Y182" s="30">
        <v>2</v>
      </c>
      <c r="Z182" s="30"/>
      <c r="AA182" s="30">
        <v>2</v>
      </c>
      <c r="AB182" s="59"/>
      <c r="AC182" s="59"/>
      <c r="AD182" s="35" t="s">
        <v>1104</v>
      </c>
      <c r="AE182" s="202" t="s">
        <v>19</v>
      </c>
      <c r="AF182" s="35" t="s">
        <v>1880</v>
      </c>
      <c r="AG182" s="914"/>
    </row>
    <row r="183" spans="1:33" s="11" customFormat="1" ht="24" customHeight="1" x14ac:dyDescent="0.15">
      <c r="A183" s="8">
        <v>180</v>
      </c>
      <c r="B183" s="36" t="s">
        <v>7300</v>
      </c>
      <c r="C183" s="71" t="s">
        <v>7327</v>
      </c>
      <c r="D183" s="915" t="s">
        <v>111</v>
      </c>
      <c r="E183" s="915" t="s">
        <v>111</v>
      </c>
      <c r="F183" s="55" t="s">
        <v>504</v>
      </c>
      <c r="G183" s="53" t="s">
        <v>7309</v>
      </c>
      <c r="H183" s="42" t="s">
        <v>507</v>
      </c>
      <c r="I183" s="42" t="s">
        <v>506</v>
      </c>
      <c r="J183" s="27" t="s">
        <v>508</v>
      </c>
      <c r="K183" s="27" t="s">
        <v>491</v>
      </c>
      <c r="L183" s="22" t="s">
        <v>5431</v>
      </c>
      <c r="M183" s="915" t="s">
        <v>111</v>
      </c>
      <c r="N183" s="915" t="s">
        <v>1818</v>
      </c>
      <c r="O183" s="222" t="s">
        <v>7343</v>
      </c>
      <c r="P183" s="22" t="s">
        <v>1880</v>
      </c>
      <c r="Q183" s="916" t="s">
        <v>2072</v>
      </c>
      <c r="R183" s="914" t="s">
        <v>5487</v>
      </c>
      <c r="S183" s="24" t="s">
        <v>7290</v>
      </c>
      <c r="T183" s="90" t="s">
        <v>7312</v>
      </c>
      <c r="U183" s="24" t="s">
        <v>108</v>
      </c>
      <c r="V183" s="10">
        <v>1</v>
      </c>
      <c r="W183" s="24" t="s">
        <v>448</v>
      </c>
      <c r="X183" s="24" t="s">
        <v>448</v>
      </c>
      <c r="Y183" s="30">
        <v>4.3</v>
      </c>
      <c r="Z183" s="328"/>
      <c r="AA183" s="30">
        <v>4.3</v>
      </c>
      <c r="AB183" s="59"/>
      <c r="AC183" s="59"/>
      <c r="AD183" s="35" t="s">
        <v>1104</v>
      </c>
      <c r="AE183" s="202" t="s">
        <v>19</v>
      </c>
      <c r="AF183" s="35" t="s">
        <v>1880</v>
      </c>
      <c r="AG183" s="914" t="s">
        <v>7344</v>
      </c>
    </row>
    <row r="184" spans="1:33" s="11" customFormat="1" ht="24" customHeight="1" x14ac:dyDescent="0.15">
      <c r="A184" s="8">
        <v>181</v>
      </c>
      <c r="B184" s="36" t="s">
        <v>7301</v>
      </c>
      <c r="C184" s="915" t="s">
        <v>111</v>
      </c>
      <c r="D184" s="36" t="s">
        <v>7336</v>
      </c>
      <c r="E184" s="915" t="s">
        <v>111</v>
      </c>
      <c r="F184" s="29" t="s">
        <v>7310</v>
      </c>
      <c r="G184" s="53" t="s">
        <v>7309</v>
      </c>
      <c r="H184" s="913" t="s">
        <v>7303</v>
      </c>
      <c r="I184" s="913" t="s">
        <v>7304</v>
      </c>
      <c r="J184" s="27" t="s">
        <v>7305</v>
      </c>
      <c r="K184" s="22" t="s">
        <v>7306</v>
      </c>
      <c r="L184" s="22" t="s">
        <v>5431</v>
      </c>
      <c r="M184" s="915" t="s">
        <v>111</v>
      </c>
      <c r="N184" s="915" t="s">
        <v>1818</v>
      </c>
      <c r="O184" s="54" t="s">
        <v>7341</v>
      </c>
      <c r="P184" s="22" t="s">
        <v>1880</v>
      </c>
      <c r="Q184" s="916" t="s">
        <v>2072</v>
      </c>
      <c r="R184" s="914" t="s">
        <v>5487</v>
      </c>
      <c r="S184" s="24" t="s">
        <v>7290</v>
      </c>
      <c r="T184" s="90" t="s">
        <v>7312</v>
      </c>
      <c r="U184" s="24" t="s">
        <v>108</v>
      </c>
      <c r="V184" s="10">
        <v>1</v>
      </c>
      <c r="W184" s="24" t="s">
        <v>448</v>
      </c>
      <c r="X184" s="24" t="s">
        <v>448</v>
      </c>
      <c r="Y184" s="30">
        <v>2</v>
      </c>
      <c r="Z184" s="30"/>
      <c r="AA184" s="30">
        <v>2</v>
      </c>
      <c r="AB184" s="59"/>
      <c r="AC184" s="59"/>
      <c r="AD184" s="35" t="s">
        <v>1104</v>
      </c>
      <c r="AE184" s="202" t="s">
        <v>19</v>
      </c>
      <c r="AF184" s="35" t="s">
        <v>1880</v>
      </c>
      <c r="AG184" s="914"/>
    </row>
    <row r="185" spans="1:33" s="11" customFormat="1" ht="24" customHeight="1" x14ac:dyDescent="0.15">
      <c r="A185" s="8">
        <v>182</v>
      </c>
      <c r="B185" s="36" t="s">
        <v>7302</v>
      </c>
      <c r="C185" s="915" t="s">
        <v>111</v>
      </c>
      <c r="D185" s="36" t="s">
        <v>7337</v>
      </c>
      <c r="E185" s="915" t="s">
        <v>111</v>
      </c>
      <c r="F185" s="29" t="s">
        <v>7311</v>
      </c>
      <c r="G185" s="53" t="s">
        <v>7309</v>
      </c>
      <c r="H185" s="913" t="s">
        <v>7303</v>
      </c>
      <c r="I185" s="913" t="s">
        <v>7304</v>
      </c>
      <c r="J185" s="910" t="s">
        <v>7307</v>
      </c>
      <c r="K185" s="912" t="s">
        <v>7308</v>
      </c>
      <c r="L185" s="22" t="s">
        <v>5431</v>
      </c>
      <c r="M185" s="915" t="s">
        <v>111</v>
      </c>
      <c r="N185" s="915" t="s">
        <v>1818</v>
      </c>
      <c r="O185" s="54" t="s">
        <v>7341</v>
      </c>
      <c r="P185" s="22" t="s">
        <v>1880</v>
      </c>
      <c r="Q185" s="916" t="s">
        <v>2072</v>
      </c>
      <c r="R185" s="914" t="s">
        <v>5487</v>
      </c>
      <c r="S185" s="24" t="s">
        <v>7290</v>
      </c>
      <c r="T185" s="90" t="s">
        <v>7312</v>
      </c>
      <c r="U185" s="24" t="s">
        <v>108</v>
      </c>
      <c r="V185" s="10">
        <v>1</v>
      </c>
      <c r="W185" s="24" t="s">
        <v>448</v>
      </c>
      <c r="X185" s="24" t="s">
        <v>448</v>
      </c>
      <c r="Y185" s="30">
        <v>2</v>
      </c>
      <c r="Z185" s="30"/>
      <c r="AA185" s="30">
        <v>2</v>
      </c>
      <c r="AB185" s="59"/>
      <c r="AC185" s="59"/>
      <c r="AD185" s="35" t="s">
        <v>1104</v>
      </c>
      <c r="AE185" s="202" t="s">
        <v>19</v>
      </c>
      <c r="AF185" s="35" t="s">
        <v>1880</v>
      </c>
      <c r="AG185" s="911"/>
    </row>
    <row r="186" spans="1:33" s="11" customFormat="1" ht="24" customHeight="1" x14ac:dyDescent="0.15">
      <c r="A186" s="8">
        <v>183</v>
      </c>
      <c r="B186" s="36" t="s">
        <v>7313</v>
      </c>
      <c r="C186" s="915" t="s">
        <v>111</v>
      </c>
      <c r="D186" s="36" t="s">
        <v>7328</v>
      </c>
      <c r="E186" s="915" t="s">
        <v>111</v>
      </c>
      <c r="F186" s="29" t="s">
        <v>6385</v>
      </c>
      <c r="G186" s="53" t="s">
        <v>7318</v>
      </c>
      <c r="H186" s="913" t="s">
        <v>4195</v>
      </c>
      <c r="I186" s="913" t="s">
        <v>4196</v>
      </c>
      <c r="J186" s="913" t="s">
        <v>7148</v>
      </c>
      <c r="K186" s="22" t="s">
        <v>7149</v>
      </c>
      <c r="L186" s="914" t="s">
        <v>5431</v>
      </c>
      <c r="M186" s="915" t="s">
        <v>111</v>
      </c>
      <c r="N186" s="915" t="s">
        <v>1818</v>
      </c>
      <c r="O186" s="54" t="s">
        <v>4753</v>
      </c>
      <c r="P186" s="22" t="s">
        <v>1880</v>
      </c>
      <c r="Q186" s="914" t="s">
        <v>5487</v>
      </c>
      <c r="R186" s="914" t="s">
        <v>5487</v>
      </c>
      <c r="S186" s="24" t="s">
        <v>7290</v>
      </c>
      <c r="T186" s="90" t="s">
        <v>7312</v>
      </c>
      <c r="U186" s="24" t="s">
        <v>108</v>
      </c>
      <c r="V186" s="24">
        <v>1</v>
      </c>
      <c r="W186" s="24" t="s">
        <v>448</v>
      </c>
      <c r="X186" s="24" t="s">
        <v>448</v>
      </c>
      <c r="Y186" s="30">
        <v>4.3</v>
      </c>
      <c r="Z186" s="30"/>
      <c r="AA186" s="30">
        <v>4.3</v>
      </c>
      <c r="AB186" s="59"/>
      <c r="AC186" s="59"/>
      <c r="AD186" s="35" t="s">
        <v>1104</v>
      </c>
      <c r="AE186" s="202" t="s">
        <v>19</v>
      </c>
      <c r="AF186" s="35" t="s">
        <v>1880</v>
      </c>
      <c r="AG186" s="914"/>
    </row>
    <row r="187" spans="1:33" s="11" customFormat="1" ht="24" customHeight="1" x14ac:dyDescent="0.15">
      <c r="A187" s="8">
        <v>184</v>
      </c>
      <c r="B187" s="36" t="s">
        <v>7314</v>
      </c>
      <c r="C187" s="915" t="s">
        <v>111</v>
      </c>
      <c r="D187" s="36" t="s">
        <v>7328</v>
      </c>
      <c r="E187" s="915" t="s">
        <v>111</v>
      </c>
      <c r="F187" s="29" t="s">
        <v>6385</v>
      </c>
      <c r="G187" s="53" t="s">
        <v>7318</v>
      </c>
      <c r="H187" s="913" t="s">
        <v>4195</v>
      </c>
      <c r="I187" s="913" t="s">
        <v>4196</v>
      </c>
      <c r="J187" s="913" t="s">
        <v>7148</v>
      </c>
      <c r="K187" s="22" t="s">
        <v>7149</v>
      </c>
      <c r="L187" s="914" t="s">
        <v>5431</v>
      </c>
      <c r="M187" s="915" t="s">
        <v>111</v>
      </c>
      <c r="N187" s="915" t="s">
        <v>7319</v>
      </c>
      <c r="O187" s="54" t="s">
        <v>7345</v>
      </c>
      <c r="P187" s="22" t="s">
        <v>1880</v>
      </c>
      <c r="Q187" s="914" t="s">
        <v>5487</v>
      </c>
      <c r="R187" s="914" t="s">
        <v>5487</v>
      </c>
      <c r="S187" s="24" t="s">
        <v>7290</v>
      </c>
      <c r="T187" s="90" t="s">
        <v>7312</v>
      </c>
      <c r="U187" s="24" t="s">
        <v>108</v>
      </c>
      <c r="V187" s="24">
        <v>1</v>
      </c>
      <c r="W187" s="24" t="s">
        <v>448</v>
      </c>
      <c r="X187" s="24" t="s">
        <v>448</v>
      </c>
      <c r="Y187" s="30">
        <v>7</v>
      </c>
      <c r="Z187" s="30"/>
      <c r="AA187" s="30">
        <v>7</v>
      </c>
      <c r="AB187" s="59"/>
      <c r="AC187" s="59"/>
      <c r="AD187" s="35" t="s">
        <v>1104</v>
      </c>
      <c r="AE187" s="202" t="s">
        <v>19</v>
      </c>
      <c r="AF187" s="35" t="s">
        <v>1880</v>
      </c>
      <c r="AG187" s="914"/>
    </row>
    <row r="188" spans="1:33" s="11" customFormat="1" ht="24" customHeight="1" x14ac:dyDescent="0.15">
      <c r="A188" s="8">
        <v>185</v>
      </c>
      <c r="B188" s="36" t="s">
        <v>7315</v>
      </c>
      <c r="C188" s="915" t="s">
        <v>111</v>
      </c>
      <c r="D188" s="36" t="s">
        <v>7338</v>
      </c>
      <c r="E188" s="915" t="s">
        <v>111</v>
      </c>
      <c r="F188" s="29" t="s">
        <v>4423</v>
      </c>
      <c r="G188" s="53" t="s">
        <v>7318</v>
      </c>
      <c r="H188" s="913" t="s">
        <v>1147</v>
      </c>
      <c r="I188" s="913" t="s">
        <v>2067</v>
      </c>
      <c r="J188" s="913" t="s">
        <v>4426</v>
      </c>
      <c r="K188" s="22" t="s">
        <v>1138</v>
      </c>
      <c r="L188" s="914" t="s">
        <v>5431</v>
      </c>
      <c r="M188" s="915" t="s">
        <v>111</v>
      </c>
      <c r="N188" s="915" t="s">
        <v>1818</v>
      </c>
      <c r="O188" s="54" t="s">
        <v>4753</v>
      </c>
      <c r="P188" s="22" t="s">
        <v>1880</v>
      </c>
      <c r="Q188" s="914" t="s">
        <v>5487</v>
      </c>
      <c r="R188" s="914" t="s">
        <v>5487</v>
      </c>
      <c r="S188" s="24" t="s">
        <v>7290</v>
      </c>
      <c r="T188" s="90" t="s">
        <v>7312</v>
      </c>
      <c r="U188" s="24" t="s">
        <v>108</v>
      </c>
      <c r="V188" s="24">
        <v>1</v>
      </c>
      <c r="W188" s="24" t="s">
        <v>448</v>
      </c>
      <c r="X188" s="24" t="s">
        <v>448</v>
      </c>
      <c r="Y188" s="30">
        <v>4.3</v>
      </c>
      <c r="Z188" s="30"/>
      <c r="AA188" s="30">
        <v>4.3</v>
      </c>
      <c r="AB188" s="59"/>
      <c r="AC188" s="59"/>
      <c r="AD188" s="35" t="s">
        <v>1104</v>
      </c>
      <c r="AE188" s="202" t="s">
        <v>19</v>
      </c>
      <c r="AF188" s="35" t="s">
        <v>1880</v>
      </c>
      <c r="AG188" s="914"/>
    </row>
    <row r="189" spans="1:33" s="11" customFormat="1" ht="24" customHeight="1" x14ac:dyDescent="0.15">
      <c r="A189" s="8">
        <v>186</v>
      </c>
      <c r="B189" s="36" t="s">
        <v>7316</v>
      </c>
      <c r="C189" s="915" t="s">
        <v>111</v>
      </c>
      <c r="D189" s="36" t="s">
        <v>7338</v>
      </c>
      <c r="E189" s="915" t="s">
        <v>111</v>
      </c>
      <c r="F189" s="29" t="s">
        <v>4423</v>
      </c>
      <c r="G189" s="53" t="s">
        <v>7318</v>
      </c>
      <c r="H189" s="913" t="s">
        <v>1147</v>
      </c>
      <c r="I189" s="913" t="s">
        <v>2067</v>
      </c>
      <c r="J189" s="913" t="s">
        <v>4426</v>
      </c>
      <c r="K189" s="22" t="s">
        <v>1138</v>
      </c>
      <c r="L189" s="914" t="s">
        <v>5431</v>
      </c>
      <c r="M189" s="915" t="s">
        <v>111</v>
      </c>
      <c r="N189" s="915" t="s">
        <v>7319</v>
      </c>
      <c r="O189" s="54" t="s">
        <v>7342</v>
      </c>
      <c r="P189" s="22" t="s">
        <v>1880</v>
      </c>
      <c r="Q189" s="914" t="s">
        <v>5487</v>
      </c>
      <c r="R189" s="914" t="s">
        <v>5487</v>
      </c>
      <c r="S189" s="24" t="s">
        <v>7290</v>
      </c>
      <c r="T189" s="90" t="s">
        <v>7312</v>
      </c>
      <c r="U189" s="24" t="s">
        <v>108</v>
      </c>
      <c r="V189" s="24">
        <v>1</v>
      </c>
      <c r="W189" s="24" t="s">
        <v>448</v>
      </c>
      <c r="X189" s="24" t="s">
        <v>448</v>
      </c>
      <c r="Y189" s="30">
        <v>7</v>
      </c>
      <c r="Z189" s="30"/>
      <c r="AA189" s="30">
        <v>7</v>
      </c>
      <c r="AB189" s="59"/>
      <c r="AC189" s="59"/>
      <c r="AD189" s="35" t="s">
        <v>1104</v>
      </c>
      <c r="AE189" s="202" t="s">
        <v>19</v>
      </c>
      <c r="AF189" s="35" t="s">
        <v>1880</v>
      </c>
      <c r="AG189" s="911"/>
    </row>
    <row r="190" spans="1:33" s="11" customFormat="1" ht="24" customHeight="1" x14ac:dyDescent="0.15">
      <c r="A190" s="8">
        <v>187</v>
      </c>
      <c r="B190" s="36" t="s">
        <v>7317</v>
      </c>
      <c r="C190" s="71" t="s">
        <v>7326</v>
      </c>
      <c r="D190" s="915" t="s">
        <v>111</v>
      </c>
      <c r="E190" s="915" t="s">
        <v>111</v>
      </c>
      <c r="F190" s="29" t="s">
        <v>7320</v>
      </c>
      <c r="G190" s="53" t="s">
        <v>7318</v>
      </c>
      <c r="H190" s="914" t="s">
        <v>4195</v>
      </c>
      <c r="I190" s="914" t="s">
        <v>4196</v>
      </c>
      <c r="J190" s="914" t="s">
        <v>7321</v>
      </c>
      <c r="K190" s="22" t="s">
        <v>1138</v>
      </c>
      <c r="L190" s="914" t="s">
        <v>7322</v>
      </c>
      <c r="M190" s="915" t="s">
        <v>111</v>
      </c>
      <c r="N190" s="914" t="s">
        <v>3101</v>
      </c>
      <c r="O190" s="54" t="s">
        <v>4753</v>
      </c>
      <c r="P190" s="22" t="s">
        <v>1880</v>
      </c>
      <c r="Q190" s="914" t="s">
        <v>5487</v>
      </c>
      <c r="R190" s="914" t="s">
        <v>5487</v>
      </c>
      <c r="S190" s="24" t="s">
        <v>7290</v>
      </c>
      <c r="T190" s="90" t="s">
        <v>7312</v>
      </c>
      <c r="U190" s="24" t="s">
        <v>108</v>
      </c>
      <c r="V190" s="24">
        <v>1</v>
      </c>
      <c r="W190" s="24" t="s">
        <v>448</v>
      </c>
      <c r="X190" s="24" t="s">
        <v>448</v>
      </c>
      <c r="Y190" s="30">
        <v>9</v>
      </c>
      <c r="Z190" s="30"/>
      <c r="AA190" s="30">
        <v>9</v>
      </c>
      <c r="AB190" s="59"/>
      <c r="AC190" s="59"/>
      <c r="AD190" s="35" t="s">
        <v>1104</v>
      </c>
      <c r="AE190" s="202" t="s">
        <v>19</v>
      </c>
      <c r="AF190" s="35" t="s">
        <v>1880</v>
      </c>
      <c r="AG190" s="897"/>
    </row>
    <row r="191" spans="1:33" s="11" customFormat="1" ht="24" customHeight="1" x14ac:dyDescent="0.15">
      <c r="A191" s="8">
        <v>188</v>
      </c>
      <c r="B191" s="36" t="s">
        <v>7323</v>
      </c>
      <c r="C191" s="915" t="s">
        <v>111</v>
      </c>
      <c r="D191" s="915" t="s">
        <v>111</v>
      </c>
      <c r="E191" s="915" t="s">
        <v>111</v>
      </c>
      <c r="F191" s="29" t="s">
        <v>6385</v>
      </c>
      <c r="G191" s="53" t="s">
        <v>7325</v>
      </c>
      <c r="H191" s="913" t="s">
        <v>4195</v>
      </c>
      <c r="I191" s="913" t="s">
        <v>4196</v>
      </c>
      <c r="J191" s="913" t="s">
        <v>7148</v>
      </c>
      <c r="K191" s="22" t="s">
        <v>7149</v>
      </c>
      <c r="L191" s="914" t="s">
        <v>5431</v>
      </c>
      <c r="M191" s="915" t="s">
        <v>111</v>
      </c>
      <c r="N191" s="28" t="s">
        <v>25</v>
      </c>
      <c r="O191" s="222" t="s">
        <v>7340</v>
      </c>
      <c r="P191" s="915" t="s">
        <v>19</v>
      </c>
      <c r="Q191" s="914" t="s">
        <v>1811</v>
      </c>
      <c r="R191" s="914" t="s">
        <v>2072</v>
      </c>
      <c r="S191" s="24" t="s">
        <v>7290</v>
      </c>
      <c r="T191" s="90" t="s">
        <v>7291</v>
      </c>
      <c r="U191" s="915" t="s">
        <v>1800</v>
      </c>
      <c r="V191" s="915">
        <v>1</v>
      </c>
      <c r="W191" s="24" t="s">
        <v>7181</v>
      </c>
      <c r="X191" s="24" t="s">
        <v>7182</v>
      </c>
      <c r="Y191" s="30"/>
      <c r="Z191" s="30">
        <v>14.8</v>
      </c>
      <c r="AA191" s="30">
        <v>14.8</v>
      </c>
      <c r="AB191" s="59"/>
      <c r="AC191" s="59"/>
      <c r="AD191" s="35" t="s">
        <v>1104</v>
      </c>
      <c r="AE191" s="202" t="s">
        <v>19</v>
      </c>
      <c r="AF191" s="35" t="s">
        <v>1880</v>
      </c>
      <c r="AG191" s="914"/>
    </row>
    <row r="192" spans="1:33" s="11" customFormat="1" ht="24" customHeight="1" x14ac:dyDescent="0.15">
      <c r="A192" s="8">
        <v>189</v>
      </c>
      <c r="B192" s="36" t="s">
        <v>7324</v>
      </c>
      <c r="C192" s="915" t="s">
        <v>111</v>
      </c>
      <c r="D192" s="915" t="s">
        <v>111</v>
      </c>
      <c r="E192" s="915" t="s">
        <v>111</v>
      </c>
      <c r="F192" s="29" t="s">
        <v>4423</v>
      </c>
      <c r="G192" s="53" t="s">
        <v>7325</v>
      </c>
      <c r="H192" s="913" t="s">
        <v>1147</v>
      </c>
      <c r="I192" s="913" t="s">
        <v>2067</v>
      </c>
      <c r="J192" s="913" t="s">
        <v>4426</v>
      </c>
      <c r="K192" s="22" t="s">
        <v>1138</v>
      </c>
      <c r="L192" s="914" t="s">
        <v>5431</v>
      </c>
      <c r="M192" s="915" t="s">
        <v>111</v>
      </c>
      <c r="N192" s="28" t="s">
        <v>25</v>
      </c>
      <c r="O192" s="222" t="s">
        <v>7340</v>
      </c>
      <c r="P192" s="915" t="s">
        <v>19</v>
      </c>
      <c r="Q192" s="914" t="s">
        <v>1811</v>
      </c>
      <c r="R192" s="914" t="s">
        <v>2072</v>
      </c>
      <c r="S192" s="24" t="s">
        <v>7290</v>
      </c>
      <c r="T192" s="90" t="s">
        <v>7291</v>
      </c>
      <c r="U192" s="915" t="s">
        <v>1800</v>
      </c>
      <c r="V192" s="915">
        <v>1</v>
      </c>
      <c r="W192" s="24" t="s">
        <v>7181</v>
      </c>
      <c r="X192" s="24" t="s">
        <v>7182</v>
      </c>
      <c r="Y192" s="30"/>
      <c r="Z192" s="30">
        <v>14.8</v>
      </c>
      <c r="AA192" s="30">
        <v>14.8</v>
      </c>
      <c r="AB192" s="59"/>
      <c r="AC192" s="59"/>
      <c r="AD192" s="35" t="s">
        <v>1104</v>
      </c>
      <c r="AE192" s="202" t="s">
        <v>19</v>
      </c>
      <c r="AF192" s="35" t="s">
        <v>1880</v>
      </c>
      <c r="AG192" s="914"/>
    </row>
    <row r="193" spans="1:33" s="11" customFormat="1" ht="33" customHeight="1" x14ac:dyDescent="0.15">
      <c r="A193" s="8">
        <v>190</v>
      </c>
      <c r="B193" s="36" t="s">
        <v>7346</v>
      </c>
      <c r="C193" s="919" t="s">
        <v>111</v>
      </c>
      <c r="D193" s="919" t="s">
        <v>111</v>
      </c>
      <c r="E193" s="919" t="s">
        <v>111</v>
      </c>
      <c r="F193" s="29" t="s">
        <v>6061</v>
      </c>
      <c r="G193" s="53" t="s">
        <v>7350</v>
      </c>
      <c r="H193" s="918" t="s">
        <v>4712</v>
      </c>
      <c r="I193" s="918" t="s">
        <v>4728</v>
      </c>
      <c r="J193" s="918" t="s">
        <v>6062</v>
      </c>
      <c r="K193" s="22" t="s">
        <v>4780</v>
      </c>
      <c r="L193" s="22" t="s">
        <v>5431</v>
      </c>
      <c r="M193" s="919" t="s">
        <v>1880</v>
      </c>
      <c r="N193" s="216" t="s">
        <v>25</v>
      </c>
      <c r="O193" s="54" t="s">
        <v>116</v>
      </c>
      <c r="P193" s="919" t="s">
        <v>19</v>
      </c>
      <c r="Q193" s="918" t="s">
        <v>1151</v>
      </c>
      <c r="R193" s="918" t="s">
        <v>1151</v>
      </c>
      <c r="S193" s="24" t="s">
        <v>7351</v>
      </c>
      <c r="T193" s="90" t="s">
        <v>7352</v>
      </c>
      <c r="U193" s="24" t="s">
        <v>7353</v>
      </c>
      <c r="V193" s="24">
        <v>1</v>
      </c>
      <c r="W193" s="24" t="s">
        <v>7352</v>
      </c>
      <c r="X193" s="24" t="s">
        <v>7354</v>
      </c>
      <c r="Y193" s="30"/>
      <c r="Z193" s="30">
        <v>9.6</v>
      </c>
      <c r="AA193" s="30">
        <v>9.6</v>
      </c>
      <c r="AB193" s="59"/>
      <c r="AC193" s="59"/>
      <c r="AD193" s="35" t="s">
        <v>1104</v>
      </c>
      <c r="AE193" s="202" t="s">
        <v>19</v>
      </c>
      <c r="AF193" s="35" t="s">
        <v>1880</v>
      </c>
      <c r="AG193" s="918"/>
    </row>
    <row r="194" spans="1:33" s="11" customFormat="1" ht="33" customHeight="1" x14ac:dyDescent="0.15">
      <c r="A194" s="8">
        <v>191</v>
      </c>
      <c r="B194" s="36" t="s">
        <v>7347</v>
      </c>
      <c r="C194" s="919" t="s">
        <v>111</v>
      </c>
      <c r="D194" s="919" t="s">
        <v>111</v>
      </c>
      <c r="E194" s="919" t="s">
        <v>111</v>
      </c>
      <c r="F194" s="29" t="s">
        <v>1792</v>
      </c>
      <c r="G194" s="53" t="s">
        <v>7355</v>
      </c>
      <c r="H194" s="917" t="s">
        <v>4691</v>
      </c>
      <c r="I194" s="918" t="s">
        <v>4728</v>
      </c>
      <c r="J194" s="917" t="s">
        <v>5784</v>
      </c>
      <c r="K194" s="22" t="s">
        <v>1522</v>
      </c>
      <c r="L194" s="22" t="s">
        <v>5431</v>
      </c>
      <c r="M194" s="919" t="s">
        <v>1880</v>
      </c>
      <c r="N194" s="918" t="s">
        <v>1131</v>
      </c>
      <c r="O194" s="54" t="s">
        <v>116</v>
      </c>
      <c r="P194" s="919" t="s">
        <v>19</v>
      </c>
      <c r="Q194" s="918" t="s">
        <v>1151</v>
      </c>
      <c r="R194" s="918" t="s">
        <v>1151</v>
      </c>
      <c r="S194" s="24" t="s">
        <v>7351</v>
      </c>
      <c r="T194" s="90" t="s">
        <v>7356</v>
      </c>
      <c r="U194" s="24" t="s">
        <v>7353</v>
      </c>
      <c r="V194" s="24">
        <v>2</v>
      </c>
      <c r="W194" s="24" t="s">
        <v>7357</v>
      </c>
      <c r="X194" s="24" t="s">
        <v>7358</v>
      </c>
      <c r="Y194" s="30"/>
      <c r="Z194" s="30">
        <v>9.6</v>
      </c>
      <c r="AA194" s="30">
        <v>9.6</v>
      </c>
      <c r="AB194" s="59"/>
      <c r="AC194" s="59"/>
      <c r="AD194" s="35" t="s">
        <v>1104</v>
      </c>
      <c r="AE194" s="202" t="s">
        <v>19</v>
      </c>
      <c r="AF194" s="35" t="s">
        <v>1880</v>
      </c>
      <c r="AG194" s="918"/>
    </row>
    <row r="195" spans="1:33" s="11" customFormat="1" ht="42.75" customHeight="1" x14ac:dyDescent="0.15">
      <c r="A195" s="8">
        <v>192</v>
      </c>
      <c r="B195" s="36" t="s">
        <v>7348</v>
      </c>
      <c r="C195" s="919" t="s">
        <v>111</v>
      </c>
      <c r="D195" s="36" t="s">
        <v>7363</v>
      </c>
      <c r="E195" s="919" t="s">
        <v>111</v>
      </c>
      <c r="F195" s="151" t="s">
        <v>4307</v>
      </c>
      <c r="G195" s="54" t="s">
        <v>7359</v>
      </c>
      <c r="H195" s="919" t="s">
        <v>1147</v>
      </c>
      <c r="I195" s="919" t="s">
        <v>2437</v>
      </c>
      <c r="J195" s="919" t="s">
        <v>3491</v>
      </c>
      <c r="K195" s="919" t="s">
        <v>2466</v>
      </c>
      <c r="L195" s="919" t="s">
        <v>2142</v>
      </c>
      <c r="M195" s="919" t="s">
        <v>111</v>
      </c>
      <c r="N195" s="919" t="s">
        <v>2422</v>
      </c>
      <c r="O195" s="151" t="s">
        <v>3917</v>
      </c>
      <c r="P195" s="919" t="s">
        <v>19</v>
      </c>
      <c r="Q195" s="918" t="s">
        <v>7360</v>
      </c>
      <c r="R195" s="918" t="s">
        <v>7360</v>
      </c>
      <c r="S195" s="24" t="s">
        <v>7351</v>
      </c>
      <c r="T195" s="90" t="s">
        <v>7361</v>
      </c>
      <c r="U195" s="24" t="s">
        <v>7353</v>
      </c>
      <c r="V195" s="24">
        <v>1</v>
      </c>
      <c r="W195" s="24" t="s">
        <v>448</v>
      </c>
      <c r="X195" s="24" t="s">
        <v>448</v>
      </c>
      <c r="Y195" s="30">
        <v>4</v>
      </c>
      <c r="Z195" s="30"/>
      <c r="AA195" s="30">
        <v>4</v>
      </c>
      <c r="AB195" s="59"/>
      <c r="AC195" s="59"/>
      <c r="AD195" s="35" t="s">
        <v>1104</v>
      </c>
      <c r="AE195" s="202" t="s">
        <v>19</v>
      </c>
      <c r="AF195" s="35" t="s">
        <v>1880</v>
      </c>
      <c r="AG195" s="918"/>
    </row>
    <row r="196" spans="1:33" s="11" customFormat="1" ht="26.25" customHeight="1" x14ac:dyDescent="0.15">
      <c r="A196" s="8">
        <v>193</v>
      </c>
      <c r="B196" s="36" t="s">
        <v>7349</v>
      </c>
      <c r="C196" s="919" t="s">
        <v>111</v>
      </c>
      <c r="D196" s="919" t="s">
        <v>111</v>
      </c>
      <c r="E196" s="919" t="s">
        <v>111</v>
      </c>
      <c r="F196" s="29" t="s">
        <v>5946</v>
      </c>
      <c r="G196" s="29" t="s">
        <v>7388</v>
      </c>
      <c r="H196" s="917" t="s">
        <v>5948</v>
      </c>
      <c r="I196" s="917" t="s">
        <v>4692</v>
      </c>
      <c r="J196" s="917" t="s">
        <v>5952</v>
      </c>
      <c r="K196" s="22" t="s">
        <v>4780</v>
      </c>
      <c r="L196" s="22" t="s">
        <v>5431</v>
      </c>
      <c r="M196" s="919" t="s">
        <v>111</v>
      </c>
      <c r="N196" s="918" t="s">
        <v>1131</v>
      </c>
      <c r="O196" s="151" t="s">
        <v>7451</v>
      </c>
      <c r="P196" s="919" t="s">
        <v>19</v>
      </c>
      <c r="Q196" s="918" t="s">
        <v>7362</v>
      </c>
      <c r="R196" s="918" t="s">
        <v>7362</v>
      </c>
      <c r="S196" s="24" t="s">
        <v>7351</v>
      </c>
      <c r="T196" s="90" t="s">
        <v>7361</v>
      </c>
      <c r="U196" s="24" t="s">
        <v>110</v>
      </c>
      <c r="V196" s="24">
        <v>1</v>
      </c>
      <c r="W196" s="24" t="s">
        <v>448</v>
      </c>
      <c r="X196" s="24" t="s">
        <v>448</v>
      </c>
      <c r="Y196" s="30">
        <v>4.5</v>
      </c>
      <c r="Z196" s="30"/>
      <c r="AA196" s="30">
        <v>4.5</v>
      </c>
      <c r="AB196" s="59"/>
      <c r="AC196" s="59"/>
      <c r="AD196" s="35" t="s">
        <v>1104</v>
      </c>
      <c r="AE196" s="202" t="s">
        <v>19</v>
      </c>
      <c r="AF196" s="35" t="s">
        <v>1880</v>
      </c>
      <c r="AG196" s="918" t="s">
        <v>7364</v>
      </c>
    </row>
    <row r="197" spans="1:33" s="11" customFormat="1" ht="26.25" customHeight="1" x14ac:dyDescent="0.15">
      <c r="A197" s="8">
        <v>194</v>
      </c>
      <c r="B197" s="36" t="s">
        <v>7367</v>
      </c>
      <c r="C197" s="923" t="s">
        <v>111</v>
      </c>
      <c r="D197" s="923" t="s">
        <v>111</v>
      </c>
      <c r="E197" s="923" t="s">
        <v>111</v>
      </c>
      <c r="F197" s="151" t="s">
        <v>4285</v>
      </c>
      <c r="G197" s="98" t="s">
        <v>7465</v>
      </c>
      <c r="H197" s="923" t="s">
        <v>2012</v>
      </c>
      <c r="I197" s="923" t="s">
        <v>2533</v>
      </c>
      <c r="J197" s="923" t="s">
        <v>4287</v>
      </c>
      <c r="K197" s="923" t="s">
        <v>4286</v>
      </c>
      <c r="L197" s="923" t="s">
        <v>1826</v>
      </c>
      <c r="M197" s="923" t="s">
        <v>111</v>
      </c>
      <c r="N197" s="923" t="s">
        <v>1818</v>
      </c>
      <c r="O197" s="54" t="s">
        <v>116</v>
      </c>
      <c r="P197" s="22" t="s">
        <v>1880</v>
      </c>
      <c r="Q197" s="922" t="s">
        <v>3248</v>
      </c>
      <c r="R197" s="922" t="s">
        <v>3248</v>
      </c>
      <c r="S197" s="24" t="s">
        <v>7370</v>
      </c>
      <c r="T197" s="271" t="s">
        <v>7466</v>
      </c>
      <c r="U197" s="24" t="s">
        <v>110</v>
      </c>
      <c r="V197" s="24">
        <v>2</v>
      </c>
      <c r="W197" s="24" t="s">
        <v>6425</v>
      </c>
      <c r="X197" s="24" t="s">
        <v>5552</v>
      </c>
      <c r="Y197" s="30"/>
      <c r="Z197" s="30">
        <v>8.9</v>
      </c>
      <c r="AA197" s="30">
        <v>8.9</v>
      </c>
      <c r="AB197" s="59"/>
      <c r="AC197" s="59"/>
      <c r="AD197" s="35" t="s">
        <v>1104</v>
      </c>
      <c r="AE197" s="202" t="s">
        <v>19</v>
      </c>
      <c r="AF197" s="35" t="s">
        <v>1880</v>
      </c>
      <c r="AG197" s="922" t="s">
        <v>7371</v>
      </c>
    </row>
    <row r="198" spans="1:33" s="11" customFormat="1" ht="26.25" customHeight="1" x14ac:dyDescent="0.15">
      <c r="A198" s="8">
        <v>195</v>
      </c>
      <c r="B198" s="36" t="s">
        <v>7368</v>
      </c>
      <c r="C198" s="923" t="s">
        <v>111</v>
      </c>
      <c r="D198" s="923" t="s">
        <v>111</v>
      </c>
      <c r="E198" s="923" t="s">
        <v>111</v>
      </c>
      <c r="F198" s="29" t="s">
        <v>6099</v>
      </c>
      <c r="G198" s="98" t="s">
        <v>7393</v>
      </c>
      <c r="H198" s="921" t="s">
        <v>4691</v>
      </c>
      <c r="I198" s="921" t="s">
        <v>4750</v>
      </c>
      <c r="J198" s="921" t="s">
        <v>5366</v>
      </c>
      <c r="K198" s="22" t="s">
        <v>6101</v>
      </c>
      <c r="L198" s="22" t="s">
        <v>5431</v>
      </c>
      <c r="M198" s="923" t="s">
        <v>111</v>
      </c>
      <c r="N198" s="922" t="s">
        <v>1131</v>
      </c>
      <c r="O198" s="54" t="s">
        <v>116</v>
      </c>
      <c r="P198" s="22" t="s">
        <v>1880</v>
      </c>
      <c r="Q198" s="922" t="s">
        <v>5571</v>
      </c>
      <c r="R198" s="922" t="s">
        <v>5571</v>
      </c>
      <c r="S198" s="24" t="s">
        <v>7370</v>
      </c>
      <c r="T198" s="90" t="s">
        <v>7394</v>
      </c>
      <c r="U198" s="24" t="s">
        <v>110</v>
      </c>
      <c r="V198" s="24">
        <v>1</v>
      </c>
      <c r="W198" s="24" t="s">
        <v>6425</v>
      </c>
      <c r="X198" s="24" t="s">
        <v>5552</v>
      </c>
      <c r="Y198" s="30"/>
      <c r="Z198" s="30">
        <v>8.8000000000000007</v>
      </c>
      <c r="AA198" s="30">
        <v>8.8000000000000007</v>
      </c>
      <c r="AB198" s="59"/>
      <c r="AC198" s="59"/>
      <c r="AD198" s="35" t="s">
        <v>1104</v>
      </c>
      <c r="AE198" s="202" t="s">
        <v>19</v>
      </c>
      <c r="AF198" s="35" t="s">
        <v>1880</v>
      </c>
      <c r="AG198" s="922" t="s">
        <v>7372</v>
      </c>
    </row>
    <row r="199" spans="1:33" s="11" customFormat="1" ht="26.25" customHeight="1" x14ac:dyDescent="0.15">
      <c r="A199" s="8">
        <v>196</v>
      </c>
      <c r="B199" s="36" t="s">
        <v>7369</v>
      </c>
      <c r="C199" s="71" t="s">
        <v>7374</v>
      </c>
      <c r="D199" s="923" t="s">
        <v>111</v>
      </c>
      <c r="E199" s="923" t="s">
        <v>111</v>
      </c>
      <c r="F199" s="29" t="s">
        <v>7373</v>
      </c>
      <c r="G199" s="29" t="s">
        <v>7389</v>
      </c>
      <c r="H199" s="921" t="s">
        <v>4712</v>
      </c>
      <c r="I199" s="921" t="s">
        <v>1124</v>
      </c>
      <c r="J199" s="921" t="s">
        <v>7260</v>
      </c>
      <c r="K199" s="22" t="s">
        <v>4780</v>
      </c>
      <c r="L199" s="22" t="s">
        <v>5431</v>
      </c>
      <c r="M199" s="923" t="s">
        <v>111</v>
      </c>
      <c r="N199" s="922" t="s">
        <v>1131</v>
      </c>
      <c r="O199" s="151" t="s">
        <v>3917</v>
      </c>
      <c r="P199" s="22" t="s">
        <v>1880</v>
      </c>
      <c r="Q199" s="922" t="s">
        <v>5571</v>
      </c>
      <c r="R199" s="922" t="s">
        <v>5571</v>
      </c>
      <c r="S199" s="24" t="s">
        <v>7370</v>
      </c>
      <c r="T199" s="90" t="s">
        <v>7390</v>
      </c>
      <c r="U199" s="24" t="s">
        <v>110</v>
      </c>
      <c r="V199" s="24">
        <v>1</v>
      </c>
      <c r="W199" s="24" t="s">
        <v>448</v>
      </c>
      <c r="X199" s="24" t="s">
        <v>448</v>
      </c>
      <c r="Y199" s="30">
        <v>6.95</v>
      </c>
      <c r="Z199" s="30"/>
      <c r="AA199" s="30">
        <v>6.95</v>
      </c>
      <c r="AB199" s="59"/>
      <c r="AC199" s="59"/>
      <c r="AD199" s="35" t="s">
        <v>1104</v>
      </c>
      <c r="AE199" s="202" t="s">
        <v>19</v>
      </c>
      <c r="AF199" s="35" t="s">
        <v>1880</v>
      </c>
      <c r="AG199" s="922"/>
    </row>
    <row r="200" spans="1:33" s="11" customFormat="1" ht="26.25" customHeight="1" x14ac:dyDescent="0.15">
      <c r="A200" s="8">
        <v>197</v>
      </c>
      <c r="B200" s="36" t="s">
        <v>7375</v>
      </c>
      <c r="C200" s="923" t="s">
        <v>111</v>
      </c>
      <c r="D200" s="923" t="s">
        <v>111</v>
      </c>
      <c r="E200" s="923" t="s">
        <v>111</v>
      </c>
      <c r="F200" s="29" t="s">
        <v>6248</v>
      </c>
      <c r="G200" s="53" t="s">
        <v>7378</v>
      </c>
      <c r="H200" s="921" t="s">
        <v>4195</v>
      </c>
      <c r="I200" s="921" t="s">
        <v>4728</v>
      </c>
      <c r="J200" s="921" t="s">
        <v>5399</v>
      </c>
      <c r="K200" s="22" t="s">
        <v>6250</v>
      </c>
      <c r="L200" s="22" t="s">
        <v>5431</v>
      </c>
      <c r="M200" s="923" t="s">
        <v>1880</v>
      </c>
      <c r="N200" s="922" t="s">
        <v>1131</v>
      </c>
      <c r="O200" s="54" t="s">
        <v>116</v>
      </c>
      <c r="P200" s="22" t="s">
        <v>1880</v>
      </c>
      <c r="Q200" s="922" t="s">
        <v>1894</v>
      </c>
      <c r="R200" s="922" t="s">
        <v>1894</v>
      </c>
      <c r="S200" s="24" t="s">
        <v>7370</v>
      </c>
      <c r="T200" s="90" t="s">
        <v>7352</v>
      </c>
      <c r="U200" s="24" t="s">
        <v>110</v>
      </c>
      <c r="V200" s="24">
        <v>2</v>
      </c>
      <c r="W200" s="24" t="s">
        <v>7352</v>
      </c>
      <c r="X200" s="24" t="s">
        <v>7354</v>
      </c>
      <c r="Y200" s="30"/>
      <c r="Z200" s="30">
        <v>9.6</v>
      </c>
      <c r="AA200" s="30">
        <v>9.6</v>
      </c>
      <c r="AB200" s="59"/>
      <c r="AC200" s="59"/>
      <c r="AD200" s="35" t="s">
        <v>1104</v>
      </c>
      <c r="AE200" s="202" t="s">
        <v>19</v>
      </c>
      <c r="AF200" s="35" t="s">
        <v>1880</v>
      </c>
      <c r="AG200" s="922"/>
    </row>
    <row r="201" spans="1:33" s="11" customFormat="1" ht="26.25" customHeight="1" x14ac:dyDescent="0.15">
      <c r="A201" s="8">
        <v>198</v>
      </c>
      <c r="B201" s="36" t="s">
        <v>7376</v>
      </c>
      <c r="C201" s="923" t="s">
        <v>111</v>
      </c>
      <c r="D201" s="923" t="s">
        <v>111</v>
      </c>
      <c r="E201" s="923" t="s">
        <v>111</v>
      </c>
      <c r="F201" s="29" t="s">
        <v>5656</v>
      </c>
      <c r="G201" s="53" t="s">
        <v>7379</v>
      </c>
      <c r="H201" s="921" t="s">
        <v>4691</v>
      </c>
      <c r="I201" s="921" t="s">
        <v>4728</v>
      </c>
      <c r="J201" s="921" t="s">
        <v>5658</v>
      </c>
      <c r="K201" s="22" t="s">
        <v>5659</v>
      </c>
      <c r="L201" s="22" t="s">
        <v>5431</v>
      </c>
      <c r="M201" s="923" t="s">
        <v>1880</v>
      </c>
      <c r="N201" s="922" t="s">
        <v>25</v>
      </c>
      <c r="O201" s="54" t="s">
        <v>116</v>
      </c>
      <c r="P201" s="22" t="s">
        <v>1880</v>
      </c>
      <c r="Q201" s="922" t="s">
        <v>1894</v>
      </c>
      <c r="R201" s="922" t="s">
        <v>1894</v>
      </c>
      <c r="S201" s="24" t="s">
        <v>7370</v>
      </c>
      <c r="T201" s="90" t="s">
        <v>7380</v>
      </c>
      <c r="U201" s="24" t="s">
        <v>110</v>
      </c>
      <c r="V201" s="24">
        <v>1</v>
      </c>
      <c r="W201" s="24" t="s">
        <v>7380</v>
      </c>
      <c r="X201" s="24" t="s">
        <v>7381</v>
      </c>
      <c r="Y201" s="30"/>
      <c r="Z201" s="30">
        <v>9.6</v>
      </c>
      <c r="AA201" s="30">
        <v>9.6</v>
      </c>
      <c r="AB201" s="59"/>
      <c r="AC201" s="59"/>
      <c r="AD201" s="35" t="s">
        <v>1104</v>
      </c>
      <c r="AE201" s="202" t="s">
        <v>19</v>
      </c>
      <c r="AF201" s="35" t="s">
        <v>1880</v>
      </c>
      <c r="AG201" s="922"/>
    </row>
    <row r="202" spans="1:33" s="11" customFormat="1" ht="26.25" customHeight="1" x14ac:dyDescent="0.15">
      <c r="A202" s="8">
        <v>199</v>
      </c>
      <c r="B202" s="36" t="s">
        <v>7377</v>
      </c>
      <c r="C202" s="71" t="s">
        <v>7383</v>
      </c>
      <c r="D202" s="923" t="s">
        <v>111</v>
      </c>
      <c r="E202" s="923" t="s">
        <v>111</v>
      </c>
      <c r="F202" s="29" t="s">
        <v>7384</v>
      </c>
      <c r="G202" s="53" t="s">
        <v>7385</v>
      </c>
      <c r="H202" s="921" t="s">
        <v>4195</v>
      </c>
      <c r="I202" s="921" t="s">
        <v>5419</v>
      </c>
      <c r="J202" s="921" t="s">
        <v>7382</v>
      </c>
      <c r="K202" s="22" t="s">
        <v>4780</v>
      </c>
      <c r="L202" s="22" t="s">
        <v>5431</v>
      </c>
      <c r="M202" s="923" t="s">
        <v>1880</v>
      </c>
      <c r="N202" s="922" t="s">
        <v>686</v>
      </c>
      <c r="O202" s="54" t="s">
        <v>6798</v>
      </c>
      <c r="P202" s="22" t="s">
        <v>1880</v>
      </c>
      <c r="Q202" s="922" t="s">
        <v>5480</v>
      </c>
      <c r="R202" s="922" t="s">
        <v>5480</v>
      </c>
      <c r="S202" s="24" t="s">
        <v>7370</v>
      </c>
      <c r="T202" s="90" t="s">
        <v>7386</v>
      </c>
      <c r="U202" s="24" t="s">
        <v>108</v>
      </c>
      <c r="V202" s="24">
        <v>1</v>
      </c>
      <c r="W202" s="24" t="s">
        <v>448</v>
      </c>
      <c r="X202" s="24" t="s">
        <v>448</v>
      </c>
      <c r="Y202" s="30">
        <v>14</v>
      </c>
      <c r="Z202" s="30"/>
      <c r="AA202" s="30">
        <v>14</v>
      </c>
      <c r="AB202" s="59"/>
      <c r="AC202" s="59"/>
      <c r="AD202" s="35" t="s">
        <v>1104</v>
      </c>
      <c r="AE202" s="202" t="s">
        <v>19</v>
      </c>
      <c r="AF202" s="35" t="s">
        <v>1880</v>
      </c>
      <c r="AG202" s="922"/>
    </row>
    <row r="203" spans="1:33" s="11" customFormat="1" ht="26.25" customHeight="1" x14ac:dyDescent="0.15">
      <c r="A203" s="8">
        <v>200</v>
      </c>
      <c r="B203" s="36" t="s">
        <v>7387</v>
      </c>
      <c r="C203" s="926" t="s">
        <v>111</v>
      </c>
      <c r="D203" s="206" t="s">
        <v>111</v>
      </c>
      <c r="E203" s="926" t="s">
        <v>111</v>
      </c>
      <c r="F203" s="29" t="s">
        <v>4133</v>
      </c>
      <c r="G203" s="99" t="s">
        <v>5486</v>
      </c>
      <c r="H203" s="924" t="s">
        <v>3649</v>
      </c>
      <c r="I203" s="924" t="s">
        <v>4750</v>
      </c>
      <c r="J203" s="924" t="s">
        <v>7391</v>
      </c>
      <c r="K203" s="22" t="s">
        <v>1730</v>
      </c>
      <c r="L203" s="22" t="s">
        <v>5431</v>
      </c>
      <c r="M203" s="926" t="s">
        <v>1880</v>
      </c>
      <c r="N203" s="925" t="s">
        <v>25</v>
      </c>
      <c r="O203" s="151" t="s">
        <v>4644</v>
      </c>
      <c r="P203" s="22" t="s">
        <v>1880</v>
      </c>
      <c r="Q203" s="925" t="s">
        <v>2072</v>
      </c>
      <c r="R203" s="925" t="s">
        <v>2072</v>
      </c>
      <c r="S203" s="24" t="s">
        <v>7392</v>
      </c>
      <c r="T203" s="24" t="s">
        <v>448</v>
      </c>
      <c r="U203" s="24" t="s">
        <v>448</v>
      </c>
      <c r="V203" s="24" t="s">
        <v>448</v>
      </c>
      <c r="W203" s="24" t="s">
        <v>448</v>
      </c>
      <c r="X203" s="24" t="s">
        <v>448</v>
      </c>
      <c r="Y203" s="30">
        <v>3.85</v>
      </c>
      <c r="Z203" s="30"/>
      <c r="AA203" s="30">
        <v>3.85</v>
      </c>
      <c r="AB203" s="59"/>
      <c r="AC203" s="59"/>
      <c r="AD203" s="35" t="s">
        <v>1104</v>
      </c>
      <c r="AE203" s="202" t="s">
        <v>19</v>
      </c>
      <c r="AF203" s="35" t="s">
        <v>1880</v>
      </c>
      <c r="AG203" s="925"/>
    </row>
    <row r="204" spans="1:33" s="11" customFormat="1" ht="36.75" customHeight="1" x14ac:dyDescent="0.15">
      <c r="A204" s="8">
        <v>201</v>
      </c>
      <c r="B204" s="36" t="s">
        <v>7395</v>
      </c>
      <c r="C204" s="926" t="s">
        <v>111</v>
      </c>
      <c r="D204" s="926" t="s">
        <v>111</v>
      </c>
      <c r="E204" s="926" t="s">
        <v>111</v>
      </c>
      <c r="F204" s="29" t="s">
        <v>6231</v>
      </c>
      <c r="G204" s="53" t="s">
        <v>7396</v>
      </c>
      <c r="H204" s="924" t="s">
        <v>4195</v>
      </c>
      <c r="I204" s="925" t="s">
        <v>4728</v>
      </c>
      <c r="J204" s="924" t="s">
        <v>6233</v>
      </c>
      <c r="K204" s="22" t="s">
        <v>6236</v>
      </c>
      <c r="L204" s="22" t="s">
        <v>5431</v>
      </c>
      <c r="M204" s="926" t="s">
        <v>1880</v>
      </c>
      <c r="N204" s="216" t="s">
        <v>25</v>
      </c>
      <c r="O204" s="54" t="s">
        <v>116</v>
      </c>
      <c r="P204" s="22" t="s">
        <v>1880</v>
      </c>
      <c r="Q204" s="925" t="s">
        <v>1894</v>
      </c>
      <c r="R204" s="925" t="s">
        <v>1894</v>
      </c>
      <c r="S204" s="24" t="s">
        <v>7397</v>
      </c>
      <c r="T204" s="90" t="s">
        <v>7398</v>
      </c>
      <c r="U204" s="24" t="s">
        <v>110</v>
      </c>
      <c r="V204" s="24">
        <v>2</v>
      </c>
      <c r="W204" s="24" t="s">
        <v>7398</v>
      </c>
      <c r="X204" s="24" t="s">
        <v>7399</v>
      </c>
      <c r="Y204" s="30"/>
      <c r="Z204" s="30">
        <v>9.6</v>
      </c>
      <c r="AA204" s="30">
        <v>9.6</v>
      </c>
      <c r="AB204" s="59"/>
      <c r="AC204" s="59"/>
      <c r="AD204" s="35" t="s">
        <v>1104</v>
      </c>
      <c r="AE204" s="202" t="s">
        <v>19</v>
      </c>
      <c r="AF204" s="35" t="s">
        <v>1880</v>
      </c>
      <c r="AG204" s="925"/>
    </row>
    <row r="205" spans="1:33" s="11" customFormat="1" ht="26.25" customHeight="1" x14ac:dyDescent="0.15">
      <c r="A205" s="8">
        <v>202</v>
      </c>
      <c r="B205" s="36" t="s">
        <v>7400</v>
      </c>
      <c r="C205" s="71" t="s">
        <v>7401</v>
      </c>
      <c r="D205" s="928" t="s">
        <v>111</v>
      </c>
      <c r="E205" s="928" t="s">
        <v>111</v>
      </c>
      <c r="F205" s="29" t="s">
        <v>7402</v>
      </c>
      <c r="G205" s="53" t="s">
        <v>7477</v>
      </c>
      <c r="H205" s="927" t="s">
        <v>4712</v>
      </c>
      <c r="I205" s="927" t="s">
        <v>4196</v>
      </c>
      <c r="J205" s="927" t="s">
        <v>7403</v>
      </c>
      <c r="K205" s="22" t="s">
        <v>7404</v>
      </c>
      <c r="L205" s="22" t="s">
        <v>5431</v>
      </c>
      <c r="M205" s="928" t="s">
        <v>1880</v>
      </c>
      <c r="N205" s="927" t="s">
        <v>2441</v>
      </c>
      <c r="O205" s="54" t="s">
        <v>7476</v>
      </c>
      <c r="P205" s="22" t="s">
        <v>1880</v>
      </c>
      <c r="Q205" s="925" t="s">
        <v>7405</v>
      </c>
      <c r="R205" s="925" t="s">
        <v>7405</v>
      </c>
      <c r="S205" s="24" t="s">
        <v>7406</v>
      </c>
      <c r="T205" s="224" t="s">
        <v>7478</v>
      </c>
      <c r="U205" s="24" t="s">
        <v>110</v>
      </c>
      <c r="V205" s="24">
        <v>1</v>
      </c>
      <c r="W205" s="24" t="s">
        <v>448</v>
      </c>
      <c r="X205" s="24" t="s">
        <v>448</v>
      </c>
      <c r="Y205" s="30">
        <v>20.418099999999999</v>
      </c>
      <c r="Z205" s="30"/>
      <c r="AA205" s="30">
        <v>20.418099999999999</v>
      </c>
      <c r="AB205" s="59"/>
      <c r="AC205" s="59"/>
      <c r="AD205" s="35" t="s">
        <v>1104</v>
      </c>
      <c r="AE205" s="202" t="s">
        <v>19</v>
      </c>
      <c r="AF205" s="35" t="s">
        <v>1880</v>
      </c>
      <c r="AG205" s="925"/>
    </row>
    <row r="206" spans="1:33" s="11" customFormat="1" ht="26.25" customHeight="1" x14ac:dyDescent="0.15">
      <c r="A206" s="8">
        <v>203</v>
      </c>
      <c r="B206" s="36" t="s">
        <v>7407</v>
      </c>
      <c r="C206" s="930" t="s">
        <v>111</v>
      </c>
      <c r="D206" s="930" t="s">
        <v>111</v>
      </c>
      <c r="E206" s="930" t="s">
        <v>111</v>
      </c>
      <c r="F206" s="29" t="s">
        <v>7408</v>
      </c>
      <c r="G206" s="53" t="s">
        <v>7485</v>
      </c>
      <c r="H206" s="929" t="s">
        <v>2112</v>
      </c>
      <c r="I206" s="929" t="s">
        <v>4701</v>
      </c>
      <c r="J206" s="929" t="s">
        <v>6136</v>
      </c>
      <c r="K206" s="22" t="s">
        <v>7409</v>
      </c>
      <c r="L206" s="22" t="s">
        <v>5431</v>
      </c>
      <c r="M206" s="930" t="s">
        <v>1880</v>
      </c>
      <c r="N206" s="216" t="s">
        <v>25</v>
      </c>
      <c r="O206" s="54" t="s">
        <v>116</v>
      </c>
      <c r="P206" s="22" t="s">
        <v>1880</v>
      </c>
      <c r="Q206" s="925" t="s">
        <v>7410</v>
      </c>
      <c r="R206" s="925" t="s">
        <v>7410</v>
      </c>
      <c r="S206" s="24" t="s">
        <v>7411</v>
      </c>
      <c r="T206" s="90" t="s">
        <v>7486</v>
      </c>
      <c r="U206" s="24" t="s">
        <v>110</v>
      </c>
      <c r="V206" s="24">
        <v>1</v>
      </c>
      <c r="W206" s="24" t="s">
        <v>6425</v>
      </c>
      <c r="X206" s="24" t="s">
        <v>5552</v>
      </c>
      <c r="Y206" s="30"/>
      <c r="Z206" s="30">
        <v>12</v>
      </c>
      <c r="AA206" s="30">
        <v>12</v>
      </c>
      <c r="AB206" s="59"/>
      <c r="AC206" s="59"/>
      <c r="AD206" s="35" t="s">
        <v>1104</v>
      </c>
      <c r="AE206" s="202" t="s">
        <v>19</v>
      </c>
      <c r="AF206" s="35" t="s">
        <v>1880</v>
      </c>
      <c r="AG206" s="925"/>
    </row>
    <row r="207" spans="1:33" s="11" customFormat="1" ht="26.25" customHeight="1" x14ac:dyDescent="0.15">
      <c r="A207" s="8">
        <v>204</v>
      </c>
      <c r="B207" s="36" t="s">
        <v>7414</v>
      </c>
      <c r="C207" s="932" t="s">
        <v>111</v>
      </c>
      <c r="D207" s="932" t="s">
        <v>111</v>
      </c>
      <c r="E207" s="932" t="s">
        <v>111</v>
      </c>
      <c r="F207" s="151" t="s">
        <v>3288</v>
      </c>
      <c r="G207" s="47" t="s">
        <v>3289</v>
      </c>
      <c r="H207" s="932" t="s">
        <v>1147</v>
      </c>
      <c r="I207" s="932" t="s">
        <v>3215</v>
      </c>
      <c r="J207" s="21" t="s">
        <v>3290</v>
      </c>
      <c r="K207" s="932" t="s">
        <v>1138</v>
      </c>
      <c r="L207" s="932" t="s">
        <v>1826</v>
      </c>
      <c r="M207" s="932" t="s">
        <v>111</v>
      </c>
      <c r="N207" s="932" t="s">
        <v>1818</v>
      </c>
      <c r="O207" s="151" t="s">
        <v>7439</v>
      </c>
      <c r="P207" s="932" t="s">
        <v>111</v>
      </c>
      <c r="Q207" s="931" t="s">
        <v>7428</v>
      </c>
      <c r="R207" s="931" t="s">
        <v>2072</v>
      </c>
      <c r="S207" s="24" t="s">
        <v>7406</v>
      </c>
      <c r="T207" s="90" t="s">
        <v>7436</v>
      </c>
      <c r="U207" s="932" t="s">
        <v>2359</v>
      </c>
      <c r="V207" s="932">
        <v>1</v>
      </c>
      <c r="W207" s="932" t="s">
        <v>7434</v>
      </c>
      <c r="X207" s="932" t="s">
        <v>7435</v>
      </c>
      <c r="Y207" s="30"/>
      <c r="Z207" s="30">
        <v>12.12</v>
      </c>
      <c r="AA207" s="30">
        <v>12.12</v>
      </c>
      <c r="AB207" s="59"/>
      <c r="AC207" s="59"/>
      <c r="AD207" s="932" t="s">
        <v>1104</v>
      </c>
      <c r="AE207" s="202" t="s">
        <v>19</v>
      </c>
      <c r="AF207" s="35" t="s">
        <v>1880</v>
      </c>
      <c r="AG207" s="931"/>
    </row>
    <row r="208" spans="1:33" s="11" customFormat="1" ht="26.25" customHeight="1" x14ac:dyDescent="0.15">
      <c r="A208" s="8">
        <v>205</v>
      </c>
      <c r="B208" s="36" t="s">
        <v>7429</v>
      </c>
      <c r="C208" s="932" t="s">
        <v>111</v>
      </c>
      <c r="D208" s="932" t="s">
        <v>111</v>
      </c>
      <c r="E208" s="932" t="s">
        <v>111</v>
      </c>
      <c r="F208" s="151" t="s">
        <v>3294</v>
      </c>
      <c r="G208" s="47" t="s">
        <v>3299</v>
      </c>
      <c r="H208" s="932" t="s">
        <v>1147</v>
      </c>
      <c r="I208" s="932" t="s">
        <v>3215</v>
      </c>
      <c r="J208" s="84" t="s">
        <v>3341</v>
      </c>
      <c r="K208" s="932" t="s">
        <v>1138</v>
      </c>
      <c r="L208" s="932" t="s">
        <v>1826</v>
      </c>
      <c r="M208" s="932" t="s">
        <v>111</v>
      </c>
      <c r="N208" s="932" t="s">
        <v>1818</v>
      </c>
      <c r="O208" s="151" t="s">
        <v>7439</v>
      </c>
      <c r="P208" s="932" t="s">
        <v>111</v>
      </c>
      <c r="Q208" s="931" t="s">
        <v>7428</v>
      </c>
      <c r="R208" s="931" t="s">
        <v>2072</v>
      </c>
      <c r="S208" s="24" t="s">
        <v>7406</v>
      </c>
      <c r="T208" s="90" t="s">
        <v>7436</v>
      </c>
      <c r="U208" s="932" t="s">
        <v>2359</v>
      </c>
      <c r="V208" s="932">
        <v>1</v>
      </c>
      <c r="W208" s="932" t="s">
        <v>7437</v>
      </c>
      <c r="X208" s="932" t="s">
        <v>7438</v>
      </c>
      <c r="Y208" s="30"/>
      <c r="Z208" s="30">
        <v>12.12</v>
      </c>
      <c r="AA208" s="30">
        <v>12.12</v>
      </c>
      <c r="AB208" s="59"/>
      <c r="AC208" s="59"/>
      <c r="AD208" s="932" t="s">
        <v>1104</v>
      </c>
      <c r="AE208" s="202" t="s">
        <v>19</v>
      </c>
      <c r="AF208" s="35" t="s">
        <v>1880</v>
      </c>
      <c r="AG208" s="931"/>
    </row>
    <row r="209" spans="1:33" s="11" customFormat="1" ht="26.25" customHeight="1" x14ac:dyDescent="0.15">
      <c r="A209" s="8">
        <v>206</v>
      </c>
      <c r="B209" s="36" t="s">
        <v>7430</v>
      </c>
      <c r="C209" s="932" t="s">
        <v>111</v>
      </c>
      <c r="D209" s="932" t="s">
        <v>111</v>
      </c>
      <c r="E209" s="932" t="s">
        <v>111</v>
      </c>
      <c r="F209" s="54" t="s">
        <v>3294</v>
      </c>
      <c r="G209" s="47" t="s">
        <v>3299</v>
      </c>
      <c r="H209" s="932" t="s">
        <v>1147</v>
      </c>
      <c r="I209" s="932" t="s">
        <v>3215</v>
      </c>
      <c r="J209" s="84" t="s">
        <v>3339</v>
      </c>
      <c r="K209" s="932" t="s">
        <v>1138</v>
      </c>
      <c r="L209" s="932" t="s">
        <v>1826</v>
      </c>
      <c r="M209" s="932" t="s">
        <v>111</v>
      </c>
      <c r="N209" s="932" t="s">
        <v>1818</v>
      </c>
      <c r="O209" s="151" t="s">
        <v>7439</v>
      </c>
      <c r="P209" s="932" t="s">
        <v>111</v>
      </c>
      <c r="Q209" s="931" t="s">
        <v>7428</v>
      </c>
      <c r="R209" s="931" t="s">
        <v>2072</v>
      </c>
      <c r="S209" s="24" t="s">
        <v>7406</v>
      </c>
      <c r="T209" s="90" t="s">
        <v>7436</v>
      </c>
      <c r="U209" s="932" t="s">
        <v>2359</v>
      </c>
      <c r="V209" s="932">
        <v>1</v>
      </c>
      <c r="W209" s="933" t="s">
        <v>7437</v>
      </c>
      <c r="X209" s="933" t="s">
        <v>7438</v>
      </c>
      <c r="Y209" s="30"/>
      <c r="Z209" s="30">
        <v>12.12</v>
      </c>
      <c r="AA209" s="30">
        <v>12.12</v>
      </c>
      <c r="AB209" s="59"/>
      <c r="AC209" s="59"/>
      <c r="AD209" s="932" t="s">
        <v>1104</v>
      </c>
      <c r="AE209" s="202" t="s">
        <v>19</v>
      </c>
      <c r="AF209" s="35" t="s">
        <v>1880</v>
      </c>
      <c r="AG209" s="931"/>
    </row>
    <row r="210" spans="1:33" s="11" customFormat="1" ht="26.25" customHeight="1" x14ac:dyDescent="0.15">
      <c r="A210" s="8">
        <v>207</v>
      </c>
      <c r="B210" s="36" t="s">
        <v>7431</v>
      </c>
      <c r="C210" s="932" t="s">
        <v>111</v>
      </c>
      <c r="D210" s="932" t="s">
        <v>111</v>
      </c>
      <c r="E210" s="932" t="s">
        <v>111</v>
      </c>
      <c r="F210" s="54" t="s">
        <v>3294</v>
      </c>
      <c r="G210" s="47" t="s">
        <v>3299</v>
      </c>
      <c r="H210" s="932" t="s">
        <v>1147</v>
      </c>
      <c r="I210" s="932" t="s">
        <v>3215</v>
      </c>
      <c r="J210" s="84" t="s">
        <v>3340</v>
      </c>
      <c r="K210" s="932" t="s">
        <v>1138</v>
      </c>
      <c r="L210" s="932" t="s">
        <v>1826</v>
      </c>
      <c r="M210" s="932" t="s">
        <v>111</v>
      </c>
      <c r="N210" s="932" t="s">
        <v>1818</v>
      </c>
      <c r="O210" s="151" t="s">
        <v>7439</v>
      </c>
      <c r="P210" s="932" t="s">
        <v>111</v>
      </c>
      <c r="Q210" s="931" t="s">
        <v>7428</v>
      </c>
      <c r="R210" s="931" t="s">
        <v>2072</v>
      </c>
      <c r="S210" s="24" t="s">
        <v>7406</v>
      </c>
      <c r="T210" s="90" t="s">
        <v>7436</v>
      </c>
      <c r="U210" s="932" t="s">
        <v>2359</v>
      </c>
      <c r="V210" s="932">
        <v>1</v>
      </c>
      <c r="W210" s="933" t="s">
        <v>7437</v>
      </c>
      <c r="X210" s="933" t="s">
        <v>7438</v>
      </c>
      <c r="Y210" s="30"/>
      <c r="Z210" s="30">
        <v>12.12</v>
      </c>
      <c r="AA210" s="30">
        <v>12.12</v>
      </c>
      <c r="AB210" s="59"/>
      <c r="AC210" s="59"/>
      <c r="AD210" s="932" t="s">
        <v>1104</v>
      </c>
      <c r="AE210" s="202" t="s">
        <v>19</v>
      </c>
      <c r="AF210" s="35" t="s">
        <v>1880</v>
      </c>
      <c r="AG210" s="931"/>
    </row>
    <row r="211" spans="1:33" s="11" customFormat="1" ht="26.25" customHeight="1" x14ac:dyDescent="0.15">
      <c r="A211" s="8">
        <v>208</v>
      </c>
      <c r="B211" s="36" t="s">
        <v>7432</v>
      </c>
      <c r="C211" s="932" t="s">
        <v>111</v>
      </c>
      <c r="D211" s="932" t="s">
        <v>111</v>
      </c>
      <c r="E211" s="932" t="s">
        <v>111</v>
      </c>
      <c r="F211" s="54" t="s">
        <v>3294</v>
      </c>
      <c r="G211" s="47" t="s">
        <v>3298</v>
      </c>
      <c r="H211" s="932" t="s">
        <v>1147</v>
      </c>
      <c r="I211" s="932" t="s">
        <v>3215</v>
      </c>
      <c r="J211" s="84" t="s">
        <v>3297</v>
      </c>
      <c r="K211" s="932" t="s">
        <v>3332</v>
      </c>
      <c r="L211" s="932" t="s">
        <v>1826</v>
      </c>
      <c r="M211" s="932" t="s">
        <v>111</v>
      </c>
      <c r="N211" s="932" t="s">
        <v>1818</v>
      </c>
      <c r="O211" s="151" t="s">
        <v>7439</v>
      </c>
      <c r="P211" s="932" t="s">
        <v>111</v>
      </c>
      <c r="Q211" s="931" t="s">
        <v>7428</v>
      </c>
      <c r="R211" s="931" t="s">
        <v>2072</v>
      </c>
      <c r="S211" s="24" t="s">
        <v>7406</v>
      </c>
      <c r="T211" s="90" t="s">
        <v>7436</v>
      </c>
      <c r="U211" s="932" t="s">
        <v>2359</v>
      </c>
      <c r="V211" s="932">
        <v>1</v>
      </c>
      <c r="W211" s="933" t="s">
        <v>7434</v>
      </c>
      <c r="X211" s="933" t="s">
        <v>7435</v>
      </c>
      <c r="Y211" s="30"/>
      <c r="Z211" s="30">
        <v>12.12</v>
      </c>
      <c r="AA211" s="30">
        <v>12.12</v>
      </c>
      <c r="AB211" s="59"/>
      <c r="AC211" s="59"/>
      <c r="AD211" s="932" t="s">
        <v>1104</v>
      </c>
      <c r="AE211" s="202" t="s">
        <v>19</v>
      </c>
      <c r="AF211" s="35" t="s">
        <v>1880</v>
      </c>
      <c r="AG211" s="931"/>
    </row>
    <row r="212" spans="1:33" s="11" customFormat="1" ht="26.25" customHeight="1" x14ac:dyDescent="0.15">
      <c r="A212" s="8">
        <v>209</v>
      </c>
      <c r="B212" s="36" t="s">
        <v>7433</v>
      </c>
      <c r="C212" s="932" t="s">
        <v>111</v>
      </c>
      <c r="D212" s="932" t="s">
        <v>111</v>
      </c>
      <c r="E212" s="932" t="s">
        <v>111</v>
      </c>
      <c r="F212" s="54" t="s">
        <v>3300</v>
      </c>
      <c r="G212" s="54" t="s">
        <v>3301</v>
      </c>
      <c r="H212" s="932" t="s">
        <v>1147</v>
      </c>
      <c r="I212" s="932" t="s">
        <v>3215</v>
      </c>
      <c r="J212" s="21" t="s">
        <v>3302</v>
      </c>
      <c r="K212" s="932" t="s">
        <v>3333</v>
      </c>
      <c r="L212" s="932" t="s">
        <v>1826</v>
      </c>
      <c r="M212" s="932" t="s">
        <v>111</v>
      </c>
      <c r="N212" s="932" t="s">
        <v>1818</v>
      </c>
      <c r="O212" s="151" t="s">
        <v>7439</v>
      </c>
      <c r="P212" s="932" t="s">
        <v>111</v>
      </c>
      <c r="Q212" s="931" t="s">
        <v>7428</v>
      </c>
      <c r="R212" s="931" t="s">
        <v>2072</v>
      </c>
      <c r="S212" s="24" t="s">
        <v>7406</v>
      </c>
      <c r="T212" s="90" t="s">
        <v>7436</v>
      </c>
      <c r="U212" s="932" t="s">
        <v>2359</v>
      </c>
      <c r="V212" s="932">
        <v>1</v>
      </c>
      <c r="W212" s="933" t="s">
        <v>7434</v>
      </c>
      <c r="X212" s="933" t="s">
        <v>7435</v>
      </c>
      <c r="Y212" s="30"/>
      <c r="Z212" s="30">
        <v>12.12</v>
      </c>
      <c r="AA212" s="30">
        <v>12.12</v>
      </c>
      <c r="AB212" s="59"/>
      <c r="AC212" s="59"/>
      <c r="AD212" s="932" t="s">
        <v>1104</v>
      </c>
      <c r="AE212" s="202" t="s">
        <v>19</v>
      </c>
      <c r="AF212" s="35" t="s">
        <v>1880</v>
      </c>
      <c r="AG212" s="931"/>
    </row>
    <row r="213" spans="1:33" s="11" customFormat="1" ht="26.25" customHeight="1" x14ac:dyDescent="0.15">
      <c r="A213" s="8">
        <v>210</v>
      </c>
      <c r="B213" s="36" t="s">
        <v>7415</v>
      </c>
      <c r="C213" s="932" t="s">
        <v>111</v>
      </c>
      <c r="D213" s="932" t="s">
        <v>111</v>
      </c>
      <c r="E213" s="932" t="s">
        <v>111</v>
      </c>
      <c r="F213" s="54" t="s">
        <v>3303</v>
      </c>
      <c r="G213" s="54" t="s">
        <v>3304</v>
      </c>
      <c r="H213" s="932" t="s">
        <v>1147</v>
      </c>
      <c r="I213" s="932" t="s">
        <v>3215</v>
      </c>
      <c r="J213" s="21" t="s">
        <v>3216</v>
      </c>
      <c r="K213" s="932" t="s">
        <v>1138</v>
      </c>
      <c r="L213" s="932" t="s">
        <v>1826</v>
      </c>
      <c r="M213" s="932" t="s">
        <v>111</v>
      </c>
      <c r="N213" s="932" t="s">
        <v>1818</v>
      </c>
      <c r="O213" s="151" t="s">
        <v>7439</v>
      </c>
      <c r="P213" s="932" t="s">
        <v>111</v>
      </c>
      <c r="Q213" s="931" t="s">
        <v>7428</v>
      </c>
      <c r="R213" s="931" t="s">
        <v>2072</v>
      </c>
      <c r="S213" s="24" t="s">
        <v>7406</v>
      </c>
      <c r="T213" s="90" t="s">
        <v>7436</v>
      </c>
      <c r="U213" s="932" t="s">
        <v>2359</v>
      </c>
      <c r="V213" s="932">
        <v>1</v>
      </c>
      <c r="W213" s="933" t="s">
        <v>7437</v>
      </c>
      <c r="X213" s="933" t="s">
        <v>7438</v>
      </c>
      <c r="Y213" s="30"/>
      <c r="Z213" s="30">
        <v>12.12</v>
      </c>
      <c r="AA213" s="30">
        <v>12.12</v>
      </c>
      <c r="AB213" s="59"/>
      <c r="AC213" s="59"/>
      <c r="AD213" s="932" t="s">
        <v>1104</v>
      </c>
      <c r="AE213" s="202" t="s">
        <v>19</v>
      </c>
      <c r="AF213" s="35" t="s">
        <v>1880</v>
      </c>
      <c r="AG213" s="931"/>
    </row>
    <row r="214" spans="1:33" s="11" customFormat="1" ht="26.25" customHeight="1" x14ac:dyDescent="0.15">
      <c r="A214" s="8">
        <v>211</v>
      </c>
      <c r="B214" s="36" t="s">
        <v>7416</v>
      </c>
      <c r="C214" s="932" t="s">
        <v>111</v>
      </c>
      <c r="D214" s="932" t="s">
        <v>111</v>
      </c>
      <c r="E214" s="932" t="s">
        <v>111</v>
      </c>
      <c r="F214" s="54" t="s">
        <v>3305</v>
      </c>
      <c r="G214" s="47" t="s">
        <v>3306</v>
      </c>
      <c r="H214" s="932" t="s">
        <v>1147</v>
      </c>
      <c r="I214" s="932" t="s">
        <v>3215</v>
      </c>
      <c r="J214" s="21" t="s">
        <v>3307</v>
      </c>
      <c r="K214" s="932" t="s">
        <v>1138</v>
      </c>
      <c r="L214" s="932" t="s">
        <v>1826</v>
      </c>
      <c r="M214" s="932" t="s">
        <v>111</v>
      </c>
      <c r="N214" s="932" t="s">
        <v>1818</v>
      </c>
      <c r="O214" s="151" t="s">
        <v>7439</v>
      </c>
      <c r="P214" s="932" t="s">
        <v>111</v>
      </c>
      <c r="Q214" s="931" t="s">
        <v>7428</v>
      </c>
      <c r="R214" s="931" t="s">
        <v>2072</v>
      </c>
      <c r="S214" s="24" t="s">
        <v>7406</v>
      </c>
      <c r="T214" s="90" t="s">
        <v>7436</v>
      </c>
      <c r="U214" s="932" t="s">
        <v>2359</v>
      </c>
      <c r="V214" s="932">
        <v>1</v>
      </c>
      <c r="W214" s="933" t="s">
        <v>7434</v>
      </c>
      <c r="X214" s="933" t="s">
        <v>7435</v>
      </c>
      <c r="Y214" s="30"/>
      <c r="Z214" s="30">
        <v>12.12</v>
      </c>
      <c r="AA214" s="30">
        <v>12.12</v>
      </c>
      <c r="AB214" s="59"/>
      <c r="AC214" s="59"/>
      <c r="AD214" s="932" t="s">
        <v>1104</v>
      </c>
      <c r="AE214" s="202" t="s">
        <v>19</v>
      </c>
      <c r="AF214" s="35" t="s">
        <v>1880</v>
      </c>
      <c r="AG214" s="931"/>
    </row>
    <row r="215" spans="1:33" s="11" customFormat="1" ht="26.25" customHeight="1" x14ac:dyDescent="0.15">
      <c r="A215" s="8">
        <v>212</v>
      </c>
      <c r="B215" s="36" t="s">
        <v>7417</v>
      </c>
      <c r="C215" s="932" t="s">
        <v>111</v>
      </c>
      <c r="D215" s="932" t="s">
        <v>111</v>
      </c>
      <c r="E215" s="932" t="s">
        <v>111</v>
      </c>
      <c r="F215" s="54" t="s">
        <v>3308</v>
      </c>
      <c r="G215" s="47" t="s">
        <v>3309</v>
      </c>
      <c r="H215" s="932" t="s">
        <v>1147</v>
      </c>
      <c r="I215" s="932" t="s">
        <v>3215</v>
      </c>
      <c r="J215" s="21" t="s">
        <v>3232</v>
      </c>
      <c r="K215" s="932" t="s">
        <v>1138</v>
      </c>
      <c r="L215" s="932" t="s">
        <v>1826</v>
      </c>
      <c r="M215" s="932" t="s">
        <v>111</v>
      </c>
      <c r="N215" s="932" t="s">
        <v>1818</v>
      </c>
      <c r="O215" s="151" t="s">
        <v>7439</v>
      </c>
      <c r="P215" s="932" t="s">
        <v>111</v>
      </c>
      <c r="Q215" s="931" t="s">
        <v>7428</v>
      </c>
      <c r="R215" s="931" t="s">
        <v>2072</v>
      </c>
      <c r="S215" s="24" t="s">
        <v>7406</v>
      </c>
      <c r="T215" s="90" t="s">
        <v>7436</v>
      </c>
      <c r="U215" s="932" t="s">
        <v>2359</v>
      </c>
      <c r="V215" s="932">
        <v>1</v>
      </c>
      <c r="W215" s="933" t="s">
        <v>7434</v>
      </c>
      <c r="X215" s="933" t="s">
        <v>7435</v>
      </c>
      <c r="Y215" s="30"/>
      <c r="Z215" s="30">
        <v>12.12</v>
      </c>
      <c r="AA215" s="30">
        <v>12.12</v>
      </c>
      <c r="AB215" s="59"/>
      <c r="AC215" s="59"/>
      <c r="AD215" s="932" t="s">
        <v>1104</v>
      </c>
      <c r="AE215" s="202" t="s">
        <v>19</v>
      </c>
      <c r="AF215" s="35" t="s">
        <v>1880</v>
      </c>
      <c r="AG215" s="931"/>
    </row>
    <row r="216" spans="1:33" s="11" customFormat="1" ht="26.25" customHeight="1" x14ac:dyDescent="0.15">
      <c r="A216" s="8">
        <v>213</v>
      </c>
      <c r="B216" s="36" t="s">
        <v>7418</v>
      </c>
      <c r="C216" s="932" t="s">
        <v>111</v>
      </c>
      <c r="D216" s="932" t="s">
        <v>111</v>
      </c>
      <c r="E216" s="932" t="s">
        <v>111</v>
      </c>
      <c r="F216" s="54" t="s">
        <v>3310</v>
      </c>
      <c r="G216" s="54" t="s">
        <v>3311</v>
      </c>
      <c r="H216" s="932" t="s">
        <v>1147</v>
      </c>
      <c r="I216" s="932" t="s">
        <v>3215</v>
      </c>
      <c r="J216" s="21" t="s">
        <v>3312</v>
      </c>
      <c r="K216" s="932" t="s">
        <v>3334</v>
      </c>
      <c r="L216" s="932" t="s">
        <v>1826</v>
      </c>
      <c r="M216" s="932" t="s">
        <v>111</v>
      </c>
      <c r="N216" s="932" t="s">
        <v>1818</v>
      </c>
      <c r="O216" s="151" t="s">
        <v>7439</v>
      </c>
      <c r="P216" s="932" t="s">
        <v>111</v>
      </c>
      <c r="Q216" s="931" t="s">
        <v>7428</v>
      </c>
      <c r="R216" s="931" t="s">
        <v>2072</v>
      </c>
      <c r="S216" s="24" t="s">
        <v>7406</v>
      </c>
      <c r="T216" s="90" t="s">
        <v>7436</v>
      </c>
      <c r="U216" s="932" t="s">
        <v>2359</v>
      </c>
      <c r="V216" s="932">
        <v>1</v>
      </c>
      <c r="W216" s="933" t="s">
        <v>7434</v>
      </c>
      <c r="X216" s="933" t="s">
        <v>7435</v>
      </c>
      <c r="Y216" s="30"/>
      <c r="Z216" s="30">
        <v>12.12</v>
      </c>
      <c r="AA216" s="30">
        <v>12.12</v>
      </c>
      <c r="AB216" s="59"/>
      <c r="AC216" s="59"/>
      <c r="AD216" s="932" t="s">
        <v>1104</v>
      </c>
      <c r="AE216" s="202" t="s">
        <v>19</v>
      </c>
      <c r="AF216" s="35" t="s">
        <v>1880</v>
      </c>
      <c r="AG216" s="931"/>
    </row>
    <row r="217" spans="1:33" s="11" customFormat="1" ht="26.25" customHeight="1" x14ac:dyDescent="0.15">
      <c r="A217" s="8">
        <v>214</v>
      </c>
      <c r="B217" s="36" t="s">
        <v>7419</v>
      </c>
      <c r="C217" s="932" t="s">
        <v>111</v>
      </c>
      <c r="D217" s="932" t="s">
        <v>111</v>
      </c>
      <c r="E217" s="932" t="s">
        <v>111</v>
      </c>
      <c r="F217" s="54" t="s">
        <v>3313</v>
      </c>
      <c r="G217" s="54" t="s">
        <v>3314</v>
      </c>
      <c r="H217" s="932" t="s">
        <v>1147</v>
      </c>
      <c r="I217" s="932" t="s">
        <v>3215</v>
      </c>
      <c r="J217" s="21" t="s">
        <v>3315</v>
      </c>
      <c r="K217" s="932" t="s">
        <v>1138</v>
      </c>
      <c r="L217" s="932" t="s">
        <v>1826</v>
      </c>
      <c r="M217" s="932" t="s">
        <v>111</v>
      </c>
      <c r="N217" s="932" t="s">
        <v>1818</v>
      </c>
      <c r="O217" s="151" t="s">
        <v>7439</v>
      </c>
      <c r="P217" s="932" t="s">
        <v>111</v>
      </c>
      <c r="Q217" s="931" t="s">
        <v>7428</v>
      </c>
      <c r="R217" s="931" t="s">
        <v>2072</v>
      </c>
      <c r="S217" s="24" t="s">
        <v>7406</v>
      </c>
      <c r="T217" s="90" t="s">
        <v>7436</v>
      </c>
      <c r="U217" s="932" t="s">
        <v>2359</v>
      </c>
      <c r="V217" s="932">
        <v>1</v>
      </c>
      <c r="W217" s="933" t="s">
        <v>7434</v>
      </c>
      <c r="X217" s="933" t="s">
        <v>7435</v>
      </c>
      <c r="Y217" s="30"/>
      <c r="Z217" s="30">
        <v>12.12</v>
      </c>
      <c r="AA217" s="30">
        <v>12.12</v>
      </c>
      <c r="AB217" s="59"/>
      <c r="AC217" s="59"/>
      <c r="AD217" s="932" t="s">
        <v>1104</v>
      </c>
      <c r="AE217" s="202" t="s">
        <v>19</v>
      </c>
      <c r="AF217" s="35" t="s">
        <v>1880</v>
      </c>
      <c r="AG217" s="931"/>
    </row>
    <row r="218" spans="1:33" s="11" customFormat="1" ht="26.25" customHeight="1" x14ac:dyDescent="0.15">
      <c r="A218" s="8">
        <v>215</v>
      </c>
      <c r="B218" s="36" t="s">
        <v>7420</v>
      </c>
      <c r="C218" s="932" t="s">
        <v>111</v>
      </c>
      <c r="D218" s="932" t="s">
        <v>111</v>
      </c>
      <c r="E218" s="932" t="s">
        <v>111</v>
      </c>
      <c r="F218" s="54" t="s">
        <v>3316</v>
      </c>
      <c r="G218" s="54" t="s">
        <v>3317</v>
      </c>
      <c r="H218" s="932" t="s">
        <v>1147</v>
      </c>
      <c r="I218" s="932" t="s">
        <v>3215</v>
      </c>
      <c r="J218" s="21" t="s">
        <v>3318</v>
      </c>
      <c r="K218" s="932" t="s">
        <v>3335</v>
      </c>
      <c r="L218" s="932" t="s">
        <v>1826</v>
      </c>
      <c r="M218" s="932" t="s">
        <v>111</v>
      </c>
      <c r="N218" s="932" t="s">
        <v>1818</v>
      </c>
      <c r="O218" s="151" t="s">
        <v>7439</v>
      </c>
      <c r="P218" s="932" t="s">
        <v>111</v>
      </c>
      <c r="Q218" s="931" t="s">
        <v>7428</v>
      </c>
      <c r="R218" s="931" t="s">
        <v>2072</v>
      </c>
      <c r="S218" s="24" t="s">
        <v>7406</v>
      </c>
      <c r="T218" s="90" t="s">
        <v>7436</v>
      </c>
      <c r="U218" s="932" t="s">
        <v>2359</v>
      </c>
      <c r="V218" s="932">
        <v>1</v>
      </c>
      <c r="W218" s="933" t="s">
        <v>7437</v>
      </c>
      <c r="X218" s="933" t="s">
        <v>7438</v>
      </c>
      <c r="Y218" s="30"/>
      <c r="Z218" s="30">
        <v>12.12</v>
      </c>
      <c r="AA218" s="30">
        <v>12.12</v>
      </c>
      <c r="AB218" s="59"/>
      <c r="AC218" s="59"/>
      <c r="AD218" s="932" t="s">
        <v>1104</v>
      </c>
      <c r="AE218" s="202" t="s">
        <v>19</v>
      </c>
      <c r="AF218" s="35" t="s">
        <v>1880</v>
      </c>
      <c r="AG218" s="931"/>
    </row>
    <row r="219" spans="1:33" s="11" customFormat="1" ht="26.25" customHeight="1" x14ac:dyDescent="0.15">
      <c r="A219" s="8">
        <v>216</v>
      </c>
      <c r="B219" s="36" t="s">
        <v>7421</v>
      </c>
      <c r="C219" s="932" t="s">
        <v>111</v>
      </c>
      <c r="D219" s="932" t="s">
        <v>111</v>
      </c>
      <c r="E219" s="932" t="s">
        <v>111</v>
      </c>
      <c r="F219" s="54" t="s">
        <v>3319</v>
      </c>
      <c r="G219" s="54" t="s">
        <v>3320</v>
      </c>
      <c r="H219" s="932" t="s">
        <v>1147</v>
      </c>
      <c r="I219" s="932" t="s">
        <v>3215</v>
      </c>
      <c r="J219" s="21" t="s">
        <v>3230</v>
      </c>
      <c r="K219" s="932" t="s">
        <v>1138</v>
      </c>
      <c r="L219" s="932" t="s">
        <v>1826</v>
      </c>
      <c r="M219" s="932" t="s">
        <v>111</v>
      </c>
      <c r="N219" s="932" t="s">
        <v>1818</v>
      </c>
      <c r="O219" s="151" t="s">
        <v>7439</v>
      </c>
      <c r="P219" s="932" t="s">
        <v>111</v>
      </c>
      <c r="Q219" s="931" t="s">
        <v>7428</v>
      </c>
      <c r="R219" s="931" t="s">
        <v>2072</v>
      </c>
      <c r="S219" s="24" t="s">
        <v>7406</v>
      </c>
      <c r="T219" s="90" t="s">
        <v>7436</v>
      </c>
      <c r="U219" s="932" t="s">
        <v>2359</v>
      </c>
      <c r="V219" s="932">
        <v>1</v>
      </c>
      <c r="W219" s="933" t="s">
        <v>7434</v>
      </c>
      <c r="X219" s="933" t="s">
        <v>7435</v>
      </c>
      <c r="Y219" s="30"/>
      <c r="Z219" s="30">
        <v>12.12</v>
      </c>
      <c r="AA219" s="30">
        <v>12.12</v>
      </c>
      <c r="AB219" s="59"/>
      <c r="AC219" s="59"/>
      <c r="AD219" s="932" t="s">
        <v>1104</v>
      </c>
      <c r="AE219" s="202" t="s">
        <v>19</v>
      </c>
      <c r="AF219" s="35" t="s">
        <v>1880</v>
      </c>
      <c r="AG219" s="931"/>
    </row>
    <row r="220" spans="1:33" s="11" customFormat="1" ht="26.25" customHeight="1" x14ac:dyDescent="0.15">
      <c r="A220" s="8">
        <v>217</v>
      </c>
      <c r="B220" s="36" t="s">
        <v>7422</v>
      </c>
      <c r="C220" s="932" t="s">
        <v>111</v>
      </c>
      <c r="D220" s="932" t="s">
        <v>111</v>
      </c>
      <c r="E220" s="932" t="s">
        <v>111</v>
      </c>
      <c r="F220" s="54" t="s">
        <v>3321</v>
      </c>
      <c r="G220" s="54" t="s">
        <v>3322</v>
      </c>
      <c r="H220" s="932" t="s">
        <v>1147</v>
      </c>
      <c r="I220" s="932" t="s">
        <v>3215</v>
      </c>
      <c r="J220" s="21" t="s">
        <v>3323</v>
      </c>
      <c r="K220" s="932" t="s">
        <v>1138</v>
      </c>
      <c r="L220" s="932" t="s">
        <v>1826</v>
      </c>
      <c r="M220" s="932" t="s">
        <v>111</v>
      </c>
      <c r="N220" s="932" t="s">
        <v>1818</v>
      </c>
      <c r="O220" s="151" t="s">
        <v>7439</v>
      </c>
      <c r="P220" s="932" t="s">
        <v>111</v>
      </c>
      <c r="Q220" s="931" t="s">
        <v>7428</v>
      </c>
      <c r="R220" s="931" t="s">
        <v>2072</v>
      </c>
      <c r="S220" s="24" t="s">
        <v>7406</v>
      </c>
      <c r="T220" s="90" t="s">
        <v>7436</v>
      </c>
      <c r="U220" s="932" t="s">
        <v>2359</v>
      </c>
      <c r="V220" s="932">
        <v>1</v>
      </c>
      <c r="W220" s="933" t="s">
        <v>7434</v>
      </c>
      <c r="X220" s="933" t="s">
        <v>7435</v>
      </c>
      <c r="Y220" s="30"/>
      <c r="Z220" s="30">
        <v>12.12</v>
      </c>
      <c r="AA220" s="30">
        <v>12.12</v>
      </c>
      <c r="AB220" s="59"/>
      <c r="AC220" s="59"/>
      <c r="AD220" s="932" t="s">
        <v>1104</v>
      </c>
      <c r="AE220" s="202" t="s">
        <v>19</v>
      </c>
      <c r="AF220" s="35" t="s">
        <v>1880</v>
      </c>
      <c r="AG220" s="931"/>
    </row>
    <row r="221" spans="1:33" s="11" customFormat="1" ht="26.25" customHeight="1" x14ac:dyDescent="0.15">
      <c r="A221" s="8">
        <v>218</v>
      </c>
      <c r="B221" s="36" t="s">
        <v>7423</v>
      </c>
      <c r="C221" s="932" t="s">
        <v>111</v>
      </c>
      <c r="D221" s="932" t="s">
        <v>111</v>
      </c>
      <c r="E221" s="932" t="s">
        <v>111</v>
      </c>
      <c r="F221" s="54" t="s">
        <v>3221</v>
      </c>
      <c r="G221" s="54" t="s">
        <v>3324</v>
      </c>
      <c r="H221" s="932" t="s">
        <v>1147</v>
      </c>
      <c r="I221" s="932" t="s">
        <v>3215</v>
      </c>
      <c r="J221" s="21" t="s">
        <v>3222</v>
      </c>
      <c r="K221" s="932" t="s">
        <v>1138</v>
      </c>
      <c r="L221" s="932" t="s">
        <v>1826</v>
      </c>
      <c r="M221" s="932" t="s">
        <v>111</v>
      </c>
      <c r="N221" s="932" t="s">
        <v>1818</v>
      </c>
      <c r="O221" s="151" t="s">
        <v>7439</v>
      </c>
      <c r="P221" s="932" t="s">
        <v>111</v>
      </c>
      <c r="Q221" s="931" t="s">
        <v>7428</v>
      </c>
      <c r="R221" s="931" t="s">
        <v>2072</v>
      </c>
      <c r="S221" s="24" t="s">
        <v>7406</v>
      </c>
      <c r="T221" s="90" t="s">
        <v>7436</v>
      </c>
      <c r="U221" s="932" t="s">
        <v>2359</v>
      </c>
      <c r="V221" s="932">
        <v>1</v>
      </c>
      <c r="W221" s="933" t="s">
        <v>7434</v>
      </c>
      <c r="X221" s="933" t="s">
        <v>7435</v>
      </c>
      <c r="Y221" s="30"/>
      <c r="Z221" s="30">
        <v>12.12</v>
      </c>
      <c r="AA221" s="30">
        <v>12.12</v>
      </c>
      <c r="AB221" s="59"/>
      <c r="AC221" s="59"/>
      <c r="AD221" s="932" t="s">
        <v>1104</v>
      </c>
      <c r="AE221" s="202" t="s">
        <v>19</v>
      </c>
      <c r="AF221" s="35" t="s">
        <v>1880</v>
      </c>
      <c r="AG221" s="931"/>
    </row>
    <row r="222" spans="1:33" s="11" customFormat="1" ht="26.25" customHeight="1" x14ac:dyDescent="0.15">
      <c r="A222" s="8">
        <v>219</v>
      </c>
      <c r="B222" s="36" t="s">
        <v>7424</v>
      </c>
      <c r="C222" s="932" t="s">
        <v>111</v>
      </c>
      <c r="D222" s="932" t="s">
        <v>111</v>
      </c>
      <c r="E222" s="932" t="s">
        <v>111</v>
      </c>
      <c r="F222" s="54" t="s">
        <v>3224</v>
      </c>
      <c r="G222" s="54" t="s">
        <v>3325</v>
      </c>
      <c r="H222" s="932" t="s">
        <v>1147</v>
      </c>
      <c r="I222" s="932" t="s">
        <v>3215</v>
      </c>
      <c r="J222" s="21" t="s">
        <v>3225</v>
      </c>
      <c r="K222" s="932" t="s">
        <v>1138</v>
      </c>
      <c r="L222" s="932" t="s">
        <v>1826</v>
      </c>
      <c r="M222" s="932" t="s">
        <v>111</v>
      </c>
      <c r="N222" s="932" t="s">
        <v>1818</v>
      </c>
      <c r="O222" s="151" t="s">
        <v>7439</v>
      </c>
      <c r="P222" s="932" t="s">
        <v>111</v>
      </c>
      <c r="Q222" s="931" t="s">
        <v>7428</v>
      </c>
      <c r="R222" s="931" t="s">
        <v>2072</v>
      </c>
      <c r="S222" s="24" t="s">
        <v>7406</v>
      </c>
      <c r="T222" s="90" t="s">
        <v>7436</v>
      </c>
      <c r="U222" s="932" t="s">
        <v>2359</v>
      </c>
      <c r="V222" s="932">
        <v>1</v>
      </c>
      <c r="W222" s="933" t="s">
        <v>7434</v>
      </c>
      <c r="X222" s="933" t="s">
        <v>7435</v>
      </c>
      <c r="Y222" s="30"/>
      <c r="Z222" s="30">
        <v>12.12</v>
      </c>
      <c r="AA222" s="30">
        <v>12.12</v>
      </c>
      <c r="AB222" s="59"/>
      <c r="AC222" s="59"/>
      <c r="AD222" s="932" t="s">
        <v>1104</v>
      </c>
      <c r="AE222" s="202" t="s">
        <v>19</v>
      </c>
      <c r="AF222" s="35" t="s">
        <v>1880</v>
      </c>
      <c r="AG222" s="931"/>
    </row>
    <row r="223" spans="1:33" s="11" customFormat="1" ht="26.25" customHeight="1" x14ac:dyDescent="0.15">
      <c r="A223" s="8">
        <v>220</v>
      </c>
      <c r="B223" s="36" t="s">
        <v>7425</v>
      </c>
      <c r="C223" s="932" t="s">
        <v>111</v>
      </c>
      <c r="D223" s="932" t="s">
        <v>111</v>
      </c>
      <c r="E223" s="932" t="s">
        <v>111</v>
      </c>
      <c r="F223" s="54" t="s">
        <v>3326</v>
      </c>
      <c r="G223" s="54" t="s">
        <v>3327</v>
      </c>
      <c r="H223" s="932" t="s">
        <v>1147</v>
      </c>
      <c r="I223" s="932" t="s">
        <v>3215</v>
      </c>
      <c r="J223" s="21" t="s">
        <v>3328</v>
      </c>
      <c r="K223" s="932" t="s">
        <v>1138</v>
      </c>
      <c r="L223" s="932" t="s">
        <v>1826</v>
      </c>
      <c r="M223" s="932" t="s">
        <v>111</v>
      </c>
      <c r="N223" s="932" t="s">
        <v>1818</v>
      </c>
      <c r="O223" s="151" t="s">
        <v>7439</v>
      </c>
      <c r="P223" s="932" t="s">
        <v>111</v>
      </c>
      <c r="Q223" s="931" t="s">
        <v>7428</v>
      </c>
      <c r="R223" s="931" t="s">
        <v>2072</v>
      </c>
      <c r="S223" s="24" t="s">
        <v>7406</v>
      </c>
      <c r="T223" s="90" t="s">
        <v>7436</v>
      </c>
      <c r="U223" s="932" t="s">
        <v>2359</v>
      </c>
      <c r="V223" s="932">
        <v>1</v>
      </c>
      <c r="W223" s="933" t="s">
        <v>7437</v>
      </c>
      <c r="X223" s="933" t="s">
        <v>7438</v>
      </c>
      <c r="Y223" s="30"/>
      <c r="Z223" s="30">
        <v>12.12</v>
      </c>
      <c r="AA223" s="30">
        <v>12.12</v>
      </c>
      <c r="AB223" s="59"/>
      <c r="AC223" s="59"/>
      <c r="AD223" s="932" t="s">
        <v>1104</v>
      </c>
      <c r="AE223" s="202" t="s">
        <v>19</v>
      </c>
      <c r="AF223" s="35" t="s">
        <v>1880</v>
      </c>
      <c r="AG223" s="931"/>
    </row>
    <row r="224" spans="1:33" s="11" customFormat="1" ht="26.25" customHeight="1" x14ac:dyDescent="0.15">
      <c r="A224" s="8">
        <v>221</v>
      </c>
      <c r="B224" s="36" t="s">
        <v>7426</v>
      </c>
      <c r="C224" s="932" t="s">
        <v>111</v>
      </c>
      <c r="D224" s="932" t="s">
        <v>111</v>
      </c>
      <c r="E224" s="932" t="s">
        <v>111</v>
      </c>
      <c r="F224" s="54" t="s">
        <v>3329</v>
      </c>
      <c r="G224" s="54" t="s">
        <v>3330</v>
      </c>
      <c r="H224" s="932" t="s">
        <v>1147</v>
      </c>
      <c r="I224" s="932" t="s">
        <v>3215</v>
      </c>
      <c r="J224" s="21" t="s">
        <v>3331</v>
      </c>
      <c r="K224" s="931" t="s">
        <v>3236</v>
      </c>
      <c r="L224" s="932" t="s">
        <v>1826</v>
      </c>
      <c r="M224" s="932" t="s">
        <v>111</v>
      </c>
      <c r="N224" s="932" t="s">
        <v>1818</v>
      </c>
      <c r="O224" s="151" t="s">
        <v>7439</v>
      </c>
      <c r="P224" s="932" t="s">
        <v>111</v>
      </c>
      <c r="Q224" s="931" t="s">
        <v>7428</v>
      </c>
      <c r="R224" s="931" t="s">
        <v>2072</v>
      </c>
      <c r="S224" s="24" t="s">
        <v>7406</v>
      </c>
      <c r="T224" s="90" t="s">
        <v>7436</v>
      </c>
      <c r="U224" s="932" t="s">
        <v>2359</v>
      </c>
      <c r="V224" s="932">
        <v>1</v>
      </c>
      <c r="W224" s="933" t="s">
        <v>7434</v>
      </c>
      <c r="X224" s="933" t="s">
        <v>7435</v>
      </c>
      <c r="Y224" s="30"/>
      <c r="Z224" s="30">
        <v>12.12</v>
      </c>
      <c r="AA224" s="30">
        <v>12.12</v>
      </c>
      <c r="AB224" s="59"/>
      <c r="AC224" s="59"/>
      <c r="AD224" s="932" t="s">
        <v>1104</v>
      </c>
      <c r="AE224" s="202" t="s">
        <v>19</v>
      </c>
      <c r="AF224" s="35" t="s">
        <v>1880</v>
      </c>
      <c r="AG224" s="931"/>
    </row>
    <row r="225" spans="1:33" s="11" customFormat="1" ht="26.25" customHeight="1" x14ac:dyDescent="0.15">
      <c r="A225" s="8">
        <v>222</v>
      </c>
      <c r="B225" s="36" t="s">
        <v>7427</v>
      </c>
      <c r="C225" s="932" t="s">
        <v>111</v>
      </c>
      <c r="D225" s="932" t="s">
        <v>111</v>
      </c>
      <c r="E225" s="932" t="s">
        <v>111</v>
      </c>
      <c r="F225" s="29" t="s">
        <v>4257</v>
      </c>
      <c r="G225" s="53" t="s">
        <v>5034</v>
      </c>
      <c r="H225" s="932" t="s">
        <v>1147</v>
      </c>
      <c r="I225" s="932" t="s">
        <v>3215</v>
      </c>
      <c r="J225" s="37" t="s">
        <v>4259</v>
      </c>
      <c r="K225" s="22" t="s">
        <v>1138</v>
      </c>
      <c r="L225" s="932" t="s">
        <v>1826</v>
      </c>
      <c r="M225" s="932" t="s">
        <v>111</v>
      </c>
      <c r="N225" s="932" t="s">
        <v>1818</v>
      </c>
      <c r="O225" s="151" t="s">
        <v>7439</v>
      </c>
      <c r="P225" s="932" t="s">
        <v>111</v>
      </c>
      <c r="Q225" s="931" t="s">
        <v>7428</v>
      </c>
      <c r="R225" s="931" t="s">
        <v>2072</v>
      </c>
      <c r="S225" s="24" t="s">
        <v>7406</v>
      </c>
      <c r="T225" s="90" t="s">
        <v>7436</v>
      </c>
      <c r="U225" s="932" t="s">
        <v>2359</v>
      </c>
      <c r="V225" s="932">
        <v>1</v>
      </c>
      <c r="W225" s="933" t="s">
        <v>7434</v>
      </c>
      <c r="X225" s="933" t="s">
        <v>7435</v>
      </c>
      <c r="Y225" s="30"/>
      <c r="Z225" s="30">
        <v>12.12</v>
      </c>
      <c r="AA225" s="30">
        <v>12.12</v>
      </c>
      <c r="AB225" s="59"/>
      <c r="AC225" s="59"/>
      <c r="AD225" s="932" t="s">
        <v>1104</v>
      </c>
      <c r="AE225" s="202" t="s">
        <v>19</v>
      </c>
      <c r="AF225" s="35" t="s">
        <v>1880</v>
      </c>
      <c r="AG225" s="931"/>
    </row>
    <row r="226" spans="1:33" s="11" customFormat="1" ht="26.25" customHeight="1" x14ac:dyDescent="0.15">
      <c r="A226" s="8">
        <v>223</v>
      </c>
      <c r="B226" s="36" t="s">
        <v>7440</v>
      </c>
      <c r="C226" s="936" t="s">
        <v>111</v>
      </c>
      <c r="D226" s="936" t="s">
        <v>111</v>
      </c>
      <c r="E226" s="936" t="s">
        <v>111</v>
      </c>
      <c r="F226" s="29" t="s">
        <v>412</v>
      </c>
      <c r="G226" s="53" t="s">
        <v>7450</v>
      </c>
      <c r="H226" s="934" t="s">
        <v>1147</v>
      </c>
      <c r="I226" s="1" t="s">
        <v>2067</v>
      </c>
      <c r="J226" s="37" t="s">
        <v>1808</v>
      </c>
      <c r="K226" s="22" t="s">
        <v>1138</v>
      </c>
      <c r="L226" s="22" t="s">
        <v>1826</v>
      </c>
      <c r="M226" s="936" t="s">
        <v>111</v>
      </c>
      <c r="N226" s="935" t="s">
        <v>1818</v>
      </c>
      <c r="O226" s="222" t="s">
        <v>7340</v>
      </c>
      <c r="P226" s="71" t="s">
        <v>19</v>
      </c>
      <c r="Q226" s="935" t="s">
        <v>1811</v>
      </c>
      <c r="R226" s="935" t="s">
        <v>2072</v>
      </c>
      <c r="S226" s="24" t="s">
        <v>7406</v>
      </c>
      <c r="T226" s="90" t="s">
        <v>7446</v>
      </c>
      <c r="U226" s="24" t="s">
        <v>1800</v>
      </c>
      <c r="V226" s="10">
        <v>1</v>
      </c>
      <c r="W226" s="24" t="s">
        <v>7181</v>
      </c>
      <c r="X226" s="24" t="s">
        <v>7182</v>
      </c>
      <c r="Y226" s="30"/>
      <c r="Z226" s="30">
        <v>14.8</v>
      </c>
      <c r="AA226" s="30">
        <v>14.8</v>
      </c>
      <c r="AB226" s="59"/>
      <c r="AC226" s="59"/>
      <c r="AD226" s="35" t="s">
        <v>1104</v>
      </c>
      <c r="AE226" s="202" t="s">
        <v>1880</v>
      </c>
      <c r="AF226" s="35" t="s">
        <v>1880</v>
      </c>
      <c r="AG226" s="935"/>
    </row>
    <row r="227" spans="1:33" s="11" customFormat="1" ht="26.25" customHeight="1" x14ac:dyDescent="0.15">
      <c r="A227" s="8">
        <v>224</v>
      </c>
      <c r="B227" s="36" t="s">
        <v>7441</v>
      </c>
      <c r="C227" s="936" t="s">
        <v>111</v>
      </c>
      <c r="D227" s="936" t="s">
        <v>111</v>
      </c>
      <c r="E227" s="936" t="s">
        <v>111</v>
      </c>
      <c r="F227" s="29" t="s">
        <v>412</v>
      </c>
      <c r="G227" s="53" t="s">
        <v>7450</v>
      </c>
      <c r="H227" s="934" t="s">
        <v>1147</v>
      </c>
      <c r="I227" s="1" t="s">
        <v>2067</v>
      </c>
      <c r="J227" s="37" t="s">
        <v>3801</v>
      </c>
      <c r="K227" s="22" t="s">
        <v>1138</v>
      </c>
      <c r="L227" s="22" t="s">
        <v>1826</v>
      </c>
      <c r="M227" s="936" t="s">
        <v>111</v>
      </c>
      <c r="N227" s="935" t="s">
        <v>1818</v>
      </c>
      <c r="O227" s="222" t="s">
        <v>7340</v>
      </c>
      <c r="P227" s="71" t="s">
        <v>19</v>
      </c>
      <c r="Q227" s="935" t="s">
        <v>1811</v>
      </c>
      <c r="R227" s="935" t="s">
        <v>2072</v>
      </c>
      <c r="S227" s="24" t="s">
        <v>7406</v>
      </c>
      <c r="T227" s="90" t="s">
        <v>7446</v>
      </c>
      <c r="U227" s="24" t="s">
        <v>1800</v>
      </c>
      <c r="V227" s="10">
        <v>1</v>
      </c>
      <c r="W227" s="24" t="s">
        <v>7181</v>
      </c>
      <c r="X227" s="24" t="s">
        <v>7182</v>
      </c>
      <c r="Y227" s="30"/>
      <c r="Z227" s="30">
        <v>14.8</v>
      </c>
      <c r="AA227" s="30">
        <v>14.8</v>
      </c>
      <c r="AB227" s="59"/>
      <c r="AC227" s="59"/>
      <c r="AD227" s="35" t="s">
        <v>1104</v>
      </c>
      <c r="AE227" s="202" t="s">
        <v>1880</v>
      </c>
      <c r="AF227" s="35" t="s">
        <v>1880</v>
      </c>
      <c r="AG227" s="935"/>
    </row>
    <row r="228" spans="1:33" s="11" customFormat="1" ht="26.25" customHeight="1" x14ac:dyDescent="0.15">
      <c r="A228" s="8">
        <v>225</v>
      </c>
      <c r="B228" s="36" t="s">
        <v>7442</v>
      </c>
      <c r="C228" s="936" t="s">
        <v>111</v>
      </c>
      <c r="D228" s="936" t="s">
        <v>111</v>
      </c>
      <c r="E228" s="936" t="s">
        <v>111</v>
      </c>
      <c r="F228" s="29" t="s">
        <v>6520</v>
      </c>
      <c r="G228" s="53" t="s">
        <v>7450</v>
      </c>
      <c r="H228" s="934" t="s">
        <v>1147</v>
      </c>
      <c r="I228" s="1" t="s">
        <v>2067</v>
      </c>
      <c r="J228" s="37" t="s">
        <v>3962</v>
      </c>
      <c r="K228" s="22" t="s">
        <v>1820</v>
      </c>
      <c r="L228" s="22" t="s">
        <v>1826</v>
      </c>
      <c r="M228" s="936" t="s">
        <v>111</v>
      </c>
      <c r="N228" s="935" t="s">
        <v>1818</v>
      </c>
      <c r="O228" s="222" t="s">
        <v>7340</v>
      </c>
      <c r="P228" s="71" t="s">
        <v>19</v>
      </c>
      <c r="Q228" s="935" t="s">
        <v>1811</v>
      </c>
      <c r="R228" s="935" t="s">
        <v>2072</v>
      </c>
      <c r="S228" s="24" t="s">
        <v>7406</v>
      </c>
      <c r="T228" s="90" t="s">
        <v>7446</v>
      </c>
      <c r="U228" s="24" t="s">
        <v>1800</v>
      </c>
      <c r="V228" s="10">
        <v>1</v>
      </c>
      <c r="W228" s="24" t="s">
        <v>7181</v>
      </c>
      <c r="X228" s="24" t="s">
        <v>7182</v>
      </c>
      <c r="Y228" s="30"/>
      <c r="Z228" s="30">
        <v>14.8</v>
      </c>
      <c r="AA228" s="30">
        <v>14.8</v>
      </c>
      <c r="AB228" s="59"/>
      <c r="AC228" s="59"/>
      <c r="AD228" s="35" t="s">
        <v>1104</v>
      </c>
      <c r="AE228" s="202" t="s">
        <v>1880</v>
      </c>
      <c r="AF228" s="35" t="s">
        <v>1880</v>
      </c>
      <c r="AG228" s="935"/>
    </row>
    <row r="229" spans="1:33" s="11" customFormat="1" ht="26.25" customHeight="1" x14ac:dyDescent="0.15">
      <c r="A229" s="8">
        <v>226</v>
      </c>
      <c r="B229" s="36" t="s">
        <v>7443</v>
      </c>
      <c r="C229" s="936" t="s">
        <v>111</v>
      </c>
      <c r="D229" s="936" t="s">
        <v>111</v>
      </c>
      <c r="E229" s="936" t="s">
        <v>111</v>
      </c>
      <c r="F229" s="55" t="s">
        <v>504</v>
      </c>
      <c r="G229" s="53" t="s">
        <v>7450</v>
      </c>
      <c r="H229" s="42" t="s">
        <v>507</v>
      </c>
      <c r="I229" s="42" t="s">
        <v>506</v>
      </c>
      <c r="J229" s="27" t="s">
        <v>508</v>
      </c>
      <c r="K229" s="27" t="s">
        <v>491</v>
      </c>
      <c r="L229" s="22" t="s">
        <v>5431</v>
      </c>
      <c r="M229" s="936" t="s">
        <v>111</v>
      </c>
      <c r="N229" s="936" t="s">
        <v>1818</v>
      </c>
      <c r="O229" s="222" t="s">
        <v>7340</v>
      </c>
      <c r="P229" s="22" t="s">
        <v>1880</v>
      </c>
      <c r="Q229" s="935" t="s">
        <v>1811</v>
      </c>
      <c r="R229" s="935" t="s">
        <v>5487</v>
      </c>
      <c r="S229" s="24" t="s">
        <v>7406</v>
      </c>
      <c r="T229" s="90" t="s">
        <v>7446</v>
      </c>
      <c r="U229" s="24" t="s">
        <v>108</v>
      </c>
      <c r="V229" s="10">
        <v>1</v>
      </c>
      <c r="W229" s="24" t="s">
        <v>7181</v>
      </c>
      <c r="X229" s="24" t="s">
        <v>7182</v>
      </c>
      <c r="Y229" s="30"/>
      <c r="Z229" s="30">
        <v>14.8</v>
      </c>
      <c r="AA229" s="30">
        <v>14.8</v>
      </c>
      <c r="AB229" s="59"/>
      <c r="AC229" s="59"/>
      <c r="AD229" s="35" t="s">
        <v>1104</v>
      </c>
      <c r="AE229" s="202" t="s">
        <v>19</v>
      </c>
      <c r="AF229" s="35" t="s">
        <v>1880</v>
      </c>
      <c r="AG229" s="931"/>
    </row>
    <row r="230" spans="1:33" s="11" customFormat="1" ht="26.25" customHeight="1" x14ac:dyDescent="0.15">
      <c r="A230" s="8">
        <v>227</v>
      </c>
      <c r="B230" s="36" t="s">
        <v>7444</v>
      </c>
      <c r="C230" s="936" t="s">
        <v>111</v>
      </c>
      <c r="D230" s="936" t="s">
        <v>111</v>
      </c>
      <c r="E230" s="936" t="s">
        <v>111</v>
      </c>
      <c r="F230" s="29" t="s">
        <v>6117</v>
      </c>
      <c r="G230" s="29" t="s">
        <v>7449</v>
      </c>
      <c r="H230" s="1" t="s">
        <v>23</v>
      </c>
      <c r="I230" s="142" t="s">
        <v>28</v>
      </c>
      <c r="J230" s="329" t="s">
        <v>3881</v>
      </c>
      <c r="K230" s="22" t="s">
        <v>6119</v>
      </c>
      <c r="L230" s="22" t="s">
        <v>5431</v>
      </c>
      <c r="M230" s="936" t="s">
        <v>111</v>
      </c>
      <c r="N230" s="936" t="s">
        <v>1818</v>
      </c>
      <c r="O230" s="222" t="s">
        <v>7340</v>
      </c>
      <c r="P230" s="22" t="s">
        <v>1880</v>
      </c>
      <c r="Q230" s="935" t="s">
        <v>1811</v>
      </c>
      <c r="R230" s="935" t="s">
        <v>5487</v>
      </c>
      <c r="S230" s="24" t="s">
        <v>7406</v>
      </c>
      <c r="T230" s="90" t="s">
        <v>7446</v>
      </c>
      <c r="U230" s="24" t="s">
        <v>108</v>
      </c>
      <c r="V230" s="10">
        <v>1</v>
      </c>
      <c r="W230" s="24" t="s">
        <v>7181</v>
      </c>
      <c r="X230" s="24" t="s">
        <v>7182</v>
      </c>
      <c r="Y230" s="30"/>
      <c r="Z230" s="30">
        <v>14.8</v>
      </c>
      <c r="AA230" s="30">
        <v>14.8</v>
      </c>
      <c r="AB230" s="59"/>
      <c r="AC230" s="59"/>
      <c r="AD230" s="35" t="s">
        <v>1104</v>
      </c>
      <c r="AE230" s="202" t="s">
        <v>19</v>
      </c>
      <c r="AF230" s="35" t="s">
        <v>1880</v>
      </c>
      <c r="AG230" s="925"/>
    </row>
    <row r="231" spans="1:33" s="11" customFormat="1" ht="26.25" customHeight="1" x14ac:dyDescent="0.15">
      <c r="A231" s="8">
        <v>228</v>
      </c>
      <c r="B231" s="36" t="s">
        <v>7445</v>
      </c>
      <c r="C231" s="936" t="s">
        <v>111</v>
      </c>
      <c r="D231" s="936" t="s">
        <v>111</v>
      </c>
      <c r="E231" s="36" t="s">
        <v>7541</v>
      </c>
      <c r="F231" s="29" t="s">
        <v>10314</v>
      </c>
      <c r="G231" s="29" t="s">
        <v>10315</v>
      </c>
      <c r="H231" s="1" t="s">
        <v>1449</v>
      </c>
      <c r="I231" s="142" t="s">
        <v>28</v>
      </c>
      <c r="J231" s="329" t="s">
        <v>7447</v>
      </c>
      <c r="K231" s="22" t="s">
        <v>1138</v>
      </c>
      <c r="L231" s="22" t="s">
        <v>5431</v>
      </c>
      <c r="M231" s="936" t="s">
        <v>111</v>
      </c>
      <c r="N231" s="936" t="s">
        <v>6704</v>
      </c>
      <c r="O231" s="54" t="s">
        <v>4644</v>
      </c>
      <c r="P231" s="22" t="s">
        <v>1880</v>
      </c>
      <c r="Q231" s="925" t="s">
        <v>2072</v>
      </c>
      <c r="R231" s="935" t="s">
        <v>5487</v>
      </c>
      <c r="S231" s="24" t="s">
        <v>7406</v>
      </c>
      <c r="T231" s="90" t="s">
        <v>7448</v>
      </c>
      <c r="U231" s="936" t="s">
        <v>2359</v>
      </c>
      <c r="V231" s="936">
        <v>1</v>
      </c>
      <c r="W231" s="24" t="s">
        <v>448</v>
      </c>
      <c r="X231" s="24" t="s">
        <v>448</v>
      </c>
      <c r="Y231" s="30">
        <v>6</v>
      </c>
      <c r="Z231" s="30"/>
      <c r="AA231" s="30">
        <v>6</v>
      </c>
      <c r="AB231" s="59"/>
      <c r="AC231" s="59"/>
      <c r="AD231" s="35" t="s">
        <v>1104</v>
      </c>
      <c r="AE231" s="202" t="s">
        <v>19</v>
      </c>
      <c r="AF231" s="35" t="s">
        <v>1880</v>
      </c>
      <c r="AG231" s="925"/>
    </row>
    <row r="232" spans="1:33" s="11" customFormat="1" ht="41.25" customHeight="1" x14ac:dyDescent="0.15">
      <c r="A232" s="8">
        <v>229</v>
      </c>
      <c r="B232" s="36" t="s">
        <v>7618</v>
      </c>
      <c r="C232" s="939" t="s">
        <v>111</v>
      </c>
      <c r="D232" s="939" t="s">
        <v>111</v>
      </c>
      <c r="E232" s="939" t="s">
        <v>111</v>
      </c>
      <c r="F232" s="29" t="s">
        <v>4109</v>
      </c>
      <c r="G232" s="29" t="s">
        <v>7617</v>
      </c>
      <c r="H232" s="941" t="s">
        <v>4208</v>
      </c>
      <c r="I232" s="941" t="s">
        <v>6751</v>
      </c>
      <c r="J232" s="941" t="s">
        <v>6752</v>
      </c>
      <c r="K232" s="22" t="s">
        <v>6753</v>
      </c>
      <c r="L232" s="22" t="s">
        <v>5478</v>
      </c>
      <c r="M232" s="22" t="s">
        <v>1880</v>
      </c>
      <c r="N232" s="938" t="s">
        <v>7452</v>
      </c>
      <c r="O232" s="151" t="s">
        <v>7451</v>
      </c>
      <c r="P232" s="22" t="s">
        <v>1880</v>
      </c>
      <c r="Q232" s="942" t="s">
        <v>2072</v>
      </c>
      <c r="R232" s="942" t="s">
        <v>5487</v>
      </c>
      <c r="S232" s="24" t="s">
        <v>7453</v>
      </c>
      <c r="T232" s="90" t="s">
        <v>7453</v>
      </c>
      <c r="U232" s="984" t="s">
        <v>2359</v>
      </c>
      <c r="V232" s="984">
        <v>1</v>
      </c>
      <c r="W232" s="24" t="s">
        <v>448</v>
      </c>
      <c r="X232" s="24" t="s">
        <v>448</v>
      </c>
      <c r="Y232" s="30">
        <v>3</v>
      </c>
      <c r="Z232" s="30"/>
      <c r="AA232" s="30">
        <v>3</v>
      </c>
      <c r="AB232" s="59"/>
      <c r="AC232" s="59"/>
      <c r="AD232" s="35" t="s">
        <v>1104</v>
      </c>
      <c r="AE232" s="202" t="s">
        <v>19</v>
      </c>
      <c r="AF232" s="35" t="s">
        <v>1880</v>
      </c>
      <c r="AG232" s="54" t="s">
        <v>7454</v>
      </c>
    </row>
    <row r="233" spans="1:33" s="11" customFormat="1" ht="26.25" customHeight="1" x14ac:dyDescent="0.15">
      <c r="A233" s="8">
        <v>230</v>
      </c>
      <c r="B233" s="36" t="s">
        <v>7455</v>
      </c>
      <c r="C233" s="946" t="s">
        <v>111</v>
      </c>
      <c r="D233" s="946" t="s">
        <v>111</v>
      </c>
      <c r="E233" s="946" t="s">
        <v>111</v>
      </c>
      <c r="F233" s="29" t="s">
        <v>5635</v>
      </c>
      <c r="G233" s="53" t="s">
        <v>7459</v>
      </c>
      <c r="H233" s="944" t="s">
        <v>4712</v>
      </c>
      <c r="I233" s="944" t="s">
        <v>4196</v>
      </c>
      <c r="J233" s="944" t="s">
        <v>5637</v>
      </c>
      <c r="K233" s="22" t="s">
        <v>4780</v>
      </c>
      <c r="L233" s="22" t="s">
        <v>5431</v>
      </c>
      <c r="M233" s="946" t="s">
        <v>111</v>
      </c>
      <c r="N233" s="945" t="s">
        <v>1131</v>
      </c>
      <c r="O233" s="54" t="s">
        <v>5638</v>
      </c>
      <c r="P233" s="22" t="s">
        <v>1880</v>
      </c>
      <c r="Q233" s="945" t="s">
        <v>5571</v>
      </c>
      <c r="R233" s="945" t="s">
        <v>5571</v>
      </c>
      <c r="S233" s="24" t="s">
        <v>7460</v>
      </c>
      <c r="T233" s="90" t="s">
        <v>7461</v>
      </c>
      <c r="U233" s="24" t="s">
        <v>108</v>
      </c>
      <c r="V233" s="10">
        <v>1</v>
      </c>
      <c r="W233" s="24" t="s">
        <v>7074</v>
      </c>
      <c r="X233" s="24" t="s">
        <v>6545</v>
      </c>
      <c r="Y233" s="30">
        <v>4</v>
      </c>
      <c r="Z233" s="30">
        <v>12.5</v>
      </c>
      <c r="AA233" s="30">
        <v>16.5</v>
      </c>
      <c r="AB233" s="59"/>
      <c r="AC233" s="59"/>
      <c r="AD233" s="35" t="s">
        <v>1104</v>
      </c>
      <c r="AE233" s="202" t="s">
        <v>19</v>
      </c>
      <c r="AF233" s="35" t="s">
        <v>1880</v>
      </c>
      <c r="AG233" s="945"/>
    </row>
    <row r="234" spans="1:33" s="11" customFormat="1" ht="26.25" customHeight="1" x14ac:dyDescent="0.15">
      <c r="A234" s="8">
        <v>231</v>
      </c>
      <c r="B234" s="36" t="s">
        <v>7456</v>
      </c>
      <c r="C234" s="946" t="s">
        <v>111</v>
      </c>
      <c r="D234" s="946" t="s">
        <v>111</v>
      </c>
      <c r="E234" s="946" t="s">
        <v>111</v>
      </c>
      <c r="F234" s="29" t="s">
        <v>5640</v>
      </c>
      <c r="G234" s="53" t="s">
        <v>7462</v>
      </c>
      <c r="H234" s="944" t="s">
        <v>4712</v>
      </c>
      <c r="I234" s="944" t="s">
        <v>4196</v>
      </c>
      <c r="J234" s="944" t="s">
        <v>5430</v>
      </c>
      <c r="K234" s="22" t="s">
        <v>4780</v>
      </c>
      <c r="L234" s="22" t="s">
        <v>5431</v>
      </c>
      <c r="M234" s="946" t="s">
        <v>111</v>
      </c>
      <c r="N234" s="945" t="s">
        <v>1131</v>
      </c>
      <c r="O234" s="54" t="s">
        <v>5638</v>
      </c>
      <c r="P234" s="22" t="s">
        <v>1880</v>
      </c>
      <c r="Q234" s="945" t="s">
        <v>5571</v>
      </c>
      <c r="R234" s="945" t="s">
        <v>5571</v>
      </c>
      <c r="S234" s="24" t="s">
        <v>7460</v>
      </c>
      <c r="T234" s="90" t="s">
        <v>7461</v>
      </c>
      <c r="U234" s="24" t="s">
        <v>108</v>
      </c>
      <c r="V234" s="10">
        <v>1</v>
      </c>
      <c r="W234" s="24" t="s">
        <v>7074</v>
      </c>
      <c r="X234" s="24" t="s">
        <v>6545</v>
      </c>
      <c r="Y234" s="30">
        <v>6</v>
      </c>
      <c r="Z234" s="30">
        <v>12.5</v>
      </c>
      <c r="AA234" s="30">
        <v>18.5</v>
      </c>
      <c r="AB234" s="59"/>
      <c r="AC234" s="59"/>
      <c r="AD234" s="35" t="s">
        <v>1104</v>
      </c>
      <c r="AE234" s="202" t="s">
        <v>19</v>
      </c>
      <c r="AF234" s="35" t="s">
        <v>1880</v>
      </c>
      <c r="AG234" s="945"/>
    </row>
    <row r="235" spans="1:33" s="11" customFormat="1" ht="26.25" customHeight="1" x14ac:dyDescent="0.15">
      <c r="A235" s="8">
        <v>232</v>
      </c>
      <c r="B235" s="36" t="s">
        <v>7457</v>
      </c>
      <c r="C235" s="946" t="s">
        <v>111</v>
      </c>
      <c r="D235" s="946" t="s">
        <v>111</v>
      </c>
      <c r="E235" s="946" t="s">
        <v>111</v>
      </c>
      <c r="F235" s="29" t="s">
        <v>5642</v>
      </c>
      <c r="G235" s="53" t="s">
        <v>7463</v>
      </c>
      <c r="H235" s="944" t="s">
        <v>4712</v>
      </c>
      <c r="I235" s="944" t="s">
        <v>4196</v>
      </c>
      <c r="J235" s="944" t="s">
        <v>5395</v>
      </c>
      <c r="K235" s="22" t="s">
        <v>4780</v>
      </c>
      <c r="L235" s="22" t="s">
        <v>5431</v>
      </c>
      <c r="M235" s="946" t="s">
        <v>111</v>
      </c>
      <c r="N235" s="945" t="s">
        <v>1131</v>
      </c>
      <c r="O235" s="54" t="s">
        <v>5638</v>
      </c>
      <c r="P235" s="22" t="s">
        <v>1880</v>
      </c>
      <c r="Q235" s="945" t="s">
        <v>5571</v>
      </c>
      <c r="R235" s="945" t="s">
        <v>5571</v>
      </c>
      <c r="S235" s="24" t="s">
        <v>7460</v>
      </c>
      <c r="T235" s="90" t="s">
        <v>7461</v>
      </c>
      <c r="U235" s="24" t="s">
        <v>108</v>
      </c>
      <c r="V235" s="10">
        <v>1</v>
      </c>
      <c r="W235" s="24" t="s">
        <v>7074</v>
      </c>
      <c r="X235" s="24" t="s">
        <v>6545</v>
      </c>
      <c r="Y235" s="30">
        <v>4</v>
      </c>
      <c r="Z235" s="30">
        <v>12.5</v>
      </c>
      <c r="AA235" s="30">
        <v>16.5</v>
      </c>
      <c r="AB235" s="59"/>
      <c r="AC235" s="59"/>
      <c r="AD235" s="35" t="s">
        <v>1104</v>
      </c>
      <c r="AE235" s="202" t="s">
        <v>19</v>
      </c>
      <c r="AF235" s="35" t="s">
        <v>1880</v>
      </c>
      <c r="AG235" s="945"/>
    </row>
    <row r="236" spans="1:33" s="11" customFormat="1" ht="26.25" customHeight="1" x14ac:dyDescent="0.15">
      <c r="A236" s="8">
        <v>233</v>
      </c>
      <c r="B236" s="36" t="s">
        <v>7458</v>
      </c>
      <c r="C236" s="946" t="s">
        <v>111</v>
      </c>
      <c r="D236" s="946" t="s">
        <v>111</v>
      </c>
      <c r="E236" s="946" t="s">
        <v>111</v>
      </c>
      <c r="F236" s="29" t="s">
        <v>5644</v>
      </c>
      <c r="G236" s="53" t="s">
        <v>7464</v>
      </c>
      <c r="H236" s="944" t="s">
        <v>4712</v>
      </c>
      <c r="I236" s="944" t="s">
        <v>4196</v>
      </c>
      <c r="J236" s="944" t="s">
        <v>5646</v>
      </c>
      <c r="K236" s="22" t="s">
        <v>4780</v>
      </c>
      <c r="L236" s="22" t="s">
        <v>5431</v>
      </c>
      <c r="M236" s="946" t="s">
        <v>111</v>
      </c>
      <c r="N236" s="945" t="s">
        <v>1131</v>
      </c>
      <c r="O236" s="54" t="s">
        <v>5638</v>
      </c>
      <c r="P236" s="22" t="s">
        <v>1880</v>
      </c>
      <c r="Q236" s="945" t="s">
        <v>5571</v>
      </c>
      <c r="R236" s="945" t="s">
        <v>5571</v>
      </c>
      <c r="S236" s="24" t="s">
        <v>7460</v>
      </c>
      <c r="T236" s="90" t="s">
        <v>7461</v>
      </c>
      <c r="U236" s="24" t="s">
        <v>108</v>
      </c>
      <c r="V236" s="10">
        <v>1</v>
      </c>
      <c r="W236" s="24" t="s">
        <v>7074</v>
      </c>
      <c r="X236" s="24" t="s">
        <v>6545</v>
      </c>
      <c r="Y236" s="30">
        <v>4</v>
      </c>
      <c r="Z236" s="30">
        <v>12.5</v>
      </c>
      <c r="AA236" s="30">
        <v>16.5</v>
      </c>
      <c r="AB236" s="59"/>
      <c r="AC236" s="59"/>
      <c r="AD236" s="35" t="s">
        <v>1104</v>
      </c>
      <c r="AE236" s="202" t="s">
        <v>19</v>
      </c>
      <c r="AF236" s="35" t="s">
        <v>1880</v>
      </c>
      <c r="AG236" s="945"/>
    </row>
    <row r="237" spans="1:33" s="11" customFormat="1" ht="33" customHeight="1" x14ac:dyDescent="0.15">
      <c r="A237" s="8">
        <v>234</v>
      </c>
      <c r="B237" s="36" t="s">
        <v>7473</v>
      </c>
      <c r="C237" s="949" t="s">
        <v>111</v>
      </c>
      <c r="D237" s="949" t="s">
        <v>111</v>
      </c>
      <c r="E237" s="949" t="s">
        <v>111</v>
      </c>
      <c r="F237" s="29" t="s">
        <v>6227</v>
      </c>
      <c r="G237" s="53" t="s">
        <v>7467</v>
      </c>
      <c r="H237" s="948" t="s">
        <v>4712</v>
      </c>
      <c r="I237" s="948" t="s">
        <v>4728</v>
      </c>
      <c r="J237" s="948" t="s">
        <v>5458</v>
      </c>
      <c r="K237" s="22" t="s">
        <v>4780</v>
      </c>
      <c r="L237" s="22" t="s">
        <v>5431</v>
      </c>
      <c r="M237" s="949" t="s">
        <v>1880</v>
      </c>
      <c r="N237" s="216" t="s">
        <v>25</v>
      </c>
      <c r="O237" s="54" t="s">
        <v>116</v>
      </c>
      <c r="P237" s="22" t="s">
        <v>1880</v>
      </c>
      <c r="Q237" s="948" t="s">
        <v>1894</v>
      </c>
      <c r="R237" s="948" t="s">
        <v>1894</v>
      </c>
      <c r="S237" s="24" t="s">
        <v>7460</v>
      </c>
      <c r="T237" s="90" t="s">
        <v>7468</v>
      </c>
      <c r="U237" s="24" t="s">
        <v>110</v>
      </c>
      <c r="V237" s="24">
        <v>2</v>
      </c>
      <c r="W237" s="24" t="s">
        <v>7468</v>
      </c>
      <c r="X237" s="24" t="s">
        <v>7469</v>
      </c>
      <c r="Y237" s="30"/>
      <c r="Z237" s="30">
        <v>9.6</v>
      </c>
      <c r="AA237" s="30">
        <v>9.6</v>
      </c>
      <c r="AB237" s="59"/>
      <c r="AC237" s="59"/>
      <c r="AD237" s="35" t="s">
        <v>1104</v>
      </c>
      <c r="AE237" s="202" t="s">
        <v>19</v>
      </c>
      <c r="AF237" s="35" t="s">
        <v>1880</v>
      </c>
      <c r="AG237" s="948"/>
    </row>
    <row r="238" spans="1:33" s="11" customFormat="1" ht="35.25" customHeight="1" x14ac:dyDescent="0.15">
      <c r="A238" s="8">
        <v>235</v>
      </c>
      <c r="B238" s="36" t="s">
        <v>7474</v>
      </c>
      <c r="C238" s="949" t="s">
        <v>111</v>
      </c>
      <c r="D238" s="949" t="s">
        <v>111</v>
      </c>
      <c r="E238" s="949" t="s">
        <v>111</v>
      </c>
      <c r="F238" s="29" t="s">
        <v>6213</v>
      </c>
      <c r="G238" s="53" t="s">
        <v>7470</v>
      </c>
      <c r="H238" s="948" t="s">
        <v>4195</v>
      </c>
      <c r="I238" s="948" t="s">
        <v>4728</v>
      </c>
      <c r="J238" s="948" t="s">
        <v>6215</v>
      </c>
      <c r="K238" s="22" t="s">
        <v>6216</v>
      </c>
      <c r="L238" s="22" t="s">
        <v>5431</v>
      </c>
      <c r="M238" s="949" t="s">
        <v>1880</v>
      </c>
      <c r="N238" s="216" t="s">
        <v>25</v>
      </c>
      <c r="O238" s="54" t="s">
        <v>116</v>
      </c>
      <c r="P238" s="22" t="s">
        <v>1880</v>
      </c>
      <c r="Q238" s="948" t="s">
        <v>1894</v>
      </c>
      <c r="R238" s="948" t="s">
        <v>1894</v>
      </c>
      <c r="S238" s="24" t="s">
        <v>7460</v>
      </c>
      <c r="T238" s="90" t="s">
        <v>7471</v>
      </c>
      <c r="U238" s="24" t="s">
        <v>110</v>
      </c>
      <c r="V238" s="24">
        <v>2</v>
      </c>
      <c r="W238" s="24" t="s">
        <v>7471</v>
      </c>
      <c r="X238" s="24" t="s">
        <v>7472</v>
      </c>
      <c r="Y238" s="30"/>
      <c r="Z238" s="30">
        <v>9.6</v>
      </c>
      <c r="AA238" s="30">
        <v>9.6</v>
      </c>
      <c r="AB238" s="59"/>
      <c r="AC238" s="59"/>
      <c r="AD238" s="35" t="s">
        <v>1104</v>
      </c>
      <c r="AE238" s="202" t="s">
        <v>19</v>
      </c>
      <c r="AF238" s="35" t="s">
        <v>1880</v>
      </c>
      <c r="AG238" s="948"/>
    </row>
    <row r="239" spans="1:33" s="11" customFormat="1" ht="26.25" customHeight="1" x14ac:dyDescent="0.15">
      <c r="A239" s="8">
        <v>236</v>
      </c>
      <c r="B239" s="36" t="s">
        <v>7475</v>
      </c>
      <c r="C239" s="949" t="s">
        <v>111</v>
      </c>
      <c r="D239" s="949" t="s">
        <v>111</v>
      </c>
      <c r="E239" s="949" t="s">
        <v>111</v>
      </c>
      <c r="F239" s="29" t="s">
        <v>3082</v>
      </c>
      <c r="G239" s="53" t="s">
        <v>5647</v>
      </c>
      <c r="H239" s="947" t="s">
        <v>4195</v>
      </c>
      <c r="I239" s="947" t="s">
        <v>2007</v>
      </c>
      <c r="J239" s="947" t="s">
        <v>5633</v>
      </c>
      <c r="K239" s="22" t="s">
        <v>4780</v>
      </c>
      <c r="L239" s="22" t="s">
        <v>5431</v>
      </c>
      <c r="M239" s="949" t="s">
        <v>111</v>
      </c>
      <c r="N239" s="948" t="s">
        <v>1131</v>
      </c>
      <c r="O239" s="54" t="s">
        <v>116</v>
      </c>
      <c r="P239" s="22" t="s">
        <v>1880</v>
      </c>
      <c r="Q239" s="948" t="s">
        <v>1894</v>
      </c>
      <c r="R239" s="948" t="s">
        <v>1894</v>
      </c>
      <c r="S239" s="24" t="s">
        <v>7460</v>
      </c>
      <c r="T239" s="90" t="s">
        <v>7386</v>
      </c>
      <c r="U239" s="949" t="s">
        <v>2359</v>
      </c>
      <c r="V239" s="949">
        <v>1</v>
      </c>
      <c r="W239" s="24" t="s">
        <v>7074</v>
      </c>
      <c r="X239" s="24" t="s">
        <v>6545</v>
      </c>
      <c r="Y239" s="30"/>
      <c r="Z239" s="30">
        <v>9.5</v>
      </c>
      <c r="AA239" s="30">
        <v>9.5</v>
      </c>
      <c r="AB239" s="59"/>
      <c r="AC239" s="59"/>
      <c r="AD239" s="35" t="s">
        <v>1104</v>
      </c>
      <c r="AE239" s="202" t="s">
        <v>19</v>
      </c>
      <c r="AF239" s="35" t="s">
        <v>1880</v>
      </c>
      <c r="AG239" s="948"/>
    </row>
    <row r="240" spans="1:33" s="11" customFormat="1" ht="26.25" customHeight="1" x14ac:dyDescent="0.15">
      <c r="A240" s="8">
        <v>237</v>
      </c>
      <c r="B240" s="36" t="s">
        <v>7483</v>
      </c>
      <c r="C240" s="36" t="s">
        <v>7484</v>
      </c>
      <c r="D240" s="951" t="s">
        <v>111</v>
      </c>
      <c r="E240" s="951" t="s">
        <v>111</v>
      </c>
      <c r="F240" s="29" t="s">
        <v>7479</v>
      </c>
      <c r="G240" s="53" t="s">
        <v>7480</v>
      </c>
      <c r="H240" s="950" t="s">
        <v>4712</v>
      </c>
      <c r="I240" s="950" t="s">
        <v>4196</v>
      </c>
      <c r="J240" s="950" t="s">
        <v>7403</v>
      </c>
      <c r="K240" s="22" t="s">
        <v>1138</v>
      </c>
      <c r="L240" s="22" t="s">
        <v>5431</v>
      </c>
      <c r="M240" s="951" t="s">
        <v>1880</v>
      </c>
      <c r="N240" s="950" t="s">
        <v>2441</v>
      </c>
      <c r="O240" s="54" t="s">
        <v>7476</v>
      </c>
      <c r="P240" s="22" t="s">
        <v>1880</v>
      </c>
      <c r="Q240" s="943" t="s">
        <v>7481</v>
      </c>
      <c r="R240" s="943" t="s">
        <v>7481</v>
      </c>
      <c r="S240" s="24" t="s">
        <v>7482</v>
      </c>
      <c r="T240" s="90" t="s">
        <v>7478</v>
      </c>
      <c r="U240" s="951" t="s">
        <v>2359</v>
      </c>
      <c r="V240" s="951">
        <v>1</v>
      </c>
      <c r="W240" s="24" t="s">
        <v>448</v>
      </c>
      <c r="X240" s="24" t="s">
        <v>448</v>
      </c>
      <c r="Y240" s="30">
        <v>4.9340000000000002</v>
      </c>
      <c r="Z240" s="30"/>
      <c r="AA240" s="30">
        <v>4.9340000000000002</v>
      </c>
      <c r="AB240" s="59"/>
      <c r="AC240" s="59"/>
      <c r="AD240" s="35" t="s">
        <v>1104</v>
      </c>
      <c r="AE240" s="202" t="s">
        <v>19</v>
      </c>
      <c r="AF240" s="35" t="s">
        <v>1880</v>
      </c>
      <c r="AG240" s="943"/>
    </row>
    <row r="241" spans="1:33" s="11" customFormat="1" ht="26.25" customHeight="1" x14ac:dyDescent="0.15">
      <c r="A241" s="8">
        <v>238</v>
      </c>
      <c r="B241" s="36" t="s">
        <v>7487</v>
      </c>
      <c r="C241" s="965" t="s">
        <v>7525</v>
      </c>
      <c r="D241" s="711" t="s">
        <v>7495</v>
      </c>
      <c r="E241" s="955" t="s">
        <v>111</v>
      </c>
      <c r="F241" s="29" t="s">
        <v>5656</v>
      </c>
      <c r="G241" s="53" t="s">
        <v>7489</v>
      </c>
      <c r="H241" s="953" t="s">
        <v>4195</v>
      </c>
      <c r="I241" s="954" t="s">
        <v>4728</v>
      </c>
      <c r="J241" s="953" t="s">
        <v>5399</v>
      </c>
      <c r="K241" s="22" t="s">
        <v>6250</v>
      </c>
      <c r="L241" s="22" t="s">
        <v>5431</v>
      </c>
      <c r="M241" s="955" t="s">
        <v>1880</v>
      </c>
      <c r="N241" s="954" t="s">
        <v>1131</v>
      </c>
      <c r="O241" s="54" t="s">
        <v>4753</v>
      </c>
      <c r="P241" s="22" t="s">
        <v>1880</v>
      </c>
      <c r="Q241" s="954" t="s">
        <v>1894</v>
      </c>
      <c r="R241" s="954" t="s">
        <v>1894</v>
      </c>
      <c r="S241" s="24" t="s">
        <v>7460</v>
      </c>
      <c r="T241" s="90" t="s">
        <v>7386</v>
      </c>
      <c r="U241" s="24" t="s">
        <v>110</v>
      </c>
      <c r="V241" s="24">
        <v>1</v>
      </c>
      <c r="W241" s="24" t="s">
        <v>448</v>
      </c>
      <c r="X241" s="24" t="s">
        <v>448</v>
      </c>
      <c r="Y241" s="30">
        <v>4.8</v>
      </c>
      <c r="Z241" s="30"/>
      <c r="AA241" s="30">
        <v>4.8</v>
      </c>
      <c r="AB241" s="59"/>
      <c r="AC241" s="59"/>
      <c r="AD241" s="35" t="s">
        <v>1104</v>
      </c>
      <c r="AE241" s="202" t="s">
        <v>19</v>
      </c>
      <c r="AF241" s="35" t="s">
        <v>1880</v>
      </c>
      <c r="AG241" s="954"/>
    </row>
    <row r="242" spans="1:33" s="11" customFormat="1" ht="26.25" customHeight="1" x14ac:dyDescent="0.15">
      <c r="A242" s="8">
        <v>239</v>
      </c>
      <c r="B242" s="36" t="s">
        <v>7488</v>
      </c>
      <c r="C242" s="955" t="s">
        <v>111</v>
      </c>
      <c r="D242" s="955" t="s">
        <v>111</v>
      </c>
      <c r="E242" s="955" t="s">
        <v>111</v>
      </c>
      <c r="F242" s="29" t="s">
        <v>5656</v>
      </c>
      <c r="G242" s="53" t="s">
        <v>7489</v>
      </c>
      <c r="H242" s="954" t="s">
        <v>4195</v>
      </c>
      <c r="I242" s="954" t="s">
        <v>4728</v>
      </c>
      <c r="J242" s="954" t="s">
        <v>5673</v>
      </c>
      <c r="K242" s="22" t="s">
        <v>5674</v>
      </c>
      <c r="L242" s="22" t="s">
        <v>5478</v>
      </c>
      <c r="M242" s="955" t="s">
        <v>1880</v>
      </c>
      <c r="N242" s="954" t="s">
        <v>4676</v>
      </c>
      <c r="O242" s="54" t="s">
        <v>7490</v>
      </c>
      <c r="P242" s="22" t="s">
        <v>1880</v>
      </c>
      <c r="Q242" s="954" t="s">
        <v>1894</v>
      </c>
      <c r="R242" s="954" t="s">
        <v>1894</v>
      </c>
      <c r="S242" s="24" t="s">
        <v>7460</v>
      </c>
      <c r="T242" s="90" t="s">
        <v>7386</v>
      </c>
      <c r="U242" s="24" t="s">
        <v>110</v>
      </c>
      <c r="V242" s="24">
        <v>1</v>
      </c>
      <c r="W242" s="24" t="s">
        <v>7491</v>
      </c>
      <c r="X242" s="24" t="s">
        <v>7492</v>
      </c>
      <c r="Y242" s="30"/>
      <c r="Z242" s="30">
        <v>0.7</v>
      </c>
      <c r="AA242" s="30">
        <v>0.7</v>
      </c>
      <c r="AB242" s="59"/>
      <c r="AC242" s="59"/>
      <c r="AD242" s="35" t="s">
        <v>1104</v>
      </c>
      <c r="AE242" s="202" t="s">
        <v>19</v>
      </c>
      <c r="AF242" s="35" t="s">
        <v>1880</v>
      </c>
      <c r="AG242" s="952"/>
    </row>
    <row r="243" spans="1:33" s="11" customFormat="1" ht="26.25" customHeight="1" x14ac:dyDescent="0.15">
      <c r="A243" s="8">
        <v>240</v>
      </c>
      <c r="B243" s="36" t="s">
        <v>7493</v>
      </c>
      <c r="C243" s="965" t="s">
        <v>7526</v>
      </c>
      <c r="D243" s="711" t="s">
        <v>7503</v>
      </c>
      <c r="E243" s="957" t="s">
        <v>111</v>
      </c>
      <c r="F243" s="29" t="s">
        <v>3964</v>
      </c>
      <c r="G243" s="53" t="s">
        <v>7496</v>
      </c>
      <c r="H243" s="956" t="s">
        <v>4195</v>
      </c>
      <c r="I243" s="956" t="s">
        <v>4728</v>
      </c>
      <c r="J243" s="956" t="s">
        <v>5673</v>
      </c>
      <c r="K243" s="22" t="s">
        <v>5674</v>
      </c>
      <c r="L243" s="22" t="s">
        <v>5478</v>
      </c>
      <c r="M243" s="957" t="s">
        <v>1880</v>
      </c>
      <c r="N243" s="956" t="s">
        <v>4676</v>
      </c>
      <c r="O243" s="54" t="s">
        <v>7497</v>
      </c>
      <c r="P243" s="22" t="s">
        <v>1880</v>
      </c>
      <c r="Q243" s="956" t="s">
        <v>1894</v>
      </c>
      <c r="R243" s="956" t="s">
        <v>1894</v>
      </c>
      <c r="S243" s="24" t="s">
        <v>7499</v>
      </c>
      <c r="T243" s="90" t="s">
        <v>7500</v>
      </c>
      <c r="U243" s="24" t="s">
        <v>110</v>
      </c>
      <c r="V243" s="24">
        <v>2</v>
      </c>
      <c r="W243" s="24" t="s">
        <v>448</v>
      </c>
      <c r="X243" s="24" t="s">
        <v>448</v>
      </c>
      <c r="Y243" s="30">
        <v>3.8</v>
      </c>
      <c r="Z243" s="30"/>
      <c r="AA243" s="30">
        <v>3.8</v>
      </c>
      <c r="AB243" s="59"/>
      <c r="AC243" s="59"/>
      <c r="AD243" s="35" t="s">
        <v>1104</v>
      </c>
      <c r="AE243" s="202" t="s">
        <v>19</v>
      </c>
      <c r="AF243" s="35" t="s">
        <v>1880</v>
      </c>
      <c r="AG243" s="952"/>
    </row>
    <row r="244" spans="1:33" s="11" customFormat="1" ht="26.25" customHeight="1" x14ac:dyDescent="0.15">
      <c r="A244" s="8">
        <v>241</v>
      </c>
      <c r="B244" s="36" t="s">
        <v>7494</v>
      </c>
      <c r="C244" s="957" t="s">
        <v>111</v>
      </c>
      <c r="D244" s="957" t="s">
        <v>111</v>
      </c>
      <c r="E244" s="957" t="s">
        <v>111</v>
      </c>
      <c r="F244" s="29" t="s">
        <v>3964</v>
      </c>
      <c r="G244" s="53" t="s">
        <v>7496</v>
      </c>
      <c r="H244" s="956" t="s">
        <v>4195</v>
      </c>
      <c r="I244" s="956" t="s">
        <v>4728</v>
      </c>
      <c r="J244" s="956" t="s">
        <v>5673</v>
      </c>
      <c r="K244" s="22" t="s">
        <v>5674</v>
      </c>
      <c r="L244" s="22" t="s">
        <v>5478</v>
      </c>
      <c r="M244" s="957" t="s">
        <v>1880</v>
      </c>
      <c r="N244" s="956" t="s">
        <v>4676</v>
      </c>
      <c r="O244" s="54" t="s">
        <v>7498</v>
      </c>
      <c r="P244" s="22" t="s">
        <v>1880</v>
      </c>
      <c r="Q244" s="956" t="s">
        <v>1894</v>
      </c>
      <c r="R244" s="956" t="s">
        <v>1894</v>
      </c>
      <c r="S244" s="24" t="s">
        <v>7499</v>
      </c>
      <c r="T244" s="90" t="s">
        <v>7500</v>
      </c>
      <c r="U244" s="24" t="s">
        <v>110</v>
      </c>
      <c r="V244" s="24">
        <v>2</v>
      </c>
      <c r="W244" s="24" t="s">
        <v>7501</v>
      </c>
      <c r="X244" s="24" t="s">
        <v>7502</v>
      </c>
      <c r="Y244" s="30"/>
      <c r="Z244" s="30">
        <v>1.7</v>
      </c>
      <c r="AA244" s="30">
        <v>1.7</v>
      </c>
      <c r="AB244" s="59"/>
      <c r="AC244" s="59"/>
      <c r="AD244" s="35" t="s">
        <v>1104</v>
      </c>
      <c r="AE244" s="202" t="s">
        <v>19</v>
      </c>
      <c r="AF244" s="35" t="s">
        <v>1880</v>
      </c>
      <c r="AG244" s="952"/>
    </row>
    <row r="245" spans="1:33" s="11" customFormat="1" ht="26.25" customHeight="1" x14ac:dyDescent="0.15">
      <c r="A245" s="8">
        <v>242</v>
      </c>
      <c r="B245" s="36" t="s">
        <v>7504</v>
      </c>
      <c r="C245" s="2" t="s">
        <v>7509</v>
      </c>
      <c r="D245" s="959" t="s">
        <v>111</v>
      </c>
      <c r="E245" s="959" t="s">
        <v>111</v>
      </c>
      <c r="F245" s="29" t="s">
        <v>6227</v>
      </c>
      <c r="G245" s="53" t="s">
        <v>7506</v>
      </c>
      <c r="H245" s="958" t="s">
        <v>4712</v>
      </c>
      <c r="I245" s="958" t="s">
        <v>4728</v>
      </c>
      <c r="J245" s="958" t="s">
        <v>5458</v>
      </c>
      <c r="K245" s="22" t="s">
        <v>4780</v>
      </c>
      <c r="L245" s="22" t="s">
        <v>5431</v>
      </c>
      <c r="M245" s="959" t="s">
        <v>1880</v>
      </c>
      <c r="N245" s="2" t="s">
        <v>138</v>
      </c>
      <c r="O245" s="54" t="s">
        <v>7507</v>
      </c>
      <c r="P245" s="22" t="s">
        <v>1880</v>
      </c>
      <c r="Q245" s="958" t="s">
        <v>1894</v>
      </c>
      <c r="R245" s="958" t="s">
        <v>1894</v>
      </c>
      <c r="S245" s="24" t="s">
        <v>7460</v>
      </c>
      <c r="T245" s="90" t="s">
        <v>7508</v>
      </c>
      <c r="U245" s="24" t="s">
        <v>110</v>
      </c>
      <c r="V245" s="24">
        <v>2</v>
      </c>
      <c r="W245" s="24" t="s">
        <v>448</v>
      </c>
      <c r="X245" s="24" t="s">
        <v>448</v>
      </c>
      <c r="Y245" s="30">
        <v>9.6</v>
      </c>
      <c r="Z245" s="30"/>
      <c r="AA245" s="30">
        <v>9.6</v>
      </c>
      <c r="AB245" s="59"/>
      <c r="AC245" s="59"/>
      <c r="AD245" s="35" t="s">
        <v>1104</v>
      </c>
      <c r="AE245" s="202" t="s">
        <v>19</v>
      </c>
      <c r="AF245" s="35" t="s">
        <v>1880</v>
      </c>
      <c r="AG245" s="952"/>
    </row>
    <row r="246" spans="1:33" s="11" customFormat="1" ht="26.25" customHeight="1" x14ac:dyDescent="0.15">
      <c r="A246" s="8">
        <v>243</v>
      </c>
      <c r="B246" s="36" t="s">
        <v>7505</v>
      </c>
      <c r="C246" s="965" t="s">
        <v>7528</v>
      </c>
      <c r="D246" s="711" t="s">
        <v>7510</v>
      </c>
      <c r="E246" s="959" t="s">
        <v>111</v>
      </c>
      <c r="F246" s="29" t="s">
        <v>6227</v>
      </c>
      <c r="G246" s="53" t="s">
        <v>7506</v>
      </c>
      <c r="H246" s="958" t="s">
        <v>4195</v>
      </c>
      <c r="I246" s="958" t="s">
        <v>4728</v>
      </c>
      <c r="J246" s="958" t="s">
        <v>6215</v>
      </c>
      <c r="K246" s="22" t="s">
        <v>6216</v>
      </c>
      <c r="L246" s="22" t="s">
        <v>5431</v>
      </c>
      <c r="M246" s="959" t="s">
        <v>1880</v>
      </c>
      <c r="N246" s="958" t="s">
        <v>1131</v>
      </c>
      <c r="O246" s="54" t="s">
        <v>4753</v>
      </c>
      <c r="P246" s="22" t="s">
        <v>1880</v>
      </c>
      <c r="Q246" s="958" t="s">
        <v>1894</v>
      </c>
      <c r="R246" s="958" t="s">
        <v>1894</v>
      </c>
      <c r="S246" s="24" t="s">
        <v>7460</v>
      </c>
      <c r="T246" s="90" t="s">
        <v>7508</v>
      </c>
      <c r="U246" s="24" t="s">
        <v>110</v>
      </c>
      <c r="V246" s="24">
        <v>2</v>
      </c>
      <c r="W246" s="24" t="s">
        <v>448</v>
      </c>
      <c r="X246" s="24" t="s">
        <v>448</v>
      </c>
      <c r="Y246" s="30">
        <v>4.3</v>
      </c>
      <c r="Z246" s="30"/>
      <c r="AA246" s="30">
        <v>4.3</v>
      </c>
      <c r="AB246" s="59"/>
      <c r="AC246" s="59"/>
      <c r="AD246" s="35" t="s">
        <v>1104</v>
      </c>
      <c r="AE246" s="202" t="s">
        <v>19</v>
      </c>
      <c r="AF246" s="35" t="s">
        <v>1880</v>
      </c>
      <c r="AG246" s="952"/>
    </row>
    <row r="247" spans="1:33" s="11" customFormat="1" ht="26.25" customHeight="1" x14ac:dyDescent="0.15">
      <c r="A247" s="8">
        <v>244</v>
      </c>
      <c r="B247" s="36" t="s">
        <v>7511</v>
      </c>
      <c r="C247" s="965" t="s">
        <v>7527</v>
      </c>
      <c r="D247" s="711" t="s">
        <v>7516</v>
      </c>
      <c r="E247" s="959" t="s">
        <v>111</v>
      </c>
      <c r="F247" s="151" t="s">
        <v>3552</v>
      </c>
      <c r="G247" s="54" t="s">
        <v>7515</v>
      </c>
      <c r="H247" s="962" t="s">
        <v>1881</v>
      </c>
      <c r="I247" s="962" t="s">
        <v>1146</v>
      </c>
      <c r="J247" s="21" t="s">
        <v>3554</v>
      </c>
      <c r="K247" s="962" t="s">
        <v>3555</v>
      </c>
      <c r="L247" s="962" t="s">
        <v>2142</v>
      </c>
      <c r="M247" s="962" t="s">
        <v>3556</v>
      </c>
      <c r="N247" s="962" t="s">
        <v>2422</v>
      </c>
      <c r="O247" s="151" t="s">
        <v>3917</v>
      </c>
      <c r="P247" s="962" t="s">
        <v>111</v>
      </c>
      <c r="Q247" s="962" t="s">
        <v>1151</v>
      </c>
      <c r="R247" s="961" t="s">
        <v>1894</v>
      </c>
      <c r="S247" s="24" t="s">
        <v>7460</v>
      </c>
      <c r="T247" s="130" t="s">
        <v>7446</v>
      </c>
      <c r="U247" s="962" t="s">
        <v>2359</v>
      </c>
      <c r="V247" s="962">
        <v>3</v>
      </c>
      <c r="W247" s="24" t="s">
        <v>448</v>
      </c>
      <c r="X247" s="24" t="s">
        <v>448</v>
      </c>
      <c r="Y247" s="30">
        <v>5.5</v>
      </c>
      <c r="Z247" s="30"/>
      <c r="AA247" s="30">
        <v>5.5</v>
      </c>
      <c r="AB247" s="59"/>
      <c r="AC247" s="59"/>
      <c r="AD247" s="35" t="s">
        <v>1104</v>
      </c>
      <c r="AE247" s="202" t="s">
        <v>19</v>
      </c>
      <c r="AF247" s="35" t="s">
        <v>1880</v>
      </c>
      <c r="AG247" s="952"/>
    </row>
    <row r="248" spans="1:33" s="11" customFormat="1" ht="26.25" customHeight="1" x14ac:dyDescent="0.15">
      <c r="A248" s="8">
        <v>245</v>
      </c>
      <c r="B248" s="36" t="s">
        <v>7512</v>
      </c>
      <c r="C248" s="965" t="s">
        <v>7529</v>
      </c>
      <c r="D248" s="711" t="s">
        <v>7524</v>
      </c>
      <c r="E248" s="962" t="s">
        <v>111</v>
      </c>
      <c r="F248" s="29" t="s">
        <v>6213</v>
      </c>
      <c r="G248" s="54" t="s">
        <v>7517</v>
      </c>
      <c r="H248" s="960" t="s">
        <v>4691</v>
      </c>
      <c r="I248" s="960" t="s">
        <v>4728</v>
      </c>
      <c r="J248" s="960" t="s">
        <v>5666</v>
      </c>
      <c r="K248" s="22" t="s">
        <v>4780</v>
      </c>
      <c r="L248" s="22" t="s">
        <v>5431</v>
      </c>
      <c r="M248" s="962" t="s">
        <v>111</v>
      </c>
      <c r="N248" s="961" t="s">
        <v>1131</v>
      </c>
      <c r="O248" s="54" t="s">
        <v>5567</v>
      </c>
      <c r="P248" s="962" t="s">
        <v>111</v>
      </c>
      <c r="Q248" s="962" t="s">
        <v>1151</v>
      </c>
      <c r="R248" s="961" t="s">
        <v>1894</v>
      </c>
      <c r="S248" s="24" t="s">
        <v>7518</v>
      </c>
      <c r="T248" s="90" t="s">
        <v>7519</v>
      </c>
      <c r="U248" s="24" t="s">
        <v>108</v>
      </c>
      <c r="V248" s="10">
        <v>1</v>
      </c>
      <c r="W248" s="24" t="s">
        <v>448</v>
      </c>
      <c r="X248" s="24" t="s">
        <v>448</v>
      </c>
      <c r="Y248" s="30">
        <v>1.9</v>
      </c>
      <c r="Z248" s="30"/>
      <c r="AA248" s="30">
        <v>1.9</v>
      </c>
      <c r="AB248" s="59"/>
      <c r="AC248" s="59"/>
      <c r="AD248" s="35" t="s">
        <v>1104</v>
      </c>
      <c r="AE248" s="202" t="s">
        <v>19</v>
      </c>
      <c r="AF248" s="35" t="s">
        <v>1880</v>
      </c>
      <c r="AG248" s="943"/>
    </row>
    <row r="249" spans="1:33" s="11" customFormat="1" ht="26.25" customHeight="1" x14ac:dyDescent="0.15">
      <c r="A249" s="8">
        <v>246</v>
      </c>
      <c r="B249" s="36" t="s">
        <v>7513</v>
      </c>
      <c r="C249" s="965" t="s">
        <v>7530</v>
      </c>
      <c r="D249" s="711" t="s">
        <v>7523</v>
      </c>
      <c r="E249" s="962" t="s">
        <v>111</v>
      </c>
      <c r="F249" s="29" t="s">
        <v>6213</v>
      </c>
      <c r="G249" s="54" t="s">
        <v>7517</v>
      </c>
      <c r="H249" s="960" t="s">
        <v>4195</v>
      </c>
      <c r="I249" s="961" t="s">
        <v>4728</v>
      </c>
      <c r="J249" s="960" t="s">
        <v>5406</v>
      </c>
      <c r="K249" s="22" t="s">
        <v>6241</v>
      </c>
      <c r="L249" s="22" t="s">
        <v>5478</v>
      </c>
      <c r="M249" s="962" t="s">
        <v>1880</v>
      </c>
      <c r="N249" s="961" t="s">
        <v>4676</v>
      </c>
      <c r="O249" s="54" t="s">
        <v>5567</v>
      </c>
      <c r="P249" s="962" t="s">
        <v>111</v>
      </c>
      <c r="Q249" s="962" t="s">
        <v>1151</v>
      </c>
      <c r="R249" s="961" t="s">
        <v>1894</v>
      </c>
      <c r="S249" s="24" t="s">
        <v>7518</v>
      </c>
      <c r="T249" s="90" t="s">
        <v>7519</v>
      </c>
      <c r="U249" s="24" t="s">
        <v>108</v>
      </c>
      <c r="V249" s="10">
        <v>1</v>
      </c>
      <c r="W249" s="24" t="s">
        <v>448</v>
      </c>
      <c r="X249" s="24" t="s">
        <v>448</v>
      </c>
      <c r="Y249" s="30">
        <v>2</v>
      </c>
      <c r="Z249" s="30"/>
      <c r="AA249" s="30">
        <v>2</v>
      </c>
      <c r="AB249" s="59"/>
      <c r="AC249" s="59"/>
      <c r="AD249" s="35" t="s">
        <v>1104</v>
      </c>
      <c r="AE249" s="202" t="s">
        <v>19</v>
      </c>
      <c r="AF249" s="35" t="s">
        <v>1880</v>
      </c>
      <c r="AG249" s="943"/>
    </row>
    <row r="250" spans="1:33" s="11" customFormat="1" ht="26.25" customHeight="1" x14ac:dyDescent="0.15">
      <c r="A250" s="8">
        <v>247</v>
      </c>
      <c r="B250" s="36" t="s">
        <v>7514</v>
      </c>
      <c r="C250" s="962" t="s">
        <v>111</v>
      </c>
      <c r="D250" s="962" t="s">
        <v>111</v>
      </c>
      <c r="E250" s="962" t="s">
        <v>111</v>
      </c>
      <c r="F250" s="29" t="s">
        <v>6213</v>
      </c>
      <c r="G250" s="54" t="s">
        <v>7517</v>
      </c>
      <c r="H250" s="960" t="s">
        <v>4712</v>
      </c>
      <c r="I250" s="960" t="s">
        <v>4728</v>
      </c>
      <c r="J250" s="960" t="s">
        <v>6062</v>
      </c>
      <c r="K250" s="22" t="s">
        <v>4780</v>
      </c>
      <c r="L250" s="22" t="s">
        <v>1826</v>
      </c>
      <c r="M250" s="962" t="s">
        <v>1880</v>
      </c>
      <c r="N250" s="216" t="s">
        <v>25</v>
      </c>
      <c r="O250" s="54" t="s">
        <v>7520</v>
      </c>
      <c r="P250" s="962" t="s">
        <v>111</v>
      </c>
      <c r="Q250" s="962" t="s">
        <v>1151</v>
      </c>
      <c r="R250" s="961" t="s">
        <v>1894</v>
      </c>
      <c r="S250" s="24" t="s">
        <v>7518</v>
      </c>
      <c r="T250" s="90" t="s">
        <v>7519</v>
      </c>
      <c r="U250" s="24" t="s">
        <v>108</v>
      </c>
      <c r="V250" s="10">
        <v>1</v>
      </c>
      <c r="W250" s="24" t="s">
        <v>7521</v>
      </c>
      <c r="X250" s="24" t="s">
        <v>7522</v>
      </c>
      <c r="Y250" s="30"/>
      <c r="Z250" s="30">
        <v>1.6</v>
      </c>
      <c r="AA250" s="30">
        <v>1.6</v>
      </c>
      <c r="AB250" s="59"/>
      <c r="AC250" s="59"/>
      <c r="AD250" s="35" t="s">
        <v>1104</v>
      </c>
      <c r="AE250" s="202" t="s">
        <v>19</v>
      </c>
      <c r="AF250" s="35" t="s">
        <v>1880</v>
      </c>
      <c r="AG250" s="943"/>
    </row>
    <row r="251" spans="1:33" s="11" customFormat="1" ht="26.25" customHeight="1" x14ac:dyDescent="0.15">
      <c r="A251" s="8">
        <v>248</v>
      </c>
      <c r="B251" s="36" t="s">
        <v>7531</v>
      </c>
      <c r="C251" s="71" t="s">
        <v>7533</v>
      </c>
      <c r="D251" s="711" t="s">
        <v>7539</v>
      </c>
      <c r="E251" s="964" t="s">
        <v>111</v>
      </c>
      <c r="F251" s="29" t="s">
        <v>1792</v>
      </c>
      <c r="G251" s="54" t="s">
        <v>7577</v>
      </c>
      <c r="H251" s="963" t="s">
        <v>4691</v>
      </c>
      <c r="I251" s="963" t="s">
        <v>4728</v>
      </c>
      <c r="J251" s="963" t="s">
        <v>5784</v>
      </c>
      <c r="K251" s="22" t="s">
        <v>1795</v>
      </c>
      <c r="L251" s="22" t="s">
        <v>1826</v>
      </c>
      <c r="M251" s="964" t="s">
        <v>1880</v>
      </c>
      <c r="N251" s="216" t="s">
        <v>25</v>
      </c>
      <c r="O251" s="54" t="s">
        <v>7536</v>
      </c>
      <c r="P251" s="964" t="s">
        <v>111</v>
      </c>
      <c r="Q251" s="964" t="s">
        <v>1151</v>
      </c>
      <c r="R251" s="963" t="s">
        <v>1894</v>
      </c>
      <c r="S251" s="24" t="s">
        <v>7453</v>
      </c>
      <c r="T251" s="90" t="s">
        <v>7578</v>
      </c>
      <c r="U251" s="24" t="s">
        <v>108</v>
      </c>
      <c r="V251" s="10">
        <v>1</v>
      </c>
      <c r="W251" s="24" t="s">
        <v>448</v>
      </c>
      <c r="X251" s="24" t="s">
        <v>448</v>
      </c>
      <c r="Y251" s="30">
        <v>3.8</v>
      </c>
      <c r="Z251" s="30"/>
      <c r="AA251" s="30">
        <v>3.8</v>
      </c>
      <c r="AB251" s="59"/>
      <c r="AC251" s="59"/>
      <c r="AD251" s="35" t="s">
        <v>1104</v>
      </c>
      <c r="AE251" s="202" t="s">
        <v>19</v>
      </c>
      <c r="AF251" s="35" t="s">
        <v>1880</v>
      </c>
      <c r="AG251" s="54" t="s">
        <v>7540</v>
      </c>
    </row>
    <row r="252" spans="1:33" s="11" customFormat="1" ht="26.25" customHeight="1" x14ac:dyDescent="0.15">
      <c r="A252" s="8">
        <v>249</v>
      </c>
      <c r="B252" s="36" t="s">
        <v>7532</v>
      </c>
      <c r="C252" s="71" t="s">
        <v>7534</v>
      </c>
      <c r="D252" s="711" t="s">
        <v>7538</v>
      </c>
      <c r="E252" s="964" t="s">
        <v>111</v>
      </c>
      <c r="F252" s="29" t="s">
        <v>1792</v>
      </c>
      <c r="G252" s="54" t="s">
        <v>7577</v>
      </c>
      <c r="H252" s="964" t="s">
        <v>1881</v>
      </c>
      <c r="I252" s="82" t="s">
        <v>1146</v>
      </c>
      <c r="J252" s="964" t="s">
        <v>3247</v>
      </c>
      <c r="K252" s="964" t="s">
        <v>1138</v>
      </c>
      <c r="L252" s="964" t="s">
        <v>1826</v>
      </c>
      <c r="M252" s="22" t="s">
        <v>1880</v>
      </c>
      <c r="N252" s="110" t="s">
        <v>1818</v>
      </c>
      <c r="O252" s="54" t="s">
        <v>7537</v>
      </c>
      <c r="P252" s="964" t="s">
        <v>111</v>
      </c>
      <c r="Q252" s="964" t="s">
        <v>1151</v>
      </c>
      <c r="R252" s="963" t="s">
        <v>1894</v>
      </c>
      <c r="S252" s="24" t="s">
        <v>7453</v>
      </c>
      <c r="T252" s="90" t="s">
        <v>7578</v>
      </c>
      <c r="U252" s="24" t="s">
        <v>108</v>
      </c>
      <c r="V252" s="10">
        <v>1</v>
      </c>
      <c r="W252" s="24" t="s">
        <v>448</v>
      </c>
      <c r="X252" s="24" t="s">
        <v>448</v>
      </c>
      <c r="Y252" s="30">
        <v>1.7</v>
      </c>
      <c r="Z252" s="30"/>
      <c r="AA252" s="30">
        <v>1.7</v>
      </c>
      <c r="AB252" s="59"/>
      <c r="AC252" s="59"/>
      <c r="AD252" s="35" t="s">
        <v>1104</v>
      </c>
      <c r="AE252" s="202" t="s">
        <v>19</v>
      </c>
      <c r="AF252" s="35" t="s">
        <v>1880</v>
      </c>
      <c r="AG252" s="54" t="s">
        <v>7540</v>
      </c>
    </row>
    <row r="253" spans="1:33" s="11" customFormat="1" ht="26.25" customHeight="1" x14ac:dyDescent="0.15">
      <c r="A253" s="8">
        <v>250</v>
      </c>
      <c r="B253" s="36"/>
      <c r="C253" s="939"/>
      <c r="D253" s="330"/>
      <c r="E253" s="939"/>
      <c r="F253" s="29"/>
      <c r="G253" s="53"/>
      <c r="H253" s="937"/>
      <c r="I253" s="937"/>
      <c r="J253" s="937"/>
      <c r="K253" s="22"/>
      <c r="L253" s="22"/>
      <c r="M253" s="939"/>
      <c r="N253" s="938"/>
      <c r="O253" s="54"/>
      <c r="P253" s="22"/>
      <c r="Q253" s="938"/>
      <c r="R253" s="938"/>
      <c r="S253" s="24"/>
      <c r="T253" s="90"/>
      <c r="U253" s="24"/>
      <c r="V253" s="24"/>
      <c r="W253" s="24"/>
      <c r="X253" s="24"/>
      <c r="Y253" s="30"/>
      <c r="Z253" s="30"/>
      <c r="AA253" s="30"/>
      <c r="AB253" s="59"/>
      <c r="AC253" s="59"/>
      <c r="AD253" s="35"/>
      <c r="AE253" s="202"/>
      <c r="AF253" s="35"/>
      <c r="AG253" s="938"/>
    </row>
    <row r="254" spans="1:33" s="11" customFormat="1" ht="26.25" customHeight="1" x14ac:dyDescent="0.15">
      <c r="A254" s="8">
        <v>251</v>
      </c>
      <c r="B254" s="36"/>
      <c r="C254" s="852"/>
      <c r="D254" s="330"/>
      <c r="E254" s="852"/>
      <c r="F254" s="29"/>
      <c r="G254" s="53"/>
      <c r="H254" s="850"/>
      <c r="I254" s="850"/>
      <c r="J254" s="850"/>
      <c r="K254" s="878"/>
      <c r="L254" s="22"/>
      <c r="M254" s="852"/>
      <c r="N254" s="851"/>
      <c r="O254" s="54"/>
      <c r="P254" s="22"/>
      <c r="Q254" s="851"/>
      <c r="R254" s="851"/>
      <c r="S254" s="24"/>
      <c r="T254" s="90"/>
      <c r="U254" s="24"/>
      <c r="V254" s="24"/>
      <c r="W254" s="24"/>
      <c r="X254" s="24"/>
      <c r="Y254" s="30"/>
      <c r="Z254" s="30"/>
      <c r="AA254" s="30"/>
      <c r="AB254" s="59"/>
      <c r="AC254" s="59"/>
      <c r="AD254" s="35"/>
      <c r="AE254" s="202"/>
      <c r="AF254" s="35"/>
      <c r="AG254" s="851"/>
    </row>
    <row r="255" spans="1:33" s="11" customFormat="1" ht="26.25" customHeight="1" x14ac:dyDescent="0.15">
      <c r="A255" s="8">
        <v>252</v>
      </c>
      <c r="B255" s="36"/>
      <c r="C255" s="707"/>
      <c r="D255" s="330"/>
      <c r="E255" s="707"/>
      <c r="F255" s="29"/>
      <c r="G255" s="53"/>
      <c r="H255" s="705"/>
      <c r="I255" s="705"/>
      <c r="J255" s="705"/>
      <c r="K255" s="22"/>
      <c r="L255" s="22"/>
      <c r="M255" s="707"/>
      <c r="N255" s="706"/>
      <c r="O255" s="54"/>
      <c r="P255" s="22"/>
      <c r="Q255" s="706"/>
      <c r="R255" s="706"/>
      <c r="S255" s="24"/>
      <c r="T255" s="90"/>
      <c r="U255" s="24"/>
      <c r="V255" s="24"/>
      <c r="W255" s="24"/>
      <c r="X255" s="24"/>
      <c r="Y255" s="30"/>
      <c r="Z255" s="30"/>
      <c r="AA255" s="30"/>
      <c r="AB255" s="59"/>
      <c r="AC255" s="59"/>
      <c r="AD255" s="35"/>
      <c r="AE255" s="202"/>
      <c r="AF255" s="35"/>
      <c r="AG255" s="706"/>
    </row>
    <row r="256" spans="1:33" s="11" customFormat="1" ht="26.25" customHeight="1" x14ac:dyDescent="0.15">
      <c r="A256" s="8"/>
      <c r="B256" s="36"/>
      <c r="C256" s="26"/>
      <c r="D256" s="26"/>
      <c r="E256" s="26"/>
      <c r="F256" s="29"/>
      <c r="G256" s="53"/>
      <c r="H256" s="705"/>
      <c r="I256" s="1"/>
      <c r="J256" s="37"/>
      <c r="K256" s="22"/>
      <c r="L256" s="22"/>
      <c r="M256" s="22"/>
      <c r="N256" s="706"/>
      <c r="O256" s="54"/>
      <c r="P256" s="22"/>
      <c r="Q256" s="706"/>
      <c r="R256" s="706"/>
      <c r="S256" s="24"/>
      <c r="T256" s="90"/>
      <c r="U256" s="146" t="s">
        <v>3144</v>
      </c>
      <c r="V256" s="146"/>
      <c r="W256" s="146"/>
      <c r="X256" s="146"/>
      <c r="Y256" s="148">
        <f>SUM(Y3:Y255)</f>
        <v>1649.5188037999992</v>
      </c>
      <c r="Z256" s="148">
        <f>SUM(Z3:Z255)</f>
        <v>1349.6730019999977</v>
      </c>
      <c r="AA256" s="148">
        <f>SUM(AA3:AA255)</f>
        <v>2999.191805800001</v>
      </c>
      <c r="AB256" s="702"/>
      <c r="AC256" s="702"/>
      <c r="AD256" s="35"/>
      <c r="AE256" s="35"/>
      <c r="AF256" s="35"/>
      <c r="AG256" s="706"/>
    </row>
    <row r="257" spans="3:3" x14ac:dyDescent="0.15">
      <c r="C257" t="s">
        <v>4680</v>
      </c>
    </row>
    <row r="518" spans="23:23" x14ac:dyDescent="0.15">
      <c r="W518" t="s">
        <v>7027</v>
      </c>
    </row>
    <row r="519" spans="23:23" x14ac:dyDescent="0.15">
      <c r="W519" t="s">
        <v>7028</v>
      </c>
    </row>
    <row r="520" spans="23:23" x14ac:dyDescent="0.15">
      <c r="W520" t="s">
        <v>7029</v>
      </c>
    </row>
  </sheetData>
  <autoFilter ref="A2:AG257" xr:uid="{00000000-0009-0000-0000-000001000000}"/>
  <mergeCells count="1">
    <mergeCell ref="A1:AF1"/>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49"/>
  <sheetViews>
    <sheetView zoomScaleNormal="100" workbookViewId="0">
      <pane xSplit="2" ySplit="2" topLeftCell="I3" activePane="bottomRight" state="frozen"/>
      <selection pane="topRight" activeCell="C1" sqref="C1"/>
      <selection pane="bottomLeft" activeCell="A3" sqref="A3"/>
      <selection pane="bottomRight" activeCell="T12" sqref="T12"/>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6.2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9" width="12.25" style="38" customWidth="1"/>
    <col min="30" max="30" width="10.875" customWidth="1"/>
    <col min="31" max="31" width="13.75" customWidth="1"/>
    <col min="33" max="33" width="37.875" customWidth="1"/>
  </cols>
  <sheetData>
    <row r="1" spans="1:33" s="3" customFormat="1" ht="33" customHeight="1" x14ac:dyDescent="0.15">
      <c r="A1" s="1953" t="s">
        <v>5483</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c r="AE1" s="1953"/>
      <c r="AF1" s="1953"/>
    </row>
    <row r="2" spans="1:33" s="4" customFormat="1" ht="27.95" customHeight="1" x14ac:dyDescent="0.15">
      <c r="A2" s="25" t="s">
        <v>0</v>
      </c>
      <c r="B2" s="25" t="s">
        <v>1</v>
      </c>
      <c r="C2" s="25" t="s">
        <v>2</v>
      </c>
      <c r="D2" s="25" t="s">
        <v>3</v>
      </c>
      <c r="E2" s="25" t="s">
        <v>958</v>
      </c>
      <c r="F2" s="25" t="s">
        <v>4</v>
      </c>
      <c r="G2" s="25" t="s">
        <v>5</v>
      </c>
      <c r="H2" s="25" t="s">
        <v>7</v>
      </c>
      <c r="I2" s="25" t="s">
        <v>6</v>
      </c>
      <c r="J2" s="25" t="s">
        <v>419</v>
      </c>
      <c r="K2" s="25" t="s">
        <v>420</v>
      </c>
      <c r="L2" s="25" t="s">
        <v>1825</v>
      </c>
      <c r="M2" s="25" t="s">
        <v>1857</v>
      </c>
      <c r="N2" s="25" t="s">
        <v>10</v>
      </c>
      <c r="O2" s="25" t="s">
        <v>8</v>
      </c>
      <c r="P2" s="25" t="s">
        <v>9</v>
      </c>
      <c r="Q2" s="25" t="s">
        <v>3342</v>
      </c>
      <c r="R2" s="25" t="s">
        <v>3343</v>
      </c>
      <c r="S2" s="25" t="s">
        <v>2126</v>
      </c>
      <c r="T2" s="49" t="s">
        <v>2127</v>
      </c>
      <c r="U2" s="32" t="s">
        <v>14</v>
      </c>
      <c r="V2" s="32" t="s">
        <v>13</v>
      </c>
      <c r="W2" s="25" t="s">
        <v>11</v>
      </c>
      <c r="X2" s="25" t="s">
        <v>12</v>
      </c>
      <c r="Y2" s="134" t="s">
        <v>429</v>
      </c>
      <c r="Z2" s="134" t="s">
        <v>2183</v>
      </c>
      <c r="AA2" s="134" t="s">
        <v>431</v>
      </c>
      <c r="AB2" s="134" t="s">
        <v>6455</v>
      </c>
      <c r="AC2" s="134" t="s">
        <v>6456</v>
      </c>
      <c r="AD2" s="25" t="s">
        <v>2124</v>
      </c>
      <c r="AE2" s="25" t="s">
        <v>2123</v>
      </c>
      <c r="AF2" s="25" t="s">
        <v>2125</v>
      </c>
      <c r="AG2" s="25" t="s">
        <v>3252</v>
      </c>
    </row>
    <row r="3" spans="1:33" s="11" customFormat="1" ht="26.25" customHeight="1" x14ac:dyDescent="0.15">
      <c r="A3" s="8">
        <v>1</v>
      </c>
      <c r="B3" s="36" t="s">
        <v>5472</v>
      </c>
      <c r="C3" s="26" t="s">
        <v>19</v>
      </c>
      <c r="D3" s="26" t="s">
        <v>19</v>
      </c>
      <c r="E3" s="26" t="s">
        <v>19</v>
      </c>
      <c r="F3" s="149" t="s">
        <v>845</v>
      </c>
      <c r="G3" s="26" t="s">
        <v>19</v>
      </c>
      <c r="H3" s="18" t="s">
        <v>1829</v>
      </c>
      <c r="I3" s="142" t="s">
        <v>849</v>
      </c>
      <c r="J3" s="21" t="s">
        <v>852</v>
      </c>
      <c r="K3" s="22" t="s">
        <v>855</v>
      </c>
      <c r="L3" s="22" t="s">
        <v>1826</v>
      </c>
      <c r="M3" s="22" t="s">
        <v>1880</v>
      </c>
      <c r="N3" s="418" t="s">
        <v>102</v>
      </c>
      <c r="O3" s="54" t="s">
        <v>851</v>
      </c>
      <c r="P3" s="22" t="s">
        <v>1880</v>
      </c>
      <c r="Q3" s="418" t="s">
        <v>854</v>
      </c>
      <c r="R3" s="418" t="s">
        <v>854</v>
      </c>
      <c r="S3" s="24" t="s">
        <v>111</v>
      </c>
      <c r="T3" s="90" t="s">
        <v>111</v>
      </c>
      <c r="U3" s="24" t="s">
        <v>111</v>
      </c>
      <c r="V3" s="24" t="s">
        <v>1880</v>
      </c>
      <c r="W3" s="24" t="s">
        <v>5473</v>
      </c>
      <c r="X3" s="24" t="s">
        <v>5162</v>
      </c>
      <c r="Y3" s="30"/>
      <c r="Z3" s="30">
        <v>12</v>
      </c>
      <c r="AA3" s="30">
        <f>Y3+Z3</f>
        <v>12</v>
      </c>
      <c r="AB3" s="59"/>
      <c r="AC3" s="59"/>
      <c r="AD3" s="35" t="s">
        <v>1104</v>
      </c>
      <c r="AE3" s="202" t="s">
        <v>19</v>
      </c>
      <c r="AF3" s="35" t="s">
        <v>1880</v>
      </c>
      <c r="AG3" s="418" t="s">
        <v>5193</v>
      </c>
    </row>
    <row r="4" spans="1:33" s="11" customFormat="1" ht="26.25" customHeight="1" x14ac:dyDescent="0.15">
      <c r="A4" s="8">
        <v>3</v>
      </c>
      <c r="B4" s="36" t="s">
        <v>5474</v>
      </c>
      <c r="C4" s="26" t="s">
        <v>19</v>
      </c>
      <c r="D4" s="26" t="s">
        <v>19</v>
      </c>
      <c r="E4" s="26" t="s">
        <v>19</v>
      </c>
      <c r="F4" s="29" t="s">
        <v>5475</v>
      </c>
      <c r="G4" s="53" t="s">
        <v>5476</v>
      </c>
      <c r="H4" s="18" t="s">
        <v>4195</v>
      </c>
      <c r="I4" s="142" t="s">
        <v>3101</v>
      </c>
      <c r="J4" s="21" t="s">
        <v>5477</v>
      </c>
      <c r="K4" s="22" t="s">
        <v>4780</v>
      </c>
      <c r="L4" s="22" t="s">
        <v>5478</v>
      </c>
      <c r="M4" s="22" t="s">
        <v>1880</v>
      </c>
      <c r="N4" s="418" t="s">
        <v>4676</v>
      </c>
      <c r="O4" s="54" t="s">
        <v>5479</v>
      </c>
      <c r="P4" s="22" t="s">
        <v>1880</v>
      </c>
      <c r="Q4" s="418" t="s">
        <v>5480</v>
      </c>
      <c r="R4" s="418" t="s">
        <v>5480</v>
      </c>
      <c r="S4" s="24" t="s">
        <v>5481</v>
      </c>
      <c r="T4" s="90" t="s">
        <v>5482</v>
      </c>
      <c r="U4" s="24" t="s">
        <v>1800</v>
      </c>
      <c r="V4" s="10">
        <v>1</v>
      </c>
      <c r="W4" s="24" t="s">
        <v>111</v>
      </c>
      <c r="X4" s="24" t="s">
        <v>111</v>
      </c>
      <c r="Y4" s="30">
        <v>4</v>
      </c>
      <c r="Z4" s="30"/>
      <c r="AA4" s="30">
        <v>4</v>
      </c>
      <c r="AB4" s="59" t="s">
        <v>6457</v>
      </c>
      <c r="AC4" s="59" t="s">
        <v>6457</v>
      </c>
      <c r="AD4" s="35" t="s">
        <v>1104</v>
      </c>
      <c r="AE4" s="202" t="s">
        <v>19</v>
      </c>
      <c r="AF4" s="35" t="s">
        <v>1880</v>
      </c>
      <c r="AG4" s="418"/>
    </row>
    <row r="5" spans="1:33" s="11" customFormat="1" ht="26.25" customHeight="1" x14ac:dyDescent="0.15">
      <c r="A5" s="8">
        <v>4</v>
      </c>
      <c r="B5" s="36" t="s">
        <v>5484</v>
      </c>
      <c r="C5" s="26" t="s">
        <v>19</v>
      </c>
      <c r="D5" s="26" t="s">
        <v>5535</v>
      </c>
      <c r="E5" s="26" t="s">
        <v>19</v>
      </c>
      <c r="F5" s="29" t="s">
        <v>5485</v>
      </c>
      <c r="G5" s="99" t="s">
        <v>5486</v>
      </c>
      <c r="H5" s="421" t="s">
        <v>1147</v>
      </c>
      <c r="I5" s="421" t="s">
        <v>3215</v>
      </c>
      <c r="J5" s="21" t="s">
        <v>3328</v>
      </c>
      <c r="K5" s="22" t="s">
        <v>4780</v>
      </c>
      <c r="L5" s="22" t="s">
        <v>5431</v>
      </c>
      <c r="M5" s="22" t="s">
        <v>1880</v>
      </c>
      <c r="N5" s="418" t="s">
        <v>1131</v>
      </c>
      <c r="O5" s="54" t="s">
        <v>4753</v>
      </c>
      <c r="P5" s="22" t="s">
        <v>1880</v>
      </c>
      <c r="Q5" s="82" t="s">
        <v>414</v>
      </c>
      <c r="R5" s="418" t="s">
        <v>5487</v>
      </c>
      <c r="S5" s="24" t="s">
        <v>5490</v>
      </c>
      <c r="T5" s="90" t="s">
        <v>448</v>
      </c>
      <c r="U5" s="24" t="s">
        <v>448</v>
      </c>
      <c r="V5" s="24" t="s">
        <v>448</v>
      </c>
      <c r="W5" s="24" t="s">
        <v>448</v>
      </c>
      <c r="X5" s="24" t="s">
        <v>448</v>
      </c>
      <c r="Y5" s="30">
        <v>0.49</v>
      </c>
      <c r="Z5" s="30"/>
      <c r="AA5" s="30">
        <v>0.49</v>
      </c>
      <c r="AB5" s="59"/>
      <c r="AC5" s="59"/>
      <c r="AD5" s="35" t="s">
        <v>1104</v>
      </c>
      <c r="AE5" s="202" t="s">
        <v>19</v>
      </c>
      <c r="AF5" s="35" t="s">
        <v>1880</v>
      </c>
      <c r="AG5" s="418" t="s">
        <v>5488</v>
      </c>
    </row>
    <row r="6" spans="1:33" s="11" customFormat="1" ht="26.25" customHeight="1" x14ac:dyDescent="0.15">
      <c r="A6" s="8">
        <v>5</v>
      </c>
      <c r="B6" s="36" t="s">
        <v>5495</v>
      </c>
      <c r="C6" s="26" t="s">
        <v>19</v>
      </c>
      <c r="D6" s="26" t="s">
        <v>19</v>
      </c>
      <c r="E6" s="26" t="s">
        <v>19</v>
      </c>
      <c r="F6" s="29" t="s">
        <v>1836</v>
      </c>
      <c r="G6" s="53" t="s">
        <v>5493</v>
      </c>
      <c r="H6" s="419" t="s">
        <v>1838</v>
      </c>
      <c r="I6" s="102" t="s">
        <v>1789</v>
      </c>
      <c r="J6" s="37" t="s">
        <v>1839</v>
      </c>
      <c r="K6" s="22" t="s">
        <v>1138</v>
      </c>
      <c r="L6" s="22" t="s">
        <v>1826</v>
      </c>
      <c r="M6" s="421" t="s">
        <v>111</v>
      </c>
      <c r="N6" s="420" t="s">
        <v>1818</v>
      </c>
      <c r="O6" s="54" t="s">
        <v>1819</v>
      </c>
      <c r="P6" s="22" t="s">
        <v>1880</v>
      </c>
      <c r="Q6" s="418" t="s">
        <v>5489</v>
      </c>
      <c r="R6" s="418" t="s">
        <v>5489</v>
      </c>
      <c r="S6" s="24" t="s">
        <v>5491</v>
      </c>
      <c r="T6" s="90" t="s">
        <v>5492</v>
      </c>
      <c r="U6" s="24" t="s">
        <v>110</v>
      </c>
      <c r="V6" s="24">
        <v>2</v>
      </c>
      <c r="W6" s="24" t="s">
        <v>5473</v>
      </c>
      <c r="X6" s="24" t="s">
        <v>5162</v>
      </c>
      <c r="Y6" s="30"/>
      <c r="Z6" s="30">
        <v>8.8000000000000007</v>
      </c>
      <c r="AA6" s="30">
        <v>8.8000000000000007</v>
      </c>
      <c r="AB6" s="59"/>
      <c r="AC6" s="59"/>
      <c r="AD6" s="35" t="s">
        <v>1104</v>
      </c>
      <c r="AE6" s="202" t="s">
        <v>19</v>
      </c>
      <c r="AF6" s="35" t="s">
        <v>1880</v>
      </c>
      <c r="AG6" s="418"/>
    </row>
    <row r="7" spans="1:33" s="11" customFormat="1" ht="26.25" customHeight="1" x14ac:dyDescent="0.15">
      <c r="A7" s="8">
        <v>6</v>
      </c>
      <c r="B7" s="36" t="s">
        <v>5496</v>
      </c>
      <c r="C7" s="26" t="s">
        <v>5494</v>
      </c>
      <c r="D7" s="26" t="s">
        <v>19</v>
      </c>
      <c r="E7" s="26" t="s">
        <v>19</v>
      </c>
      <c r="F7" s="29" t="s">
        <v>5497</v>
      </c>
      <c r="G7" s="53" t="s">
        <v>5498</v>
      </c>
      <c r="H7" s="419" t="s">
        <v>3641</v>
      </c>
      <c r="I7" s="102" t="s">
        <v>1789</v>
      </c>
      <c r="J7" s="37" t="s">
        <v>5499</v>
      </c>
      <c r="K7" s="22" t="s">
        <v>1138</v>
      </c>
      <c r="L7" s="22" t="s">
        <v>1826</v>
      </c>
      <c r="M7" s="421" t="s">
        <v>111</v>
      </c>
      <c r="N7" s="420" t="s">
        <v>1818</v>
      </c>
      <c r="O7" s="54" t="s">
        <v>5500</v>
      </c>
      <c r="P7" s="22" t="s">
        <v>1880</v>
      </c>
      <c r="Q7" s="418" t="s">
        <v>446</v>
      </c>
      <c r="R7" s="418" t="s">
        <v>446</v>
      </c>
      <c r="S7" s="24" t="s">
        <v>5491</v>
      </c>
      <c r="T7" s="90" t="s">
        <v>5501</v>
      </c>
      <c r="U7" s="24" t="s">
        <v>110</v>
      </c>
      <c r="V7" s="24">
        <v>1</v>
      </c>
      <c r="W7" s="24" t="s">
        <v>448</v>
      </c>
      <c r="X7" s="24" t="s">
        <v>448</v>
      </c>
      <c r="Y7" s="30">
        <v>6.47</v>
      </c>
      <c r="Z7" s="30"/>
      <c r="AA7" s="30">
        <v>6.47</v>
      </c>
      <c r="AB7" s="59"/>
      <c r="AC7" s="59"/>
      <c r="AD7" s="35" t="s">
        <v>1104</v>
      </c>
      <c r="AE7" s="469" t="s">
        <v>5680</v>
      </c>
      <c r="AF7" s="35" t="s">
        <v>1880</v>
      </c>
      <c r="AG7" s="418"/>
    </row>
    <row r="8" spans="1:33" s="11" customFormat="1" ht="26.25" customHeight="1" x14ac:dyDescent="0.15">
      <c r="A8" s="8">
        <v>7</v>
      </c>
      <c r="B8" s="36" t="s">
        <v>5537</v>
      </c>
      <c r="C8" s="433" t="s">
        <v>5539</v>
      </c>
      <c r="D8" s="26" t="s">
        <v>19</v>
      </c>
      <c r="E8" s="36" t="s">
        <v>5613</v>
      </c>
      <c r="F8" s="29" t="s">
        <v>5541</v>
      </c>
      <c r="G8" s="53" t="s">
        <v>5542</v>
      </c>
      <c r="H8" s="432" t="s">
        <v>2032</v>
      </c>
      <c r="I8" s="102" t="s">
        <v>2031</v>
      </c>
      <c r="J8" s="37" t="s">
        <v>5543</v>
      </c>
      <c r="K8" s="22" t="s">
        <v>5544</v>
      </c>
      <c r="L8" s="22" t="s">
        <v>1826</v>
      </c>
      <c r="M8" s="426" t="s">
        <v>111</v>
      </c>
      <c r="N8" s="423" t="s">
        <v>5517</v>
      </c>
      <c r="O8" s="54" t="s">
        <v>5545</v>
      </c>
      <c r="P8" s="22" t="s">
        <v>1880</v>
      </c>
      <c r="Q8" s="423" t="s">
        <v>446</v>
      </c>
      <c r="R8" s="423" t="s">
        <v>446</v>
      </c>
      <c r="S8" s="24" t="s">
        <v>5533</v>
      </c>
      <c r="T8" s="90" t="s">
        <v>5492</v>
      </c>
      <c r="U8" s="24" t="s">
        <v>110</v>
      </c>
      <c r="V8" s="24">
        <v>2</v>
      </c>
      <c r="W8" s="24" t="s">
        <v>448</v>
      </c>
      <c r="X8" s="24" t="s">
        <v>448</v>
      </c>
      <c r="Y8" s="30">
        <v>13</v>
      </c>
      <c r="Z8" s="30"/>
      <c r="AA8" s="30">
        <v>13</v>
      </c>
      <c r="AB8" s="59"/>
      <c r="AC8" s="59"/>
      <c r="AD8" s="35" t="s">
        <v>1104</v>
      </c>
      <c r="AE8" s="433" t="s">
        <v>5547</v>
      </c>
      <c r="AF8" s="35" t="s">
        <v>1880</v>
      </c>
      <c r="AG8" s="423"/>
    </row>
    <row r="9" spans="1:33" s="11" customFormat="1" ht="26.25" customHeight="1" x14ac:dyDescent="0.15">
      <c r="A9" s="8">
        <v>8</v>
      </c>
      <c r="B9" s="36" t="s">
        <v>5538</v>
      </c>
      <c r="C9" s="433" t="s">
        <v>5540</v>
      </c>
      <c r="D9" s="26" t="s">
        <v>19</v>
      </c>
      <c r="E9" s="26" t="s">
        <v>19</v>
      </c>
      <c r="F9" s="29" t="s">
        <v>5541</v>
      </c>
      <c r="G9" s="53" t="s">
        <v>5542</v>
      </c>
      <c r="H9" s="432" t="s">
        <v>2032</v>
      </c>
      <c r="I9" s="102" t="s">
        <v>2031</v>
      </c>
      <c r="J9" s="37" t="s">
        <v>5543</v>
      </c>
      <c r="K9" s="22" t="s">
        <v>5544</v>
      </c>
      <c r="L9" s="22" t="s">
        <v>1826</v>
      </c>
      <c r="M9" s="434" t="s">
        <v>111</v>
      </c>
      <c r="N9" s="433" t="s">
        <v>445</v>
      </c>
      <c r="O9" s="54" t="s">
        <v>5546</v>
      </c>
      <c r="P9" s="22" t="s">
        <v>1880</v>
      </c>
      <c r="Q9" s="433" t="s">
        <v>446</v>
      </c>
      <c r="R9" s="433" t="s">
        <v>446</v>
      </c>
      <c r="S9" s="24" t="s">
        <v>5533</v>
      </c>
      <c r="T9" s="90" t="s">
        <v>5492</v>
      </c>
      <c r="U9" s="24" t="s">
        <v>110</v>
      </c>
      <c r="V9" s="24">
        <v>2</v>
      </c>
      <c r="W9" s="24" t="s">
        <v>448</v>
      </c>
      <c r="X9" s="24" t="s">
        <v>448</v>
      </c>
      <c r="Y9" s="30">
        <v>5</v>
      </c>
      <c r="Z9" s="30"/>
      <c r="AA9" s="30">
        <v>5</v>
      </c>
      <c r="AB9" s="59"/>
      <c r="AC9" s="59"/>
      <c r="AD9" s="35" t="s">
        <v>1104</v>
      </c>
      <c r="AE9" s="433" t="s">
        <v>5547</v>
      </c>
      <c r="AF9" s="35" t="s">
        <v>1880</v>
      </c>
      <c r="AG9" s="433"/>
    </row>
    <row r="10" spans="1:33" s="11" customFormat="1" ht="26.25" customHeight="1" x14ac:dyDescent="0.15">
      <c r="A10" s="8">
        <v>9</v>
      </c>
      <c r="B10" s="36" t="s">
        <v>5506</v>
      </c>
      <c r="C10" s="425" t="s">
        <v>5510</v>
      </c>
      <c r="D10" s="26" t="s">
        <v>19</v>
      </c>
      <c r="E10" s="26" t="s">
        <v>19</v>
      </c>
      <c r="F10" s="29" t="s">
        <v>5511</v>
      </c>
      <c r="G10" s="53" t="s">
        <v>5512</v>
      </c>
      <c r="H10" s="424" t="s">
        <v>5513</v>
      </c>
      <c r="I10" s="424" t="s">
        <v>5514</v>
      </c>
      <c r="J10" s="424" t="s">
        <v>5515</v>
      </c>
      <c r="K10" s="22" t="s">
        <v>5516</v>
      </c>
      <c r="L10" s="22" t="s">
        <v>1826</v>
      </c>
      <c r="M10" s="426" t="s">
        <v>111</v>
      </c>
      <c r="N10" s="425" t="s">
        <v>1131</v>
      </c>
      <c r="O10" s="54" t="s">
        <v>3782</v>
      </c>
      <c r="P10" s="22" t="s">
        <v>1880</v>
      </c>
      <c r="Q10" s="425" t="s">
        <v>5518</v>
      </c>
      <c r="R10" s="425" t="s">
        <v>5519</v>
      </c>
      <c r="S10" s="24" t="s">
        <v>5520</v>
      </c>
      <c r="T10" s="90" t="s">
        <v>5521</v>
      </c>
      <c r="U10" s="24" t="s">
        <v>110</v>
      </c>
      <c r="V10" s="24">
        <v>1</v>
      </c>
      <c r="W10" s="24" t="s">
        <v>448</v>
      </c>
      <c r="X10" s="24" t="s">
        <v>448</v>
      </c>
      <c r="Y10" s="30">
        <v>53.46</v>
      </c>
      <c r="Z10" s="30"/>
      <c r="AA10" s="30">
        <v>53.46</v>
      </c>
      <c r="AB10" s="59"/>
      <c r="AC10" s="59"/>
      <c r="AD10" s="35" t="s">
        <v>1104</v>
      </c>
      <c r="AE10" s="202" t="s">
        <v>19</v>
      </c>
      <c r="AF10" s="35" t="s">
        <v>1880</v>
      </c>
      <c r="AG10" s="425"/>
    </row>
    <row r="11" spans="1:33" s="11" customFormat="1" ht="26.25" customHeight="1" x14ac:dyDescent="0.15">
      <c r="A11" s="8">
        <v>10</v>
      </c>
      <c r="B11" s="36" t="s">
        <v>5507</v>
      </c>
      <c r="C11" s="26" t="s">
        <v>19</v>
      </c>
      <c r="D11" s="26" t="s">
        <v>19</v>
      </c>
      <c r="E11" s="26" t="s">
        <v>19</v>
      </c>
      <c r="F11" s="29" t="s">
        <v>5511</v>
      </c>
      <c r="G11" s="53" t="s">
        <v>5512</v>
      </c>
      <c r="H11" s="424" t="s">
        <v>5513</v>
      </c>
      <c r="I11" s="424" t="s">
        <v>5514</v>
      </c>
      <c r="J11" s="424" t="s">
        <v>5515</v>
      </c>
      <c r="K11" s="22" t="s">
        <v>5516</v>
      </c>
      <c r="L11" s="22" t="s">
        <v>1826</v>
      </c>
      <c r="M11" s="426" t="s">
        <v>111</v>
      </c>
      <c r="N11" s="428" t="s">
        <v>445</v>
      </c>
      <c r="O11" s="54" t="s">
        <v>3523</v>
      </c>
      <c r="P11" s="22" t="s">
        <v>1880</v>
      </c>
      <c r="Q11" s="425" t="s">
        <v>5518</v>
      </c>
      <c r="R11" s="425" t="s">
        <v>5519</v>
      </c>
      <c r="S11" s="24" t="s">
        <v>5520</v>
      </c>
      <c r="T11" s="90" t="s">
        <v>5521</v>
      </c>
      <c r="U11" s="24" t="s">
        <v>110</v>
      </c>
      <c r="V11" s="24">
        <v>1</v>
      </c>
      <c r="W11" s="24" t="s">
        <v>448</v>
      </c>
      <c r="X11" s="24" t="s">
        <v>448</v>
      </c>
      <c r="Y11" s="30">
        <v>18.555</v>
      </c>
      <c r="Z11" s="30"/>
      <c r="AA11" s="30">
        <v>18.555</v>
      </c>
      <c r="AB11" s="59"/>
      <c r="AC11" s="59"/>
      <c r="AD11" s="35" t="s">
        <v>1104</v>
      </c>
      <c r="AE11" s="202" t="s">
        <v>19</v>
      </c>
      <c r="AF11" s="35" t="s">
        <v>1880</v>
      </c>
      <c r="AG11" s="425"/>
    </row>
    <row r="12" spans="1:33" s="11" customFormat="1" ht="26.25" customHeight="1" x14ac:dyDescent="0.15">
      <c r="A12" s="8">
        <v>11</v>
      </c>
      <c r="B12" s="36" t="s">
        <v>5508</v>
      </c>
      <c r="C12" s="26" t="s">
        <v>19</v>
      </c>
      <c r="D12" s="26" t="s">
        <v>19</v>
      </c>
      <c r="E12" s="36" t="s">
        <v>9258</v>
      </c>
      <c r="F12" s="29" t="s">
        <v>5511</v>
      </c>
      <c r="G12" s="53" t="s">
        <v>5512</v>
      </c>
      <c r="H12" s="427" t="s">
        <v>4195</v>
      </c>
      <c r="I12" s="427" t="s">
        <v>4196</v>
      </c>
      <c r="J12" s="427" t="s">
        <v>5515</v>
      </c>
      <c r="K12" s="22" t="s">
        <v>5516</v>
      </c>
      <c r="L12" s="22" t="s">
        <v>1826</v>
      </c>
      <c r="M12" s="429" t="s">
        <v>111</v>
      </c>
      <c r="N12" s="428" t="s">
        <v>5523</v>
      </c>
      <c r="O12" s="54" t="s">
        <v>5522</v>
      </c>
      <c r="P12" s="22" t="s">
        <v>1880</v>
      </c>
      <c r="Q12" s="428" t="s">
        <v>5487</v>
      </c>
      <c r="R12" s="428" t="s">
        <v>5519</v>
      </c>
      <c r="S12" s="24" t="s">
        <v>5520</v>
      </c>
      <c r="T12" s="90" t="s">
        <v>5521</v>
      </c>
      <c r="U12" s="24" t="s">
        <v>110</v>
      </c>
      <c r="V12" s="24">
        <v>1</v>
      </c>
      <c r="W12" s="24" t="s">
        <v>448</v>
      </c>
      <c r="X12" s="24" t="s">
        <v>448</v>
      </c>
      <c r="Y12" s="30">
        <v>66.075000000000003</v>
      </c>
      <c r="Z12" s="30"/>
      <c r="AA12" s="30">
        <v>66.075000000000003</v>
      </c>
      <c r="AB12" s="59"/>
      <c r="AC12" s="59"/>
      <c r="AD12" s="35" t="s">
        <v>1104</v>
      </c>
      <c r="AE12" s="202" t="s">
        <v>19</v>
      </c>
      <c r="AF12" s="35" t="s">
        <v>1880</v>
      </c>
      <c r="AG12" s="428"/>
    </row>
    <row r="13" spans="1:33" s="11" customFormat="1" ht="26.25" customHeight="1" x14ac:dyDescent="0.15">
      <c r="A13" s="8">
        <v>12</v>
      </c>
      <c r="B13" s="36" t="s">
        <v>5509</v>
      </c>
      <c r="C13" s="428" t="s">
        <v>5527</v>
      </c>
      <c r="D13" s="26" t="s">
        <v>19</v>
      </c>
      <c r="E13" s="26" t="s">
        <v>19</v>
      </c>
      <c r="F13" s="29" t="s">
        <v>5511</v>
      </c>
      <c r="G13" s="53" t="s">
        <v>5512</v>
      </c>
      <c r="H13" s="427" t="s">
        <v>4195</v>
      </c>
      <c r="I13" s="424" t="s">
        <v>5514</v>
      </c>
      <c r="J13" s="424" t="s">
        <v>5524</v>
      </c>
      <c r="K13" s="22" t="s">
        <v>1138</v>
      </c>
      <c r="L13" s="22" t="s">
        <v>1826</v>
      </c>
      <c r="M13" s="426" t="s">
        <v>111</v>
      </c>
      <c r="N13" s="28" t="s">
        <v>25</v>
      </c>
      <c r="O13" s="54" t="s">
        <v>2192</v>
      </c>
      <c r="P13" s="22" t="s">
        <v>1880</v>
      </c>
      <c r="Q13" s="425" t="s">
        <v>414</v>
      </c>
      <c r="R13" s="428" t="s">
        <v>5519</v>
      </c>
      <c r="S13" s="24" t="s">
        <v>5520</v>
      </c>
      <c r="T13" s="90" t="s">
        <v>5521</v>
      </c>
      <c r="U13" s="24" t="s">
        <v>110</v>
      </c>
      <c r="V13" s="24">
        <v>1</v>
      </c>
      <c r="W13" s="484" t="s">
        <v>5710</v>
      </c>
      <c r="X13" s="24" t="s">
        <v>448</v>
      </c>
      <c r="Y13" s="30">
        <v>53.46</v>
      </c>
      <c r="Z13" s="30"/>
      <c r="AA13" s="30">
        <v>53.46</v>
      </c>
      <c r="AB13" s="59"/>
      <c r="AC13" s="59"/>
      <c r="AD13" s="35" t="s">
        <v>1104</v>
      </c>
      <c r="AE13" s="202" t="s">
        <v>19</v>
      </c>
      <c r="AF13" s="35" t="s">
        <v>1880</v>
      </c>
      <c r="AG13" s="425"/>
    </row>
    <row r="14" spans="1:33" s="11" customFormat="1" ht="26.25" customHeight="1" x14ac:dyDescent="0.15">
      <c r="A14" s="8">
        <v>13</v>
      </c>
      <c r="B14" s="36" t="s">
        <v>5530</v>
      </c>
      <c r="C14" s="428" t="s">
        <v>5529</v>
      </c>
      <c r="D14" s="26" t="s">
        <v>19</v>
      </c>
      <c r="E14" s="26" t="s">
        <v>19</v>
      </c>
      <c r="F14" s="29" t="s">
        <v>5511</v>
      </c>
      <c r="G14" s="53" t="s">
        <v>5512</v>
      </c>
      <c r="H14" s="427" t="s">
        <v>4195</v>
      </c>
      <c r="I14" s="424" t="s">
        <v>5514</v>
      </c>
      <c r="J14" s="424" t="s">
        <v>5524</v>
      </c>
      <c r="K14" s="22" t="s">
        <v>1138</v>
      </c>
      <c r="L14" s="22" t="s">
        <v>1826</v>
      </c>
      <c r="M14" s="426" t="s">
        <v>111</v>
      </c>
      <c r="N14" s="428" t="s">
        <v>445</v>
      </c>
      <c r="O14" s="54" t="s">
        <v>3523</v>
      </c>
      <c r="P14" s="22" t="s">
        <v>1880</v>
      </c>
      <c r="Q14" s="428" t="s">
        <v>414</v>
      </c>
      <c r="R14" s="428" t="s">
        <v>5519</v>
      </c>
      <c r="S14" s="24" t="s">
        <v>5520</v>
      </c>
      <c r="T14" s="90" t="s">
        <v>5521</v>
      </c>
      <c r="U14" s="24" t="s">
        <v>110</v>
      </c>
      <c r="V14" s="24">
        <v>1</v>
      </c>
      <c r="W14" s="24" t="s">
        <v>448</v>
      </c>
      <c r="X14" s="24" t="s">
        <v>448</v>
      </c>
      <c r="Y14" s="30">
        <v>18.555</v>
      </c>
      <c r="Z14" s="30"/>
      <c r="AA14" s="30">
        <v>18.555</v>
      </c>
      <c r="AB14" s="59"/>
      <c r="AC14" s="59"/>
      <c r="AD14" s="35" t="s">
        <v>1104</v>
      </c>
      <c r="AE14" s="202" t="s">
        <v>19</v>
      </c>
      <c r="AF14" s="35" t="s">
        <v>1880</v>
      </c>
      <c r="AG14" s="425"/>
    </row>
    <row r="15" spans="1:33" s="11" customFormat="1" ht="26.25" customHeight="1" x14ac:dyDescent="0.15">
      <c r="A15" s="8">
        <v>14</v>
      </c>
      <c r="B15" s="36" t="s">
        <v>5532</v>
      </c>
      <c r="C15" s="26" t="s">
        <v>19</v>
      </c>
      <c r="D15" s="26" t="s">
        <v>19</v>
      </c>
      <c r="E15" s="26" t="s">
        <v>19</v>
      </c>
      <c r="F15" s="29" t="s">
        <v>5511</v>
      </c>
      <c r="G15" s="53" t="s">
        <v>5512</v>
      </c>
      <c r="H15" s="427" t="s">
        <v>4195</v>
      </c>
      <c r="I15" s="427" t="s">
        <v>4196</v>
      </c>
      <c r="J15" s="427" t="s">
        <v>5524</v>
      </c>
      <c r="K15" s="22" t="s">
        <v>1138</v>
      </c>
      <c r="L15" s="22" t="s">
        <v>1826</v>
      </c>
      <c r="M15" s="429" t="s">
        <v>111</v>
      </c>
      <c r="N15" s="428" t="s">
        <v>5523</v>
      </c>
      <c r="O15" s="54" t="s">
        <v>5522</v>
      </c>
      <c r="P15" s="22" t="s">
        <v>1880</v>
      </c>
      <c r="Q15" s="428" t="s">
        <v>414</v>
      </c>
      <c r="R15" s="428" t="s">
        <v>5519</v>
      </c>
      <c r="S15" s="24" t="s">
        <v>5520</v>
      </c>
      <c r="T15" s="90" t="s">
        <v>5521</v>
      </c>
      <c r="U15" s="24" t="s">
        <v>110</v>
      </c>
      <c r="V15" s="24">
        <v>1</v>
      </c>
      <c r="W15" s="24" t="s">
        <v>448</v>
      </c>
      <c r="X15" s="24" t="s">
        <v>448</v>
      </c>
      <c r="Y15" s="30">
        <v>66.075000000000003</v>
      </c>
      <c r="Z15" s="30"/>
      <c r="AA15" s="30">
        <v>66.075000000000003</v>
      </c>
      <c r="AB15" s="59"/>
      <c r="AC15" s="59"/>
      <c r="AD15" s="35" t="s">
        <v>1104</v>
      </c>
      <c r="AE15" s="202" t="s">
        <v>19</v>
      </c>
      <c r="AF15" s="35" t="s">
        <v>1880</v>
      </c>
      <c r="AG15" s="428"/>
    </row>
    <row r="16" spans="1:33" s="11" customFormat="1" ht="26.25" customHeight="1" x14ac:dyDescent="0.15">
      <c r="A16" s="8">
        <v>15</v>
      </c>
      <c r="B16" s="36" t="s">
        <v>5528</v>
      </c>
      <c r="C16" s="428" t="s">
        <v>5527</v>
      </c>
      <c r="D16" s="26" t="s">
        <v>19</v>
      </c>
      <c r="E16" s="36" t="s">
        <v>7242</v>
      </c>
      <c r="F16" s="29" t="s">
        <v>5511</v>
      </c>
      <c r="G16" s="53" t="s">
        <v>5512</v>
      </c>
      <c r="H16" s="427" t="s">
        <v>4195</v>
      </c>
      <c r="I16" s="424" t="s">
        <v>5514</v>
      </c>
      <c r="J16" s="424" t="s">
        <v>5525</v>
      </c>
      <c r="K16" s="22" t="s">
        <v>1138</v>
      </c>
      <c r="L16" s="22" t="s">
        <v>1826</v>
      </c>
      <c r="M16" s="429" t="s">
        <v>111</v>
      </c>
      <c r="N16" s="28" t="s">
        <v>25</v>
      </c>
      <c r="O16" s="54" t="s">
        <v>2192</v>
      </c>
      <c r="P16" s="22" t="s">
        <v>1880</v>
      </c>
      <c r="Q16" s="428" t="s">
        <v>414</v>
      </c>
      <c r="R16" s="428" t="s">
        <v>5519</v>
      </c>
      <c r="S16" s="24" t="s">
        <v>5520</v>
      </c>
      <c r="T16" s="90" t="s">
        <v>5521</v>
      </c>
      <c r="U16" s="24" t="s">
        <v>110</v>
      </c>
      <c r="V16" s="24">
        <v>1</v>
      </c>
      <c r="W16" s="484" t="s">
        <v>5710</v>
      </c>
      <c r="X16" s="24" t="s">
        <v>448</v>
      </c>
      <c r="Y16" s="30">
        <v>53.46</v>
      </c>
      <c r="Z16" s="30"/>
      <c r="AA16" s="30">
        <v>53.46</v>
      </c>
      <c r="AB16" s="59"/>
      <c r="AC16" s="59"/>
      <c r="AD16" s="35" t="s">
        <v>1104</v>
      </c>
      <c r="AE16" s="202" t="s">
        <v>19</v>
      </c>
      <c r="AF16" s="35" t="s">
        <v>1880</v>
      </c>
      <c r="AG16" s="425"/>
    </row>
    <row r="17" spans="1:33" s="11" customFormat="1" ht="26.25" customHeight="1" x14ac:dyDescent="0.15">
      <c r="A17" s="8">
        <v>16</v>
      </c>
      <c r="B17" s="36" t="s">
        <v>5531</v>
      </c>
      <c r="C17" s="428" t="s">
        <v>5529</v>
      </c>
      <c r="D17" s="26" t="s">
        <v>19</v>
      </c>
      <c r="E17" s="26" t="s">
        <v>19</v>
      </c>
      <c r="F17" s="29" t="s">
        <v>5511</v>
      </c>
      <c r="G17" s="53" t="s">
        <v>5512</v>
      </c>
      <c r="H17" s="427" t="s">
        <v>4195</v>
      </c>
      <c r="I17" s="424" t="s">
        <v>5514</v>
      </c>
      <c r="J17" s="424" t="s">
        <v>5525</v>
      </c>
      <c r="K17" s="22" t="s">
        <v>1138</v>
      </c>
      <c r="L17" s="22" t="s">
        <v>1826</v>
      </c>
      <c r="M17" s="429" t="s">
        <v>111</v>
      </c>
      <c r="N17" s="428" t="s">
        <v>445</v>
      </c>
      <c r="O17" s="54" t="s">
        <v>3523</v>
      </c>
      <c r="P17" s="22" t="s">
        <v>1880</v>
      </c>
      <c r="Q17" s="428" t="s">
        <v>414</v>
      </c>
      <c r="R17" s="428" t="s">
        <v>5519</v>
      </c>
      <c r="S17" s="24" t="s">
        <v>5520</v>
      </c>
      <c r="T17" s="90" t="s">
        <v>5521</v>
      </c>
      <c r="U17" s="24" t="s">
        <v>110</v>
      </c>
      <c r="V17" s="24">
        <v>1</v>
      </c>
      <c r="W17" s="24" t="s">
        <v>448</v>
      </c>
      <c r="X17" s="24" t="s">
        <v>448</v>
      </c>
      <c r="Y17" s="30">
        <v>18.555</v>
      </c>
      <c r="Z17" s="30"/>
      <c r="AA17" s="30">
        <v>18.555</v>
      </c>
      <c r="AB17" s="59"/>
      <c r="AC17" s="59"/>
      <c r="AD17" s="35" t="s">
        <v>1104</v>
      </c>
      <c r="AE17" s="202" t="s">
        <v>19</v>
      </c>
      <c r="AF17" s="35" t="s">
        <v>1880</v>
      </c>
      <c r="AG17" s="425"/>
    </row>
    <row r="18" spans="1:33" s="11" customFormat="1" ht="26.25" customHeight="1" x14ac:dyDescent="0.15">
      <c r="A18" s="8">
        <v>17</v>
      </c>
      <c r="B18" s="36" t="s">
        <v>5526</v>
      </c>
      <c r="C18" s="26" t="s">
        <v>19</v>
      </c>
      <c r="D18" s="26" t="s">
        <v>19</v>
      </c>
      <c r="E18" s="26" t="s">
        <v>19</v>
      </c>
      <c r="F18" s="29" t="s">
        <v>5511</v>
      </c>
      <c r="G18" s="53" t="s">
        <v>5512</v>
      </c>
      <c r="H18" s="427" t="s">
        <v>4195</v>
      </c>
      <c r="I18" s="427" t="s">
        <v>4196</v>
      </c>
      <c r="J18" s="427" t="s">
        <v>5525</v>
      </c>
      <c r="K18" s="22" t="s">
        <v>1138</v>
      </c>
      <c r="L18" s="22" t="s">
        <v>1826</v>
      </c>
      <c r="M18" s="429" t="s">
        <v>111</v>
      </c>
      <c r="N18" s="428" t="s">
        <v>5523</v>
      </c>
      <c r="O18" s="54" t="s">
        <v>5522</v>
      </c>
      <c r="P18" s="22" t="s">
        <v>1880</v>
      </c>
      <c r="Q18" s="428" t="s">
        <v>414</v>
      </c>
      <c r="R18" s="428" t="s">
        <v>5519</v>
      </c>
      <c r="S18" s="24" t="s">
        <v>5520</v>
      </c>
      <c r="T18" s="90" t="s">
        <v>5521</v>
      </c>
      <c r="U18" s="24" t="s">
        <v>110</v>
      </c>
      <c r="V18" s="24">
        <v>1</v>
      </c>
      <c r="W18" s="24" t="s">
        <v>448</v>
      </c>
      <c r="X18" s="24" t="s">
        <v>448</v>
      </c>
      <c r="Y18" s="30">
        <v>66.075000000000003</v>
      </c>
      <c r="Z18" s="30"/>
      <c r="AA18" s="30">
        <v>66.075000000000003</v>
      </c>
      <c r="AB18" s="59"/>
      <c r="AC18" s="59"/>
      <c r="AD18" s="35" t="s">
        <v>1104</v>
      </c>
      <c r="AE18" s="202" t="s">
        <v>19</v>
      </c>
      <c r="AF18" s="35" t="s">
        <v>1880</v>
      </c>
      <c r="AG18" s="428"/>
    </row>
    <row r="19" spans="1:33" s="11" customFormat="1" ht="26.25" customHeight="1" x14ac:dyDescent="0.15">
      <c r="A19" s="8">
        <v>18</v>
      </c>
      <c r="B19" s="36" t="s">
        <v>5536</v>
      </c>
      <c r="C19" s="26" t="s">
        <v>19</v>
      </c>
      <c r="D19" s="26" t="s">
        <v>19</v>
      </c>
      <c r="E19" s="26" t="s">
        <v>19</v>
      </c>
      <c r="F19" s="29" t="s">
        <v>5580</v>
      </c>
      <c r="G19" s="53" t="s">
        <v>5581</v>
      </c>
      <c r="H19" s="446" t="s">
        <v>4195</v>
      </c>
      <c r="I19" s="446" t="s">
        <v>4701</v>
      </c>
      <c r="J19" s="446" t="s">
        <v>111</v>
      </c>
      <c r="K19" s="446" t="s">
        <v>111</v>
      </c>
      <c r="L19" s="446" t="s">
        <v>111</v>
      </c>
      <c r="M19" s="446" t="s">
        <v>111</v>
      </c>
      <c r="N19" s="431" t="s">
        <v>5582</v>
      </c>
      <c r="O19" s="54" t="s">
        <v>5582</v>
      </c>
      <c r="P19" s="22" t="s">
        <v>1880</v>
      </c>
      <c r="Q19" s="431" t="s">
        <v>414</v>
      </c>
      <c r="R19" s="431" t="s">
        <v>5487</v>
      </c>
      <c r="S19" s="24" t="s">
        <v>5585</v>
      </c>
      <c r="T19" s="90" t="s">
        <v>5568</v>
      </c>
      <c r="U19" s="24" t="s">
        <v>110</v>
      </c>
      <c r="V19" s="24">
        <v>1</v>
      </c>
      <c r="W19" s="24" t="s">
        <v>448</v>
      </c>
      <c r="X19" s="24" t="s">
        <v>448</v>
      </c>
      <c r="Y19" s="30">
        <v>26.658000000000001</v>
      </c>
      <c r="Z19" s="30"/>
      <c r="AA19" s="30">
        <v>26.658000000000001</v>
      </c>
      <c r="AB19" s="59"/>
      <c r="AC19" s="59"/>
      <c r="AD19" s="35" t="s">
        <v>1104</v>
      </c>
      <c r="AE19" s="202"/>
      <c r="AF19" s="35" t="s">
        <v>1880</v>
      </c>
      <c r="AG19" s="431"/>
    </row>
    <row r="20" spans="1:33" s="11" customFormat="1" ht="26.25" customHeight="1" x14ac:dyDescent="0.15">
      <c r="A20" s="8">
        <v>19</v>
      </c>
      <c r="B20" s="36" t="s">
        <v>5563</v>
      </c>
      <c r="C20" s="442" t="s">
        <v>5565</v>
      </c>
      <c r="D20" s="26" t="s">
        <v>19</v>
      </c>
      <c r="E20" s="26" t="s">
        <v>19</v>
      </c>
      <c r="F20" s="29" t="s">
        <v>5559</v>
      </c>
      <c r="G20" s="441" t="s">
        <v>5560</v>
      </c>
      <c r="H20" s="441" t="s">
        <v>4893</v>
      </c>
      <c r="I20" s="441" t="s">
        <v>1124</v>
      </c>
      <c r="J20" s="441" t="s">
        <v>4894</v>
      </c>
      <c r="K20" s="22" t="s">
        <v>5561</v>
      </c>
      <c r="L20" s="22" t="s">
        <v>1826</v>
      </c>
      <c r="M20" s="443" t="s">
        <v>111</v>
      </c>
      <c r="N20" s="442" t="s">
        <v>1131</v>
      </c>
      <c r="O20" s="54" t="s">
        <v>5567</v>
      </c>
      <c r="P20" s="22" t="s">
        <v>1880</v>
      </c>
      <c r="Q20" s="431" t="s">
        <v>5489</v>
      </c>
      <c r="R20" s="442" t="s">
        <v>5489</v>
      </c>
      <c r="S20" s="24" t="s">
        <v>5551</v>
      </c>
      <c r="T20" s="90" t="s">
        <v>5568</v>
      </c>
      <c r="U20" s="24" t="s">
        <v>110</v>
      </c>
      <c r="V20" s="24">
        <v>1</v>
      </c>
      <c r="W20" s="24" t="s">
        <v>448</v>
      </c>
      <c r="X20" s="24" t="s">
        <v>448</v>
      </c>
      <c r="Y20" s="30">
        <v>0.3</v>
      </c>
      <c r="Z20" s="30"/>
      <c r="AA20" s="30">
        <v>0.3</v>
      </c>
      <c r="AB20" s="59"/>
      <c r="AC20" s="59"/>
      <c r="AD20" s="35" t="s">
        <v>1104</v>
      </c>
      <c r="AE20" s="133" t="s">
        <v>5575</v>
      </c>
      <c r="AF20" s="35" t="s">
        <v>1880</v>
      </c>
      <c r="AG20" s="1954" t="s">
        <v>5569</v>
      </c>
    </row>
    <row r="21" spans="1:33" s="11" customFormat="1" ht="26.25" customHeight="1" x14ac:dyDescent="0.15">
      <c r="A21" s="8">
        <v>20</v>
      </c>
      <c r="B21" s="36" t="s">
        <v>5564</v>
      </c>
      <c r="C21" s="442" t="s">
        <v>5566</v>
      </c>
      <c r="D21" s="26" t="s">
        <v>19</v>
      </c>
      <c r="E21" s="26" t="s">
        <v>19</v>
      </c>
      <c r="F21" s="29" t="s">
        <v>5559</v>
      </c>
      <c r="G21" s="441" t="s">
        <v>5560</v>
      </c>
      <c r="H21" s="441" t="s">
        <v>4893</v>
      </c>
      <c r="I21" s="441" t="s">
        <v>1124</v>
      </c>
      <c r="J21" s="441" t="s">
        <v>4894</v>
      </c>
      <c r="K21" s="22" t="s">
        <v>5561</v>
      </c>
      <c r="L21" s="22" t="s">
        <v>1826</v>
      </c>
      <c r="M21" s="443" t="s">
        <v>111</v>
      </c>
      <c r="N21" s="442" t="s">
        <v>445</v>
      </c>
      <c r="O21" s="54" t="s">
        <v>5562</v>
      </c>
      <c r="P21" s="22" t="s">
        <v>1880</v>
      </c>
      <c r="Q21" s="442" t="s">
        <v>5489</v>
      </c>
      <c r="R21" s="442" t="s">
        <v>5489</v>
      </c>
      <c r="S21" s="24" t="s">
        <v>5551</v>
      </c>
      <c r="T21" s="90" t="s">
        <v>5568</v>
      </c>
      <c r="U21" s="24" t="s">
        <v>110</v>
      </c>
      <c r="V21" s="24">
        <v>1</v>
      </c>
      <c r="W21" s="24" t="s">
        <v>448</v>
      </c>
      <c r="X21" s="24" t="s">
        <v>448</v>
      </c>
      <c r="Y21" s="30">
        <v>2.9</v>
      </c>
      <c r="Z21" s="30"/>
      <c r="AA21" s="30">
        <v>2.9</v>
      </c>
      <c r="AB21" s="59"/>
      <c r="AC21" s="59"/>
      <c r="AD21" s="35" t="s">
        <v>1104</v>
      </c>
      <c r="AE21" s="133" t="s">
        <v>5575</v>
      </c>
      <c r="AF21" s="35" t="s">
        <v>1880</v>
      </c>
      <c r="AG21" s="1955"/>
    </row>
    <row r="22" spans="1:33" s="11" customFormat="1" ht="26.25" customHeight="1" x14ac:dyDescent="0.15">
      <c r="A22" s="8">
        <v>21</v>
      </c>
      <c r="B22" s="36" t="s">
        <v>5548</v>
      </c>
      <c r="C22" s="26" t="s">
        <v>19</v>
      </c>
      <c r="D22" s="26" t="s">
        <v>19</v>
      </c>
      <c r="E22" s="26" t="s">
        <v>19</v>
      </c>
      <c r="F22" s="29" t="s">
        <v>1121</v>
      </c>
      <c r="G22" s="53" t="s">
        <v>5549</v>
      </c>
      <c r="H22" s="435" t="s">
        <v>2112</v>
      </c>
      <c r="I22" s="435" t="s">
        <v>1124</v>
      </c>
      <c r="J22" s="435" t="s">
        <v>1125</v>
      </c>
      <c r="K22" s="22" t="s">
        <v>5550</v>
      </c>
      <c r="L22" s="22" t="s">
        <v>1826</v>
      </c>
      <c r="M22" s="437" t="s">
        <v>111</v>
      </c>
      <c r="N22" s="436" t="s">
        <v>1131</v>
      </c>
      <c r="O22" s="54" t="s">
        <v>1122</v>
      </c>
      <c r="P22" s="22" t="s">
        <v>1880</v>
      </c>
      <c r="Q22" s="436" t="s">
        <v>446</v>
      </c>
      <c r="R22" s="436" t="s">
        <v>446</v>
      </c>
      <c r="S22" s="24" t="s">
        <v>5551</v>
      </c>
      <c r="T22" s="90" t="s">
        <v>3426</v>
      </c>
      <c r="U22" s="24" t="s">
        <v>110</v>
      </c>
      <c r="V22" s="24">
        <v>2</v>
      </c>
      <c r="W22" s="24" t="s">
        <v>5473</v>
      </c>
      <c r="X22" s="24" t="s">
        <v>5552</v>
      </c>
      <c r="Y22" s="30"/>
      <c r="Z22" s="30">
        <v>45</v>
      </c>
      <c r="AA22" s="30">
        <v>45</v>
      </c>
      <c r="AB22" s="59"/>
      <c r="AC22" s="59"/>
      <c r="AD22" s="35" t="s">
        <v>1104</v>
      </c>
      <c r="AE22" s="202" t="s">
        <v>19</v>
      </c>
      <c r="AF22" s="35" t="s">
        <v>1880</v>
      </c>
      <c r="AG22" s="436"/>
    </row>
    <row r="23" spans="1:33" s="11" customFormat="1" ht="26.25" customHeight="1" x14ac:dyDescent="0.15">
      <c r="A23" s="8">
        <v>22</v>
      </c>
      <c r="B23" s="36" t="s">
        <v>5553</v>
      </c>
      <c r="C23" s="71" t="s">
        <v>5558</v>
      </c>
      <c r="D23" s="26" t="s">
        <v>19</v>
      </c>
      <c r="E23" s="26" t="s">
        <v>19</v>
      </c>
      <c r="F23" s="29" t="s">
        <v>5554</v>
      </c>
      <c r="G23" s="53" t="s">
        <v>5555</v>
      </c>
      <c r="H23" s="438" t="s">
        <v>3649</v>
      </c>
      <c r="I23" s="438" t="s">
        <v>4750</v>
      </c>
      <c r="J23" s="438" t="s">
        <v>5556</v>
      </c>
      <c r="K23" s="22" t="s">
        <v>5557</v>
      </c>
      <c r="L23" s="22" t="s">
        <v>2142</v>
      </c>
      <c r="M23" s="440" t="s">
        <v>111</v>
      </c>
      <c r="N23" s="439" t="s">
        <v>4676</v>
      </c>
      <c r="O23" s="54" t="s">
        <v>2224</v>
      </c>
      <c r="P23" s="22" t="s">
        <v>1880</v>
      </c>
      <c r="Q23" s="439" t="s">
        <v>854</v>
      </c>
      <c r="R23" s="439" t="s">
        <v>854</v>
      </c>
      <c r="S23" s="24" t="s">
        <v>5551</v>
      </c>
      <c r="T23" s="90" t="s">
        <v>5521</v>
      </c>
      <c r="U23" s="24" t="s">
        <v>110</v>
      </c>
      <c r="V23" s="24">
        <v>1</v>
      </c>
      <c r="W23" s="24" t="s">
        <v>5473</v>
      </c>
      <c r="X23" s="24" t="s">
        <v>5162</v>
      </c>
      <c r="Y23" s="30">
        <v>1</v>
      </c>
      <c r="Z23" s="30">
        <v>8.9</v>
      </c>
      <c r="AA23" s="30">
        <v>9.9</v>
      </c>
      <c r="AB23" s="59"/>
      <c r="AC23" s="59"/>
      <c r="AD23" s="35" t="s">
        <v>1104</v>
      </c>
      <c r="AE23" s="133" t="s">
        <v>5679</v>
      </c>
      <c r="AF23" s="35" t="s">
        <v>1880</v>
      </c>
      <c r="AG23" s="439"/>
    </row>
    <row r="24" spans="1:33" s="11" customFormat="1" ht="26.25" customHeight="1" x14ac:dyDescent="0.15">
      <c r="A24" s="8">
        <v>23</v>
      </c>
      <c r="B24" s="36" t="s">
        <v>5574</v>
      </c>
      <c r="C24" s="26" t="s">
        <v>19</v>
      </c>
      <c r="D24" s="26" t="s">
        <v>19</v>
      </c>
      <c r="E24" s="36" t="s">
        <v>5584</v>
      </c>
      <c r="F24" s="29" t="s">
        <v>5475</v>
      </c>
      <c r="G24" s="53" t="s">
        <v>5570</v>
      </c>
      <c r="H24" s="438" t="s">
        <v>4712</v>
      </c>
      <c r="I24" s="438" t="s">
        <v>3101</v>
      </c>
      <c r="J24" s="438" t="s">
        <v>4821</v>
      </c>
      <c r="K24" s="22" t="s">
        <v>4780</v>
      </c>
      <c r="L24" s="22" t="s">
        <v>5431</v>
      </c>
      <c r="M24" s="444" t="s">
        <v>111</v>
      </c>
      <c r="N24" s="439" t="s">
        <v>1131</v>
      </c>
      <c r="O24" s="54" t="s">
        <v>116</v>
      </c>
      <c r="P24" s="22" t="s">
        <v>1880</v>
      </c>
      <c r="Q24" s="439" t="s">
        <v>5571</v>
      </c>
      <c r="R24" s="439" t="s">
        <v>5571</v>
      </c>
      <c r="S24" s="24" t="s">
        <v>5572</v>
      </c>
      <c r="T24" s="90" t="s">
        <v>5573</v>
      </c>
      <c r="U24" s="24" t="s">
        <v>108</v>
      </c>
      <c r="V24" s="10">
        <v>1</v>
      </c>
      <c r="W24" s="24" t="s">
        <v>5573</v>
      </c>
      <c r="X24" s="24" t="s">
        <v>5627</v>
      </c>
      <c r="Y24" s="30"/>
      <c r="Z24" s="30">
        <v>8</v>
      </c>
      <c r="AA24" s="30">
        <v>8</v>
      </c>
      <c r="AB24" s="59"/>
      <c r="AC24" s="59"/>
      <c r="AD24" s="35" t="s">
        <v>1104</v>
      </c>
      <c r="AE24" s="202" t="s">
        <v>19</v>
      </c>
      <c r="AF24" s="35" t="s">
        <v>1880</v>
      </c>
      <c r="AG24" s="439"/>
    </row>
    <row r="25" spans="1:33" s="11" customFormat="1" ht="26.25" customHeight="1" x14ac:dyDescent="0.15">
      <c r="A25" s="8">
        <v>24</v>
      </c>
      <c r="B25" s="36" t="s">
        <v>5612</v>
      </c>
      <c r="C25" s="26" t="s">
        <v>19</v>
      </c>
      <c r="D25" s="26" t="s">
        <v>19</v>
      </c>
      <c r="E25" s="26" t="s">
        <v>19</v>
      </c>
      <c r="F25" s="54" t="s">
        <v>3869</v>
      </c>
      <c r="G25" s="53" t="s">
        <v>5619</v>
      </c>
      <c r="H25" s="457" t="s">
        <v>1147</v>
      </c>
      <c r="I25" s="457" t="s">
        <v>2067</v>
      </c>
      <c r="J25" s="82" t="s">
        <v>3881</v>
      </c>
      <c r="K25" s="82" t="s">
        <v>1138</v>
      </c>
      <c r="L25" s="22" t="s">
        <v>5431</v>
      </c>
      <c r="M25" s="457" t="s">
        <v>111</v>
      </c>
      <c r="N25" s="82" t="s">
        <v>3874</v>
      </c>
      <c r="O25" s="205" t="s">
        <v>3874</v>
      </c>
      <c r="P25" s="22" t="s">
        <v>1880</v>
      </c>
      <c r="Q25" s="436" t="s">
        <v>414</v>
      </c>
      <c r="R25" s="436" t="s">
        <v>5487</v>
      </c>
      <c r="S25" s="24" t="s">
        <v>5611</v>
      </c>
      <c r="T25" s="90" t="s">
        <v>5618</v>
      </c>
      <c r="U25" s="24" t="s">
        <v>110</v>
      </c>
      <c r="V25" s="24">
        <v>1</v>
      </c>
      <c r="W25" s="24" t="s">
        <v>448</v>
      </c>
      <c r="X25" s="24" t="s">
        <v>448</v>
      </c>
      <c r="Y25" s="30">
        <v>4.18</v>
      </c>
      <c r="Z25" s="30"/>
      <c r="AA25" s="30">
        <v>4.18</v>
      </c>
      <c r="AB25" s="59"/>
      <c r="AC25" s="59"/>
      <c r="AD25" s="35" t="s">
        <v>1104</v>
      </c>
      <c r="AE25" s="202" t="s">
        <v>19</v>
      </c>
      <c r="AF25" s="35" t="s">
        <v>1880</v>
      </c>
      <c r="AG25" s="436" t="s">
        <v>5620</v>
      </c>
    </row>
    <row r="26" spans="1:33" s="11" customFormat="1" ht="26.25" customHeight="1" x14ac:dyDescent="0.15">
      <c r="A26" s="8">
        <v>25</v>
      </c>
      <c r="B26" s="36" t="s">
        <v>5576</v>
      </c>
      <c r="C26" s="448" t="s">
        <v>111</v>
      </c>
      <c r="D26" s="330" t="s">
        <v>111</v>
      </c>
      <c r="E26" s="448" t="s">
        <v>111</v>
      </c>
      <c r="F26" s="29" t="s">
        <v>2150</v>
      </c>
      <c r="G26" s="53" t="s">
        <v>5586</v>
      </c>
      <c r="H26" s="447" t="s">
        <v>1147</v>
      </c>
      <c r="I26" s="447" t="s">
        <v>2151</v>
      </c>
      <c r="J26" s="447" t="s">
        <v>2152</v>
      </c>
      <c r="K26" s="447" t="s">
        <v>2158</v>
      </c>
      <c r="L26" s="22" t="s">
        <v>1826</v>
      </c>
      <c r="M26" s="448" t="s">
        <v>111</v>
      </c>
      <c r="N26" s="221" t="s">
        <v>1818</v>
      </c>
      <c r="O26" s="222" t="s">
        <v>1819</v>
      </c>
      <c r="P26" s="221" t="s">
        <v>19</v>
      </c>
      <c r="Q26" s="221" t="s">
        <v>1152</v>
      </c>
      <c r="R26" s="221" t="s">
        <v>1152</v>
      </c>
      <c r="S26" s="24" t="s">
        <v>5588</v>
      </c>
      <c r="T26" s="90" t="s">
        <v>5589</v>
      </c>
      <c r="U26" s="24" t="s">
        <v>110</v>
      </c>
      <c r="V26" s="24">
        <v>1</v>
      </c>
      <c r="W26" s="24" t="s">
        <v>5590</v>
      </c>
      <c r="X26" s="24" t="s">
        <v>5591</v>
      </c>
      <c r="Y26" s="30"/>
      <c r="Z26" s="30">
        <v>10</v>
      </c>
      <c r="AA26" s="30">
        <v>10</v>
      </c>
      <c r="AB26" s="59"/>
      <c r="AC26" s="59"/>
      <c r="AD26" s="35" t="s">
        <v>1104</v>
      </c>
      <c r="AE26" s="202" t="s">
        <v>19</v>
      </c>
      <c r="AF26" s="35" t="s">
        <v>1880</v>
      </c>
      <c r="AG26" s="445"/>
    </row>
    <row r="27" spans="1:33" s="11" customFormat="1" ht="26.25" customHeight="1" x14ac:dyDescent="0.15">
      <c r="A27" s="8">
        <v>26</v>
      </c>
      <c r="B27" s="36" t="s">
        <v>5577</v>
      </c>
      <c r="C27" s="448" t="s">
        <v>111</v>
      </c>
      <c r="D27" s="330" t="s">
        <v>111</v>
      </c>
      <c r="E27" s="448" t="s">
        <v>111</v>
      </c>
      <c r="F27" s="29" t="s">
        <v>2148</v>
      </c>
      <c r="G27" s="53" t="s">
        <v>5587</v>
      </c>
      <c r="H27" s="447" t="s">
        <v>2012</v>
      </c>
      <c r="I27" s="447" t="s">
        <v>2151</v>
      </c>
      <c r="J27" s="447" t="s">
        <v>2157</v>
      </c>
      <c r="K27" s="447" t="s">
        <v>2181</v>
      </c>
      <c r="L27" s="22" t="s">
        <v>1826</v>
      </c>
      <c r="M27" s="448" t="s">
        <v>111</v>
      </c>
      <c r="N27" s="221" t="s">
        <v>1818</v>
      </c>
      <c r="O27" s="222" t="s">
        <v>1819</v>
      </c>
      <c r="P27" s="221" t="s">
        <v>19</v>
      </c>
      <c r="Q27" s="221" t="s">
        <v>1152</v>
      </c>
      <c r="R27" s="221" t="s">
        <v>1152</v>
      </c>
      <c r="S27" s="24" t="s">
        <v>5588</v>
      </c>
      <c r="T27" s="90" t="s">
        <v>5589</v>
      </c>
      <c r="U27" s="24" t="s">
        <v>110</v>
      </c>
      <c r="V27" s="24">
        <v>1</v>
      </c>
      <c r="W27" s="24" t="s">
        <v>5590</v>
      </c>
      <c r="X27" s="24" t="s">
        <v>5591</v>
      </c>
      <c r="Y27" s="30"/>
      <c r="Z27" s="30">
        <v>10</v>
      </c>
      <c r="AA27" s="30">
        <v>10</v>
      </c>
      <c r="AB27" s="59"/>
      <c r="AC27" s="59"/>
      <c r="AD27" s="35" t="s">
        <v>1104</v>
      </c>
      <c r="AE27" s="202" t="s">
        <v>19</v>
      </c>
      <c r="AF27" s="35" t="s">
        <v>1880</v>
      </c>
      <c r="AG27" s="445"/>
    </row>
    <row r="28" spans="1:33" s="11" customFormat="1" ht="26.25" customHeight="1" x14ac:dyDescent="0.15">
      <c r="A28" s="8">
        <v>27</v>
      </c>
      <c r="B28" s="36" t="s">
        <v>5578</v>
      </c>
      <c r="C28" s="451" t="s">
        <v>111</v>
      </c>
      <c r="D28" s="330" t="s">
        <v>111</v>
      </c>
      <c r="E28" s="451" t="s">
        <v>111</v>
      </c>
      <c r="F28" s="29" t="s">
        <v>4456</v>
      </c>
      <c r="G28" s="53" t="s">
        <v>4457</v>
      </c>
      <c r="H28" s="449" t="s">
        <v>1147</v>
      </c>
      <c r="I28" s="1" t="s">
        <v>2067</v>
      </c>
      <c r="J28" s="37" t="s">
        <v>1808</v>
      </c>
      <c r="K28" s="22" t="s">
        <v>1138</v>
      </c>
      <c r="L28" s="22" t="s">
        <v>1826</v>
      </c>
      <c r="M28" s="451" t="s">
        <v>111</v>
      </c>
      <c r="N28" s="450" t="s">
        <v>1818</v>
      </c>
      <c r="O28" s="54" t="s">
        <v>1819</v>
      </c>
      <c r="P28" s="71" t="s">
        <v>19</v>
      </c>
      <c r="Q28" s="450" t="s">
        <v>1811</v>
      </c>
      <c r="R28" s="450" t="s">
        <v>2072</v>
      </c>
      <c r="S28" s="24" t="s">
        <v>5596</v>
      </c>
      <c r="T28" s="90" t="s">
        <v>5597</v>
      </c>
      <c r="U28" s="24" t="s">
        <v>1800</v>
      </c>
      <c r="V28" s="10">
        <v>1</v>
      </c>
      <c r="W28" s="24" t="s">
        <v>5598</v>
      </c>
      <c r="X28" s="24" t="s">
        <v>5599</v>
      </c>
      <c r="Y28" s="30"/>
      <c r="Z28" s="30">
        <v>15</v>
      </c>
      <c r="AA28" s="30">
        <v>15</v>
      </c>
      <c r="AB28" s="59"/>
      <c r="AC28" s="59"/>
      <c r="AD28" s="35" t="s">
        <v>1104</v>
      </c>
      <c r="AE28" s="202" t="s">
        <v>1880</v>
      </c>
      <c r="AF28" s="35" t="s">
        <v>1880</v>
      </c>
      <c r="AG28" s="445"/>
    </row>
    <row r="29" spans="1:33" s="11" customFormat="1" ht="26.25" customHeight="1" x14ac:dyDescent="0.15">
      <c r="A29" s="8">
        <v>28</v>
      </c>
      <c r="B29" s="36" t="s">
        <v>5579</v>
      </c>
      <c r="C29" s="451" t="s">
        <v>111</v>
      </c>
      <c r="D29" s="330" t="s">
        <v>111</v>
      </c>
      <c r="E29" s="451" t="s">
        <v>111</v>
      </c>
      <c r="F29" s="29" t="s">
        <v>4456</v>
      </c>
      <c r="G29" s="53" t="s">
        <v>4471</v>
      </c>
      <c r="H29" s="449" t="s">
        <v>1147</v>
      </c>
      <c r="I29" s="1" t="s">
        <v>2067</v>
      </c>
      <c r="J29" s="37" t="s">
        <v>3801</v>
      </c>
      <c r="K29" s="22" t="s">
        <v>1138</v>
      </c>
      <c r="L29" s="22" t="s">
        <v>1826</v>
      </c>
      <c r="M29" s="451" t="s">
        <v>111</v>
      </c>
      <c r="N29" s="450" t="s">
        <v>1818</v>
      </c>
      <c r="O29" s="54" t="s">
        <v>1819</v>
      </c>
      <c r="P29" s="71" t="s">
        <v>19</v>
      </c>
      <c r="Q29" s="450" t="s">
        <v>1811</v>
      </c>
      <c r="R29" s="450" t="s">
        <v>2072</v>
      </c>
      <c r="S29" s="24" t="s">
        <v>5596</v>
      </c>
      <c r="T29" s="90" t="s">
        <v>5597</v>
      </c>
      <c r="U29" s="24" t="s">
        <v>1800</v>
      </c>
      <c r="V29" s="10">
        <v>1</v>
      </c>
      <c r="W29" s="24" t="s">
        <v>5598</v>
      </c>
      <c r="X29" s="24" t="s">
        <v>5599</v>
      </c>
      <c r="Y29" s="30"/>
      <c r="Z29" s="30">
        <v>15</v>
      </c>
      <c r="AA29" s="30">
        <v>15</v>
      </c>
      <c r="AB29" s="59"/>
      <c r="AC29" s="59"/>
      <c r="AD29" s="35" t="s">
        <v>1104</v>
      </c>
      <c r="AE29" s="202" t="s">
        <v>1880</v>
      </c>
      <c r="AF29" s="35" t="s">
        <v>1880</v>
      </c>
      <c r="AG29" s="445"/>
    </row>
    <row r="30" spans="1:33" s="11" customFormat="1" ht="26.25" customHeight="1" x14ac:dyDescent="0.15">
      <c r="A30" s="8">
        <v>29</v>
      </c>
      <c r="B30" s="36" t="s">
        <v>5592</v>
      </c>
      <c r="C30" s="451" t="s">
        <v>111</v>
      </c>
      <c r="D30" s="330" t="s">
        <v>111</v>
      </c>
      <c r="E30" s="451" t="s">
        <v>111</v>
      </c>
      <c r="F30" s="29" t="s">
        <v>4473</v>
      </c>
      <c r="G30" s="53" t="s">
        <v>4474</v>
      </c>
      <c r="H30" s="449" t="s">
        <v>1147</v>
      </c>
      <c r="I30" s="1" t="s">
        <v>2067</v>
      </c>
      <c r="J30" s="37" t="s">
        <v>3962</v>
      </c>
      <c r="K30" s="22" t="s">
        <v>115</v>
      </c>
      <c r="L30" s="22" t="s">
        <v>1826</v>
      </c>
      <c r="M30" s="451" t="s">
        <v>111</v>
      </c>
      <c r="N30" s="450" t="s">
        <v>1818</v>
      </c>
      <c r="O30" s="54" t="s">
        <v>1819</v>
      </c>
      <c r="P30" s="71" t="s">
        <v>19</v>
      </c>
      <c r="Q30" s="450" t="s">
        <v>1811</v>
      </c>
      <c r="R30" s="450" t="s">
        <v>2072</v>
      </c>
      <c r="S30" s="24" t="s">
        <v>5596</v>
      </c>
      <c r="T30" s="90" t="s">
        <v>5597</v>
      </c>
      <c r="U30" s="24" t="s">
        <v>1800</v>
      </c>
      <c r="V30" s="10">
        <v>1</v>
      </c>
      <c r="W30" s="24" t="s">
        <v>5598</v>
      </c>
      <c r="X30" s="24" t="s">
        <v>5599</v>
      </c>
      <c r="Y30" s="30"/>
      <c r="Z30" s="30">
        <v>15</v>
      </c>
      <c r="AA30" s="30">
        <v>15</v>
      </c>
      <c r="AB30" s="59"/>
      <c r="AC30" s="59"/>
      <c r="AD30" s="35" t="s">
        <v>1104</v>
      </c>
      <c r="AE30" s="202" t="s">
        <v>1880</v>
      </c>
      <c r="AF30" s="35" t="s">
        <v>1880</v>
      </c>
      <c r="AG30" s="450"/>
    </row>
    <row r="31" spans="1:33" s="11" customFormat="1" ht="26.25" customHeight="1" x14ac:dyDescent="0.15">
      <c r="A31" s="8">
        <v>30</v>
      </c>
      <c r="B31" s="36" t="s">
        <v>5593</v>
      </c>
      <c r="C31" s="451" t="s">
        <v>111</v>
      </c>
      <c r="D31" s="330" t="s">
        <v>111</v>
      </c>
      <c r="E31" s="451" t="s">
        <v>111</v>
      </c>
      <c r="F31" s="29" t="s">
        <v>4476</v>
      </c>
      <c r="G31" s="53" t="s">
        <v>4477</v>
      </c>
      <c r="H31" s="449" t="s">
        <v>1147</v>
      </c>
      <c r="I31" s="1" t="s">
        <v>2067</v>
      </c>
      <c r="J31" s="37" t="s">
        <v>2340</v>
      </c>
      <c r="K31" s="22" t="s">
        <v>1138</v>
      </c>
      <c r="L31" s="22" t="s">
        <v>1826</v>
      </c>
      <c r="M31" s="451" t="s">
        <v>111</v>
      </c>
      <c r="N31" s="450" t="s">
        <v>1818</v>
      </c>
      <c r="O31" s="54" t="s">
        <v>1819</v>
      </c>
      <c r="P31" s="71" t="s">
        <v>19</v>
      </c>
      <c r="Q31" s="450" t="s">
        <v>1811</v>
      </c>
      <c r="R31" s="450" t="s">
        <v>2072</v>
      </c>
      <c r="S31" s="24" t="s">
        <v>5596</v>
      </c>
      <c r="T31" s="90" t="s">
        <v>5597</v>
      </c>
      <c r="U31" s="24" t="s">
        <v>1800</v>
      </c>
      <c r="V31" s="10">
        <v>1</v>
      </c>
      <c r="W31" s="24" t="s">
        <v>5598</v>
      </c>
      <c r="X31" s="24" t="s">
        <v>5599</v>
      </c>
      <c r="Y31" s="30"/>
      <c r="Z31" s="30">
        <v>15</v>
      </c>
      <c r="AA31" s="30">
        <v>15</v>
      </c>
      <c r="AB31" s="59"/>
      <c r="AC31" s="59"/>
      <c r="AD31" s="35" t="s">
        <v>1104</v>
      </c>
      <c r="AE31" s="202" t="s">
        <v>1880</v>
      </c>
      <c r="AF31" s="35" t="s">
        <v>1880</v>
      </c>
      <c r="AG31" s="450"/>
    </row>
    <row r="32" spans="1:33" s="11" customFormat="1" ht="26.25" customHeight="1" x14ac:dyDescent="0.15">
      <c r="A32" s="8">
        <v>31</v>
      </c>
      <c r="B32" s="36" t="s">
        <v>5594</v>
      </c>
      <c r="C32" s="451" t="s">
        <v>111</v>
      </c>
      <c r="D32" s="330" t="s">
        <v>111</v>
      </c>
      <c r="E32" s="451" t="s">
        <v>111</v>
      </c>
      <c r="F32" s="29" t="s">
        <v>4480</v>
      </c>
      <c r="G32" s="53" t="s">
        <v>4479</v>
      </c>
      <c r="H32" s="449" t="s">
        <v>1147</v>
      </c>
      <c r="I32" s="1" t="s">
        <v>2067</v>
      </c>
      <c r="J32" s="37" t="s">
        <v>4481</v>
      </c>
      <c r="K32" s="22" t="s">
        <v>4482</v>
      </c>
      <c r="L32" s="22" t="s">
        <v>1826</v>
      </c>
      <c r="M32" s="451" t="s">
        <v>111</v>
      </c>
      <c r="N32" s="450" t="s">
        <v>1818</v>
      </c>
      <c r="O32" s="54" t="s">
        <v>1819</v>
      </c>
      <c r="P32" s="71" t="s">
        <v>19</v>
      </c>
      <c r="Q32" s="450" t="s">
        <v>1811</v>
      </c>
      <c r="R32" s="450" t="s">
        <v>2072</v>
      </c>
      <c r="S32" s="24" t="s">
        <v>5596</v>
      </c>
      <c r="T32" s="90" t="s">
        <v>5597</v>
      </c>
      <c r="U32" s="24" t="s">
        <v>1800</v>
      </c>
      <c r="V32" s="10">
        <v>1</v>
      </c>
      <c r="W32" s="24" t="s">
        <v>5598</v>
      </c>
      <c r="X32" s="24" t="s">
        <v>5599</v>
      </c>
      <c r="Y32" s="30"/>
      <c r="Z32" s="30">
        <v>15</v>
      </c>
      <c r="AA32" s="30">
        <v>15</v>
      </c>
      <c r="AB32" s="59"/>
      <c r="AC32" s="59"/>
      <c r="AD32" s="35" t="s">
        <v>1104</v>
      </c>
      <c r="AE32" s="202" t="s">
        <v>1880</v>
      </c>
      <c r="AF32" s="35" t="s">
        <v>1880</v>
      </c>
      <c r="AG32" s="450"/>
    </row>
    <row r="33" spans="1:33" s="11" customFormat="1" ht="26.25" customHeight="1" x14ac:dyDescent="0.15">
      <c r="A33" s="8">
        <v>32</v>
      </c>
      <c r="B33" s="36" t="s">
        <v>5595</v>
      </c>
      <c r="C33" s="451" t="s">
        <v>111</v>
      </c>
      <c r="D33" s="330" t="s">
        <v>111</v>
      </c>
      <c r="E33" s="451" t="s">
        <v>111</v>
      </c>
      <c r="F33" s="29" t="s">
        <v>4483</v>
      </c>
      <c r="G33" s="53" t="s">
        <v>4484</v>
      </c>
      <c r="H33" s="449" t="s">
        <v>1147</v>
      </c>
      <c r="I33" s="1" t="s">
        <v>2067</v>
      </c>
      <c r="J33" s="37" t="s">
        <v>1821</v>
      </c>
      <c r="K33" s="22" t="s">
        <v>3805</v>
      </c>
      <c r="L33" s="22" t="s">
        <v>1826</v>
      </c>
      <c r="M33" s="451" t="s">
        <v>111</v>
      </c>
      <c r="N33" s="450" t="s">
        <v>1818</v>
      </c>
      <c r="O33" s="54" t="s">
        <v>1819</v>
      </c>
      <c r="P33" s="71" t="s">
        <v>19</v>
      </c>
      <c r="Q33" s="450" t="s">
        <v>1811</v>
      </c>
      <c r="R33" s="450" t="s">
        <v>2072</v>
      </c>
      <c r="S33" s="24" t="s">
        <v>5596</v>
      </c>
      <c r="T33" s="90" t="s">
        <v>5597</v>
      </c>
      <c r="U33" s="24" t="s">
        <v>1800</v>
      </c>
      <c r="V33" s="10">
        <v>1</v>
      </c>
      <c r="W33" s="24" t="s">
        <v>5598</v>
      </c>
      <c r="X33" s="24" t="s">
        <v>5599</v>
      </c>
      <c r="Y33" s="30"/>
      <c r="Z33" s="30">
        <v>15</v>
      </c>
      <c r="AA33" s="30">
        <v>15</v>
      </c>
      <c r="AB33" s="59"/>
      <c r="AC33" s="59"/>
      <c r="AD33" s="35" t="s">
        <v>1104</v>
      </c>
      <c r="AE33" s="202" t="s">
        <v>1880</v>
      </c>
      <c r="AF33" s="35" t="s">
        <v>1880</v>
      </c>
      <c r="AG33" s="450"/>
    </row>
    <row r="34" spans="1:33" s="11" customFormat="1" ht="26.25" customHeight="1" x14ac:dyDescent="0.15">
      <c r="A34" s="8">
        <v>33</v>
      </c>
      <c r="B34" s="36" t="s">
        <v>5600</v>
      </c>
      <c r="C34" s="453" t="s">
        <v>111</v>
      </c>
      <c r="D34" s="330" t="s">
        <v>111</v>
      </c>
      <c r="E34" s="453" t="s">
        <v>111</v>
      </c>
      <c r="F34" s="151" t="s">
        <v>4278</v>
      </c>
      <c r="G34" s="53" t="s">
        <v>5602</v>
      </c>
      <c r="H34" s="453" t="s">
        <v>2012</v>
      </c>
      <c r="I34" s="453" t="s">
        <v>2533</v>
      </c>
      <c r="J34" s="453" t="s">
        <v>4284</v>
      </c>
      <c r="K34" s="453" t="s">
        <v>4279</v>
      </c>
      <c r="L34" s="453" t="s">
        <v>1826</v>
      </c>
      <c r="M34" s="453" t="s">
        <v>111</v>
      </c>
      <c r="N34" s="453" t="s">
        <v>1818</v>
      </c>
      <c r="O34" s="151" t="s">
        <v>1819</v>
      </c>
      <c r="P34" s="22" t="s">
        <v>1880</v>
      </c>
      <c r="Q34" s="452" t="s">
        <v>3248</v>
      </c>
      <c r="R34" s="452" t="s">
        <v>3248</v>
      </c>
      <c r="S34" s="24" t="s">
        <v>5603</v>
      </c>
      <c r="T34" s="90" t="s">
        <v>5604</v>
      </c>
      <c r="U34" s="453" t="s">
        <v>2359</v>
      </c>
      <c r="V34" s="453">
        <v>1</v>
      </c>
      <c r="W34" s="24" t="s">
        <v>5605</v>
      </c>
      <c r="X34" s="24" t="s">
        <v>5606</v>
      </c>
      <c r="Y34" s="30"/>
      <c r="Z34" s="30">
        <v>8.9</v>
      </c>
      <c r="AA34" s="30">
        <v>8.9</v>
      </c>
      <c r="AB34" s="59"/>
      <c r="AC34" s="59"/>
      <c r="AD34" s="35" t="s">
        <v>1104</v>
      </c>
      <c r="AE34" s="202" t="s">
        <v>19</v>
      </c>
      <c r="AF34" s="35" t="s">
        <v>1880</v>
      </c>
      <c r="AG34" s="452"/>
    </row>
    <row r="35" spans="1:33" s="11" customFormat="1" ht="26.25" customHeight="1" x14ac:dyDescent="0.15">
      <c r="A35" s="8">
        <v>34</v>
      </c>
      <c r="B35" s="36" t="s">
        <v>5601</v>
      </c>
      <c r="C35" s="453" t="s">
        <v>111</v>
      </c>
      <c r="D35" s="330" t="s">
        <v>111</v>
      </c>
      <c r="E35" s="453" t="s">
        <v>111</v>
      </c>
      <c r="F35" s="151" t="s">
        <v>4285</v>
      </c>
      <c r="G35" s="53" t="s">
        <v>5607</v>
      </c>
      <c r="H35" s="453" t="s">
        <v>2012</v>
      </c>
      <c r="I35" s="453" t="s">
        <v>2533</v>
      </c>
      <c r="J35" s="453" t="s">
        <v>4287</v>
      </c>
      <c r="K35" s="453" t="s">
        <v>4286</v>
      </c>
      <c r="L35" s="453" t="s">
        <v>1826</v>
      </c>
      <c r="M35" s="453" t="s">
        <v>111</v>
      </c>
      <c r="N35" s="453" t="s">
        <v>1818</v>
      </c>
      <c r="O35" s="151" t="s">
        <v>1819</v>
      </c>
      <c r="P35" s="22" t="s">
        <v>1880</v>
      </c>
      <c r="Q35" s="452" t="s">
        <v>3248</v>
      </c>
      <c r="R35" s="452" t="s">
        <v>3248</v>
      </c>
      <c r="S35" s="24" t="s">
        <v>5603</v>
      </c>
      <c r="T35" s="90" t="s">
        <v>5604</v>
      </c>
      <c r="U35" s="453" t="s">
        <v>2359</v>
      </c>
      <c r="V35" s="453">
        <v>1</v>
      </c>
      <c r="W35" s="24" t="s">
        <v>5598</v>
      </c>
      <c r="X35" s="24" t="s">
        <v>5599</v>
      </c>
      <c r="Y35" s="30"/>
      <c r="Z35" s="30">
        <v>8.9</v>
      </c>
      <c r="AA35" s="30">
        <v>8.9</v>
      </c>
      <c r="AB35" s="59"/>
      <c r="AC35" s="59"/>
      <c r="AD35" s="35" t="s">
        <v>1104</v>
      </c>
      <c r="AE35" s="202" t="s">
        <v>19</v>
      </c>
      <c r="AF35" s="35" t="s">
        <v>1880</v>
      </c>
      <c r="AG35" s="452"/>
    </row>
    <row r="36" spans="1:33" s="11" customFormat="1" ht="26.25" customHeight="1" x14ac:dyDescent="0.15">
      <c r="A36" s="8">
        <v>35</v>
      </c>
      <c r="B36" s="36" t="s">
        <v>5608</v>
      </c>
      <c r="C36" s="71" t="s">
        <v>5609</v>
      </c>
      <c r="D36" s="330" t="s">
        <v>111</v>
      </c>
      <c r="E36" s="456" t="s">
        <v>111</v>
      </c>
      <c r="F36" s="151" t="s">
        <v>2150</v>
      </c>
      <c r="G36" s="99" t="s">
        <v>5486</v>
      </c>
      <c r="H36" s="454" t="s">
        <v>1147</v>
      </c>
      <c r="I36" s="454" t="s">
        <v>2151</v>
      </c>
      <c r="J36" s="454" t="s">
        <v>2152</v>
      </c>
      <c r="K36" s="454" t="s">
        <v>2158</v>
      </c>
      <c r="L36" s="22" t="s">
        <v>1826</v>
      </c>
      <c r="M36" s="456" t="s">
        <v>111</v>
      </c>
      <c r="N36" s="455" t="s">
        <v>1131</v>
      </c>
      <c r="O36" s="54" t="s">
        <v>5610</v>
      </c>
      <c r="P36" s="22" t="s">
        <v>1880</v>
      </c>
      <c r="Q36" s="455" t="s">
        <v>5480</v>
      </c>
      <c r="R36" s="455" t="s">
        <v>5480</v>
      </c>
      <c r="S36" s="24" t="s">
        <v>5611</v>
      </c>
      <c r="T36" s="90" t="s">
        <v>448</v>
      </c>
      <c r="U36" s="90" t="s">
        <v>448</v>
      </c>
      <c r="V36" s="90" t="s">
        <v>448</v>
      </c>
      <c r="W36" s="90" t="s">
        <v>448</v>
      </c>
      <c r="X36" s="90" t="s">
        <v>448</v>
      </c>
      <c r="Y36" s="30">
        <v>3</v>
      </c>
      <c r="Z36" s="30"/>
      <c r="AA36" s="30">
        <v>3</v>
      </c>
      <c r="AB36" s="59"/>
      <c r="AC36" s="59"/>
      <c r="AD36" s="35" t="s">
        <v>1104</v>
      </c>
      <c r="AE36" s="202" t="s">
        <v>19</v>
      </c>
      <c r="AF36" s="35" t="s">
        <v>1880</v>
      </c>
      <c r="AG36" s="455"/>
    </row>
    <row r="37" spans="1:33" s="11" customFormat="1" ht="26.25" customHeight="1" x14ac:dyDescent="0.15">
      <c r="A37" s="8">
        <v>36</v>
      </c>
      <c r="B37" s="36" t="s">
        <v>5621</v>
      </c>
      <c r="C37" s="71" t="s">
        <v>5622</v>
      </c>
      <c r="D37" s="330" t="s">
        <v>111</v>
      </c>
      <c r="E37" s="459" t="s">
        <v>111</v>
      </c>
      <c r="F37" s="29" t="s">
        <v>5623</v>
      </c>
      <c r="G37" s="53" t="s">
        <v>5624</v>
      </c>
      <c r="H37" s="454" t="s">
        <v>4712</v>
      </c>
      <c r="I37" s="454" t="s">
        <v>3101</v>
      </c>
      <c r="J37" s="454" t="s">
        <v>4821</v>
      </c>
      <c r="K37" s="22" t="s">
        <v>4780</v>
      </c>
      <c r="L37" s="22" t="s">
        <v>1826</v>
      </c>
      <c r="M37" s="459" t="s">
        <v>111</v>
      </c>
      <c r="N37" s="458" t="s">
        <v>1818</v>
      </c>
      <c r="O37" s="54" t="s">
        <v>5500</v>
      </c>
      <c r="P37" s="22" t="s">
        <v>1880</v>
      </c>
      <c r="Q37" s="455" t="s">
        <v>5571</v>
      </c>
      <c r="R37" s="455" t="s">
        <v>5571</v>
      </c>
      <c r="S37" s="24" t="s">
        <v>5625</v>
      </c>
      <c r="T37" s="90" t="s">
        <v>5626</v>
      </c>
      <c r="U37" s="24" t="s">
        <v>108</v>
      </c>
      <c r="V37" s="10">
        <v>1</v>
      </c>
      <c r="W37" s="90" t="s">
        <v>448</v>
      </c>
      <c r="X37" s="90" t="s">
        <v>448</v>
      </c>
      <c r="Y37" s="30">
        <v>1.6</v>
      </c>
      <c r="Z37" s="30"/>
      <c r="AA37" s="30">
        <v>1.6</v>
      </c>
      <c r="AB37" s="59"/>
      <c r="AC37" s="59"/>
      <c r="AD37" s="35" t="s">
        <v>1104</v>
      </c>
      <c r="AE37" s="202" t="s">
        <v>19</v>
      </c>
      <c r="AF37" s="35" t="s">
        <v>1880</v>
      </c>
      <c r="AG37" s="455"/>
    </row>
    <row r="38" spans="1:33" s="11" customFormat="1" ht="26.25" customHeight="1" x14ac:dyDescent="0.15">
      <c r="A38" s="8">
        <v>37</v>
      </c>
      <c r="B38" s="36" t="s">
        <v>5628</v>
      </c>
      <c r="C38" s="465" t="s">
        <v>111</v>
      </c>
      <c r="D38" s="330" t="s">
        <v>111</v>
      </c>
      <c r="E38" s="465" t="s">
        <v>111</v>
      </c>
      <c r="F38" s="29" t="s">
        <v>5635</v>
      </c>
      <c r="G38" s="53" t="s">
        <v>5636</v>
      </c>
      <c r="H38" s="463" t="s">
        <v>4712</v>
      </c>
      <c r="I38" s="463" t="s">
        <v>4196</v>
      </c>
      <c r="J38" s="463" t="s">
        <v>5637</v>
      </c>
      <c r="K38" s="22" t="s">
        <v>4780</v>
      </c>
      <c r="L38" s="22" t="s">
        <v>5431</v>
      </c>
      <c r="M38" s="465" t="s">
        <v>111</v>
      </c>
      <c r="N38" s="461" t="s">
        <v>1131</v>
      </c>
      <c r="O38" s="54" t="s">
        <v>5638</v>
      </c>
      <c r="P38" s="22" t="s">
        <v>1880</v>
      </c>
      <c r="Q38" s="462" t="s">
        <v>5571</v>
      </c>
      <c r="R38" s="462" t="s">
        <v>5571</v>
      </c>
      <c r="S38" s="24" t="s">
        <v>5634</v>
      </c>
      <c r="T38" s="90" t="s">
        <v>5639</v>
      </c>
      <c r="U38" s="24" t="s">
        <v>110</v>
      </c>
      <c r="V38" s="24">
        <v>1</v>
      </c>
      <c r="W38" s="24" t="s">
        <v>5473</v>
      </c>
      <c r="X38" s="24" t="s">
        <v>5162</v>
      </c>
      <c r="Y38" s="30">
        <v>4</v>
      </c>
      <c r="Z38" s="30">
        <v>12.5</v>
      </c>
      <c r="AA38" s="30">
        <v>16.5</v>
      </c>
      <c r="AB38" s="59"/>
      <c r="AC38" s="59"/>
      <c r="AD38" s="35" t="s">
        <v>1104</v>
      </c>
      <c r="AE38" s="202" t="s">
        <v>19</v>
      </c>
      <c r="AF38" s="35" t="s">
        <v>1880</v>
      </c>
      <c r="AG38" s="461"/>
    </row>
    <row r="39" spans="1:33" s="11" customFormat="1" ht="26.25" customHeight="1" x14ac:dyDescent="0.15">
      <c r="A39" s="8">
        <v>38</v>
      </c>
      <c r="B39" s="36" t="s">
        <v>5629</v>
      </c>
      <c r="C39" s="465" t="s">
        <v>111</v>
      </c>
      <c r="D39" s="330" t="s">
        <v>111</v>
      </c>
      <c r="E39" s="465" t="s">
        <v>111</v>
      </c>
      <c r="F39" s="29" t="s">
        <v>5640</v>
      </c>
      <c r="G39" s="53" t="s">
        <v>5641</v>
      </c>
      <c r="H39" s="463" t="s">
        <v>4712</v>
      </c>
      <c r="I39" s="463" t="s">
        <v>4196</v>
      </c>
      <c r="J39" s="463" t="s">
        <v>5430</v>
      </c>
      <c r="K39" s="22" t="s">
        <v>4780</v>
      </c>
      <c r="L39" s="22" t="s">
        <v>5431</v>
      </c>
      <c r="M39" s="465" t="s">
        <v>111</v>
      </c>
      <c r="N39" s="464" t="s">
        <v>1131</v>
      </c>
      <c r="O39" s="54" t="s">
        <v>5638</v>
      </c>
      <c r="P39" s="22" t="s">
        <v>1880</v>
      </c>
      <c r="Q39" s="462" t="s">
        <v>5571</v>
      </c>
      <c r="R39" s="462" t="s">
        <v>5571</v>
      </c>
      <c r="S39" s="24" t="s">
        <v>5634</v>
      </c>
      <c r="T39" s="90" t="s">
        <v>5639</v>
      </c>
      <c r="U39" s="24" t="s">
        <v>110</v>
      </c>
      <c r="V39" s="24">
        <v>1</v>
      </c>
      <c r="W39" s="24" t="s">
        <v>5473</v>
      </c>
      <c r="X39" s="24" t="s">
        <v>5162</v>
      </c>
      <c r="Y39" s="30">
        <v>6</v>
      </c>
      <c r="Z39" s="30">
        <v>12.5</v>
      </c>
      <c r="AA39" s="30">
        <v>18.5</v>
      </c>
      <c r="AB39" s="59"/>
      <c r="AC39" s="59"/>
      <c r="AD39" s="35" t="s">
        <v>1104</v>
      </c>
      <c r="AE39" s="202" t="s">
        <v>19</v>
      </c>
      <c r="AF39" s="35" t="s">
        <v>1880</v>
      </c>
      <c r="AG39" s="461"/>
    </row>
    <row r="40" spans="1:33" s="11" customFormat="1" ht="26.25" customHeight="1" x14ac:dyDescent="0.15">
      <c r="A40" s="8">
        <v>39</v>
      </c>
      <c r="B40" s="36" t="s">
        <v>5630</v>
      </c>
      <c r="C40" s="465" t="s">
        <v>111</v>
      </c>
      <c r="D40" s="330" t="s">
        <v>111</v>
      </c>
      <c r="E40" s="465" t="s">
        <v>111</v>
      </c>
      <c r="F40" s="29" t="s">
        <v>5642</v>
      </c>
      <c r="G40" s="53" t="s">
        <v>5643</v>
      </c>
      <c r="H40" s="463" t="s">
        <v>4712</v>
      </c>
      <c r="I40" s="463" t="s">
        <v>4196</v>
      </c>
      <c r="J40" s="463" t="s">
        <v>5395</v>
      </c>
      <c r="K40" s="22" t="s">
        <v>4780</v>
      </c>
      <c r="L40" s="22" t="s">
        <v>5431</v>
      </c>
      <c r="M40" s="465" t="s">
        <v>111</v>
      </c>
      <c r="N40" s="464" t="s">
        <v>1131</v>
      </c>
      <c r="O40" s="54" t="s">
        <v>5638</v>
      </c>
      <c r="P40" s="22" t="s">
        <v>1880</v>
      </c>
      <c r="Q40" s="462" t="s">
        <v>5571</v>
      </c>
      <c r="R40" s="462" t="s">
        <v>5571</v>
      </c>
      <c r="S40" s="24" t="s">
        <v>5634</v>
      </c>
      <c r="T40" s="90" t="s">
        <v>5639</v>
      </c>
      <c r="U40" s="24" t="s">
        <v>110</v>
      </c>
      <c r="V40" s="24">
        <v>1</v>
      </c>
      <c r="W40" s="24" t="s">
        <v>5473</v>
      </c>
      <c r="X40" s="24" t="s">
        <v>5162</v>
      </c>
      <c r="Y40" s="30">
        <v>4</v>
      </c>
      <c r="Z40" s="30">
        <v>12.5</v>
      </c>
      <c r="AA40" s="30">
        <v>16.5</v>
      </c>
      <c r="AB40" s="59"/>
      <c r="AC40" s="59"/>
      <c r="AD40" s="35" t="s">
        <v>1104</v>
      </c>
      <c r="AE40" s="202" t="s">
        <v>19</v>
      </c>
      <c r="AF40" s="35" t="s">
        <v>1880</v>
      </c>
      <c r="AG40" s="461"/>
    </row>
    <row r="41" spans="1:33" s="11" customFormat="1" ht="41.25" customHeight="1" x14ac:dyDescent="0.15">
      <c r="A41" s="8">
        <v>40</v>
      </c>
      <c r="B41" s="36" t="s">
        <v>5631</v>
      </c>
      <c r="C41" s="465" t="s">
        <v>111</v>
      </c>
      <c r="D41" s="330" t="s">
        <v>111</v>
      </c>
      <c r="E41" s="465" t="s">
        <v>111</v>
      </c>
      <c r="F41" s="29" t="s">
        <v>5644</v>
      </c>
      <c r="G41" s="53" t="s">
        <v>5645</v>
      </c>
      <c r="H41" s="463" t="s">
        <v>4712</v>
      </c>
      <c r="I41" s="463" t="s">
        <v>4196</v>
      </c>
      <c r="J41" s="463" t="s">
        <v>5646</v>
      </c>
      <c r="K41" s="22" t="s">
        <v>4780</v>
      </c>
      <c r="L41" s="22" t="s">
        <v>5431</v>
      </c>
      <c r="M41" s="465" t="s">
        <v>111</v>
      </c>
      <c r="N41" s="464" t="s">
        <v>1131</v>
      </c>
      <c r="O41" s="54" t="s">
        <v>5638</v>
      </c>
      <c r="P41" s="22" t="s">
        <v>1880</v>
      </c>
      <c r="Q41" s="462" t="s">
        <v>5571</v>
      </c>
      <c r="R41" s="462" t="s">
        <v>5571</v>
      </c>
      <c r="S41" s="24" t="s">
        <v>5634</v>
      </c>
      <c r="T41" s="90" t="s">
        <v>5639</v>
      </c>
      <c r="U41" s="24" t="s">
        <v>110</v>
      </c>
      <c r="V41" s="24">
        <v>1</v>
      </c>
      <c r="W41" s="24" t="s">
        <v>5473</v>
      </c>
      <c r="X41" s="24" t="s">
        <v>5162</v>
      </c>
      <c r="Y41" s="30">
        <v>4</v>
      </c>
      <c r="Z41" s="30">
        <v>12.5</v>
      </c>
      <c r="AA41" s="30">
        <v>16.5</v>
      </c>
      <c r="AB41" s="59"/>
      <c r="AC41" s="59"/>
      <c r="AD41" s="35" t="s">
        <v>1104</v>
      </c>
      <c r="AE41" s="202" t="s">
        <v>19</v>
      </c>
      <c r="AF41" s="35" t="s">
        <v>1880</v>
      </c>
      <c r="AG41" s="461"/>
    </row>
    <row r="42" spans="1:33" s="11" customFormat="1" ht="45" customHeight="1" x14ac:dyDescent="0.15">
      <c r="A42" s="8">
        <v>41</v>
      </c>
      <c r="B42" s="36" t="s">
        <v>5632</v>
      </c>
      <c r="C42" s="465" t="s">
        <v>111</v>
      </c>
      <c r="D42" s="330" t="s">
        <v>111</v>
      </c>
      <c r="E42" s="465" t="s">
        <v>111</v>
      </c>
      <c r="F42" s="29" t="s">
        <v>3082</v>
      </c>
      <c r="G42" s="53" t="s">
        <v>5647</v>
      </c>
      <c r="H42" s="463" t="s">
        <v>4195</v>
      </c>
      <c r="I42" s="463" t="s">
        <v>2007</v>
      </c>
      <c r="J42" s="463" t="s">
        <v>5633</v>
      </c>
      <c r="K42" s="22" t="s">
        <v>4780</v>
      </c>
      <c r="L42" s="22" t="s">
        <v>5431</v>
      </c>
      <c r="M42" s="465" t="s">
        <v>111</v>
      </c>
      <c r="N42" s="460" t="s">
        <v>1131</v>
      </c>
      <c r="O42" s="54" t="s">
        <v>116</v>
      </c>
      <c r="P42" s="22" t="s">
        <v>1880</v>
      </c>
      <c r="Q42" s="460" t="s">
        <v>1894</v>
      </c>
      <c r="R42" s="460" t="s">
        <v>5480</v>
      </c>
      <c r="S42" s="24" t="s">
        <v>5648</v>
      </c>
      <c r="T42" s="90" t="s">
        <v>5649</v>
      </c>
      <c r="U42" s="24" t="s">
        <v>108</v>
      </c>
      <c r="V42" s="10">
        <v>1</v>
      </c>
      <c r="W42" s="24" t="s">
        <v>5473</v>
      </c>
      <c r="X42" s="24" t="s">
        <v>5162</v>
      </c>
      <c r="Y42" s="30"/>
      <c r="Z42" s="30">
        <v>9.5</v>
      </c>
      <c r="AA42" s="30">
        <v>9.5</v>
      </c>
      <c r="AB42" s="59"/>
      <c r="AC42" s="59"/>
      <c r="AD42" s="35" t="s">
        <v>1104</v>
      </c>
      <c r="AE42" s="202" t="s">
        <v>19</v>
      </c>
      <c r="AF42" s="35" t="s">
        <v>1880</v>
      </c>
      <c r="AG42" s="460"/>
    </row>
    <row r="43" spans="1:33" s="11" customFormat="1" ht="26.25" customHeight="1" x14ac:dyDescent="0.15">
      <c r="A43" s="8">
        <v>42</v>
      </c>
      <c r="B43" s="36" t="s">
        <v>5650</v>
      </c>
      <c r="C43" s="465" t="s">
        <v>111</v>
      </c>
      <c r="D43" s="330" t="s">
        <v>111</v>
      </c>
      <c r="E43" s="206" t="s">
        <v>111</v>
      </c>
      <c r="F43" s="29" t="s">
        <v>5652</v>
      </c>
      <c r="G43" s="99" t="s">
        <v>5486</v>
      </c>
      <c r="H43" s="463" t="s">
        <v>4195</v>
      </c>
      <c r="I43" s="463" t="s">
        <v>4701</v>
      </c>
      <c r="J43" s="463" t="s">
        <v>5653</v>
      </c>
      <c r="K43" s="22" t="s">
        <v>5654</v>
      </c>
      <c r="L43" s="22" t="s">
        <v>5431</v>
      </c>
      <c r="M43" s="465" t="s">
        <v>111</v>
      </c>
      <c r="N43" s="464" t="s">
        <v>1131</v>
      </c>
      <c r="O43" s="54" t="s">
        <v>4753</v>
      </c>
      <c r="P43" s="22" t="s">
        <v>1880</v>
      </c>
      <c r="Q43" s="464" t="s">
        <v>414</v>
      </c>
      <c r="R43" s="464" t="s">
        <v>5487</v>
      </c>
      <c r="S43" s="24" t="s">
        <v>5648</v>
      </c>
      <c r="T43" s="90" t="s">
        <v>448</v>
      </c>
      <c r="U43" s="90" t="s">
        <v>448</v>
      </c>
      <c r="V43" s="90" t="s">
        <v>448</v>
      </c>
      <c r="W43" s="90" t="s">
        <v>448</v>
      </c>
      <c r="X43" s="90" t="s">
        <v>448</v>
      </c>
      <c r="Y43" s="30">
        <v>0.79</v>
      </c>
      <c r="Z43" s="30"/>
      <c r="AA43" s="30">
        <v>0.79</v>
      </c>
      <c r="AB43" s="59"/>
      <c r="AC43" s="59"/>
      <c r="AD43" s="35" t="s">
        <v>1104</v>
      </c>
      <c r="AE43" s="202" t="s">
        <v>19</v>
      </c>
      <c r="AF43" s="35" t="s">
        <v>1880</v>
      </c>
      <c r="AG43" s="464"/>
    </row>
    <row r="44" spans="1:33" s="11" customFormat="1" ht="34.5" customHeight="1" x14ac:dyDescent="0.15">
      <c r="A44" s="8">
        <v>43</v>
      </c>
      <c r="B44" s="36" t="s">
        <v>5651</v>
      </c>
      <c r="C44" s="71" t="s">
        <v>5655</v>
      </c>
      <c r="D44" s="330" t="s">
        <v>111</v>
      </c>
      <c r="E44" s="465" t="s">
        <v>111</v>
      </c>
      <c r="F44" s="29" t="s">
        <v>5656</v>
      </c>
      <c r="G44" s="53" t="s">
        <v>5657</v>
      </c>
      <c r="H44" s="463" t="s">
        <v>4691</v>
      </c>
      <c r="I44" s="463" t="s">
        <v>4728</v>
      </c>
      <c r="J44" s="463" t="s">
        <v>5658</v>
      </c>
      <c r="K44" s="22" t="s">
        <v>5659</v>
      </c>
      <c r="L44" s="22" t="s">
        <v>5431</v>
      </c>
      <c r="M44" s="465" t="s">
        <v>111</v>
      </c>
      <c r="N44" s="464" t="s">
        <v>445</v>
      </c>
      <c r="O44" s="54" t="s">
        <v>5660</v>
      </c>
      <c r="P44" s="22" t="s">
        <v>1880</v>
      </c>
      <c r="Q44" s="464" t="s">
        <v>1894</v>
      </c>
      <c r="R44" s="464" t="s">
        <v>1894</v>
      </c>
      <c r="S44" s="24" t="s">
        <v>5648</v>
      </c>
      <c r="T44" s="90" t="s">
        <v>5661</v>
      </c>
      <c r="U44" s="24" t="s">
        <v>110</v>
      </c>
      <c r="V44" s="24">
        <v>1</v>
      </c>
      <c r="W44" s="90" t="s">
        <v>448</v>
      </c>
      <c r="X44" s="90" t="s">
        <v>448</v>
      </c>
      <c r="Y44" s="30">
        <v>9.6</v>
      </c>
      <c r="Z44" s="30"/>
      <c r="AA44" s="30">
        <v>9.6</v>
      </c>
      <c r="AB44" s="59"/>
      <c r="AC44" s="59"/>
      <c r="AD44" s="35" t="s">
        <v>1104</v>
      </c>
      <c r="AE44" s="133" t="s">
        <v>5678</v>
      </c>
      <c r="AF44" s="35" t="s">
        <v>1880</v>
      </c>
      <c r="AG44" s="464"/>
    </row>
    <row r="45" spans="1:33" s="11" customFormat="1" ht="37.5" customHeight="1" x14ac:dyDescent="0.15">
      <c r="A45" s="8">
        <v>44</v>
      </c>
      <c r="B45" s="36" t="s">
        <v>5662</v>
      </c>
      <c r="C45" s="71" t="s">
        <v>5663</v>
      </c>
      <c r="D45" s="330" t="s">
        <v>111</v>
      </c>
      <c r="E45" s="468" t="s">
        <v>111</v>
      </c>
      <c r="F45" s="29" t="s">
        <v>5664</v>
      </c>
      <c r="G45" s="53" t="s">
        <v>5665</v>
      </c>
      <c r="H45" s="466" t="s">
        <v>4691</v>
      </c>
      <c r="I45" s="466" t="s">
        <v>4728</v>
      </c>
      <c r="J45" s="466" t="s">
        <v>5666</v>
      </c>
      <c r="K45" s="22" t="s">
        <v>4780</v>
      </c>
      <c r="L45" s="22" t="s">
        <v>5431</v>
      </c>
      <c r="M45" s="468" t="s">
        <v>111</v>
      </c>
      <c r="N45" s="467" t="s">
        <v>445</v>
      </c>
      <c r="O45" s="54" t="s">
        <v>5660</v>
      </c>
      <c r="P45" s="22" t="s">
        <v>1880</v>
      </c>
      <c r="Q45" s="467" t="s">
        <v>1894</v>
      </c>
      <c r="R45" s="467" t="s">
        <v>1894</v>
      </c>
      <c r="S45" s="24" t="s">
        <v>5667</v>
      </c>
      <c r="T45" s="90" t="s">
        <v>5668</v>
      </c>
      <c r="U45" s="24" t="s">
        <v>110</v>
      </c>
      <c r="V45" s="24">
        <v>1</v>
      </c>
      <c r="W45" s="90" t="s">
        <v>448</v>
      </c>
      <c r="X45" s="90" t="s">
        <v>448</v>
      </c>
      <c r="Y45" s="30">
        <v>9.6</v>
      </c>
      <c r="Z45" s="30"/>
      <c r="AA45" s="30">
        <v>9.6</v>
      </c>
      <c r="AB45" s="59"/>
      <c r="AC45" s="59"/>
      <c r="AD45" s="35" t="s">
        <v>1104</v>
      </c>
      <c r="AE45" s="133" t="s">
        <v>5677</v>
      </c>
      <c r="AF45" s="35" t="s">
        <v>1880</v>
      </c>
      <c r="AG45" s="467"/>
    </row>
    <row r="46" spans="1:33" s="11" customFormat="1" ht="41.25" customHeight="1" x14ac:dyDescent="0.15">
      <c r="A46" s="8">
        <v>45</v>
      </c>
      <c r="B46" s="36" t="s">
        <v>5669</v>
      </c>
      <c r="C46" s="469" t="s">
        <v>5670</v>
      </c>
      <c r="D46" s="330" t="s">
        <v>111</v>
      </c>
      <c r="E46" s="470" t="s">
        <v>111</v>
      </c>
      <c r="F46" s="29" t="s">
        <v>5671</v>
      </c>
      <c r="G46" s="53" t="s">
        <v>5672</v>
      </c>
      <c r="H46" s="466" t="s">
        <v>4195</v>
      </c>
      <c r="I46" s="466" t="s">
        <v>4728</v>
      </c>
      <c r="J46" s="466" t="s">
        <v>5673</v>
      </c>
      <c r="K46" s="22" t="s">
        <v>5674</v>
      </c>
      <c r="L46" s="22" t="s">
        <v>5478</v>
      </c>
      <c r="M46" s="470" t="s">
        <v>111</v>
      </c>
      <c r="N46" s="469" t="s">
        <v>445</v>
      </c>
      <c r="O46" s="54" t="s">
        <v>4723</v>
      </c>
      <c r="P46" s="22" t="s">
        <v>1880</v>
      </c>
      <c r="Q46" s="469" t="s">
        <v>1894</v>
      </c>
      <c r="R46" s="467" t="s">
        <v>5480</v>
      </c>
      <c r="S46" s="24" t="s">
        <v>5667</v>
      </c>
      <c r="T46" s="90" t="s">
        <v>5675</v>
      </c>
      <c r="U46" s="24" t="s">
        <v>110</v>
      </c>
      <c r="V46" s="24">
        <v>1</v>
      </c>
      <c r="W46" s="90" t="s">
        <v>448</v>
      </c>
      <c r="X46" s="90" t="s">
        <v>448</v>
      </c>
      <c r="Y46" s="30">
        <v>9.4</v>
      </c>
      <c r="Z46" s="30"/>
      <c r="AA46" s="30">
        <v>9.4</v>
      </c>
      <c r="AB46" s="59"/>
      <c r="AC46" s="59"/>
      <c r="AD46" s="35" t="s">
        <v>1104</v>
      </c>
      <c r="AE46" s="133" t="s">
        <v>5676</v>
      </c>
      <c r="AF46" s="35" t="s">
        <v>1880</v>
      </c>
      <c r="AG46" s="467"/>
    </row>
    <row r="47" spans="1:33" s="11" customFormat="1" ht="26.25" customHeight="1" x14ac:dyDescent="0.15">
      <c r="A47" s="8">
        <v>46</v>
      </c>
      <c r="B47" s="36" t="s">
        <v>5681</v>
      </c>
      <c r="C47" s="473" t="s">
        <v>111</v>
      </c>
      <c r="D47" s="473" t="s">
        <v>111</v>
      </c>
      <c r="E47" s="473" t="s">
        <v>111</v>
      </c>
      <c r="F47" s="29" t="s">
        <v>2481</v>
      </c>
      <c r="G47" s="53" t="s">
        <v>5684</v>
      </c>
      <c r="H47" s="471" t="s">
        <v>1147</v>
      </c>
      <c r="I47" s="471" t="s">
        <v>1789</v>
      </c>
      <c r="J47" s="37" t="s">
        <v>2484</v>
      </c>
      <c r="K47" s="22" t="s">
        <v>2485</v>
      </c>
      <c r="L47" s="22" t="s">
        <v>1826</v>
      </c>
      <c r="M47" s="473" t="s">
        <v>111</v>
      </c>
      <c r="N47" s="472" t="s">
        <v>1818</v>
      </c>
      <c r="O47" s="54" t="s">
        <v>1819</v>
      </c>
      <c r="P47" s="71" t="s">
        <v>19</v>
      </c>
      <c r="Q47" s="472" t="s">
        <v>1811</v>
      </c>
      <c r="R47" s="472" t="s">
        <v>2072</v>
      </c>
      <c r="S47" s="24" t="s">
        <v>5687</v>
      </c>
      <c r="T47" s="90" t="s">
        <v>5505</v>
      </c>
      <c r="U47" s="24" t="s">
        <v>2359</v>
      </c>
      <c r="V47" s="24">
        <v>1</v>
      </c>
      <c r="W47" s="24" t="s">
        <v>5686</v>
      </c>
      <c r="X47" s="24" t="s">
        <v>5599</v>
      </c>
      <c r="Y47" s="30"/>
      <c r="Z47" s="30">
        <v>15</v>
      </c>
      <c r="AA47" s="30">
        <v>15</v>
      </c>
      <c r="AB47" s="59"/>
      <c r="AC47" s="59"/>
      <c r="AD47" s="35" t="s">
        <v>1104</v>
      </c>
      <c r="AE47" s="202" t="s">
        <v>1880</v>
      </c>
      <c r="AF47" s="35" t="s">
        <v>1880</v>
      </c>
      <c r="AG47" s="467"/>
    </row>
    <row r="48" spans="1:33" s="11" customFormat="1" ht="26.25" customHeight="1" x14ac:dyDescent="0.15">
      <c r="A48" s="8">
        <v>47</v>
      </c>
      <c r="B48" s="36" t="s">
        <v>5682</v>
      </c>
      <c r="C48" s="473" t="s">
        <v>111</v>
      </c>
      <c r="D48" s="473" t="s">
        <v>111</v>
      </c>
      <c r="E48" s="473" t="s">
        <v>111</v>
      </c>
      <c r="F48" s="29" t="s">
        <v>2492</v>
      </c>
      <c r="G48" s="53" t="s">
        <v>5685</v>
      </c>
      <c r="H48" s="471" t="s">
        <v>1147</v>
      </c>
      <c r="I48" s="471" t="s">
        <v>1789</v>
      </c>
      <c r="J48" s="471" t="s">
        <v>2494</v>
      </c>
      <c r="K48" s="22" t="s">
        <v>2495</v>
      </c>
      <c r="L48" s="22" t="s">
        <v>1826</v>
      </c>
      <c r="M48" s="473" t="s">
        <v>111</v>
      </c>
      <c r="N48" s="472" t="s">
        <v>1818</v>
      </c>
      <c r="O48" s="54" t="s">
        <v>1819</v>
      </c>
      <c r="P48" s="71" t="s">
        <v>19</v>
      </c>
      <c r="Q48" s="472" t="s">
        <v>1811</v>
      </c>
      <c r="R48" s="472" t="s">
        <v>2072</v>
      </c>
      <c r="S48" s="24" t="s">
        <v>5687</v>
      </c>
      <c r="T48" s="90" t="s">
        <v>5688</v>
      </c>
      <c r="U48" s="24" t="s">
        <v>2359</v>
      </c>
      <c r="V48" s="24">
        <v>1</v>
      </c>
      <c r="W48" s="24" t="s">
        <v>5686</v>
      </c>
      <c r="X48" s="24" t="s">
        <v>5599</v>
      </c>
      <c r="Y48" s="30"/>
      <c r="Z48" s="30">
        <v>15</v>
      </c>
      <c r="AA48" s="30">
        <v>15</v>
      </c>
      <c r="AB48" s="59"/>
      <c r="AC48" s="59"/>
      <c r="AD48" s="35" t="s">
        <v>1104</v>
      </c>
      <c r="AE48" s="202" t="s">
        <v>1880</v>
      </c>
      <c r="AF48" s="35" t="s">
        <v>1880</v>
      </c>
      <c r="AG48" s="467"/>
    </row>
    <row r="49" spans="1:33" s="11" customFormat="1" ht="26.25" customHeight="1" x14ac:dyDescent="0.15">
      <c r="A49" s="8">
        <v>48</v>
      </c>
      <c r="B49" s="36" t="s">
        <v>5683</v>
      </c>
      <c r="C49" s="473" t="s">
        <v>111</v>
      </c>
      <c r="D49" s="473" t="s">
        <v>111</v>
      </c>
      <c r="E49" s="473" t="s">
        <v>111</v>
      </c>
      <c r="F49" s="29" t="s">
        <v>2492</v>
      </c>
      <c r="G49" s="53" t="s">
        <v>5685</v>
      </c>
      <c r="H49" s="471" t="s">
        <v>1147</v>
      </c>
      <c r="I49" s="471" t="s">
        <v>1789</v>
      </c>
      <c r="J49" s="471" t="s">
        <v>2498</v>
      </c>
      <c r="K49" s="22" t="s">
        <v>1138</v>
      </c>
      <c r="L49" s="22" t="s">
        <v>1826</v>
      </c>
      <c r="M49" s="473" t="s">
        <v>111</v>
      </c>
      <c r="N49" s="472" t="s">
        <v>1818</v>
      </c>
      <c r="O49" s="54" t="s">
        <v>1819</v>
      </c>
      <c r="P49" s="71" t="s">
        <v>19</v>
      </c>
      <c r="Q49" s="472" t="s">
        <v>1811</v>
      </c>
      <c r="R49" s="472" t="s">
        <v>2072</v>
      </c>
      <c r="S49" s="24" t="s">
        <v>5687</v>
      </c>
      <c r="T49" s="90" t="s">
        <v>5688</v>
      </c>
      <c r="U49" s="24" t="s">
        <v>2359</v>
      </c>
      <c r="V49" s="24">
        <v>1</v>
      </c>
      <c r="W49" s="24" t="s">
        <v>5686</v>
      </c>
      <c r="X49" s="24" t="s">
        <v>5599</v>
      </c>
      <c r="Y49" s="30"/>
      <c r="Z49" s="30">
        <v>15</v>
      </c>
      <c r="AA49" s="30">
        <v>15</v>
      </c>
      <c r="AB49" s="59"/>
      <c r="AC49" s="59"/>
      <c r="AD49" s="35" t="s">
        <v>1104</v>
      </c>
      <c r="AE49" s="202" t="s">
        <v>1880</v>
      </c>
      <c r="AF49" s="35" t="s">
        <v>1880</v>
      </c>
      <c r="AG49" s="467"/>
    </row>
    <row r="50" spans="1:33" s="11" customFormat="1" ht="26.25" customHeight="1" x14ac:dyDescent="0.15">
      <c r="A50" s="8">
        <v>49</v>
      </c>
      <c r="B50" s="36" t="s">
        <v>5689</v>
      </c>
      <c r="C50" s="475" t="s">
        <v>111</v>
      </c>
      <c r="D50" s="475" t="s">
        <v>111</v>
      </c>
      <c r="E50" s="475" t="s">
        <v>111</v>
      </c>
      <c r="F50" s="29" t="s">
        <v>5690</v>
      </c>
      <c r="G50" s="53" t="s">
        <v>5691</v>
      </c>
      <c r="H50" s="474" t="s">
        <v>3649</v>
      </c>
      <c r="I50" s="474" t="s">
        <v>1124</v>
      </c>
      <c r="J50" s="474" t="s">
        <v>4779</v>
      </c>
      <c r="K50" s="474" t="s">
        <v>4780</v>
      </c>
      <c r="L50" s="22" t="s">
        <v>1826</v>
      </c>
      <c r="M50" s="475" t="s">
        <v>1860</v>
      </c>
      <c r="N50" s="216" t="s">
        <v>25</v>
      </c>
      <c r="O50" s="54" t="s">
        <v>1819</v>
      </c>
      <c r="P50" s="71" t="s">
        <v>19</v>
      </c>
      <c r="Q50" s="467" t="s">
        <v>5692</v>
      </c>
      <c r="R50" s="467" t="s">
        <v>5692</v>
      </c>
      <c r="S50" s="24" t="s">
        <v>5693</v>
      </c>
      <c r="T50" s="90" t="s">
        <v>5694</v>
      </c>
      <c r="U50" s="24" t="s">
        <v>2359</v>
      </c>
      <c r="V50" s="24">
        <v>2</v>
      </c>
      <c r="W50" s="24" t="s">
        <v>5473</v>
      </c>
      <c r="X50" s="24" t="s">
        <v>5162</v>
      </c>
      <c r="Y50" s="30"/>
      <c r="Z50" s="30">
        <v>10</v>
      </c>
      <c r="AA50" s="30">
        <v>10</v>
      </c>
      <c r="AB50" s="59"/>
      <c r="AC50" s="59"/>
      <c r="AD50" s="35" t="s">
        <v>1104</v>
      </c>
      <c r="AE50" s="202" t="s">
        <v>1880</v>
      </c>
      <c r="AF50" s="35" t="s">
        <v>1880</v>
      </c>
      <c r="AG50" s="467"/>
    </row>
    <row r="51" spans="1:33" s="11" customFormat="1" ht="26.25" customHeight="1" x14ac:dyDescent="0.15">
      <c r="A51" s="8">
        <v>50</v>
      </c>
      <c r="B51" s="36" t="s">
        <v>5695</v>
      </c>
      <c r="C51" s="71" t="s">
        <v>5704</v>
      </c>
      <c r="D51" s="482" t="s">
        <v>111</v>
      </c>
      <c r="E51" s="36" t="s">
        <v>5811</v>
      </c>
      <c r="F51" s="29" t="s">
        <v>5705</v>
      </c>
      <c r="G51" s="53" t="s">
        <v>5706</v>
      </c>
      <c r="H51" s="481" t="s">
        <v>5374</v>
      </c>
      <c r="I51" s="481" t="s">
        <v>4750</v>
      </c>
      <c r="J51" s="481" t="s">
        <v>5707</v>
      </c>
      <c r="K51" s="22" t="s">
        <v>4780</v>
      </c>
      <c r="L51" s="22" t="s">
        <v>5431</v>
      </c>
      <c r="M51" s="482" t="s">
        <v>111</v>
      </c>
      <c r="N51" s="481" t="s">
        <v>1131</v>
      </c>
      <c r="O51" s="54" t="s">
        <v>5708</v>
      </c>
      <c r="P51" s="71" t="s">
        <v>19</v>
      </c>
      <c r="Q51" s="477" t="s">
        <v>854</v>
      </c>
      <c r="R51" s="477" t="s">
        <v>854</v>
      </c>
      <c r="S51" s="24" t="s">
        <v>5709</v>
      </c>
      <c r="T51" s="90" t="s">
        <v>5568</v>
      </c>
      <c r="U51" s="24" t="s">
        <v>110</v>
      </c>
      <c r="V51" s="24">
        <v>1</v>
      </c>
      <c r="W51" s="24" t="s">
        <v>5711</v>
      </c>
      <c r="X51" s="90" t="s">
        <v>448</v>
      </c>
      <c r="Y51" s="30">
        <v>50.8</v>
      </c>
      <c r="Z51" s="30"/>
      <c r="AA51" s="30">
        <v>50.8</v>
      </c>
      <c r="AB51" s="59"/>
      <c r="AC51" s="59"/>
      <c r="AD51" s="35" t="s">
        <v>1104</v>
      </c>
      <c r="AE51" s="202" t="s">
        <v>1880</v>
      </c>
      <c r="AF51" s="35" t="s">
        <v>1880</v>
      </c>
      <c r="AG51" s="477"/>
    </row>
    <row r="52" spans="1:33" s="11" customFormat="1" ht="38.25" customHeight="1" x14ac:dyDescent="0.15">
      <c r="A52" s="8">
        <v>51</v>
      </c>
      <c r="B52" s="36" t="s">
        <v>5696</v>
      </c>
      <c r="C52" s="482" t="s">
        <v>111</v>
      </c>
      <c r="D52" s="482" t="s">
        <v>111</v>
      </c>
      <c r="E52" s="482" t="s">
        <v>111</v>
      </c>
      <c r="F52" s="29" t="s">
        <v>5713</v>
      </c>
      <c r="G52" s="29" t="s">
        <v>5712</v>
      </c>
      <c r="H52" s="483" t="s">
        <v>5003</v>
      </c>
      <c r="I52" s="483" t="s">
        <v>4728</v>
      </c>
      <c r="J52" s="483" t="s">
        <v>5004</v>
      </c>
      <c r="K52" s="22" t="s">
        <v>5714</v>
      </c>
      <c r="L52" s="22" t="s">
        <v>5431</v>
      </c>
      <c r="M52" s="478" t="s">
        <v>5715</v>
      </c>
      <c r="N52" s="216" t="s">
        <v>25</v>
      </c>
      <c r="O52" s="54" t="s">
        <v>1122</v>
      </c>
      <c r="P52" s="71" t="s">
        <v>19</v>
      </c>
      <c r="Q52" s="477" t="s">
        <v>854</v>
      </c>
      <c r="R52" s="477" t="s">
        <v>854</v>
      </c>
      <c r="S52" s="24" t="s">
        <v>5709</v>
      </c>
      <c r="T52" s="90" t="s">
        <v>5675</v>
      </c>
      <c r="U52" s="24" t="s">
        <v>110</v>
      </c>
      <c r="V52" s="24">
        <v>1</v>
      </c>
      <c r="W52" s="24" t="s">
        <v>5716</v>
      </c>
      <c r="X52" s="24" t="s">
        <v>5717</v>
      </c>
      <c r="Y52" s="30"/>
      <c r="Z52" s="30">
        <v>16</v>
      </c>
      <c r="AA52" s="30">
        <v>16</v>
      </c>
      <c r="AB52" s="59"/>
      <c r="AC52" s="59"/>
      <c r="AD52" s="35" t="s">
        <v>1104</v>
      </c>
      <c r="AE52" s="202" t="s">
        <v>1880</v>
      </c>
      <c r="AF52" s="35" t="s">
        <v>1880</v>
      </c>
      <c r="AG52" s="477"/>
    </row>
    <row r="53" spans="1:33" s="11" customFormat="1" ht="26.25" customHeight="1" x14ac:dyDescent="0.15">
      <c r="A53" s="8">
        <v>52</v>
      </c>
      <c r="B53" s="36" t="s">
        <v>5697</v>
      </c>
      <c r="C53" s="482" t="s">
        <v>111</v>
      </c>
      <c r="D53" s="482" t="s">
        <v>111</v>
      </c>
      <c r="E53" s="482" t="s">
        <v>111</v>
      </c>
      <c r="F53" s="29" t="s">
        <v>5718</v>
      </c>
      <c r="G53" s="53" t="s">
        <v>5719</v>
      </c>
      <c r="H53" s="483" t="s">
        <v>3649</v>
      </c>
      <c r="I53" s="483" t="s">
        <v>4728</v>
      </c>
      <c r="J53" s="483" t="s">
        <v>4729</v>
      </c>
      <c r="K53" s="22" t="s">
        <v>1138</v>
      </c>
      <c r="L53" s="22" t="s">
        <v>1826</v>
      </c>
      <c r="M53" s="22" t="s">
        <v>1834</v>
      </c>
      <c r="N53" s="221" t="s">
        <v>1818</v>
      </c>
      <c r="O53" s="222" t="s">
        <v>1819</v>
      </c>
      <c r="P53" s="71" t="s">
        <v>19</v>
      </c>
      <c r="Q53" s="483" t="s">
        <v>1831</v>
      </c>
      <c r="R53" s="483" t="s">
        <v>1831</v>
      </c>
      <c r="S53" s="24" t="s">
        <v>5709</v>
      </c>
      <c r="T53" s="90" t="s">
        <v>5720</v>
      </c>
      <c r="U53" s="24" t="s">
        <v>1800</v>
      </c>
      <c r="V53" s="10">
        <v>1</v>
      </c>
      <c r="W53" s="24">
        <v>2020.1</v>
      </c>
      <c r="X53" s="24">
        <v>2021.1</v>
      </c>
      <c r="Y53" s="30"/>
      <c r="Z53" s="30">
        <v>10</v>
      </c>
      <c r="AA53" s="30">
        <v>10</v>
      </c>
      <c r="AB53" s="59"/>
      <c r="AC53" s="59"/>
      <c r="AD53" s="35" t="s">
        <v>1104</v>
      </c>
      <c r="AE53" s="202" t="s">
        <v>1880</v>
      </c>
      <c r="AF53" s="35" t="s">
        <v>1880</v>
      </c>
      <c r="AG53" s="477"/>
    </row>
    <row r="54" spans="1:33" s="11" customFormat="1" ht="26.25" customHeight="1" x14ac:dyDescent="0.15">
      <c r="A54" s="8">
        <v>53</v>
      </c>
      <c r="B54" s="36" t="s">
        <v>5698</v>
      </c>
      <c r="C54" s="480" t="s">
        <v>111</v>
      </c>
      <c r="D54" s="480" t="s">
        <v>111</v>
      </c>
      <c r="E54" s="480" t="s">
        <v>111</v>
      </c>
      <c r="F54" s="29" t="s">
        <v>5700</v>
      </c>
      <c r="G54" s="53" t="s">
        <v>5699</v>
      </c>
      <c r="H54" s="479" t="s">
        <v>4208</v>
      </c>
      <c r="I54" s="479" t="s">
        <v>5419</v>
      </c>
      <c r="J54" s="479" t="s">
        <v>5443</v>
      </c>
      <c r="K54" s="479" t="s">
        <v>4059</v>
      </c>
      <c r="L54" s="479" t="s">
        <v>5431</v>
      </c>
      <c r="M54" s="480" t="s">
        <v>111</v>
      </c>
      <c r="N54" s="28" t="s">
        <v>25</v>
      </c>
      <c r="O54" s="151" t="s">
        <v>1819</v>
      </c>
      <c r="P54" s="22" t="s">
        <v>1880</v>
      </c>
      <c r="Q54" s="479" t="s">
        <v>2348</v>
      </c>
      <c r="R54" s="479" t="s">
        <v>2348</v>
      </c>
      <c r="S54" s="24" t="s">
        <v>5701</v>
      </c>
      <c r="T54" s="90" t="s">
        <v>5702</v>
      </c>
      <c r="U54" s="480" t="s">
        <v>2359</v>
      </c>
      <c r="V54" s="480">
        <v>1</v>
      </c>
      <c r="W54" s="24" t="s">
        <v>5473</v>
      </c>
      <c r="X54" s="24" t="s">
        <v>5162</v>
      </c>
      <c r="Y54" s="30"/>
      <c r="Z54" s="30">
        <v>10</v>
      </c>
      <c r="AA54" s="30">
        <v>10</v>
      </c>
      <c r="AB54" s="59"/>
      <c r="AC54" s="59"/>
      <c r="AD54" s="35" t="s">
        <v>1104</v>
      </c>
      <c r="AE54" s="202" t="s">
        <v>1880</v>
      </c>
      <c r="AF54" s="35" t="s">
        <v>1880</v>
      </c>
      <c r="AG54" s="477"/>
    </row>
    <row r="55" spans="1:33" s="11" customFormat="1" ht="26.25" customHeight="1" x14ac:dyDescent="0.15">
      <c r="A55" s="8">
        <v>54</v>
      </c>
      <c r="B55" s="36" t="s">
        <v>5721</v>
      </c>
      <c r="C55" s="487" t="s">
        <v>111</v>
      </c>
      <c r="D55" s="487" t="s">
        <v>111</v>
      </c>
      <c r="E55" s="36" t="s">
        <v>6353</v>
      </c>
      <c r="F55" s="29" t="s">
        <v>5723</v>
      </c>
      <c r="G55" s="53" t="s">
        <v>5724</v>
      </c>
      <c r="H55" s="476" t="s">
        <v>4208</v>
      </c>
      <c r="I55" s="476" t="s">
        <v>5726</v>
      </c>
      <c r="J55" s="485" t="s">
        <v>5727</v>
      </c>
      <c r="K55" s="22" t="s">
        <v>4780</v>
      </c>
      <c r="L55" s="486" t="s">
        <v>5431</v>
      </c>
      <c r="M55" s="487" t="s">
        <v>111</v>
      </c>
      <c r="N55" s="486" t="s">
        <v>1131</v>
      </c>
      <c r="O55" s="54" t="s">
        <v>2192</v>
      </c>
      <c r="P55" s="22" t="s">
        <v>1880</v>
      </c>
      <c r="Q55" s="477" t="s">
        <v>1774</v>
      </c>
      <c r="R55" s="477" t="s">
        <v>1774</v>
      </c>
      <c r="S55" s="24" t="s">
        <v>5728</v>
      </c>
      <c r="T55" s="90" t="s">
        <v>5729</v>
      </c>
      <c r="U55" s="487" t="s">
        <v>2359</v>
      </c>
      <c r="V55" s="487">
        <v>1</v>
      </c>
      <c r="W55" s="90" t="s">
        <v>5710</v>
      </c>
      <c r="X55" s="90" t="s">
        <v>448</v>
      </c>
      <c r="Y55" s="30">
        <v>45</v>
      </c>
      <c r="Z55" s="30"/>
      <c r="AA55" s="30">
        <v>45</v>
      </c>
      <c r="AB55" s="59"/>
      <c r="AC55" s="59"/>
      <c r="AD55" s="35" t="s">
        <v>1104</v>
      </c>
      <c r="AE55" s="133" t="s">
        <v>5728</v>
      </c>
      <c r="AF55" s="35" t="s">
        <v>1880</v>
      </c>
      <c r="AG55" s="477"/>
    </row>
    <row r="56" spans="1:33" s="11" customFormat="1" ht="26.25" customHeight="1" x14ac:dyDescent="0.15">
      <c r="A56" s="8">
        <v>55</v>
      </c>
      <c r="B56" s="36" t="s">
        <v>5722</v>
      </c>
      <c r="C56" s="487" t="s">
        <v>111</v>
      </c>
      <c r="D56" s="487" t="s">
        <v>111</v>
      </c>
      <c r="E56" s="487" t="s">
        <v>111</v>
      </c>
      <c r="F56" s="29" t="s">
        <v>5723</v>
      </c>
      <c r="G56" s="53" t="s">
        <v>5725</v>
      </c>
      <c r="H56" s="476" t="s">
        <v>4208</v>
      </c>
      <c r="I56" s="476" t="s">
        <v>5726</v>
      </c>
      <c r="J56" s="485" t="s">
        <v>5727</v>
      </c>
      <c r="K56" s="22" t="s">
        <v>4780</v>
      </c>
      <c r="L56" s="486" t="s">
        <v>5431</v>
      </c>
      <c r="M56" s="487" t="s">
        <v>111</v>
      </c>
      <c r="N56" s="486" t="s">
        <v>5730</v>
      </c>
      <c r="O56" s="54" t="s">
        <v>5731</v>
      </c>
      <c r="P56" s="22" t="s">
        <v>1880</v>
      </c>
      <c r="Q56" s="486" t="s">
        <v>1774</v>
      </c>
      <c r="R56" s="486" t="s">
        <v>1774</v>
      </c>
      <c r="S56" s="24" t="s">
        <v>5728</v>
      </c>
      <c r="T56" s="90" t="s">
        <v>5729</v>
      </c>
      <c r="U56" s="487" t="s">
        <v>2359</v>
      </c>
      <c r="V56" s="487">
        <v>1</v>
      </c>
      <c r="W56" s="90" t="s">
        <v>448</v>
      </c>
      <c r="X56" s="90" t="s">
        <v>448</v>
      </c>
      <c r="Y56" s="30">
        <v>14.8</v>
      </c>
      <c r="Z56" s="30"/>
      <c r="AA56" s="30">
        <v>14.8</v>
      </c>
      <c r="AB56" s="59"/>
      <c r="AC56" s="59"/>
      <c r="AD56" s="35" t="s">
        <v>1104</v>
      </c>
      <c r="AE56" s="133" t="s">
        <v>5728</v>
      </c>
      <c r="AF56" s="35" t="s">
        <v>1880</v>
      </c>
      <c r="AG56" s="477"/>
    </row>
    <row r="57" spans="1:33" s="11" customFormat="1" ht="26.25" customHeight="1" x14ac:dyDescent="0.15">
      <c r="A57" s="8">
        <v>56</v>
      </c>
      <c r="B57" s="36" t="s">
        <v>5732</v>
      </c>
      <c r="C57" s="490" t="s">
        <v>111</v>
      </c>
      <c r="D57" s="490" t="s">
        <v>111</v>
      </c>
      <c r="E57" s="490" t="s">
        <v>111</v>
      </c>
      <c r="F57" s="29" t="s">
        <v>5736</v>
      </c>
      <c r="G57" s="29" t="s">
        <v>5735</v>
      </c>
      <c r="H57" s="488" t="s">
        <v>5456</v>
      </c>
      <c r="I57" s="488" t="s">
        <v>5419</v>
      </c>
      <c r="J57" s="488" t="s">
        <v>1593</v>
      </c>
      <c r="K57" s="22" t="s">
        <v>4780</v>
      </c>
      <c r="L57" s="489" t="s">
        <v>5431</v>
      </c>
      <c r="M57" s="490" t="s">
        <v>111</v>
      </c>
      <c r="N57" s="28" t="s">
        <v>25</v>
      </c>
      <c r="O57" s="151" t="s">
        <v>2423</v>
      </c>
      <c r="P57" s="22" t="s">
        <v>1880</v>
      </c>
      <c r="Q57" s="489" t="s">
        <v>5489</v>
      </c>
      <c r="R57" s="489" t="s">
        <v>5489</v>
      </c>
      <c r="S57" s="24" t="s">
        <v>5737</v>
      </c>
      <c r="T57" s="90" t="s">
        <v>5738</v>
      </c>
      <c r="U57" s="490" t="s">
        <v>2359</v>
      </c>
      <c r="V57" s="490">
        <v>1</v>
      </c>
      <c r="W57" s="24" t="s">
        <v>5739</v>
      </c>
      <c r="X57" s="24" t="s">
        <v>5740</v>
      </c>
      <c r="Y57" s="30"/>
      <c r="Z57" s="30">
        <v>22.26</v>
      </c>
      <c r="AA57" s="30">
        <v>22.26</v>
      </c>
      <c r="AB57" s="59"/>
      <c r="AC57" s="59"/>
      <c r="AD57" s="35" t="s">
        <v>1104</v>
      </c>
      <c r="AE57" s="202" t="s">
        <v>1880</v>
      </c>
      <c r="AF57" s="35" t="s">
        <v>1880</v>
      </c>
      <c r="AG57" s="489"/>
    </row>
    <row r="58" spans="1:33" s="11" customFormat="1" ht="42.75" customHeight="1" x14ac:dyDescent="0.15">
      <c r="A58" s="8">
        <v>57</v>
      </c>
      <c r="B58" s="36" t="s">
        <v>5733</v>
      </c>
      <c r="C58" s="490" t="s">
        <v>111</v>
      </c>
      <c r="D58" s="490" t="s">
        <v>111</v>
      </c>
      <c r="E58" s="490" t="s">
        <v>111</v>
      </c>
      <c r="F58" s="29" t="s">
        <v>3836</v>
      </c>
      <c r="G58" s="54" t="s">
        <v>4942</v>
      </c>
      <c r="H58" s="489" t="s">
        <v>4195</v>
      </c>
      <c r="I58" s="489" t="s">
        <v>4937</v>
      </c>
      <c r="J58" s="489" t="s">
        <v>4938</v>
      </c>
      <c r="K58" s="489" t="s">
        <v>4939</v>
      </c>
      <c r="L58" s="22" t="s">
        <v>1826</v>
      </c>
      <c r="M58" s="490" t="s">
        <v>1880</v>
      </c>
      <c r="N58" s="216" t="s">
        <v>25</v>
      </c>
      <c r="O58" s="54" t="s">
        <v>851</v>
      </c>
      <c r="P58" s="490" t="s">
        <v>111</v>
      </c>
      <c r="Q58" s="489" t="s">
        <v>1152</v>
      </c>
      <c r="R58" s="489" t="s">
        <v>1152</v>
      </c>
      <c r="S58" s="24" t="s">
        <v>5737</v>
      </c>
      <c r="T58" s="90" t="s">
        <v>4941</v>
      </c>
      <c r="U58" s="490" t="s">
        <v>2359</v>
      </c>
      <c r="V58" s="490">
        <v>1</v>
      </c>
      <c r="W58" s="24" t="s">
        <v>4941</v>
      </c>
      <c r="X58" s="24" t="s">
        <v>5741</v>
      </c>
      <c r="Y58" s="30"/>
      <c r="Z58" s="30">
        <v>8</v>
      </c>
      <c r="AA58" s="30">
        <v>8</v>
      </c>
      <c r="AB58" s="59"/>
      <c r="AC58" s="59"/>
      <c r="AD58" s="490" t="s">
        <v>1104</v>
      </c>
      <c r="AE58" s="202" t="s">
        <v>1880</v>
      </c>
      <c r="AF58" s="133" t="s">
        <v>1880</v>
      </c>
      <c r="AG58" s="489"/>
    </row>
    <row r="59" spans="1:33" s="11" customFormat="1" ht="26.25" customHeight="1" x14ac:dyDescent="0.15">
      <c r="A59" s="8">
        <v>58</v>
      </c>
      <c r="B59" s="36" t="s">
        <v>5734</v>
      </c>
      <c r="C59" s="490" t="s">
        <v>111</v>
      </c>
      <c r="D59" s="490" t="s">
        <v>111</v>
      </c>
      <c r="E59" s="490" t="s">
        <v>111</v>
      </c>
      <c r="F59" s="29" t="s">
        <v>5497</v>
      </c>
      <c r="G59" s="53" t="s">
        <v>5742</v>
      </c>
      <c r="H59" s="491" t="s">
        <v>3641</v>
      </c>
      <c r="I59" s="491" t="s">
        <v>1789</v>
      </c>
      <c r="J59" s="491" t="s">
        <v>5086</v>
      </c>
      <c r="K59" s="22" t="s">
        <v>5087</v>
      </c>
      <c r="L59" s="493" t="s">
        <v>1826</v>
      </c>
      <c r="M59" s="493" t="s">
        <v>111</v>
      </c>
      <c r="N59" s="28" t="s">
        <v>25</v>
      </c>
      <c r="O59" s="222" t="s">
        <v>1819</v>
      </c>
      <c r="P59" s="493" t="s">
        <v>111</v>
      </c>
      <c r="Q59" s="492" t="s">
        <v>1785</v>
      </c>
      <c r="R59" s="492" t="s">
        <v>1785</v>
      </c>
      <c r="S59" s="24" t="s">
        <v>5743</v>
      </c>
      <c r="T59" s="90" t="s">
        <v>5596</v>
      </c>
      <c r="U59" s="493" t="s">
        <v>1800</v>
      </c>
      <c r="V59" s="493">
        <v>1</v>
      </c>
      <c r="W59" s="223" t="s">
        <v>5471</v>
      </c>
      <c r="X59" s="223" t="s">
        <v>5744</v>
      </c>
      <c r="Y59" s="30"/>
      <c r="Z59" s="328">
        <v>7.5</v>
      </c>
      <c r="AA59" s="30">
        <v>7.5</v>
      </c>
      <c r="AB59" s="59"/>
      <c r="AC59" s="59"/>
      <c r="AD59" s="493" t="s">
        <v>1104</v>
      </c>
      <c r="AE59" s="202" t="s">
        <v>1880</v>
      </c>
      <c r="AF59" s="133" t="s">
        <v>1880</v>
      </c>
      <c r="AG59" s="489" t="s">
        <v>5745</v>
      </c>
    </row>
    <row r="60" spans="1:33" s="11" customFormat="1" ht="39" customHeight="1" x14ac:dyDescent="0.15">
      <c r="A60" s="8">
        <v>59</v>
      </c>
      <c r="B60" s="36" t="s">
        <v>5749</v>
      </c>
      <c r="C60" s="494" t="s">
        <v>111</v>
      </c>
      <c r="D60" s="494" t="s">
        <v>111</v>
      </c>
      <c r="E60" s="494" t="s">
        <v>111</v>
      </c>
      <c r="F60" s="29" t="s">
        <v>5746</v>
      </c>
      <c r="G60" s="53" t="s">
        <v>5747</v>
      </c>
      <c r="H60" s="494" t="s">
        <v>2420</v>
      </c>
      <c r="I60" s="494" t="s">
        <v>4111</v>
      </c>
      <c r="J60" s="494" t="s">
        <v>4121</v>
      </c>
      <c r="K60" s="494" t="s">
        <v>4112</v>
      </c>
      <c r="L60" s="494" t="s">
        <v>2142</v>
      </c>
      <c r="M60" s="494" t="s">
        <v>111</v>
      </c>
      <c r="N60" s="494" t="s">
        <v>2422</v>
      </c>
      <c r="O60" s="151" t="s">
        <v>1819</v>
      </c>
      <c r="P60" s="71" t="s">
        <v>19</v>
      </c>
      <c r="Q60" s="494" t="s">
        <v>2348</v>
      </c>
      <c r="R60" s="494" t="s">
        <v>2348</v>
      </c>
      <c r="S60" s="494" t="s">
        <v>5748</v>
      </c>
      <c r="T60" s="130" t="s">
        <v>5604</v>
      </c>
      <c r="U60" s="494" t="s">
        <v>2359</v>
      </c>
      <c r="V60" s="494">
        <v>1</v>
      </c>
      <c r="W60" s="494" t="s">
        <v>5598</v>
      </c>
      <c r="X60" s="494" t="s">
        <v>5599</v>
      </c>
      <c r="Y60" s="150"/>
      <c r="Z60" s="150">
        <v>8</v>
      </c>
      <c r="AA60" s="150">
        <v>8</v>
      </c>
      <c r="AB60" s="701"/>
      <c r="AC60" s="701"/>
      <c r="AD60" s="35" t="s">
        <v>1104</v>
      </c>
      <c r="AE60" s="202" t="s">
        <v>1880</v>
      </c>
      <c r="AF60" s="35" t="s">
        <v>1880</v>
      </c>
      <c r="AG60" s="489"/>
    </row>
    <row r="61" spans="1:33" s="11" customFormat="1" ht="26.25" customHeight="1" x14ac:dyDescent="0.15">
      <c r="A61" s="8">
        <v>60</v>
      </c>
      <c r="B61" s="36" t="s">
        <v>5751</v>
      </c>
      <c r="C61" s="495" t="s">
        <v>111</v>
      </c>
      <c r="D61" s="495" t="s">
        <v>111</v>
      </c>
      <c r="E61" s="495" t="s">
        <v>111</v>
      </c>
      <c r="F61" s="29" t="s">
        <v>5752</v>
      </c>
      <c r="G61" s="99" t="s">
        <v>5753</v>
      </c>
      <c r="H61" s="495" t="s">
        <v>4990</v>
      </c>
      <c r="I61" s="495" t="s">
        <v>2067</v>
      </c>
      <c r="J61" s="495" t="s">
        <v>5754</v>
      </c>
      <c r="K61" s="495" t="s">
        <v>5755</v>
      </c>
      <c r="L61" s="22" t="s">
        <v>1826</v>
      </c>
      <c r="M61" s="495" t="s">
        <v>1880</v>
      </c>
      <c r="N61" s="489" t="s">
        <v>1131</v>
      </c>
      <c r="O61" s="151" t="s">
        <v>4403</v>
      </c>
      <c r="P61" s="71" t="s">
        <v>19</v>
      </c>
      <c r="Q61" s="489" t="s">
        <v>5489</v>
      </c>
      <c r="R61" s="489" t="s">
        <v>5489</v>
      </c>
      <c r="S61" s="24" t="s">
        <v>5756</v>
      </c>
      <c r="T61" s="499"/>
      <c r="U61" s="484"/>
      <c r="V61" s="484"/>
      <c r="W61" s="90" t="s">
        <v>448</v>
      </c>
      <c r="X61" s="90" t="s">
        <v>448</v>
      </c>
      <c r="Y61" s="30">
        <v>2.69</v>
      </c>
      <c r="Z61" s="30"/>
      <c r="AA61" s="30">
        <v>2.69</v>
      </c>
      <c r="AB61" s="59"/>
      <c r="AC61" s="59"/>
      <c r="AD61" s="35" t="s">
        <v>1104</v>
      </c>
      <c r="AE61" s="202" t="s">
        <v>1880</v>
      </c>
      <c r="AF61" s="35" t="s">
        <v>1880</v>
      </c>
      <c r="AG61" s="54" t="s">
        <v>5772</v>
      </c>
    </row>
    <row r="62" spans="1:33" s="11" customFormat="1" ht="33.75" customHeight="1" x14ac:dyDescent="0.15">
      <c r="A62" s="8">
        <v>61</v>
      </c>
      <c r="B62" s="36" t="s">
        <v>5809</v>
      </c>
      <c r="C62" s="498" t="s">
        <v>111</v>
      </c>
      <c r="D62" s="498" t="s">
        <v>111</v>
      </c>
      <c r="E62" s="206" t="s">
        <v>5799</v>
      </c>
      <c r="F62" s="29" t="s">
        <v>5656</v>
      </c>
      <c r="G62" s="53" t="s">
        <v>5757</v>
      </c>
      <c r="H62" s="496" t="s">
        <v>1881</v>
      </c>
      <c r="I62" s="496" t="s">
        <v>1146</v>
      </c>
      <c r="J62" s="496" t="s">
        <v>5760</v>
      </c>
      <c r="K62" s="497" t="s">
        <v>3531</v>
      </c>
      <c r="L62" s="22" t="s">
        <v>1826</v>
      </c>
      <c r="M62" s="498" t="s">
        <v>1880</v>
      </c>
      <c r="N62" s="489" t="s">
        <v>1131</v>
      </c>
      <c r="O62" s="54" t="s">
        <v>5500</v>
      </c>
      <c r="P62" s="71" t="s">
        <v>19</v>
      </c>
      <c r="Q62" s="489" t="s">
        <v>5810</v>
      </c>
      <c r="R62" s="513" t="s">
        <v>5810</v>
      </c>
      <c r="S62" s="24" t="s">
        <v>5771</v>
      </c>
      <c r="T62" s="90" t="s">
        <v>5761</v>
      </c>
      <c r="U62" s="498" t="s">
        <v>2359</v>
      </c>
      <c r="V62" s="498">
        <v>1</v>
      </c>
      <c r="W62" s="90" t="s">
        <v>448</v>
      </c>
      <c r="X62" s="90" t="s">
        <v>448</v>
      </c>
      <c r="Y62" s="30">
        <v>8.4540000000000006</v>
      </c>
      <c r="Z62" s="30"/>
      <c r="AA62" s="30">
        <v>8.4540000000000006</v>
      </c>
      <c r="AB62" s="59"/>
      <c r="AC62" s="59"/>
      <c r="AD62" s="35" t="s">
        <v>1104</v>
      </c>
      <c r="AE62" s="202" t="s">
        <v>1880</v>
      </c>
      <c r="AF62" s="35" t="s">
        <v>1880</v>
      </c>
      <c r="AG62" s="489"/>
    </row>
    <row r="63" spans="1:33" s="11" customFormat="1" ht="26.25" customHeight="1" x14ac:dyDescent="0.15">
      <c r="A63" s="8">
        <v>62</v>
      </c>
      <c r="B63" s="36" t="s">
        <v>5758</v>
      </c>
      <c r="C63" s="498" t="s">
        <v>111</v>
      </c>
      <c r="D63" s="498" t="s">
        <v>111</v>
      </c>
      <c r="E63" s="498" t="s">
        <v>111</v>
      </c>
      <c r="F63" s="29" t="s">
        <v>5762</v>
      </c>
      <c r="G63" s="53" t="s">
        <v>5763</v>
      </c>
      <c r="H63" s="496" t="s">
        <v>4791</v>
      </c>
      <c r="I63" s="496" t="s">
        <v>5461</v>
      </c>
      <c r="J63" s="496" t="s">
        <v>5764</v>
      </c>
      <c r="K63" s="22" t="s">
        <v>4780</v>
      </c>
      <c r="L63" s="22" t="s">
        <v>1826</v>
      </c>
      <c r="M63" s="498" t="s">
        <v>1880</v>
      </c>
      <c r="N63" s="497" t="s">
        <v>1131</v>
      </c>
      <c r="O63" s="54" t="s">
        <v>5638</v>
      </c>
      <c r="P63" s="71" t="s">
        <v>19</v>
      </c>
      <c r="Q63" s="497" t="s">
        <v>446</v>
      </c>
      <c r="R63" s="497" t="s">
        <v>446</v>
      </c>
      <c r="S63" s="24" t="s">
        <v>5771</v>
      </c>
      <c r="T63" s="90" t="s">
        <v>5737</v>
      </c>
      <c r="U63" s="498" t="s">
        <v>2359</v>
      </c>
      <c r="V63" s="498">
        <v>1</v>
      </c>
      <c r="W63" s="24" t="s">
        <v>5769</v>
      </c>
      <c r="X63" s="24" t="s">
        <v>5770</v>
      </c>
      <c r="Y63" s="30">
        <v>3</v>
      </c>
      <c r="Z63" s="30">
        <v>9</v>
      </c>
      <c r="AA63" s="30">
        <v>12</v>
      </c>
      <c r="AB63" s="59"/>
      <c r="AC63" s="59"/>
      <c r="AD63" s="35" t="s">
        <v>1104</v>
      </c>
      <c r="AE63" s="202" t="s">
        <v>1880</v>
      </c>
      <c r="AF63" s="35" t="s">
        <v>1880</v>
      </c>
      <c r="AG63" s="497"/>
    </row>
    <row r="64" spans="1:33" s="11" customFormat="1" ht="26.25" customHeight="1" x14ac:dyDescent="0.15">
      <c r="A64" s="8">
        <v>63</v>
      </c>
      <c r="B64" s="36" t="s">
        <v>5759</v>
      </c>
      <c r="C64" s="498" t="s">
        <v>111</v>
      </c>
      <c r="D64" s="498" t="s">
        <v>111</v>
      </c>
      <c r="E64" s="498" t="s">
        <v>111</v>
      </c>
      <c r="F64" s="29" t="s">
        <v>5765</v>
      </c>
      <c r="G64" s="53" t="s">
        <v>5766</v>
      </c>
      <c r="H64" s="496" t="s">
        <v>4791</v>
      </c>
      <c r="I64" s="496" t="s">
        <v>5767</v>
      </c>
      <c r="J64" s="496" t="s">
        <v>5768</v>
      </c>
      <c r="K64" s="22" t="s">
        <v>4780</v>
      </c>
      <c r="L64" s="22" t="s">
        <v>1826</v>
      </c>
      <c r="M64" s="498" t="s">
        <v>1880</v>
      </c>
      <c r="N64" s="497" t="s">
        <v>1131</v>
      </c>
      <c r="O64" s="54" t="s">
        <v>5638</v>
      </c>
      <c r="P64" s="71" t="s">
        <v>19</v>
      </c>
      <c r="Q64" s="497" t="s">
        <v>446</v>
      </c>
      <c r="R64" s="497" t="s">
        <v>446</v>
      </c>
      <c r="S64" s="24" t="s">
        <v>5771</v>
      </c>
      <c r="T64" s="90" t="s">
        <v>5737</v>
      </c>
      <c r="U64" s="498" t="s">
        <v>2359</v>
      </c>
      <c r="V64" s="498">
        <v>1</v>
      </c>
      <c r="W64" s="24" t="s">
        <v>5473</v>
      </c>
      <c r="X64" s="24" t="s">
        <v>5162</v>
      </c>
      <c r="Y64" s="30">
        <v>3</v>
      </c>
      <c r="Z64" s="30">
        <v>6</v>
      </c>
      <c r="AA64" s="30">
        <v>9</v>
      </c>
      <c r="AB64" s="59"/>
      <c r="AC64" s="59"/>
      <c r="AD64" s="35" t="s">
        <v>1104</v>
      </c>
      <c r="AE64" s="202" t="s">
        <v>1880</v>
      </c>
      <c r="AF64" s="35" t="s">
        <v>1880</v>
      </c>
      <c r="AG64" s="497"/>
    </row>
    <row r="65" spans="1:33" s="11" customFormat="1" ht="42" customHeight="1" x14ac:dyDescent="0.15">
      <c r="A65" s="8">
        <v>64</v>
      </c>
      <c r="B65" s="36" t="s">
        <v>5779</v>
      </c>
      <c r="C65" s="501" t="s">
        <v>111</v>
      </c>
      <c r="D65" s="501" t="s">
        <v>111</v>
      </c>
      <c r="E65" s="501" t="s">
        <v>111</v>
      </c>
      <c r="F65" s="29" t="s">
        <v>4892</v>
      </c>
      <c r="G65" s="53" t="s">
        <v>5773</v>
      </c>
      <c r="H65" s="500" t="s">
        <v>4893</v>
      </c>
      <c r="I65" s="500" t="s">
        <v>1124</v>
      </c>
      <c r="J65" s="500" t="s">
        <v>4894</v>
      </c>
      <c r="K65" s="22" t="s">
        <v>4895</v>
      </c>
      <c r="L65" s="22" t="s">
        <v>1826</v>
      </c>
      <c r="M65" s="501" t="s">
        <v>1880</v>
      </c>
      <c r="N65" s="22" t="s">
        <v>454</v>
      </c>
      <c r="O65" s="54" t="s">
        <v>851</v>
      </c>
      <c r="P65" s="501" t="s">
        <v>111</v>
      </c>
      <c r="Q65" s="500" t="s">
        <v>3591</v>
      </c>
      <c r="R65" s="500" t="s">
        <v>3591</v>
      </c>
      <c r="S65" s="211" t="s">
        <v>5774</v>
      </c>
      <c r="T65" s="90" t="s">
        <v>5778</v>
      </c>
      <c r="U65" s="502" t="s">
        <v>2359</v>
      </c>
      <c r="V65" s="502">
        <v>1</v>
      </c>
      <c r="W65" s="223" t="s">
        <v>5775</v>
      </c>
      <c r="X65" s="223" t="s">
        <v>5776</v>
      </c>
      <c r="Y65" s="30"/>
      <c r="Z65" s="30">
        <v>11.5</v>
      </c>
      <c r="AA65" s="30">
        <v>11.5</v>
      </c>
      <c r="AB65" s="59"/>
      <c r="AC65" s="59"/>
      <c r="AD65" s="501" t="s">
        <v>1104</v>
      </c>
      <c r="AE65" s="202" t="s">
        <v>1880</v>
      </c>
      <c r="AF65" s="35" t="s">
        <v>1880</v>
      </c>
      <c r="AG65" s="54" t="s">
        <v>5777</v>
      </c>
    </row>
    <row r="66" spans="1:33" s="11" customFormat="1" ht="26.25" customHeight="1" x14ac:dyDescent="0.15">
      <c r="A66" s="8">
        <v>65</v>
      </c>
      <c r="B66" s="36" t="s">
        <v>5780</v>
      </c>
      <c r="C66" s="503" t="s">
        <v>5782</v>
      </c>
      <c r="D66" s="504" t="s">
        <v>111</v>
      </c>
      <c r="E66" s="504" t="s">
        <v>111</v>
      </c>
      <c r="F66" s="29" t="s">
        <v>1792</v>
      </c>
      <c r="G66" s="99" t="s">
        <v>5486</v>
      </c>
      <c r="H66" s="503" t="s">
        <v>4691</v>
      </c>
      <c r="I66" s="503" t="s">
        <v>4728</v>
      </c>
      <c r="J66" s="503" t="s">
        <v>5784</v>
      </c>
      <c r="K66" s="22" t="s">
        <v>1795</v>
      </c>
      <c r="L66" s="22" t="s">
        <v>1826</v>
      </c>
      <c r="M66" s="504" t="s">
        <v>1880</v>
      </c>
      <c r="N66" s="503" t="s">
        <v>3101</v>
      </c>
      <c r="O66" s="54" t="s">
        <v>5785</v>
      </c>
      <c r="P66" s="504" t="s">
        <v>111</v>
      </c>
      <c r="Q66" s="503" t="s">
        <v>5571</v>
      </c>
      <c r="R66" s="503" t="s">
        <v>5571</v>
      </c>
      <c r="S66" s="24" t="s">
        <v>5786</v>
      </c>
      <c r="T66" s="90" t="s">
        <v>448</v>
      </c>
      <c r="U66" s="24" t="s">
        <v>448</v>
      </c>
      <c r="V66" s="24" t="s">
        <v>448</v>
      </c>
      <c r="W66" s="24" t="s">
        <v>448</v>
      </c>
      <c r="X66" s="24" t="s">
        <v>448</v>
      </c>
      <c r="Y66" s="30">
        <v>0.8</v>
      </c>
      <c r="Z66" s="30"/>
      <c r="AA66" s="30">
        <v>0.8</v>
      </c>
      <c r="AB66" s="59"/>
      <c r="AC66" s="59"/>
      <c r="AD66" s="504" t="s">
        <v>1104</v>
      </c>
      <c r="AE66" s="202" t="s">
        <v>1880</v>
      </c>
      <c r="AF66" s="35" t="s">
        <v>1880</v>
      </c>
      <c r="AG66" s="503"/>
    </row>
    <row r="67" spans="1:33" s="11" customFormat="1" ht="26.25" customHeight="1" x14ac:dyDescent="0.15">
      <c r="A67" s="8">
        <v>66</v>
      </c>
      <c r="B67" s="36" t="s">
        <v>5781</v>
      </c>
      <c r="C67" s="503" t="s">
        <v>5783</v>
      </c>
      <c r="D67" s="504" t="s">
        <v>111</v>
      </c>
      <c r="E67" s="504" t="s">
        <v>111</v>
      </c>
      <c r="F67" s="29" t="s">
        <v>5656</v>
      </c>
      <c r="G67" s="99" t="s">
        <v>5486</v>
      </c>
      <c r="H67" s="503" t="s">
        <v>4691</v>
      </c>
      <c r="I67" s="503" t="s">
        <v>4728</v>
      </c>
      <c r="J67" s="503" t="s">
        <v>5658</v>
      </c>
      <c r="K67" s="22" t="s">
        <v>3531</v>
      </c>
      <c r="L67" s="22" t="s">
        <v>1826</v>
      </c>
      <c r="M67" s="504" t="s">
        <v>1880</v>
      </c>
      <c r="N67" s="503" t="s">
        <v>3101</v>
      </c>
      <c r="O67" s="54" t="s">
        <v>5785</v>
      </c>
      <c r="P67" s="504" t="s">
        <v>111</v>
      </c>
      <c r="Q67" s="503" t="s">
        <v>5571</v>
      </c>
      <c r="R67" s="503" t="s">
        <v>5571</v>
      </c>
      <c r="S67" s="24" t="s">
        <v>5786</v>
      </c>
      <c r="T67" s="90" t="s">
        <v>448</v>
      </c>
      <c r="U67" s="24" t="s">
        <v>448</v>
      </c>
      <c r="V67" s="24" t="s">
        <v>448</v>
      </c>
      <c r="W67" s="24" t="s">
        <v>448</v>
      </c>
      <c r="X67" s="24" t="s">
        <v>448</v>
      </c>
      <c r="Y67" s="30">
        <v>1.6</v>
      </c>
      <c r="Z67" s="30"/>
      <c r="AA67" s="30">
        <v>1.6</v>
      </c>
      <c r="AB67" s="59"/>
      <c r="AC67" s="59"/>
      <c r="AD67" s="504" t="s">
        <v>1104</v>
      </c>
      <c r="AE67" s="202" t="s">
        <v>1880</v>
      </c>
      <c r="AF67" s="35" t="s">
        <v>1880</v>
      </c>
      <c r="AG67" s="503"/>
    </row>
    <row r="68" spans="1:33" s="11" customFormat="1" ht="26.25" customHeight="1" x14ac:dyDescent="0.15">
      <c r="A68" s="8">
        <v>67</v>
      </c>
      <c r="B68" s="36" t="s">
        <v>5789</v>
      </c>
      <c r="C68" s="507" t="s">
        <v>111</v>
      </c>
      <c r="D68" s="507" t="s">
        <v>111</v>
      </c>
      <c r="E68" s="507" t="s">
        <v>111</v>
      </c>
      <c r="F68" s="29" t="s">
        <v>3639</v>
      </c>
      <c r="G68" s="53" t="s">
        <v>5787</v>
      </c>
      <c r="H68" s="505" t="s">
        <v>3641</v>
      </c>
      <c r="I68" s="505" t="s">
        <v>1789</v>
      </c>
      <c r="J68" s="505" t="s">
        <v>5080</v>
      </c>
      <c r="K68" s="22" t="s">
        <v>1138</v>
      </c>
      <c r="L68" s="507" t="s">
        <v>1826</v>
      </c>
      <c r="M68" s="507" t="s">
        <v>111</v>
      </c>
      <c r="N68" s="28" t="s">
        <v>25</v>
      </c>
      <c r="O68" s="222" t="s">
        <v>1819</v>
      </c>
      <c r="P68" s="507" t="s">
        <v>111</v>
      </c>
      <c r="Q68" s="506" t="s">
        <v>1785</v>
      </c>
      <c r="R68" s="506" t="s">
        <v>1785</v>
      </c>
      <c r="S68" s="24" t="s">
        <v>5788</v>
      </c>
      <c r="T68" s="90" t="s">
        <v>5790</v>
      </c>
      <c r="U68" s="507" t="s">
        <v>2359</v>
      </c>
      <c r="V68" s="507">
        <v>1</v>
      </c>
      <c r="W68" s="24" t="s">
        <v>5791</v>
      </c>
      <c r="X68" s="24" t="s">
        <v>5792</v>
      </c>
      <c r="Y68" s="30"/>
      <c r="Z68" s="328">
        <v>8</v>
      </c>
      <c r="AA68" s="30">
        <v>8</v>
      </c>
      <c r="AB68" s="59"/>
      <c r="AC68" s="59"/>
      <c r="AD68" s="507" t="s">
        <v>1104</v>
      </c>
      <c r="AE68" s="202" t="s">
        <v>1880</v>
      </c>
      <c r="AF68" s="133" t="s">
        <v>1880</v>
      </c>
      <c r="AG68" s="54" t="s">
        <v>5793</v>
      </c>
    </row>
    <row r="69" spans="1:33" s="11" customFormat="1" ht="26.25" customHeight="1" x14ac:dyDescent="0.15">
      <c r="A69" s="8">
        <v>68</v>
      </c>
      <c r="B69" s="36" t="s">
        <v>5800</v>
      </c>
      <c r="C69" s="18" t="s">
        <v>5795</v>
      </c>
      <c r="D69" s="509" t="s">
        <v>111</v>
      </c>
      <c r="E69" s="509" t="s">
        <v>111</v>
      </c>
      <c r="F69" s="29" t="s">
        <v>5796</v>
      </c>
      <c r="G69" s="53" t="s">
        <v>5797</v>
      </c>
      <c r="H69" s="508" t="s">
        <v>2135</v>
      </c>
      <c r="I69" s="508" t="s">
        <v>2533</v>
      </c>
      <c r="J69" s="508" t="s">
        <v>5390</v>
      </c>
      <c r="K69" s="22" t="s">
        <v>4780</v>
      </c>
      <c r="L69" s="22" t="s">
        <v>5478</v>
      </c>
      <c r="M69" s="501"/>
      <c r="N69" s="28" t="s">
        <v>25</v>
      </c>
      <c r="O69" s="222" t="s">
        <v>5794</v>
      </c>
      <c r="P69" s="509" t="s">
        <v>111</v>
      </c>
      <c r="Q69" s="500" t="s">
        <v>854</v>
      </c>
      <c r="R69" s="500" t="s">
        <v>854</v>
      </c>
      <c r="S69" s="24" t="s">
        <v>5786</v>
      </c>
      <c r="T69" s="90" t="s">
        <v>5798</v>
      </c>
      <c r="U69" s="509" t="s">
        <v>2359</v>
      </c>
      <c r="V69" s="509">
        <v>1</v>
      </c>
      <c r="W69" s="24" t="s">
        <v>448</v>
      </c>
      <c r="X69" s="24" t="s">
        <v>448</v>
      </c>
      <c r="Y69" s="30">
        <v>4.8</v>
      </c>
      <c r="Z69" s="30"/>
      <c r="AA69" s="30">
        <v>4.8</v>
      </c>
      <c r="AB69" s="59"/>
      <c r="AC69" s="59"/>
      <c r="AD69" s="509" t="s">
        <v>1104</v>
      </c>
      <c r="AE69" s="202" t="s">
        <v>1880</v>
      </c>
      <c r="AF69" s="133" t="s">
        <v>1880</v>
      </c>
      <c r="AG69" s="54" t="s">
        <v>5801</v>
      </c>
    </row>
    <row r="70" spans="1:33" s="11" customFormat="1" ht="26.25" customHeight="1" x14ac:dyDescent="0.15">
      <c r="A70" s="8">
        <v>69</v>
      </c>
      <c r="B70" s="36" t="s">
        <v>5807</v>
      </c>
      <c r="C70" s="512" t="s">
        <v>111</v>
      </c>
      <c r="D70" s="512" t="s">
        <v>111</v>
      </c>
      <c r="E70" s="512" t="s">
        <v>111</v>
      </c>
      <c r="F70" s="29" t="s">
        <v>5803</v>
      </c>
      <c r="G70" s="53" t="s">
        <v>5802</v>
      </c>
      <c r="H70" s="510" t="s">
        <v>3649</v>
      </c>
      <c r="I70" s="510" t="s">
        <v>4196</v>
      </c>
      <c r="J70" s="510" t="s">
        <v>5804</v>
      </c>
      <c r="K70" s="22" t="s">
        <v>4780</v>
      </c>
      <c r="L70" s="512" t="s">
        <v>1826</v>
      </c>
      <c r="M70" s="512" t="s">
        <v>111</v>
      </c>
      <c r="N70" s="28" t="s">
        <v>25</v>
      </c>
      <c r="O70" s="222" t="s">
        <v>2423</v>
      </c>
      <c r="P70" s="512" t="s">
        <v>111</v>
      </c>
      <c r="Q70" s="511" t="s">
        <v>854</v>
      </c>
      <c r="R70" s="511" t="s">
        <v>854</v>
      </c>
      <c r="S70" s="24" t="s">
        <v>5805</v>
      </c>
      <c r="T70" s="90" t="s">
        <v>5667</v>
      </c>
      <c r="U70" s="512" t="s">
        <v>2359</v>
      </c>
      <c r="V70" s="512">
        <v>1</v>
      </c>
      <c r="W70" s="24" t="s">
        <v>5667</v>
      </c>
      <c r="X70" s="24" t="s">
        <v>5808</v>
      </c>
      <c r="Y70" s="30"/>
      <c r="Z70" s="30">
        <v>27</v>
      </c>
      <c r="AA70" s="30">
        <v>27</v>
      </c>
      <c r="AB70" s="59"/>
      <c r="AC70" s="59"/>
      <c r="AD70" s="512" t="s">
        <v>1104</v>
      </c>
      <c r="AE70" s="202" t="s">
        <v>1880</v>
      </c>
      <c r="AF70" s="133" t="s">
        <v>1880</v>
      </c>
      <c r="AG70" s="54" t="s">
        <v>5806</v>
      </c>
    </row>
    <row r="71" spans="1:33" s="11" customFormat="1" ht="26.25" customHeight="1" x14ac:dyDescent="0.15">
      <c r="A71" s="8">
        <v>70</v>
      </c>
      <c r="B71" s="36" t="s">
        <v>5813</v>
      </c>
      <c r="C71" s="515" t="s">
        <v>111</v>
      </c>
      <c r="D71" s="515" t="s">
        <v>111</v>
      </c>
      <c r="E71" s="515" t="s">
        <v>111</v>
      </c>
      <c r="F71" s="29" t="s">
        <v>3543</v>
      </c>
      <c r="G71" s="53" t="s">
        <v>4965</v>
      </c>
      <c r="H71" s="1" t="s">
        <v>23</v>
      </c>
      <c r="I71" s="1" t="s">
        <v>177</v>
      </c>
      <c r="J71" s="1" t="s">
        <v>4966</v>
      </c>
      <c r="K71" s="22" t="s">
        <v>3545</v>
      </c>
      <c r="L71" s="515" t="s">
        <v>1826</v>
      </c>
      <c r="M71" s="515" t="s">
        <v>111</v>
      </c>
      <c r="N71" s="514" t="s">
        <v>102</v>
      </c>
      <c r="O71" s="89" t="s">
        <v>851</v>
      </c>
      <c r="P71" s="515" t="s">
        <v>111</v>
      </c>
      <c r="Q71" s="514" t="s">
        <v>1151</v>
      </c>
      <c r="R71" s="514" t="s">
        <v>1151</v>
      </c>
      <c r="S71" s="24" t="s">
        <v>5818</v>
      </c>
      <c r="T71" s="90" t="s">
        <v>5816</v>
      </c>
      <c r="U71" s="515" t="s">
        <v>2359</v>
      </c>
      <c r="V71" s="515">
        <v>1</v>
      </c>
      <c r="W71" s="24" t="s">
        <v>5598</v>
      </c>
      <c r="X71" s="24" t="s">
        <v>5599</v>
      </c>
      <c r="Y71" s="30"/>
      <c r="Z71" s="30">
        <v>11.8</v>
      </c>
      <c r="AA71" s="30">
        <v>11.8</v>
      </c>
      <c r="AB71" s="59"/>
      <c r="AC71" s="59"/>
      <c r="AD71" s="515" t="s">
        <v>1104</v>
      </c>
      <c r="AE71" s="202" t="s">
        <v>1880</v>
      </c>
      <c r="AF71" s="133" t="s">
        <v>1880</v>
      </c>
      <c r="AG71" s="514"/>
    </row>
    <row r="72" spans="1:33" s="11" customFormat="1" ht="26.25" customHeight="1" x14ac:dyDescent="0.15">
      <c r="A72" s="8">
        <v>71</v>
      </c>
      <c r="B72" s="36" t="s">
        <v>5814</v>
      </c>
      <c r="C72" s="515" t="s">
        <v>111</v>
      </c>
      <c r="D72" s="515" t="s">
        <v>111</v>
      </c>
      <c r="E72" s="515" t="s">
        <v>111</v>
      </c>
      <c r="F72" s="29" t="s">
        <v>3547</v>
      </c>
      <c r="G72" s="53" t="s">
        <v>3677</v>
      </c>
      <c r="H72" s="1" t="s">
        <v>23</v>
      </c>
      <c r="I72" s="1" t="s">
        <v>177</v>
      </c>
      <c r="J72" s="1" t="s">
        <v>4969</v>
      </c>
      <c r="K72" s="22" t="s">
        <v>3550</v>
      </c>
      <c r="L72" s="515" t="s">
        <v>1826</v>
      </c>
      <c r="M72" s="515" t="s">
        <v>111</v>
      </c>
      <c r="N72" s="514" t="s">
        <v>102</v>
      </c>
      <c r="O72" s="89" t="s">
        <v>851</v>
      </c>
      <c r="P72" s="515" t="s">
        <v>111</v>
      </c>
      <c r="Q72" s="514" t="s">
        <v>1151</v>
      </c>
      <c r="R72" s="514" t="s">
        <v>1151</v>
      </c>
      <c r="S72" s="24" t="s">
        <v>5818</v>
      </c>
      <c r="T72" s="90" t="s">
        <v>5816</v>
      </c>
      <c r="U72" s="515" t="s">
        <v>2359</v>
      </c>
      <c r="V72" s="515">
        <v>1</v>
      </c>
      <c r="W72" s="24" t="s">
        <v>5598</v>
      </c>
      <c r="X72" s="24" t="s">
        <v>5599</v>
      </c>
      <c r="Y72" s="30"/>
      <c r="Z72" s="30">
        <v>11.8</v>
      </c>
      <c r="AA72" s="30">
        <v>11.8</v>
      </c>
      <c r="AB72" s="59"/>
      <c r="AC72" s="59"/>
      <c r="AD72" s="515" t="s">
        <v>1104</v>
      </c>
      <c r="AE72" s="202" t="s">
        <v>1880</v>
      </c>
      <c r="AF72" s="133" t="s">
        <v>1880</v>
      </c>
      <c r="AG72" s="514"/>
    </row>
    <row r="73" spans="1:33" s="11" customFormat="1" ht="26.25" customHeight="1" x14ac:dyDescent="0.15">
      <c r="A73" s="8">
        <v>72</v>
      </c>
      <c r="B73" s="36" t="s">
        <v>5815</v>
      </c>
      <c r="C73" s="515" t="s">
        <v>111</v>
      </c>
      <c r="D73" s="515" t="s">
        <v>111</v>
      </c>
      <c r="E73" s="515" t="s">
        <v>111</v>
      </c>
      <c r="F73" s="294" t="s">
        <v>3539</v>
      </c>
      <c r="G73" s="53" t="s">
        <v>3541</v>
      </c>
      <c r="H73" s="1" t="s">
        <v>23</v>
      </c>
      <c r="I73" s="142" t="s">
        <v>177</v>
      </c>
      <c r="J73" s="1" t="s">
        <v>5008</v>
      </c>
      <c r="K73" s="1" t="s">
        <v>5009</v>
      </c>
      <c r="L73" s="515" t="s">
        <v>1826</v>
      </c>
      <c r="M73" s="515" t="s">
        <v>111</v>
      </c>
      <c r="N73" s="514" t="s">
        <v>102</v>
      </c>
      <c r="O73" s="89" t="s">
        <v>851</v>
      </c>
      <c r="P73" s="515" t="s">
        <v>111</v>
      </c>
      <c r="Q73" s="514" t="s">
        <v>1151</v>
      </c>
      <c r="R73" s="514" t="s">
        <v>1151</v>
      </c>
      <c r="S73" s="24" t="s">
        <v>5818</v>
      </c>
      <c r="T73" s="90" t="s">
        <v>5816</v>
      </c>
      <c r="U73" s="515" t="s">
        <v>2359</v>
      </c>
      <c r="V73" s="515">
        <v>1</v>
      </c>
      <c r="W73" s="24" t="s">
        <v>5598</v>
      </c>
      <c r="X73" s="24" t="s">
        <v>5599</v>
      </c>
      <c r="Y73" s="30"/>
      <c r="Z73" s="30">
        <v>11.8</v>
      </c>
      <c r="AA73" s="30">
        <v>11.8</v>
      </c>
      <c r="AB73" s="59"/>
      <c r="AC73" s="59"/>
      <c r="AD73" s="515" t="s">
        <v>1104</v>
      </c>
      <c r="AE73" s="202" t="s">
        <v>1880</v>
      </c>
      <c r="AF73" s="133" t="s">
        <v>1880</v>
      </c>
      <c r="AG73" s="514"/>
    </row>
    <row r="74" spans="1:33" s="11" customFormat="1" ht="26.25" customHeight="1" x14ac:dyDescent="0.15">
      <c r="A74" s="8">
        <v>73</v>
      </c>
      <c r="B74" s="36" t="s">
        <v>5819</v>
      </c>
      <c r="C74" s="518" t="s">
        <v>111</v>
      </c>
      <c r="D74" s="518" t="s">
        <v>111</v>
      </c>
      <c r="E74" s="518" t="s">
        <v>111</v>
      </c>
      <c r="F74" s="29" t="s">
        <v>5823</v>
      </c>
      <c r="G74" s="53" t="s">
        <v>5820</v>
      </c>
      <c r="H74" s="516" t="s">
        <v>2113</v>
      </c>
      <c r="I74" s="516" t="s">
        <v>1779</v>
      </c>
      <c r="J74" s="516" t="s">
        <v>1778</v>
      </c>
      <c r="K74" s="22" t="s">
        <v>1777</v>
      </c>
      <c r="L74" s="518" t="s">
        <v>1826</v>
      </c>
      <c r="M74" s="518" t="s">
        <v>111</v>
      </c>
      <c r="N74" s="518" t="s">
        <v>1818</v>
      </c>
      <c r="O74" s="151" t="s">
        <v>1819</v>
      </c>
      <c r="P74" s="518" t="s">
        <v>111</v>
      </c>
      <c r="Q74" s="517" t="s">
        <v>1831</v>
      </c>
      <c r="R74" s="517" t="s">
        <v>1831</v>
      </c>
      <c r="S74" s="24" t="s">
        <v>5821</v>
      </c>
      <c r="T74" s="90" t="s">
        <v>5822</v>
      </c>
      <c r="U74" s="518" t="s">
        <v>2359</v>
      </c>
      <c r="V74" s="518">
        <v>3</v>
      </c>
      <c r="W74" s="24" t="s">
        <v>5598</v>
      </c>
      <c r="X74" s="24" t="s">
        <v>5599</v>
      </c>
      <c r="Y74" s="30"/>
      <c r="Z74" s="30">
        <v>8</v>
      </c>
      <c r="AA74" s="30">
        <v>8</v>
      </c>
      <c r="AB74" s="59"/>
      <c r="AC74" s="59"/>
      <c r="AD74" s="518" t="s">
        <v>1104</v>
      </c>
      <c r="AE74" s="202" t="s">
        <v>1880</v>
      </c>
      <c r="AF74" s="133" t="s">
        <v>1880</v>
      </c>
      <c r="AG74" s="511"/>
    </row>
    <row r="75" spans="1:33" s="11" customFormat="1" ht="26.25" customHeight="1" x14ac:dyDescent="0.15">
      <c r="A75" s="8">
        <v>74</v>
      </c>
      <c r="B75" s="36" t="s">
        <v>5825</v>
      </c>
      <c r="C75" s="521" t="s">
        <v>111</v>
      </c>
      <c r="D75" s="521" t="s">
        <v>111</v>
      </c>
      <c r="E75" s="36" t="s">
        <v>6237</v>
      </c>
      <c r="F75" s="29" t="s">
        <v>5827</v>
      </c>
      <c r="G75" s="53" t="s">
        <v>5828</v>
      </c>
      <c r="H75" s="519" t="s">
        <v>4195</v>
      </c>
      <c r="I75" s="519" t="s">
        <v>4196</v>
      </c>
      <c r="J75" s="519" t="s">
        <v>5830</v>
      </c>
      <c r="K75" s="22" t="s">
        <v>4780</v>
      </c>
      <c r="L75" s="521" t="s">
        <v>1826</v>
      </c>
      <c r="M75" s="521" t="s">
        <v>111</v>
      </c>
      <c r="N75" s="520" t="s">
        <v>1131</v>
      </c>
      <c r="O75" s="54" t="s">
        <v>2856</v>
      </c>
      <c r="P75" s="521" t="s">
        <v>111</v>
      </c>
      <c r="Q75" s="520" t="s">
        <v>5487</v>
      </c>
      <c r="R75" s="520" t="s">
        <v>5519</v>
      </c>
      <c r="S75" s="24" t="s">
        <v>5831</v>
      </c>
      <c r="T75" s="90" t="s">
        <v>5832</v>
      </c>
      <c r="U75" s="521" t="s">
        <v>2359</v>
      </c>
      <c r="V75" s="521">
        <v>1</v>
      </c>
      <c r="W75" s="24" t="s">
        <v>5711</v>
      </c>
      <c r="X75" s="24" t="s">
        <v>448</v>
      </c>
      <c r="Y75" s="30">
        <v>56.807499999999997</v>
      </c>
      <c r="Z75" s="30"/>
      <c r="AA75" s="30">
        <v>56.807499999999997</v>
      </c>
      <c r="AB75" s="59"/>
      <c r="AC75" s="59"/>
      <c r="AD75" s="521" t="s">
        <v>1104</v>
      </c>
      <c r="AE75" s="202" t="s">
        <v>1880</v>
      </c>
      <c r="AF75" s="133" t="s">
        <v>1880</v>
      </c>
      <c r="AG75" s="520"/>
    </row>
    <row r="76" spans="1:33" s="11" customFormat="1" ht="26.25" customHeight="1" x14ac:dyDescent="0.15">
      <c r="A76" s="8">
        <v>75</v>
      </c>
      <c r="B76" s="36" t="s">
        <v>5826</v>
      </c>
      <c r="C76" s="521" t="s">
        <v>111</v>
      </c>
      <c r="D76" s="521" t="s">
        <v>111</v>
      </c>
      <c r="E76" s="521" t="s">
        <v>111</v>
      </c>
      <c r="F76" s="29" t="s">
        <v>5827</v>
      </c>
      <c r="G76" s="53" t="s">
        <v>5829</v>
      </c>
      <c r="H76" s="519" t="s">
        <v>4195</v>
      </c>
      <c r="I76" s="519" t="s">
        <v>4196</v>
      </c>
      <c r="J76" s="519" t="s">
        <v>5833</v>
      </c>
      <c r="K76" s="22" t="s">
        <v>4780</v>
      </c>
      <c r="L76" s="521" t="s">
        <v>1826</v>
      </c>
      <c r="M76" s="521" t="s">
        <v>111</v>
      </c>
      <c r="N76" s="520" t="s">
        <v>1131</v>
      </c>
      <c r="O76" s="54" t="s">
        <v>2856</v>
      </c>
      <c r="P76" s="521" t="s">
        <v>111</v>
      </c>
      <c r="Q76" s="520" t="s">
        <v>414</v>
      </c>
      <c r="R76" s="520" t="s">
        <v>5519</v>
      </c>
      <c r="S76" s="24" t="s">
        <v>5831</v>
      </c>
      <c r="T76" s="90" t="s">
        <v>5832</v>
      </c>
      <c r="U76" s="521" t="s">
        <v>2359</v>
      </c>
      <c r="V76" s="521">
        <v>1</v>
      </c>
      <c r="W76" s="24" t="s">
        <v>5711</v>
      </c>
      <c r="X76" s="24" t="s">
        <v>448</v>
      </c>
      <c r="Y76" s="30">
        <v>56.807499999999997</v>
      </c>
      <c r="Z76" s="30"/>
      <c r="AA76" s="30">
        <v>56.807499999999997</v>
      </c>
      <c r="AB76" s="59"/>
      <c r="AC76" s="59"/>
      <c r="AD76" s="521" t="s">
        <v>1104</v>
      </c>
      <c r="AE76" s="202" t="s">
        <v>1880</v>
      </c>
      <c r="AF76" s="133" t="s">
        <v>1880</v>
      </c>
      <c r="AG76" s="520"/>
    </row>
    <row r="77" spans="1:33" s="11" customFormat="1" ht="26.25" customHeight="1" x14ac:dyDescent="0.15">
      <c r="A77" s="8">
        <v>76</v>
      </c>
      <c r="B77" s="36" t="s">
        <v>5834</v>
      </c>
      <c r="C77" s="525" t="s">
        <v>5845</v>
      </c>
      <c r="D77" s="525" t="s">
        <v>111</v>
      </c>
      <c r="E77" s="36" t="s">
        <v>6576</v>
      </c>
      <c r="F77" s="29" t="s">
        <v>5840</v>
      </c>
      <c r="G77" s="53" t="s">
        <v>5841</v>
      </c>
      <c r="H77" s="1" t="s">
        <v>1457</v>
      </c>
      <c r="I77" s="142" t="s">
        <v>167</v>
      </c>
      <c r="J77" s="1" t="s">
        <v>5843</v>
      </c>
      <c r="K77" s="22" t="s">
        <v>5844</v>
      </c>
      <c r="L77" s="525" t="s">
        <v>1826</v>
      </c>
      <c r="M77" s="525" t="s">
        <v>111</v>
      </c>
      <c r="N77" s="524" t="s">
        <v>1131</v>
      </c>
      <c r="O77" s="54" t="s">
        <v>5317</v>
      </c>
      <c r="P77" s="525" t="s">
        <v>111</v>
      </c>
      <c r="Q77" s="522" t="s">
        <v>1774</v>
      </c>
      <c r="R77" s="522" t="s">
        <v>1774</v>
      </c>
      <c r="S77" s="24" t="s">
        <v>5852</v>
      </c>
      <c r="T77" s="90" t="s">
        <v>5675</v>
      </c>
      <c r="U77" s="525" t="s">
        <v>2359</v>
      </c>
      <c r="V77" s="525">
        <v>1</v>
      </c>
      <c r="W77" s="24" t="s">
        <v>448</v>
      </c>
      <c r="X77" s="24" t="s">
        <v>448</v>
      </c>
      <c r="Y77" s="30">
        <v>4.95</v>
      </c>
      <c r="Z77" s="30"/>
      <c r="AA77" s="30">
        <v>4.95</v>
      </c>
      <c r="AB77" s="59"/>
      <c r="AC77" s="59"/>
      <c r="AD77" s="525" t="s">
        <v>1104</v>
      </c>
      <c r="AE77" s="133" t="s">
        <v>5853</v>
      </c>
      <c r="AF77" s="133" t="s">
        <v>1880</v>
      </c>
      <c r="AG77" s="522"/>
    </row>
    <row r="78" spans="1:33" s="11" customFormat="1" ht="26.25" customHeight="1" x14ac:dyDescent="0.15">
      <c r="A78" s="8">
        <v>77</v>
      </c>
      <c r="B78" s="36" t="s">
        <v>5835</v>
      </c>
      <c r="C78" s="525" t="s">
        <v>111</v>
      </c>
      <c r="D78" s="525" t="s">
        <v>111</v>
      </c>
      <c r="E78" s="525" t="s">
        <v>111</v>
      </c>
      <c r="F78" s="29" t="s">
        <v>5840</v>
      </c>
      <c r="G78" s="53" t="s">
        <v>5842</v>
      </c>
      <c r="H78" s="1" t="s">
        <v>1457</v>
      </c>
      <c r="I78" s="142" t="s">
        <v>167</v>
      </c>
      <c r="J78" s="1" t="s">
        <v>5843</v>
      </c>
      <c r="K78" s="22" t="s">
        <v>5844</v>
      </c>
      <c r="L78" s="525" t="s">
        <v>1826</v>
      </c>
      <c r="M78" s="525" t="s">
        <v>111</v>
      </c>
      <c r="N78" s="524" t="s">
        <v>1131</v>
      </c>
      <c r="O78" s="54" t="s">
        <v>116</v>
      </c>
      <c r="P78" s="525" t="s">
        <v>111</v>
      </c>
      <c r="Q78" s="524" t="s">
        <v>1774</v>
      </c>
      <c r="R78" s="524" t="s">
        <v>1774</v>
      </c>
      <c r="S78" s="24" t="s">
        <v>5852</v>
      </c>
      <c r="T78" s="90" t="s">
        <v>5675</v>
      </c>
      <c r="U78" s="525" t="s">
        <v>2359</v>
      </c>
      <c r="V78" s="525">
        <v>1</v>
      </c>
      <c r="W78" s="24" t="s">
        <v>5473</v>
      </c>
      <c r="X78" s="24" t="s">
        <v>5162</v>
      </c>
      <c r="Y78" s="30"/>
      <c r="Z78" s="30">
        <v>7</v>
      </c>
      <c r="AA78" s="30">
        <v>7</v>
      </c>
      <c r="AB78" s="59"/>
      <c r="AC78" s="59"/>
      <c r="AD78" s="525" t="s">
        <v>1104</v>
      </c>
      <c r="AE78" s="202" t="s">
        <v>1880</v>
      </c>
      <c r="AF78" s="133" t="s">
        <v>1880</v>
      </c>
      <c r="AG78" s="522"/>
    </row>
    <row r="79" spans="1:33" s="11" customFormat="1" ht="26.25" customHeight="1" x14ac:dyDescent="0.15">
      <c r="A79" s="8">
        <v>78</v>
      </c>
      <c r="B79" s="36" t="s">
        <v>5865</v>
      </c>
      <c r="C79" s="523" t="s">
        <v>5849</v>
      </c>
      <c r="D79" s="527" t="s">
        <v>111</v>
      </c>
      <c r="E79" s="611" t="s">
        <v>6577</v>
      </c>
      <c r="F79" s="29" t="s">
        <v>5846</v>
      </c>
      <c r="G79" s="53" t="s">
        <v>5850</v>
      </c>
      <c r="H79" s="1" t="s">
        <v>1457</v>
      </c>
      <c r="I79" s="142" t="s">
        <v>167</v>
      </c>
      <c r="J79" s="1" t="s">
        <v>5848</v>
      </c>
      <c r="K79" s="22" t="s">
        <v>5847</v>
      </c>
      <c r="L79" s="527" t="s">
        <v>1826</v>
      </c>
      <c r="M79" s="527" t="s">
        <v>111</v>
      </c>
      <c r="N79" s="526" t="s">
        <v>1131</v>
      </c>
      <c r="O79" s="54" t="s">
        <v>5317</v>
      </c>
      <c r="P79" s="527" t="s">
        <v>111</v>
      </c>
      <c r="Q79" s="526" t="s">
        <v>1774</v>
      </c>
      <c r="R79" s="526" t="s">
        <v>1774</v>
      </c>
      <c r="S79" s="24" t="s">
        <v>5852</v>
      </c>
      <c r="T79" s="90" t="s">
        <v>5675</v>
      </c>
      <c r="U79" s="527" t="s">
        <v>2359</v>
      </c>
      <c r="V79" s="527">
        <v>1</v>
      </c>
      <c r="W79" s="24" t="s">
        <v>448</v>
      </c>
      <c r="X79" s="24" t="s">
        <v>448</v>
      </c>
      <c r="Y79" s="30">
        <v>4.95</v>
      </c>
      <c r="Z79" s="30"/>
      <c r="AA79" s="30">
        <v>4.95</v>
      </c>
      <c r="AB79" s="59"/>
      <c r="AC79" s="59"/>
      <c r="AD79" s="527" t="s">
        <v>1104</v>
      </c>
      <c r="AE79" s="133" t="s">
        <v>5853</v>
      </c>
      <c r="AF79" s="133" t="s">
        <v>1880</v>
      </c>
      <c r="AG79" s="522"/>
    </row>
    <row r="80" spans="1:33" s="11" customFormat="1" ht="26.25" customHeight="1" x14ac:dyDescent="0.15">
      <c r="A80" s="8">
        <v>79</v>
      </c>
      <c r="B80" s="36" t="s">
        <v>5836</v>
      </c>
      <c r="C80" s="527" t="s">
        <v>111</v>
      </c>
      <c r="D80" s="527" t="s">
        <v>111</v>
      </c>
      <c r="E80" s="527" t="s">
        <v>111</v>
      </c>
      <c r="F80" s="29" t="s">
        <v>5846</v>
      </c>
      <c r="G80" s="53" t="s">
        <v>5851</v>
      </c>
      <c r="H80" s="1" t="s">
        <v>1457</v>
      </c>
      <c r="I80" s="142" t="s">
        <v>167</v>
      </c>
      <c r="J80" s="1" t="s">
        <v>5848</v>
      </c>
      <c r="K80" s="22" t="s">
        <v>5847</v>
      </c>
      <c r="L80" s="527" t="s">
        <v>1826</v>
      </c>
      <c r="M80" s="527" t="s">
        <v>111</v>
      </c>
      <c r="N80" s="526" t="s">
        <v>1131</v>
      </c>
      <c r="O80" s="54" t="s">
        <v>116</v>
      </c>
      <c r="P80" s="527" t="s">
        <v>111</v>
      </c>
      <c r="Q80" s="526" t="s">
        <v>1774</v>
      </c>
      <c r="R80" s="526" t="s">
        <v>1774</v>
      </c>
      <c r="S80" s="24" t="s">
        <v>5852</v>
      </c>
      <c r="T80" s="90" t="s">
        <v>5675</v>
      </c>
      <c r="U80" s="527" t="s">
        <v>2359</v>
      </c>
      <c r="V80" s="527">
        <v>1</v>
      </c>
      <c r="W80" s="24" t="s">
        <v>5473</v>
      </c>
      <c r="X80" s="24" t="s">
        <v>5162</v>
      </c>
      <c r="Y80" s="30"/>
      <c r="Z80" s="30">
        <v>7</v>
      </c>
      <c r="AA80" s="30">
        <v>7</v>
      </c>
      <c r="AB80" s="59"/>
      <c r="AC80" s="59"/>
      <c r="AD80" s="527" t="s">
        <v>1104</v>
      </c>
      <c r="AE80" s="202" t="s">
        <v>1880</v>
      </c>
      <c r="AF80" s="133" t="s">
        <v>1880</v>
      </c>
      <c r="AG80" s="522"/>
    </row>
    <row r="81" spans="1:33" s="11" customFormat="1" ht="26.25" customHeight="1" x14ac:dyDescent="0.15">
      <c r="A81" s="8">
        <v>80</v>
      </c>
      <c r="B81" s="36" t="s">
        <v>5837</v>
      </c>
      <c r="C81" s="71" t="s">
        <v>5856</v>
      </c>
      <c r="D81" s="527" t="s">
        <v>111</v>
      </c>
      <c r="E81" s="527" t="s">
        <v>111</v>
      </c>
      <c r="F81" s="29" t="s">
        <v>5858</v>
      </c>
      <c r="G81" s="53" t="s">
        <v>5859</v>
      </c>
      <c r="H81" s="1" t="s">
        <v>1457</v>
      </c>
      <c r="I81" s="142" t="s">
        <v>167</v>
      </c>
      <c r="J81" s="1" t="s">
        <v>5855</v>
      </c>
      <c r="K81" s="22" t="s">
        <v>5854</v>
      </c>
      <c r="L81" s="22" t="s">
        <v>5478</v>
      </c>
      <c r="M81" s="527" t="s">
        <v>111</v>
      </c>
      <c r="N81" s="526" t="s">
        <v>4676</v>
      </c>
      <c r="O81" s="54" t="s">
        <v>5862</v>
      </c>
      <c r="P81" s="527" t="s">
        <v>111</v>
      </c>
      <c r="Q81" s="526" t="s">
        <v>1774</v>
      </c>
      <c r="R81" s="526" t="s">
        <v>1774</v>
      </c>
      <c r="S81" s="24" t="s">
        <v>5852</v>
      </c>
      <c r="T81" s="90" t="s">
        <v>5675</v>
      </c>
      <c r="U81" s="527" t="s">
        <v>2359</v>
      </c>
      <c r="V81" s="527">
        <v>1</v>
      </c>
      <c r="W81" s="24" t="s">
        <v>448</v>
      </c>
      <c r="X81" s="24" t="s">
        <v>448</v>
      </c>
      <c r="Y81" s="30">
        <v>4.8499999999999996</v>
      </c>
      <c r="Z81" s="30"/>
      <c r="AA81" s="30">
        <v>4.8499999999999996</v>
      </c>
      <c r="AB81" s="59"/>
      <c r="AC81" s="59"/>
      <c r="AD81" s="527" t="s">
        <v>1104</v>
      </c>
      <c r="AE81" s="133" t="s">
        <v>5853</v>
      </c>
      <c r="AF81" s="133" t="s">
        <v>1880</v>
      </c>
      <c r="AG81" s="522"/>
    </row>
    <row r="82" spans="1:33" s="11" customFormat="1" ht="26.25" customHeight="1" x14ac:dyDescent="0.15">
      <c r="A82" s="8">
        <v>81</v>
      </c>
      <c r="B82" s="36" t="s">
        <v>5838</v>
      </c>
      <c r="C82" s="527" t="s">
        <v>111</v>
      </c>
      <c r="D82" s="527" t="s">
        <v>111</v>
      </c>
      <c r="E82" s="527" t="s">
        <v>111</v>
      </c>
      <c r="F82" s="29" t="s">
        <v>5858</v>
      </c>
      <c r="G82" s="53" t="s">
        <v>5860</v>
      </c>
      <c r="H82" s="1" t="s">
        <v>1457</v>
      </c>
      <c r="I82" s="142" t="s">
        <v>167</v>
      </c>
      <c r="J82" s="1" t="s">
        <v>5855</v>
      </c>
      <c r="K82" s="22" t="s">
        <v>5854</v>
      </c>
      <c r="L82" s="22" t="s">
        <v>5478</v>
      </c>
      <c r="M82" s="527" t="s">
        <v>111</v>
      </c>
      <c r="N82" s="526" t="s">
        <v>4676</v>
      </c>
      <c r="O82" s="54" t="s">
        <v>116</v>
      </c>
      <c r="P82" s="527" t="s">
        <v>111</v>
      </c>
      <c r="Q82" s="526" t="s">
        <v>1774</v>
      </c>
      <c r="R82" s="526" t="s">
        <v>1774</v>
      </c>
      <c r="S82" s="24" t="s">
        <v>5852</v>
      </c>
      <c r="T82" s="90" t="s">
        <v>5675</v>
      </c>
      <c r="U82" s="527" t="s">
        <v>2359</v>
      </c>
      <c r="V82" s="527">
        <v>1</v>
      </c>
      <c r="W82" s="24" t="s">
        <v>5473</v>
      </c>
      <c r="X82" s="24" t="s">
        <v>5162</v>
      </c>
      <c r="Y82" s="30"/>
      <c r="Z82" s="30">
        <v>7</v>
      </c>
      <c r="AA82" s="30">
        <v>7</v>
      </c>
      <c r="AB82" s="59"/>
      <c r="AC82" s="59"/>
      <c r="AD82" s="527" t="s">
        <v>1104</v>
      </c>
      <c r="AE82" s="202" t="s">
        <v>1880</v>
      </c>
      <c r="AF82" s="133" t="s">
        <v>1880</v>
      </c>
      <c r="AG82" s="522"/>
    </row>
    <row r="83" spans="1:33" s="11" customFormat="1" ht="26.25" customHeight="1" x14ac:dyDescent="0.15">
      <c r="A83" s="8">
        <v>82</v>
      </c>
      <c r="B83" s="36" t="s">
        <v>5839</v>
      </c>
      <c r="C83" s="71" t="s">
        <v>5857</v>
      </c>
      <c r="D83" s="527" t="s">
        <v>111</v>
      </c>
      <c r="E83" s="527" t="s">
        <v>111</v>
      </c>
      <c r="F83" s="29" t="s">
        <v>5858</v>
      </c>
      <c r="G83" s="53" t="s">
        <v>5861</v>
      </c>
      <c r="H83" s="1" t="s">
        <v>1457</v>
      </c>
      <c r="I83" s="142" t="s">
        <v>167</v>
      </c>
      <c r="J83" s="1" t="s">
        <v>5855</v>
      </c>
      <c r="K83" s="22" t="s">
        <v>5854</v>
      </c>
      <c r="L83" s="22" t="s">
        <v>5478</v>
      </c>
      <c r="M83" s="527" t="s">
        <v>111</v>
      </c>
      <c r="N83" s="526" t="s">
        <v>5863</v>
      </c>
      <c r="O83" s="54" t="s">
        <v>5864</v>
      </c>
      <c r="P83" s="527" t="s">
        <v>111</v>
      </c>
      <c r="Q83" s="526" t="s">
        <v>1774</v>
      </c>
      <c r="R83" s="526" t="s">
        <v>1774</v>
      </c>
      <c r="S83" s="24" t="s">
        <v>5852</v>
      </c>
      <c r="T83" s="90" t="s">
        <v>5675</v>
      </c>
      <c r="U83" s="527" t="s">
        <v>2359</v>
      </c>
      <c r="V83" s="527">
        <v>1</v>
      </c>
      <c r="W83" s="24" t="s">
        <v>448</v>
      </c>
      <c r="X83" s="24" t="s">
        <v>448</v>
      </c>
      <c r="Y83" s="30">
        <v>4.875</v>
      </c>
      <c r="Z83" s="30"/>
      <c r="AA83" s="30">
        <v>4.875</v>
      </c>
      <c r="AB83" s="59"/>
      <c r="AC83" s="59"/>
      <c r="AD83" s="527" t="s">
        <v>1104</v>
      </c>
      <c r="AE83" s="133" t="s">
        <v>5853</v>
      </c>
      <c r="AF83" s="133" t="s">
        <v>1880</v>
      </c>
      <c r="AG83" s="522"/>
    </row>
    <row r="84" spans="1:33" s="11" customFormat="1" ht="26.25" customHeight="1" x14ac:dyDescent="0.15">
      <c r="A84" s="8">
        <v>83</v>
      </c>
      <c r="B84" s="36" t="s">
        <v>5874</v>
      </c>
      <c r="C84" s="206" t="s">
        <v>9208</v>
      </c>
      <c r="D84" s="530" t="s">
        <v>111</v>
      </c>
      <c r="E84" s="530" t="s">
        <v>111</v>
      </c>
      <c r="F84" s="29" t="s">
        <v>5866</v>
      </c>
      <c r="G84" s="53" t="s">
        <v>5867</v>
      </c>
      <c r="H84" s="528" t="s">
        <v>4208</v>
      </c>
      <c r="I84" s="528" t="s">
        <v>4701</v>
      </c>
      <c r="J84" s="528" t="s">
        <v>5868</v>
      </c>
      <c r="K84" s="22" t="s">
        <v>4780</v>
      </c>
      <c r="L84" s="22" t="s">
        <v>5431</v>
      </c>
      <c r="M84" s="530" t="s">
        <v>111</v>
      </c>
      <c r="N84" s="529" t="s">
        <v>1131</v>
      </c>
      <c r="O84" s="54" t="s">
        <v>4753</v>
      </c>
      <c r="P84" s="530" t="s">
        <v>111</v>
      </c>
      <c r="Q84" s="529" t="s">
        <v>1774</v>
      </c>
      <c r="R84" s="529" t="s">
        <v>1774</v>
      </c>
      <c r="S84" s="24" t="s">
        <v>5869</v>
      </c>
      <c r="T84" s="90" t="s">
        <v>5786</v>
      </c>
      <c r="U84" s="530" t="s">
        <v>2359</v>
      </c>
      <c r="V84" s="530">
        <v>1</v>
      </c>
      <c r="W84" s="24" t="s">
        <v>448</v>
      </c>
      <c r="X84" s="24" t="s">
        <v>448</v>
      </c>
      <c r="Y84" s="30">
        <v>4.95</v>
      </c>
      <c r="Z84" s="30"/>
      <c r="AA84" s="30">
        <v>4.95</v>
      </c>
      <c r="AB84" s="59"/>
      <c r="AC84" s="59"/>
      <c r="AD84" s="530" t="s">
        <v>1104</v>
      </c>
      <c r="AE84" s="202" t="s">
        <v>1880</v>
      </c>
      <c r="AF84" s="133" t="s">
        <v>1880</v>
      </c>
      <c r="AG84" s="529"/>
    </row>
    <row r="85" spans="1:33" s="11" customFormat="1" ht="33.75" customHeight="1" x14ac:dyDescent="0.15">
      <c r="A85" s="8">
        <v>84</v>
      </c>
      <c r="B85" s="36" t="s">
        <v>5875</v>
      </c>
      <c r="C85" s="71" t="s">
        <v>5876</v>
      </c>
      <c r="D85" s="530" t="s">
        <v>111</v>
      </c>
      <c r="E85" s="36" t="s">
        <v>6143</v>
      </c>
      <c r="F85" s="29" t="s">
        <v>5870</v>
      </c>
      <c r="G85" s="53" t="s">
        <v>5871</v>
      </c>
      <c r="H85" s="529" t="s">
        <v>3649</v>
      </c>
      <c r="I85" s="529" t="s">
        <v>4750</v>
      </c>
      <c r="J85" s="529" t="s">
        <v>5872</v>
      </c>
      <c r="K85" s="22" t="s">
        <v>4780</v>
      </c>
      <c r="L85" s="22" t="s">
        <v>5431</v>
      </c>
      <c r="M85" s="530" t="s">
        <v>111</v>
      </c>
      <c r="N85" s="529" t="s">
        <v>1131</v>
      </c>
      <c r="O85" s="54" t="s">
        <v>6567</v>
      </c>
      <c r="P85" s="530" t="s">
        <v>111</v>
      </c>
      <c r="Q85" s="529" t="s">
        <v>854</v>
      </c>
      <c r="R85" s="529" t="s">
        <v>854</v>
      </c>
      <c r="S85" s="24" t="s">
        <v>5869</v>
      </c>
      <c r="T85" s="90" t="s">
        <v>5873</v>
      </c>
      <c r="U85" s="24" t="s">
        <v>108</v>
      </c>
      <c r="V85" s="10">
        <v>1</v>
      </c>
      <c r="W85" s="24" t="s">
        <v>5710</v>
      </c>
      <c r="X85" s="24" t="s">
        <v>448</v>
      </c>
      <c r="Y85" s="30">
        <v>49.3</v>
      </c>
      <c r="Z85" s="30"/>
      <c r="AA85" s="30">
        <v>49.3</v>
      </c>
      <c r="AB85" s="59"/>
      <c r="AC85" s="59"/>
      <c r="AD85" s="530" t="s">
        <v>1104</v>
      </c>
      <c r="AE85" s="133" t="s">
        <v>5951</v>
      </c>
      <c r="AF85" s="133" t="s">
        <v>1880</v>
      </c>
      <c r="AG85" s="529"/>
    </row>
    <row r="86" spans="1:33" s="11" customFormat="1" ht="26.25" customHeight="1" x14ac:dyDescent="0.15">
      <c r="A86" s="8">
        <v>85</v>
      </c>
      <c r="B86" s="36" t="s">
        <v>5877</v>
      </c>
      <c r="C86" s="532" t="s">
        <v>111</v>
      </c>
      <c r="D86" s="532" t="s">
        <v>111</v>
      </c>
      <c r="E86" s="532" t="s">
        <v>111</v>
      </c>
      <c r="F86" s="151" t="s">
        <v>3611</v>
      </c>
      <c r="G86" s="54" t="s">
        <v>5887</v>
      </c>
      <c r="H86" s="532" t="s">
        <v>2135</v>
      </c>
      <c r="I86" s="532" t="s">
        <v>2533</v>
      </c>
      <c r="J86" s="531" t="s">
        <v>1010</v>
      </c>
      <c r="K86" s="2" t="s">
        <v>1011</v>
      </c>
      <c r="L86" s="532" t="s">
        <v>1826</v>
      </c>
      <c r="M86" s="532" t="s">
        <v>111</v>
      </c>
      <c r="N86" s="22" t="s">
        <v>454</v>
      </c>
      <c r="O86" s="54" t="s">
        <v>1819</v>
      </c>
      <c r="P86" s="532" t="s">
        <v>111</v>
      </c>
      <c r="Q86" s="532" t="s">
        <v>1831</v>
      </c>
      <c r="R86" s="532" t="s">
        <v>1831</v>
      </c>
      <c r="S86" s="532" t="s">
        <v>5888</v>
      </c>
      <c r="T86" s="130" t="s">
        <v>5889</v>
      </c>
      <c r="U86" s="532" t="s">
        <v>2359</v>
      </c>
      <c r="V86" s="532">
        <v>1</v>
      </c>
      <c r="W86" s="532" t="s">
        <v>5032</v>
      </c>
      <c r="X86" s="532" t="s">
        <v>5890</v>
      </c>
      <c r="Y86" s="150"/>
      <c r="Z86" s="150">
        <v>7</v>
      </c>
      <c r="AA86" s="150">
        <v>7</v>
      </c>
      <c r="AB86" s="701"/>
      <c r="AC86" s="701"/>
      <c r="AD86" s="532" t="s">
        <v>1104</v>
      </c>
      <c r="AE86" s="202" t="s">
        <v>1880</v>
      </c>
      <c r="AF86" s="133" t="s">
        <v>1880</v>
      </c>
      <c r="AG86" s="531"/>
    </row>
    <row r="87" spans="1:33" s="11" customFormat="1" ht="55.5" customHeight="1" x14ac:dyDescent="0.15">
      <c r="A87" s="8">
        <v>86</v>
      </c>
      <c r="B87" s="36" t="s">
        <v>5878</v>
      </c>
      <c r="C87" s="532" t="s">
        <v>111</v>
      </c>
      <c r="D87" s="532" t="s">
        <v>111</v>
      </c>
      <c r="E87" s="532" t="s">
        <v>111</v>
      </c>
      <c r="F87" s="151" t="s">
        <v>3612</v>
      </c>
      <c r="G87" s="54" t="s">
        <v>5891</v>
      </c>
      <c r="H87" s="532" t="s">
        <v>2135</v>
      </c>
      <c r="I87" s="532" t="s">
        <v>2533</v>
      </c>
      <c r="J87" s="21" t="s">
        <v>3667</v>
      </c>
      <c r="K87" s="531" t="s">
        <v>3668</v>
      </c>
      <c r="L87" s="532" t="s">
        <v>1826</v>
      </c>
      <c r="M87" s="532" t="s">
        <v>111</v>
      </c>
      <c r="N87" s="22" t="s">
        <v>454</v>
      </c>
      <c r="O87" s="54" t="s">
        <v>851</v>
      </c>
      <c r="P87" s="532" t="s">
        <v>111</v>
      </c>
      <c r="Q87" s="532" t="s">
        <v>1831</v>
      </c>
      <c r="R87" s="532" t="s">
        <v>1831</v>
      </c>
      <c r="S87" s="532" t="s">
        <v>5888</v>
      </c>
      <c r="T87" s="130" t="s">
        <v>5889</v>
      </c>
      <c r="U87" s="532" t="s">
        <v>2359</v>
      </c>
      <c r="V87" s="532">
        <v>1</v>
      </c>
      <c r="W87" s="532" t="s">
        <v>5032</v>
      </c>
      <c r="X87" s="532" t="s">
        <v>5890</v>
      </c>
      <c r="Y87" s="150"/>
      <c r="Z87" s="150">
        <v>7</v>
      </c>
      <c r="AA87" s="150">
        <v>7</v>
      </c>
      <c r="AB87" s="701"/>
      <c r="AC87" s="701"/>
      <c r="AD87" s="532" t="s">
        <v>1104</v>
      </c>
      <c r="AE87" s="202" t="s">
        <v>1880</v>
      </c>
      <c r="AF87" s="133" t="s">
        <v>1880</v>
      </c>
      <c r="AG87" s="531"/>
    </row>
    <row r="88" spans="1:33" s="11" customFormat="1" ht="26.25" customHeight="1" x14ac:dyDescent="0.15">
      <c r="A88" s="8">
        <v>87</v>
      </c>
      <c r="B88" s="36" t="s">
        <v>5879</v>
      </c>
      <c r="C88" s="532" t="s">
        <v>111</v>
      </c>
      <c r="D88" s="532" t="s">
        <v>111</v>
      </c>
      <c r="E88" s="532" t="s">
        <v>111</v>
      </c>
      <c r="F88" s="54" t="s">
        <v>3613</v>
      </c>
      <c r="G88" s="54" t="s">
        <v>5892</v>
      </c>
      <c r="H88" s="532" t="s">
        <v>2135</v>
      </c>
      <c r="I88" s="532" t="s">
        <v>2533</v>
      </c>
      <c r="J88" s="21" t="s">
        <v>3636</v>
      </c>
      <c r="K88" s="532" t="s">
        <v>3637</v>
      </c>
      <c r="L88" s="532" t="s">
        <v>2142</v>
      </c>
      <c r="M88" s="532" t="s">
        <v>111</v>
      </c>
      <c r="N88" s="22" t="s">
        <v>575</v>
      </c>
      <c r="O88" s="54" t="s">
        <v>851</v>
      </c>
      <c r="P88" s="532" t="s">
        <v>111</v>
      </c>
      <c r="Q88" s="532" t="s">
        <v>1831</v>
      </c>
      <c r="R88" s="532" t="s">
        <v>1831</v>
      </c>
      <c r="S88" s="532" t="s">
        <v>5888</v>
      </c>
      <c r="T88" s="130" t="s">
        <v>5889</v>
      </c>
      <c r="U88" s="532" t="s">
        <v>2359</v>
      </c>
      <c r="V88" s="532">
        <v>1</v>
      </c>
      <c r="W88" s="532" t="s">
        <v>5032</v>
      </c>
      <c r="X88" s="532" t="s">
        <v>5890</v>
      </c>
      <c r="Y88" s="150"/>
      <c r="Z88" s="150">
        <v>7</v>
      </c>
      <c r="AA88" s="150">
        <v>7</v>
      </c>
      <c r="AB88" s="701"/>
      <c r="AC88" s="701"/>
      <c r="AD88" s="532" t="s">
        <v>1104</v>
      </c>
      <c r="AE88" s="202" t="s">
        <v>1880</v>
      </c>
      <c r="AF88" s="133" t="s">
        <v>1880</v>
      </c>
      <c r="AG88" s="531"/>
    </row>
    <row r="89" spans="1:33" s="11" customFormat="1" ht="26.25" customHeight="1" x14ac:dyDescent="0.15">
      <c r="A89" s="8">
        <v>88</v>
      </c>
      <c r="B89" s="36" t="s">
        <v>5880</v>
      </c>
      <c r="C89" s="532" t="s">
        <v>111</v>
      </c>
      <c r="D89" s="532" t="s">
        <v>111</v>
      </c>
      <c r="E89" s="532" t="s">
        <v>111</v>
      </c>
      <c r="F89" s="151" t="s">
        <v>3614</v>
      </c>
      <c r="G89" s="54" t="s">
        <v>5893</v>
      </c>
      <c r="H89" s="532" t="s">
        <v>2135</v>
      </c>
      <c r="I89" s="532" t="s">
        <v>2533</v>
      </c>
      <c r="J89" s="21" t="s">
        <v>3634</v>
      </c>
      <c r="K89" s="532" t="s">
        <v>3635</v>
      </c>
      <c r="L89" s="532" t="s">
        <v>1826</v>
      </c>
      <c r="M89" s="532" t="s">
        <v>111</v>
      </c>
      <c r="N89" s="22" t="s">
        <v>454</v>
      </c>
      <c r="O89" s="54" t="s">
        <v>851</v>
      </c>
      <c r="P89" s="532" t="s">
        <v>111</v>
      </c>
      <c r="Q89" s="532" t="s">
        <v>1831</v>
      </c>
      <c r="R89" s="532" t="s">
        <v>1831</v>
      </c>
      <c r="S89" s="532" t="s">
        <v>5888</v>
      </c>
      <c r="T89" s="130" t="s">
        <v>5889</v>
      </c>
      <c r="U89" s="532" t="s">
        <v>2359</v>
      </c>
      <c r="V89" s="532">
        <v>1</v>
      </c>
      <c r="W89" s="532" t="s">
        <v>5032</v>
      </c>
      <c r="X89" s="532" t="s">
        <v>5890</v>
      </c>
      <c r="Y89" s="150"/>
      <c r="Z89" s="150">
        <v>7</v>
      </c>
      <c r="AA89" s="150">
        <v>7</v>
      </c>
      <c r="AB89" s="701"/>
      <c r="AC89" s="701"/>
      <c r="AD89" s="532" t="s">
        <v>1104</v>
      </c>
      <c r="AE89" s="202" t="s">
        <v>1880</v>
      </c>
      <c r="AF89" s="133" t="s">
        <v>1880</v>
      </c>
      <c r="AG89" s="531"/>
    </row>
    <row r="90" spans="1:33" s="11" customFormat="1" ht="66" customHeight="1" x14ac:dyDescent="0.15">
      <c r="A90" s="8">
        <v>89</v>
      </c>
      <c r="B90" s="36" t="s">
        <v>5881</v>
      </c>
      <c r="C90" s="532" t="s">
        <v>111</v>
      </c>
      <c r="D90" s="532" t="s">
        <v>111</v>
      </c>
      <c r="E90" s="532" t="s">
        <v>111</v>
      </c>
      <c r="F90" s="151" t="s">
        <v>3615</v>
      </c>
      <c r="G90" s="54" t="s">
        <v>5894</v>
      </c>
      <c r="H90" s="532" t="s">
        <v>2135</v>
      </c>
      <c r="I90" s="532" t="s">
        <v>2533</v>
      </c>
      <c r="J90" s="44" t="s">
        <v>3644</v>
      </c>
      <c r="K90" s="71" t="s">
        <v>3633</v>
      </c>
      <c r="L90" s="532" t="s">
        <v>1826</v>
      </c>
      <c r="M90" s="532" t="s">
        <v>111</v>
      </c>
      <c r="N90" s="22" t="s">
        <v>454</v>
      </c>
      <c r="O90" s="54" t="s">
        <v>851</v>
      </c>
      <c r="P90" s="532" t="s">
        <v>111</v>
      </c>
      <c r="Q90" s="532" t="s">
        <v>1831</v>
      </c>
      <c r="R90" s="532" t="s">
        <v>1831</v>
      </c>
      <c r="S90" s="532" t="s">
        <v>5888</v>
      </c>
      <c r="T90" s="130" t="s">
        <v>5889</v>
      </c>
      <c r="U90" s="532" t="s">
        <v>2359</v>
      </c>
      <c r="V90" s="532">
        <v>1</v>
      </c>
      <c r="W90" s="532" t="s">
        <v>5032</v>
      </c>
      <c r="X90" s="532" t="s">
        <v>5890</v>
      </c>
      <c r="Y90" s="150"/>
      <c r="Z90" s="150">
        <v>7</v>
      </c>
      <c r="AA90" s="150">
        <v>7</v>
      </c>
      <c r="AB90" s="701"/>
      <c r="AC90" s="701"/>
      <c r="AD90" s="532" t="s">
        <v>1104</v>
      </c>
      <c r="AE90" s="202" t="s">
        <v>1880</v>
      </c>
      <c r="AF90" s="133" t="s">
        <v>1880</v>
      </c>
      <c r="AG90" s="531"/>
    </row>
    <row r="91" spans="1:33" s="11" customFormat="1" ht="26.25" customHeight="1" x14ac:dyDescent="0.15">
      <c r="A91" s="8">
        <v>90</v>
      </c>
      <c r="B91" s="36" t="s">
        <v>5882</v>
      </c>
      <c r="C91" s="532" t="s">
        <v>111</v>
      </c>
      <c r="D91" s="532" t="s">
        <v>111</v>
      </c>
      <c r="E91" s="532" t="s">
        <v>111</v>
      </c>
      <c r="F91" s="151" t="s">
        <v>3614</v>
      </c>
      <c r="G91" s="54" t="s">
        <v>5895</v>
      </c>
      <c r="H91" s="532" t="s">
        <v>2135</v>
      </c>
      <c r="I91" s="532" t="s">
        <v>2533</v>
      </c>
      <c r="J91" s="21" t="s">
        <v>3631</v>
      </c>
      <c r="K91" s="532" t="s">
        <v>3632</v>
      </c>
      <c r="L91" s="532" t="s">
        <v>2142</v>
      </c>
      <c r="M91" s="532" t="s">
        <v>111</v>
      </c>
      <c r="N91" s="22" t="s">
        <v>575</v>
      </c>
      <c r="O91" s="54" t="s">
        <v>851</v>
      </c>
      <c r="P91" s="532" t="s">
        <v>111</v>
      </c>
      <c r="Q91" s="532" t="s">
        <v>1831</v>
      </c>
      <c r="R91" s="532" t="s">
        <v>1831</v>
      </c>
      <c r="S91" s="532" t="s">
        <v>5888</v>
      </c>
      <c r="T91" s="130" t="s">
        <v>5889</v>
      </c>
      <c r="U91" s="532" t="s">
        <v>2359</v>
      </c>
      <c r="V91" s="532">
        <v>1</v>
      </c>
      <c r="W91" s="532" t="s">
        <v>5032</v>
      </c>
      <c r="X91" s="532" t="s">
        <v>5890</v>
      </c>
      <c r="Y91" s="150"/>
      <c r="Z91" s="150">
        <v>7</v>
      </c>
      <c r="AA91" s="150">
        <v>7</v>
      </c>
      <c r="AB91" s="701"/>
      <c r="AC91" s="701"/>
      <c r="AD91" s="532" t="s">
        <v>1104</v>
      </c>
      <c r="AE91" s="202" t="s">
        <v>1880</v>
      </c>
      <c r="AF91" s="133" t="s">
        <v>1880</v>
      </c>
      <c r="AG91" s="531"/>
    </row>
    <row r="92" spans="1:33" s="11" customFormat="1" ht="26.25" customHeight="1" x14ac:dyDescent="0.15">
      <c r="A92" s="8">
        <v>91</v>
      </c>
      <c r="B92" s="36" t="s">
        <v>5883</v>
      </c>
      <c r="C92" s="532" t="s">
        <v>111</v>
      </c>
      <c r="D92" s="532" t="s">
        <v>111</v>
      </c>
      <c r="E92" s="532" t="s">
        <v>111</v>
      </c>
      <c r="F92" s="151" t="s">
        <v>3614</v>
      </c>
      <c r="G92" s="54" t="s">
        <v>5896</v>
      </c>
      <c r="H92" s="532" t="s">
        <v>2135</v>
      </c>
      <c r="I92" s="532" t="s">
        <v>2533</v>
      </c>
      <c r="J92" s="21" t="s">
        <v>3630</v>
      </c>
      <c r="K92" s="2" t="s">
        <v>1018</v>
      </c>
      <c r="L92" s="532" t="s">
        <v>2142</v>
      </c>
      <c r="M92" s="532" t="s">
        <v>111</v>
      </c>
      <c r="N92" s="22" t="s">
        <v>575</v>
      </c>
      <c r="O92" s="54" t="s">
        <v>851</v>
      </c>
      <c r="P92" s="532" t="s">
        <v>111</v>
      </c>
      <c r="Q92" s="532" t="s">
        <v>1831</v>
      </c>
      <c r="R92" s="532" t="s">
        <v>1831</v>
      </c>
      <c r="S92" s="532" t="s">
        <v>5888</v>
      </c>
      <c r="T92" s="130" t="s">
        <v>5889</v>
      </c>
      <c r="U92" s="532" t="s">
        <v>2359</v>
      </c>
      <c r="V92" s="532">
        <v>1</v>
      </c>
      <c r="W92" s="532" t="s">
        <v>5032</v>
      </c>
      <c r="X92" s="532" t="s">
        <v>5890</v>
      </c>
      <c r="Y92" s="150"/>
      <c r="Z92" s="150">
        <v>7</v>
      </c>
      <c r="AA92" s="150">
        <v>7</v>
      </c>
      <c r="AB92" s="701"/>
      <c r="AC92" s="701"/>
      <c r="AD92" s="532" t="s">
        <v>1104</v>
      </c>
      <c r="AE92" s="202" t="s">
        <v>1880</v>
      </c>
      <c r="AF92" s="133" t="s">
        <v>1880</v>
      </c>
      <c r="AG92" s="531"/>
    </row>
    <row r="93" spans="1:33" s="11" customFormat="1" ht="26.25" customHeight="1" x14ac:dyDescent="0.15">
      <c r="A93" s="8">
        <v>92</v>
      </c>
      <c r="B93" s="36" t="s">
        <v>5884</v>
      </c>
      <c r="C93" s="532" t="s">
        <v>111</v>
      </c>
      <c r="D93" s="532" t="s">
        <v>111</v>
      </c>
      <c r="E93" s="532" t="s">
        <v>111</v>
      </c>
      <c r="F93" s="151" t="s">
        <v>3616</v>
      </c>
      <c r="G93" s="54" t="s">
        <v>5897</v>
      </c>
      <c r="H93" s="532" t="s">
        <v>2135</v>
      </c>
      <c r="I93" s="532" t="s">
        <v>2533</v>
      </c>
      <c r="J93" s="21" t="s">
        <v>3629</v>
      </c>
      <c r="K93" s="71" t="s">
        <v>3645</v>
      </c>
      <c r="L93" s="532" t="s">
        <v>2142</v>
      </c>
      <c r="M93" s="532" t="s">
        <v>111</v>
      </c>
      <c r="N93" s="22" t="s">
        <v>575</v>
      </c>
      <c r="O93" s="54" t="s">
        <v>851</v>
      </c>
      <c r="P93" s="532" t="s">
        <v>111</v>
      </c>
      <c r="Q93" s="532" t="s">
        <v>1831</v>
      </c>
      <c r="R93" s="532" t="s">
        <v>1831</v>
      </c>
      <c r="S93" s="532" t="s">
        <v>5888</v>
      </c>
      <c r="T93" s="130" t="s">
        <v>5889</v>
      </c>
      <c r="U93" s="532" t="s">
        <v>2359</v>
      </c>
      <c r="V93" s="532">
        <v>1</v>
      </c>
      <c r="W93" s="532" t="s">
        <v>5032</v>
      </c>
      <c r="X93" s="532" t="s">
        <v>5890</v>
      </c>
      <c r="Y93" s="150"/>
      <c r="Z93" s="150">
        <v>7</v>
      </c>
      <c r="AA93" s="150">
        <v>7</v>
      </c>
      <c r="AB93" s="701"/>
      <c r="AC93" s="701"/>
      <c r="AD93" s="532" t="s">
        <v>1104</v>
      </c>
      <c r="AE93" s="202" t="s">
        <v>1880</v>
      </c>
      <c r="AF93" s="133" t="s">
        <v>1880</v>
      </c>
      <c r="AG93" s="531"/>
    </row>
    <row r="94" spans="1:33" s="11" customFormat="1" ht="26.25" customHeight="1" x14ac:dyDescent="0.15">
      <c r="A94" s="8">
        <v>93</v>
      </c>
      <c r="B94" s="36" t="s">
        <v>5885</v>
      </c>
      <c r="C94" s="532" t="s">
        <v>111</v>
      </c>
      <c r="D94" s="532" t="s">
        <v>111</v>
      </c>
      <c r="E94" s="532" t="s">
        <v>111</v>
      </c>
      <c r="F94" s="54" t="s">
        <v>3617</v>
      </c>
      <c r="G94" s="54" t="s">
        <v>5898</v>
      </c>
      <c r="H94" s="532" t="s">
        <v>2135</v>
      </c>
      <c r="I94" s="532" t="s">
        <v>2533</v>
      </c>
      <c r="J94" s="21" t="s">
        <v>5900</v>
      </c>
      <c r="K94" s="532" t="s">
        <v>4780</v>
      </c>
      <c r="L94" s="532" t="s">
        <v>1826</v>
      </c>
      <c r="M94" s="532" t="s">
        <v>111</v>
      </c>
      <c r="N94" s="22" t="s">
        <v>454</v>
      </c>
      <c r="O94" s="54" t="s">
        <v>851</v>
      </c>
      <c r="P94" s="532" t="s">
        <v>111</v>
      </c>
      <c r="Q94" s="532" t="s">
        <v>1831</v>
      </c>
      <c r="R94" s="532" t="s">
        <v>1831</v>
      </c>
      <c r="S94" s="532" t="s">
        <v>5888</v>
      </c>
      <c r="T94" s="130" t="s">
        <v>5889</v>
      </c>
      <c r="U94" s="532" t="s">
        <v>2359</v>
      </c>
      <c r="V94" s="532">
        <v>1</v>
      </c>
      <c r="W94" s="532" t="s">
        <v>5032</v>
      </c>
      <c r="X94" s="532" t="s">
        <v>5890</v>
      </c>
      <c r="Y94" s="150"/>
      <c r="Z94" s="150">
        <v>7</v>
      </c>
      <c r="AA94" s="150">
        <v>7</v>
      </c>
      <c r="AB94" s="701"/>
      <c r="AC94" s="701"/>
      <c r="AD94" s="532" t="s">
        <v>1104</v>
      </c>
      <c r="AE94" s="202" t="s">
        <v>1880</v>
      </c>
      <c r="AF94" s="133" t="s">
        <v>1880</v>
      </c>
      <c r="AG94" s="531"/>
    </row>
    <row r="95" spans="1:33" s="11" customFormat="1" ht="26.25" customHeight="1" x14ac:dyDescent="0.15">
      <c r="A95" s="8">
        <v>94</v>
      </c>
      <c r="B95" s="36" t="s">
        <v>5886</v>
      </c>
      <c r="C95" s="532" t="s">
        <v>111</v>
      </c>
      <c r="D95" s="532" t="s">
        <v>111</v>
      </c>
      <c r="E95" s="532" t="s">
        <v>111</v>
      </c>
      <c r="F95" s="54" t="s">
        <v>3617</v>
      </c>
      <c r="G95" s="54" t="s">
        <v>5899</v>
      </c>
      <c r="H95" s="532" t="s">
        <v>2135</v>
      </c>
      <c r="I95" s="532" t="s">
        <v>2533</v>
      </c>
      <c r="J95" s="532" t="s">
        <v>4587</v>
      </c>
      <c r="K95" s="532" t="s">
        <v>4780</v>
      </c>
      <c r="L95" s="532" t="s">
        <v>1826</v>
      </c>
      <c r="M95" s="532" t="s">
        <v>111</v>
      </c>
      <c r="N95" s="22" t="s">
        <v>454</v>
      </c>
      <c r="O95" s="54" t="s">
        <v>851</v>
      </c>
      <c r="P95" s="532" t="s">
        <v>111</v>
      </c>
      <c r="Q95" s="532" t="s">
        <v>1831</v>
      </c>
      <c r="R95" s="532" t="s">
        <v>1831</v>
      </c>
      <c r="S95" s="532" t="s">
        <v>5888</v>
      </c>
      <c r="T95" s="130" t="s">
        <v>5889</v>
      </c>
      <c r="U95" s="532" t="s">
        <v>2359</v>
      </c>
      <c r="V95" s="532">
        <v>1</v>
      </c>
      <c r="W95" s="532" t="s">
        <v>5032</v>
      </c>
      <c r="X95" s="532" t="s">
        <v>5890</v>
      </c>
      <c r="Y95" s="150"/>
      <c r="Z95" s="150">
        <v>7</v>
      </c>
      <c r="AA95" s="150">
        <v>7</v>
      </c>
      <c r="AB95" s="701"/>
      <c r="AC95" s="701"/>
      <c r="AD95" s="532" t="s">
        <v>1104</v>
      </c>
      <c r="AE95" s="202" t="s">
        <v>1880</v>
      </c>
      <c r="AF95" s="133" t="s">
        <v>1880</v>
      </c>
      <c r="AG95" s="531"/>
    </row>
    <row r="96" spans="1:33" s="11" customFormat="1" ht="26.25" customHeight="1" x14ac:dyDescent="0.15">
      <c r="A96" s="8">
        <v>95</v>
      </c>
      <c r="B96" s="36" t="s">
        <v>5906</v>
      </c>
      <c r="C96" s="534" t="s">
        <v>111</v>
      </c>
      <c r="D96" s="534" t="s">
        <v>111</v>
      </c>
      <c r="E96" s="534" t="s">
        <v>111</v>
      </c>
      <c r="F96" s="29" t="s">
        <v>5901</v>
      </c>
      <c r="G96" s="53" t="s">
        <v>5902</v>
      </c>
      <c r="H96" s="534" t="s">
        <v>1881</v>
      </c>
      <c r="I96" s="534" t="s">
        <v>2437</v>
      </c>
      <c r="J96" s="534" t="s">
        <v>5905</v>
      </c>
      <c r="K96" s="22" t="s">
        <v>1951</v>
      </c>
      <c r="L96" s="534" t="s">
        <v>1826</v>
      </c>
      <c r="M96" s="534" t="s">
        <v>111</v>
      </c>
      <c r="N96" s="534" t="s">
        <v>1818</v>
      </c>
      <c r="O96" s="151" t="s">
        <v>1819</v>
      </c>
      <c r="P96" s="22" t="s">
        <v>1880</v>
      </c>
      <c r="Q96" s="221" t="s">
        <v>3248</v>
      </c>
      <c r="R96" s="533" t="s">
        <v>3248</v>
      </c>
      <c r="S96" s="24" t="s">
        <v>5888</v>
      </c>
      <c r="T96" s="90" t="s">
        <v>4446</v>
      </c>
      <c r="U96" s="534" t="s">
        <v>2359</v>
      </c>
      <c r="V96" s="534">
        <v>1</v>
      </c>
      <c r="W96" s="366" t="s">
        <v>5903</v>
      </c>
      <c r="X96" s="211" t="s">
        <v>5904</v>
      </c>
      <c r="Y96" s="30"/>
      <c r="Z96" s="30">
        <v>5.2</v>
      </c>
      <c r="AA96" s="30">
        <v>5.2</v>
      </c>
      <c r="AB96" s="59"/>
      <c r="AC96" s="59"/>
      <c r="AD96" s="35" t="s">
        <v>1104</v>
      </c>
      <c r="AE96" s="202" t="s">
        <v>19</v>
      </c>
      <c r="AF96" s="35" t="s">
        <v>1880</v>
      </c>
      <c r="AG96" s="531"/>
    </row>
    <row r="97" spans="1:33" s="11" customFormat="1" ht="26.25" customHeight="1" x14ac:dyDescent="0.15">
      <c r="A97" s="8">
        <v>96</v>
      </c>
      <c r="B97" s="36" t="s">
        <v>5917</v>
      </c>
      <c r="C97" s="71" t="s">
        <v>5919</v>
      </c>
      <c r="D97" s="537" t="s">
        <v>111</v>
      </c>
      <c r="E97" s="36" t="s">
        <v>5920</v>
      </c>
      <c r="F97" s="29" t="s">
        <v>5911</v>
      </c>
      <c r="G97" s="53" t="s">
        <v>5918</v>
      </c>
      <c r="H97" s="536" t="s">
        <v>4195</v>
      </c>
      <c r="I97" s="536" t="s">
        <v>4196</v>
      </c>
      <c r="J97" s="536" t="s">
        <v>5912</v>
      </c>
      <c r="K97" s="22" t="s">
        <v>4780</v>
      </c>
      <c r="L97" s="22" t="s">
        <v>5431</v>
      </c>
      <c r="M97" s="537" t="s">
        <v>111</v>
      </c>
      <c r="N97" s="537" t="s">
        <v>1818</v>
      </c>
      <c r="O97" s="54" t="s">
        <v>2210</v>
      </c>
      <c r="P97" s="22" t="s">
        <v>1880</v>
      </c>
      <c r="Q97" s="535" t="s">
        <v>1894</v>
      </c>
      <c r="R97" s="535" t="s">
        <v>1894</v>
      </c>
      <c r="S97" s="24" t="s">
        <v>5913</v>
      </c>
      <c r="T97" s="90" t="s">
        <v>5852</v>
      </c>
      <c r="U97" s="537" t="s">
        <v>2359</v>
      </c>
      <c r="V97" s="537">
        <v>1</v>
      </c>
      <c r="W97" s="24" t="s">
        <v>448</v>
      </c>
      <c r="X97" s="24" t="s">
        <v>448</v>
      </c>
      <c r="Y97" s="30">
        <v>25.77</v>
      </c>
      <c r="Z97" s="30"/>
      <c r="AA97" s="30">
        <v>25.77</v>
      </c>
      <c r="AB97" s="59"/>
      <c r="AC97" s="59"/>
      <c r="AD97" s="35" t="s">
        <v>1104</v>
      </c>
      <c r="AE97" s="202" t="s">
        <v>19</v>
      </c>
      <c r="AF97" s="35" t="s">
        <v>1880</v>
      </c>
      <c r="AG97" s="535" t="s">
        <v>6122</v>
      </c>
    </row>
    <row r="98" spans="1:33" s="11" customFormat="1" ht="26.25" customHeight="1" x14ac:dyDescent="0.15">
      <c r="A98" s="8">
        <v>97</v>
      </c>
      <c r="B98" s="36" t="s">
        <v>5908</v>
      </c>
      <c r="C98" s="537" t="s">
        <v>111</v>
      </c>
      <c r="D98" s="537" t="s">
        <v>111</v>
      </c>
      <c r="E98" s="537" t="s">
        <v>111</v>
      </c>
      <c r="F98" s="54" t="s">
        <v>2010</v>
      </c>
      <c r="G98" s="54" t="s">
        <v>4015</v>
      </c>
      <c r="H98" s="1" t="s">
        <v>1460</v>
      </c>
      <c r="I98" s="142" t="s">
        <v>4016</v>
      </c>
      <c r="J98" s="329" t="s">
        <v>4017</v>
      </c>
      <c r="K98" s="330" t="s">
        <v>4018</v>
      </c>
      <c r="L98" s="537" t="s">
        <v>1826</v>
      </c>
      <c r="M98" s="537" t="s">
        <v>111</v>
      </c>
      <c r="N98" s="537" t="s">
        <v>1818</v>
      </c>
      <c r="O98" s="151" t="s">
        <v>1819</v>
      </c>
      <c r="P98" s="537" t="s">
        <v>111</v>
      </c>
      <c r="Q98" s="536" t="s">
        <v>3248</v>
      </c>
      <c r="R98" s="536" t="s">
        <v>3248</v>
      </c>
      <c r="S98" s="24" t="s">
        <v>5921</v>
      </c>
      <c r="T98" s="90" t="s">
        <v>5914</v>
      </c>
      <c r="U98" s="537" t="s">
        <v>2359</v>
      </c>
      <c r="V98" s="537">
        <v>2</v>
      </c>
      <c r="W98" s="223" t="s">
        <v>5915</v>
      </c>
      <c r="X98" s="223" t="s">
        <v>5916</v>
      </c>
      <c r="Y98" s="30"/>
      <c r="Z98" s="30">
        <v>3</v>
      </c>
      <c r="AA98" s="30">
        <v>3</v>
      </c>
      <c r="AB98" s="59"/>
      <c r="AC98" s="59"/>
      <c r="AD98" s="537" t="s">
        <v>1104</v>
      </c>
      <c r="AE98" s="202" t="s">
        <v>1880</v>
      </c>
      <c r="AF98" s="133" t="s">
        <v>1880</v>
      </c>
      <c r="AG98" s="535"/>
    </row>
    <row r="99" spans="1:33" s="11" customFormat="1" ht="26.25" customHeight="1" x14ac:dyDescent="0.15">
      <c r="A99" s="8">
        <v>98</v>
      </c>
      <c r="B99" s="36" t="s">
        <v>5909</v>
      </c>
      <c r="C99" s="537" t="s">
        <v>111</v>
      </c>
      <c r="D99" s="537" t="s">
        <v>111</v>
      </c>
      <c r="E99" s="537" t="s">
        <v>111</v>
      </c>
      <c r="F99" s="151" t="s">
        <v>2018</v>
      </c>
      <c r="G99" s="54" t="s">
        <v>4026</v>
      </c>
      <c r="H99" s="1" t="s">
        <v>1460</v>
      </c>
      <c r="I99" s="142" t="s">
        <v>4016</v>
      </c>
      <c r="J99" s="329" t="s">
        <v>4027</v>
      </c>
      <c r="K99" s="330" t="s">
        <v>4028</v>
      </c>
      <c r="L99" s="537" t="s">
        <v>1826</v>
      </c>
      <c r="M99" s="537" t="s">
        <v>111</v>
      </c>
      <c r="N99" s="537" t="s">
        <v>1818</v>
      </c>
      <c r="O99" s="151" t="s">
        <v>1819</v>
      </c>
      <c r="P99" s="537" t="s">
        <v>111</v>
      </c>
      <c r="Q99" s="536" t="s">
        <v>3248</v>
      </c>
      <c r="R99" s="536" t="s">
        <v>3248</v>
      </c>
      <c r="S99" s="24" t="s">
        <v>5921</v>
      </c>
      <c r="T99" s="90" t="s">
        <v>5914</v>
      </c>
      <c r="U99" s="537" t="s">
        <v>2359</v>
      </c>
      <c r="V99" s="537">
        <v>2</v>
      </c>
      <c r="W99" s="223" t="s">
        <v>5915</v>
      </c>
      <c r="X99" s="223" t="s">
        <v>5916</v>
      </c>
      <c r="Y99" s="30"/>
      <c r="Z99" s="30">
        <v>3</v>
      </c>
      <c r="AA99" s="30">
        <v>3</v>
      </c>
      <c r="AB99" s="59"/>
      <c r="AC99" s="59"/>
      <c r="AD99" s="537" t="s">
        <v>1104</v>
      </c>
      <c r="AE99" s="202" t="s">
        <v>1880</v>
      </c>
      <c r="AF99" s="133" t="s">
        <v>1880</v>
      </c>
      <c r="AG99" s="522"/>
    </row>
    <row r="100" spans="1:33" s="11" customFormat="1" ht="26.25" customHeight="1" x14ac:dyDescent="0.15">
      <c r="A100" s="8">
        <v>99</v>
      </c>
      <c r="B100" s="36" t="s">
        <v>5910</v>
      </c>
      <c r="C100" s="537" t="s">
        <v>111</v>
      </c>
      <c r="D100" s="537" t="s">
        <v>111</v>
      </c>
      <c r="E100" s="537" t="s">
        <v>111</v>
      </c>
      <c r="F100" s="54" t="s">
        <v>2020</v>
      </c>
      <c r="G100" s="54" t="s">
        <v>4029</v>
      </c>
      <c r="H100" s="1" t="s">
        <v>1460</v>
      </c>
      <c r="I100" s="142" t="s">
        <v>4016</v>
      </c>
      <c r="J100" s="329" t="s">
        <v>4030</v>
      </c>
      <c r="K100" s="330" t="s">
        <v>4031</v>
      </c>
      <c r="L100" s="537" t="s">
        <v>1826</v>
      </c>
      <c r="M100" s="537" t="s">
        <v>111</v>
      </c>
      <c r="N100" s="537" t="s">
        <v>1818</v>
      </c>
      <c r="O100" s="151" t="s">
        <v>1819</v>
      </c>
      <c r="P100" s="537" t="s">
        <v>111</v>
      </c>
      <c r="Q100" s="536" t="s">
        <v>3248</v>
      </c>
      <c r="R100" s="536" t="s">
        <v>3248</v>
      </c>
      <c r="S100" s="24" t="s">
        <v>5921</v>
      </c>
      <c r="T100" s="90" t="s">
        <v>5914</v>
      </c>
      <c r="U100" s="537" t="s">
        <v>2359</v>
      </c>
      <c r="V100" s="537">
        <v>2</v>
      </c>
      <c r="W100" s="223" t="s">
        <v>5915</v>
      </c>
      <c r="X100" s="223" t="s">
        <v>5916</v>
      </c>
      <c r="Y100" s="30"/>
      <c r="Z100" s="30">
        <v>3</v>
      </c>
      <c r="AA100" s="30">
        <v>3</v>
      </c>
      <c r="AB100" s="59"/>
      <c r="AC100" s="59"/>
      <c r="AD100" s="537" t="s">
        <v>1104</v>
      </c>
      <c r="AE100" s="202" t="s">
        <v>1880</v>
      </c>
      <c r="AF100" s="133" t="s">
        <v>1880</v>
      </c>
      <c r="AG100" s="535"/>
    </row>
    <row r="101" spans="1:33" s="11" customFormat="1" ht="26.25" customHeight="1" x14ac:dyDescent="0.15">
      <c r="A101" s="8">
        <v>100</v>
      </c>
      <c r="B101" s="36" t="s">
        <v>5927</v>
      </c>
      <c r="C101" s="540" t="s">
        <v>111</v>
      </c>
      <c r="D101" s="540" t="s">
        <v>111</v>
      </c>
      <c r="E101" s="540" t="s">
        <v>111</v>
      </c>
      <c r="F101" s="29" t="s">
        <v>5922</v>
      </c>
      <c r="G101" s="53" t="s">
        <v>5923</v>
      </c>
      <c r="H101" s="1" t="s">
        <v>23</v>
      </c>
      <c r="I101" s="142" t="s">
        <v>28</v>
      </c>
      <c r="J101" s="329" t="s">
        <v>4757</v>
      </c>
      <c r="K101" s="330" t="s">
        <v>4758</v>
      </c>
      <c r="L101" s="540" t="s">
        <v>1826</v>
      </c>
      <c r="M101" s="540" t="s">
        <v>111</v>
      </c>
      <c r="N101" s="540" t="s">
        <v>1818</v>
      </c>
      <c r="O101" s="54" t="s">
        <v>116</v>
      </c>
      <c r="P101" s="540" t="s">
        <v>111</v>
      </c>
      <c r="Q101" s="539" t="s">
        <v>414</v>
      </c>
      <c r="R101" s="539" t="s">
        <v>5487</v>
      </c>
      <c r="S101" s="24" t="s">
        <v>5924</v>
      </c>
      <c r="T101" s="90" t="s">
        <v>5924</v>
      </c>
      <c r="U101" s="24" t="s">
        <v>108</v>
      </c>
      <c r="V101" s="10">
        <v>1</v>
      </c>
      <c r="W101" s="24" t="s">
        <v>5925</v>
      </c>
      <c r="X101" s="24" t="s">
        <v>5926</v>
      </c>
      <c r="Y101" s="30"/>
      <c r="Z101" s="30">
        <v>15</v>
      </c>
      <c r="AA101" s="30">
        <v>15</v>
      </c>
      <c r="AB101" s="59"/>
      <c r="AC101" s="59"/>
      <c r="AD101" s="540" t="s">
        <v>1104</v>
      </c>
      <c r="AE101" s="202" t="s">
        <v>1880</v>
      </c>
      <c r="AF101" s="133" t="s">
        <v>1880</v>
      </c>
      <c r="AG101" s="539"/>
    </row>
    <row r="102" spans="1:33" s="11" customFormat="1" ht="26.25" customHeight="1" x14ac:dyDescent="0.15">
      <c r="A102" s="8">
        <v>101</v>
      </c>
      <c r="B102" s="36" t="s">
        <v>5928</v>
      </c>
      <c r="C102" s="542" t="s">
        <v>111</v>
      </c>
      <c r="D102" s="206" t="s">
        <v>111</v>
      </c>
      <c r="E102" s="542" t="s">
        <v>111</v>
      </c>
      <c r="F102" s="29" t="s">
        <v>5930</v>
      </c>
      <c r="G102" s="53" t="s">
        <v>5931</v>
      </c>
      <c r="H102" s="1" t="s">
        <v>1452</v>
      </c>
      <c r="I102" s="142" t="s">
        <v>270</v>
      </c>
      <c r="J102" s="329" t="s">
        <v>2039</v>
      </c>
      <c r="K102" s="71" t="s">
        <v>2038</v>
      </c>
      <c r="L102" s="542" t="s">
        <v>1826</v>
      </c>
      <c r="M102" s="542" t="s">
        <v>111</v>
      </c>
      <c r="N102" s="542" t="s">
        <v>1818</v>
      </c>
      <c r="O102" s="54" t="s">
        <v>5500</v>
      </c>
      <c r="P102" s="542" t="s">
        <v>111</v>
      </c>
      <c r="Q102" s="541" t="s">
        <v>446</v>
      </c>
      <c r="R102" s="541" t="s">
        <v>446</v>
      </c>
      <c r="S102" s="24" t="s">
        <v>5942</v>
      </c>
      <c r="T102" s="90" t="s">
        <v>5924</v>
      </c>
      <c r="U102" s="545" t="s">
        <v>2359</v>
      </c>
      <c r="V102" s="545">
        <v>1</v>
      </c>
      <c r="W102" s="24" t="s">
        <v>448</v>
      </c>
      <c r="X102" s="24" t="s">
        <v>448</v>
      </c>
      <c r="Y102" s="30">
        <v>1.2</v>
      </c>
      <c r="Z102" s="30"/>
      <c r="AA102" s="30">
        <v>1.2</v>
      </c>
      <c r="AB102" s="59"/>
      <c r="AC102" s="59"/>
      <c r="AD102" s="542" t="s">
        <v>1104</v>
      </c>
      <c r="AE102" s="202" t="s">
        <v>1880</v>
      </c>
      <c r="AF102" s="133" t="s">
        <v>1880</v>
      </c>
      <c r="AG102" s="541"/>
    </row>
    <row r="103" spans="1:33" s="11" customFormat="1" ht="26.25" customHeight="1" x14ac:dyDescent="0.15">
      <c r="A103" s="8">
        <v>102</v>
      </c>
      <c r="B103" s="36" t="s">
        <v>5929</v>
      </c>
      <c r="C103" s="542" t="s">
        <v>111</v>
      </c>
      <c r="D103" s="730" t="s">
        <v>9249</v>
      </c>
      <c r="E103" s="542" t="s">
        <v>111</v>
      </c>
      <c r="F103" s="29" t="s">
        <v>5932</v>
      </c>
      <c r="G103" s="53" t="s">
        <v>5933</v>
      </c>
      <c r="H103" s="1" t="s">
        <v>1452</v>
      </c>
      <c r="I103" s="142" t="s">
        <v>270</v>
      </c>
      <c r="J103" s="329" t="s">
        <v>2041</v>
      </c>
      <c r="K103" s="71" t="s">
        <v>2040</v>
      </c>
      <c r="L103" s="542" t="s">
        <v>1826</v>
      </c>
      <c r="M103" s="542" t="s">
        <v>111</v>
      </c>
      <c r="N103" s="542" t="s">
        <v>1818</v>
      </c>
      <c r="O103" s="54" t="s">
        <v>5500</v>
      </c>
      <c r="P103" s="542" t="s">
        <v>111</v>
      </c>
      <c r="Q103" s="541" t="s">
        <v>446</v>
      </c>
      <c r="R103" s="541" t="s">
        <v>446</v>
      </c>
      <c r="S103" s="24" t="s">
        <v>5942</v>
      </c>
      <c r="T103" s="90" t="s">
        <v>5943</v>
      </c>
      <c r="U103" s="545" t="s">
        <v>2359</v>
      </c>
      <c r="V103" s="545">
        <v>1</v>
      </c>
      <c r="W103" s="24" t="s">
        <v>448</v>
      </c>
      <c r="X103" s="24" t="s">
        <v>448</v>
      </c>
      <c r="Y103" s="30">
        <v>2.25</v>
      </c>
      <c r="Z103" s="30"/>
      <c r="AA103" s="30">
        <v>2.25</v>
      </c>
      <c r="AB103" s="59"/>
      <c r="AC103" s="59"/>
      <c r="AD103" s="542" t="s">
        <v>1104</v>
      </c>
      <c r="AE103" s="202" t="s">
        <v>1880</v>
      </c>
      <c r="AF103" s="133" t="s">
        <v>1880</v>
      </c>
      <c r="AG103" s="541"/>
    </row>
    <row r="104" spans="1:33" s="11" customFormat="1" ht="26.25" customHeight="1" x14ac:dyDescent="0.15">
      <c r="A104" s="8">
        <v>103</v>
      </c>
      <c r="B104" s="36" t="s">
        <v>5941</v>
      </c>
      <c r="C104" s="542" t="s">
        <v>111</v>
      </c>
      <c r="D104" s="542" t="s">
        <v>111</v>
      </c>
      <c r="E104" s="542" t="s">
        <v>111</v>
      </c>
      <c r="F104" s="29" t="s">
        <v>5934</v>
      </c>
      <c r="G104" s="53" t="s">
        <v>5935</v>
      </c>
      <c r="H104" s="1" t="s">
        <v>23</v>
      </c>
      <c r="I104" s="142" t="s">
        <v>5936</v>
      </c>
      <c r="J104" s="329" t="s">
        <v>4983</v>
      </c>
      <c r="K104" s="71" t="s">
        <v>4984</v>
      </c>
      <c r="L104" s="542" t="s">
        <v>1826</v>
      </c>
      <c r="M104" s="542" t="s">
        <v>111</v>
      </c>
      <c r="N104" s="542" t="s">
        <v>1818</v>
      </c>
      <c r="O104" s="54" t="s">
        <v>116</v>
      </c>
      <c r="P104" s="542" t="s">
        <v>111</v>
      </c>
      <c r="Q104" s="544" t="s">
        <v>5480</v>
      </c>
      <c r="R104" s="544" t="s">
        <v>5480</v>
      </c>
      <c r="S104" s="24" t="s">
        <v>5944</v>
      </c>
      <c r="T104" s="90" t="s">
        <v>5945</v>
      </c>
      <c r="U104" s="545" t="s">
        <v>2359</v>
      </c>
      <c r="V104" s="545">
        <v>1</v>
      </c>
      <c r="W104" s="24" t="s">
        <v>5473</v>
      </c>
      <c r="X104" s="24" t="s">
        <v>5162</v>
      </c>
      <c r="Y104" s="30"/>
      <c r="Z104" s="30">
        <v>9.75</v>
      </c>
      <c r="AA104" s="30">
        <v>9.75</v>
      </c>
      <c r="AB104" s="59"/>
      <c r="AC104" s="59"/>
      <c r="AD104" s="542" t="s">
        <v>1104</v>
      </c>
      <c r="AE104" s="202" t="s">
        <v>1880</v>
      </c>
      <c r="AF104" s="133" t="s">
        <v>1880</v>
      </c>
      <c r="AG104" s="541"/>
    </row>
    <row r="105" spans="1:33" s="11" customFormat="1" ht="26.25" customHeight="1" x14ac:dyDescent="0.15">
      <c r="A105" s="8">
        <v>104</v>
      </c>
      <c r="B105" s="36" t="s">
        <v>5937</v>
      </c>
      <c r="C105" s="543" t="s">
        <v>111</v>
      </c>
      <c r="D105" s="543" t="s">
        <v>111</v>
      </c>
      <c r="E105" s="543" t="s">
        <v>111</v>
      </c>
      <c r="F105" s="29" t="s">
        <v>5939</v>
      </c>
      <c r="G105" s="29" t="s">
        <v>5938</v>
      </c>
      <c r="H105" s="1" t="s">
        <v>3196</v>
      </c>
      <c r="I105" s="142" t="s">
        <v>151</v>
      </c>
      <c r="J105" s="329" t="s">
        <v>3902</v>
      </c>
      <c r="K105" s="22" t="s">
        <v>4780</v>
      </c>
      <c r="L105" s="543" t="s">
        <v>1826</v>
      </c>
      <c r="M105" s="543" t="s">
        <v>111</v>
      </c>
      <c r="N105" s="541" t="s">
        <v>1131</v>
      </c>
      <c r="O105" s="54" t="s">
        <v>5940</v>
      </c>
      <c r="P105" s="543" t="s">
        <v>111</v>
      </c>
      <c r="Q105" s="544" t="s">
        <v>5487</v>
      </c>
      <c r="R105" s="544" t="s">
        <v>5487</v>
      </c>
      <c r="S105" s="24" t="s">
        <v>5944</v>
      </c>
      <c r="T105" s="90" t="s">
        <v>5832</v>
      </c>
      <c r="U105" s="545" t="s">
        <v>2359</v>
      </c>
      <c r="V105" s="545">
        <v>1</v>
      </c>
      <c r="W105" s="24" t="s">
        <v>448</v>
      </c>
      <c r="X105" s="24" t="s">
        <v>448</v>
      </c>
      <c r="Y105" s="30">
        <v>1.5</v>
      </c>
      <c r="Z105" s="30"/>
      <c r="AA105" s="30">
        <v>1.5</v>
      </c>
      <c r="AB105" s="59" t="s">
        <v>6457</v>
      </c>
      <c r="AC105" s="59" t="s">
        <v>6457</v>
      </c>
      <c r="AD105" s="543" t="s">
        <v>1104</v>
      </c>
      <c r="AE105" s="202" t="s">
        <v>1880</v>
      </c>
      <c r="AF105" s="133" t="s">
        <v>1880</v>
      </c>
      <c r="AG105" s="541"/>
    </row>
    <row r="106" spans="1:33" s="11" customFormat="1" ht="26.25" customHeight="1" x14ac:dyDescent="0.15">
      <c r="A106" s="8">
        <v>105</v>
      </c>
      <c r="B106" s="36" t="s">
        <v>5953</v>
      </c>
      <c r="C106" s="547" t="s">
        <v>111</v>
      </c>
      <c r="D106" s="547" t="s">
        <v>111</v>
      </c>
      <c r="E106" s="36" t="s">
        <v>6139</v>
      </c>
      <c r="F106" s="29" t="s">
        <v>5946</v>
      </c>
      <c r="G106" s="53" t="s">
        <v>5947</v>
      </c>
      <c r="H106" s="538" t="s">
        <v>5948</v>
      </c>
      <c r="I106" s="538" t="s">
        <v>4692</v>
      </c>
      <c r="J106" s="538" t="s">
        <v>5952</v>
      </c>
      <c r="K106" s="22" t="s">
        <v>4780</v>
      </c>
      <c r="L106" s="22" t="s">
        <v>5431</v>
      </c>
      <c r="M106" s="547" t="s">
        <v>5954</v>
      </c>
      <c r="N106" s="546" t="s">
        <v>1131</v>
      </c>
      <c r="O106" s="54" t="s">
        <v>5708</v>
      </c>
      <c r="P106" s="547" t="s">
        <v>111</v>
      </c>
      <c r="Q106" s="539" t="s">
        <v>446</v>
      </c>
      <c r="R106" s="539" t="s">
        <v>446</v>
      </c>
      <c r="S106" s="24" t="s">
        <v>5949</v>
      </c>
      <c r="T106" s="90" t="s">
        <v>5950</v>
      </c>
      <c r="U106" s="547" t="s">
        <v>2359</v>
      </c>
      <c r="V106" s="547">
        <v>1</v>
      </c>
      <c r="W106" s="24" t="s">
        <v>5711</v>
      </c>
      <c r="X106" s="24" t="s">
        <v>448</v>
      </c>
      <c r="Y106" s="30">
        <v>43.29</v>
      </c>
      <c r="Z106" s="30"/>
      <c r="AA106" s="30">
        <v>43.29</v>
      </c>
      <c r="AB106" s="59"/>
      <c r="AC106" s="59"/>
      <c r="AD106" s="547" t="s">
        <v>1104</v>
      </c>
      <c r="AE106" s="133" t="s">
        <v>5951</v>
      </c>
      <c r="AF106" s="133" t="s">
        <v>1880</v>
      </c>
      <c r="AG106" s="539"/>
    </row>
    <row r="107" spans="1:33" s="11" customFormat="1" ht="26.25" customHeight="1" x14ac:dyDescent="0.15">
      <c r="A107" s="8">
        <v>106</v>
      </c>
      <c r="B107" s="36" t="s">
        <v>5957</v>
      </c>
      <c r="C107" s="71" t="s">
        <v>5959</v>
      </c>
      <c r="D107" s="550" t="s">
        <v>111</v>
      </c>
      <c r="E107" s="550" t="s">
        <v>111</v>
      </c>
      <c r="F107" s="29" t="s">
        <v>5960</v>
      </c>
      <c r="G107" s="99" t="s">
        <v>5753</v>
      </c>
      <c r="H107" s="549" t="s">
        <v>4712</v>
      </c>
      <c r="I107" s="549" t="s">
        <v>1124</v>
      </c>
      <c r="J107" s="549" t="s">
        <v>5961</v>
      </c>
      <c r="K107" s="22" t="s">
        <v>4780</v>
      </c>
      <c r="L107" s="22" t="s">
        <v>5431</v>
      </c>
      <c r="M107" s="550" t="s">
        <v>111</v>
      </c>
      <c r="N107" s="549" t="s">
        <v>1131</v>
      </c>
      <c r="O107" s="54" t="s">
        <v>5234</v>
      </c>
      <c r="P107" s="550" t="s">
        <v>111</v>
      </c>
      <c r="Q107" s="548" t="s">
        <v>5571</v>
      </c>
      <c r="R107" s="548" t="s">
        <v>5571</v>
      </c>
      <c r="S107" s="24" t="s">
        <v>5962</v>
      </c>
      <c r="T107" s="499"/>
      <c r="U107" s="484"/>
      <c r="V107" s="484"/>
      <c r="W107" s="484"/>
      <c r="X107" s="484"/>
      <c r="Y107" s="30"/>
      <c r="Z107" s="30">
        <v>9.89</v>
      </c>
      <c r="AA107" s="30">
        <v>9.89</v>
      </c>
      <c r="AB107" s="59"/>
      <c r="AC107" s="59"/>
      <c r="AD107" s="550" t="s">
        <v>1104</v>
      </c>
      <c r="AE107" s="133" t="s">
        <v>5963</v>
      </c>
      <c r="AF107" s="133" t="s">
        <v>1880</v>
      </c>
      <c r="AG107" s="548"/>
    </row>
    <row r="108" spans="1:33" s="11" customFormat="1" ht="26.25" customHeight="1" x14ac:dyDescent="0.15">
      <c r="A108" s="8">
        <v>107</v>
      </c>
      <c r="B108" s="36" t="s">
        <v>5958</v>
      </c>
      <c r="C108" s="798" t="s">
        <v>111</v>
      </c>
      <c r="D108" s="798" t="s">
        <v>111</v>
      </c>
      <c r="E108" s="798" t="s">
        <v>111</v>
      </c>
      <c r="F108" s="798" t="s">
        <v>111</v>
      </c>
      <c r="G108" s="798" t="s">
        <v>111</v>
      </c>
      <c r="H108" s="798" t="s">
        <v>111</v>
      </c>
      <c r="I108" s="798" t="s">
        <v>111</v>
      </c>
      <c r="J108" s="798" t="s">
        <v>111</v>
      </c>
      <c r="K108" s="798" t="s">
        <v>111</v>
      </c>
      <c r="L108" s="798" t="s">
        <v>111</v>
      </c>
      <c r="M108" s="798" t="s">
        <v>111</v>
      </c>
      <c r="N108" s="798" t="s">
        <v>111</v>
      </c>
      <c r="O108" s="798" t="s">
        <v>111</v>
      </c>
      <c r="P108" s="798" t="s">
        <v>111</v>
      </c>
      <c r="Q108" s="798" t="s">
        <v>111</v>
      </c>
      <c r="R108" s="798" t="s">
        <v>111</v>
      </c>
      <c r="S108" s="798" t="s">
        <v>111</v>
      </c>
      <c r="T108" s="798" t="s">
        <v>111</v>
      </c>
      <c r="U108" s="798" t="s">
        <v>111</v>
      </c>
      <c r="V108" s="798" t="s">
        <v>111</v>
      </c>
      <c r="W108" s="24" t="s">
        <v>448</v>
      </c>
      <c r="X108" s="24" t="s">
        <v>448</v>
      </c>
      <c r="Y108" s="30">
        <v>210.51900000000001</v>
      </c>
      <c r="Z108" s="30"/>
      <c r="AA108" s="30">
        <v>210.51900000000001</v>
      </c>
      <c r="AB108" s="59" t="s">
        <v>6457</v>
      </c>
      <c r="AC108" s="59" t="s">
        <v>6457</v>
      </c>
      <c r="AD108" s="35"/>
      <c r="AE108" s="202"/>
      <c r="AF108" s="35"/>
      <c r="AG108" s="548"/>
    </row>
    <row r="109" spans="1:33" s="11" customFormat="1" ht="26.25" customHeight="1" x14ac:dyDescent="0.15">
      <c r="A109" s="8">
        <v>108</v>
      </c>
      <c r="B109" s="36" t="s">
        <v>6005</v>
      </c>
      <c r="C109" s="553" t="s">
        <v>111</v>
      </c>
      <c r="D109" s="553" t="s">
        <v>111</v>
      </c>
      <c r="E109" s="553" t="s">
        <v>111</v>
      </c>
      <c r="F109" s="29" t="s">
        <v>5870</v>
      </c>
      <c r="G109" s="53" t="s">
        <v>5965</v>
      </c>
      <c r="H109" s="551" t="s">
        <v>3649</v>
      </c>
      <c r="I109" s="551" t="s">
        <v>4750</v>
      </c>
      <c r="J109" s="551" t="s">
        <v>5966</v>
      </c>
      <c r="K109" s="22" t="s">
        <v>4780</v>
      </c>
      <c r="L109" s="22" t="s">
        <v>5431</v>
      </c>
      <c r="M109" s="553" t="s">
        <v>111</v>
      </c>
      <c r="N109" s="552" t="s">
        <v>1131</v>
      </c>
      <c r="O109" s="54" t="s">
        <v>2192</v>
      </c>
      <c r="P109" s="553" t="s">
        <v>111</v>
      </c>
      <c r="Q109" s="552" t="s">
        <v>854</v>
      </c>
      <c r="R109" s="552" t="s">
        <v>854</v>
      </c>
      <c r="S109" s="24" t="s">
        <v>5971</v>
      </c>
      <c r="T109" s="90" t="s">
        <v>5967</v>
      </c>
      <c r="U109" s="24" t="s">
        <v>108</v>
      </c>
      <c r="V109" s="10">
        <v>1</v>
      </c>
      <c r="W109" s="24" t="s">
        <v>5710</v>
      </c>
      <c r="X109" s="24" t="s">
        <v>448</v>
      </c>
      <c r="Y109" s="30">
        <v>48.5</v>
      </c>
      <c r="Z109" s="30"/>
      <c r="AA109" s="30">
        <v>48.5</v>
      </c>
      <c r="AB109" s="59"/>
      <c r="AC109" s="59"/>
      <c r="AD109" s="553" t="s">
        <v>1104</v>
      </c>
      <c r="AE109" s="133" t="s">
        <v>5951</v>
      </c>
      <c r="AF109" s="133" t="s">
        <v>1880</v>
      </c>
      <c r="AG109" s="552"/>
    </row>
    <row r="110" spans="1:33" s="11" customFormat="1" ht="26.25" customHeight="1" x14ac:dyDescent="0.15">
      <c r="A110" s="8">
        <v>109</v>
      </c>
      <c r="B110" s="36" t="s">
        <v>5964</v>
      </c>
      <c r="C110" s="554" t="s">
        <v>111</v>
      </c>
      <c r="D110" s="554" t="s">
        <v>111</v>
      </c>
      <c r="E110" s="554" t="s">
        <v>111</v>
      </c>
      <c r="F110" s="29" t="s">
        <v>5968</v>
      </c>
      <c r="G110" s="53" t="s">
        <v>5969</v>
      </c>
      <c r="H110" s="551" t="s">
        <v>4195</v>
      </c>
      <c r="I110" s="551" t="s">
        <v>1124</v>
      </c>
      <c r="J110" s="551" t="s">
        <v>5970</v>
      </c>
      <c r="K110" s="22" t="s">
        <v>4780</v>
      </c>
      <c r="L110" s="22" t="s">
        <v>5431</v>
      </c>
      <c r="M110" s="554" t="s">
        <v>111</v>
      </c>
      <c r="N110" s="552" t="s">
        <v>1131</v>
      </c>
      <c r="O110" s="54" t="s">
        <v>5500</v>
      </c>
      <c r="P110" s="554" t="s">
        <v>111</v>
      </c>
      <c r="Q110" s="552" t="s">
        <v>5480</v>
      </c>
      <c r="R110" s="552" t="s">
        <v>5480</v>
      </c>
      <c r="S110" s="24" t="s">
        <v>5971</v>
      </c>
      <c r="T110" s="90" t="s">
        <v>5950</v>
      </c>
      <c r="U110" s="24" t="s">
        <v>110</v>
      </c>
      <c r="V110" s="24">
        <v>1</v>
      </c>
      <c r="W110" s="24" t="s">
        <v>448</v>
      </c>
      <c r="X110" s="24" t="s">
        <v>448</v>
      </c>
      <c r="Y110" s="30">
        <v>3.54</v>
      </c>
      <c r="Z110" s="30"/>
      <c r="AA110" s="30">
        <v>3.54</v>
      </c>
      <c r="AB110" s="59"/>
      <c r="AC110" s="59"/>
      <c r="AD110" s="554" t="s">
        <v>1104</v>
      </c>
      <c r="AE110" s="202" t="s">
        <v>1880</v>
      </c>
      <c r="AF110" s="133" t="s">
        <v>1880</v>
      </c>
      <c r="AG110" s="552"/>
    </row>
    <row r="111" spans="1:33" s="11" customFormat="1" ht="26.25" customHeight="1" x14ac:dyDescent="0.15">
      <c r="A111" s="8">
        <v>110</v>
      </c>
      <c r="B111" s="36" t="s">
        <v>5973</v>
      </c>
      <c r="C111" s="557" t="s">
        <v>5979</v>
      </c>
      <c r="D111" s="557" t="s">
        <v>111</v>
      </c>
      <c r="E111" s="557" t="s">
        <v>111</v>
      </c>
      <c r="F111" s="29" t="s">
        <v>5975</v>
      </c>
      <c r="G111" s="53" t="s">
        <v>5976</v>
      </c>
      <c r="H111" s="555" t="s">
        <v>5448</v>
      </c>
      <c r="I111" s="555" t="s">
        <v>1124</v>
      </c>
      <c r="J111" s="555" t="s">
        <v>5977</v>
      </c>
      <c r="K111" s="555" t="s">
        <v>5978</v>
      </c>
      <c r="L111" s="22" t="s">
        <v>5431</v>
      </c>
      <c r="M111" s="557" t="s">
        <v>111</v>
      </c>
      <c r="N111" s="556" t="s">
        <v>445</v>
      </c>
      <c r="O111" s="54" t="s">
        <v>5980</v>
      </c>
      <c r="P111" s="557" t="s">
        <v>111</v>
      </c>
      <c r="Q111" s="556" t="s">
        <v>1774</v>
      </c>
      <c r="R111" s="556" t="s">
        <v>1774</v>
      </c>
      <c r="S111" s="24" t="s">
        <v>5981</v>
      </c>
      <c r="T111" s="90" t="s">
        <v>5982</v>
      </c>
      <c r="U111" s="24" t="s">
        <v>110</v>
      </c>
      <c r="V111" s="24">
        <v>1</v>
      </c>
      <c r="W111" s="24" t="s">
        <v>448</v>
      </c>
      <c r="X111" s="24" t="s">
        <v>448</v>
      </c>
      <c r="Y111" s="30">
        <v>10</v>
      </c>
      <c r="Z111" s="30"/>
      <c r="AA111" s="30">
        <v>10</v>
      </c>
      <c r="AB111" s="59"/>
      <c r="AC111" s="59"/>
      <c r="AD111" s="557" t="s">
        <v>1104</v>
      </c>
      <c r="AE111" s="202" t="s">
        <v>1880</v>
      </c>
      <c r="AF111" s="133" t="s">
        <v>1880</v>
      </c>
      <c r="AG111" s="556"/>
    </row>
    <row r="112" spans="1:33" s="11" customFormat="1" ht="26.25" customHeight="1" x14ac:dyDescent="0.15">
      <c r="A112" s="8">
        <v>111</v>
      </c>
      <c r="B112" s="36" t="s">
        <v>5974</v>
      </c>
      <c r="C112" s="557" t="s">
        <v>5979</v>
      </c>
      <c r="D112" s="557" t="s">
        <v>111</v>
      </c>
      <c r="E112" s="557" t="s">
        <v>111</v>
      </c>
      <c r="F112" s="29" t="s">
        <v>5975</v>
      </c>
      <c r="G112" s="53" t="s">
        <v>5976</v>
      </c>
      <c r="H112" s="555" t="s">
        <v>5448</v>
      </c>
      <c r="I112" s="555" t="s">
        <v>1124</v>
      </c>
      <c r="J112" s="555" t="s">
        <v>5977</v>
      </c>
      <c r="K112" s="555" t="s">
        <v>5978</v>
      </c>
      <c r="L112" s="22" t="s">
        <v>5431</v>
      </c>
      <c r="M112" s="557" t="s">
        <v>111</v>
      </c>
      <c r="N112" s="556" t="s">
        <v>1131</v>
      </c>
      <c r="O112" s="54" t="s">
        <v>4099</v>
      </c>
      <c r="P112" s="557" t="s">
        <v>111</v>
      </c>
      <c r="Q112" s="556" t="s">
        <v>1774</v>
      </c>
      <c r="R112" s="556" t="s">
        <v>1774</v>
      </c>
      <c r="S112" s="24" t="s">
        <v>5981</v>
      </c>
      <c r="T112" s="90" t="s">
        <v>5982</v>
      </c>
      <c r="U112" s="24" t="s">
        <v>110</v>
      </c>
      <c r="V112" s="24">
        <v>1</v>
      </c>
      <c r="W112" s="24" t="s">
        <v>448</v>
      </c>
      <c r="X112" s="24" t="s">
        <v>448</v>
      </c>
      <c r="Y112" s="30">
        <v>2.5</v>
      </c>
      <c r="Z112" s="30"/>
      <c r="AA112" s="30">
        <v>2.5</v>
      </c>
      <c r="AB112" s="59"/>
      <c r="AC112" s="59"/>
      <c r="AD112" s="557" t="s">
        <v>1104</v>
      </c>
      <c r="AE112" s="202" t="s">
        <v>1880</v>
      </c>
      <c r="AF112" s="133" t="s">
        <v>1880</v>
      </c>
      <c r="AG112" s="556"/>
    </row>
    <row r="113" spans="1:33" s="11" customFormat="1" ht="26.25" customHeight="1" x14ac:dyDescent="0.15">
      <c r="A113" s="8">
        <v>112</v>
      </c>
      <c r="B113" s="36" t="s">
        <v>5983</v>
      </c>
      <c r="C113" s="71" t="s">
        <v>5989</v>
      </c>
      <c r="D113" s="561" t="s">
        <v>111</v>
      </c>
      <c r="E113" s="561" t="s">
        <v>111</v>
      </c>
      <c r="F113" s="29" t="s">
        <v>5984</v>
      </c>
      <c r="G113" s="53" t="s">
        <v>5985</v>
      </c>
      <c r="H113" s="560" t="s">
        <v>4195</v>
      </c>
      <c r="I113" s="560" t="s">
        <v>5383</v>
      </c>
      <c r="J113" s="560" t="s">
        <v>2907</v>
      </c>
      <c r="K113" s="560" t="s">
        <v>5986</v>
      </c>
      <c r="L113" s="22" t="s">
        <v>5431</v>
      </c>
      <c r="M113" s="561" t="s">
        <v>111</v>
      </c>
      <c r="N113" s="431" t="s">
        <v>1131</v>
      </c>
      <c r="O113" s="54" t="s">
        <v>4753</v>
      </c>
      <c r="P113" s="561" t="s">
        <v>111</v>
      </c>
      <c r="Q113" s="431" t="s">
        <v>5480</v>
      </c>
      <c r="R113" s="431" t="s">
        <v>5480</v>
      </c>
      <c r="S113" s="24" t="s">
        <v>5987</v>
      </c>
      <c r="T113" s="90" t="s">
        <v>5988</v>
      </c>
      <c r="U113" s="24" t="s">
        <v>110</v>
      </c>
      <c r="V113" s="24">
        <v>1</v>
      </c>
      <c r="W113" s="24" t="s">
        <v>448</v>
      </c>
      <c r="X113" s="24" t="s">
        <v>448</v>
      </c>
      <c r="Y113" s="30">
        <v>9.5024999999999995</v>
      </c>
      <c r="Z113" s="30"/>
      <c r="AA113" s="30">
        <v>9.5024999999999995</v>
      </c>
      <c r="AB113" s="59"/>
      <c r="AC113" s="59"/>
      <c r="AD113" s="561" t="s">
        <v>1104</v>
      </c>
      <c r="AE113" s="202" t="s">
        <v>1880</v>
      </c>
      <c r="AF113" s="133" t="s">
        <v>1880</v>
      </c>
      <c r="AG113" s="431"/>
    </row>
    <row r="114" spans="1:33" s="11" customFormat="1" ht="26.25" customHeight="1" x14ac:dyDescent="0.15">
      <c r="A114" s="8">
        <v>113</v>
      </c>
      <c r="B114" s="36" t="s">
        <v>5990</v>
      </c>
      <c r="C114" s="563" t="s">
        <v>111</v>
      </c>
      <c r="D114" s="730">
        <v>2020025</v>
      </c>
      <c r="E114" s="563" t="s">
        <v>111</v>
      </c>
      <c r="F114" s="29" t="s">
        <v>5932</v>
      </c>
      <c r="G114" s="53" t="s">
        <v>5933</v>
      </c>
      <c r="H114" s="1" t="s">
        <v>1452</v>
      </c>
      <c r="I114" s="142" t="s">
        <v>270</v>
      </c>
      <c r="J114" s="329" t="s">
        <v>2041</v>
      </c>
      <c r="K114" s="71" t="s">
        <v>2040</v>
      </c>
      <c r="L114" s="563" t="s">
        <v>1826</v>
      </c>
      <c r="M114" s="563" t="s">
        <v>111</v>
      </c>
      <c r="N114" s="563" t="s">
        <v>1818</v>
      </c>
      <c r="O114" s="54" t="s">
        <v>5500</v>
      </c>
      <c r="P114" s="563" t="s">
        <v>111</v>
      </c>
      <c r="Q114" s="562" t="s">
        <v>446</v>
      </c>
      <c r="R114" s="562" t="s">
        <v>446</v>
      </c>
      <c r="S114" s="24" t="s">
        <v>5991</v>
      </c>
      <c r="T114" s="90" t="s">
        <v>5992</v>
      </c>
      <c r="U114" s="563" t="s">
        <v>2359</v>
      </c>
      <c r="V114" s="563">
        <v>1</v>
      </c>
      <c r="W114" s="24" t="s">
        <v>448</v>
      </c>
      <c r="X114" s="24" t="s">
        <v>448</v>
      </c>
      <c r="Y114" s="30">
        <v>0.97</v>
      </c>
      <c r="Z114" s="30"/>
      <c r="AA114" s="30">
        <v>0.97</v>
      </c>
      <c r="AB114" s="59"/>
      <c r="AC114" s="59"/>
      <c r="AD114" s="563" t="s">
        <v>1104</v>
      </c>
      <c r="AE114" s="202" t="s">
        <v>1880</v>
      </c>
      <c r="AF114" s="133" t="s">
        <v>1880</v>
      </c>
      <c r="AG114" s="562"/>
    </row>
    <row r="115" spans="1:33" s="11" customFormat="1" ht="26.25" customHeight="1" x14ac:dyDescent="0.15">
      <c r="A115" s="8">
        <v>114</v>
      </c>
      <c r="B115" s="36" t="s">
        <v>5993</v>
      </c>
      <c r="C115" s="563" t="s">
        <v>111</v>
      </c>
      <c r="D115" s="563" t="s">
        <v>111</v>
      </c>
      <c r="E115" s="563" t="s">
        <v>111</v>
      </c>
      <c r="F115" s="29" t="s">
        <v>5058</v>
      </c>
      <c r="G115" s="53" t="s">
        <v>5994</v>
      </c>
      <c r="H115" s="563" t="s">
        <v>2135</v>
      </c>
      <c r="I115" s="563" t="s">
        <v>4978</v>
      </c>
      <c r="J115" s="563" t="s">
        <v>5060</v>
      </c>
      <c r="K115" s="22" t="s">
        <v>1138</v>
      </c>
      <c r="L115" s="563" t="s">
        <v>1826</v>
      </c>
      <c r="M115" s="563" t="s">
        <v>111</v>
      </c>
      <c r="N115" s="563" t="s">
        <v>3990</v>
      </c>
      <c r="O115" s="54" t="s">
        <v>5100</v>
      </c>
      <c r="P115" s="563" t="s">
        <v>111</v>
      </c>
      <c r="Q115" s="562" t="s">
        <v>2348</v>
      </c>
      <c r="R115" s="562" t="s">
        <v>2348</v>
      </c>
      <c r="S115" s="24" t="s">
        <v>5995</v>
      </c>
      <c r="T115" s="90" t="s">
        <v>5996</v>
      </c>
      <c r="U115" s="24" t="s">
        <v>108</v>
      </c>
      <c r="V115" s="10">
        <v>1</v>
      </c>
      <c r="W115" s="24" t="s">
        <v>1880</v>
      </c>
      <c r="X115" s="24" t="s">
        <v>1880</v>
      </c>
      <c r="Y115" s="30">
        <v>9.1745999999999999</v>
      </c>
      <c r="Z115" s="30"/>
      <c r="AA115" s="30">
        <v>9.1745999999999999</v>
      </c>
      <c r="AB115" s="59" t="s">
        <v>6457</v>
      </c>
      <c r="AC115" s="59" t="s">
        <v>6457</v>
      </c>
      <c r="AD115" s="563" t="s">
        <v>1104</v>
      </c>
      <c r="AE115" s="202" t="s">
        <v>1880</v>
      </c>
      <c r="AF115" s="133" t="s">
        <v>1880</v>
      </c>
      <c r="AG115" s="562"/>
    </row>
    <row r="116" spans="1:33" s="11" customFormat="1" ht="36.75" customHeight="1" x14ac:dyDescent="0.15">
      <c r="A116" s="8">
        <v>115</v>
      </c>
      <c r="B116" s="36" t="s">
        <v>5997</v>
      </c>
      <c r="C116" s="565" t="s">
        <v>111</v>
      </c>
      <c r="D116" s="565" t="s">
        <v>111</v>
      </c>
      <c r="E116" s="565" t="s">
        <v>111</v>
      </c>
      <c r="F116" s="54" t="s">
        <v>6009</v>
      </c>
      <c r="G116" s="53" t="s">
        <v>4951</v>
      </c>
      <c r="H116" s="1" t="s">
        <v>1449</v>
      </c>
      <c r="I116" s="142" t="s">
        <v>177</v>
      </c>
      <c r="J116" s="21" t="s">
        <v>3263</v>
      </c>
      <c r="K116" s="21" t="s">
        <v>1733</v>
      </c>
      <c r="L116" s="565" t="s">
        <v>1826</v>
      </c>
      <c r="M116" s="565" t="s">
        <v>111</v>
      </c>
      <c r="N116" s="564" t="s">
        <v>1818</v>
      </c>
      <c r="O116" s="89" t="s">
        <v>1819</v>
      </c>
      <c r="P116" s="565" t="s">
        <v>111</v>
      </c>
      <c r="Q116" s="564" t="s">
        <v>1831</v>
      </c>
      <c r="R116" s="564" t="s">
        <v>1831</v>
      </c>
      <c r="S116" s="24" t="s">
        <v>6012</v>
      </c>
      <c r="T116" s="90" t="s">
        <v>5999</v>
      </c>
      <c r="U116" s="24" t="s">
        <v>2359</v>
      </c>
      <c r="V116" s="24">
        <v>2</v>
      </c>
      <c r="W116" s="24" t="s">
        <v>6006</v>
      </c>
      <c r="X116" s="24" t="s">
        <v>6007</v>
      </c>
      <c r="Y116" s="30"/>
      <c r="Z116" s="30">
        <v>7</v>
      </c>
      <c r="AA116" s="30">
        <v>7</v>
      </c>
      <c r="AB116" s="59"/>
      <c r="AC116" s="59"/>
      <c r="AD116" s="565" t="s">
        <v>1104</v>
      </c>
      <c r="AE116" s="202" t="s">
        <v>1880</v>
      </c>
      <c r="AF116" s="133" t="s">
        <v>1880</v>
      </c>
      <c r="AG116" s="564" t="s">
        <v>6008</v>
      </c>
    </row>
    <row r="117" spans="1:33" s="11" customFormat="1" ht="36.75" customHeight="1" x14ac:dyDescent="0.15">
      <c r="A117" s="8">
        <v>116</v>
      </c>
      <c r="B117" s="36" t="s">
        <v>6010</v>
      </c>
      <c r="C117" s="565" t="s">
        <v>111</v>
      </c>
      <c r="D117" s="565" t="s">
        <v>111</v>
      </c>
      <c r="E117" s="565" t="s">
        <v>111</v>
      </c>
      <c r="F117" s="54" t="s">
        <v>1253</v>
      </c>
      <c r="G117" s="53" t="s">
        <v>4951</v>
      </c>
      <c r="H117" s="1" t="s">
        <v>1449</v>
      </c>
      <c r="I117" s="142" t="s">
        <v>177</v>
      </c>
      <c r="J117" s="21" t="s">
        <v>3264</v>
      </c>
      <c r="K117" s="21" t="s">
        <v>1732</v>
      </c>
      <c r="L117" s="565" t="s">
        <v>1826</v>
      </c>
      <c r="M117" s="565" t="s">
        <v>111</v>
      </c>
      <c r="N117" s="564" t="s">
        <v>102</v>
      </c>
      <c r="O117" s="89" t="s">
        <v>851</v>
      </c>
      <c r="P117" s="565" t="s">
        <v>111</v>
      </c>
      <c r="Q117" s="564" t="s">
        <v>1831</v>
      </c>
      <c r="R117" s="564" t="s">
        <v>1831</v>
      </c>
      <c r="S117" s="24" t="s">
        <v>6012</v>
      </c>
      <c r="T117" s="90" t="s">
        <v>5999</v>
      </c>
      <c r="U117" s="24" t="s">
        <v>2359</v>
      </c>
      <c r="V117" s="24">
        <v>2</v>
      </c>
      <c r="W117" s="24" t="s">
        <v>6006</v>
      </c>
      <c r="X117" s="24" t="s">
        <v>6007</v>
      </c>
      <c r="Y117" s="30"/>
      <c r="Z117" s="30">
        <v>7</v>
      </c>
      <c r="AA117" s="30">
        <v>7</v>
      </c>
      <c r="AB117" s="59"/>
      <c r="AC117" s="59"/>
      <c r="AD117" s="565" t="s">
        <v>1104</v>
      </c>
      <c r="AE117" s="202" t="s">
        <v>1880</v>
      </c>
      <c r="AF117" s="133" t="s">
        <v>1880</v>
      </c>
      <c r="AG117" s="566" t="s">
        <v>6008</v>
      </c>
    </row>
    <row r="118" spans="1:33" s="11" customFormat="1" ht="36.75" customHeight="1" x14ac:dyDescent="0.15">
      <c r="A118" s="8">
        <v>117</v>
      </c>
      <c r="B118" s="36" t="s">
        <v>5998</v>
      </c>
      <c r="C118" s="565" t="s">
        <v>111</v>
      </c>
      <c r="D118" s="565" t="s">
        <v>111</v>
      </c>
      <c r="E118" s="565" t="s">
        <v>111</v>
      </c>
      <c r="F118" s="54" t="s">
        <v>3271</v>
      </c>
      <c r="G118" s="53" t="s">
        <v>4951</v>
      </c>
      <c r="H118" s="1" t="s">
        <v>1449</v>
      </c>
      <c r="I118" s="142" t="s">
        <v>177</v>
      </c>
      <c r="J118" s="21" t="s">
        <v>3273</v>
      </c>
      <c r="K118" s="21" t="s">
        <v>1734</v>
      </c>
      <c r="L118" s="565" t="s">
        <v>1826</v>
      </c>
      <c r="M118" s="565" t="s">
        <v>111</v>
      </c>
      <c r="N118" s="564" t="s">
        <v>102</v>
      </c>
      <c r="O118" s="89" t="s">
        <v>851</v>
      </c>
      <c r="P118" s="565" t="s">
        <v>111</v>
      </c>
      <c r="Q118" s="564" t="s">
        <v>1831</v>
      </c>
      <c r="R118" s="564" t="s">
        <v>1831</v>
      </c>
      <c r="S118" s="24" t="s">
        <v>6012</v>
      </c>
      <c r="T118" s="90" t="s">
        <v>5999</v>
      </c>
      <c r="U118" s="24" t="s">
        <v>2359</v>
      </c>
      <c r="V118" s="24">
        <v>2</v>
      </c>
      <c r="W118" s="24" t="s">
        <v>6006</v>
      </c>
      <c r="X118" s="24" t="s">
        <v>6007</v>
      </c>
      <c r="Y118" s="30"/>
      <c r="Z118" s="30">
        <v>7</v>
      </c>
      <c r="AA118" s="30">
        <v>7</v>
      </c>
      <c r="AB118" s="59"/>
      <c r="AC118" s="59"/>
      <c r="AD118" s="565" t="s">
        <v>1104</v>
      </c>
      <c r="AE118" s="202" t="s">
        <v>1880</v>
      </c>
      <c r="AF118" s="133" t="s">
        <v>1880</v>
      </c>
      <c r="AG118" s="566" t="s">
        <v>6008</v>
      </c>
    </row>
    <row r="119" spans="1:33" s="11" customFormat="1" ht="26.25" customHeight="1" x14ac:dyDescent="0.15">
      <c r="A119" s="8">
        <v>118</v>
      </c>
      <c r="B119" s="36" t="s">
        <v>6000</v>
      </c>
      <c r="C119" s="565" t="s">
        <v>111</v>
      </c>
      <c r="D119" s="565" t="s">
        <v>111</v>
      </c>
      <c r="E119" s="565" t="s">
        <v>111</v>
      </c>
      <c r="F119" s="54" t="s">
        <v>4133</v>
      </c>
      <c r="G119" s="98" t="s">
        <v>6002</v>
      </c>
      <c r="H119" s="565" t="s">
        <v>2135</v>
      </c>
      <c r="I119" s="565" t="s">
        <v>2533</v>
      </c>
      <c r="J119" s="21" t="s">
        <v>4134</v>
      </c>
      <c r="K119" s="564" t="s">
        <v>4135</v>
      </c>
      <c r="L119" s="565" t="s">
        <v>1826</v>
      </c>
      <c r="M119" s="565" t="s">
        <v>111</v>
      </c>
      <c r="N119" s="565" t="s">
        <v>1818</v>
      </c>
      <c r="O119" s="151" t="s">
        <v>1819</v>
      </c>
      <c r="P119" s="22" t="s">
        <v>1880</v>
      </c>
      <c r="Q119" s="564" t="s">
        <v>1831</v>
      </c>
      <c r="R119" s="564" t="s">
        <v>1831</v>
      </c>
      <c r="S119" s="24" t="s">
        <v>6012</v>
      </c>
      <c r="T119" s="90" t="s">
        <v>6003</v>
      </c>
      <c r="U119" s="565" t="s">
        <v>2359</v>
      </c>
      <c r="V119" s="565">
        <v>1</v>
      </c>
      <c r="W119" s="24" t="s">
        <v>6006</v>
      </c>
      <c r="X119" s="24" t="s">
        <v>6007</v>
      </c>
      <c r="Y119" s="30"/>
      <c r="Z119" s="30">
        <v>7</v>
      </c>
      <c r="AA119" s="30">
        <v>7</v>
      </c>
      <c r="AB119" s="59"/>
      <c r="AC119" s="59"/>
      <c r="AD119" s="35" t="s">
        <v>1104</v>
      </c>
      <c r="AE119" s="202" t="s">
        <v>19</v>
      </c>
      <c r="AF119" s="35" t="s">
        <v>1880</v>
      </c>
      <c r="AG119" s="566" t="s">
        <v>6008</v>
      </c>
    </row>
    <row r="120" spans="1:33" s="11" customFormat="1" ht="26.25" customHeight="1" x14ac:dyDescent="0.15">
      <c r="A120" s="8">
        <v>119</v>
      </c>
      <c r="B120" s="36" t="s">
        <v>6001</v>
      </c>
      <c r="C120" s="565" t="s">
        <v>111</v>
      </c>
      <c r="D120" s="565" t="s">
        <v>111</v>
      </c>
      <c r="E120" s="565" t="s">
        <v>111</v>
      </c>
      <c r="F120" s="54" t="s">
        <v>4141</v>
      </c>
      <c r="G120" s="98" t="s">
        <v>6004</v>
      </c>
      <c r="H120" s="565" t="s">
        <v>2135</v>
      </c>
      <c r="I120" s="565" t="s">
        <v>2533</v>
      </c>
      <c r="J120" s="21" t="s">
        <v>4143</v>
      </c>
      <c r="K120" s="564" t="s">
        <v>4144</v>
      </c>
      <c r="L120" s="565" t="s">
        <v>1826</v>
      </c>
      <c r="M120" s="565" t="s">
        <v>111</v>
      </c>
      <c r="N120" s="565" t="s">
        <v>1818</v>
      </c>
      <c r="O120" s="151" t="s">
        <v>1819</v>
      </c>
      <c r="P120" s="22" t="s">
        <v>1880</v>
      </c>
      <c r="Q120" s="564" t="s">
        <v>1831</v>
      </c>
      <c r="R120" s="564" t="s">
        <v>1831</v>
      </c>
      <c r="S120" s="24" t="s">
        <v>6012</v>
      </c>
      <c r="T120" s="90" t="s">
        <v>6003</v>
      </c>
      <c r="U120" s="565" t="s">
        <v>2359</v>
      </c>
      <c r="V120" s="565">
        <v>1</v>
      </c>
      <c r="W120" s="24" t="s">
        <v>6006</v>
      </c>
      <c r="X120" s="24" t="s">
        <v>6007</v>
      </c>
      <c r="Y120" s="30"/>
      <c r="Z120" s="30">
        <v>7</v>
      </c>
      <c r="AA120" s="30">
        <v>7</v>
      </c>
      <c r="AB120" s="59"/>
      <c r="AC120" s="59"/>
      <c r="AD120" s="35" t="s">
        <v>1104</v>
      </c>
      <c r="AE120" s="202" t="s">
        <v>19</v>
      </c>
      <c r="AF120" s="35" t="s">
        <v>1880</v>
      </c>
      <c r="AG120" s="566" t="s">
        <v>6008</v>
      </c>
    </row>
    <row r="121" spans="1:33" s="11" customFormat="1" ht="26.25" customHeight="1" x14ac:dyDescent="0.15">
      <c r="A121" s="8">
        <v>120</v>
      </c>
      <c r="B121" s="36" t="s">
        <v>6011</v>
      </c>
      <c r="C121" s="565" t="s">
        <v>111</v>
      </c>
      <c r="D121" s="565" t="s">
        <v>111</v>
      </c>
      <c r="E121" s="565" t="s">
        <v>111</v>
      </c>
      <c r="F121" s="54" t="s">
        <v>5389</v>
      </c>
      <c r="G121" s="98" t="s">
        <v>5504</v>
      </c>
      <c r="H121" s="565" t="s">
        <v>2135</v>
      </c>
      <c r="I121" s="565" t="s">
        <v>2533</v>
      </c>
      <c r="J121" s="21" t="s">
        <v>5390</v>
      </c>
      <c r="K121" s="565" t="s">
        <v>1138</v>
      </c>
      <c r="L121" s="565" t="s">
        <v>2142</v>
      </c>
      <c r="M121" s="565" t="s">
        <v>111</v>
      </c>
      <c r="N121" s="565" t="s">
        <v>2422</v>
      </c>
      <c r="O121" s="151" t="s">
        <v>1819</v>
      </c>
      <c r="P121" s="22" t="s">
        <v>1880</v>
      </c>
      <c r="Q121" s="564" t="s">
        <v>1831</v>
      </c>
      <c r="R121" s="564" t="s">
        <v>1831</v>
      </c>
      <c r="S121" s="24" t="s">
        <v>6012</v>
      </c>
      <c r="T121" s="90" t="s">
        <v>6003</v>
      </c>
      <c r="U121" s="565" t="s">
        <v>2359</v>
      </c>
      <c r="V121" s="565">
        <v>1</v>
      </c>
      <c r="W121" s="24" t="s">
        <v>6006</v>
      </c>
      <c r="X121" s="24" t="s">
        <v>6007</v>
      </c>
      <c r="Y121" s="30"/>
      <c r="Z121" s="30">
        <v>7</v>
      </c>
      <c r="AA121" s="30">
        <v>7</v>
      </c>
      <c r="AB121" s="59"/>
      <c r="AC121" s="59"/>
      <c r="AD121" s="35" t="s">
        <v>1104</v>
      </c>
      <c r="AE121" s="202" t="s">
        <v>19</v>
      </c>
      <c r="AF121" s="35" t="s">
        <v>1880</v>
      </c>
      <c r="AG121" s="566" t="s">
        <v>6008</v>
      </c>
    </row>
    <row r="122" spans="1:33" s="11" customFormat="1" ht="26.25" customHeight="1" x14ac:dyDescent="0.15">
      <c r="A122" s="8">
        <v>121</v>
      </c>
      <c r="B122" s="36" t="s">
        <v>6013</v>
      </c>
      <c r="C122" s="569" t="s">
        <v>111</v>
      </c>
      <c r="D122" s="569" t="s">
        <v>111</v>
      </c>
      <c r="E122" s="569" t="s">
        <v>111</v>
      </c>
      <c r="F122" s="29" t="s">
        <v>6015</v>
      </c>
      <c r="G122" s="53" t="s">
        <v>6016</v>
      </c>
      <c r="H122" s="567" t="s">
        <v>4195</v>
      </c>
      <c r="I122" s="567" t="s">
        <v>6017</v>
      </c>
      <c r="J122" s="567" t="s">
        <v>6018</v>
      </c>
      <c r="K122" s="22" t="s">
        <v>6019</v>
      </c>
      <c r="L122" s="22" t="s">
        <v>5431</v>
      </c>
      <c r="M122" s="569" t="s">
        <v>111</v>
      </c>
      <c r="N122" s="568" t="s">
        <v>1131</v>
      </c>
      <c r="O122" s="54" t="s">
        <v>6020</v>
      </c>
      <c r="P122" s="22" t="s">
        <v>1880</v>
      </c>
      <c r="Q122" s="568" t="s">
        <v>5480</v>
      </c>
      <c r="R122" s="568" t="s">
        <v>5480</v>
      </c>
      <c r="S122" s="24" t="s">
        <v>6021</v>
      </c>
      <c r="T122" s="90" t="s">
        <v>6003</v>
      </c>
      <c r="U122" s="569" t="s">
        <v>2359</v>
      </c>
      <c r="V122" s="569">
        <v>1</v>
      </c>
      <c r="W122" s="24" t="s">
        <v>1880</v>
      </c>
      <c r="X122" s="24" t="s">
        <v>1880</v>
      </c>
      <c r="Y122" s="30">
        <v>2</v>
      </c>
      <c r="Z122" s="30"/>
      <c r="AA122" s="30">
        <v>2</v>
      </c>
      <c r="AB122" s="59"/>
      <c r="AC122" s="59"/>
      <c r="AD122" s="35" t="s">
        <v>1104</v>
      </c>
      <c r="AE122" s="202" t="s">
        <v>19</v>
      </c>
      <c r="AF122" s="35" t="s">
        <v>1880</v>
      </c>
      <c r="AG122" s="568"/>
    </row>
    <row r="123" spans="1:33" s="11" customFormat="1" ht="26.25" customHeight="1" x14ac:dyDescent="0.15">
      <c r="A123" s="8">
        <v>122</v>
      </c>
      <c r="B123" s="36" t="s">
        <v>6014</v>
      </c>
      <c r="C123" s="569" t="s">
        <v>111</v>
      </c>
      <c r="D123" s="569" t="s">
        <v>111</v>
      </c>
      <c r="E123" s="569" t="s">
        <v>111</v>
      </c>
      <c r="F123" s="29" t="s">
        <v>6022</v>
      </c>
      <c r="G123" s="53" t="s">
        <v>6023</v>
      </c>
      <c r="H123" s="567" t="s">
        <v>4195</v>
      </c>
      <c r="I123" s="567" t="s">
        <v>6017</v>
      </c>
      <c r="J123" s="567" t="s">
        <v>6024</v>
      </c>
      <c r="K123" s="22" t="s">
        <v>6025</v>
      </c>
      <c r="L123" s="22" t="s">
        <v>5431</v>
      </c>
      <c r="M123" s="569" t="s">
        <v>111</v>
      </c>
      <c r="N123" s="568" t="s">
        <v>1131</v>
      </c>
      <c r="O123" s="54" t="s">
        <v>6020</v>
      </c>
      <c r="P123" s="22" t="s">
        <v>1880</v>
      </c>
      <c r="Q123" s="568" t="s">
        <v>5480</v>
      </c>
      <c r="R123" s="568" t="s">
        <v>5480</v>
      </c>
      <c r="S123" s="24" t="s">
        <v>6021</v>
      </c>
      <c r="T123" s="90" t="s">
        <v>6003</v>
      </c>
      <c r="U123" s="569" t="s">
        <v>2359</v>
      </c>
      <c r="V123" s="569">
        <v>1</v>
      </c>
      <c r="W123" s="24" t="s">
        <v>1880</v>
      </c>
      <c r="X123" s="24" t="s">
        <v>1880</v>
      </c>
      <c r="Y123" s="30">
        <v>2</v>
      </c>
      <c r="Z123" s="30"/>
      <c r="AA123" s="30">
        <v>2</v>
      </c>
      <c r="AB123" s="59"/>
      <c r="AC123" s="59"/>
      <c r="AD123" s="35" t="s">
        <v>1104</v>
      </c>
      <c r="AE123" s="202" t="s">
        <v>19</v>
      </c>
      <c r="AF123" s="35" t="s">
        <v>1880</v>
      </c>
      <c r="AG123" s="568"/>
    </row>
    <row r="124" spans="1:33" s="11" customFormat="1" ht="26.25" customHeight="1" x14ac:dyDescent="0.15">
      <c r="A124" s="8">
        <v>123</v>
      </c>
      <c r="B124" s="36" t="s">
        <v>6026</v>
      </c>
      <c r="C124" s="572" t="s">
        <v>111</v>
      </c>
      <c r="D124" s="572" t="s">
        <v>111</v>
      </c>
      <c r="E124" s="572" t="s">
        <v>111</v>
      </c>
      <c r="F124" s="29" t="s">
        <v>6028</v>
      </c>
      <c r="G124" s="29" t="s">
        <v>6027</v>
      </c>
      <c r="H124" s="570" t="s">
        <v>4195</v>
      </c>
      <c r="I124" s="570" t="s">
        <v>4945</v>
      </c>
      <c r="J124" s="570" t="s">
        <v>4946</v>
      </c>
      <c r="K124" s="22" t="s">
        <v>6029</v>
      </c>
      <c r="L124" s="22" t="s">
        <v>5431</v>
      </c>
      <c r="M124" s="572" t="s">
        <v>111</v>
      </c>
      <c r="N124" s="571" t="s">
        <v>1131</v>
      </c>
      <c r="O124" s="54" t="s">
        <v>6020</v>
      </c>
      <c r="P124" s="22" t="s">
        <v>1880</v>
      </c>
      <c r="Q124" s="571" t="s">
        <v>5480</v>
      </c>
      <c r="R124" s="571" t="s">
        <v>5480</v>
      </c>
      <c r="S124" s="24" t="s">
        <v>6030</v>
      </c>
      <c r="T124" s="90" t="s">
        <v>6003</v>
      </c>
      <c r="U124" s="572" t="s">
        <v>2359</v>
      </c>
      <c r="V124" s="572">
        <v>1</v>
      </c>
      <c r="W124" s="24" t="s">
        <v>1880</v>
      </c>
      <c r="X124" s="24" t="s">
        <v>1880</v>
      </c>
      <c r="Y124" s="30">
        <v>2</v>
      </c>
      <c r="Z124" s="30"/>
      <c r="AA124" s="30">
        <v>2</v>
      </c>
      <c r="AB124" s="59"/>
      <c r="AC124" s="59"/>
      <c r="AD124" s="35" t="s">
        <v>1104</v>
      </c>
      <c r="AE124" s="202" t="s">
        <v>19</v>
      </c>
      <c r="AF124" s="35" t="s">
        <v>1880</v>
      </c>
      <c r="AG124" s="571"/>
    </row>
    <row r="125" spans="1:33" s="11" customFormat="1" ht="36" customHeight="1" x14ac:dyDescent="0.15">
      <c r="A125" s="8">
        <v>124</v>
      </c>
      <c r="B125" s="36" t="s">
        <v>6037</v>
      </c>
      <c r="C125" s="71" t="s">
        <v>6038</v>
      </c>
      <c r="D125" s="575" t="s">
        <v>111</v>
      </c>
      <c r="E125" s="36" t="s">
        <v>6142</v>
      </c>
      <c r="F125" s="29" t="s">
        <v>6031</v>
      </c>
      <c r="G125" s="53" t="s">
        <v>6032</v>
      </c>
      <c r="H125" s="573" t="s">
        <v>3649</v>
      </c>
      <c r="I125" s="573" t="s">
        <v>1124</v>
      </c>
      <c r="J125" s="573" t="s">
        <v>6033</v>
      </c>
      <c r="K125" s="22" t="s">
        <v>4780</v>
      </c>
      <c r="L125" s="22" t="s">
        <v>5431</v>
      </c>
      <c r="M125" s="575" t="s">
        <v>111</v>
      </c>
      <c r="N125" s="574" t="s">
        <v>1131</v>
      </c>
      <c r="O125" s="54" t="s">
        <v>6036</v>
      </c>
      <c r="P125" s="22" t="s">
        <v>1880</v>
      </c>
      <c r="Q125" s="571" t="s">
        <v>5692</v>
      </c>
      <c r="R125" s="571" t="s">
        <v>854</v>
      </c>
      <c r="S125" s="24" t="s">
        <v>6039</v>
      </c>
      <c r="T125" s="90" t="s">
        <v>6034</v>
      </c>
      <c r="U125" s="24" t="s">
        <v>110</v>
      </c>
      <c r="V125" s="24">
        <v>2</v>
      </c>
      <c r="W125" s="24" t="s">
        <v>6035</v>
      </c>
      <c r="X125" s="24" t="s">
        <v>5552</v>
      </c>
      <c r="Y125" s="30">
        <v>20.89</v>
      </c>
      <c r="Z125" s="30">
        <v>5</v>
      </c>
      <c r="AA125" s="30">
        <v>25.89</v>
      </c>
      <c r="AB125" s="59"/>
      <c r="AC125" s="59"/>
      <c r="AD125" s="35" t="s">
        <v>1104</v>
      </c>
      <c r="AE125" s="202" t="s">
        <v>19</v>
      </c>
      <c r="AF125" s="35" t="s">
        <v>1880</v>
      </c>
      <c r="AG125" s="571"/>
    </row>
    <row r="126" spans="1:33" s="11" customFormat="1" ht="26.25" customHeight="1" x14ac:dyDescent="0.15">
      <c r="A126" s="8">
        <v>125</v>
      </c>
      <c r="B126" s="36" t="s">
        <v>6040</v>
      </c>
      <c r="C126" s="578" t="s">
        <v>111</v>
      </c>
      <c r="D126" s="578" t="s">
        <v>111</v>
      </c>
      <c r="E126" s="578" t="s">
        <v>111</v>
      </c>
      <c r="F126" s="29" t="s">
        <v>6046</v>
      </c>
      <c r="G126" s="53" t="s">
        <v>6042</v>
      </c>
      <c r="H126" s="576" t="s">
        <v>5456</v>
      </c>
      <c r="I126" s="576" t="s">
        <v>1124</v>
      </c>
      <c r="J126" s="576" t="s">
        <v>6041</v>
      </c>
      <c r="K126" s="22" t="s">
        <v>4780</v>
      </c>
      <c r="L126" s="22" t="s">
        <v>5431</v>
      </c>
      <c r="M126" s="578" t="s">
        <v>111</v>
      </c>
      <c r="N126" s="579" t="s">
        <v>1131</v>
      </c>
      <c r="O126" s="54" t="s">
        <v>6043</v>
      </c>
      <c r="P126" s="22" t="s">
        <v>1880</v>
      </c>
      <c r="Q126" s="577" t="s">
        <v>5489</v>
      </c>
      <c r="R126" s="577" t="s">
        <v>5489</v>
      </c>
      <c r="S126" s="24" t="s">
        <v>6044</v>
      </c>
      <c r="T126" s="90" t="s">
        <v>6045</v>
      </c>
      <c r="U126" s="580" t="s">
        <v>2359</v>
      </c>
      <c r="V126" s="580">
        <v>1</v>
      </c>
      <c r="W126" s="24" t="s">
        <v>1880</v>
      </c>
      <c r="X126" s="24" t="s">
        <v>1880</v>
      </c>
      <c r="Y126" s="30">
        <v>2.9</v>
      </c>
      <c r="Z126" s="30"/>
      <c r="AA126" s="30">
        <v>2.9</v>
      </c>
      <c r="AB126" s="59"/>
      <c r="AC126" s="59"/>
      <c r="AD126" s="35" t="s">
        <v>1104</v>
      </c>
      <c r="AE126" s="202" t="s">
        <v>19</v>
      </c>
      <c r="AF126" s="35" t="s">
        <v>1880</v>
      </c>
      <c r="AG126" s="577"/>
    </row>
    <row r="127" spans="1:33" s="11" customFormat="1" ht="26.25" customHeight="1" x14ac:dyDescent="0.15">
      <c r="A127" s="8">
        <v>126</v>
      </c>
      <c r="B127" s="36" t="s">
        <v>6047</v>
      </c>
      <c r="C127" s="583" t="s">
        <v>111</v>
      </c>
      <c r="D127" s="583" t="s">
        <v>111</v>
      </c>
      <c r="E127" s="583" t="s">
        <v>111</v>
      </c>
      <c r="F127" s="29" t="s">
        <v>6048</v>
      </c>
      <c r="G127" s="53" t="s">
        <v>6049</v>
      </c>
      <c r="H127" s="581" t="s">
        <v>4712</v>
      </c>
      <c r="I127" s="581" t="s">
        <v>4692</v>
      </c>
      <c r="J127" s="581" t="s">
        <v>6050</v>
      </c>
      <c r="K127" s="22" t="s">
        <v>1622</v>
      </c>
      <c r="L127" s="22" t="s">
        <v>5431</v>
      </c>
      <c r="M127" s="583" t="s">
        <v>111</v>
      </c>
      <c r="N127" s="582" t="s">
        <v>1131</v>
      </c>
      <c r="O127" s="54" t="s">
        <v>116</v>
      </c>
      <c r="P127" s="22" t="s">
        <v>1880</v>
      </c>
      <c r="Q127" s="582" t="s">
        <v>5571</v>
      </c>
      <c r="R127" s="582" t="s">
        <v>5571</v>
      </c>
      <c r="S127" s="24" t="s">
        <v>6051</v>
      </c>
      <c r="T127" s="90" t="s">
        <v>5991</v>
      </c>
      <c r="U127" s="24" t="s">
        <v>110</v>
      </c>
      <c r="V127" s="24">
        <v>2</v>
      </c>
      <c r="W127" s="24" t="s">
        <v>5473</v>
      </c>
      <c r="X127" s="24" t="s">
        <v>5162</v>
      </c>
      <c r="Y127" s="96"/>
      <c r="Z127" s="30">
        <v>11</v>
      </c>
      <c r="AA127" s="30">
        <v>11</v>
      </c>
      <c r="AB127" s="59"/>
      <c r="AC127" s="59"/>
      <c r="AD127" s="35" t="s">
        <v>1104</v>
      </c>
      <c r="AE127" s="202" t="s">
        <v>19</v>
      </c>
      <c r="AF127" s="35" t="s">
        <v>1880</v>
      </c>
      <c r="AG127" s="582"/>
    </row>
    <row r="128" spans="1:33" s="11" customFormat="1" ht="26.25" customHeight="1" x14ac:dyDescent="0.15">
      <c r="A128" s="8">
        <v>127</v>
      </c>
      <c r="B128" s="36" t="s">
        <v>6052</v>
      </c>
      <c r="C128" s="586" t="s">
        <v>111</v>
      </c>
      <c r="D128" s="770" t="s">
        <v>6699</v>
      </c>
      <c r="E128" s="586" t="s">
        <v>111</v>
      </c>
      <c r="F128" s="29" t="s">
        <v>6053</v>
      </c>
      <c r="G128" s="53" t="s">
        <v>6054</v>
      </c>
      <c r="H128" s="584" t="s">
        <v>3649</v>
      </c>
      <c r="I128" s="584" t="s">
        <v>4196</v>
      </c>
      <c r="J128" s="584" t="s">
        <v>6055</v>
      </c>
      <c r="K128" s="22" t="s">
        <v>1651</v>
      </c>
      <c r="L128" s="22" t="s">
        <v>5431</v>
      </c>
      <c r="M128" s="586" t="s">
        <v>111</v>
      </c>
      <c r="N128" s="585" t="s">
        <v>1131</v>
      </c>
      <c r="O128" s="54" t="s">
        <v>6056</v>
      </c>
      <c r="P128" s="22" t="s">
        <v>1880</v>
      </c>
      <c r="Q128" s="582" t="s">
        <v>854</v>
      </c>
      <c r="R128" s="582" t="s">
        <v>854</v>
      </c>
      <c r="S128" s="24" t="s">
        <v>6057</v>
      </c>
      <c r="T128" s="90" t="s">
        <v>6003</v>
      </c>
      <c r="U128" s="586" t="s">
        <v>2359</v>
      </c>
      <c r="V128" s="586">
        <v>1</v>
      </c>
      <c r="W128" s="24" t="s">
        <v>6006</v>
      </c>
      <c r="X128" s="24" t="s">
        <v>6058</v>
      </c>
      <c r="Y128" s="96"/>
      <c r="Z128" s="30">
        <v>27</v>
      </c>
      <c r="AA128" s="30">
        <v>27</v>
      </c>
      <c r="AB128" s="59"/>
      <c r="AC128" s="59"/>
      <c r="AD128" s="35" t="s">
        <v>1104</v>
      </c>
      <c r="AE128" s="202" t="s">
        <v>19</v>
      </c>
      <c r="AF128" s="35" t="s">
        <v>1880</v>
      </c>
      <c r="AG128" s="582"/>
    </row>
    <row r="129" spans="1:33" s="11" customFormat="1" ht="26.25" customHeight="1" x14ac:dyDescent="0.15">
      <c r="A129" s="8">
        <v>128</v>
      </c>
      <c r="B129" s="36" t="s">
        <v>6059</v>
      </c>
      <c r="C129" s="587" t="s">
        <v>111</v>
      </c>
      <c r="D129" s="587" t="s">
        <v>6060</v>
      </c>
      <c r="E129" s="587" t="s">
        <v>111</v>
      </c>
      <c r="F129" s="29" t="s">
        <v>6061</v>
      </c>
      <c r="G129" s="99" t="s">
        <v>5486</v>
      </c>
      <c r="H129" s="576" t="s">
        <v>4712</v>
      </c>
      <c r="I129" s="576" t="s">
        <v>4728</v>
      </c>
      <c r="J129" s="576" t="s">
        <v>6062</v>
      </c>
      <c r="K129" s="22" t="s">
        <v>4780</v>
      </c>
      <c r="L129" s="22" t="s">
        <v>5431</v>
      </c>
      <c r="M129" s="587" t="s">
        <v>111</v>
      </c>
      <c r="N129" s="577" t="s">
        <v>1131</v>
      </c>
      <c r="O129" s="54" t="s">
        <v>5567</v>
      </c>
      <c r="P129" s="22" t="s">
        <v>1880</v>
      </c>
      <c r="Q129" s="577" t="s">
        <v>5571</v>
      </c>
      <c r="R129" s="577" t="s">
        <v>5571</v>
      </c>
      <c r="S129" s="24" t="s">
        <v>6063</v>
      </c>
      <c r="T129" s="90" t="s">
        <v>448</v>
      </c>
      <c r="U129" s="24" t="s">
        <v>448</v>
      </c>
      <c r="V129" s="24" t="s">
        <v>448</v>
      </c>
      <c r="W129" s="24" t="s">
        <v>448</v>
      </c>
      <c r="X129" s="24" t="s">
        <v>448</v>
      </c>
      <c r="Y129" s="30">
        <v>2.4</v>
      </c>
      <c r="Z129" s="30"/>
      <c r="AA129" s="30">
        <v>2.4</v>
      </c>
      <c r="AB129" s="59"/>
      <c r="AC129" s="59"/>
      <c r="AD129" s="35" t="s">
        <v>1104</v>
      </c>
      <c r="AE129" s="202" t="s">
        <v>19</v>
      </c>
      <c r="AF129" s="35" t="s">
        <v>1880</v>
      </c>
      <c r="AG129" s="577"/>
    </row>
    <row r="130" spans="1:33" s="11" customFormat="1" ht="26.25" customHeight="1" x14ac:dyDescent="0.15">
      <c r="A130" s="8">
        <v>129</v>
      </c>
      <c r="B130" s="36" t="s">
        <v>6064</v>
      </c>
      <c r="C130" s="590" t="s">
        <v>111</v>
      </c>
      <c r="D130" s="590" t="s">
        <v>111</v>
      </c>
      <c r="E130" s="590" t="s">
        <v>111</v>
      </c>
      <c r="F130" s="29" t="s">
        <v>5968</v>
      </c>
      <c r="G130" s="53" t="s">
        <v>6065</v>
      </c>
      <c r="H130" s="588" t="s">
        <v>4195</v>
      </c>
      <c r="I130" s="588" t="s">
        <v>1124</v>
      </c>
      <c r="J130" s="588" t="s">
        <v>5970</v>
      </c>
      <c r="K130" s="22" t="s">
        <v>4780</v>
      </c>
      <c r="L130" s="22" t="s">
        <v>5431</v>
      </c>
      <c r="M130" s="590" t="s">
        <v>111</v>
      </c>
      <c r="N130" s="589" t="s">
        <v>1131</v>
      </c>
      <c r="O130" s="54" t="s">
        <v>116</v>
      </c>
      <c r="P130" s="22" t="s">
        <v>1880</v>
      </c>
      <c r="Q130" s="589" t="s">
        <v>5480</v>
      </c>
      <c r="R130" s="589" t="s">
        <v>5480</v>
      </c>
      <c r="S130" s="24" t="s">
        <v>6066</v>
      </c>
      <c r="T130" s="90" t="s">
        <v>6003</v>
      </c>
      <c r="U130" s="590" t="s">
        <v>2359</v>
      </c>
      <c r="V130" s="590">
        <v>1</v>
      </c>
      <c r="W130" s="24" t="s">
        <v>6006</v>
      </c>
      <c r="X130" s="24" t="s">
        <v>6007</v>
      </c>
      <c r="Y130" s="30"/>
      <c r="Z130" s="30">
        <v>12</v>
      </c>
      <c r="AA130" s="30">
        <v>12</v>
      </c>
      <c r="AB130" s="59"/>
      <c r="AC130" s="59"/>
      <c r="AD130" s="35" t="s">
        <v>1104</v>
      </c>
      <c r="AE130" s="202" t="s">
        <v>19</v>
      </c>
      <c r="AF130" s="35" t="s">
        <v>1880</v>
      </c>
      <c r="AG130" s="589"/>
    </row>
    <row r="131" spans="1:33" s="11" customFormat="1" ht="26.25" customHeight="1" x14ac:dyDescent="0.15">
      <c r="A131" s="8">
        <v>130</v>
      </c>
      <c r="B131" s="36" t="s">
        <v>6067</v>
      </c>
      <c r="C131" s="590" t="s">
        <v>111</v>
      </c>
      <c r="D131" s="590" t="s">
        <v>111</v>
      </c>
      <c r="E131" s="590" t="s">
        <v>111</v>
      </c>
      <c r="F131" s="29" t="s">
        <v>6068</v>
      </c>
      <c r="G131" s="53" t="s">
        <v>6069</v>
      </c>
      <c r="H131" s="589" t="s">
        <v>4195</v>
      </c>
      <c r="I131" s="589" t="s">
        <v>1124</v>
      </c>
      <c r="J131" s="589" t="s">
        <v>4706</v>
      </c>
      <c r="K131" s="22" t="s">
        <v>4168</v>
      </c>
      <c r="L131" s="22" t="s">
        <v>1826</v>
      </c>
      <c r="M131" s="590" t="s">
        <v>111</v>
      </c>
      <c r="N131" s="221" t="s">
        <v>1818</v>
      </c>
      <c r="O131" s="222" t="s">
        <v>1819</v>
      </c>
      <c r="P131" s="22" t="s">
        <v>1880</v>
      </c>
      <c r="Q131" s="589" t="s">
        <v>5480</v>
      </c>
      <c r="R131" s="589" t="s">
        <v>5480</v>
      </c>
      <c r="S131" s="24" t="s">
        <v>6066</v>
      </c>
      <c r="T131" s="90" t="s">
        <v>6003</v>
      </c>
      <c r="U131" s="590" t="s">
        <v>2359</v>
      </c>
      <c r="V131" s="590">
        <v>1</v>
      </c>
      <c r="W131" s="24" t="s">
        <v>6070</v>
      </c>
      <c r="X131" s="24" t="s">
        <v>6071</v>
      </c>
      <c r="Y131" s="30"/>
      <c r="Z131" s="30">
        <v>12</v>
      </c>
      <c r="AA131" s="30">
        <v>12</v>
      </c>
      <c r="AB131" s="59"/>
      <c r="AC131" s="59"/>
      <c r="AD131" s="35" t="s">
        <v>1104</v>
      </c>
      <c r="AE131" s="202" t="s">
        <v>19</v>
      </c>
      <c r="AF131" s="35" t="s">
        <v>1880</v>
      </c>
      <c r="AG131" s="589"/>
    </row>
    <row r="132" spans="1:33" s="11" customFormat="1" ht="26.25" customHeight="1" x14ac:dyDescent="0.15">
      <c r="A132" s="8">
        <v>131</v>
      </c>
      <c r="B132" s="36" t="s">
        <v>6072</v>
      </c>
      <c r="C132" s="590" t="s">
        <v>111</v>
      </c>
      <c r="D132" s="590" t="s">
        <v>111</v>
      </c>
      <c r="E132" s="590" t="s">
        <v>111</v>
      </c>
      <c r="F132" s="29" t="s">
        <v>6073</v>
      </c>
      <c r="G132" s="53" t="s">
        <v>6074</v>
      </c>
      <c r="H132" s="588" t="s">
        <v>2012</v>
      </c>
      <c r="I132" s="588" t="s">
        <v>1866</v>
      </c>
      <c r="J132" s="588" t="s">
        <v>3924</v>
      </c>
      <c r="K132" s="588" t="s">
        <v>5170</v>
      </c>
      <c r="L132" s="22" t="s">
        <v>1826</v>
      </c>
      <c r="M132" s="22" t="s">
        <v>1880</v>
      </c>
      <c r="N132" s="589" t="s">
        <v>102</v>
      </c>
      <c r="O132" s="54" t="s">
        <v>1819</v>
      </c>
      <c r="P132" s="22" t="s">
        <v>1880</v>
      </c>
      <c r="Q132" s="589" t="s">
        <v>6082</v>
      </c>
      <c r="R132" s="589" t="s">
        <v>6082</v>
      </c>
      <c r="S132" s="24" t="s">
        <v>6066</v>
      </c>
      <c r="T132" s="90" t="s">
        <v>6057</v>
      </c>
      <c r="U132" s="590" t="s">
        <v>2359</v>
      </c>
      <c r="V132" s="590">
        <v>1</v>
      </c>
      <c r="W132" s="24" t="s">
        <v>6057</v>
      </c>
      <c r="X132" s="24" t="s">
        <v>6075</v>
      </c>
      <c r="Y132" s="30"/>
      <c r="Z132" s="30">
        <v>10</v>
      </c>
      <c r="AA132" s="30">
        <v>10</v>
      </c>
      <c r="AB132" s="59"/>
      <c r="AC132" s="59"/>
      <c r="AD132" s="35" t="s">
        <v>1104</v>
      </c>
      <c r="AE132" s="202" t="s">
        <v>19</v>
      </c>
      <c r="AF132" s="35" t="s">
        <v>1880</v>
      </c>
      <c r="AG132" s="589"/>
    </row>
    <row r="133" spans="1:33" s="11" customFormat="1" ht="26.25" customHeight="1" x14ac:dyDescent="0.15">
      <c r="A133" s="8">
        <v>132</v>
      </c>
      <c r="B133" s="36" t="s">
        <v>6076</v>
      </c>
      <c r="C133" s="590" t="s">
        <v>111</v>
      </c>
      <c r="D133" s="590" t="s">
        <v>111</v>
      </c>
      <c r="E133" s="590" t="s">
        <v>111</v>
      </c>
      <c r="F133" s="29" t="s">
        <v>6078</v>
      </c>
      <c r="G133" s="53" t="s">
        <v>6077</v>
      </c>
      <c r="H133" s="588" t="s">
        <v>3649</v>
      </c>
      <c r="I133" s="588" t="s">
        <v>6079</v>
      </c>
      <c r="J133" s="588" t="s">
        <v>6080</v>
      </c>
      <c r="K133" s="22" t="s">
        <v>4780</v>
      </c>
      <c r="L133" s="22" t="s">
        <v>5431</v>
      </c>
      <c r="M133" s="22" t="s">
        <v>1880</v>
      </c>
      <c r="N133" s="589" t="s">
        <v>102</v>
      </c>
      <c r="O133" s="54" t="s">
        <v>116</v>
      </c>
      <c r="P133" s="22" t="s">
        <v>1880</v>
      </c>
      <c r="Q133" s="589" t="s">
        <v>854</v>
      </c>
      <c r="R133" s="589" t="s">
        <v>854</v>
      </c>
      <c r="S133" s="24" t="s">
        <v>6066</v>
      </c>
      <c r="T133" s="90" t="s">
        <v>6081</v>
      </c>
      <c r="U133" s="24" t="s">
        <v>110</v>
      </c>
      <c r="V133" s="24">
        <v>1</v>
      </c>
      <c r="W133" s="24" t="s">
        <v>6087</v>
      </c>
      <c r="X133" s="24" t="s">
        <v>448</v>
      </c>
      <c r="Y133" s="30"/>
      <c r="Z133" s="30">
        <v>10</v>
      </c>
      <c r="AA133" s="30">
        <v>10</v>
      </c>
      <c r="AB133" s="59"/>
      <c r="AC133" s="59"/>
      <c r="AD133" s="35" t="s">
        <v>1104</v>
      </c>
      <c r="AE133" s="202" t="s">
        <v>19</v>
      </c>
      <c r="AF133" s="35" t="s">
        <v>1880</v>
      </c>
      <c r="AG133" s="589"/>
    </row>
    <row r="134" spans="1:33" s="11" customFormat="1" ht="32.25" customHeight="1" x14ac:dyDescent="0.15">
      <c r="A134" s="8">
        <v>133</v>
      </c>
      <c r="B134" s="36" t="s">
        <v>6083</v>
      </c>
      <c r="C134" s="593" t="s">
        <v>111</v>
      </c>
      <c r="D134" s="593" t="s">
        <v>111</v>
      </c>
      <c r="E134" s="593" t="s">
        <v>111</v>
      </c>
      <c r="F134" s="29" t="s">
        <v>6078</v>
      </c>
      <c r="G134" s="53" t="s">
        <v>6084</v>
      </c>
      <c r="H134" s="593" t="s">
        <v>2135</v>
      </c>
      <c r="I134" s="593" t="s">
        <v>1136</v>
      </c>
      <c r="J134" s="593" t="s">
        <v>5188</v>
      </c>
      <c r="K134" s="22" t="s">
        <v>1138</v>
      </c>
      <c r="L134" s="593" t="s">
        <v>1826</v>
      </c>
      <c r="M134" s="593" t="s">
        <v>111</v>
      </c>
      <c r="N134" s="593" t="s">
        <v>1818</v>
      </c>
      <c r="O134" s="54" t="s">
        <v>5638</v>
      </c>
      <c r="P134" s="22" t="s">
        <v>1880</v>
      </c>
      <c r="Q134" s="592" t="s">
        <v>854</v>
      </c>
      <c r="R134" s="592" t="s">
        <v>854</v>
      </c>
      <c r="S134" s="24" t="s">
        <v>6085</v>
      </c>
      <c r="T134" s="90" t="s">
        <v>6086</v>
      </c>
      <c r="U134" s="24" t="s">
        <v>110</v>
      </c>
      <c r="V134" s="24">
        <v>1</v>
      </c>
      <c r="W134" s="24" t="s">
        <v>5925</v>
      </c>
      <c r="X134" s="24" t="s">
        <v>5926</v>
      </c>
      <c r="Y134" s="30"/>
      <c r="Z134" s="30">
        <v>13.3</v>
      </c>
      <c r="AA134" s="30">
        <v>13.3</v>
      </c>
      <c r="AB134" s="59"/>
      <c r="AC134" s="59"/>
      <c r="AD134" s="35" t="s">
        <v>1104</v>
      </c>
      <c r="AE134" s="202" t="s">
        <v>19</v>
      </c>
      <c r="AF134" s="35" t="s">
        <v>1880</v>
      </c>
      <c r="AG134" s="592"/>
    </row>
    <row r="135" spans="1:33" s="11" customFormat="1" ht="26.25" customHeight="1" x14ac:dyDescent="0.15">
      <c r="A135" s="8">
        <v>134</v>
      </c>
      <c r="B135" s="36" t="s">
        <v>6088</v>
      </c>
      <c r="C135" s="596" t="s">
        <v>111</v>
      </c>
      <c r="D135" s="596" t="s">
        <v>111</v>
      </c>
      <c r="E135" s="596" t="s">
        <v>111</v>
      </c>
      <c r="F135" s="29" t="s">
        <v>5554</v>
      </c>
      <c r="G135" s="53" t="s">
        <v>6094</v>
      </c>
      <c r="H135" s="596" t="s">
        <v>2135</v>
      </c>
      <c r="I135" s="596" t="s">
        <v>2533</v>
      </c>
      <c r="J135" s="21" t="s">
        <v>6095</v>
      </c>
      <c r="K135" s="22" t="s">
        <v>4098</v>
      </c>
      <c r="L135" s="22" t="s">
        <v>5478</v>
      </c>
      <c r="M135" s="596" t="s">
        <v>111</v>
      </c>
      <c r="N135" s="595" t="s">
        <v>4676</v>
      </c>
      <c r="O135" s="54" t="s">
        <v>116</v>
      </c>
      <c r="P135" s="22" t="s">
        <v>1880</v>
      </c>
      <c r="Q135" s="595" t="s">
        <v>854</v>
      </c>
      <c r="R135" s="595" t="s">
        <v>854</v>
      </c>
      <c r="S135" s="24" t="s">
        <v>6096</v>
      </c>
      <c r="T135" s="90" t="s">
        <v>5798</v>
      </c>
      <c r="U135" s="24" t="s">
        <v>110</v>
      </c>
      <c r="V135" s="24">
        <v>2</v>
      </c>
      <c r="W135" s="24" t="s">
        <v>6097</v>
      </c>
      <c r="X135" s="24" t="s">
        <v>6098</v>
      </c>
      <c r="Y135" s="30"/>
      <c r="Z135" s="30">
        <v>7</v>
      </c>
      <c r="AA135" s="30">
        <v>7</v>
      </c>
      <c r="AB135" s="59"/>
      <c r="AC135" s="59"/>
      <c r="AD135" s="35" t="s">
        <v>1104</v>
      </c>
      <c r="AE135" s="202" t="s">
        <v>19</v>
      </c>
      <c r="AF135" s="35" t="s">
        <v>1880</v>
      </c>
      <c r="AG135" s="595"/>
    </row>
    <row r="136" spans="1:33" s="11" customFormat="1" ht="26.25" customHeight="1" x14ac:dyDescent="0.15">
      <c r="A136" s="8">
        <v>135</v>
      </c>
      <c r="B136" s="36" t="s">
        <v>6089</v>
      </c>
      <c r="C136" s="596" t="s">
        <v>111</v>
      </c>
      <c r="D136" s="596" t="s">
        <v>111</v>
      </c>
      <c r="E136" s="596" t="s">
        <v>111</v>
      </c>
      <c r="F136" s="29" t="s">
        <v>5554</v>
      </c>
      <c r="G136" s="53" t="s">
        <v>5555</v>
      </c>
      <c r="H136" s="594" t="s">
        <v>3649</v>
      </c>
      <c r="I136" s="594" t="s">
        <v>4750</v>
      </c>
      <c r="J136" s="594" t="s">
        <v>5556</v>
      </c>
      <c r="K136" s="22" t="s">
        <v>5557</v>
      </c>
      <c r="L136" s="22" t="s">
        <v>2142</v>
      </c>
      <c r="M136" s="596" t="s">
        <v>111</v>
      </c>
      <c r="N136" s="595" t="s">
        <v>4676</v>
      </c>
      <c r="O136" s="54" t="s">
        <v>116</v>
      </c>
      <c r="P136" s="22" t="s">
        <v>1880</v>
      </c>
      <c r="Q136" s="595" t="s">
        <v>854</v>
      </c>
      <c r="R136" s="595" t="s">
        <v>854</v>
      </c>
      <c r="S136" s="24" t="s">
        <v>6096</v>
      </c>
      <c r="T136" s="90" t="s">
        <v>5798</v>
      </c>
      <c r="U136" s="24" t="s">
        <v>110</v>
      </c>
      <c r="V136" s="24">
        <v>2</v>
      </c>
      <c r="W136" s="24" t="s">
        <v>6097</v>
      </c>
      <c r="X136" s="24" t="s">
        <v>6098</v>
      </c>
      <c r="Y136" s="30"/>
      <c r="Z136" s="30">
        <v>7</v>
      </c>
      <c r="AA136" s="30">
        <v>7</v>
      </c>
      <c r="AB136" s="59"/>
      <c r="AC136" s="59"/>
      <c r="AD136" s="35" t="s">
        <v>1104</v>
      </c>
      <c r="AE136" s="202" t="s">
        <v>19</v>
      </c>
      <c r="AF136" s="35" t="s">
        <v>1880</v>
      </c>
      <c r="AG136" s="595"/>
    </row>
    <row r="137" spans="1:33" s="11" customFormat="1" ht="26.25" customHeight="1" x14ac:dyDescent="0.15">
      <c r="A137" s="8">
        <v>136</v>
      </c>
      <c r="B137" s="36" t="s">
        <v>6090</v>
      </c>
      <c r="C137" s="596" t="s">
        <v>111</v>
      </c>
      <c r="D137" s="596" t="s">
        <v>111</v>
      </c>
      <c r="E137" s="596" t="s">
        <v>111</v>
      </c>
      <c r="F137" s="29" t="s">
        <v>6099</v>
      </c>
      <c r="G137" s="53" t="s">
        <v>6100</v>
      </c>
      <c r="H137" s="594" t="s">
        <v>4691</v>
      </c>
      <c r="I137" s="594" t="s">
        <v>4750</v>
      </c>
      <c r="J137" s="594" t="s">
        <v>5366</v>
      </c>
      <c r="K137" s="22" t="s">
        <v>6101</v>
      </c>
      <c r="L137" s="22" t="s">
        <v>5431</v>
      </c>
      <c r="M137" s="596" t="s">
        <v>111</v>
      </c>
      <c r="N137" s="595" t="s">
        <v>1131</v>
      </c>
      <c r="O137" s="54" t="s">
        <v>116</v>
      </c>
      <c r="P137" s="22" t="s">
        <v>1880</v>
      </c>
      <c r="Q137" s="595" t="s">
        <v>5571</v>
      </c>
      <c r="R137" s="595" t="s">
        <v>5571</v>
      </c>
      <c r="S137" s="24" t="s">
        <v>6096</v>
      </c>
      <c r="T137" s="90" t="s">
        <v>6102</v>
      </c>
      <c r="U137" s="24" t="s">
        <v>110</v>
      </c>
      <c r="V137" s="24">
        <v>1</v>
      </c>
      <c r="W137" s="24" t="s">
        <v>5473</v>
      </c>
      <c r="X137" s="24" t="s">
        <v>5162</v>
      </c>
      <c r="Y137" s="30"/>
      <c r="Z137" s="30">
        <v>8.9</v>
      </c>
      <c r="AA137" s="30">
        <v>8.9</v>
      </c>
      <c r="AB137" s="59"/>
      <c r="AC137" s="59"/>
      <c r="AD137" s="35" t="s">
        <v>1104</v>
      </c>
      <c r="AE137" s="202" t="s">
        <v>19</v>
      </c>
      <c r="AF137" s="35" t="s">
        <v>1880</v>
      </c>
      <c r="AG137" s="595"/>
    </row>
    <row r="138" spans="1:33" s="11" customFormat="1" ht="26.25" customHeight="1" x14ac:dyDescent="0.15">
      <c r="A138" s="8">
        <v>137</v>
      </c>
      <c r="B138" s="36" t="s">
        <v>6091</v>
      </c>
      <c r="C138" s="71" t="s">
        <v>6105</v>
      </c>
      <c r="D138" s="596" t="s">
        <v>111</v>
      </c>
      <c r="E138" s="596" t="s">
        <v>111</v>
      </c>
      <c r="F138" s="29" t="s">
        <v>6103</v>
      </c>
      <c r="G138" s="53" t="s">
        <v>6104</v>
      </c>
      <c r="H138" s="595" t="s">
        <v>3649</v>
      </c>
      <c r="I138" s="595" t="s">
        <v>3101</v>
      </c>
      <c r="J138" s="595" t="s">
        <v>6106</v>
      </c>
      <c r="K138" s="22" t="s">
        <v>6106</v>
      </c>
      <c r="L138" s="22" t="s">
        <v>5431</v>
      </c>
      <c r="M138" s="596" t="s">
        <v>111</v>
      </c>
      <c r="N138" s="595" t="s">
        <v>1131</v>
      </c>
      <c r="O138" s="54" t="s">
        <v>6566</v>
      </c>
      <c r="P138" s="22" t="s">
        <v>1880</v>
      </c>
      <c r="Q138" s="595" t="s">
        <v>446</v>
      </c>
      <c r="R138" s="595" t="s">
        <v>446</v>
      </c>
      <c r="S138" s="24" t="s">
        <v>6096</v>
      </c>
      <c r="T138" s="90" t="s">
        <v>6107</v>
      </c>
      <c r="U138" s="24" t="s">
        <v>110</v>
      </c>
      <c r="V138" s="24">
        <v>1</v>
      </c>
      <c r="W138" s="24" t="s">
        <v>448</v>
      </c>
      <c r="X138" s="24" t="s">
        <v>448</v>
      </c>
      <c r="Y138" s="30">
        <v>51</v>
      </c>
      <c r="Z138" s="30"/>
      <c r="AA138" s="30">
        <v>51</v>
      </c>
      <c r="AB138" s="59"/>
      <c r="AC138" s="59"/>
      <c r="AD138" s="35" t="s">
        <v>1104</v>
      </c>
      <c r="AE138" s="202" t="s">
        <v>19</v>
      </c>
      <c r="AF138" s="35" t="s">
        <v>1880</v>
      </c>
      <c r="AG138" s="595"/>
    </row>
    <row r="139" spans="1:33" s="11" customFormat="1" ht="26.25" customHeight="1" x14ac:dyDescent="0.15">
      <c r="A139" s="8">
        <v>138</v>
      </c>
      <c r="B139" s="36" t="s">
        <v>6092</v>
      </c>
      <c r="C139" s="596" t="s">
        <v>111</v>
      </c>
      <c r="D139" s="596" t="s">
        <v>111</v>
      </c>
      <c r="E139" s="596" t="s">
        <v>111</v>
      </c>
      <c r="F139" s="29" t="s">
        <v>5541</v>
      </c>
      <c r="G139" s="53" t="s">
        <v>6108</v>
      </c>
      <c r="H139" s="595" t="s">
        <v>4791</v>
      </c>
      <c r="I139" s="595" t="s">
        <v>4792</v>
      </c>
      <c r="J139" s="595" t="s">
        <v>6109</v>
      </c>
      <c r="K139" s="22" t="s">
        <v>5544</v>
      </c>
      <c r="L139" s="22" t="s">
        <v>5431</v>
      </c>
      <c r="M139" s="596" t="s">
        <v>111</v>
      </c>
      <c r="N139" s="595" t="s">
        <v>1131</v>
      </c>
      <c r="O139" s="54" t="s">
        <v>5500</v>
      </c>
      <c r="P139" s="22" t="s">
        <v>1880</v>
      </c>
      <c r="Q139" s="595" t="s">
        <v>446</v>
      </c>
      <c r="R139" s="595" t="s">
        <v>446</v>
      </c>
      <c r="S139" s="24" t="s">
        <v>6096</v>
      </c>
      <c r="T139" s="90" t="s">
        <v>6110</v>
      </c>
      <c r="U139" s="24" t="s">
        <v>110</v>
      </c>
      <c r="V139" s="24">
        <v>1</v>
      </c>
      <c r="W139" s="24" t="s">
        <v>448</v>
      </c>
      <c r="X139" s="24" t="s">
        <v>448</v>
      </c>
      <c r="Y139" s="30">
        <v>3.3</v>
      </c>
      <c r="Z139" s="30"/>
      <c r="AA139" s="30">
        <v>3.3</v>
      </c>
      <c r="AB139" s="59"/>
      <c r="AC139" s="59"/>
      <c r="AD139" s="35" t="s">
        <v>1104</v>
      </c>
      <c r="AE139" s="202" t="s">
        <v>19</v>
      </c>
      <c r="AF139" s="35" t="s">
        <v>1880</v>
      </c>
      <c r="AG139" s="595"/>
    </row>
    <row r="140" spans="1:33" s="11" customFormat="1" ht="26.25" customHeight="1" x14ac:dyDescent="0.15">
      <c r="A140" s="8">
        <v>139</v>
      </c>
      <c r="B140" s="36" t="s">
        <v>6093</v>
      </c>
      <c r="C140" s="596" t="s">
        <v>111</v>
      </c>
      <c r="D140" s="596" t="s">
        <v>111</v>
      </c>
      <c r="E140" s="596" t="s">
        <v>111</v>
      </c>
      <c r="F140" s="29" t="s">
        <v>6073</v>
      </c>
      <c r="G140" s="53" t="s">
        <v>6111</v>
      </c>
      <c r="H140" s="595" t="s">
        <v>4712</v>
      </c>
      <c r="I140" s="595" t="s">
        <v>6112</v>
      </c>
      <c r="J140" s="595" t="s">
        <v>6113</v>
      </c>
      <c r="K140" s="22" t="s">
        <v>6114</v>
      </c>
      <c r="L140" s="22" t="s">
        <v>5431</v>
      </c>
      <c r="M140" s="596" t="s">
        <v>111</v>
      </c>
      <c r="N140" s="595" t="s">
        <v>1131</v>
      </c>
      <c r="O140" s="54" t="s">
        <v>5567</v>
      </c>
      <c r="P140" s="22" t="s">
        <v>1880</v>
      </c>
      <c r="Q140" s="71" t="s">
        <v>5571</v>
      </c>
      <c r="R140" s="71" t="s">
        <v>5571</v>
      </c>
      <c r="S140" s="24" t="s">
        <v>6115</v>
      </c>
      <c r="T140" s="90" t="s">
        <v>6066</v>
      </c>
      <c r="U140" s="24" t="s">
        <v>110</v>
      </c>
      <c r="V140" s="24">
        <v>1</v>
      </c>
      <c r="W140" s="24" t="s">
        <v>448</v>
      </c>
      <c r="X140" s="24" t="s">
        <v>448</v>
      </c>
      <c r="Y140" s="30">
        <v>3</v>
      </c>
      <c r="Z140" s="30"/>
      <c r="AA140" s="30">
        <v>3</v>
      </c>
      <c r="AB140" s="59"/>
      <c r="AC140" s="59"/>
      <c r="AD140" s="35" t="s">
        <v>1104</v>
      </c>
      <c r="AE140" s="202" t="s">
        <v>19</v>
      </c>
      <c r="AF140" s="35" t="s">
        <v>1880</v>
      </c>
      <c r="AG140" s="595"/>
    </row>
    <row r="141" spans="1:33" s="11" customFormat="1" ht="26.25" customHeight="1" x14ac:dyDescent="0.15">
      <c r="A141" s="8">
        <v>140</v>
      </c>
      <c r="B141" s="36" t="s">
        <v>6116</v>
      </c>
      <c r="C141" s="598" t="s">
        <v>111</v>
      </c>
      <c r="D141" s="598" t="s">
        <v>111</v>
      </c>
      <c r="E141" s="598" t="s">
        <v>111</v>
      </c>
      <c r="F141" s="29" t="s">
        <v>6117</v>
      </c>
      <c r="G141" s="53" t="s">
        <v>6118</v>
      </c>
      <c r="H141" s="591" t="s">
        <v>4195</v>
      </c>
      <c r="I141" s="591" t="s">
        <v>4196</v>
      </c>
      <c r="J141" s="591" t="s">
        <v>6119</v>
      </c>
      <c r="K141" s="22" t="s">
        <v>4780</v>
      </c>
      <c r="L141" s="22" t="s">
        <v>5431</v>
      </c>
      <c r="M141" s="598" t="s">
        <v>111</v>
      </c>
      <c r="N141" s="597" t="s">
        <v>67</v>
      </c>
      <c r="O141" s="54" t="s">
        <v>6120</v>
      </c>
      <c r="P141" s="22" t="s">
        <v>1880</v>
      </c>
      <c r="Q141" s="71" t="s">
        <v>5487</v>
      </c>
      <c r="R141" s="71" t="s">
        <v>5487</v>
      </c>
      <c r="S141" s="24" t="s">
        <v>6121</v>
      </c>
      <c r="T141" s="90" t="s">
        <v>6066</v>
      </c>
      <c r="U141" s="24" t="s">
        <v>108</v>
      </c>
      <c r="V141" s="10">
        <v>1</v>
      </c>
      <c r="W141" s="24" t="s">
        <v>448</v>
      </c>
      <c r="X141" s="24" t="s">
        <v>448</v>
      </c>
      <c r="Y141" s="30">
        <v>28.5</v>
      </c>
      <c r="Z141" s="30"/>
      <c r="AA141" s="30">
        <v>28.5</v>
      </c>
      <c r="AB141" s="59"/>
      <c r="AC141" s="59"/>
      <c r="AD141" s="35" t="s">
        <v>1104</v>
      </c>
      <c r="AE141" s="202" t="s">
        <v>19</v>
      </c>
      <c r="AF141" s="35" t="s">
        <v>1880</v>
      </c>
      <c r="AG141" s="592"/>
    </row>
    <row r="142" spans="1:33" s="11" customFormat="1" ht="26.25" customHeight="1" x14ac:dyDescent="0.15">
      <c r="A142" s="8">
        <v>141</v>
      </c>
      <c r="B142" s="36" t="s">
        <v>6368</v>
      </c>
      <c r="C142" s="601" t="s">
        <v>111</v>
      </c>
      <c r="D142" s="601" t="s">
        <v>111</v>
      </c>
      <c r="E142" s="601" t="s">
        <v>111</v>
      </c>
      <c r="F142" s="29" t="s">
        <v>3082</v>
      </c>
      <c r="G142" s="53" t="s">
        <v>6124</v>
      </c>
      <c r="H142" s="599" t="s">
        <v>4195</v>
      </c>
      <c r="I142" s="599" t="s">
        <v>2007</v>
      </c>
      <c r="J142" s="599" t="s">
        <v>5633</v>
      </c>
      <c r="K142" s="22" t="s">
        <v>4780</v>
      </c>
      <c r="L142" s="22" t="s">
        <v>5431</v>
      </c>
      <c r="M142" s="601" t="s">
        <v>111</v>
      </c>
      <c r="N142" s="600" t="s">
        <v>6125</v>
      </c>
      <c r="O142" s="54" t="s">
        <v>6125</v>
      </c>
      <c r="P142" s="22" t="s">
        <v>1880</v>
      </c>
      <c r="Q142" s="600" t="s">
        <v>1894</v>
      </c>
      <c r="R142" s="600" t="s">
        <v>1894</v>
      </c>
      <c r="S142" s="24" t="s">
        <v>6126</v>
      </c>
      <c r="T142" s="90" t="s">
        <v>6127</v>
      </c>
      <c r="U142" s="24" t="s">
        <v>110</v>
      </c>
      <c r="V142" s="24">
        <v>1</v>
      </c>
      <c r="W142" s="24" t="s">
        <v>448</v>
      </c>
      <c r="X142" s="24" t="s">
        <v>448</v>
      </c>
      <c r="Y142" s="30">
        <v>12.48</v>
      </c>
      <c r="Z142" s="30"/>
      <c r="AA142" s="30">
        <v>12.48</v>
      </c>
      <c r="AB142" s="59"/>
      <c r="AC142" s="59"/>
      <c r="AD142" s="35" t="s">
        <v>1104</v>
      </c>
      <c r="AE142" s="202" t="s">
        <v>19</v>
      </c>
      <c r="AF142" s="35" t="s">
        <v>1880</v>
      </c>
      <c r="AG142" s="600"/>
    </row>
    <row r="143" spans="1:33" s="11" customFormat="1" ht="26.25" customHeight="1" x14ac:dyDescent="0.15">
      <c r="A143" s="8">
        <v>141</v>
      </c>
      <c r="B143" s="36" t="s">
        <v>6369</v>
      </c>
      <c r="C143" s="669" t="s">
        <v>111</v>
      </c>
      <c r="D143" s="669" t="s">
        <v>111</v>
      </c>
      <c r="E143" s="669" t="s">
        <v>111</v>
      </c>
      <c r="F143" s="29" t="s">
        <v>3082</v>
      </c>
      <c r="G143" s="53" t="s">
        <v>6124</v>
      </c>
      <c r="H143" s="667" t="s">
        <v>4195</v>
      </c>
      <c r="I143" s="667" t="s">
        <v>2007</v>
      </c>
      <c r="J143" s="667" t="s">
        <v>5633</v>
      </c>
      <c r="K143" s="22" t="s">
        <v>4780</v>
      </c>
      <c r="L143" s="22" t="s">
        <v>5431</v>
      </c>
      <c r="M143" s="669" t="s">
        <v>111</v>
      </c>
      <c r="N143" s="668" t="s">
        <v>6370</v>
      </c>
      <c r="O143" s="54" t="s">
        <v>6370</v>
      </c>
      <c r="P143" s="22" t="s">
        <v>1880</v>
      </c>
      <c r="Q143" s="668" t="s">
        <v>1894</v>
      </c>
      <c r="R143" s="668" t="s">
        <v>1894</v>
      </c>
      <c r="S143" s="24" t="s">
        <v>6126</v>
      </c>
      <c r="T143" s="90" t="s">
        <v>6127</v>
      </c>
      <c r="U143" s="24" t="s">
        <v>110</v>
      </c>
      <c r="V143" s="24">
        <v>1</v>
      </c>
      <c r="W143" s="24" t="s">
        <v>448</v>
      </c>
      <c r="X143" s="24" t="s">
        <v>448</v>
      </c>
      <c r="Y143" s="30">
        <v>17.5</v>
      </c>
      <c r="Z143" s="30"/>
      <c r="AA143" s="30">
        <v>17.5</v>
      </c>
      <c r="AB143" s="59"/>
      <c r="AC143" s="59"/>
      <c r="AD143" s="35" t="s">
        <v>1104</v>
      </c>
      <c r="AE143" s="202" t="s">
        <v>19</v>
      </c>
      <c r="AF143" s="35" t="s">
        <v>1880</v>
      </c>
      <c r="AG143" s="668"/>
    </row>
    <row r="144" spans="1:33" s="11" customFormat="1" ht="26.25" customHeight="1" x14ac:dyDescent="0.15">
      <c r="A144" s="8">
        <v>142</v>
      </c>
      <c r="B144" s="36" t="s">
        <v>6123</v>
      </c>
      <c r="C144" s="603" t="s">
        <v>111</v>
      </c>
      <c r="D144" s="603" t="s">
        <v>111</v>
      </c>
      <c r="E144" s="603" t="s">
        <v>111</v>
      </c>
      <c r="F144" s="29" t="s">
        <v>6128</v>
      </c>
      <c r="G144" s="53" t="s">
        <v>6129</v>
      </c>
      <c r="H144" s="602" t="s">
        <v>4712</v>
      </c>
      <c r="I144" s="602" t="s">
        <v>1124</v>
      </c>
      <c r="J144" s="602" t="s">
        <v>6130</v>
      </c>
      <c r="K144" s="22" t="s">
        <v>4780</v>
      </c>
      <c r="L144" s="22" t="s">
        <v>5478</v>
      </c>
      <c r="M144" s="603" t="s">
        <v>111</v>
      </c>
      <c r="N144" s="600" t="s">
        <v>4676</v>
      </c>
      <c r="O144" s="54" t="s">
        <v>116</v>
      </c>
      <c r="P144" s="22" t="s">
        <v>1880</v>
      </c>
      <c r="Q144" s="600" t="s">
        <v>5480</v>
      </c>
      <c r="R144" s="600" t="s">
        <v>5480</v>
      </c>
      <c r="S144" s="24" t="s">
        <v>6126</v>
      </c>
      <c r="T144" s="90" t="s">
        <v>6003</v>
      </c>
      <c r="U144" s="24" t="s">
        <v>110</v>
      </c>
      <c r="V144" s="24">
        <v>1</v>
      </c>
      <c r="W144" s="24" t="s">
        <v>6131</v>
      </c>
      <c r="X144" s="24" t="s">
        <v>6132</v>
      </c>
      <c r="Y144" s="30"/>
      <c r="Z144" s="30">
        <v>10</v>
      </c>
      <c r="AA144" s="30">
        <v>10</v>
      </c>
      <c r="AB144" s="59"/>
      <c r="AC144" s="59"/>
      <c r="AD144" s="35" t="s">
        <v>1104</v>
      </c>
      <c r="AE144" s="202" t="s">
        <v>19</v>
      </c>
      <c r="AF144" s="35" t="s">
        <v>1880</v>
      </c>
      <c r="AG144" s="600"/>
    </row>
    <row r="145" spans="1:33" s="11" customFormat="1" ht="26.25" customHeight="1" x14ac:dyDescent="0.15">
      <c r="A145" s="8">
        <v>143</v>
      </c>
      <c r="B145" s="36" t="s">
        <v>6138</v>
      </c>
      <c r="C145" s="71" t="s">
        <v>6133</v>
      </c>
      <c r="D145" s="604" t="s">
        <v>111</v>
      </c>
      <c r="E145" s="604" t="s">
        <v>111</v>
      </c>
      <c r="F145" s="29" t="s">
        <v>6134</v>
      </c>
      <c r="G145" s="53" t="s">
        <v>6135</v>
      </c>
      <c r="H145" s="558" t="s">
        <v>2112</v>
      </c>
      <c r="I145" s="558" t="s">
        <v>4701</v>
      </c>
      <c r="J145" s="558" t="s">
        <v>6136</v>
      </c>
      <c r="K145" s="22" t="s">
        <v>6137</v>
      </c>
      <c r="L145" s="22" t="s">
        <v>5431</v>
      </c>
      <c r="M145" s="604" t="s">
        <v>111</v>
      </c>
      <c r="N145" s="559" t="s">
        <v>1131</v>
      </c>
      <c r="O145" s="54" t="s">
        <v>2224</v>
      </c>
      <c r="P145" s="22" t="s">
        <v>1880</v>
      </c>
      <c r="Q145" s="559" t="s">
        <v>446</v>
      </c>
      <c r="R145" s="559" t="s">
        <v>446</v>
      </c>
      <c r="S145" s="24" t="s">
        <v>6126</v>
      </c>
      <c r="T145" s="90" t="s">
        <v>6127</v>
      </c>
      <c r="U145" s="24" t="s">
        <v>110</v>
      </c>
      <c r="V145" s="24">
        <v>1</v>
      </c>
      <c r="W145" s="24" t="s">
        <v>5710</v>
      </c>
      <c r="X145" s="24" t="s">
        <v>448</v>
      </c>
      <c r="Y145" s="30">
        <v>32.299999999999997</v>
      </c>
      <c r="Z145" s="30"/>
      <c r="AA145" s="30">
        <v>32.299999999999997</v>
      </c>
      <c r="AB145" s="59"/>
      <c r="AC145" s="59"/>
      <c r="AD145" s="35" t="s">
        <v>1104</v>
      </c>
      <c r="AE145" s="202" t="s">
        <v>19</v>
      </c>
      <c r="AF145" s="35" t="s">
        <v>1880</v>
      </c>
      <c r="AG145" s="559"/>
    </row>
    <row r="146" spans="1:33" s="11" customFormat="1" ht="26.25" customHeight="1" x14ac:dyDescent="0.15">
      <c r="A146" s="8">
        <v>144</v>
      </c>
      <c r="B146" s="36" t="s">
        <v>6140</v>
      </c>
      <c r="C146" s="607" t="s">
        <v>111</v>
      </c>
      <c r="D146" s="607" t="s">
        <v>111</v>
      </c>
      <c r="E146" s="607" t="s">
        <v>111</v>
      </c>
      <c r="F146" s="29" t="s">
        <v>6099</v>
      </c>
      <c r="G146" s="99" t="s">
        <v>5486</v>
      </c>
      <c r="H146" s="605" t="s">
        <v>4691</v>
      </c>
      <c r="I146" s="605" t="s">
        <v>4750</v>
      </c>
      <c r="J146" s="605" t="s">
        <v>5366</v>
      </c>
      <c r="K146" s="22" t="s">
        <v>6101</v>
      </c>
      <c r="L146" s="22" t="s">
        <v>5431</v>
      </c>
      <c r="M146" s="607" t="s">
        <v>111</v>
      </c>
      <c r="N146" s="606" t="s">
        <v>67</v>
      </c>
      <c r="O146" s="54" t="s">
        <v>5567</v>
      </c>
      <c r="P146" s="22" t="s">
        <v>1880</v>
      </c>
      <c r="Q146" s="606" t="s">
        <v>5571</v>
      </c>
      <c r="R146" s="606" t="s">
        <v>5571</v>
      </c>
      <c r="S146" s="24" t="s">
        <v>6141</v>
      </c>
      <c r="T146" s="24" t="s">
        <v>448</v>
      </c>
      <c r="U146" s="24" t="s">
        <v>448</v>
      </c>
      <c r="V146" s="24" t="s">
        <v>448</v>
      </c>
      <c r="W146" s="24" t="s">
        <v>448</v>
      </c>
      <c r="X146" s="24" t="s">
        <v>448</v>
      </c>
      <c r="Y146" s="30">
        <v>1</v>
      </c>
      <c r="Z146" s="30"/>
      <c r="AA146" s="30">
        <v>1</v>
      </c>
      <c r="AB146" s="59"/>
      <c r="AC146" s="59"/>
      <c r="AD146" s="35" t="s">
        <v>1104</v>
      </c>
      <c r="AE146" s="202" t="s">
        <v>19</v>
      </c>
      <c r="AF146" s="35" t="s">
        <v>1880</v>
      </c>
      <c r="AG146" s="606"/>
    </row>
    <row r="147" spans="1:33" s="11" customFormat="1" ht="26.25" customHeight="1" x14ac:dyDescent="0.15">
      <c r="A147" s="8">
        <v>145</v>
      </c>
      <c r="B147" s="36" t="s">
        <v>6144</v>
      </c>
      <c r="C147" s="71" t="s">
        <v>6163</v>
      </c>
      <c r="D147" s="610" t="s">
        <v>111</v>
      </c>
      <c r="E147" s="610" t="s">
        <v>111</v>
      </c>
      <c r="F147" s="151" t="s">
        <v>3245</v>
      </c>
      <c r="G147" s="53" t="s">
        <v>6182</v>
      </c>
      <c r="H147" s="610" t="s">
        <v>1147</v>
      </c>
      <c r="I147" s="610" t="s">
        <v>3215</v>
      </c>
      <c r="J147" s="21" t="s">
        <v>3290</v>
      </c>
      <c r="K147" s="610" t="s">
        <v>1138</v>
      </c>
      <c r="L147" s="610" t="s">
        <v>1826</v>
      </c>
      <c r="M147" s="610" t="s">
        <v>111</v>
      </c>
      <c r="N147" s="610" t="s">
        <v>25</v>
      </c>
      <c r="O147" s="54" t="s">
        <v>6183</v>
      </c>
      <c r="P147" s="22" t="s">
        <v>1880</v>
      </c>
      <c r="Q147" s="609" t="s">
        <v>5487</v>
      </c>
      <c r="R147" s="609" t="s">
        <v>5487</v>
      </c>
      <c r="S147" s="24" t="s">
        <v>6184</v>
      </c>
      <c r="T147" s="90" t="s">
        <v>6127</v>
      </c>
      <c r="U147" s="24" t="s">
        <v>110</v>
      </c>
      <c r="V147" s="24">
        <v>1</v>
      </c>
      <c r="W147" s="24" t="s">
        <v>448</v>
      </c>
      <c r="X147" s="24" t="s">
        <v>448</v>
      </c>
      <c r="Y147" s="30">
        <v>3</v>
      </c>
      <c r="Z147" s="30"/>
      <c r="AA147" s="30">
        <v>3</v>
      </c>
      <c r="AB147" s="59"/>
      <c r="AC147" s="59"/>
      <c r="AD147" s="35" t="s">
        <v>1104</v>
      </c>
      <c r="AE147" s="202" t="s">
        <v>19</v>
      </c>
      <c r="AF147" s="35" t="s">
        <v>1880</v>
      </c>
      <c r="AG147" s="609"/>
    </row>
    <row r="148" spans="1:33" s="11" customFormat="1" ht="26.25" customHeight="1" x14ac:dyDescent="0.15">
      <c r="A148" s="8">
        <v>146</v>
      </c>
      <c r="B148" s="36" t="s">
        <v>6145</v>
      </c>
      <c r="C148" s="71" t="s">
        <v>6164</v>
      </c>
      <c r="D148" s="610" t="s">
        <v>111</v>
      </c>
      <c r="E148" s="610" t="s">
        <v>111</v>
      </c>
      <c r="F148" s="151" t="s">
        <v>3245</v>
      </c>
      <c r="G148" s="53" t="s">
        <v>6182</v>
      </c>
      <c r="H148" s="610" t="s">
        <v>1147</v>
      </c>
      <c r="I148" s="610" t="s">
        <v>3215</v>
      </c>
      <c r="J148" s="84" t="s">
        <v>3341</v>
      </c>
      <c r="K148" s="610" t="s">
        <v>1138</v>
      </c>
      <c r="L148" s="610" t="s">
        <v>1826</v>
      </c>
      <c r="M148" s="610" t="s">
        <v>111</v>
      </c>
      <c r="N148" s="610" t="s">
        <v>25</v>
      </c>
      <c r="O148" s="54" t="s">
        <v>6183</v>
      </c>
      <c r="P148" s="22" t="s">
        <v>1880</v>
      </c>
      <c r="Q148" s="609" t="s">
        <v>5487</v>
      </c>
      <c r="R148" s="609" t="s">
        <v>5487</v>
      </c>
      <c r="S148" s="24" t="s">
        <v>6184</v>
      </c>
      <c r="T148" s="90" t="s">
        <v>6127</v>
      </c>
      <c r="U148" s="24" t="s">
        <v>110</v>
      </c>
      <c r="V148" s="24">
        <v>1</v>
      </c>
      <c r="W148" s="24" t="s">
        <v>448</v>
      </c>
      <c r="X148" s="24" t="s">
        <v>448</v>
      </c>
      <c r="Y148" s="30">
        <v>3</v>
      </c>
      <c r="Z148" s="30"/>
      <c r="AA148" s="30">
        <v>3</v>
      </c>
      <c r="AB148" s="59"/>
      <c r="AC148" s="59"/>
      <c r="AD148" s="35" t="s">
        <v>1104</v>
      </c>
      <c r="AE148" s="202" t="s">
        <v>19</v>
      </c>
      <c r="AF148" s="35" t="s">
        <v>1880</v>
      </c>
      <c r="AG148" s="609"/>
    </row>
    <row r="149" spans="1:33" s="11" customFormat="1" ht="26.25" customHeight="1" x14ac:dyDescent="0.15">
      <c r="A149" s="8">
        <v>147</v>
      </c>
      <c r="B149" s="36" t="s">
        <v>6146</v>
      </c>
      <c r="C149" s="71" t="s">
        <v>6165</v>
      </c>
      <c r="D149" s="610" t="s">
        <v>111</v>
      </c>
      <c r="E149" s="610" t="s">
        <v>111</v>
      </c>
      <c r="F149" s="151" t="s">
        <v>3245</v>
      </c>
      <c r="G149" s="53" t="s">
        <v>6182</v>
      </c>
      <c r="H149" s="610" t="s">
        <v>1147</v>
      </c>
      <c r="I149" s="610" t="s">
        <v>3215</v>
      </c>
      <c r="J149" s="84" t="s">
        <v>3339</v>
      </c>
      <c r="K149" s="610" t="s">
        <v>1138</v>
      </c>
      <c r="L149" s="610" t="s">
        <v>1826</v>
      </c>
      <c r="M149" s="610" t="s">
        <v>111</v>
      </c>
      <c r="N149" s="610" t="s">
        <v>25</v>
      </c>
      <c r="O149" s="54" t="s">
        <v>6183</v>
      </c>
      <c r="P149" s="22" t="s">
        <v>1880</v>
      </c>
      <c r="Q149" s="609" t="s">
        <v>5487</v>
      </c>
      <c r="R149" s="609" t="s">
        <v>5487</v>
      </c>
      <c r="S149" s="24" t="s">
        <v>6184</v>
      </c>
      <c r="T149" s="90" t="s">
        <v>6127</v>
      </c>
      <c r="U149" s="24" t="s">
        <v>110</v>
      </c>
      <c r="V149" s="24">
        <v>1</v>
      </c>
      <c r="W149" s="24" t="s">
        <v>448</v>
      </c>
      <c r="X149" s="24" t="s">
        <v>448</v>
      </c>
      <c r="Y149" s="30">
        <v>3</v>
      </c>
      <c r="Z149" s="30"/>
      <c r="AA149" s="30">
        <v>3</v>
      </c>
      <c r="AB149" s="59"/>
      <c r="AC149" s="59"/>
      <c r="AD149" s="35" t="s">
        <v>1104</v>
      </c>
      <c r="AE149" s="202" t="s">
        <v>19</v>
      </c>
      <c r="AF149" s="35" t="s">
        <v>1880</v>
      </c>
      <c r="AG149" s="609"/>
    </row>
    <row r="150" spans="1:33" s="11" customFormat="1" ht="26.25" customHeight="1" x14ac:dyDescent="0.15">
      <c r="A150" s="8">
        <v>148</v>
      </c>
      <c r="B150" s="36" t="s">
        <v>6147</v>
      </c>
      <c r="C150" s="71" t="s">
        <v>6166</v>
      </c>
      <c r="D150" s="610" t="s">
        <v>111</v>
      </c>
      <c r="E150" s="610" t="s">
        <v>111</v>
      </c>
      <c r="F150" s="151" t="s">
        <v>3245</v>
      </c>
      <c r="G150" s="53" t="s">
        <v>6182</v>
      </c>
      <c r="H150" s="610" t="s">
        <v>1147</v>
      </c>
      <c r="I150" s="610" t="s">
        <v>3215</v>
      </c>
      <c r="J150" s="84" t="s">
        <v>3340</v>
      </c>
      <c r="K150" s="610" t="s">
        <v>1138</v>
      </c>
      <c r="L150" s="610" t="s">
        <v>1826</v>
      </c>
      <c r="M150" s="610" t="s">
        <v>111</v>
      </c>
      <c r="N150" s="610" t="s">
        <v>25</v>
      </c>
      <c r="O150" s="54" t="s">
        <v>6183</v>
      </c>
      <c r="P150" s="22" t="s">
        <v>1880</v>
      </c>
      <c r="Q150" s="609" t="s">
        <v>5487</v>
      </c>
      <c r="R150" s="609" t="s">
        <v>5487</v>
      </c>
      <c r="S150" s="24" t="s">
        <v>6184</v>
      </c>
      <c r="T150" s="90" t="s">
        <v>6127</v>
      </c>
      <c r="U150" s="24" t="s">
        <v>110</v>
      </c>
      <c r="V150" s="24">
        <v>1</v>
      </c>
      <c r="W150" s="24" t="s">
        <v>448</v>
      </c>
      <c r="X150" s="24" t="s">
        <v>448</v>
      </c>
      <c r="Y150" s="30">
        <v>3</v>
      </c>
      <c r="Z150" s="30"/>
      <c r="AA150" s="30">
        <v>3</v>
      </c>
      <c r="AB150" s="59"/>
      <c r="AC150" s="59"/>
      <c r="AD150" s="35" t="s">
        <v>1104</v>
      </c>
      <c r="AE150" s="202" t="s">
        <v>19</v>
      </c>
      <c r="AF150" s="35" t="s">
        <v>1880</v>
      </c>
      <c r="AG150" s="609"/>
    </row>
    <row r="151" spans="1:33" s="11" customFormat="1" ht="26.25" customHeight="1" x14ac:dyDescent="0.15">
      <c r="A151" s="8">
        <v>149</v>
      </c>
      <c r="B151" s="36" t="s">
        <v>6148</v>
      </c>
      <c r="C151" s="71" t="s">
        <v>6167</v>
      </c>
      <c r="D151" s="610" t="s">
        <v>111</v>
      </c>
      <c r="E151" s="610" t="s">
        <v>111</v>
      </c>
      <c r="F151" s="151" t="s">
        <v>3245</v>
      </c>
      <c r="G151" s="53" t="s">
        <v>6182</v>
      </c>
      <c r="H151" s="610" t="s">
        <v>1147</v>
      </c>
      <c r="I151" s="610" t="s">
        <v>3215</v>
      </c>
      <c r="J151" s="84" t="s">
        <v>3297</v>
      </c>
      <c r="K151" s="610" t="s">
        <v>3332</v>
      </c>
      <c r="L151" s="610" t="s">
        <v>1826</v>
      </c>
      <c r="M151" s="610" t="s">
        <v>111</v>
      </c>
      <c r="N151" s="610" t="s">
        <v>25</v>
      </c>
      <c r="O151" s="54" t="s">
        <v>6183</v>
      </c>
      <c r="P151" s="22" t="s">
        <v>1880</v>
      </c>
      <c r="Q151" s="609" t="s">
        <v>5487</v>
      </c>
      <c r="R151" s="609" t="s">
        <v>5487</v>
      </c>
      <c r="S151" s="24" t="s">
        <v>6184</v>
      </c>
      <c r="T151" s="90" t="s">
        <v>6127</v>
      </c>
      <c r="U151" s="24" t="s">
        <v>110</v>
      </c>
      <c r="V151" s="24">
        <v>1</v>
      </c>
      <c r="W151" s="24" t="s">
        <v>448</v>
      </c>
      <c r="X151" s="24" t="s">
        <v>448</v>
      </c>
      <c r="Y151" s="30">
        <v>3</v>
      </c>
      <c r="Z151" s="30"/>
      <c r="AA151" s="30">
        <v>3</v>
      </c>
      <c r="AB151" s="59"/>
      <c r="AC151" s="59"/>
      <c r="AD151" s="35" t="s">
        <v>1104</v>
      </c>
      <c r="AE151" s="202" t="s">
        <v>19</v>
      </c>
      <c r="AF151" s="35" t="s">
        <v>1880</v>
      </c>
      <c r="AG151" s="609"/>
    </row>
    <row r="152" spans="1:33" s="11" customFormat="1" ht="26.25" customHeight="1" x14ac:dyDescent="0.15">
      <c r="A152" s="8">
        <v>150</v>
      </c>
      <c r="B152" s="36" t="s">
        <v>6149</v>
      </c>
      <c r="C152" s="71" t="s">
        <v>6168</v>
      </c>
      <c r="D152" s="610" t="s">
        <v>111</v>
      </c>
      <c r="E152" s="610" t="s">
        <v>111</v>
      </c>
      <c r="F152" s="151" t="s">
        <v>3245</v>
      </c>
      <c r="G152" s="53" t="s">
        <v>6182</v>
      </c>
      <c r="H152" s="610" t="s">
        <v>1147</v>
      </c>
      <c r="I152" s="610" t="s">
        <v>3215</v>
      </c>
      <c r="J152" s="21" t="s">
        <v>3302</v>
      </c>
      <c r="K152" s="610" t="s">
        <v>3333</v>
      </c>
      <c r="L152" s="610" t="s">
        <v>1826</v>
      </c>
      <c r="M152" s="610" t="s">
        <v>111</v>
      </c>
      <c r="N152" s="610" t="s">
        <v>25</v>
      </c>
      <c r="O152" s="54" t="s">
        <v>6183</v>
      </c>
      <c r="P152" s="22" t="s">
        <v>1880</v>
      </c>
      <c r="Q152" s="609" t="s">
        <v>5487</v>
      </c>
      <c r="R152" s="609" t="s">
        <v>5487</v>
      </c>
      <c r="S152" s="24" t="s">
        <v>6184</v>
      </c>
      <c r="T152" s="90" t="s">
        <v>6127</v>
      </c>
      <c r="U152" s="24" t="s">
        <v>110</v>
      </c>
      <c r="V152" s="24">
        <v>1</v>
      </c>
      <c r="W152" s="24" t="s">
        <v>448</v>
      </c>
      <c r="X152" s="24" t="s">
        <v>448</v>
      </c>
      <c r="Y152" s="30">
        <v>3</v>
      </c>
      <c r="Z152" s="30"/>
      <c r="AA152" s="30">
        <v>3</v>
      </c>
      <c r="AB152" s="59"/>
      <c r="AC152" s="59"/>
      <c r="AD152" s="35" t="s">
        <v>1104</v>
      </c>
      <c r="AE152" s="202" t="s">
        <v>19</v>
      </c>
      <c r="AF152" s="35" t="s">
        <v>1880</v>
      </c>
      <c r="AG152" s="609"/>
    </row>
    <row r="153" spans="1:33" s="11" customFormat="1" ht="26.25" customHeight="1" x14ac:dyDescent="0.15">
      <c r="A153" s="8">
        <v>151</v>
      </c>
      <c r="B153" s="36" t="s">
        <v>6150</v>
      </c>
      <c r="C153" s="71" t="s">
        <v>6169</v>
      </c>
      <c r="D153" s="610" t="s">
        <v>111</v>
      </c>
      <c r="E153" s="610" t="s">
        <v>111</v>
      </c>
      <c r="F153" s="151" t="s">
        <v>3245</v>
      </c>
      <c r="G153" s="53" t="s">
        <v>6182</v>
      </c>
      <c r="H153" s="610" t="s">
        <v>1147</v>
      </c>
      <c r="I153" s="610" t="s">
        <v>3215</v>
      </c>
      <c r="J153" s="21" t="s">
        <v>3216</v>
      </c>
      <c r="K153" s="610" t="s">
        <v>1138</v>
      </c>
      <c r="L153" s="610" t="s">
        <v>1826</v>
      </c>
      <c r="M153" s="610" t="s">
        <v>111</v>
      </c>
      <c r="N153" s="610" t="s">
        <v>25</v>
      </c>
      <c r="O153" s="54" t="s">
        <v>6183</v>
      </c>
      <c r="P153" s="22" t="s">
        <v>1880</v>
      </c>
      <c r="Q153" s="609" t="s">
        <v>5487</v>
      </c>
      <c r="R153" s="609" t="s">
        <v>5487</v>
      </c>
      <c r="S153" s="24" t="s">
        <v>6184</v>
      </c>
      <c r="T153" s="90" t="s">
        <v>6127</v>
      </c>
      <c r="U153" s="24" t="s">
        <v>110</v>
      </c>
      <c r="V153" s="24">
        <v>1</v>
      </c>
      <c r="W153" s="24" t="s">
        <v>448</v>
      </c>
      <c r="X153" s="24" t="s">
        <v>448</v>
      </c>
      <c r="Y153" s="30">
        <v>3</v>
      </c>
      <c r="Z153" s="30"/>
      <c r="AA153" s="30">
        <v>3</v>
      </c>
      <c r="AB153" s="59"/>
      <c r="AC153" s="59"/>
      <c r="AD153" s="35" t="s">
        <v>1104</v>
      </c>
      <c r="AE153" s="202" t="s">
        <v>19</v>
      </c>
      <c r="AF153" s="35" t="s">
        <v>1880</v>
      </c>
      <c r="AG153" s="609"/>
    </row>
    <row r="154" spans="1:33" s="11" customFormat="1" ht="26.25" customHeight="1" x14ac:dyDescent="0.15">
      <c r="A154" s="8">
        <v>152</v>
      </c>
      <c r="B154" s="36" t="s">
        <v>6151</v>
      </c>
      <c r="C154" s="71" t="s">
        <v>6170</v>
      </c>
      <c r="D154" s="610" t="s">
        <v>111</v>
      </c>
      <c r="E154" s="610" t="s">
        <v>111</v>
      </c>
      <c r="F154" s="151" t="s">
        <v>3245</v>
      </c>
      <c r="G154" s="53" t="s">
        <v>6182</v>
      </c>
      <c r="H154" s="610" t="s">
        <v>1147</v>
      </c>
      <c r="I154" s="610" t="s">
        <v>3215</v>
      </c>
      <c r="J154" s="21" t="s">
        <v>3307</v>
      </c>
      <c r="K154" s="610" t="s">
        <v>1138</v>
      </c>
      <c r="L154" s="610" t="s">
        <v>1826</v>
      </c>
      <c r="M154" s="610" t="s">
        <v>111</v>
      </c>
      <c r="N154" s="610" t="s">
        <v>25</v>
      </c>
      <c r="O154" s="54" t="s">
        <v>6183</v>
      </c>
      <c r="P154" s="22" t="s">
        <v>1880</v>
      </c>
      <c r="Q154" s="609" t="s">
        <v>5487</v>
      </c>
      <c r="R154" s="609" t="s">
        <v>5487</v>
      </c>
      <c r="S154" s="24" t="s">
        <v>6184</v>
      </c>
      <c r="T154" s="90" t="s">
        <v>6127</v>
      </c>
      <c r="U154" s="24" t="s">
        <v>110</v>
      </c>
      <c r="V154" s="24">
        <v>1</v>
      </c>
      <c r="W154" s="24" t="s">
        <v>448</v>
      </c>
      <c r="X154" s="24" t="s">
        <v>448</v>
      </c>
      <c r="Y154" s="30">
        <v>3</v>
      </c>
      <c r="Z154" s="30"/>
      <c r="AA154" s="30">
        <v>3</v>
      </c>
      <c r="AB154" s="59"/>
      <c r="AC154" s="59"/>
      <c r="AD154" s="35" t="s">
        <v>1104</v>
      </c>
      <c r="AE154" s="202" t="s">
        <v>19</v>
      </c>
      <c r="AF154" s="35" t="s">
        <v>1880</v>
      </c>
      <c r="AG154" s="609"/>
    </row>
    <row r="155" spans="1:33" s="11" customFormat="1" ht="26.25" customHeight="1" x14ac:dyDescent="0.15">
      <c r="A155" s="8">
        <v>153</v>
      </c>
      <c r="B155" s="36" t="s">
        <v>6152</v>
      </c>
      <c r="C155" s="71" t="s">
        <v>6171</v>
      </c>
      <c r="D155" s="610" t="s">
        <v>111</v>
      </c>
      <c r="E155" s="610" t="s">
        <v>111</v>
      </c>
      <c r="F155" s="151" t="s">
        <v>3245</v>
      </c>
      <c r="G155" s="53" t="s">
        <v>6182</v>
      </c>
      <c r="H155" s="610" t="s">
        <v>1147</v>
      </c>
      <c r="I155" s="610" t="s">
        <v>3215</v>
      </c>
      <c r="J155" s="21" t="s">
        <v>3232</v>
      </c>
      <c r="K155" s="610" t="s">
        <v>1138</v>
      </c>
      <c r="L155" s="610" t="s">
        <v>1826</v>
      </c>
      <c r="M155" s="610" t="s">
        <v>111</v>
      </c>
      <c r="N155" s="610" t="s">
        <v>25</v>
      </c>
      <c r="O155" s="54" t="s">
        <v>6183</v>
      </c>
      <c r="P155" s="22" t="s">
        <v>1880</v>
      </c>
      <c r="Q155" s="609" t="s">
        <v>5487</v>
      </c>
      <c r="R155" s="609" t="s">
        <v>5487</v>
      </c>
      <c r="S155" s="24" t="s">
        <v>6184</v>
      </c>
      <c r="T155" s="90" t="s">
        <v>6127</v>
      </c>
      <c r="U155" s="24" t="s">
        <v>110</v>
      </c>
      <c r="V155" s="24">
        <v>1</v>
      </c>
      <c r="W155" s="24" t="s">
        <v>448</v>
      </c>
      <c r="X155" s="24" t="s">
        <v>448</v>
      </c>
      <c r="Y155" s="30">
        <v>3</v>
      </c>
      <c r="Z155" s="30"/>
      <c r="AA155" s="30">
        <v>3</v>
      </c>
      <c r="AB155" s="59"/>
      <c r="AC155" s="59"/>
      <c r="AD155" s="35" t="s">
        <v>1104</v>
      </c>
      <c r="AE155" s="202" t="s">
        <v>19</v>
      </c>
      <c r="AF155" s="35" t="s">
        <v>1880</v>
      </c>
      <c r="AG155" s="609"/>
    </row>
    <row r="156" spans="1:33" s="11" customFormat="1" ht="26.25" customHeight="1" x14ac:dyDescent="0.15">
      <c r="A156" s="8">
        <v>154</v>
      </c>
      <c r="B156" s="36" t="s">
        <v>6153</v>
      </c>
      <c r="C156" s="71" t="s">
        <v>6172</v>
      </c>
      <c r="D156" s="610" t="s">
        <v>111</v>
      </c>
      <c r="E156" s="610" t="s">
        <v>111</v>
      </c>
      <c r="F156" s="151" t="s">
        <v>3245</v>
      </c>
      <c r="G156" s="53" t="s">
        <v>6182</v>
      </c>
      <c r="H156" s="610" t="s">
        <v>1147</v>
      </c>
      <c r="I156" s="610" t="s">
        <v>3215</v>
      </c>
      <c r="J156" s="21" t="s">
        <v>3312</v>
      </c>
      <c r="K156" s="610" t="s">
        <v>3334</v>
      </c>
      <c r="L156" s="610" t="s">
        <v>1826</v>
      </c>
      <c r="M156" s="610" t="s">
        <v>111</v>
      </c>
      <c r="N156" s="610" t="s">
        <v>25</v>
      </c>
      <c r="O156" s="54" t="s">
        <v>6183</v>
      </c>
      <c r="P156" s="22" t="s">
        <v>1880</v>
      </c>
      <c r="Q156" s="609" t="s">
        <v>5487</v>
      </c>
      <c r="R156" s="609" t="s">
        <v>5487</v>
      </c>
      <c r="S156" s="24" t="s">
        <v>6184</v>
      </c>
      <c r="T156" s="90" t="s">
        <v>6127</v>
      </c>
      <c r="U156" s="24" t="s">
        <v>110</v>
      </c>
      <c r="V156" s="24">
        <v>1</v>
      </c>
      <c r="W156" s="24" t="s">
        <v>448</v>
      </c>
      <c r="X156" s="24" t="s">
        <v>448</v>
      </c>
      <c r="Y156" s="30">
        <v>3</v>
      </c>
      <c r="Z156" s="30"/>
      <c r="AA156" s="30">
        <v>3</v>
      </c>
      <c r="AB156" s="59"/>
      <c r="AC156" s="59"/>
      <c r="AD156" s="35" t="s">
        <v>1104</v>
      </c>
      <c r="AE156" s="202" t="s">
        <v>19</v>
      </c>
      <c r="AF156" s="35" t="s">
        <v>1880</v>
      </c>
      <c r="AG156" s="609"/>
    </row>
    <row r="157" spans="1:33" s="11" customFormat="1" ht="26.25" customHeight="1" x14ac:dyDescent="0.15">
      <c r="A157" s="8">
        <v>155</v>
      </c>
      <c r="B157" s="36" t="s">
        <v>6154</v>
      </c>
      <c r="C157" s="71" t="s">
        <v>6173</v>
      </c>
      <c r="D157" s="610" t="s">
        <v>111</v>
      </c>
      <c r="E157" s="610" t="s">
        <v>111</v>
      </c>
      <c r="F157" s="151" t="s">
        <v>3245</v>
      </c>
      <c r="G157" s="53" t="s">
        <v>6182</v>
      </c>
      <c r="H157" s="610" t="s">
        <v>1147</v>
      </c>
      <c r="I157" s="610" t="s">
        <v>3215</v>
      </c>
      <c r="J157" s="21" t="s">
        <v>3315</v>
      </c>
      <c r="K157" s="610" t="s">
        <v>1138</v>
      </c>
      <c r="L157" s="610" t="s">
        <v>1826</v>
      </c>
      <c r="M157" s="610" t="s">
        <v>111</v>
      </c>
      <c r="N157" s="610" t="s">
        <v>25</v>
      </c>
      <c r="O157" s="54" t="s">
        <v>6183</v>
      </c>
      <c r="P157" s="22" t="s">
        <v>1880</v>
      </c>
      <c r="Q157" s="609" t="s">
        <v>5487</v>
      </c>
      <c r="R157" s="609" t="s">
        <v>5487</v>
      </c>
      <c r="S157" s="24" t="s">
        <v>6184</v>
      </c>
      <c r="T157" s="90" t="s">
        <v>6127</v>
      </c>
      <c r="U157" s="24" t="s">
        <v>110</v>
      </c>
      <c r="V157" s="24">
        <v>1</v>
      </c>
      <c r="W157" s="24" t="s">
        <v>448</v>
      </c>
      <c r="X157" s="24" t="s">
        <v>448</v>
      </c>
      <c r="Y157" s="30">
        <v>3</v>
      </c>
      <c r="Z157" s="30"/>
      <c r="AA157" s="30">
        <v>3</v>
      </c>
      <c r="AB157" s="59"/>
      <c r="AC157" s="59"/>
      <c r="AD157" s="35" t="s">
        <v>1104</v>
      </c>
      <c r="AE157" s="202" t="s">
        <v>19</v>
      </c>
      <c r="AF157" s="35" t="s">
        <v>1880</v>
      </c>
      <c r="AG157" s="609"/>
    </row>
    <row r="158" spans="1:33" s="11" customFormat="1" ht="26.25" customHeight="1" x14ac:dyDescent="0.15">
      <c r="A158" s="8">
        <v>156</v>
      </c>
      <c r="B158" s="36" t="s">
        <v>6155</v>
      </c>
      <c r="C158" s="71" t="s">
        <v>6174</v>
      </c>
      <c r="D158" s="610" t="s">
        <v>111</v>
      </c>
      <c r="E158" s="610" t="s">
        <v>111</v>
      </c>
      <c r="F158" s="151" t="s">
        <v>3245</v>
      </c>
      <c r="G158" s="53" t="s">
        <v>6182</v>
      </c>
      <c r="H158" s="610" t="s">
        <v>1147</v>
      </c>
      <c r="I158" s="610" t="s">
        <v>3215</v>
      </c>
      <c r="J158" s="21" t="s">
        <v>3318</v>
      </c>
      <c r="K158" s="610" t="s">
        <v>3335</v>
      </c>
      <c r="L158" s="610" t="s">
        <v>1826</v>
      </c>
      <c r="M158" s="610" t="s">
        <v>111</v>
      </c>
      <c r="N158" s="610" t="s">
        <v>25</v>
      </c>
      <c r="O158" s="54" t="s">
        <v>6183</v>
      </c>
      <c r="P158" s="22" t="s">
        <v>1880</v>
      </c>
      <c r="Q158" s="609" t="s">
        <v>5487</v>
      </c>
      <c r="R158" s="609" t="s">
        <v>5487</v>
      </c>
      <c r="S158" s="24" t="s">
        <v>6184</v>
      </c>
      <c r="T158" s="90" t="s">
        <v>6127</v>
      </c>
      <c r="U158" s="24" t="s">
        <v>110</v>
      </c>
      <c r="V158" s="24">
        <v>1</v>
      </c>
      <c r="W158" s="24" t="s">
        <v>448</v>
      </c>
      <c r="X158" s="24" t="s">
        <v>448</v>
      </c>
      <c r="Y158" s="30">
        <v>3</v>
      </c>
      <c r="Z158" s="30"/>
      <c r="AA158" s="30">
        <v>3</v>
      </c>
      <c r="AB158" s="59"/>
      <c r="AC158" s="59"/>
      <c r="AD158" s="35" t="s">
        <v>1104</v>
      </c>
      <c r="AE158" s="202" t="s">
        <v>19</v>
      </c>
      <c r="AF158" s="35" t="s">
        <v>1880</v>
      </c>
      <c r="AG158" s="609"/>
    </row>
    <row r="159" spans="1:33" s="11" customFormat="1" ht="26.25" customHeight="1" x14ac:dyDescent="0.15">
      <c r="A159" s="8">
        <v>157</v>
      </c>
      <c r="B159" s="36" t="s">
        <v>6156</v>
      </c>
      <c r="C159" s="71" t="s">
        <v>6175</v>
      </c>
      <c r="D159" s="610" t="s">
        <v>111</v>
      </c>
      <c r="E159" s="610" t="s">
        <v>111</v>
      </c>
      <c r="F159" s="151" t="s">
        <v>3245</v>
      </c>
      <c r="G159" s="53" t="s">
        <v>6182</v>
      </c>
      <c r="H159" s="610" t="s">
        <v>1147</v>
      </c>
      <c r="I159" s="610" t="s">
        <v>3215</v>
      </c>
      <c r="J159" s="21" t="s">
        <v>3230</v>
      </c>
      <c r="K159" s="610" t="s">
        <v>1138</v>
      </c>
      <c r="L159" s="610" t="s">
        <v>1826</v>
      </c>
      <c r="M159" s="610" t="s">
        <v>111</v>
      </c>
      <c r="N159" s="610" t="s">
        <v>25</v>
      </c>
      <c r="O159" s="54" t="s">
        <v>6183</v>
      </c>
      <c r="P159" s="22" t="s">
        <v>1880</v>
      </c>
      <c r="Q159" s="609" t="s">
        <v>5487</v>
      </c>
      <c r="R159" s="609" t="s">
        <v>5487</v>
      </c>
      <c r="S159" s="24" t="s">
        <v>6184</v>
      </c>
      <c r="T159" s="90" t="s">
        <v>6127</v>
      </c>
      <c r="U159" s="24" t="s">
        <v>110</v>
      </c>
      <c r="V159" s="24">
        <v>1</v>
      </c>
      <c r="W159" s="24" t="s">
        <v>448</v>
      </c>
      <c r="X159" s="24" t="s">
        <v>448</v>
      </c>
      <c r="Y159" s="30">
        <v>3</v>
      </c>
      <c r="Z159" s="30"/>
      <c r="AA159" s="30">
        <v>3</v>
      </c>
      <c r="AB159" s="59"/>
      <c r="AC159" s="59"/>
      <c r="AD159" s="35" t="s">
        <v>1104</v>
      </c>
      <c r="AE159" s="202" t="s">
        <v>19</v>
      </c>
      <c r="AF159" s="35" t="s">
        <v>1880</v>
      </c>
      <c r="AG159" s="609"/>
    </row>
    <row r="160" spans="1:33" s="11" customFormat="1" ht="26.25" customHeight="1" x14ac:dyDescent="0.15">
      <c r="A160" s="8">
        <v>158</v>
      </c>
      <c r="B160" s="36" t="s">
        <v>6157</v>
      </c>
      <c r="C160" s="71" t="s">
        <v>6176</v>
      </c>
      <c r="D160" s="610" t="s">
        <v>111</v>
      </c>
      <c r="E160" s="610" t="s">
        <v>111</v>
      </c>
      <c r="F160" s="151" t="s">
        <v>3245</v>
      </c>
      <c r="G160" s="53" t="s">
        <v>6182</v>
      </c>
      <c r="H160" s="610" t="s">
        <v>1147</v>
      </c>
      <c r="I160" s="610" t="s">
        <v>3215</v>
      </c>
      <c r="J160" s="21" t="s">
        <v>3323</v>
      </c>
      <c r="K160" s="610" t="s">
        <v>1138</v>
      </c>
      <c r="L160" s="610" t="s">
        <v>1826</v>
      </c>
      <c r="M160" s="610" t="s">
        <v>111</v>
      </c>
      <c r="N160" s="610" t="s">
        <v>25</v>
      </c>
      <c r="O160" s="54" t="s">
        <v>6183</v>
      </c>
      <c r="P160" s="22" t="s">
        <v>1880</v>
      </c>
      <c r="Q160" s="609" t="s">
        <v>5487</v>
      </c>
      <c r="R160" s="609" t="s">
        <v>5487</v>
      </c>
      <c r="S160" s="24" t="s">
        <v>6184</v>
      </c>
      <c r="T160" s="90" t="s">
        <v>6127</v>
      </c>
      <c r="U160" s="24" t="s">
        <v>110</v>
      </c>
      <c r="V160" s="24">
        <v>1</v>
      </c>
      <c r="W160" s="24" t="s">
        <v>448</v>
      </c>
      <c r="X160" s="24" t="s">
        <v>448</v>
      </c>
      <c r="Y160" s="30">
        <v>3</v>
      </c>
      <c r="Z160" s="30"/>
      <c r="AA160" s="30">
        <v>3</v>
      </c>
      <c r="AB160" s="59"/>
      <c r="AC160" s="59"/>
      <c r="AD160" s="35" t="s">
        <v>1104</v>
      </c>
      <c r="AE160" s="202" t="s">
        <v>19</v>
      </c>
      <c r="AF160" s="35" t="s">
        <v>1880</v>
      </c>
      <c r="AG160" s="609"/>
    </row>
    <row r="161" spans="1:33" s="11" customFormat="1" ht="26.25" customHeight="1" x14ac:dyDescent="0.15">
      <c r="A161" s="8">
        <v>159</v>
      </c>
      <c r="B161" s="36" t="s">
        <v>6158</v>
      </c>
      <c r="C161" s="71" t="s">
        <v>6177</v>
      </c>
      <c r="D161" s="610" t="s">
        <v>111</v>
      </c>
      <c r="E161" s="610" t="s">
        <v>111</v>
      </c>
      <c r="F161" s="151" t="s">
        <v>3245</v>
      </c>
      <c r="G161" s="53" t="s">
        <v>6182</v>
      </c>
      <c r="H161" s="610" t="s">
        <v>1147</v>
      </c>
      <c r="I161" s="610" t="s">
        <v>3215</v>
      </c>
      <c r="J161" s="21" t="s">
        <v>3222</v>
      </c>
      <c r="K161" s="610" t="s">
        <v>1138</v>
      </c>
      <c r="L161" s="610" t="s">
        <v>1826</v>
      </c>
      <c r="M161" s="610" t="s">
        <v>111</v>
      </c>
      <c r="N161" s="610" t="s">
        <v>25</v>
      </c>
      <c r="O161" s="54" t="s">
        <v>6183</v>
      </c>
      <c r="P161" s="22" t="s">
        <v>1880</v>
      </c>
      <c r="Q161" s="609" t="s">
        <v>5487</v>
      </c>
      <c r="R161" s="609" t="s">
        <v>5487</v>
      </c>
      <c r="S161" s="24" t="s">
        <v>6184</v>
      </c>
      <c r="T161" s="90" t="s">
        <v>6127</v>
      </c>
      <c r="U161" s="24" t="s">
        <v>110</v>
      </c>
      <c r="V161" s="24">
        <v>1</v>
      </c>
      <c r="W161" s="24" t="s">
        <v>448</v>
      </c>
      <c r="X161" s="24" t="s">
        <v>448</v>
      </c>
      <c r="Y161" s="30">
        <v>3</v>
      </c>
      <c r="Z161" s="30"/>
      <c r="AA161" s="30">
        <v>3</v>
      </c>
      <c r="AB161" s="59"/>
      <c r="AC161" s="59"/>
      <c r="AD161" s="35" t="s">
        <v>1104</v>
      </c>
      <c r="AE161" s="202" t="s">
        <v>19</v>
      </c>
      <c r="AF161" s="35" t="s">
        <v>1880</v>
      </c>
      <c r="AG161" s="609"/>
    </row>
    <row r="162" spans="1:33" s="11" customFormat="1" ht="26.25" customHeight="1" x14ac:dyDescent="0.15">
      <c r="A162" s="8">
        <v>160</v>
      </c>
      <c r="B162" s="36" t="s">
        <v>6159</v>
      </c>
      <c r="C162" s="71" t="s">
        <v>6178</v>
      </c>
      <c r="D162" s="610" t="s">
        <v>111</v>
      </c>
      <c r="E162" s="610" t="s">
        <v>111</v>
      </c>
      <c r="F162" s="151" t="s">
        <v>3245</v>
      </c>
      <c r="G162" s="53" t="s">
        <v>6182</v>
      </c>
      <c r="H162" s="610" t="s">
        <v>1147</v>
      </c>
      <c r="I162" s="610" t="s">
        <v>3215</v>
      </c>
      <c r="J162" s="21" t="s">
        <v>3225</v>
      </c>
      <c r="K162" s="610" t="s">
        <v>1138</v>
      </c>
      <c r="L162" s="610" t="s">
        <v>1826</v>
      </c>
      <c r="M162" s="610" t="s">
        <v>111</v>
      </c>
      <c r="N162" s="610" t="s">
        <v>25</v>
      </c>
      <c r="O162" s="54" t="s">
        <v>6183</v>
      </c>
      <c r="P162" s="22" t="s">
        <v>1880</v>
      </c>
      <c r="Q162" s="609" t="s">
        <v>5487</v>
      </c>
      <c r="R162" s="609" t="s">
        <v>5487</v>
      </c>
      <c r="S162" s="24" t="s">
        <v>6184</v>
      </c>
      <c r="T162" s="90" t="s">
        <v>6127</v>
      </c>
      <c r="U162" s="24" t="s">
        <v>110</v>
      </c>
      <c r="V162" s="24">
        <v>1</v>
      </c>
      <c r="W162" s="24" t="s">
        <v>448</v>
      </c>
      <c r="X162" s="24" t="s">
        <v>448</v>
      </c>
      <c r="Y162" s="30">
        <v>3</v>
      </c>
      <c r="Z162" s="30"/>
      <c r="AA162" s="30">
        <v>3</v>
      </c>
      <c r="AB162" s="59"/>
      <c r="AC162" s="59"/>
      <c r="AD162" s="35" t="s">
        <v>1104</v>
      </c>
      <c r="AE162" s="202" t="s">
        <v>19</v>
      </c>
      <c r="AF162" s="35" t="s">
        <v>1880</v>
      </c>
      <c r="AG162" s="609"/>
    </row>
    <row r="163" spans="1:33" s="11" customFormat="1" ht="26.25" customHeight="1" x14ac:dyDescent="0.15">
      <c r="A163" s="8">
        <v>161</v>
      </c>
      <c r="B163" s="36" t="s">
        <v>6160</v>
      </c>
      <c r="C163" s="71" t="s">
        <v>6179</v>
      </c>
      <c r="D163" s="610" t="s">
        <v>111</v>
      </c>
      <c r="E163" s="610" t="s">
        <v>111</v>
      </c>
      <c r="F163" s="151" t="s">
        <v>3245</v>
      </c>
      <c r="G163" s="53" t="s">
        <v>6182</v>
      </c>
      <c r="H163" s="610" t="s">
        <v>1147</v>
      </c>
      <c r="I163" s="610" t="s">
        <v>3215</v>
      </c>
      <c r="J163" s="21" t="s">
        <v>3328</v>
      </c>
      <c r="K163" s="610" t="s">
        <v>1138</v>
      </c>
      <c r="L163" s="610" t="s">
        <v>1826</v>
      </c>
      <c r="M163" s="610" t="s">
        <v>111</v>
      </c>
      <c r="N163" s="610" t="s">
        <v>25</v>
      </c>
      <c r="O163" s="54" t="s">
        <v>6183</v>
      </c>
      <c r="P163" s="22" t="s">
        <v>1880</v>
      </c>
      <c r="Q163" s="609" t="s">
        <v>5487</v>
      </c>
      <c r="R163" s="609" t="s">
        <v>5487</v>
      </c>
      <c r="S163" s="24" t="s">
        <v>6184</v>
      </c>
      <c r="T163" s="90" t="s">
        <v>6127</v>
      </c>
      <c r="U163" s="24" t="s">
        <v>110</v>
      </c>
      <c r="V163" s="24">
        <v>1</v>
      </c>
      <c r="W163" s="24" t="s">
        <v>448</v>
      </c>
      <c r="X163" s="24" t="s">
        <v>448</v>
      </c>
      <c r="Y163" s="30">
        <v>3</v>
      </c>
      <c r="Z163" s="30"/>
      <c r="AA163" s="30">
        <v>3</v>
      </c>
      <c r="AB163" s="59"/>
      <c r="AC163" s="59"/>
      <c r="AD163" s="35" t="s">
        <v>1104</v>
      </c>
      <c r="AE163" s="202" t="s">
        <v>19</v>
      </c>
      <c r="AF163" s="35" t="s">
        <v>1880</v>
      </c>
      <c r="AG163" s="609"/>
    </row>
    <row r="164" spans="1:33" s="11" customFormat="1" ht="26.25" customHeight="1" x14ac:dyDescent="0.15">
      <c r="A164" s="8">
        <v>162</v>
      </c>
      <c r="B164" s="36" t="s">
        <v>6161</v>
      </c>
      <c r="C164" s="71" t="s">
        <v>6180</v>
      </c>
      <c r="D164" s="610" t="s">
        <v>111</v>
      </c>
      <c r="E164" s="610" t="s">
        <v>111</v>
      </c>
      <c r="F164" s="151" t="s">
        <v>3245</v>
      </c>
      <c r="G164" s="53" t="s">
        <v>6182</v>
      </c>
      <c r="H164" s="610" t="s">
        <v>1147</v>
      </c>
      <c r="I164" s="610" t="s">
        <v>3215</v>
      </c>
      <c r="J164" s="21" t="s">
        <v>3331</v>
      </c>
      <c r="K164" s="609" t="s">
        <v>3236</v>
      </c>
      <c r="L164" s="610" t="s">
        <v>1826</v>
      </c>
      <c r="M164" s="610" t="s">
        <v>111</v>
      </c>
      <c r="N164" s="610" t="s">
        <v>25</v>
      </c>
      <c r="O164" s="54" t="s">
        <v>6183</v>
      </c>
      <c r="P164" s="22" t="s">
        <v>1880</v>
      </c>
      <c r="Q164" s="609" t="s">
        <v>5487</v>
      </c>
      <c r="R164" s="609" t="s">
        <v>5487</v>
      </c>
      <c r="S164" s="24" t="s">
        <v>6184</v>
      </c>
      <c r="T164" s="90" t="s">
        <v>6127</v>
      </c>
      <c r="U164" s="24" t="s">
        <v>110</v>
      </c>
      <c r="V164" s="24">
        <v>1</v>
      </c>
      <c r="W164" s="24" t="s">
        <v>448</v>
      </c>
      <c r="X164" s="24" t="s">
        <v>448</v>
      </c>
      <c r="Y164" s="30">
        <v>3</v>
      </c>
      <c r="Z164" s="30"/>
      <c r="AA164" s="30">
        <v>3</v>
      </c>
      <c r="AB164" s="59"/>
      <c r="AC164" s="59"/>
      <c r="AD164" s="35" t="s">
        <v>1104</v>
      </c>
      <c r="AE164" s="202" t="s">
        <v>19</v>
      </c>
      <c r="AF164" s="35" t="s">
        <v>1880</v>
      </c>
      <c r="AG164" s="609"/>
    </row>
    <row r="165" spans="1:33" s="11" customFormat="1" ht="26.25" customHeight="1" x14ac:dyDescent="0.15">
      <c r="A165" s="8">
        <v>163</v>
      </c>
      <c r="B165" s="36" t="s">
        <v>6162</v>
      </c>
      <c r="C165" s="71" t="s">
        <v>6181</v>
      </c>
      <c r="D165" s="610" t="s">
        <v>111</v>
      </c>
      <c r="E165" s="610" t="s">
        <v>111</v>
      </c>
      <c r="F165" s="151" t="s">
        <v>3245</v>
      </c>
      <c r="G165" s="53" t="s">
        <v>6182</v>
      </c>
      <c r="H165" s="610" t="s">
        <v>1147</v>
      </c>
      <c r="I165" s="610" t="s">
        <v>3215</v>
      </c>
      <c r="J165" s="37" t="s">
        <v>4259</v>
      </c>
      <c r="K165" s="22" t="s">
        <v>1138</v>
      </c>
      <c r="L165" s="610" t="s">
        <v>1826</v>
      </c>
      <c r="M165" s="610" t="s">
        <v>111</v>
      </c>
      <c r="N165" s="610" t="s">
        <v>25</v>
      </c>
      <c r="O165" s="54" t="s">
        <v>6183</v>
      </c>
      <c r="P165" s="22" t="s">
        <v>1880</v>
      </c>
      <c r="Q165" s="609" t="s">
        <v>5487</v>
      </c>
      <c r="R165" s="609" t="s">
        <v>5487</v>
      </c>
      <c r="S165" s="24" t="s">
        <v>6184</v>
      </c>
      <c r="T165" s="90" t="s">
        <v>6127</v>
      </c>
      <c r="U165" s="24" t="s">
        <v>110</v>
      </c>
      <c r="V165" s="24">
        <v>1</v>
      </c>
      <c r="W165" s="24" t="s">
        <v>448</v>
      </c>
      <c r="X165" s="24" t="s">
        <v>448</v>
      </c>
      <c r="Y165" s="30">
        <v>3</v>
      </c>
      <c r="Z165" s="30"/>
      <c r="AA165" s="30">
        <v>3</v>
      </c>
      <c r="AB165" s="59"/>
      <c r="AC165" s="59"/>
      <c r="AD165" s="35" t="s">
        <v>1104</v>
      </c>
      <c r="AE165" s="202" t="s">
        <v>19</v>
      </c>
      <c r="AF165" s="35" t="s">
        <v>1880</v>
      </c>
      <c r="AG165" s="609"/>
    </row>
    <row r="166" spans="1:33" s="11" customFormat="1" ht="26.25" customHeight="1" x14ac:dyDescent="0.15">
      <c r="A166" s="8">
        <v>164</v>
      </c>
      <c r="B166" s="36" t="s">
        <v>6185</v>
      </c>
      <c r="C166" s="610" t="s">
        <v>111</v>
      </c>
      <c r="D166" s="610" t="s">
        <v>111</v>
      </c>
      <c r="E166" s="610" t="s">
        <v>111</v>
      </c>
      <c r="F166" s="151" t="s">
        <v>3245</v>
      </c>
      <c r="G166" s="53" t="s">
        <v>4923</v>
      </c>
      <c r="H166" s="609" t="s">
        <v>4712</v>
      </c>
      <c r="I166" s="609" t="s">
        <v>4701</v>
      </c>
      <c r="J166" s="609" t="s">
        <v>4924</v>
      </c>
      <c r="K166" s="22" t="s">
        <v>1138</v>
      </c>
      <c r="L166" s="22" t="s">
        <v>1826</v>
      </c>
      <c r="M166" s="610" t="s">
        <v>1880</v>
      </c>
      <c r="N166" s="216" t="s">
        <v>25</v>
      </c>
      <c r="O166" s="54" t="s">
        <v>6183</v>
      </c>
      <c r="P166" s="22" t="s">
        <v>1880</v>
      </c>
      <c r="Q166" s="609" t="s">
        <v>5487</v>
      </c>
      <c r="R166" s="609" t="s">
        <v>5487</v>
      </c>
      <c r="S166" s="24" t="s">
        <v>6184</v>
      </c>
      <c r="T166" s="90" t="s">
        <v>6127</v>
      </c>
      <c r="U166" s="24" t="s">
        <v>110</v>
      </c>
      <c r="V166" s="24">
        <v>1</v>
      </c>
      <c r="W166" s="24" t="s">
        <v>448</v>
      </c>
      <c r="X166" s="24" t="s">
        <v>448</v>
      </c>
      <c r="Y166" s="30">
        <v>3</v>
      </c>
      <c r="Z166" s="30"/>
      <c r="AA166" s="30">
        <v>3</v>
      </c>
      <c r="AB166" s="59"/>
      <c r="AC166" s="59"/>
      <c r="AD166" s="35" t="s">
        <v>1104</v>
      </c>
      <c r="AE166" s="202" t="s">
        <v>19</v>
      </c>
      <c r="AF166" s="35" t="s">
        <v>1880</v>
      </c>
      <c r="AG166" s="609"/>
    </row>
    <row r="167" spans="1:33" s="11" customFormat="1" ht="26.25" customHeight="1" x14ac:dyDescent="0.15">
      <c r="A167" s="8">
        <v>165</v>
      </c>
      <c r="B167" s="36" t="s">
        <v>6186</v>
      </c>
      <c r="C167" s="610" t="s">
        <v>111</v>
      </c>
      <c r="D167" s="610" t="s">
        <v>111</v>
      </c>
      <c r="E167" s="610" t="s">
        <v>111</v>
      </c>
      <c r="F167" s="151" t="s">
        <v>3245</v>
      </c>
      <c r="G167" s="53" t="s">
        <v>4929</v>
      </c>
      <c r="H167" s="609" t="s">
        <v>4712</v>
      </c>
      <c r="I167" s="609" t="s">
        <v>4701</v>
      </c>
      <c r="J167" s="609" t="s">
        <v>4930</v>
      </c>
      <c r="K167" s="22" t="s">
        <v>1138</v>
      </c>
      <c r="L167" s="22" t="s">
        <v>1826</v>
      </c>
      <c r="M167" s="610" t="s">
        <v>1880</v>
      </c>
      <c r="N167" s="216" t="s">
        <v>25</v>
      </c>
      <c r="O167" s="54" t="s">
        <v>6183</v>
      </c>
      <c r="P167" s="22" t="s">
        <v>1880</v>
      </c>
      <c r="Q167" s="609" t="s">
        <v>5487</v>
      </c>
      <c r="R167" s="609" t="s">
        <v>5487</v>
      </c>
      <c r="S167" s="24" t="s">
        <v>6184</v>
      </c>
      <c r="T167" s="90" t="s">
        <v>6127</v>
      </c>
      <c r="U167" s="24" t="s">
        <v>110</v>
      </c>
      <c r="V167" s="24">
        <v>1</v>
      </c>
      <c r="W167" s="24" t="s">
        <v>448</v>
      </c>
      <c r="X167" s="24" t="s">
        <v>448</v>
      </c>
      <c r="Y167" s="30">
        <v>3</v>
      </c>
      <c r="Z167" s="30"/>
      <c r="AA167" s="30">
        <v>3</v>
      </c>
      <c r="AB167" s="59"/>
      <c r="AC167" s="59"/>
      <c r="AD167" s="35" t="s">
        <v>1104</v>
      </c>
      <c r="AE167" s="202" t="s">
        <v>19</v>
      </c>
      <c r="AF167" s="35" t="s">
        <v>1880</v>
      </c>
      <c r="AG167" s="609"/>
    </row>
    <row r="168" spans="1:33" s="11" customFormat="1" ht="26.25" customHeight="1" x14ac:dyDescent="0.15">
      <c r="A168" s="8">
        <v>166</v>
      </c>
      <c r="B168" s="36" t="s">
        <v>6274</v>
      </c>
      <c r="C168" s="644" t="s">
        <v>111</v>
      </c>
      <c r="D168" s="644" t="s">
        <v>111</v>
      </c>
      <c r="E168" s="644" t="s">
        <v>111</v>
      </c>
      <c r="F168" s="151" t="s">
        <v>3245</v>
      </c>
      <c r="G168" s="53" t="s">
        <v>6276</v>
      </c>
      <c r="H168" s="642" t="s">
        <v>2112</v>
      </c>
      <c r="I168" s="642" t="s">
        <v>4701</v>
      </c>
      <c r="J168" s="642" t="s">
        <v>6136</v>
      </c>
      <c r="K168" s="22" t="s">
        <v>6137</v>
      </c>
      <c r="L168" s="22" t="s">
        <v>1826</v>
      </c>
      <c r="M168" s="644" t="s">
        <v>1880</v>
      </c>
      <c r="N168" s="216" t="s">
        <v>25</v>
      </c>
      <c r="O168" s="54" t="s">
        <v>6183</v>
      </c>
      <c r="P168" s="22" t="s">
        <v>1880</v>
      </c>
      <c r="Q168" s="643" t="s">
        <v>5487</v>
      </c>
      <c r="R168" s="643" t="s">
        <v>5487</v>
      </c>
      <c r="S168" s="24" t="s">
        <v>6277</v>
      </c>
      <c r="T168" s="90" t="s">
        <v>6200</v>
      </c>
      <c r="U168" s="24" t="s">
        <v>110</v>
      </c>
      <c r="V168" s="24">
        <v>1</v>
      </c>
      <c r="W168" s="24" t="s">
        <v>448</v>
      </c>
      <c r="X168" s="24" t="s">
        <v>448</v>
      </c>
      <c r="Y168" s="30">
        <v>3</v>
      </c>
      <c r="Z168" s="30"/>
      <c r="AA168" s="30">
        <v>3</v>
      </c>
      <c r="AB168" s="59"/>
      <c r="AC168" s="59"/>
      <c r="AD168" s="35" t="s">
        <v>1104</v>
      </c>
      <c r="AE168" s="202" t="s">
        <v>19</v>
      </c>
      <c r="AF168" s="35" t="s">
        <v>1880</v>
      </c>
      <c r="AG168" s="54" t="s">
        <v>6318</v>
      </c>
    </row>
    <row r="169" spans="1:33" s="11" customFormat="1" ht="26.25" customHeight="1" x14ac:dyDescent="0.15">
      <c r="A169" s="8">
        <v>167</v>
      </c>
      <c r="B169" s="36" t="s">
        <v>6275</v>
      </c>
      <c r="C169" s="644" t="s">
        <v>111</v>
      </c>
      <c r="D169" s="644" t="s">
        <v>111</v>
      </c>
      <c r="E169" s="644" t="s">
        <v>111</v>
      </c>
      <c r="F169" s="151" t="s">
        <v>3245</v>
      </c>
      <c r="G169" s="53" t="s">
        <v>6279</v>
      </c>
      <c r="H169" s="642" t="s">
        <v>3649</v>
      </c>
      <c r="I169" s="642" t="s">
        <v>4701</v>
      </c>
      <c r="J169" s="642" t="s">
        <v>6278</v>
      </c>
      <c r="K169" s="22" t="s">
        <v>4729</v>
      </c>
      <c r="L169" s="22" t="s">
        <v>1826</v>
      </c>
      <c r="M169" s="644" t="s">
        <v>1880</v>
      </c>
      <c r="N169" s="216" t="s">
        <v>25</v>
      </c>
      <c r="O169" s="54" t="s">
        <v>6183</v>
      </c>
      <c r="P169" s="22" t="s">
        <v>1880</v>
      </c>
      <c r="Q169" s="643" t="s">
        <v>5487</v>
      </c>
      <c r="R169" s="643" t="s">
        <v>5487</v>
      </c>
      <c r="S169" s="24" t="s">
        <v>6277</v>
      </c>
      <c r="T169" s="90" t="s">
        <v>6200</v>
      </c>
      <c r="U169" s="24" t="s">
        <v>110</v>
      </c>
      <c r="V169" s="24">
        <v>1</v>
      </c>
      <c r="W169" s="24" t="s">
        <v>448</v>
      </c>
      <c r="X169" s="24" t="s">
        <v>448</v>
      </c>
      <c r="Y169" s="30">
        <v>3</v>
      </c>
      <c r="Z169" s="30"/>
      <c r="AA169" s="30">
        <v>3</v>
      </c>
      <c r="AB169" s="59"/>
      <c r="AC169" s="59"/>
      <c r="AD169" s="35" t="s">
        <v>1104</v>
      </c>
      <c r="AE169" s="202" t="s">
        <v>19</v>
      </c>
      <c r="AF169" s="35" t="s">
        <v>1880</v>
      </c>
      <c r="AG169" s="54" t="s">
        <v>6318</v>
      </c>
    </row>
    <row r="170" spans="1:33" s="11" customFormat="1" ht="26.25" customHeight="1" x14ac:dyDescent="0.15">
      <c r="A170" s="8">
        <v>168</v>
      </c>
      <c r="B170" s="36" t="s">
        <v>6187</v>
      </c>
      <c r="C170" s="613" t="s">
        <v>111</v>
      </c>
      <c r="D170" s="613" t="s">
        <v>111</v>
      </c>
      <c r="E170" s="613" t="s">
        <v>111</v>
      </c>
      <c r="F170" s="29" t="s">
        <v>6188</v>
      </c>
      <c r="G170" s="53" t="s">
        <v>6189</v>
      </c>
      <c r="H170" s="608" t="s">
        <v>6190</v>
      </c>
      <c r="I170" s="608" t="s">
        <v>4701</v>
      </c>
      <c r="J170" s="608" t="s">
        <v>6191</v>
      </c>
      <c r="K170" s="22" t="s">
        <v>4780</v>
      </c>
      <c r="L170" s="22" t="s">
        <v>1826</v>
      </c>
      <c r="M170" s="613" t="s">
        <v>1880</v>
      </c>
      <c r="N170" s="612" t="s">
        <v>5582</v>
      </c>
      <c r="O170" s="54" t="s">
        <v>5582</v>
      </c>
      <c r="P170" s="22" t="s">
        <v>1880</v>
      </c>
      <c r="Q170" s="612" t="s">
        <v>5487</v>
      </c>
      <c r="R170" s="612" t="s">
        <v>5487</v>
      </c>
      <c r="S170" s="24" t="s">
        <v>6192</v>
      </c>
      <c r="T170" s="90" t="s">
        <v>6127</v>
      </c>
      <c r="U170" s="24" t="s">
        <v>110</v>
      </c>
      <c r="V170" s="24">
        <v>2</v>
      </c>
      <c r="W170" s="24" t="s">
        <v>448</v>
      </c>
      <c r="X170" s="24" t="s">
        <v>448</v>
      </c>
      <c r="Y170" s="30">
        <v>10.48</v>
      </c>
      <c r="Z170" s="30"/>
      <c r="AA170" s="30">
        <v>10.48</v>
      </c>
      <c r="AB170" s="59"/>
      <c r="AC170" s="59"/>
      <c r="AD170" s="35" t="s">
        <v>1104</v>
      </c>
      <c r="AE170" s="202" t="s">
        <v>19</v>
      </c>
      <c r="AF170" s="35" t="s">
        <v>1880</v>
      </c>
      <c r="AG170" s="609"/>
    </row>
    <row r="171" spans="1:33" s="11" customFormat="1" ht="26.25" customHeight="1" x14ac:dyDescent="0.15">
      <c r="A171" s="8">
        <v>169</v>
      </c>
      <c r="B171" s="36" t="s">
        <v>6193</v>
      </c>
      <c r="C171" s="616" t="s">
        <v>111</v>
      </c>
      <c r="D171" s="616" t="s">
        <v>111</v>
      </c>
      <c r="E171" s="616" t="s">
        <v>111</v>
      </c>
      <c r="F171" s="29" t="s">
        <v>5975</v>
      </c>
      <c r="G171" s="53" t="s">
        <v>6197</v>
      </c>
      <c r="H171" s="614" t="s">
        <v>5448</v>
      </c>
      <c r="I171" s="614" t="s">
        <v>1124</v>
      </c>
      <c r="J171" s="614" t="s">
        <v>5449</v>
      </c>
      <c r="K171" s="22" t="s">
        <v>6198</v>
      </c>
      <c r="L171" s="22" t="s">
        <v>1826</v>
      </c>
      <c r="M171" s="616" t="s">
        <v>1880</v>
      </c>
      <c r="N171" s="216" t="s">
        <v>25</v>
      </c>
      <c r="O171" s="54" t="s">
        <v>116</v>
      </c>
      <c r="P171" s="22" t="s">
        <v>1880</v>
      </c>
      <c r="Q171" s="609" t="s">
        <v>1774</v>
      </c>
      <c r="R171" s="609" t="s">
        <v>1774</v>
      </c>
      <c r="S171" s="24" t="s">
        <v>6199</v>
      </c>
      <c r="T171" s="90" t="s">
        <v>6200</v>
      </c>
      <c r="U171" s="24" t="s">
        <v>110</v>
      </c>
      <c r="V171" s="24">
        <v>1</v>
      </c>
      <c r="W171" s="24" t="s">
        <v>6201</v>
      </c>
      <c r="X171" s="24" t="s">
        <v>6202</v>
      </c>
      <c r="Y171" s="30"/>
      <c r="Z171" s="30">
        <v>8</v>
      </c>
      <c r="AA171" s="30">
        <v>8</v>
      </c>
      <c r="AB171" s="59"/>
      <c r="AC171" s="59"/>
      <c r="AD171" s="35" t="s">
        <v>1104</v>
      </c>
      <c r="AE171" s="202" t="s">
        <v>19</v>
      </c>
      <c r="AF171" s="35" t="s">
        <v>1880</v>
      </c>
      <c r="AG171" s="609"/>
    </row>
    <row r="172" spans="1:33" s="11" customFormat="1" ht="26.25" customHeight="1" x14ac:dyDescent="0.15">
      <c r="A172" s="8">
        <v>170</v>
      </c>
      <c r="B172" s="36" t="s">
        <v>6194</v>
      </c>
      <c r="C172" s="616" t="s">
        <v>111</v>
      </c>
      <c r="D172" s="616" t="s">
        <v>111</v>
      </c>
      <c r="E172" s="616" t="s">
        <v>111</v>
      </c>
      <c r="F172" s="29" t="s">
        <v>5975</v>
      </c>
      <c r="G172" s="53" t="s">
        <v>6203</v>
      </c>
      <c r="H172" s="614" t="s">
        <v>5448</v>
      </c>
      <c r="I172" s="614" t="s">
        <v>1124</v>
      </c>
      <c r="J172" s="614" t="s">
        <v>5454</v>
      </c>
      <c r="K172" s="22" t="s">
        <v>6204</v>
      </c>
      <c r="L172" s="22" t="s">
        <v>1826</v>
      </c>
      <c r="M172" s="616" t="s">
        <v>1880</v>
      </c>
      <c r="N172" s="216" t="s">
        <v>25</v>
      </c>
      <c r="O172" s="54" t="s">
        <v>116</v>
      </c>
      <c r="P172" s="22" t="s">
        <v>1880</v>
      </c>
      <c r="Q172" s="615" t="s">
        <v>1774</v>
      </c>
      <c r="R172" s="615" t="s">
        <v>1774</v>
      </c>
      <c r="S172" s="24" t="s">
        <v>6199</v>
      </c>
      <c r="T172" s="90" t="s">
        <v>6200</v>
      </c>
      <c r="U172" s="24" t="s">
        <v>110</v>
      </c>
      <c r="V172" s="24">
        <v>1</v>
      </c>
      <c r="W172" s="24" t="s">
        <v>6201</v>
      </c>
      <c r="X172" s="24" t="s">
        <v>6202</v>
      </c>
      <c r="Y172" s="30"/>
      <c r="Z172" s="30">
        <v>8</v>
      </c>
      <c r="AA172" s="30">
        <v>8</v>
      </c>
      <c r="AB172" s="59"/>
      <c r="AC172" s="59"/>
      <c r="AD172" s="35" t="s">
        <v>1104</v>
      </c>
      <c r="AE172" s="202" t="s">
        <v>19</v>
      </c>
      <c r="AF172" s="35" t="s">
        <v>1880</v>
      </c>
      <c r="AG172" s="609"/>
    </row>
    <row r="173" spans="1:33" s="11" customFormat="1" ht="26.25" customHeight="1" x14ac:dyDescent="0.15">
      <c r="A173" s="8">
        <v>171</v>
      </c>
      <c r="B173" s="36" t="s">
        <v>6195</v>
      </c>
      <c r="C173" s="71" t="s">
        <v>6205</v>
      </c>
      <c r="D173" s="616" t="s">
        <v>111</v>
      </c>
      <c r="E173" s="616" t="s">
        <v>111</v>
      </c>
      <c r="F173" s="29" t="s">
        <v>6206</v>
      </c>
      <c r="G173" s="53" t="s">
        <v>6207</v>
      </c>
      <c r="H173" s="615" t="s">
        <v>4195</v>
      </c>
      <c r="I173" s="615" t="s">
        <v>1124</v>
      </c>
      <c r="J173" s="615" t="s">
        <v>6208</v>
      </c>
      <c r="K173" s="22" t="s">
        <v>4780</v>
      </c>
      <c r="L173" s="22" t="s">
        <v>5478</v>
      </c>
      <c r="M173" s="616" t="s">
        <v>1880</v>
      </c>
      <c r="N173" s="615" t="s">
        <v>686</v>
      </c>
      <c r="O173" s="54" t="s">
        <v>6209</v>
      </c>
      <c r="P173" s="22" t="s">
        <v>1880</v>
      </c>
      <c r="Q173" s="609" t="s">
        <v>5480</v>
      </c>
      <c r="R173" s="609" t="s">
        <v>5480</v>
      </c>
      <c r="S173" s="24" t="s">
        <v>6199</v>
      </c>
      <c r="T173" s="90" t="s">
        <v>6126</v>
      </c>
      <c r="U173" s="24" t="s">
        <v>110</v>
      </c>
      <c r="V173" s="24">
        <v>1</v>
      </c>
      <c r="W173" s="24" t="s">
        <v>448</v>
      </c>
      <c r="X173" s="24" t="s">
        <v>448</v>
      </c>
      <c r="Y173" s="30">
        <v>8</v>
      </c>
      <c r="Z173" s="30"/>
      <c r="AA173" s="30">
        <v>8</v>
      </c>
      <c r="AB173" s="59"/>
      <c r="AC173" s="59"/>
      <c r="AD173" s="35" t="s">
        <v>1104</v>
      </c>
      <c r="AE173" s="202" t="s">
        <v>19</v>
      </c>
      <c r="AF173" s="35" t="s">
        <v>1880</v>
      </c>
      <c r="AG173" s="609"/>
    </row>
    <row r="174" spans="1:33" s="11" customFormat="1" ht="45" customHeight="1" x14ac:dyDescent="0.15">
      <c r="A174" s="8">
        <v>172</v>
      </c>
      <c r="B174" s="36" t="s">
        <v>6196</v>
      </c>
      <c r="C174" s="616" t="s">
        <v>111</v>
      </c>
      <c r="D174" s="616" t="s">
        <v>111</v>
      </c>
      <c r="E174" s="616" t="s">
        <v>111</v>
      </c>
      <c r="F174" s="29" t="s">
        <v>5671</v>
      </c>
      <c r="G174" s="53" t="s">
        <v>6210</v>
      </c>
      <c r="H174" s="615" t="s">
        <v>4195</v>
      </c>
      <c r="I174" s="615" t="s">
        <v>4728</v>
      </c>
      <c r="J174" s="615" t="s">
        <v>5673</v>
      </c>
      <c r="K174" s="22" t="s">
        <v>5674</v>
      </c>
      <c r="L174" s="22" t="s">
        <v>5478</v>
      </c>
      <c r="M174" s="616" t="s">
        <v>1880</v>
      </c>
      <c r="N174" s="609" t="s">
        <v>4676</v>
      </c>
      <c r="O174" s="54" t="s">
        <v>116</v>
      </c>
      <c r="P174" s="22" t="s">
        <v>1880</v>
      </c>
      <c r="Q174" s="609" t="s">
        <v>1894</v>
      </c>
      <c r="R174" s="609" t="s">
        <v>1894</v>
      </c>
      <c r="S174" s="24" t="s">
        <v>6199</v>
      </c>
      <c r="T174" s="90" t="s">
        <v>6184</v>
      </c>
      <c r="U174" s="24" t="s">
        <v>110</v>
      </c>
      <c r="V174" s="24">
        <v>2</v>
      </c>
      <c r="W174" s="24" t="s">
        <v>6184</v>
      </c>
      <c r="X174" s="24" t="s">
        <v>6211</v>
      </c>
      <c r="Y174" s="30"/>
      <c r="Z174" s="30">
        <v>9.6</v>
      </c>
      <c r="AA174" s="30">
        <v>9.6</v>
      </c>
      <c r="AB174" s="59"/>
      <c r="AC174" s="59"/>
      <c r="AD174" s="35" t="s">
        <v>1104</v>
      </c>
      <c r="AE174" s="202" t="s">
        <v>19</v>
      </c>
      <c r="AF174" s="35" t="s">
        <v>1880</v>
      </c>
      <c r="AG174" s="609"/>
    </row>
    <row r="175" spans="1:33" s="11" customFormat="1" ht="42" customHeight="1" x14ac:dyDescent="0.15">
      <c r="A175" s="8">
        <v>173</v>
      </c>
      <c r="B175" s="36" t="s">
        <v>6212</v>
      </c>
      <c r="C175" s="618" t="s">
        <v>111</v>
      </c>
      <c r="D175" s="618" t="s">
        <v>111</v>
      </c>
      <c r="E175" s="618" t="s">
        <v>111</v>
      </c>
      <c r="F175" s="29" t="s">
        <v>6213</v>
      </c>
      <c r="G175" s="53" t="s">
        <v>6214</v>
      </c>
      <c r="H175" s="617" t="s">
        <v>4195</v>
      </c>
      <c r="I175" s="617" t="s">
        <v>4728</v>
      </c>
      <c r="J175" s="617" t="s">
        <v>6215</v>
      </c>
      <c r="K175" s="22" t="s">
        <v>6216</v>
      </c>
      <c r="L175" s="22" t="s">
        <v>5431</v>
      </c>
      <c r="M175" s="618" t="s">
        <v>1880</v>
      </c>
      <c r="N175" s="216" t="s">
        <v>25</v>
      </c>
      <c r="O175" s="54" t="s">
        <v>116</v>
      </c>
      <c r="P175" s="22" t="s">
        <v>1880</v>
      </c>
      <c r="Q175" s="617" t="s">
        <v>1894</v>
      </c>
      <c r="R175" s="617" t="s">
        <v>1894</v>
      </c>
      <c r="S175" s="24" t="s">
        <v>6217</v>
      </c>
      <c r="T175" s="90" t="s">
        <v>6218</v>
      </c>
      <c r="U175" s="24" t="s">
        <v>110</v>
      </c>
      <c r="V175" s="24">
        <v>2</v>
      </c>
      <c r="W175" s="24" t="s">
        <v>6218</v>
      </c>
      <c r="X175" s="24" t="s">
        <v>6219</v>
      </c>
      <c r="Y175" s="30"/>
      <c r="Z175" s="30">
        <v>9.6</v>
      </c>
      <c r="AA175" s="30">
        <v>9.6</v>
      </c>
      <c r="AB175" s="59"/>
      <c r="AC175" s="59"/>
      <c r="AD175" s="35" t="s">
        <v>1104</v>
      </c>
      <c r="AE175" s="202" t="s">
        <v>19</v>
      </c>
      <c r="AF175" s="35" t="s">
        <v>1880</v>
      </c>
      <c r="AG175" s="609"/>
    </row>
    <row r="176" spans="1:33" s="11" customFormat="1" ht="51.75" customHeight="1" x14ac:dyDescent="0.15">
      <c r="A176" s="8">
        <v>174</v>
      </c>
      <c r="B176" s="36" t="s">
        <v>6220</v>
      </c>
      <c r="C176" s="620" t="s">
        <v>111</v>
      </c>
      <c r="D176" s="620" t="s">
        <v>111</v>
      </c>
      <c r="E176" s="620" t="s">
        <v>111</v>
      </c>
      <c r="F176" s="29" t="s">
        <v>5656</v>
      </c>
      <c r="G176" s="53" t="s">
        <v>6221</v>
      </c>
      <c r="H176" s="619" t="s">
        <v>4691</v>
      </c>
      <c r="I176" s="619" t="s">
        <v>4728</v>
      </c>
      <c r="J176" s="619" t="s">
        <v>5658</v>
      </c>
      <c r="K176" s="22" t="s">
        <v>5659</v>
      </c>
      <c r="L176" s="22" t="s">
        <v>5431</v>
      </c>
      <c r="M176" s="620" t="s">
        <v>1880</v>
      </c>
      <c r="N176" s="216" t="s">
        <v>25</v>
      </c>
      <c r="O176" s="54" t="s">
        <v>116</v>
      </c>
      <c r="P176" s="22" t="s">
        <v>1880</v>
      </c>
      <c r="Q176" s="619" t="s">
        <v>1894</v>
      </c>
      <c r="R176" s="619" t="s">
        <v>1894</v>
      </c>
      <c r="S176" s="24" t="s">
        <v>6222</v>
      </c>
      <c r="T176" s="90" t="s">
        <v>6192</v>
      </c>
      <c r="U176" s="24" t="s">
        <v>110</v>
      </c>
      <c r="V176" s="24">
        <v>1</v>
      </c>
      <c r="W176" s="24" t="s">
        <v>6192</v>
      </c>
      <c r="X176" s="24" t="s">
        <v>6223</v>
      </c>
      <c r="Y176" s="30"/>
      <c r="Z176" s="30">
        <v>9.6</v>
      </c>
      <c r="AA176" s="30">
        <v>9.6</v>
      </c>
      <c r="AB176" s="59"/>
      <c r="AC176" s="59"/>
      <c r="AD176" s="35" t="s">
        <v>1104</v>
      </c>
      <c r="AE176" s="202" t="s">
        <v>19</v>
      </c>
      <c r="AF176" s="35" t="s">
        <v>1880</v>
      </c>
      <c r="AG176" s="606"/>
    </row>
    <row r="177" spans="1:33" s="11" customFormat="1" ht="45" customHeight="1" x14ac:dyDescent="0.15">
      <c r="A177" s="8">
        <v>175</v>
      </c>
      <c r="B177" s="36" t="s">
        <v>6224</v>
      </c>
      <c r="C177" s="622" t="s">
        <v>111</v>
      </c>
      <c r="D177" s="622" t="s">
        <v>111</v>
      </c>
      <c r="E177" s="622" t="s">
        <v>111</v>
      </c>
      <c r="F177" s="29" t="s">
        <v>6061</v>
      </c>
      <c r="G177" s="53" t="s">
        <v>6225</v>
      </c>
      <c r="H177" s="621" t="s">
        <v>4712</v>
      </c>
      <c r="I177" s="621" t="s">
        <v>4728</v>
      </c>
      <c r="J177" s="621" t="s">
        <v>6062</v>
      </c>
      <c r="K177" s="22" t="s">
        <v>4780</v>
      </c>
      <c r="L177" s="22" t="s">
        <v>5431</v>
      </c>
      <c r="M177" s="622" t="s">
        <v>1880</v>
      </c>
      <c r="N177" s="216" t="s">
        <v>25</v>
      </c>
      <c r="O177" s="54" t="s">
        <v>116</v>
      </c>
      <c r="P177" s="22" t="s">
        <v>1880</v>
      </c>
      <c r="Q177" s="621" t="s">
        <v>1894</v>
      </c>
      <c r="R177" s="621" t="s">
        <v>1894</v>
      </c>
      <c r="S177" s="24" t="s">
        <v>6222</v>
      </c>
      <c r="T177" s="90" t="s">
        <v>6192</v>
      </c>
      <c r="U177" s="24" t="s">
        <v>110</v>
      </c>
      <c r="V177" s="24">
        <v>1</v>
      </c>
      <c r="W177" s="24" t="s">
        <v>6192</v>
      </c>
      <c r="X177" s="24" t="s">
        <v>6223</v>
      </c>
      <c r="Y177" s="30"/>
      <c r="Z177" s="30">
        <v>9.6</v>
      </c>
      <c r="AA177" s="30">
        <v>9.6</v>
      </c>
      <c r="AB177" s="59"/>
      <c r="AC177" s="59"/>
      <c r="AD177" s="35" t="s">
        <v>1104</v>
      </c>
      <c r="AE177" s="202" t="s">
        <v>19</v>
      </c>
      <c r="AF177" s="35" t="s">
        <v>1880</v>
      </c>
      <c r="AG177" s="621"/>
    </row>
    <row r="178" spans="1:33" s="11" customFormat="1" ht="48" customHeight="1" x14ac:dyDescent="0.15">
      <c r="A178" s="8">
        <v>176</v>
      </c>
      <c r="B178" s="36" t="s">
        <v>6226</v>
      </c>
      <c r="C178" s="625" t="s">
        <v>111</v>
      </c>
      <c r="D178" s="625" t="s">
        <v>111</v>
      </c>
      <c r="E178" s="625" t="s">
        <v>111</v>
      </c>
      <c r="F178" s="29" t="s">
        <v>6227</v>
      </c>
      <c r="G178" s="53" t="s">
        <v>6228</v>
      </c>
      <c r="H178" s="624" t="s">
        <v>4712</v>
      </c>
      <c r="I178" s="624" t="s">
        <v>4728</v>
      </c>
      <c r="J178" s="624" t="s">
        <v>5458</v>
      </c>
      <c r="K178" s="22" t="s">
        <v>4780</v>
      </c>
      <c r="L178" s="22" t="s">
        <v>5431</v>
      </c>
      <c r="M178" s="625" t="s">
        <v>1880</v>
      </c>
      <c r="N178" s="216" t="s">
        <v>25</v>
      </c>
      <c r="O178" s="54" t="s">
        <v>116</v>
      </c>
      <c r="P178" s="22" t="s">
        <v>1880</v>
      </c>
      <c r="Q178" s="624" t="s">
        <v>1894</v>
      </c>
      <c r="R178" s="624" t="s">
        <v>1894</v>
      </c>
      <c r="S178" s="24" t="s">
        <v>6229</v>
      </c>
      <c r="T178" s="90" t="s">
        <v>6222</v>
      </c>
      <c r="U178" s="24" t="s">
        <v>110</v>
      </c>
      <c r="V178" s="24">
        <v>1</v>
      </c>
      <c r="W178" s="24" t="s">
        <v>6222</v>
      </c>
      <c r="X178" s="24" t="s">
        <v>6230</v>
      </c>
      <c r="Y178" s="30"/>
      <c r="Z178" s="30">
        <v>9.6</v>
      </c>
      <c r="AA178" s="30">
        <v>9.6</v>
      </c>
      <c r="AB178" s="59"/>
      <c r="AC178" s="59"/>
      <c r="AD178" s="35" t="s">
        <v>1104</v>
      </c>
      <c r="AE178" s="202" t="s">
        <v>19</v>
      </c>
      <c r="AF178" s="35" t="s">
        <v>1880</v>
      </c>
      <c r="AG178" s="624"/>
    </row>
    <row r="179" spans="1:33" s="11" customFormat="1" ht="56.25" customHeight="1" x14ac:dyDescent="0.15">
      <c r="A179" s="8">
        <v>177</v>
      </c>
      <c r="B179" s="36" t="s">
        <v>6235</v>
      </c>
      <c r="C179" s="627" t="s">
        <v>111</v>
      </c>
      <c r="D179" s="627" t="s">
        <v>111</v>
      </c>
      <c r="E179" s="627" t="s">
        <v>111</v>
      </c>
      <c r="F179" s="29" t="s">
        <v>6231</v>
      </c>
      <c r="G179" s="53" t="s">
        <v>6232</v>
      </c>
      <c r="H179" s="623" t="s">
        <v>4195</v>
      </c>
      <c r="I179" s="626" t="s">
        <v>4728</v>
      </c>
      <c r="J179" s="623" t="s">
        <v>6233</v>
      </c>
      <c r="K179" s="22" t="s">
        <v>6236</v>
      </c>
      <c r="L179" s="22" t="s">
        <v>5431</v>
      </c>
      <c r="M179" s="627" t="s">
        <v>1880</v>
      </c>
      <c r="N179" s="216" t="s">
        <v>25</v>
      </c>
      <c r="O179" s="54" t="s">
        <v>116</v>
      </c>
      <c r="P179" s="22" t="s">
        <v>1880</v>
      </c>
      <c r="Q179" s="626" t="s">
        <v>1894</v>
      </c>
      <c r="R179" s="626" t="s">
        <v>1894</v>
      </c>
      <c r="S179" s="24" t="s">
        <v>6229</v>
      </c>
      <c r="T179" s="90" t="s">
        <v>6199</v>
      </c>
      <c r="U179" s="24" t="s">
        <v>110</v>
      </c>
      <c r="V179" s="24">
        <v>1</v>
      </c>
      <c r="W179" s="24" t="s">
        <v>6199</v>
      </c>
      <c r="X179" s="24" t="s">
        <v>6234</v>
      </c>
      <c r="Y179" s="30"/>
      <c r="Z179" s="30">
        <v>9.6</v>
      </c>
      <c r="AA179" s="30">
        <v>9.6</v>
      </c>
      <c r="AB179" s="59"/>
      <c r="AC179" s="59"/>
      <c r="AD179" s="35" t="s">
        <v>1104</v>
      </c>
      <c r="AE179" s="202" t="s">
        <v>19</v>
      </c>
      <c r="AF179" s="35" t="s">
        <v>1880</v>
      </c>
      <c r="AG179" s="624"/>
    </row>
    <row r="180" spans="1:33" s="11" customFormat="1" ht="57" customHeight="1" x14ac:dyDescent="0.15">
      <c r="A180" s="8">
        <v>178</v>
      </c>
      <c r="B180" s="36" t="s">
        <v>6238</v>
      </c>
      <c r="C180" s="630" t="s">
        <v>111</v>
      </c>
      <c r="D180" s="630" t="s">
        <v>111</v>
      </c>
      <c r="E180" s="630" t="s">
        <v>111</v>
      </c>
      <c r="F180" s="29" t="s">
        <v>6239</v>
      </c>
      <c r="G180" s="53" t="s">
        <v>6240</v>
      </c>
      <c r="H180" s="628" t="s">
        <v>4195</v>
      </c>
      <c r="I180" s="629" t="s">
        <v>4728</v>
      </c>
      <c r="J180" s="628" t="s">
        <v>5406</v>
      </c>
      <c r="K180" s="22" t="s">
        <v>6241</v>
      </c>
      <c r="L180" s="22" t="s">
        <v>5478</v>
      </c>
      <c r="M180" s="630" t="s">
        <v>1880</v>
      </c>
      <c r="N180" s="629" t="s">
        <v>4676</v>
      </c>
      <c r="O180" s="54" t="s">
        <v>116</v>
      </c>
      <c r="P180" s="22" t="s">
        <v>1880</v>
      </c>
      <c r="Q180" s="629" t="s">
        <v>1894</v>
      </c>
      <c r="R180" s="629" t="s">
        <v>1894</v>
      </c>
      <c r="S180" s="24" t="s">
        <v>6242</v>
      </c>
      <c r="T180" s="90" t="s">
        <v>6141</v>
      </c>
      <c r="U180" s="24" t="s">
        <v>110</v>
      </c>
      <c r="V180" s="24">
        <v>2</v>
      </c>
      <c r="W180" s="24" t="s">
        <v>6141</v>
      </c>
      <c r="X180" s="24" t="s">
        <v>6243</v>
      </c>
      <c r="Y180" s="30"/>
      <c r="Z180" s="30">
        <v>9.6</v>
      </c>
      <c r="AA180" s="30">
        <v>9.6</v>
      </c>
      <c r="AB180" s="59"/>
      <c r="AC180" s="59"/>
      <c r="AD180" s="35" t="s">
        <v>1104</v>
      </c>
      <c r="AE180" s="202" t="s">
        <v>19</v>
      </c>
      <c r="AF180" s="35" t="s">
        <v>1880</v>
      </c>
      <c r="AG180" s="629"/>
    </row>
    <row r="181" spans="1:33" s="11" customFormat="1" ht="51.75" customHeight="1" x14ac:dyDescent="0.15">
      <c r="A181" s="8">
        <v>179</v>
      </c>
      <c r="B181" s="36" t="s">
        <v>6244</v>
      </c>
      <c r="C181" s="633" t="s">
        <v>111</v>
      </c>
      <c r="D181" s="633" t="s">
        <v>111</v>
      </c>
      <c r="E181" s="633" t="s">
        <v>111</v>
      </c>
      <c r="F181" s="29" t="s">
        <v>6248</v>
      </c>
      <c r="G181" s="53" t="s">
        <v>6249</v>
      </c>
      <c r="H181" s="631" t="s">
        <v>4195</v>
      </c>
      <c r="I181" s="632" t="s">
        <v>4728</v>
      </c>
      <c r="J181" s="631" t="s">
        <v>5399</v>
      </c>
      <c r="K181" s="22" t="s">
        <v>6250</v>
      </c>
      <c r="L181" s="22" t="s">
        <v>5431</v>
      </c>
      <c r="M181" s="633" t="s">
        <v>1880</v>
      </c>
      <c r="N181" s="632" t="s">
        <v>1131</v>
      </c>
      <c r="O181" s="54" t="s">
        <v>116</v>
      </c>
      <c r="P181" s="22" t="s">
        <v>1880</v>
      </c>
      <c r="Q181" s="632" t="s">
        <v>1894</v>
      </c>
      <c r="R181" s="632" t="s">
        <v>1894</v>
      </c>
      <c r="S181" s="24" t="s">
        <v>6251</v>
      </c>
      <c r="T181" s="90" t="s">
        <v>6255</v>
      </c>
      <c r="U181" s="24" t="s">
        <v>110</v>
      </c>
      <c r="V181" s="24">
        <v>1</v>
      </c>
      <c r="W181" s="24" t="s">
        <v>6255</v>
      </c>
      <c r="X181" s="24" t="s">
        <v>6256</v>
      </c>
      <c r="Y181" s="30"/>
      <c r="Z181" s="30">
        <v>9.6</v>
      </c>
      <c r="AA181" s="30">
        <v>9.6</v>
      </c>
      <c r="AB181" s="59"/>
      <c r="AC181" s="59"/>
      <c r="AD181" s="35" t="s">
        <v>1104</v>
      </c>
      <c r="AE181" s="202" t="s">
        <v>19</v>
      </c>
      <c r="AF181" s="35" t="s">
        <v>1880</v>
      </c>
      <c r="AG181" s="632"/>
    </row>
    <row r="182" spans="1:33" s="11" customFormat="1" ht="46.5" customHeight="1" x14ac:dyDescent="0.15">
      <c r="A182" s="8">
        <v>180</v>
      </c>
      <c r="B182" s="36" t="s">
        <v>6245</v>
      </c>
      <c r="C182" s="633" t="s">
        <v>111</v>
      </c>
      <c r="D182" s="633" t="s">
        <v>111</v>
      </c>
      <c r="E182" s="633" t="s">
        <v>111</v>
      </c>
      <c r="F182" s="29" t="s">
        <v>1792</v>
      </c>
      <c r="G182" s="53" t="s">
        <v>6252</v>
      </c>
      <c r="H182" s="631" t="s">
        <v>4691</v>
      </c>
      <c r="I182" s="632" t="s">
        <v>4728</v>
      </c>
      <c r="J182" s="631" t="s">
        <v>5784</v>
      </c>
      <c r="K182" s="22" t="s">
        <v>1522</v>
      </c>
      <c r="L182" s="22" t="s">
        <v>5431</v>
      </c>
      <c r="M182" s="633" t="s">
        <v>1880</v>
      </c>
      <c r="N182" s="632" t="s">
        <v>1131</v>
      </c>
      <c r="O182" s="54" t="s">
        <v>116</v>
      </c>
      <c r="P182" s="22" t="s">
        <v>1880</v>
      </c>
      <c r="Q182" s="632" t="s">
        <v>1894</v>
      </c>
      <c r="R182" s="632" t="s">
        <v>1894</v>
      </c>
      <c r="S182" s="24" t="s">
        <v>6251</v>
      </c>
      <c r="T182" s="90" t="s">
        <v>6202</v>
      </c>
      <c r="U182" s="24" t="s">
        <v>110</v>
      </c>
      <c r="V182" s="24">
        <v>2</v>
      </c>
      <c r="W182" s="24" t="s">
        <v>6253</v>
      </c>
      <c r="X182" s="24" t="s">
        <v>6254</v>
      </c>
      <c r="Y182" s="30"/>
      <c r="Z182" s="30">
        <v>9.6</v>
      </c>
      <c r="AA182" s="30">
        <v>9.6</v>
      </c>
      <c r="AB182" s="59"/>
      <c r="AC182" s="59"/>
      <c r="AD182" s="35" t="s">
        <v>1104</v>
      </c>
      <c r="AE182" s="202" t="s">
        <v>19</v>
      </c>
      <c r="AF182" s="35" t="s">
        <v>1880</v>
      </c>
      <c r="AG182" s="632"/>
    </row>
    <row r="183" spans="1:33" s="11" customFormat="1" ht="26.25" customHeight="1" x14ac:dyDescent="0.15">
      <c r="A183" s="8">
        <v>181</v>
      </c>
      <c r="B183" s="36" t="s">
        <v>6246</v>
      </c>
      <c r="C183" s="633" t="s">
        <v>111</v>
      </c>
      <c r="D183" s="633" t="s">
        <v>111</v>
      </c>
      <c r="E183" s="633" t="s">
        <v>111</v>
      </c>
      <c r="F183" s="29" t="s">
        <v>6258</v>
      </c>
      <c r="G183" s="53" t="s">
        <v>6259</v>
      </c>
      <c r="H183" s="631" t="s">
        <v>3649</v>
      </c>
      <c r="I183" s="631" t="s">
        <v>4750</v>
      </c>
      <c r="J183" s="631" t="s">
        <v>5872</v>
      </c>
      <c r="K183" s="22" t="s">
        <v>4780</v>
      </c>
      <c r="L183" s="22" t="s">
        <v>5431</v>
      </c>
      <c r="M183" s="635" t="s">
        <v>1880</v>
      </c>
      <c r="N183" s="634" t="s">
        <v>1131</v>
      </c>
      <c r="O183" s="54" t="s">
        <v>6261</v>
      </c>
      <c r="P183" s="22" t="s">
        <v>1880</v>
      </c>
      <c r="Q183" s="632" t="s">
        <v>854</v>
      </c>
      <c r="R183" s="632" t="s">
        <v>854</v>
      </c>
      <c r="S183" s="24" t="s">
        <v>6260</v>
      </c>
      <c r="T183" s="90" t="s">
        <v>6200</v>
      </c>
      <c r="U183" s="24" t="s">
        <v>110</v>
      </c>
      <c r="V183" s="24">
        <v>1</v>
      </c>
      <c r="W183" s="24" t="s">
        <v>448</v>
      </c>
      <c r="X183" s="24" t="s">
        <v>448</v>
      </c>
      <c r="Y183" s="30">
        <v>17.3</v>
      </c>
      <c r="Z183" s="30"/>
      <c r="AA183" s="30">
        <v>17.3</v>
      </c>
      <c r="AB183" s="59"/>
      <c r="AC183" s="59"/>
      <c r="AD183" s="35" t="s">
        <v>1104</v>
      </c>
      <c r="AE183" s="202" t="s">
        <v>19</v>
      </c>
      <c r="AF183" s="35" t="s">
        <v>1880</v>
      </c>
      <c r="AG183" s="632"/>
    </row>
    <row r="184" spans="1:33" s="11" customFormat="1" ht="42" customHeight="1" x14ac:dyDescent="0.15">
      <c r="A184" s="8">
        <v>182</v>
      </c>
      <c r="B184" s="36" t="s">
        <v>6247</v>
      </c>
      <c r="C184" s="633" t="s">
        <v>111</v>
      </c>
      <c r="D184" s="633" t="s">
        <v>111</v>
      </c>
      <c r="E184" s="633" t="s">
        <v>111</v>
      </c>
      <c r="F184" s="29" t="s">
        <v>6262</v>
      </c>
      <c r="G184" s="53" t="s">
        <v>6263</v>
      </c>
      <c r="H184" s="636" t="s">
        <v>4195</v>
      </c>
      <c r="I184" s="636" t="s">
        <v>4721</v>
      </c>
      <c r="J184" s="636" t="s">
        <v>6264</v>
      </c>
      <c r="K184" s="22" t="s">
        <v>6265</v>
      </c>
      <c r="L184" s="22" t="s">
        <v>5478</v>
      </c>
      <c r="M184" s="638" t="s">
        <v>1880</v>
      </c>
      <c r="N184" s="637" t="s">
        <v>4676</v>
      </c>
      <c r="O184" s="54" t="s">
        <v>6266</v>
      </c>
      <c r="P184" s="22" t="s">
        <v>1880</v>
      </c>
      <c r="Q184" s="632" t="s">
        <v>5480</v>
      </c>
      <c r="R184" s="632" t="s">
        <v>5480</v>
      </c>
      <c r="S184" s="24" t="s">
        <v>6260</v>
      </c>
      <c r="T184" s="90" t="s">
        <v>6131</v>
      </c>
      <c r="U184" s="24" t="s">
        <v>110</v>
      </c>
      <c r="V184" s="24">
        <v>1</v>
      </c>
      <c r="W184" s="24" t="s">
        <v>6102</v>
      </c>
      <c r="X184" s="24" t="s">
        <v>6267</v>
      </c>
      <c r="Y184" s="30"/>
      <c r="Z184" s="30">
        <v>28.05</v>
      </c>
      <c r="AA184" s="30">
        <v>28.05</v>
      </c>
      <c r="AB184" s="59"/>
      <c r="AC184" s="59"/>
      <c r="AD184" s="35" t="s">
        <v>1104</v>
      </c>
      <c r="AE184" s="202" t="s">
        <v>19</v>
      </c>
      <c r="AF184" s="35" t="s">
        <v>1880</v>
      </c>
      <c r="AG184" s="632"/>
    </row>
    <row r="185" spans="1:33" s="11" customFormat="1" ht="26.25" customHeight="1" x14ac:dyDescent="0.15">
      <c r="A185" s="8">
        <v>183</v>
      </c>
      <c r="B185" s="36" t="s">
        <v>6273</v>
      </c>
      <c r="C185" s="641" t="s">
        <v>111</v>
      </c>
      <c r="D185" s="641" t="s">
        <v>111</v>
      </c>
      <c r="E185" s="641" t="s">
        <v>111</v>
      </c>
      <c r="F185" s="29" t="s">
        <v>6268</v>
      </c>
      <c r="G185" s="53" t="s">
        <v>6269</v>
      </c>
      <c r="H185" s="639" t="s">
        <v>3649</v>
      </c>
      <c r="I185" s="639" t="s">
        <v>4750</v>
      </c>
      <c r="J185" s="639" t="s">
        <v>6270</v>
      </c>
      <c r="K185" s="22" t="s">
        <v>6271</v>
      </c>
      <c r="L185" s="22" t="s">
        <v>5431</v>
      </c>
      <c r="M185" s="641" t="s">
        <v>1880</v>
      </c>
      <c r="N185" s="640" t="s">
        <v>1131</v>
      </c>
      <c r="O185" s="54" t="s">
        <v>116</v>
      </c>
      <c r="P185" s="22" t="s">
        <v>1880</v>
      </c>
      <c r="Q185" s="632" t="s">
        <v>854</v>
      </c>
      <c r="R185" s="632" t="s">
        <v>854</v>
      </c>
      <c r="S185" s="24" t="s">
        <v>6272</v>
      </c>
      <c r="T185" s="90" t="s">
        <v>5832</v>
      </c>
      <c r="U185" s="24" t="s">
        <v>110</v>
      </c>
      <c r="V185" s="24">
        <v>1</v>
      </c>
      <c r="W185" s="24" t="s">
        <v>5473</v>
      </c>
      <c r="X185" s="24" t="s">
        <v>5162</v>
      </c>
      <c r="Y185" s="30"/>
      <c r="Z185" s="30">
        <v>8</v>
      </c>
      <c r="AA185" s="30">
        <v>8</v>
      </c>
      <c r="AB185" s="59"/>
      <c r="AC185" s="59"/>
      <c r="AD185" s="35" t="s">
        <v>1104</v>
      </c>
      <c r="AE185" s="202" t="s">
        <v>19</v>
      </c>
      <c r="AF185" s="35" t="s">
        <v>1880</v>
      </c>
      <c r="AG185" s="632"/>
    </row>
    <row r="186" spans="1:33" s="11" customFormat="1" ht="26.25" customHeight="1" x14ac:dyDescent="0.15">
      <c r="A186" s="8">
        <v>184</v>
      </c>
      <c r="B186" s="36" t="s">
        <v>6280</v>
      </c>
      <c r="C186" s="71" t="s">
        <v>6282</v>
      </c>
      <c r="D186" s="647" t="s">
        <v>111</v>
      </c>
      <c r="E186" s="647" t="s">
        <v>111</v>
      </c>
      <c r="F186" s="29" t="s">
        <v>5705</v>
      </c>
      <c r="G186" s="53" t="s">
        <v>6283</v>
      </c>
      <c r="H186" s="645" t="s">
        <v>5374</v>
      </c>
      <c r="I186" s="645" t="s">
        <v>4196</v>
      </c>
      <c r="J186" s="645" t="s">
        <v>6285</v>
      </c>
      <c r="K186" s="22" t="s">
        <v>6284</v>
      </c>
      <c r="L186" s="22" t="s">
        <v>5431</v>
      </c>
      <c r="M186" s="647" t="s">
        <v>1880</v>
      </c>
      <c r="N186" s="646" t="s">
        <v>1131</v>
      </c>
      <c r="O186" s="54" t="s">
        <v>6286</v>
      </c>
      <c r="P186" s="22" t="s">
        <v>1880</v>
      </c>
      <c r="Q186" s="646" t="s">
        <v>854</v>
      </c>
      <c r="R186" s="646" t="s">
        <v>854</v>
      </c>
      <c r="S186" s="24" t="s">
        <v>6277</v>
      </c>
      <c r="T186" s="90" t="s">
        <v>6200</v>
      </c>
      <c r="U186" s="24" t="s">
        <v>108</v>
      </c>
      <c r="V186" s="10">
        <v>1</v>
      </c>
      <c r="W186" s="24" t="s">
        <v>6319</v>
      </c>
      <c r="X186" s="24" t="s">
        <v>448</v>
      </c>
      <c r="Y186" s="30">
        <v>10.68</v>
      </c>
      <c r="Z186" s="30">
        <v>14.32</v>
      </c>
      <c r="AA186" s="30">
        <v>25</v>
      </c>
      <c r="AB186" s="59"/>
      <c r="AC186" s="59"/>
      <c r="AD186" s="35" t="s">
        <v>1104</v>
      </c>
      <c r="AE186" s="202" t="s">
        <v>19</v>
      </c>
      <c r="AF186" s="35" t="s">
        <v>1880</v>
      </c>
      <c r="AG186" s="646" t="s">
        <v>6320</v>
      </c>
    </row>
    <row r="187" spans="1:33" s="11" customFormat="1" ht="26.25" customHeight="1" x14ac:dyDescent="0.15">
      <c r="A187" s="8">
        <v>185</v>
      </c>
      <c r="B187" s="36" t="s">
        <v>6281</v>
      </c>
      <c r="C187" s="647" t="s">
        <v>111</v>
      </c>
      <c r="D187" s="647" t="s">
        <v>111</v>
      </c>
      <c r="E187" s="647" t="s">
        <v>111</v>
      </c>
      <c r="F187" s="151" t="s">
        <v>3288</v>
      </c>
      <c r="G187" s="47" t="s">
        <v>3289</v>
      </c>
      <c r="H187" s="647" t="s">
        <v>1147</v>
      </c>
      <c r="I187" s="647" t="s">
        <v>3215</v>
      </c>
      <c r="J187" s="21" t="s">
        <v>3290</v>
      </c>
      <c r="K187" s="647" t="s">
        <v>1138</v>
      </c>
      <c r="L187" s="647" t="s">
        <v>1826</v>
      </c>
      <c r="M187" s="647" t="s">
        <v>111</v>
      </c>
      <c r="N187" s="647" t="s">
        <v>1818</v>
      </c>
      <c r="O187" s="151" t="s">
        <v>1819</v>
      </c>
      <c r="P187" s="647" t="s">
        <v>111</v>
      </c>
      <c r="Q187" s="646" t="s">
        <v>1811</v>
      </c>
      <c r="R187" s="646" t="s">
        <v>2072</v>
      </c>
      <c r="S187" s="24" t="s">
        <v>6305</v>
      </c>
      <c r="T187" s="90" t="s">
        <v>6306</v>
      </c>
      <c r="U187" s="647" t="s">
        <v>2359</v>
      </c>
      <c r="V187" s="647">
        <v>1</v>
      </c>
      <c r="W187" s="647" t="s">
        <v>6307</v>
      </c>
      <c r="X187" s="647" t="s">
        <v>5890</v>
      </c>
      <c r="Y187" s="30"/>
      <c r="Z187" s="30">
        <v>12.12</v>
      </c>
      <c r="AA187" s="30">
        <v>12.12</v>
      </c>
      <c r="AB187" s="59"/>
      <c r="AC187" s="59"/>
      <c r="AD187" s="647" t="s">
        <v>1104</v>
      </c>
      <c r="AE187" s="202" t="s">
        <v>19</v>
      </c>
      <c r="AF187" s="35" t="s">
        <v>1880</v>
      </c>
      <c r="AG187" s="646"/>
    </row>
    <row r="188" spans="1:33" s="11" customFormat="1" ht="26.25" customHeight="1" x14ac:dyDescent="0.15">
      <c r="A188" s="8">
        <v>186</v>
      </c>
      <c r="B188" s="36" t="s">
        <v>6287</v>
      </c>
      <c r="C188" s="647" t="s">
        <v>111</v>
      </c>
      <c r="D188" s="647" t="s">
        <v>111</v>
      </c>
      <c r="E188" s="36" t="s">
        <v>6679</v>
      </c>
      <c r="F188" s="151" t="s">
        <v>3294</v>
      </c>
      <c r="G188" s="47" t="s">
        <v>3299</v>
      </c>
      <c r="H188" s="647" t="s">
        <v>1147</v>
      </c>
      <c r="I188" s="647" t="s">
        <v>3215</v>
      </c>
      <c r="J188" s="84" t="s">
        <v>3341</v>
      </c>
      <c r="K188" s="647" t="s">
        <v>1138</v>
      </c>
      <c r="L188" s="647" t="s">
        <v>1826</v>
      </c>
      <c r="M188" s="647" t="s">
        <v>111</v>
      </c>
      <c r="N188" s="647" t="s">
        <v>1818</v>
      </c>
      <c r="O188" s="151" t="s">
        <v>1819</v>
      </c>
      <c r="P188" s="647" t="s">
        <v>111</v>
      </c>
      <c r="Q188" s="646" t="s">
        <v>1811</v>
      </c>
      <c r="R188" s="646" t="s">
        <v>2072</v>
      </c>
      <c r="S188" s="24" t="s">
        <v>6305</v>
      </c>
      <c r="T188" s="90" t="s">
        <v>6306</v>
      </c>
      <c r="U188" s="647" t="s">
        <v>2359</v>
      </c>
      <c r="V188" s="647">
        <v>1</v>
      </c>
      <c r="W188" s="647" t="s">
        <v>6308</v>
      </c>
      <c r="X188" s="647" t="s">
        <v>6309</v>
      </c>
      <c r="Y188" s="30"/>
      <c r="Z188" s="30">
        <v>12.12</v>
      </c>
      <c r="AA188" s="30">
        <v>12.12</v>
      </c>
      <c r="AB188" s="59"/>
      <c r="AC188" s="59"/>
      <c r="AD188" s="647" t="s">
        <v>1104</v>
      </c>
      <c r="AE188" s="202" t="s">
        <v>19</v>
      </c>
      <c r="AF188" s="35" t="s">
        <v>1880</v>
      </c>
      <c r="AG188" s="646"/>
    </row>
    <row r="189" spans="1:33" s="11" customFormat="1" ht="26.25" customHeight="1" x14ac:dyDescent="0.15">
      <c r="A189" s="8">
        <v>187</v>
      </c>
      <c r="B189" s="36" t="s">
        <v>6288</v>
      </c>
      <c r="C189" s="647" t="s">
        <v>111</v>
      </c>
      <c r="D189" s="647" t="s">
        <v>111</v>
      </c>
      <c r="E189" s="647" t="s">
        <v>111</v>
      </c>
      <c r="F189" s="54" t="s">
        <v>3294</v>
      </c>
      <c r="G189" s="47" t="s">
        <v>3299</v>
      </c>
      <c r="H189" s="647" t="s">
        <v>1147</v>
      </c>
      <c r="I189" s="647" t="s">
        <v>3215</v>
      </c>
      <c r="J189" s="84" t="s">
        <v>3339</v>
      </c>
      <c r="K189" s="647" t="s">
        <v>1138</v>
      </c>
      <c r="L189" s="647" t="s">
        <v>1826</v>
      </c>
      <c r="M189" s="647" t="s">
        <v>111</v>
      </c>
      <c r="N189" s="647" t="s">
        <v>1818</v>
      </c>
      <c r="O189" s="151" t="s">
        <v>1819</v>
      </c>
      <c r="P189" s="647" t="s">
        <v>111</v>
      </c>
      <c r="Q189" s="646" t="s">
        <v>1811</v>
      </c>
      <c r="R189" s="646" t="s">
        <v>2072</v>
      </c>
      <c r="S189" s="24" t="s">
        <v>6305</v>
      </c>
      <c r="T189" s="90" t="s">
        <v>6306</v>
      </c>
      <c r="U189" s="647" t="s">
        <v>2359</v>
      </c>
      <c r="V189" s="647">
        <v>1</v>
      </c>
      <c r="W189" s="647" t="s">
        <v>6308</v>
      </c>
      <c r="X189" s="647" t="s">
        <v>6309</v>
      </c>
      <c r="Y189" s="30"/>
      <c r="Z189" s="30">
        <v>12.12</v>
      </c>
      <c r="AA189" s="30">
        <v>12.12</v>
      </c>
      <c r="AB189" s="59"/>
      <c r="AC189" s="59"/>
      <c r="AD189" s="647" t="s">
        <v>1104</v>
      </c>
      <c r="AE189" s="202" t="s">
        <v>19</v>
      </c>
      <c r="AF189" s="35" t="s">
        <v>1880</v>
      </c>
      <c r="AG189" s="646"/>
    </row>
    <row r="190" spans="1:33" s="11" customFormat="1" ht="26.25" customHeight="1" x14ac:dyDescent="0.15">
      <c r="A190" s="8">
        <v>188</v>
      </c>
      <c r="B190" s="36" t="s">
        <v>6289</v>
      </c>
      <c r="C190" s="647" t="s">
        <v>111</v>
      </c>
      <c r="D190" s="647" t="s">
        <v>111</v>
      </c>
      <c r="E190" s="647" t="s">
        <v>111</v>
      </c>
      <c r="F190" s="54" t="s">
        <v>3294</v>
      </c>
      <c r="G190" s="47" t="s">
        <v>3299</v>
      </c>
      <c r="H190" s="647" t="s">
        <v>1147</v>
      </c>
      <c r="I190" s="647" t="s">
        <v>3215</v>
      </c>
      <c r="J190" s="84" t="s">
        <v>3340</v>
      </c>
      <c r="K190" s="647" t="s">
        <v>1138</v>
      </c>
      <c r="L190" s="647" t="s">
        <v>1826</v>
      </c>
      <c r="M190" s="647" t="s">
        <v>111</v>
      </c>
      <c r="N190" s="647" t="s">
        <v>1818</v>
      </c>
      <c r="O190" s="151" t="s">
        <v>1819</v>
      </c>
      <c r="P190" s="647" t="s">
        <v>111</v>
      </c>
      <c r="Q190" s="646" t="s">
        <v>1811</v>
      </c>
      <c r="R190" s="646" t="s">
        <v>2072</v>
      </c>
      <c r="S190" s="24" t="s">
        <v>6305</v>
      </c>
      <c r="T190" s="90" t="s">
        <v>6306</v>
      </c>
      <c r="U190" s="647" t="s">
        <v>2359</v>
      </c>
      <c r="V190" s="647">
        <v>1</v>
      </c>
      <c r="W190" s="647" t="s">
        <v>6308</v>
      </c>
      <c r="X190" s="647" t="s">
        <v>6309</v>
      </c>
      <c r="Y190" s="30"/>
      <c r="Z190" s="30">
        <v>12.12</v>
      </c>
      <c r="AA190" s="30">
        <v>12.12</v>
      </c>
      <c r="AB190" s="59"/>
      <c r="AC190" s="59"/>
      <c r="AD190" s="647" t="s">
        <v>1104</v>
      </c>
      <c r="AE190" s="202" t="s">
        <v>19</v>
      </c>
      <c r="AF190" s="35" t="s">
        <v>1880</v>
      </c>
      <c r="AG190" s="646"/>
    </row>
    <row r="191" spans="1:33" s="11" customFormat="1" ht="26.25" customHeight="1" x14ac:dyDescent="0.15">
      <c r="A191" s="8">
        <v>189</v>
      </c>
      <c r="B191" s="36" t="s">
        <v>6290</v>
      </c>
      <c r="C191" s="647" t="s">
        <v>111</v>
      </c>
      <c r="D191" s="647" t="s">
        <v>111</v>
      </c>
      <c r="E191" s="647" t="s">
        <v>111</v>
      </c>
      <c r="F191" s="54" t="s">
        <v>3294</v>
      </c>
      <c r="G191" s="47" t="s">
        <v>3298</v>
      </c>
      <c r="H191" s="647" t="s">
        <v>1147</v>
      </c>
      <c r="I191" s="647" t="s">
        <v>3215</v>
      </c>
      <c r="J191" s="84" t="s">
        <v>3297</v>
      </c>
      <c r="K191" s="647" t="s">
        <v>3332</v>
      </c>
      <c r="L191" s="647" t="s">
        <v>1826</v>
      </c>
      <c r="M191" s="647" t="s">
        <v>111</v>
      </c>
      <c r="N191" s="647" t="s">
        <v>1818</v>
      </c>
      <c r="O191" s="151" t="s">
        <v>1819</v>
      </c>
      <c r="P191" s="647" t="s">
        <v>111</v>
      </c>
      <c r="Q191" s="646" t="s">
        <v>1811</v>
      </c>
      <c r="R191" s="646" t="s">
        <v>2072</v>
      </c>
      <c r="S191" s="24" t="s">
        <v>6305</v>
      </c>
      <c r="T191" s="90" t="s">
        <v>6306</v>
      </c>
      <c r="U191" s="647" t="s">
        <v>2359</v>
      </c>
      <c r="V191" s="647">
        <v>1</v>
      </c>
      <c r="W191" s="647" t="s">
        <v>6307</v>
      </c>
      <c r="X191" s="647" t="s">
        <v>5890</v>
      </c>
      <c r="Y191" s="30"/>
      <c r="Z191" s="30">
        <v>12.12</v>
      </c>
      <c r="AA191" s="30">
        <v>12.12</v>
      </c>
      <c r="AB191" s="59"/>
      <c r="AC191" s="59"/>
      <c r="AD191" s="647" t="s">
        <v>1104</v>
      </c>
      <c r="AE191" s="202" t="s">
        <v>19</v>
      </c>
      <c r="AF191" s="35" t="s">
        <v>1880</v>
      </c>
      <c r="AG191" s="646"/>
    </row>
    <row r="192" spans="1:33" s="11" customFormat="1" ht="26.25" customHeight="1" x14ac:dyDescent="0.15">
      <c r="A192" s="8">
        <v>190</v>
      </c>
      <c r="B192" s="36" t="s">
        <v>6291</v>
      </c>
      <c r="C192" s="647" t="s">
        <v>111</v>
      </c>
      <c r="D192" s="647" t="s">
        <v>111</v>
      </c>
      <c r="E192" s="647" t="s">
        <v>111</v>
      </c>
      <c r="F192" s="54" t="s">
        <v>3300</v>
      </c>
      <c r="G192" s="54" t="s">
        <v>3301</v>
      </c>
      <c r="H192" s="647" t="s">
        <v>1147</v>
      </c>
      <c r="I192" s="647" t="s">
        <v>3215</v>
      </c>
      <c r="J192" s="21" t="s">
        <v>3302</v>
      </c>
      <c r="K192" s="647" t="s">
        <v>3333</v>
      </c>
      <c r="L192" s="647" t="s">
        <v>1826</v>
      </c>
      <c r="M192" s="647" t="s">
        <v>111</v>
      </c>
      <c r="N192" s="647" t="s">
        <v>1818</v>
      </c>
      <c r="O192" s="151" t="s">
        <v>1819</v>
      </c>
      <c r="P192" s="647" t="s">
        <v>111</v>
      </c>
      <c r="Q192" s="646" t="s">
        <v>1811</v>
      </c>
      <c r="R192" s="646" t="s">
        <v>2072</v>
      </c>
      <c r="S192" s="24" t="s">
        <v>6305</v>
      </c>
      <c r="T192" s="90" t="s">
        <v>6306</v>
      </c>
      <c r="U192" s="647" t="s">
        <v>2359</v>
      </c>
      <c r="V192" s="647">
        <v>1</v>
      </c>
      <c r="W192" s="647" t="s">
        <v>6307</v>
      </c>
      <c r="X192" s="647" t="s">
        <v>5890</v>
      </c>
      <c r="Y192" s="30"/>
      <c r="Z192" s="30">
        <v>12.12</v>
      </c>
      <c r="AA192" s="30">
        <v>12.12</v>
      </c>
      <c r="AB192" s="59"/>
      <c r="AC192" s="59"/>
      <c r="AD192" s="647" t="s">
        <v>1104</v>
      </c>
      <c r="AE192" s="202" t="s">
        <v>19</v>
      </c>
      <c r="AF192" s="35" t="s">
        <v>1880</v>
      </c>
      <c r="AG192" s="646"/>
    </row>
    <row r="193" spans="1:33" s="11" customFormat="1" ht="26.25" customHeight="1" x14ac:dyDescent="0.15">
      <c r="A193" s="8">
        <v>191</v>
      </c>
      <c r="B193" s="36" t="s">
        <v>6292</v>
      </c>
      <c r="C193" s="647" t="s">
        <v>111</v>
      </c>
      <c r="D193" s="647" t="s">
        <v>111</v>
      </c>
      <c r="E193" s="647" t="s">
        <v>111</v>
      </c>
      <c r="F193" s="54" t="s">
        <v>3303</v>
      </c>
      <c r="G193" s="54" t="s">
        <v>3304</v>
      </c>
      <c r="H193" s="647" t="s">
        <v>1147</v>
      </c>
      <c r="I193" s="647" t="s">
        <v>3215</v>
      </c>
      <c r="J193" s="21" t="s">
        <v>3216</v>
      </c>
      <c r="K193" s="647" t="s">
        <v>1138</v>
      </c>
      <c r="L193" s="647" t="s">
        <v>1826</v>
      </c>
      <c r="M193" s="647" t="s">
        <v>111</v>
      </c>
      <c r="N193" s="647" t="s">
        <v>1818</v>
      </c>
      <c r="O193" s="151" t="s">
        <v>1819</v>
      </c>
      <c r="P193" s="647" t="s">
        <v>111</v>
      </c>
      <c r="Q193" s="646" t="s">
        <v>1811</v>
      </c>
      <c r="R193" s="646" t="s">
        <v>2072</v>
      </c>
      <c r="S193" s="24" t="s">
        <v>6305</v>
      </c>
      <c r="T193" s="90" t="s">
        <v>6306</v>
      </c>
      <c r="U193" s="647" t="s">
        <v>2359</v>
      </c>
      <c r="V193" s="647">
        <v>1</v>
      </c>
      <c r="W193" s="647" t="s">
        <v>6308</v>
      </c>
      <c r="X193" s="647" t="s">
        <v>6309</v>
      </c>
      <c r="Y193" s="30"/>
      <c r="Z193" s="30">
        <v>12.12</v>
      </c>
      <c r="AA193" s="30">
        <v>12.12</v>
      </c>
      <c r="AB193" s="59"/>
      <c r="AC193" s="59"/>
      <c r="AD193" s="647" t="s">
        <v>1104</v>
      </c>
      <c r="AE193" s="202" t="s">
        <v>19</v>
      </c>
      <c r="AF193" s="35" t="s">
        <v>1880</v>
      </c>
      <c r="AG193" s="646"/>
    </row>
    <row r="194" spans="1:33" s="11" customFormat="1" ht="26.25" customHeight="1" x14ac:dyDescent="0.15">
      <c r="A194" s="8">
        <v>192</v>
      </c>
      <c r="B194" s="36" t="s">
        <v>6293</v>
      </c>
      <c r="C194" s="647" t="s">
        <v>111</v>
      </c>
      <c r="D194" s="647" t="s">
        <v>111</v>
      </c>
      <c r="E194" s="647" t="s">
        <v>111</v>
      </c>
      <c r="F194" s="54" t="s">
        <v>3305</v>
      </c>
      <c r="G194" s="47" t="s">
        <v>3306</v>
      </c>
      <c r="H194" s="647" t="s">
        <v>1147</v>
      </c>
      <c r="I194" s="647" t="s">
        <v>3215</v>
      </c>
      <c r="J194" s="21" t="s">
        <v>3307</v>
      </c>
      <c r="K194" s="647" t="s">
        <v>1138</v>
      </c>
      <c r="L194" s="647" t="s">
        <v>1826</v>
      </c>
      <c r="M194" s="647" t="s">
        <v>111</v>
      </c>
      <c r="N194" s="647" t="s">
        <v>1818</v>
      </c>
      <c r="O194" s="151" t="s">
        <v>1819</v>
      </c>
      <c r="P194" s="647" t="s">
        <v>111</v>
      </c>
      <c r="Q194" s="646" t="s">
        <v>1811</v>
      </c>
      <c r="R194" s="646" t="s">
        <v>2072</v>
      </c>
      <c r="S194" s="24" t="s">
        <v>6305</v>
      </c>
      <c r="T194" s="90" t="s">
        <v>6306</v>
      </c>
      <c r="U194" s="647" t="s">
        <v>2359</v>
      </c>
      <c r="V194" s="647">
        <v>1</v>
      </c>
      <c r="W194" s="647" t="s">
        <v>6307</v>
      </c>
      <c r="X194" s="647" t="s">
        <v>5890</v>
      </c>
      <c r="Y194" s="30"/>
      <c r="Z194" s="30">
        <v>12.12</v>
      </c>
      <c r="AA194" s="30">
        <v>12.12</v>
      </c>
      <c r="AB194" s="59"/>
      <c r="AC194" s="59"/>
      <c r="AD194" s="647" t="s">
        <v>1104</v>
      </c>
      <c r="AE194" s="202" t="s">
        <v>19</v>
      </c>
      <c r="AF194" s="35" t="s">
        <v>1880</v>
      </c>
      <c r="AG194" s="646"/>
    </row>
    <row r="195" spans="1:33" s="11" customFormat="1" ht="26.25" customHeight="1" x14ac:dyDescent="0.15">
      <c r="A195" s="8">
        <v>193</v>
      </c>
      <c r="B195" s="36" t="s">
        <v>6294</v>
      </c>
      <c r="C195" s="647" t="s">
        <v>111</v>
      </c>
      <c r="D195" s="647" t="s">
        <v>111</v>
      </c>
      <c r="E195" s="647" t="s">
        <v>111</v>
      </c>
      <c r="F195" s="54" t="s">
        <v>3308</v>
      </c>
      <c r="G195" s="47" t="s">
        <v>3309</v>
      </c>
      <c r="H195" s="647" t="s">
        <v>1147</v>
      </c>
      <c r="I195" s="647" t="s">
        <v>3215</v>
      </c>
      <c r="J195" s="21" t="s">
        <v>3232</v>
      </c>
      <c r="K195" s="647" t="s">
        <v>1138</v>
      </c>
      <c r="L195" s="647" t="s">
        <v>1826</v>
      </c>
      <c r="M195" s="647" t="s">
        <v>111</v>
      </c>
      <c r="N195" s="647" t="s">
        <v>1818</v>
      </c>
      <c r="O195" s="151" t="s">
        <v>1819</v>
      </c>
      <c r="P195" s="647" t="s">
        <v>111</v>
      </c>
      <c r="Q195" s="646" t="s">
        <v>1811</v>
      </c>
      <c r="R195" s="646" t="s">
        <v>2072</v>
      </c>
      <c r="S195" s="24" t="s">
        <v>6305</v>
      </c>
      <c r="T195" s="90" t="s">
        <v>6306</v>
      </c>
      <c r="U195" s="647" t="s">
        <v>2359</v>
      </c>
      <c r="V195" s="647">
        <v>1</v>
      </c>
      <c r="W195" s="647" t="s">
        <v>6307</v>
      </c>
      <c r="X195" s="647" t="s">
        <v>5890</v>
      </c>
      <c r="Y195" s="30"/>
      <c r="Z195" s="30">
        <v>12.12</v>
      </c>
      <c r="AA195" s="30">
        <v>12.12</v>
      </c>
      <c r="AB195" s="59"/>
      <c r="AC195" s="59"/>
      <c r="AD195" s="647" t="s">
        <v>1104</v>
      </c>
      <c r="AE195" s="202" t="s">
        <v>19</v>
      </c>
      <c r="AF195" s="35" t="s">
        <v>1880</v>
      </c>
      <c r="AG195" s="646"/>
    </row>
    <row r="196" spans="1:33" s="11" customFormat="1" ht="26.25" customHeight="1" x14ac:dyDescent="0.15">
      <c r="A196" s="8">
        <v>194</v>
      </c>
      <c r="B196" s="36" t="s">
        <v>6295</v>
      </c>
      <c r="C196" s="647" t="s">
        <v>111</v>
      </c>
      <c r="D196" s="647" t="s">
        <v>111</v>
      </c>
      <c r="E196" s="647" t="s">
        <v>111</v>
      </c>
      <c r="F196" s="54" t="s">
        <v>3310</v>
      </c>
      <c r="G196" s="54" t="s">
        <v>3311</v>
      </c>
      <c r="H196" s="647" t="s">
        <v>1147</v>
      </c>
      <c r="I196" s="647" t="s">
        <v>3215</v>
      </c>
      <c r="J196" s="21" t="s">
        <v>3312</v>
      </c>
      <c r="K196" s="647" t="s">
        <v>3334</v>
      </c>
      <c r="L196" s="647" t="s">
        <v>1826</v>
      </c>
      <c r="M196" s="647" t="s">
        <v>111</v>
      </c>
      <c r="N196" s="647" t="s">
        <v>1818</v>
      </c>
      <c r="O196" s="151" t="s">
        <v>1819</v>
      </c>
      <c r="P196" s="647" t="s">
        <v>111</v>
      </c>
      <c r="Q196" s="646" t="s">
        <v>1811</v>
      </c>
      <c r="R196" s="646" t="s">
        <v>2072</v>
      </c>
      <c r="S196" s="24" t="s">
        <v>6305</v>
      </c>
      <c r="T196" s="90" t="s">
        <v>6306</v>
      </c>
      <c r="U196" s="647" t="s">
        <v>2359</v>
      </c>
      <c r="V196" s="647">
        <v>1</v>
      </c>
      <c r="W196" s="647" t="s">
        <v>6307</v>
      </c>
      <c r="X196" s="647" t="s">
        <v>5890</v>
      </c>
      <c r="Y196" s="30"/>
      <c r="Z196" s="30">
        <v>12.12</v>
      </c>
      <c r="AA196" s="30">
        <v>12.12</v>
      </c>
      <c r="AB196" s="59"/>
      <c r="AC196" s="59"/>
      <c r="AD196" s="647" t="s">
        <v>1104</v>
      </c>
      <c r="AE196" s="202" t="s">
        <v>19</v>
      </c>
      <c r="AF196" s="35" t="s">
        <v>1880</v>
      </c>
      <c r="AG196" s="646"/>
    </row>
    <row r="197" spans="1:33" s="11" customFormat="1" ht="26.25" customHeight="1" x14ac:dyDescent="0.15">
      <c r="A197" s="8">
        <v>195</v>
      </c>
      <c r="B197" s="36" t="s">
        <v>6296</v>
      </c>
      <c r="C197" s="647" t="s">
        <v>111</v>
      </c>
      <c r="D197" s="647" t="s">
        <v>111</v>
      </c>
      <c r="E197" s="647" t="s">
        <v>111</v>
      </c>
      <c r="F197" s="54" t="s">
        <v>3313</v>
      </c>
      <c r="G197" s="54" t="s">
        <v>3314</v>
      </c>
      <c r="H197" s="647" t="s">
        <v>1147</v>
      </c>
      <c r="I197" s="647" t="s">
        <v>3215</v>
      </c>
      <c r="J197" s="21" t="s">
        <v>3315</v>
      </c>
      <c r="K197" s="647" t="s">
        <v>1138</v>
      </c>
      <c r="L197" s="647" t="s">
        <v>1826</v>
      </c>
      <c r="M197" s="647" t="s">
        <v>111</v>
      </c>
      <c r="N197" s="647" t="s">
        <v>1818</v>
      </c>
      <c r="O197" s="151" t="s">
        <v>1819</v>
      </c>
      <c r="P197" s="647" t="s">
        <v>111</v>
      </c>
      <c r="Q197" s="646" t="s">
        <v>1811</v>
      </c>
      <c r="R197" s="646" t="s">
        <v>2072</v>
      </c>
      <c r="S197" s="24" t="s">
        <v>6305</v>
      </c>
      <c r="T197" s="90" t="s">
        <v>6306</v>
      </c>
      <c r="U197" s="647" t="s">
        <v>2359</v>
      </c>
      <c r="V197" s="647">
        <v>1</v>
      </c>
      <c r="W197" s="647" t="s">
        <v>6307</v>
      </c>
      <c r="X197" s="647" t="s">
        <v>5890</v>
      </c>
      <c r="Y197" s="30"/>
      <c r="Z197" s="30">
        <v>12.12</v>
      </c>
      <c r="AA197" s="30">
        <v>12.12</v>
      </c>
      <c r="AB197" s="59"/>
      <c r="AC197" s="59"/>
      <c r="AD197" s="647" t="s">
        <v>1104</v>
      </c>
      <c r="AE197" s="202" t="s">
        <v>19</v>
      </c>
      <c r="AF197" s="35" t="s">
        <v>1880</v>
      </c>
      <c r="AG197" s="646"/>
    </row>
    <row r="198" spans="1:33" s="11" customFormat="1" ht="26.25" customHeight="1" x14ac:dyDescent="0.15">
      <c r="A198" s="8">
        <v>196</v>
      </c>
      <c r="B198" s="36" t="s">
        <v>6297</v>
      </c>
      <c r="C198" s="647" t="s">
        <v>111</v>
      </c>
      <c r="D198" s="647" t="s">
        <v>111</v>
      </c>
      <c r="E198" s="647" t="s">
        <v>111</v>
      </c>
      <c r="F198" s="54" t="s">
        <v>3316</v>
      </c>
      <c r="G198" s="54" t="s">
        <v>3317</v>
      </c>
      <c r="H198" s="647" t="s">
        <v>1147</v>
      </c>
      <c r="I198" s="647" t="s">
        <v>3215</v>
      </c>
      <c r="J198" s="21" t="s">
        <v>3318</v>
      </c>
      <c r="K198" s="647" t="s">
        <v>3335</v>
      </c>
      <c r="L198" s="647" t="s">
        <v>1826</v>
      </c>
      <c r="M198" s="647" t="s">
        <v>111</v>
      </c>
      <c r="N198" s="647" t="s">
        <v>1818</v>
      </c>
      <c r="O198" s="151" t="s">
        <v>1819</v>
      </c>
      <c r="P198" s="647" t="s">
        <v>111</v>
      </c>
      <c r="Q198" s="646" t="s">
        <v>1811</v>
      </c>
      <c r="R198" s="646" t="s">
        <v>2072</v>
      </c>
      <c r="S198" s="24" t="s">
        <v>6305</v>
      </c>
      <c r="T198" s="90" t="s">
        <v>6306</v>
      </c>
      <c r="U198" s="647" t="s">
        <v>2359</v>
      </c>
      <c r="V198" s="647">
        <v>1</v>
      </c>
      <c r="W198" s="647" t="s">
        <v>6308</v>
      </c>
      <c r="X198" s="647" t="s">
        <v>6309</v>
      </c>
      <c r="Y198" s="30"/>
      <c r="Z198" s="30">
        <v>12.12</v>
      </c>
      <c r="AA198" s="30">
        <v>12.12</v>
      </c>
      <c r="AB198" s="59"/>
      <c r="AC198" s="59"/>
      <c r="AD198" s="647" t="s">
        <v>1104</v>
      </c>
      <c r="AE198" s="202" t="s">
        <v>19</v>
      </c>
      <c r="AF198" s="35" t="s">
        <v>1880</v>
      </c>
      <c r="AG198" s="646"/>
    </row>
    <row r="199" spans="1:33" s="11" customFormat="1" ht="26.25" customHeight="1" x14ac:dyDescent="0.15">
      <c r="A199" s="8">
        <v>197</v>
      </c>
      <c r="B199" s="36" t="s">
        <v>6298</v>
      </c>
      <c r="C199" s="647" t="s">
        <v>111</v>
      </c>
      <c r="D199" s="647" t="s">
        <v>111</v>
      </c>
      <c r="E199" s="647" t="s">
        <v>111</v>
      </c>
      <c r="F199" s="54" t="s">
        <v>3319</v>
      </c>
      <c r="G199" s="54" t="s">
        <v>3320</v>
      </c>
      <c r="H199" s="647" t="s">
        <v>1147</v>
      </c>
      <c r="I199" s="647" t="s">
        <v>3215</v>
      </c>
      <c r="J199" s="21" t="s">
        <v>3230</v>
      </c>
      <c r="K199" s="647" t="s">
        <v>1138</v>
      </c>
      <c r="L199" s="647" t="s">
        <v>1826</v>
      </c>
      <c r="M199" s="647" t="s">
        <v>111</v>
      </c>
      <c r="N199" s="647" t="s">
        <v>1818</v>
      </c>
      <c r="O199" s="151" t="s">
        <v>1819</v>
      </c>
      <c r="P199" s="647" t="s">
        <v>111</v>
      </c>
      <c r="Q199" s="646" t="s">
        <v>1811</v>
      </c>
      <c r="R199" s="646" t="s">
        <v>2072</v>
      </c>
      <c r="S199" s="24" t="s">
        <v>6305</v>
      </c>
      <c r="T199" s="90" t="s">
        <v>6306</v>
      </c>
      <c r="U199" s="647" t="s">
        <v>2359</v>
      </c>
      <c r="V199" s="647">
        <v>1</v>
      </c>
      <c r="W199" s="647" t="s">
        <v>6307</v>
      </c>
      <c r="X199" s="647" t="s">
        <v>5890</v>
      </c>
      <c r="Y199" s="30"/>
      <c r="Z199" s="30">
        <v>12.12</v>
      </c>
      <c r="AA199" s="30">
        <v>12.12</v>
      </c>
      <c r="AB199" s="59"/>
      <c r="AC199" s="59"/>
      <c r="AD199" s="647" t="s">
        <v>1104</v>
      </c>
      <c r="AE199" s="202" t="s">
        <v>19</v>
      </c>
      <c r="AF199" s="35" t="s">
        <v>1880</v>
      </c>
      <c r="AG199" s="646"/>
    </row>
    <row r="200" spans="1:33" s="11" customFormat="1" ht="26.25" customHeight="1" x14ac:dyDescent="0.15">
      <c r="A200" s="8">
        <v>198</v>
      </c>
      <c r="B200" s="36" t="s">
        <v>6299</v>
      </c>
      <c r="C200" s="647" t="s">
        <v>111</v>
      </c>
      <c r="D200" s="647" t="s">
        <v>111</v>
      </c>
      <c r="E200" s="647" t="s">
        <v>111</v>
      </c>
      <c r="F200" s="54" t="s">
        <v>3321</v>
      </c>
      <c r="G200" s="54" t="s">
        <v>3322</v>
      </c>
      <c r="H200" s="647" t="s">
        <v>1147</v>
      </c>
      <c r="I200" s="647" t="s">
        <v>3215</v>
      </c>
      <c r="J200" s="21" t="s">
        <v>3323</v>
      </c>
      <c r="K200" s="647" t="s">
        <v>1138</v>
      </c>
      <c r="L200" s="647" t="s">
        <v>1826</v>
      </c>
      <c r="M200" s="647" t="s">
        <v>111</v>
      </c>
      <c r="N200" s="647" t="s">
        <v>1818</v>
      </c>
      <c r="O200" s="151" t="s">
        <v>1819</v>
      </c>
      <c r="P200" s="647" t="s">
        <v>111</v>
      </c>
      <c r="Q200" s="646" t="s">
        <v>1811</v>
      </c>
      <c r="R200" s="646" t="s">
        <v>2072</v>
      </c>
      <c r="S200" s="24" t="s">
        <v>6305</v>
      </c>
      <c r="T200" s="90" t="s">
        <v>6306</v>
      </c>
      <c r="U200" s="647" t="s">
        <v>2359</v>
      </c>
      <c r="V200" s="647">
        <v>1</v>
      </c>
      <c r="W200" s="647" t="s">
        <v>6307</v>
      </c>
      <c r="X200" s="647" t="s">
        <v>5890</v>
      </c>
      <c r="Y200" s="30"/>
      <c r="Z200" s="30">
        <v>12.12</v>
      </c>
      <c r="AA200" s="30">
        <v>12.12</v>
      </c>
      <c r="AB200" s="59"/>
      <c r="AC200" s="59"/>
      <c r="AD200" s="647" t="s">
        <v>1104</v>
      </c>
      <c r="AE200" s="202" t="s">
        <v>19</v>
      </c>
      <c r="AF200" s="35" t="s">
        <v>1880</v>
      </c>
      <c r="AG200" s="646"/>
    </row>
    <row r="201" spans="1:33" s="11" customFormat="1" ht="26.25" customHeight="1" x14ac:dyDescent="0.15">
      <c r="A201" s="8">
        <v>199</v>
      </c>
      <c r="B201" s="36" t="s">
        <v>6300</v>
      </c>
      <c r="C201" s="647" t="s">
        <v>111</v>
      </c>
      <c r="D201" s="647" t="s">
        <v>111</v>
      </c>
      <c r="E201" s="647" t="s">
        <v>111</v>
      </c>
      <c r="F201" s="54" t="s">
        <v>3221</v>
      </c>
      <c r="G201" s="54" t="s">
        <v>3324</v>
      </c>
      <c r="H201" s="647" t="s">
        <v>1147</v>
      </c>
      <c r="I201" s="647" t="s">
        <v>3215</v>
      </c>
      <c r="J201" s="21" t="s">
        <v>3222</v>
      </c>
      <c r="K201" s="647" t="s">
        <v>1138</v>
      </c>
      <c r="L201" s="647" t="s">
        <v>1826</v>
      </c>
      <c r="M201" s="647" t="s">
        <v>111</v>
      </c>
      <c r="N201" s="647" t="s">
        <v>1818</v>
      </c>
      <c r="O201" s="151" t="s">
        <v>1819</v>
      </c>
      <c r="P201" s="647" t="s">
        <v>111</v>
      </c>
      <c r="Q201" s="646" t="s">
        <v>1811</v>
      </c>
      <c r="R201" s="646" t="s">
        <v>2072</v>
      </c>
      <c r="S201" s="24" t="s">
        <v>6305</v>
      </c>
      <c r="T201" s="90" t="s">
        <v>6306</v>
      </c>
      <c r="U201" s="647" t="s">
        <v>2359</v>
      </c>
      <c r="V201" s="647">
        <v>1</v>
      </c>
      <c r="W201" s="647" t="s">
        <v>6307</v>
      </c>
      <c r="X201" s="647" t="s">
        <v>5890</v>
      </c>
      <c r="Y201" s="30"/>
      <c r="Z201" s="30">
        <v>12.12</v>
      </c>
      <c r="AA201" s="30">
        <v>12.12</v>
      </c>
      <c r="AB201" s="59"/>
      <c r="AC201" s="59"/>
      <c r="AD201" s="647" t="s">
        <v>1104</v>
      </c>
      <c r="AE201" s="202" t="s">
        <v>19</v>
      </c>
      <c r="AF201" s="35" t="s">
        <v>1880</v>
      </c>
      <c r="AG201" s="646"/>
    </row>
    <row r="202" spans="1:33" s="11" customFormat="1" ht="26.25" customHeight="1" x14ac:dyDescent="0.15">
      <c r="A202" s="8">
        <v>200</v>
      </c>
      <c r="B202" s="36" t="s">
        <v>6301</v>
      </c>
      <c r="C202" s="647" t="s">
        <v>111</v>
      </c>
      <c r="D202" s="647" t="s">
        <v>111</v>
      </c>
      <c r="E202" s="647" t="s">
        <v>111</v>
      </c>
      <c r="F202" s="54" t="s">
        <v>3224</v>
      </c>
      <c r="G202" s="54" t="s">
        <v>3325</v>
      </c>
      <c r="H202" s="647" t="s">
        <v>1147</v>
      </c>
      <c r="I202" s="647" t="s">
        <v>3215</v>
      </c>
      <c r="J202" s="21" t="s">
        <v>3225</v>
      </c>
      <c r="K202" s="647" t="s">
        <v>1138</v>
      </c>
      <c r="L202" s="647" t="s">
        <v>1826</v>
      </c>
      <c r="M202" s="647" t="s">
        <v>111</v>
      </c>
      <c r="N202" s="647" t="s">
        <v>1818</v>
      </c>
      <c r="O202" s="151" t="s">
        <v>1819</v>
      </c>
      <c r="P202" s="647" t="s">
        <v>111</v>
      </c>
      <c r="Q202" s="646" t="s">
        <v>1811</v>
      </c>
      <c r="R202" s="646" t="s">
        <v>2072</v>
      </c>
      <c r="S202" s="24" t="s">
        <v>6305</v>
      </c>
      <c r="T202" s="90" t="s">
        <v>6306</v>
      </c>
      <c r="U202" s="647" t="s">
        <v>2359</v>
      </c>
      <c r="V202" s="647">
        <v>1</v>
      </c>
      <c r="W202" s="647" t="s">
        <v>6307</v>
      </c>
      <c r="X202" s="647" t="s">
        <v>5890</v>
      </c>
      <c r="Y202" s="30"/>
      <c r="Z202" s="30">
        <v>12.12</v>
      </c>
      <c r="AA202" s="30">
        <v>12.12</v>
      </c>
      <c r="AB202" s="59"/>
      <c r="AC202" s="59"/>
      <c r="AD202" s="647" t="s">
        <v>1104</v>
      </c>
      <c r="AE202" s="202" t="s">
        <v>19</v>
      </c>
      <c r="AF202" s="35" t="s">
        <v>1880</v>
      </c>
      <c r="AG202" s="646"/>
    </row>
    <row r="203" spans="1:33" s="11" customFormat="1" ht="26.25" customHeight="1" x14ac:dyDescent="0.15">
      <c r="A203" s="8">
        <v>201</v>
      </c>
      <c r="B203" s="36" t="s">
        <v>6302</v>
      </c>
      <c r="C203" s="647" t="s">
        <v>111</v>
      </c>
      <c r="D203" s="647" t="s">
        <v>111</v>
      </c>
      <c r="E203" s="647" t="s">
        <v>111</v>
      </c>
      <c r="F203" s="54" t="s">
        <v>3326</v>
      </c>
      <c r="G203" s="54" t="s">
        <v>3327</v>
      </c>
      <c r="H203" s="647" t="s">
        <v>1147</v>
      </c>
      <c r="I203" s="647" t="s">
        <v>3215</v>
      </c>
      <c r="J203" s="21" t="s">
        <v>3328</v>
      </c>
      <c r="K203" s="647" t="s">
        <v>1138</v>
      </c>
      <c r="L203" s="647" t="s">
        <v>1826</v>
      </c>
      <c r="M203" s="647" t="s">
        <v>111</v>
      </c>
      <c r="N203" s="647" t="s">
        <v>1818</v>
      </c>
      <c r="O203" s="151" t="s">
        <v>1819</v>
      </c>
      <c r="P203" s="647" t="s">
        <v>111</v>
      </c>
      <c r="Q203" s="646" t="s">
        <v>1811</v>
      </c>
      <c r="R203" s="646" t="s">
        <v>2072</v>
      </c>
      <c r="S203" s="24" t="s">
        <v>6305</v>
      </c>
      <c r="T203" s="90" t="s">
        <v>6306</v>
      </c>
      <c r="U203" s="647" t="s">
        <v>2359</v>
      </c>
      <c r="V203" s="647">
        <v>1</v>
      </c>
      <c r="W203" s="647" t="s">
        <v>6308</v>
      </c>
      <c r="X203" s="647" t="s">
        <v>6309</v>
      </c>
      <c r="Y203" s="30"/>
      <c r="Z203" s="30">
        <v>12.12</v>
      </c>
      <c r="AA203" s="30">
        <v>12.12</v>
      </c>
      <c r="AB203" s="59"/>
      <c r="AC203" s="59"/>
      <c r="AD203" s="647" t="s">
        <v>1104</v>
      </c>
      <c r="AE203" s="202" t="s">
        <v>19</v>
      </c>
      <c r="AF203" s="35" t="s">
        <v>1880</v>
      </c>
      <c r="AG203" s="646"/>
    </row>
    <row r="204" spans="1:33" s="11" customFormat="1" ht="26.25" customHeight="1" x14ac:dyDescent="0.15">
      <c r="A204" s="8">
        <v>202</v>
      </c>
      <c r="B204" s="36" t="s">
        <v>6303</v>
      </c>
      <c r="C204" s="647" t="s">
        <v>111</v>
      </c>
      <c r="D204" s="647" t="s">
        <v>111</v>
      </c>
      <c r="E204" s="647" t="s">
        <v>111</v>
      </c>
      <c r="F204" s="54" t="s">
        <v>3329</v>
      </c>
      <c r="G204" s="54" t="s">
        <v>3330</v>
      </c>
      <c r="H204" s="647" t="s">
        <v>1147</v>
      </c>
      <c r="I204" s="647" t="s">
        <v>3215</v>
      </c>
      <c r="J204" s="21" t="s">
        <v>3331</v>
      </c>
      <c r="K204" s="646" t="s">
        <v>3236</v>
      </c>
      <c r="L204" s="647" t="s">
        <v>1826</v>
      </c>
      <c r="M204" s="647" t="s">
        <v>111</v>
      </c>
      <c r="N204" s="647" t="s">
        <v>1818</v>
      </c>
      <c r="O204" s="151" t="s">
        <v>1819</v>
      </c>
      <c r="P204" s="647" t="s">
        <v>111</v>
      </c>
      <c r="Q204" s="646" t="s">
        <v>1811</v>
      </c>
      <c r="R204" s="646" t="s">
        <v>2072</v>
      </c>
      <c r="S204" s="24" t="s">
        <v>6305</v>
      </c>
      <c r="T204" s="90" t="s">
        <v>6306</v>
      </c>
      <c r="U204" s="647" t="s">
        <v>2359</v>
      </c>
      <c r="V204" s="647">
        <v>1</v>
      </c>
      <c r="W204" s="647" t="s">
        <v>6307</v>
      </c>
      <c r="X204" s="647" t="s">
        <v>5890</v>
      </c>
      <c r="Y204" s="30"/>
      <c r="Z204" s="30">
        <v>12.12</v>
      </c>
      <c r="AA204" s="30">
        <v>12.12</v>
      </c>
      <c r="AB204" s="59"/>
      <c r="AC204" s="59"/>
      <c r="AD204" s="647" t="s">
        <v>1104</v>
      </c>
      <c r="AE204" s="202" t="s">
        <v>19</v>
      </c>
      <c r="AF204" s="35" t="s">
        <v>1880</v>
      </c>
      <c r="AG204" s="646"/>
    </row>
    <row r="205" spans="1:33" s="11" customFormat="1" ht="26.25" customHeight="1" x14ac:dyDescent="0.15">
      <c r="A205" s="8">
        <v>203</v>
      </c>
      <c r="B205" s="36" t="s">
        <v>6304</v>
      </c>
      <c r="C205" s="647" t="s">
        <v>111</v>
      </c>
      <c r="D205" s="647" t="s">
        <v>111</v>
      </c>
      <c r="E205" s="647" t="s">
        <v>111</v>
      </c>
      <c r="F205" s="29" t="s">
        <v>4257</v>
      </c>
      <c r="G205" s="53" t="s">
        <v>5034</v>
      </c>
      <c r="H205" s="647" t="s">
        <v>1147</v>
      </c>
      <c r="I205" s="647" t="s">
        <v>3215</v>
      </c>
      <c r="J205" s="37" t="s">
        <v>4259</v>
      </c>
      <c r="K205" s="22" t="s">
        <v>1138</v>
      </c>
      <c r="L205" s="647" t="s">
        <v>1826</v>
      </c>
      <c r="M205" s="647" t="s">
        <v>111</v>
      </c>
      <c r="N205" s="647" t="s">
        <v>1818</v>
      </c>
      <c r="O205" s="151" t="s">
        <v>1819</v>
      </c>
      <c r="P205" s="647" t="s">
        <v>111</v>
      </c>
      <c r="Q205" s="646" t="s">
        <v>1811</v>
      </c>
      <c r="R205" s="646" t="s">
        <v>2072</v>
      </c>
      <c r="S205" s="24" t="s">
        <v>6305</v>
      </c>
      <c r="T205" s="90" t="s">
        <v>6306</v>
      </c>
      <c r="U205" s="647" t="s">
        <v>2359</v>
      </c>
      <c r="V205" s="647">
        <v>1</v>
      </c>
      <c r="W205" s="647" t="s">
        <v>6307</v>
      </c>
      <c r="X205" s="647" t="s">
        <v>5890</v>
      </c>
      <c r="Y205" s="30"/>
      <c r="Z205" s="30">
        <v>12.12</v>
      </c>
      <c r="AA205" s="30">
        <v>12.12</v>
      </c>
      <c r="AB205" s="59"/>
      <c r="AC205" s="59"/>
      <c r="AD205" s="647" t="s">
        <v>1104</v>
      </c>
      <c r="AE205" s="202" t="s">
        <v>19</v>
      </c>
      <c r="AF205" s="35" t="s">
        <v>1880</v>
      </c>
      <c r="AG205" s="646"/>
    </row>
    <row r="206" spans="1:33" s="11" customFormat="1" ht="26.25" customHeight="1" x14ac:dyDescent="0.15">
      <c r="A206" s="8">
        <v>204</v>
      </c>
      <c r="B206" s="36" t="s">
        <v>6311</v>
      </c>
      <c r="C206" s="649" t="s">
        <v>111</v>
      </c>
      <c r="D206" s="206" t="s">
        <v>111</v>
      </c>
      <c r="E206" s="649" t="s">
        <v>111</v>
      </c>
      <c r="F206" s="29" t="s">
        <v>5580</v>
      </c>
      <c r="G206" s="99" t="s">
        <v>5486</v>
      </c>
      <c r="H206" s="649" t="s">
        <v>4195</v>
      </c>
      <c r="I206" s="649" t="s">
        <v>4701</v>
      </c>
      <c r="J206" s="649" t="s">
        <v>111</v>
      </c>
      <c r="K206" s="649" t="s">
        <v>111</v>
      </c>
      <c r="L206" s="649" t="s">
        <v>111</v>
      </c>
      <c r="M206" s="649" t="s">
        <v>111</v>
      </c>
      <c r="N206" s="648" t="s">
        <v>5582</v>
      </c>
      <c r="O206" s="54" t="s">
        <v>5582</v>
      </c>
      <c r="P206" s="22" t="s">
        <v>1880</v>
      </c>
      <c r="Q206" s="648" t="s">
        <v>414</v>
      </c>
      <c r="R206" s="648" t="s">
        <v>5487</v>
      </c>
      <c r="S206" s="24" t="s">
        <v>6313</v>
      </c>
      <c r="T206" s="90" t="s">
        <v>448</v>
      </c>
      <c r="U206" s="24" t="s">
        <v>448</v>
      </c>
      <c r="V206" s="24" t="s">
        <v>448</v>
      </c>
      <c r="W206" s="24" t="s">
        <v>448</v>
      </c>
      <c r="X206" s="24" t="s">
        <v>448</v>
      </c>
      <c r="Y206" s="30">
        <v>2.5125000000000002</v>
      </c>
      <c r="Z206" s="30"/>
      <c r="AA206" s="30">
        <v>2.5125000000000002</v>
      </c>
      <c r="AB206" s="59"/>
      <c r="AC206" s="59"/>
      <c r="AD206" s="649" t="s">
        <v>1104</v>
      </c>
      <c r="AE206" s="202" t="s">
        <v>19</v>
      </c>
      <c r="AF206" s="35" t="s">
        <v>1880</v>
      </c>
      <c r="AG206" s="54" t="s">
        <v>6317</v>
      </c>
    </row>
    <row r="207" spans="1:33" s="11" customFormat="1" ht="26.25" customHeight="1" x14ac:dyDescent="0.15">
      <c r="A207" s="8">
        <v>205</v>
      </c>
      <c r="B207" s="36" t="s">
        <v>6312</v>
      </c>
      <c r="C207" s="649" t="s">
        <v>111</v>
      </c>
      <c r="D207" s="206" t="s">
        <v>111</v>
      </c>
      <c r="E207" s="649" t="s">
        <v>111</v>
      </c>
      <c r="F207" s="29" t="s">
        <v>6310</v>
      </c>
      <c r="G207" s="53" t="s">
        <v>6366</v>
      </c>
      <c r="H207" s="649" t="s">
        <v>4990</v>
      </c>
      <c r="I207" s="649" t="s">
        <v>2067</v>
      </c>
      <c r="J207" s="37" t="s">
        <v>6314</v>
      </c>
      <c r="K207" s="649" t="s">
        <v>6315</v>
      </c>
      <c r="L207" s="649" t="s">
        <v>1826</v>
      </c>
      <c r="M207" s="649" t="s">
        <v>111</v>
      </c>
      <c r="N207" s="651" t="s">
        <v>1818</v>
      </c>
      <c r="O207" s="54" t="s">
        <v>4753</v>
      </c>
      <c r="P207" s="22" t="s">
        <v>1880</v>
      </c>
      <c r="Q207" s="646" t="s">
        <v>5489</v>
      </c>
      <c r="R207" s="646" t="s">
        <v>5489</v>
      </c>
      <c r="S207" s="24" t="s">
        <v>6316</v>
      </c>
      <c r="T207" s="90" t="s">
        <v>6367</v>
      </c>
      <c r="U207" s="666" t="s">
        <v>2359</v>
      </c>
      <c r="V207" s="666">
        <v>1</v>
      </c>
      <c r="W207" s="24" t="s">
        <v>448</v>
      </c>
      <c r="X207" s="24" t="s">
        <v>448</v>
      </c>
      <c r="Y207" s="30">
        <v>2.7749999999999999</v>
      </c>
      <c r="Z207" s="30"/>
      <c r="AA207" s="30">
        <v>2.7749999999999999</v>
      </c>
      <c r="AB207" s="59"/>
      <c r="AC207" s="59"/>
      <c r="AD207" s="649" t="s">
        <v>1104</v>
      </c>
      <c r="AE207" s="202" t="s">
        <v>19</v>
      </c>
      <c r="AF207" s="35" t="s">
        <v>1880</v>
      </c>
      <c r="AG207" s="54"/>
    </row>
    <row r="208" spans="1:33" s="11" customFormat="1" ht="32.25" customHeight="1" x14ac:dyDescent="0.15">
      <c r="A208" s="8">
        <v>206</v>
      </c>
      <c r="B208" s="36" t="s">
        <v>6322</v>
      </c>
      <c r="C208" s="71" t="s">
        <v>6324</v>
      </c>
      <c r="D208" s="651" t="s">
        <v>111</v>
      </c>
      <c r="E208" s="36" t="s">
        <v>6792</v>
      </c>
      <c r="F208" s="29" t="s">
        <v>6326</v>
      </c>
      <c r="G208" s="98" t="s">
        <v>6327</v>
      </c>
      <c r="H208" s="650" t="s">
        <v>4712</v>
      </c>
      <c r="I208" s="650" t="s">
        <v>4692</v>
      </c>
      <c r="J208" s="650" t="s">
        <v>6330</v>
      </c>
      <c r="K208" s="651" t="s">
        <v>4780</v>
      </c>
      <c r="L208" s="651" t="s">
        <v>1826</v>
      </c>
      <c r="M208" s="651" t="s">
        <v>111</v>
      </c>
      <c r="N208" s="651" t="s">
        <v>1818</v>
      </c>
      <c r="O208" s="54" t="s">
        <v>6332</v>
      </c>
      <c r="P208" s="22" t="s">
        <v>1880</v>
      </c>
      <c r="Q208" s="650" t="s">
        <v>5571</v>
      </c>
      <c r="R208" s="650" t="s">
        <v>5571</v>
      </c>
      <c r="S208" s="24" t="s">
        <v>6333</v>
      </c>
      <c r="T208" s="90" t="s">
        <v>6242</v>
      </c>
      <c r="U208" s="651" t="s">
        <v>2359</v>
      </c>
      <c r="V208" s="651">
        <v>1</v>
      </c>
      <c r="W208" s="24" t="s">
        <v>5710</v>
      </c>
      <c r="X208" s="24" t="s">
        <v>448</v>
      </c>
      <c r="Y208" s="30">
        <v>20.953099999999999</v>
      </c>
      <c r="Z208" s="30">
        <v>10</v>
      </c>
      <c r="AA208" s="30">
        <v>30.953099999999999</v>
      </c>
      <c r="AB208" s="59"/>
      <c r="AC208" s="59"/>
      <c r="AD208" s="651" t="s">
        <v>1104</v>
      </c>
      <c r="AE208" s="202" t="s">
        <v>19</v>
      </c>
      <c r="AF208" s="35" t="s">
        <v>1880</v>
      </c>
      <c r="AG208" s="650"/>
    </row>
    <row r="209" spans="1:33" s="11" customFormat="1" ht="32.25" customHeight="1" x14ac:dyDescent="0.15">
      <c r="A209" s="8">
        <v>207</v>
      </c>
      <c r="B209" s="36" t="s">
        <v>6323</v>
      </c>
      <c r="C209" s="71" t="s">
        <v>6325</v>
      </c>
      <c r="D209" s="651" t="s">
        <v>111</v>
      </c>
      <c r="E209" s="36" t="s">
        <v>6793</v>
      </c>
      <c r="F209" s="29" t="s">
        <v>6328</v>
      </c>
      <c r="G209" s="98" t="s">
        <v>6329</v>
      </c>
      <c r="H209" s="650" t="s">
        <v>4712</v>
      </c>
      <c r="I209" s="650" t="s">
        <v>4692</v>
      </c>
      <c r="J209" s="650" t="s">
        <v>6331</v>
      </c>
      <c r="K209" s="651" t="s">
        <v>4780</v>
      </c>
      <c r="L209" s="651" t="s">
        <v>1826</v>
      </c>
      <c r="M209" s="651" t="s">
        <v>111</v>
      </c>
      <c r="N209" s="651" t="s">
        <v>1818</v>
      </c>
      <c r="O209" s="54" t="s">
        <v>6332</v>
      </c>
      <c r="P209" s="22" t="s">
        <v>1880</v>
      </c>
      <c r="Q209" s="650" t="s">
        <v>5571</v>
      </c>
      <c r="R209" s="650" t="s">
        <v>5571</v>
      </c>
      <c r="S209" s="24" t="s">
        <v>6333</v>
      </c>
      <c r="T209" s="90" t="s">
        <v>6242</v>
      </c>
      <c r="U209" s="651" t="s">
        <v>2359</v>
      </c>
      <c r="V209" s="651">
        <v>1</v>
      </c>
      <c r="W209" s="24" t="s">
        <v>5710</v>
      </c>
      <c r="X209" s="24" t="s">
        <v>448</v>
      </c>
      <c r="Y209" s="30">
        <v>21.492100000000001</v>
      </c>
      <c r="Z209" s="30">
        <v>10</v>
      </c>
      <c r="AA209" s="30">
        <v>31.492100000000001</v>
      </c>
      <c r="AB209" s="59"/>
      <c r="AC209" s="59"/>
      <c r="AD209" s="651" t="s">
        <v>1104</v>
      </c>
      <c r="AE209" s="202" t="s">
        <v>19</v>
      </c>
      <c r="AF209" s="35" t="s">
        <v>1880</v>
      </c>
      <c r="AG209" s="650"/>
    </row>
    <row r="210" spans="1:33" s="11" customFormat="1" ht="26.25" customHeight="1" x14ac:dyDescent="0.15">
      <c r="A210" s="8">
        <v>208</v>
      </c>
      <c r="B210" s="36" t="s">
        <v>6334</v>
      </c>
      <c r="C210" s="71" t="s">
        <v>6403</v>
      </c>
      <c r="D210" s="684" t="s">
        <v>111</v>
      </c>
      <c r="E210" s="655" t="s">
        <v>111</v>
      </c>
      <c r="F210" s="29" t="s">
        <v>5671</v>
      </c>
      <c r="G210" s="99" t="s">
        <v>5486</v>
      </c>
      <c r="H210" s="654" t="s">
        <v>4195</v>
      </c>
      <c r="I210" s="654" t="s">
        <v>4728</v>
      </c>
      <c r="J210" s="654" t="s">
        <v>5673</v>
      </c>
      <c r="K210" s="655" t="s">
        <v>5674</v>
      </c>
      <c r="L210" s="653" t="s">
        <v>5478</v>
      </c>
      <c r="M210" s="655" t="s">
        <v>111</v>
      </c>
      <c r="N210" s="655" t="s">
        <v>2429</v>
      </c>
      <c r="O210" s="54" t="s">
        <v>4753</v>
      </c>
      <c r="P210" s="22" t="s">
        <v>1880</v>
      </c>
      <c r="Q210" s="652" t="s">
        <v>1894</v>
      </c>
      <c r="R210" s="652" t="s">
        <v>1894</v>
      </c>
      <c r="S210" s="24" t="s">
        <v>6337</v>
      </c>
      <c r="T210" s="90" t="s">
        <v>448</v>
      </c>
      <c r="U210" s="24" t="s">
        <v>448</v>
      </c>
      <c r="V210" s="24" t="s">
        <v>448</v>
      </c>
      <c r="W210" s="24" t="s">
        <v>448</v>
      </c>
      <c r="X210" s="24" t="s">
        <v>448</v>
      </c>
      <c r="Y210" s="30">
        <v>1.05</v>
      </c>
      <c r="Z210" s="30"/>
      <c r="AA210" s="30">
        <v>1.05</v>
      </c>
      <c r="AB210" s="59"/>
      <c r="AC210" s="59"/>
      <c r="AD210" s="655" t="s">
        <v>1104</v>
      </c>
      <c r="AE210" s="202" t="s">
        <v>19</v>
      </c>
      <c r="AF210" s="35" t="s">
        <v>1880</v>
      </c>
      <c r="AG210" s="652"/>
    </row>
    <row r="211" spans="1:33" s="11" customFormat="1" ht="26.25" customHeight="1" x14ac:dyDescent="0.15">
      <c r="A211" s="8">
        <v>209</v>
      </c>
      <c r="B211" s="36" t="s">
        <v>6335</v>
      </c>
      <c r="C211" s="655" t="s">
        <v>111</v>
      </c>
      <c r="D211" s="82" t="s">
        <v>111</v>
      </c>
      <c r="E211" s="655" t="s">
        <v>111</v>
      </c>
      <c r="F211" s="29" t="s">
        <v>5736</v>
      </c>
      <c r="G211" s="98" t="s">
        <v>6345</v>
      </c>
      <c r="H211" s="654" t="s">
        <v>5456</v>
      </c>
      <c r="I211" s="654" t="s">
        <v>5419</v>
      </c>
      <c r="J211" s="654" t="s">
        <v>5457</v>
      </c>
      <c r="K211" s="655" t="s">
        <v>4780</v>
      </c>
      <c r="L211" s="655" t="s">
        <v>1826</v>
      </c>
      <c r="M211" s="655" t="s">
        <v>111</v>
      </c>
      <c r="N211" s="655" t="s">
        <v>1818</v>
      </c>
      <c r="O211" s="54" t="s">
        <v>5567</v>
      </c>
      <c r="P211" s="22" t="s">
        <v>1880</v>
      </c>
      <c r="Q211" s="652" t="s">
        <v>5489</v>
      </c>
      <c r="R211" s="652" t="s">
        <v>5489</v>
      </c>
      <c r="S211" s="24" t="s">
        <v>6337</v>
      </c>
      <c r="T211" s="90" t="s">
        <v>6127</v>
      </c>
      <c r="U211" s="24" t="s">
        <v>110</v>
      </c>
      <c r="V211" s="24">
        <v>2</v>
      </c>
      <c r="W211" s="24" t="s">
        <v>448</v>
      </c>
      <c r="X211" s="24" t="s">
        <v>448</v>
      </c>
      <c r="Y211" s="30">
        <v>1.26</v>
      </c>
      <c r="Z211" s="30"/>
      <c r="AA211" s="30">
        <v>1.26</v>
      </c>
      <c r="AB211" s="59"/>
      <c r="AC211" s="59"/>
      <c r="AD211" s="655" t="s">
        <v>1104</v>
      </c>
      <c r="AE211" s="202" t="s">
        <v>19</v>
      </c>
      <c r="AF211" s="35" t="s">
        <v>1880</v>
      </c>
      <c r="AG211" s="652"/>
    </row>
    <row r="212" spans="1:33" s="11" customFormat="1" ht="26.25" customHeight="1" x14ac:dyDescent="0.15">
      <c r="A212" s="8">
        <v>208</v>
      </c>
      <c r="B212" s="36" t="s">
        <v>6336</v>
      </c>
      <c r="C212" s="71" t="s">
        <v>6340</v>
      </c>
      <c r="D212" s="655" t="s">
        <v>9270</v>
      </c>
      <c r="E212" s="655" t="s">
        <v>111</v>
      </c>
      <c r="F212" s="29" t="s">
        <v>6341</v>
      </c>
      <c r="G212" s="98" t="s">
        <v>6342</v>
      </c>
      <c r="H212" s="655" t="s">
        <v>6338</v>
      </c>
      <c r="I212" s="655" t="s">
        <v>1113</v>
      </c>
      <c r="J212" s="654" t="s">
        <v>6339</v>
      </c>
      <c r="K212" s="649" t="s">
        <v>4780</v>
      </c>
      <c r="L212" s="655" t="s">
        <v>1826</v>
      </c>
      <c r="M212" s="655" t="s">
        <v>111</v>
      </c>
      <c r="N212" s="655" t="s">
        <v>1818</v>
      </c>
      <c r="O212" s="54" t="s">
        <v>6343</v>
      </c>
      <c r="P212" s="22" t="s">
        <v>1880</v>
      </c>
      <c r="Q212" s="648" t="s">
        <v>5489</v>
      </c>
      <c r="R212" s="648" t="s">
        <v>5489</v>
      </c>
      <c r="S212" s="24" t="s">
        <v>6337</v>
      </c>
      <c r="T212" s="90" t="s">
        <v>6344</v>
      </c>
      <c r="U212" s="24" t="s">
        <v>108</v>
      </c>
      <c r="V212" s="656">
        <v>1</v>
      </c>
      <c r="W212" s="24" t="s">
        <v>448</v>
      </c>
      <c r="X212" s="24" t="s">
        <v>448</v>
      </c>
      <c r="Y212" s="30">
        <v>41.5</v>
      </c>
      <c r="Z212" s="30"/>
      <c r="AA212" s="30">
        <v>41.5</v>
      </c>
      <c r="AB212" s="59"/>
      <c r="AC212" s="59"/>
      <c r="AD212" s="655" t="s">
        <v>1104</v>
      </c>
      <c r="AE212" s="202" t="s">
        <v>19</v>
      </c>
      <c r="AF212" s="35" t="s">
        <v>1880</v>
      </c>
      <c r="AG212" s="648"/>
    </row>
    <row r="213" spans="1:33" s="11" customFormat="1" ht="26.25" customHeight="1" x14ac:dyDescent="0.15">
      <c r="A213" s="8">
        <v>209</v>
      </c>
      <c r="B213" s="36" t="s">
        <v>6346</v>
      </c>
      <c r="C213" s="659" t="s">
        <v>111</v>
      </c>
      <c r="D213" s="659" t="s">
        <v>111</v>
      </c>
      <c r="E213" s="659" t="s">
        <v>111</v>
      </c>
      <c r="F213" s="29" t="s">
        <v>2481</v>
      </c>
      <c r="G213" s="53" t="s">
        <v>6349</v>
      </c>
      <c r="H213" s="657" t="s">
        <v>1147</v>
      </c>
      <c r="I213" s="657" t="s">
        <v>1789</v>
      </c>
      <c r="J213" s="37" t="s">
        <v>2484</v>
      </c>
      <c r="K213" s="22" t="s">
        <v>2485</v>
      </c>
      <c r="L213" s="22" t="s">
        <v>1826</v>
      </c>
      <c r="M213" s="659" t="s">
        <v>111</v>
      </c>
      <c r="N213" s="658" t="s">
        <v>1818</v>
      </c>
      <c r="O213" s="54" t="s">
        <v>4644</v>
      </c>
      <c r="P213" s="71" t="s">
        <v>19</v>
      </c>
      <c r="Q213" s="658" t="s">
        <v>1811</v>
      </c>
      <c r="R213" s="658" t="s">
        <v>2072</v>
      </c>
      <c r="S213" s="24" t="s">
        <v>6351</v>
      </c>
      <c r="T213" s="90" t="s">
        <v>6352</v>
      </c>
      <c r="U213" s="24" t="s">
        <v>2359</v>
      </c>
      <c r="V213" s="24">
        <v>1</v>
      </c>
      <c r="W213" s="24" t="s">
        <v>448</v>
      </c>
      <c r="X213" s="24" t="s">
        <v>448</v>
      </c>
      <c r="Y213" s="30">
        <v>7.8</v>
      </c>
      <c r="Z213" s="30"/>
      <c r="AA213" s="30">
        <v>7.8</v>
      </c>
      <c r="AB213" s="59" t="s">
        <v>6457</v>
      </c>
      <c r="AC213" s="59" t="s">
        <v>6457</v>
      </c>
      <c r="AD213" s="35" t="s">
        <v>1104</v>
      </c>
      <c r="AE213" s="202" t="s">
        <v>1880</v>
      </c>
      <c r="AF213" s="35" t="s">
        <v>1880</v>
      </c>
      <c r="AG213" s="658"/>
    </row>
    <row r="214" spans="1:33" s="11" customFormat="1" ht="26.25" customHeight="1" x14ac:dyDescent="0.15">
      <c r="A214" s="8">
        <v>210</v>
      </c>
      <c r="B214" s="36" t="s">
        <v>6347</v>
      </c>
      <c r="C214" s="659" t="s">
        <v>111</v>
      </c>
      <c r="D214" s="659" t="s">
        <v>111</v>
      </c>
      <c r="E214" s="659" t="s">
        <v>111</v>
      </c>
      <c r="F214" s="29" t="s">
        <v>2492</v>
      </c>
      <c r="G214" s="53" t="s">
        <v>6350</v>
      </c>
      <c r="H214" s="657" t="s">
        <v>1147</v>
      </c>
      <c r="I214" s="657" t="s">
        <v>1789</v>
      </c>
      <c r="J214" s="657" t="s">
        <v>2494</v>
      </c>
      <c r="K214" s="22" t="s">
        <v>2495</v>
      </c>
      <c r="L214" s="22" t="s">
        <v>1826</v>
      </c>
      <c r="M214" s="659" t="s">
        <v>111</v>
      </c>
      <c r="N214" s="658" t="s">
        <v>1818</v>
      </c>
      <c r="O214" s="54" t="s">
        <v>4644</v>
      </c>
      <c r="P214" s="71" t="s">
        <v>19</v>
      </c>
      <c r="Q214" s="658" t="s">
        <v>1811</v>
      </c>
      <c r="R214" s="658" t="s">
        <v>2072</v>
      </c>
      <c r="S214" s="24" t="s">
        <v>6351</v>
      </c>
      <c r="T214" s="90" t="s">
        <v>6352</v>
      </c>
      <c r="U214" s="24" t="s">
        <v>2359</v>
      </c>
      <c r="V214" s="24">
        <v>1</v>
      </c>
      <c r="W214" s="24" t="s">
        <v>448</v>
      </c>
      <c r="X214" s="24" t="s">
        <v>448</v>
      </c>
      <c r="Y214" s="30">
        <v>7.65</v>
      </c>
      <c r="Z214" s="30"/>
      <c r="AA214" s="30">
        <v>7.65</v>
      </c>
      <c r="AB214" s="59" t="s">
        <v>6457</v>
      </c>
      <c r="AC214" s="59" t="s">
        <v>6457</v>
      </c>
      <c r="AD214" s="35" t="s">
        <v>1104</v>
      </c>
      <c r="AE214" s="202" t="s">
        <v>1880</v>
      </c>
      <c r="AF214" s="35" t="s">
        <v>1880</v>
      </c>
      <c r="AG214" s="658"/>
    </row>
    <row r="215" spans="1:33" s="11" customFormat="1" ht="26.25" customHeight="1" x14ac:dyDescent="0.15">
      <c r="A215" s="8">
        <v>211</v>
      </c>
      <c r="B215" s="36" t="s">
        <v>6348</v>
      </c>
      <c r="C215" s="659" t="s">
        <v>111</v>
      </c>
      <c r="D215" s="659" t="s">
        <v>111</v>
      </c>
      <c r="E215" s="659" t="s">
        <v>111</v>
      </c>
      <c r="F215" s="29" t="s">
        <v>2492</v>
      </c>
      <c r="G215" s="53" t="s">
        <v>6350</v>
      </c>
      <c r="H215" s="657" t="s">
        <v>1147</v>
      </c>
      <c r="I215" s="657" t="s">
        <v>1789</v>
      </c>
      <c r="J215" s="657" t="s">
        <v>2498</v>
      </c>
      <c r="K215" s="22" t="s">
        <v>1138</v>
      </c>
      <c r="L215" s="22" t="s">
        <v>1826</v>
      </c>
      <c r="M215" s="659" t="s">
        <v>111</v>
      </c>
      <c r="N215" s="658" t="s">
        <v>1818</v>
      </c>
      <c r="O215" s="54" t="s">
        <v>4644</v>
      </c>
      <c r="P215" s="71" t="s">
        <v>19</v>
      </c>
      <c r="Q215" s="658" t="s">
        <v>1811</v>
      </c>
      <c r="R215" s="658" t="s">
        <v>2072</v>
      </c>
      <c r="S215" s="24" t="s">
        <v>6351</v>
      </c>
      <c r="T215" s="90" t="s">
        <v>6352</v>
      </c>
      <c r="U215" s="24" t="s">
        <v>2359</v>
      </c>
      <c r="V215" s="24">
        <v>1</v>
      </c>
      <c r="W215" s="24" t="s">
        <v>448</v>
      </c>
      <c r="X215" s="24" t="s">
        <v>448</v>
      </c>
      <c r="Y215" s="30">
        <v>7.65</v>
      </c>
      <c r="Z215" s="30"/>
      <c r="AA215" s="30">
        <v>7.65</v>
      </c>
      <c r="AB215" s="59" t="s">
        <v>6457</v>
      </c>
      <c r="AC215" s="59" t="s">
        <v>6457</v>
      </c>
      <c r="AD215" s="35" t="s">
        <v>1104</v>
      </c>
      <c r="AE215" s="202" t="s">
        <v>1880</v>
      </c>
      <c r="AF215" s="35" t="s">
        <v>1880</v>
      </c>
      <c r="AG215" s="658"/>
    </row>
    <row r="216" spans="1:33" s="11" customFormat="1" ht="26.25" customHeight="1" x14ac:dyDescent="0.15">
      <c r="A216" s="8">
        <v>212</v>
      </c>
      <c r="B216" s="36" t="s">
        <v>6354</v>
      </c>
      <c r="C216" s="71" t="s">
        <v>6359</v>
      </c>
      <c r="D216" s="661" t="s">
        <v>111</v>
      </c>
      <c r="E216" s="661" t="s">
        <v>111</v>
      </c>
      <c r="F216" s="29" t="s">
        <v>6357</v>
      </c>
      <c r="G216" s="98" t="s">
        <v>6358</v>
      </c>
      <c r="H216" s="662" t="s">
        <v>6360</v>
      </c>
      <c r="I216" s="662" t="s">
        <v>1124</v>
      </c>
      <c r="J216" s="662" t="s">
        <v>6361</v>
      </c>
      <c r="K216" s="22" t="s">
        <v>1138</v>
      </c>
      <c r="L216" s="22" t="s">
        <v>1826</v>
      </c>
      <c r="M216" s="663" t="s">
        <v>111</v>
      </c>
      <c r="N216" s="662" t="s">
        <v>1818</v>
      </c>
      <c r="O216" s="54" t="s">
        <v>4753</v>
      </c>
      <c r="P216" s="71" t="s">
        <v>19</v>
      </c>
      <c r="Q216" s="660" t="s">
        <v>6371</v>
      </c>
      <c r="R216" s="660" t="s">
        <v>5489</v>
      </c>
      <c r="S216" s="24" t="s">
        <v>6362</v>
      </c>
      <c r="T216" s="90" t="s">
        <v>6337</v>
      </c>
      <c r="U216" s="24" t="s">
        <v>2359</v>
      </c>
      <c r="V216" s="24">
        <v>1</v>
      </c>
      <c r="W216" s="24" t="s">
        <v>448</v>
      </c>
      <c r="X216" s="24" t="s">
        <v>448</v>
      </c>
      <c r="Y216" s="30">
        <v>22.026</v>
      </c>
      <c r="Z216" s="30"/>
      <c r="AA216" s="30">
        <v>22.026</v>
      </c>
      <c r="AB216" s="59"/>
      <c r="AC216" s="59"/>
      <c r="AD216" s="35" t="s">
        <v>1104</v>
      </c>
      <c r="AE216" s="202" t="s">
        <v>1880</v>
      </c>
      <c r="AF216" s="35" t="s">
        <v>1880</v>
      </c>
      <c r="AG216" s="660"/>
    </row>
    <row r="217" spans="1:33" s="11" customFormat="1" ht="26.25" customHeight="1" x14ac:dyDescent="0.15">
      <c r="A217" s="8">
        <v>213</v>
      </c>
      <c r="B217" s="36" t="s">
        <v>6355</v>
      </c>
      <c r="C217" s="71" t="s">
        <v>6364</v>
      </c>
      <c r="D217" s="661" t="s">
        <v>111</v>
      </c>
      <c r="E217" s="661" t="s">
        <v>111</v>
      </c>
      <c r="F217" s="29" t="s">
        <v>6357</v>
      </c>
      <c r="G217" s="98" t="s">
        <v>7535</v>
      </c>
      <c r="H217" s="664" t="s">
        <v>6360</v>
      </c>
      <c r="I217" s="664" t="s">
        <v>1124</v>
      </c>
      <c r="J217" s="664" t="s">
        <v>6382</v>
      </c>
      <c r="K217" s="22" t="s">
        <v>1138</v>
      </c>
      <c r="L217" s="22" t="s">
        <v>1826</v>
      </c>
      <c r="M217" s="665" t="s">
        <v>111</v>
      </c>
      <c r="N217" s="664" t="s">
        <v>1818</v>
      </c>
      <c r="O217" s="54" t="s">
        <v>4753</v>
      </c>
      <c r="P217" s="71" t="s">
        <v>19</v>
      </c>
      <c r="Q217" s="670" t="s">
        <v>6371</v>
      </c>
      <c r="R217" s="664" t="s">
        <v>5489</v>
      </c>
      <c r="S217" s="24" t="s">
        <v>6362</v>
      </c>
      <c r="T217" s="90" t="s">
        <v>6337</v>
      </c>
      <c r="U217" s="24" t="s">
        <v>2359</v>
      </c>
      <c r="V217" s="24">
        <v>1</v>
      </c>
      <c r="W217" s="24" t="s">
        <v>448</v>
      </c>
      <c r="X217" s="24" t="s">
        <v>448</v>
      </c>
      <c r="Y217" s="30">
        <v>22.026</v>
      </c>
      <c r="Z217" s="30"/>
      <c r="AA217" s="30">
        <v>22.026</v>
      </c>
      <c r="AB217" s="59"/>
      <c r="AC217" s="59"/>
      <c r="AD217" s="35" t="s">
        <v>1104</v>
      </c>
      <c r="AE217" s="202" t="s">
        <v>1880</v>
      </c>
      <c r="AF217" s="35" t="s">
        <v>1880</v>
      </c>
      <c r="AG217" s="660"/>
    </row>
    <row r="218" spans="1:33" s="11" customFormat="1" ht="26.25" customHeight="1" x14ac:dyDescent="0.15">
      <c r="A218" s="8">
        <v>214</v>
      </c>
      <c r="B218" s="36" t="s">
        <v>6356</v>
      </c>
      <c r="C218" s="71" t="s">
        <v>6365</v>
      </c>
      <c r="D218" s="661" t="s">
        <v>111</v>
      </c>
      <c r="E218" s="661" t="s">
        <v>111</v>
      </c>
      <c r="F218" s="29" t="s">
        <v>6357</v>
      </c>
      <c r="G218" s="98" t="s">
        <v>6363</v>
      </c>
      <c r="H218" s="664" t="s">
        <v>6360</v>
      </c>
      <c r="I218" s="664" t="s">
        <v>1124</v>
      </c>
      <c r="J218" s="664" t="s">
        <v>6383</v>
      </c>
      <c r="K218" s="22" t="s">
        <v>1138</v>
      </c>
      <c r="L218" s="22" t="s">
        <v>1826</v>
      </c>
      <c r="M218" s="665" t="s">
        <v>111</v>
      </c>
      <c r="N218" s="664" t="s">
        <v>1818</v>
      </c>
      <c r="O218" s="54" t="s">
        <v>4753</v>
      </c>
      <c r="P218" s="71" t="s">
        <v>19</v>
      </c>
      <c r="Q218" s="670" t="s">
        <v>6371</v>
      </c>
      <c r="R218" s="664" t="s">
        <v>5489</v>
      </c>
      <c r="S218" s="24" t="s">
        <v>6362</v>
      </c>
      <c r="T218" s="90" t="s">
        <v>6337</v>
      </c>
      <c r="U218" s="24" t="s">
        <v>2359</v>
      </c>
      <c r="V218" s="24">
        <v>1</v>
      </c>
      <c r="W218" s="24" t="s">
        <v>448</v>
      </c>
      <c r="X218" s="24" t="s">
        <v>448</v>
      </c>
      <c r="Y218" s="30">
        <v>22.026</v>
      </c>
      <c r="Z218" s="30"/>
      <c r="AA218" s="30">
        <v>22.026</v>
      </c>
      <c r="AB218" s="59"/>
      <c r="AC218" s="59"/>
      <c r="AD218" s="35" t="s">
        <v>1104</v>
      </c>
      <c r="AE218" s="202" t="s">
        <v>1880</v>
      </c>
      <c r="AF218" s="35" t="s">
        <v>1880</v>
      </c>
      <c r="AG218" s="660"/>
    </row>
    <row r="219" spans="1:33" s="11" customFormat="1" ht="26.25" customHeight="1" x14ac:dyDescent="0.15">
      <c r="A219" s="8">
        <v>215</v>
      </c>
      <c r="B219" s="36" t="s">
        <v>6372</v>
      </c>
      <c r="C219" s="71" t="s">
        <v>6375</v>
      </c>
      <c r="D219" s="672" t="s">
        <v>111</v>
      </c>
      <c r="E219" s="672" t="s">
        <v>111</v>
      </c>
      <c r="F219" s="29" t="s">
        <v>6378</v>
      </c>
      <c r="G219" s="98" t="s">
        <v>6379</v>
      </c>
      <c r="H219" s="671" t="s">
        <v>6360</v>
      </c>
      <c r="I219" s="671" t="s">
        <v>1124</v>
      </c>
      <c r="J219" s="671" t="s">
        <v>6361</v>
      </c>
      <c r="K219" s="22" t="s">
        <v>1138</v>
      </c>
      <c r="L219" s="22" t="s">
        <v>1826</v>
      </c>
      <c r="M219" s="674" t="s">
        <v>111</v>
      </c>
      <c r="N219" s="673" t="s">
        <v>1818</v>
      </c>
      <c r="O219" s="54" t="s">
        <v>5234</v>
      </c>
      <c r="P219" s="71" t="s">
        <v>19</v>
      </c>
      <c r="Q219" s="673" t="s">
        <v>414</v>
      </c>
      <c r="R219" s="673" t="s">
        <v>5489</v>
      </c>
      <c r="S219" s="24" t="s">
        <v>6380</v>
      </c>
      <c r="T219" s="90" t="s">
        <v>6381</v>
      </c>
      <c r="U219" s="24" t="s">
        <v>2359</v>
      </c>
      <c r="V219" s="24">
        <v>1</v>
      </c>
      <c r="W219" s="24" t="s">
        <v>448</v>
      </c>
      <c r="X219" s="24" t="s">
        <v>448</v>
      </c>
      <c r="Y219" s="30">
        <v>48.5</v>
      </c>
      <c r="Z219" s="30"/>
      <c r="AA219" s="30">
        <v>48.5</v>
      </c>
      <c r="AB219" s="59"/>
      <c r="AC219" s="59"/>
      <c r="AD219" s="35" t="s">
        <v>1104</v>
      </c>
      <c r="AE219" s="202" t="s">
        <v>1880</v>
      </c>
      <c r="AF219" s="35" t="s">
        <v>1880</v>
      </c>
      <c r="AG219" s="671"/>
    </row>
    <row r="220" spans="1:33" s="11" customFormat="1" ht="26.25" customHeight="1" x14ac:dyDescent="0.15">
      <c r="A220" s="8">
        <v>216</v>
      </c>
      <c r="B220" s="36" t="s">
        <v>6373</v>
      </c>
      <c r="C220" s="71" t="s">
        <v>6376</v>
      </c>
      <c r="D220" s="672" t="s">
        <v>111</v>
      </c>
      <c r="E220" s="672" t="s">
        <v>111</v>
      </c>
      <c r="F220" s="29" t="s">
        <v>6378</v>
      </c>
      <c r="G220" s="98" t="s">
        <v>6379</v>
      </c>
      <c r="H220" s="671" t="s">
        <v>6360</v>
      </c>
      <c r="I220" s="671" t="s">
        <v>1124</v>
      </c>
      <c r="J220" s="671" t="s">
        <v>6382</v>
      </c>
      <c r="K220" s="22" t="s">
        <v>1138</v>
      </c>
      <c r="L220" s="22" t="s">
        <v>1826</v>
      </c>
      <c r="M220" s="674" t="s">
        <v>111</v>
      </c>
      <c r="N220" s="673" t="s">
        <v>1818</v>
      </c>
      <c r="O220" s="54" t="s">
        <v>5234</v>
      </c>
      <c r="P220" s="71" t="s">
        <v>19</v>
      </c>
      <c r="Q220" s="673" t="s">
        <v>414</v>
      </c>
      <c r="R220" s="673" t="s">
        <v>5489</v>
      </c>
      <c r="S220" s="24" t="s">
        <v>6380</v>
      </c>
      <c r="T220" s="90" t="s">
        <v>6381</v>
      </c>
      <c r="U220" s="24" t="s">
        <v>2359</v>
      </c>
      <c r="V220" s="24">
        <v>1</v>
      </c>
      <c r="W220" s="24" t="s">
        <v>448</v>
      </c>
      <c r="X220" s="24" t="s">
        <v>448</v>
      </c>
      <c r="Y220" s="30">
        <v>49</v>
      </c>
      <c r="Z220" s="30"/>
      <c r="AA220" s="30">
        <v>49</v>
      </c>
      <c r="AB220" s="59"/>
      <c r="AC220" s="59"/>
      <c r="AD220" s="35" t="s">
        <v>1104</v>
      </c>
      <c r="AE220" s="202" t="s">
        <v>1880</v>
      </c>
      <c r="AF220" s="35" t="s">
        <v>1880</v>
      </c>
      <c r="AG220" s="671"/>
    </row>
    <row r="221" spans="1:33" s="11" customFormat="1" ht="26.25" customHeight="1" x14ac:dyDescent="0.15">
      <c r="A221" s="8">
        <v>217</v>
      </c>
      <c r="B221" s="36" t="s">
        <v>6374</v>
      </c>
      <c r="C221" s="71" t="s">
        <v>6377</v>
      </c>
      <c r="D221" s="672" t="s">
        <v>111</v>
      </c>
      <c r="E221" s="672" t="s">
        <v>111</v>
      </c>
      <c r="F221" s="29" t="s">
        <v>6378</v>
      </c>
      <c r="G221" s="98" t="s">
        <v>6379</v>
      </c>
      <c r="H221" s="671" t="s">
        <v>6360</v>
      </c>
      <c r="I221" s="671" t="s">
        <v>1124</v>
      </c>
      <c r="J221" s="671" t="s">
        <v>6383</v>
      </c>
      <c r="K221" s="22" t="s">
        <v>1138</v>
      </c>
      <c r="L221" s="22" t="s">
        <v>1826</v>
      </c>
      <c r="M221" s="674" t="s">
        <v>111</v>
      </c>
      <c r="N221" s="673" t="s">
        <v>1818</v>
      </c>
      <c r="O221" s="54" t="s">
        <v>5234</v>
      </c>
      <c r="P221" s="71" t="s">
        <v>19</v>
      </c>
      <c r="Q221" s="673" t="s">
        <v>414</v>
      </c>
      <c r="R221" s="673" t="s">
        <v>5489</v>
      </c>
      <c r="S221" s="24" t="s">
        <v>6380</v>
      </c>
      <c r="T221" s="90" t="s">
        <v>6381</v>
      </c>
      <c r="U221" s="24" t="s">
        <v>2359</v>
      </c>
      <c r="V221" s="24">
        <v>1</v>
      </c>
      <c r="W221" s="24" t="s">
        <v>448</v>
      </c>
      <c r="X221" s="24" t="s">
        <v>448</v>
      </c>
      <c r="Y221" s="30">
        <v>49</v>
      </c>
      <c r="Z221" s="30"/>
      <c r="AA221" s="30">
        <v>49</v>
      </c>
      <c r="AB221" s="59"/>
      <c r="AC221" s="59"/>
      <c r="AD221" s="35" t="s">
        <v>1104</v>
      </c>
      <c r="AE221" s="202" t="s">
        <v>1880</v>
      </c>
      <c r="AF221" s="35" t="s">
        <v>1880</v>
      </c>
      <c r="AG221" s="671"/>
    </row>
    <row r="222" spans="1:33" s="11" customFormat="1" ht="26.25" customHeight="1" x14ac:dyDescent="0.15">
      <c r="A222" s="8">
        <v>218</v>
      </c>
      <c r="B222" s="36" t="s">
        <v>6384</v>
      </c>
      <c r="C222" s="676" t="s">
        <v>111</v>
      </c>
      <c r="D222" s="676" t="s">
        <v>111</v>
      </c>
      <c r="E222" s="676" t="s">
        <v>111</v>
      </c>
      <c r="F222" s="29" t="s">
        <v>6385</v>
      </c>
      <c r="G222" s="99" t="s">
        <v>5486</v>
      </c>
      <c r="H222" s="676" t="s">
        <v>94</v>
      </c>
      <c r="I222" s="676" t="s">
        <v>112</v>
      </c>
      <c r="J222" s="37" t="s">
        <v>1600</v>
      </c>
      <c r="K222" s="676" t="s">
        <v>750</v>
      </c>
      <c r="L222" s="22" t="s">
        <v>1826</v>
      </c>
      <c r="M222" s="676" t="s">
        <v>111</v>
      </c>
      <c r="N222" s="675" t="s">
        <v>1818</v>
      </c>
      <c r="O222" s="54" t="s">
        <v>5567</v>
      </c>
      <c r="P222" s="71" t="s">
        <v>19</v>
      </c>
      <c r="Q222" s="648" t="s">
        <v>5487</v>
      </c>
      <c r="R222" s="648" t="s">
        <v>5487</v>
      </c>
      <c r="S222" s="24" t="s">
        <v>6380</v>
      </c>
      <c r="T222" s="90" t="s">
        <v>448</v>
      </c>
      <c r="U222" s="24" t="s">
        <v>448</v>
      </c>
      <c r="V222" s="24" t="s">
        <v>448</v>
      </c>
      <c r="W222" s="24" t="s">
        <v>448</v>
      </c>
      <c r="X222" s="24" t="s">
        <v>448</v>
      </c>
      <c r="Y222" s="30">
        <v>2</v>
      </c>
      <c r="Z222" s="30"/>
      <c r="AA222" s="30">
        <v>2</v>
      </c>
      <c r="AB222" s="59"/>
      <c r="AC222" s="59"/>
      <c r="AD222" s="35" t="s">
        <v>1104</v>
      </c>
      <c r="AE222" s="202" t="s">
        <v>1880</v>
      </c>
      <c r="AF222" s="35" t="s">
        <v>1880</v>
      </c>
      <c r="AG222" s="648"/>
    </row>
    <row r="223" spans="1:33" s="11" customFormat="1" ht="26.25" customHeight="1" x14ac:dyDescent="0.15">
      <c r="A223" s="8">
        <v>219</v>
      </c>
      <c r="B223" s="36" t="s">
        <v>6386</v>
      </c>
      <c r="C223" s="679" t="s">
        <v>111</v>
      </c>
      <c r="D223" s="679" t="s">
        <v>111</v>
      </c>
      <c r="E223" s="679" t="s">
        <v>111</v>
      </c>
      <c r="F223" s="29" t="s">
        <v>6388</v>
      </c>
      <c r="G223" s="98" t="s">
        <v>6387</v>
      </c>
      <c r="H223" s="679" t="s">
        <v>1487</v>
      </c>
      <c r="I223" s="679" t="s">
        <v>1486</v>
      </c>
      <c r="J223" s="37" t="s">
        <v>6397</v>
      </c>
      <c r="K223" s="679" t="s">
        <v>6398</v>
      </c>
      <c r="L223" s="22" t="s">
        <v>1826</v>
      </c>
      <c r="M223" s="679" t="s">
        <v>111</v>
      </c>
      <c r="N223" s="678" t="s">
        <v>1818</v>
      </c>
      <c r="O223" s="54" t="s">
        <v>5567</v>
      </c>
      <c r="P223" s="71" t="s">
        <v>19</v>
      </c>
      <c r="Q223" s="678" t="s">
        <v>5571</v>
      </c>
      <c r="R223" s="678" t="s">
        <v>5571</v>
      </c>
      <c r="S223" s="24" t="s">
        <v>6389</v>
      </c>
      <c r="T223" s="90" t="s">
        <v>6390</v>
      </c>
      <c r="U223" s="24" t="s">
        <v>2359</v>
      </c>
      <c r="V223" s="24">
        <v>1</v>
      </c>
      <c r="W223" s="24" t="s">
        <v>448</v>
      </c>
      <c r="X223" s="24" t="s">
        <v>448</v>
      </c>
      <c r="Y223" s="30">
        <v>3</v>
      </c>
      <c r="Z223" s="30"/>
      <c r="AA223" s="30">
        <v>3</v>
      </c>
      <c r="AB223" s="59"/>
      <c r="AC223" s="59"/>
      <c r="AD223" s="35" t="s">
        <v>1104</v>
      </c>
      <c r="AE223" s="202" t="s">
        <v>1880</v>
      </c>
      <c r="AF223" s="35" t="s">
        <v>1880</v>
      </c>
      <c r="AG223" s="678"/>
    </row>
    <row r="224" spans="1:33" s="11" customFormat="1" ht="26.25" customHeight="1" x14ac:dyDescent="0.15">
      <c r="A224" s="8">
        <v>220</v>
      </c>
      <c r="B224" s="36" t="s">
        <v>6391</v>
      </c>
      <c r="C224" s="682" t="s">
        <v>111</v>
      </c>
      <c r="D224" s="682" t="s">
        <v>111</v>
      </c>
      <c r="E224" s="682" t="s">
        <v>111</v>
      </c>
      <c r="F224" s="29" t="s">
        <v>5975</v>
      </c>
      <c r="G224" s="53" t="s">
        <v>6393</v>
      </c>
      <c r="H224" s="680" t="s">
        <v>5448</v>
      </c>
      <c r="I224" s="680" t="s">
        <v>1124</v>
      </c>
      <c r="J224" s="680" t="s">
        <v>5449</v>
      </c>
      <c r="K224" s="22" t="s">
        <v>6198</v>
      </c>
      <c r="L224" s="22" t="s">
        <v>1826</v>
      </c>
      <c r="M224" s="682" t="s">
        <v>1880</v>
      </c>
      <c r="N224" s="216" t="s">
        <v>25</v>
      </c>
      <c r="O224" s="54" t="s">
        <v>116</v>
      </c>
      <c r="P224" s="22" t="s">
        <v>1880</v>
      </c>
      <c r="Q224" s="681" t="s">
        <v>1774</v>
      </c>
      <c r="R224" s="681" t="s">
        <v>1774</v>
      </c>
      <c r="S224" s="24" t="s">
        <v>6394</v>
      </c>
      <c r="T224" s="90" t="s">
        <v>6395</v>
      </c>
      <c r="U224" s="24" t="s">
        <v>110</v>
      </c>
      <c r="V224" s="24">
        <v>1</v>
      </c>
      <c r="W224" s="24" t="s">
        <v>6337</v>
      </c>
      <c r="X224" s="24" t="s">
        <v>6396</v>
      </c>
      <c r="Y224" s="30"/>
      <c r="Z224" s="30">
        <v>8</v>
      </c>
      <c r="AA224" s="30">
        <v>8</v>
      </c>
      <c r="AB224" s="59"/>
      <c r="AC224" s="59"/>
      <c r="AD224" s="35" t="s">
        <v>1104</v>
      </c>
      <c r="AE224" s="202" t="s">
        <v>19</v>
      </c>
      <c r="AF224" s="35" t="s">
        <v>1880</v>
      </c>
      <c r="AG224" s="678"/>
    </row>
    <row r="225" spans="1:33" s="11" customFormat="1" ht="26.25" customHeight="1" x14ac:dyDescent="0.15">
      <c r="A225" s="8">
        <v>221</v>
      </c>
      <c r="B225" s="36" t="s">
        <v>6392</v>
      </c>
      <c r="C225" s="682" t="s">
        <v>111</v>
      </c>
      <c r="D225" s="682" t="s">
        <v>111</v>
      </c>
      <c r="E225" s="682" t="s">
        <v>111</v>
      </c>
      <c r="F225" s="29" t="s">
        <v>5975</v>
      </c>
      <c r="G225" s="53" t="s">
        <v>6393</v>
      </c>
      <c r="H225" s="680" t="s">
        <v>5448</v>
      </c>
      <c r="I225" s="680" t="s">
        <v>1124</v>
      </c>
      <c r="J225" s="680" t="s">
        <v>5454</v>
      </c>
      <c r="K225" s="22" t="s">
        <v>6204</v>
      </c>
      <c r="L225" s="22" t="s">
        <v>1826</v>
      </c>
      <c r="M225" s="682" t="s">
        <v>1880</v>
      </c>
      <c r="N225" s="216" t="s">
        <v>25</v>
      </c>
      <c r="O225" s="54" t="s">
        <v>116</v>
      </c>
      <c r="P225" s="22" t="s">
        <v>1880</v>
      </c>
      <c r="Q225" s="681" t="s">
        <v>1774</v>
      </c>
      <c r="R225" s="681" t="s">
        <v>1774</v>
      </c>
      <c r="S225" s="24" t="s">
        <v>6394</v>
      </c>
      <c r="T225" s="90" t="s">
        <v>6395</v>
      </c>
      <c r="U225" s="24" t="s">
        <v>110</v>
      </c>
      <c r="V225" s="24">
        <v>1</v>
      </c>
      <c r="W225" s="24" t="s">
        <v>6337</v>
      </c>
      <c r="X225" s="24" t="s">
        <v>6396</v>
      </c>
      <c r="Y225" s="30"/>
      <c r="Z225" s="30">
        <v>8</v>
      </c>
      <c r="AA225" s="30">
        <v>8</v>
      </c>
      <c r="AB225" s="59"/>
      <c r="AC225" s="59"/>
      <c r="AD225" s="35" t="s">
        <v>1104</v>
      </c>
      <c r="AE225" s="202" t="s">
        <v>19</v>
      </c>
      <c r="AF225" s="35" t="s">
        <v>1880</v>
      </c>
      <c r="AG225" s="678"/>
    </row>
    <row r="226" spans="1:33" s="11" customFormat="1" ht="39.75" customHeight="1" x14ac:dyDescent="0.15">
      <c r="A226" s="8">
        <v>222</v>
      </c>
      <c r="B226" s="36" t="s">
        <v>6399</v>
      </c>
      <c r="C226" s="71" t="s">
        <v>6400</v>
      </c>
      <c r="D226" s="683" t="s">
        <v>111</v>
      </c>
      <c r="E226" s="683" t="s">
        <v>111</v>
      </c>
      <c r="F226" s="29" t="s">
        <v>6061</v>
      </c>
      <c r="G226" s="53" t="s">
        <v>6401</v>
      </c>
      <c r="H226" s="677" t="s">
        <v>4712</v>
      </c>
      <c r="I226" s="677" t="s">
        <v>4728</v>
      </c>
      <c r="J226" s="677" t="s">
        <v>6062</v>
      </c>
      <c r="K226" s="22" t="s">
        <v>4780</v>
      </c>
      <c r="L226" s="22" t="s">
        <v>1826</v>
      </c>
      <c r="M226" s="683" t="s">
        <v>1880</v>
      </c>
      <c r="N226" s="216" t="s">
        <v>25</v>
      </c>
      <c r="O226" s="54" t="s">
        <v>4753</v>
      </c>
      <c r="P226" s="22" t="s">
        <v>1880</v>
      </c>
      <c r="Q226" s="678" t="s">
        <v>5571</v>
      </c>
      <c r="R226" s="678" t="s">
        <v>5571</v>
      </c>
      <c r="S226" s="24" t="s">
        <v>6402</v>
      </c>
      <c r="T226" s="90" t="s">
        <v>6394</v>
      </c>
      <c r="U226" s="24" t="s">
        <v>110</v>
      </c>
      <c r="V226" s="24">
        <v>1</v>
      </c>
      <c r="W226" s="24" t="s">
        <v>448</v>
      </c>
      <c r="X226" s="24" t="s">
        <v>448</v>
      </c>
      <c r="Y226" s="30">
        <v>3.85</v>
      </c>
      <c r="Z226" s="30"/>
      <c r="AA226" s="30">
        <v>3.85</v>
      </c>
      <c r="AB226" s="59"/>
      <c r="AC226" s="59"/>
      <c r="AD226" s="35" t="s">
        <v>1104</v>
      </c>
      <c r="AE226" s="202" t="s">
        <v>19</v>
      </c>
      <c r="AF226" s="35" t="s">
        <v>1880</v>
      </c>
      <c r="AG226" s="678"/>
    </row>
    <row r="227" spans="1:33" s="11" customFormat="1" ht="26.25" customHeight="1" x14ac:dyDescent="0.15">
      <c r="A227" s="8">
        <v>223</v>
      </c>
      <c r="B227" s="36" t="s">
        <v>6404</v>
      </c>
      <c r="C227" s="686" t="s">
        <v>111</v>
      </c>
      <c r="D227" s="686" t="s">
        <v>111</v>
      </c>
      <c r="E227" s="686" t="s">
        <v>111</v>
      </c>
      <c r="F227" s="151" t="s">
        <v>4278</v>
      </c>
      <c r="G227" s="53" t="s">
        <v>6408</v>
      </c>
      <c r="H227" s="686" t="s">
        <v>2012</v>
      </c>
      <c r="I227" s="686" t="s">
        <v>2533</v>
      </c>
      <c r="J227" s="686" t="s">
        <v>4284</v>
      </c>
      <c r="K227" s="686" t="s">
        <v>4279</v>
      </c>
      <c r="L227" s="686" t="s">
        <v>1826</v>
      </c>
      <c r="M227" s="686" t="s">
        <v>111</v>
      </c>
      <c r="N227" s="686" t="s">
        <v>1818</v>
      </c>
      <c r="O227" s="151" t="s">
        <v>4644</v>
      </c>
      <c r="P227" s="22" t="s">
        <v>1880</v>
      </c>
      <c r="Q227" s="685" t="s">
        <v>3248</v>
      </c>
      <c r="R227" s="685" t="s">
        <v>3248</v>
      </c>
      <c r="S227" s="24" t="s">
        <v>6406</v>
      </c>
      <c r="T227" s="90" t="s">
        <v>6407</v>
      </c>
      <c r="U227" s="24" t="s">
        <v>110</v>
      </c>
      <c r="V227" s="24">
        <v>1</v>
      </c>
      <c r="W227" s="24" t="s">
        <v>448</v>
      </c>
      <c r="X227" s="24" t="s">
        <v>448</v>
      </c>
      <c r="Y227" s="30">
        <v>2.5</v>
      </c>
      <c r="Z227" s="30"/>
      <c r="AA227" s="30">
        <v>2.5</v>
      </c>
      <c r="AB227" s="59"/>
      <c r="AC227" s="59"/>
      <c r="AD227" s="35" t="s">
        <v>1104</v>
      </c>
      <c r="AE227" s="202" t="s">
        <v>19</v>
      </c>
      <c r="AF227" s="35" t="s">
        <v>1880</v>
      </c>
      <c r="AG227" s="678"/>
    </row>
    <row r="228" spans="1:33" s="11" customFormat="1" ht="26.25" customHeight="1" x14ac:dyDescent="0.15">
      <c r="A228" s="8">
        <v>224</v>
      </c>
      <c r="B228" s="36" t="s">
        <v>6405</v>
      </c>
      <c r="C228" s="686" t="s">
        <v>111</v>
      </c>
      <c r="D228" s="686" t="s">
        <v>111</v>
      </c>
      <c r="E228" s="686" t="s">
        <v>111</v>
      </c>
      <c r="F228" s="151" t="s">
        <v>4285</v>
      </c>
      <c r="G228" s="53" t="s">
        <v>6409</v>
      </c>
      <c r="H228" s="686" t="s">
        <v>2012</v>
      </c>
      <c r="I228" s="686" t="s">
        <v>2533</v>
      </c>
      <c r="J228" s="686" t="s">
        <v>4287</v>
      </c>
      <c r="K228" s="686" t="s">
        <v>4286</v>
      </c>
      <c r="L228" s="686" t="s">
        <v>1826</v>
      </c>
      <c r="M228" s="686" t="s">
        <v>111</v>
      </c>
      <c r="N228" s="686" t="s">
        <v>1818</v>
      </c>
      <c r="O228" s="151" t="s">
        <v>4644</v>
      </c>
      <c r="P228" s="22" t="s">
        <v>1880</v>
      </c>
      <c r="Q228" s="685" t="s">
        <v>3248</v>
      </c>
      <c r="R228" s="685" t="s">
        <v>3248</v>
      </c>
      <c r="S228" s="24" t="s">
        <v>6406</v>
      </c>
      <c r="T228" s="90" t="s">
        <v>6407</v>
      </c>
      <c r="U228" s="24" t="s">
        <v>110</v>
      </c>
      <c r="V228" s="24">
        <v>1</v>
      </c>
      <c r="W228" s="24" t="s">
        <v>448</v>
      </c>
      <c r="X228" s="24" t="s">
        <v>448</v>
      </c>
      <c r="Y228" s="30">
        <v>2.5</v>
      </c>
      <c r="Z228" s="30"/>
      <c r="AA228" s="30">
        <v>2.5</v>
      </c>
      <c r="AB228" s="59"/>
      <c r="AC228" s="59"/>
      <c r="AD228" s="35" t="s">
        <v>1104</v>
      </c>
      <c r="AE228" s="202" t="s">
        <v>19</v>
      </c>
      <c r="AF228" s="35" t="s">
        <v>1880</v>
      </c>
      <c r="AG228" s="678"/>
    </row>
    <row r="229" spans="1:33" s="11" customFormat="1" ht="26.25" customHeight="1" x14ac:dyDescent="0.15">
      <c r="A229" s="8">
        <v>225</v>
      </c>
      <c r="B229" s="36" t="s">
        <v>6410</v>
      </c>
      <c r="C229" s="691" t="s">
        <v>111</v>
      </c>
      <c r="D229" s="691" t="s">
        <v>111</v>
      </c>
      <c r="E229" s="691" t="s">
        <v>111</v>
      </c>
      <c r="F229" s="29" t="s">
        <v>5984</v>
      </c>
      <c r="G229" s="98" t="s">
        <v>6416</v>
      </c>
      <c r="H229" s="694" t="s">
        <v>94</v>
      </c>
      <c r="I229" s="694" t="s">
        <v>1952</v>
      </c>
      <c r="J229" s="694" t="s">
        <v>2907</v>
      </c>
      <c r="K229" s="691" t="s">
        <v>5986</v>
      </c>
      <c r="L229" s="691" t="s">
        <v>1826</v>
      </c>
      <c r="M229" s="691" t="s">
        <v>111</v>
      </c>
      <c r="N229" s="690" t="s">
        <v>1131</v>
      </c>
      <c r="O229" s="54" t="s">
        <v>6266</v>
      </c>
      <c r="P229" s="22" t="s">
        <v>1880</v>
      </c>
      <c r="Q229" s="690" t="s">
        <v>5480</v>
      </c>
      <c r="R229" s="690" t="s">
        <v>5480</v>
      </c>
      <c r="S229" s="24" t="s">
        <v>6417</v>
      </c>
      <c r="T229" s="90" t="s">
        <v>6394</v>
      </c>
      <c r="U229" s="24" t="s">
        <v>110</v>
      </c>
      <c r="V229" s="24">
        <v>1</v>
      </c>
      <c r="W229" s="24" t="s">
        <v>6418</v>
      </c>
      <c r="X229" s="24" t="s">
        <v>6419</v>
      </c>
      <c r="Y229" s="30"/>
      <c r="Z229" s="30">
        <v>30</v>
      </c>
      <c r="AA229" s="30">
        <v>30</v>
      </c>
      <c r="AB229" s="59"/>
      <c r="AC229" s="59"/>
      <c r="AD229" s="35" t="s">
        <v>1104</v>
      </c>
      <c r="AE229" s="202" t="s">
        <v>19</v>
      </c>
      <c r="AF229" s="35" t="s">
        <v>1880</v>
      </c>
      <c r="AG229" s="690"/>
    </row>
    <row r="230" spans="1:33" s="11" customFormat="1" ht="26.25" customHeight="1" x14ac:dyDescent="0.15">
      <c r="A230" s="8">
        <v>226</v>
      </c>
      <c r="B230" s="36" t="s">
        <v>6411</v>
      </c>
      <c r="C230" s="691" t="s">
        <v>111</v>
      </c>
      <c r="D230" s="691" t="s">
        <v>111</v>
      </c>
      <c r="E230" s="691" t="s">
        <v>111</v>
      </c>
      <c r="F230" s="29" t="s">
        <v>2148</v>
      </c>
      <c r="G230" s="53" t="s">
        <v>6420</v>
      </c>
      <c r="H230" s="694" t="s">
        <v>1487</v>
      </c>
      <c r="I230" s="694" t="s">
        <v>1952</v>
      </c>
      <c r="J230" s="694" t="s">
        <v>1953</v>
      </c>
      <c r="K230" s="691" t="s">
        <v>6421</v>
      </c>
      <c r="L230" s="691" t="s">
        <v>1826</v>
      </c>
      <c r="M230" s="691" t="s">
        <v>111</v>
      </c>
      <c r="N230" s="690" t="s">
        <v>1131</v>
      </c>
      <c r="O230" s="54" t="s">
        <v>6266</v>
      </c>
      <c r="P230" s="22" t="s">
        <v>1880</v>
      </c>
      <c r="Q230" s="690" t="s">
        <v>5480</v>
      </c>
      <c r="R230" s="690" t="s">
        <v>5480</v>
      </c>
      <c r="S230" s="24" t="s">
        <v>6417</v>
      </c>
      <c r="T230" s="90" t="s">
        <v>6394</v>
      </c>
      <c r="U230" s="24" t="s">
        <v>110</v>
      </c>
      <c r="V230" s="24">
        <v>1</v>
      </c>
      <c r="W230" s="24" t="s">
        <v>6418</v>
      </c>
      <c r="X230" s="24" t="s">
        <v>6419</v>
      </c>
      <c r="Y230" s="30"/>
      <c r="Z230" s="30">
        <v>30</v>
      </c>
      <c r="AA230" s="30">
        <v>30</v>
      </c>
      <c r="AB230" s="59"/>
      <c r="AC230" s="59"/>
      <c r="AD230" s="35" t="s">
        <v>1104</v>
      </c>
      <c r="AE230" s="202" t="s">
        <v>19</v>
      </c>
      <c r="AF230" s="35" t="s">
        <v>1880</v>
      </c>
      <c r="AG230" s="690"/>
    </row>
    <row r="231" spans="1:33" s="11" customFormat="1" ht="26.25" customHeight="1" x14ac:dyDescent="0.15">
      <c r="A231" s="8">
        <v>227</v>
      </c>
      <c r="B231" s="36" t="s">
        <v>6412</v>
      </c>
      <c r="C231" s="691" t="s">
        <v>111</v>
      </c>
      <c r="D231" s="691" t="s">
        <v>111</v>
      </c>
      <c r="E231" s="691" t="s">
        <v>111</v>
      </c>
      <c r="F231" s="29" t="s">
        <v>1836</v>
      </c>
      <c r="G231" s="53" t="s">
        <v>6422</v>
      </c>
      <c r="H231" s="689" t="s">
        <v>1838</v>
      </c>
      <c r="I231" s="102" t="s">
        <v>1789</v>
      </c>
      <c r="J231" s="37" t="s">
        <v>1839</v>
      </c>
      <c r="K231" s="22" t="s">
        <v>1138</v>
      </c>
      <c r="L231" s="22" t="s">
        <v>1826</v>
      </c>
      <c r="M231" s="691" t="s">
        <v>111</v>
      </c>
      <c r="N231" s="690" t="s">
        <v>1818</v>
      </c>
      <c r="O231" s="54" t="s">
        <v>6423</v>
      </c>
      <c r="P231" s="22" t="s">
        <v>1880</v>
      </c>
      <c r="Q231" s="690" t="s">
        <v>5489</v>
      </c>
      <c r="R231" s="690" t="s">
        <v>5489</v>
      </c>
      <c r="S231" s="24" t="s">
        <v>6417</v>
      </c>
      <c r="T231" s="90" t="s">
        <v>6424</v>
      </c>
      <c r="U231" s="24" t="s">
        <v>110</v>
      </c>
      <c r="V231" s="24">
        <v>1</v>
      </c>
      <c r="W231" s="24" t="s">
        <v>6425</v>
      </c>
      <c r="X231" s="24" t="s">
        <v>6007</v>
      </c>
      <c r="Y231" s="30"/>
      <c r="Z231" s="30">
        <v>3.9</v>
      </c>
      <c r="AA231" s="30">
        <v>3.9</v>
      </c>
      <c r="AB231" s="59"/>
      <c r="AC231" s="59"/>
      <c r="AD231" s="35" t="s">
        <v>1104</v>
      </c>
      <c r="AE231" s="202" t="s">
        <v>19</v>
      </c>
      <c r="AF231" s="35" t="s">
        <v>1880</v>
      </c>
      <c r="AG231" s="690"/>
    </row>
    <row r="232" spans="1:33" s="11" customFormat="1" ht="26.25" customHeight="1" x14ac:dyDescent="0.15">
      <c r="A232" s="8">
        <v>228</v>
      </c>
      <c r="B232" s="36" t="s">
        <v>6413</v>
      </c>
      <c r="C232" s="691" t="s">
        <v>111</v>
      </c>
      <c r="D232" s="691" t="s">
        <v>111</v>
      </c>
      <c r="E232" s="691" t="s">
        <v>111</v>
      </c>
      <c r="F232" s="29" t="s">
        <v>6426</v>
      </c>
      <c r="G232" s="53" t="s">
        <v>6427</v>
      </c>
      <c r="H232" s="689" t="s">
        <v>3649</v>
      </c>
      <c r="I232" s="689" t="s">
        <v>5461</v>
      </c>
      <c r="J232" s="689" t="s">
        <v>4355</v>
      </c>
      <c r="K232" s="22" t="s">
        <v>6428</v>
      </c>
      <c r="L232" s="22" t="s">
        <v>1826</v>
      </c>
      <c r="M232" s="691" t="s">
        <v>111</v>
      </c>
      <c r="N232" s="690" t="s">
        <v>1818</v>
      </c>
      <c r="O232" s="54" t="s">
        <v>116</v>
      </c>
      <c r="P232" s="22" t="s">
        <v>1880</v>
      </c>
      <c r="Q232" s="690" t="s">
        <v>854</v>
      </c>
      <c r="R232" s="690" t="s">
        <v>854</v>
      </c>
      <c r="S232" s="24" t="s">
        <v>6417</v>
      </c>
      <c r="T232" s="90" t="s">
        <v>6429</v>
      </c>
      <c r="U232" s="24" t="s">
        <v>110</v>
      </c>
      <c r="V232" s="24">
        <v>1</v>
      </c>
      <c r="W232" s="24" t="s">
        <v>6430</v>
      </c>
      <c r="X232" s="24" t="s">
        <v>6431</v>
      </c>
      <c r="Y232" s="30"/>
      <c r="Z232" s="30">
        <v>10</v>
      </c>
      <c r="AA232" s="30">
        <v>10</v>
      </c>
      <c r="AB232" s="59"/>
      <c r="AC232" s="59"/>
      <c r="AD232" s="35" t="s">
        <v>1104</v>
      </c>
      <c r="AE232" s="202" t="s">
        <v>19</v>
      </c>
      <c r="AF232" s="35" t="s">
        <v>1880</v>
      </c>
      <c r="AG232" s="690"/>
    </row>
    <row r="233" spans="1:33" s="11" customFormat="1" ht="26.25" customHeight="1" x14ac:dyDescent="0.15">
      <c r="A233" s="8">
        <v>229</v>
      </c>
      <c r="B233" s="36" t="s">
        <v>6414</v>
      </c>
      <c r="C233" s="691" t="s">
        <v>6432</v>
      </c>
      <c r="D233" s="691" t="s">
        <v>111</v>
      </c>
      <c r="E233" s="691" t="s">
        <v>111</v>
      </c>
      <c r="F233" s="29" t="s">
        <v>6433</v>
      </c>
      <c r="G233" s="98" t="s">
        <v>6434</v>
      </c>
      <c r="H233" s="689" t="s">
        <v>5003</v>
      </c>
      <c r="I233" s="689" t="s">
        <v>4728</v>
      </c>
      <c r="J233" s="689" t="s">
        <v>6436</v>
      </c>
      <c r="K233" s="691" t="s">
        <v>6435</v>
      </c>
      <c r="L233" s="22" t="s">
        <v>1826</v>
      </c>
      <c r="M233" s="691" t="s">
        <v>111</v>
      </c>
      <c r="N233" s="690" t="s">
        <v>1818</v>
      </c>
      <c r="O233" s="54" t="s">
        <v>5479</v>
      </c>
      <c r="P233" s="22" t="s">
        <v>1880</v>
      </c>
      <c r="Q233" s="690" t="s">
        <v>854</v>
      </c>
      <c r="R233" s="690" t="s">
        <v>854</v>
      </c>
      <c r="S233" s="24" t="s">
        <v>6417</v>
      </c>
      <c r="T233" s="90" t="s">
        <v>6437</v>
      </c>
      <c r="U233" s="24" t="s">
        <v>110</v>
      </c>
      <c r="V233" s="24">
        <v>1</v>
      </c>
      <c r="W233" s="24" t="s">
        <v>448</v>
      </c>
      <c r="X233" s="24" t="s">
        <v>448</v>
      </c>
      <c r="Y233" s="30">
        <v>10</v>
      </c>
      <c r="Z233" s="30"/>
      <c r="AA233" s="30">
        <v>10</v>
      </c>
      <c r="AB233" s="59"/>
      <c r="AC233" s="59"/>
      <c r="AD233" s="35" t="s">
        <v>1104</v>
      </c>
      <c r="AE233" s="202" t="s">
        <v>19</v>
      </c>
      <c r="AF233" s="35" t="s">
        <v>1880</v>
      </c>
      <c r="AG233" s="690"/>
    </row>
    <row r="234" spans="1:33" s="11" customFormat="1" ht="26.25" customHeight="1" x14ac:dyDescent="0.15">
      <c r="A234" s="8">
        <v>230</v>
      </c>
      <c r="B234" s="36" t="s">
        <v>6415</v>
      </c>
      <c r="C234" s="691" t="s">
        <v>111</v>
      </c>
      <c r="D234" s="691" t="s">
        <v>111</v>
      </c>
      <c r="E234" s="691" t="s">
        <v>111</v>
      </c>
      <c r="F234" s="29" t="s">
        <v>6028</v>
      </c>
      <c r="G234" s="53" t="s">
        <v>6438</v>
      </c>
      <c r="H234" s="689" t="s">
        <v>4195</v>
      </c>
      <c r="I234" s="689" t="s">
        <v>4945</v>
      </c>
      <c r="J234" s="689" t="s">
        <v>4946</v>
      </c>
      <c r="K234" s="22" t="s">
        <v>6439</v>
      </c>
      <c r="L234" s="22" t="s">
        <v>1826</v>
      </c>
      <c r="M234" s="691" t="s">
        <v>111</v>
      </c>
      <c r="N234" s="690" t="s">
        <v>1818</v>
      </c>
      <c r="O234" s="54" t="s">
        <v>116</v>
      </c>
      <c r="P234" s="22" t="s">
        <v>1880</v>
      </c>
      <c r="Q234" s="690" t="s">
        <v>5480</v>
      </c>
      <c r="R234" s="690" t="s">
        <v>5480</v>
      </c>
      <c r="S234" s="24" t="s">
        <v>6417</v>
      </c>
      <c r="T234" s="90" t="s">
        <v>6333</v>
      </c>
      <c r="U234" s="24" t="s">
        <v>110</v>
      </c>
      <c r="V234" s="24">
        <v>1</v>
      </c>
      <c r="W234" s="24" t="s">
        <v>6440</v>
      </c>
      <c r="X234" s="24" t="s">
        <v>6441</v>
      </c>
      <c r="Y234" s="30"/>
      <c r="Z234" s="30">
        <v>9</v>
      </c>
      <c r="AA234" s="30">
        <v>9</v>
      </c>
      <c r="AB234" s="59"/>
      <c r="AC234" s="59"/>
      <c r="AD234" s="35" t="s">
        <v>1104</v>
      </c>
      <c r="AE234" s="202" t="s">
        <v>19</v>
      </c>
      <c r="AF234" s="35" t="s">
        <v>1880</v>
      </c>
      <c r="AG234" s="690"/>
    </row>
    <row r="235" spans="1:33" s="11" customFormat="1" ht="26.25" customHeight="1" x14ac:dyDescent="0.15">
      <c r="A235" s="8">
        <v>231</v>
      </c>
      <c r="B235" s="36" t="s">
        <v>6473</v>
      </c>
      <c r="C235" s="695" t="s">
        <v>111</v>
      </c>
      <c r="D235" s="695" t="s">
        <v>9261</v>
      </c>
      <c r="E235" s="36" t="s">
        <v>6680</v>
      </c>
      <c r="F235" s="29" t="s">
        <v>6446</v>
      </c>
      <c r="G235" s="53" t="s">
        <v>6471</v>
      </c>
      <c r="H235" s="693" t="s">
        <v>4195</v>
      </c>
      <c r="I235" s="693" t="s">
        <v>4750</v>
      </c>
      <c r="J235" s="37" t="s">
        <v>6447</v>
      </c>
      <c r="K235" s="693" t="s">
        <v>4780</v>
      </c>
      <c r="L235" s="22" t="s">
        <v>1826</v>
      </c>
      <c r="M235" s="695" t="s">
        <v>111</v>
      </c>
      <c r="N235" s="692" t="s">
        <v>445</v>
      </c>
      <c r="O235" s="54" t="s">
        <v>6472</v>
      </c>
      <c r="P235" s="22" t="s">
        <v>1880</v>
      </c>
      <c r="Q235" s="692" t="s">
        <v>1894</v>
      </c>
      <c r="R235" s="692" t="s">
        <v>1894</v>
      </c>
      <c r="S235" s="24" t="s">
        <v>6448</v>
      </c>
      <c r="T235" s="90" t="s">
        <v>6448</v>
      </c>
      <c r="U235" s="24" t="s">
        <v>110</v>
      </c>
      <c r="V235" s="24">
        <v>1</v>
      </c>
      <c r="W235" s="24" t="s">
        <v>448</v>
      </c>
      <c r="X235" s="24" t="s">
        <v>448</v>
      </c>
      <c r="Y235" s="30">
        <v>4.45</v>
      </c>
      <c r="Z235" s="30"/>
      <c r="AA235" s="30">
        <v>4.45</v>
      </c>
      <c r="AB235" s="59"/>
      <c r="AC235" s="59"/>
      <c r="AD235" s="35" t="s">
        <v>1104</v>
      </c>
      <c r="AE235" s="202" t="s">
        <v>19</v>
      </c>
      <c r="AF235" s="35" t="s">
        <v>1880</v>
      </c>
      <c r="AG235" s="692"/>
    </row>
    <row r="236" spans="1:33" s="11" customFormat="1" ht="42.75" customHeight="1" x14ac:dyDescent="0.15">
      <c r="A236" s="8">
        <v>232</v>
      </c>
      <c r="B236" s="36" t="s">
        <v>6442</v>
      </c>
      <c r="C236" s="697" t="s">
        <v>111</v>
      </c>
      <c r="D236" s="697" t="s">
        <v>111</v>
      </c>
      <c r="E236" s="697" t="s">
        <v>111</v>
      </c>
      <c r="F236" s="29" t="s">
        <v>6458</v>
      </c>
      <c r="G236" s="53" t="s">
        <v>6459</v>
      </c>
      <c r="H236" s="700" t="s">
        <v>4712</v>
      </c>
      <c r="I236" s="700" t="s">
        <v>4196</v>
      </c>
      <c r="J236" s="37" t="s">
        <v>5637</v>
      </c>
      <c r="K236" s="700" t="s">
        <v>4780</v>
      </c>
      <c r="L236" s="22" t="s">
        <v>1826</v>
      </c>
      <c r="M236" s="700" t="s">
        <v>111</v>
      </c>
      <c r="N236" s="692" t="s">
        <v>1131</v>
      </c>
      <c r="O236" s="54" t="s">
        <v>4753</v>
      </c>
      <c r="P236" s="22" t="s">
        <v>1880</v>
      </c>
      <c r="Q236" s="692" t="s">
        <v>5571</v>
      </c>
      <c r="R236" s="692" t="s">
        <v>5571</v>
      </c>
      <c r="S236" s="24" t="s">
        <v>6463</v>
      </c>
      <c r="T236" s="90" t="s">
        <v>6437</v>
      </c>
      <c r="U236" s="24" t="s">
        <v>110</v>
      </c>
      <c r="V236" s="24">
        <v>2</v>
      </c>
      <c r="W236" s="24" t="s">
        <v>448</v>
      </c>
      <c r="X236" s="24" t="s">
        <v>448</v>
      </c>
      <c r="Y236" s="30">
        <v>3.8</v>
      </c>
      <c r="Z236" s="30"/>
      <c r="AA236" s="30">
        <v>3.8</v>
      </c>
      <c r="AB236" s="59"/>
      <c r="AC236" s="59"/>
      <c r="AD236" s="35" t="s">
        <v>1104</v>
      </c>
      <c r="AE236" s="202" t="s">
        <v>19</v>
      </c>
      <c r="AF236" s="35" t="s">
        <v>1880</v>
      </c>
      <c r="AG236" s="692"/>
    </row>
    <row r="237" spans="1:33" s="11" customFormat="1" ht="26.25" customHeight="1" x14ac:dyDescent="0.15">
      <c r="A237" s="8">
        <v>233</v>
      </c>
      <c r="B237" s="36" t="s">
        <v>6443</v>
      </c>
      <c r="C237" s="697" t="s">
        <v>111</v>
      </c>
      <c r="D237" s="697" t="s">
        <v>111</v>
      </c>
      <c r="E237" s="697" t="s">
        <v>111</v>
      </c>
      <c r="F237" s="29" t="s">
        <v>5640</v>
      </c>
      <c r="G237" s="98" t="s">
        <v>6460</v>
      </c>
      <c r="H237" s="700" t="s">
        <v>4712</v>
      </c>
      <c r="I237" s="700" t="s">
        <v>4196</v>
      </c>
      <c r="J237" s="37" t="s">
        <v>5430</v>
      </c>
      <c r="K237" s="700" t="s">
        <v>4780</v>
      </c>
      <c r="L237" s="22" t="s">
        <v>1826</v>
      </c>
      <c r="M237" s="700" t="s">
        <v>111</v>
      </c>
      <c r="N237" s="699" t="s">
        <v>1131</v>
      </c>
      <c r="O237" s="54" t="s">
        <v>4753</v>
      </c>
      <c r="P237" s="22" t="s">
        <v>1880</v>
      </c>
      <c r="Q237" s="692" t="s">
        <v>5571</v>
      </c>
      <c r="R237" s="692" t="s">
        <v>5571</v>
      </c>
      <c r="S237" s="24" t="s">
        <v>6463</v>
      </c>
      <c r="T237" s="90" t="s">
        <v>6437</v>
      </c>
      <c r="U237" s="24" t="s">
        <v>110</v>
      </c>
      <c r="V237" s="24">
        <v>2</v>
      </c>
      <c r="W237" s="24" t="s">
        <v>448</v>
      </c>
      <c r="X237" s="24" t="s">
        <v>448</v>
      </c>
      <c r="Y237" s="30">
        <v>3.8</v>
      </c>
      <c r="Z237" s="30"/>
      <c r="AA237" s="30">
        <v>3.8</v>
      </c>
      <c r="AB237" s="59"/>
      <c r="AC237" s="59"/>
      <c r="AD237" s="35" t="s">
        <v>1104</v>
      </c>
      <c r="AE237" s="202" t="s">
        <v>19</v>
      </c>
      <c r="AF237" s="35" t="s">
        <v>1880</v>
      </c>
      <c r="AG237" s="692"/>
    </row>
    <row r="238" spans="1:33" s="11" customFormat="1" ht="26.25" customHeight="1" x14ac:dyDescent="0.15">
      <c r="A238" s="8">
        <v>234</v>
      </c>
      <c r="B238" s="36" t="s">
        <v>6444</v>
      </c>
      <c r="C238" s="697" t="s">
        <v>111</v>
      </c>
      <c r="D238" s="697" t="s">
        <v>111</v>
      </c>
      <c r="E238" s="697" t="s">
        <v>111</v>
      </c>
      <c r="F238" s="29" t="s">
        <v>5642</v>
      </c>
      <c r="G238" s="98" t="s">
        <v>6461</v>
      </c>
      <c r="H238" s="700" t="s">
        <v>4712</v>
      </c>
      <c r="I238" s="700" t="s">
        <v>4196</v>
      </c>
      <c r="J238" s="37" t="s">
        <v>5395</v>
      </c>
      <c r="K238" s="700" t="s">
        <v>4780</v>
      </c>
      <c r="L238" s="22" t="s">
        <v>1826</v>
      </c>
      <c r="M238" s="700" t="s">
        <v>111</v>
      </c>
      <c r="N238" s="699" t="s">
        <v>1131</v>
      </c>
      <c r="O238" s="54" t="s">
        <v>4753</v>
      </c>
      <c r="P238" s="22" t="s">
        <v>1880</v>
      </c>
      <c r="Q238" s="699" t="s">
        <v>5571</v>
      </c>
      <c r="R238" s="699" t="s">
        <v>5571</v>
      </c>
      <c r="S238" s="24" t="s">
        <v>6463</v>
      </c>
      <c r="T238" s="90" t="s">
        <v>6437</v>
      </c>
      <c r="U238" s="24" t="s">
        <v>110</v>
      </c>
      <c r="V238" s="24">
        <v>2</v>
      </c>
      <c r="W238" s="24" t="s">
        <v>448</v>
      </c>
      <c r="X238" s="24" t="s">
        <v>448</v>
      </c>
      <c r="Y238" s="30">
        <v>3.8</v>
      </c>
      <c r="Z238" s="30"/>
      <c r="AA238" s="30">
        <v>3.8</v>
      </c>
      <c r="AB238" s="59"/>
      <c r="AC238" s="59"/>
      <c r="AD238" s="35" t="s">
        <v>1104</v>
      </c>
      <c r="AE238" s="202" t="s">
        <v>19</v>
      </c>
      <c r="AF238" s="35" t="s">
        <v>1880</v>
      </c>
      <c r="AG238" s="692"/>
    </row>
    <row r="239" spans="1:33" s="11" customFormat="1" ht="42" customHeight="1" x14ac:dyDescent="0.15">
      <c r="A239" s="8">
        <v>235</v>
      </c>
      <c r="B239" s="36" t="s">
        <v>6445</v>
      </c>
      <c r="C239" s="697" t="s">
        <v>111</v>
      </c>
      <c r="D239" s="697" t="s">
        <v>111</v>
      </c>
      <c r="E239" s="697" t="s">
        <v>111</v>
      </c>
      <c r="F239" s="29" t="s">
        <v>5644</v>
      </c>
      <c r="G239" s="98" t="s">
        <v>6462</v>
      </c>
      <c r="H239" s="700" t="s">
        <v>4712</v>
      </c>
      <c r="I239" s="700" t="s">
        <v>4196</v>
      </c>
      <c r="J239" s="37" t="s">
        <v>5646</v>
      </c>
      <c r="K239" s="700" t="s">
        <v>4780</v>
      </c>
      <c r="L239" s="22" t="s">
        <v>1826</v>
      </c>
      <c r="M239" s="700" t="s">
        <v>111</v>
      </c>
      <c r="N239" s="699" t="s">
        <v>1131</v>
      </c>
      <c r="O239" s="54" t="s">
        <v>4753</v>
      </c>
      <c r="P239" s="22" t="s">
        <v>1880</v>
      </c>
      <c r="Q239" s="699" t="s">
        <v>5571</v>
      </c>
      <c r="R239" s="699" t="s">
        <v>5571</v>
      </c>
      <c r="S239" s="24" t="s">
        <v>6463</v>
      </c>
      <c r="T239" s="90" t="s">
        <v>6437</v>
      </c>
      <c r="U239" s="24" t="s">
        <v>110</v>
      </c>
      <c r="V239" s="24">
        <v>2</v>
      </c>
      <c r="W239" s="24" t="s">
        <v>448</v>
      </c>
      <c r="X239" s="24" t="s">
        <v>448</v>
      </c>
      <c r="Y239" s="30">
        <v>3.8</v>
      </c>
      <c r="Z239" s="30"/>
      <c r="AA239" s="30">
        <v>3.8</v>
      </c>
      <c r="AB239" s="59"/>
      <c r="AC239" s="59"/>
      <c r="AD239" s="35" t="s">
        <v>1104</v>
      </c>
      <c r="AE239" s="202" t="s">
        <v>19</v>
      </c>
      <c r="AF239" s="35" t="s">
        <v>1880</v>
      </c>
      <c r="AG239" s="692"/>
    </row>
    <row r="240" spans="1:33" s="11" customFormat="1" ht="26.25" customHeight="1" x14ac:dyDescent="0.15">
      <c r="A240" s="8">
        <v>236</v>
      </c>
      <c r="B240" s="36" t="s">
        <v>6449</v>
      </c>
      <c r="C240" s="71" t="s">
        <v>6454</v>
      </c>
      <c r="D240" s="697" t="s">
        <v>111</v>
      </c>
      <c r="E240" s="697" t="s">
        <v>111</v>
      </c>
      <c r="F240" s="29" t="s">
        <v>5058</v>
      </c>
      <c r="G240" s="53" t="s">
        <v>6450</v>
      </c>
      <c r="H240" s="697" t="s">
        <v>3649</v>
      </c>
      <c r="I240" s="697" t="s">
        <v>6451</v>
      </c>
      <c r="J240" s="37" t="s">
        <v>6452</v>
      </c>
      <c r="K240" s="22" t="s">
        <v>4780</v>
      </c>
      <c r="L240" s="22" t="s">
        <v>1826</v>
      </c>
      <c r="M240" s="697" t="s">
        <v>111</v>
      </c>
      <c r="N240" s="696" t="s">
        <v>445</v>
      </c>
      <c r="O240" s="54" t="s">
        <v>6453</v>
      </c>
      <c r="P240" s="22" t="s">
        <v>1880</v>
      </c>
      <c r="Q240" s="692" t="s">
        <v>1774</v>
      </c>
      <c r="R240" s="696" t="s">
        <v>1774</v>
      </c>
      <c r="S240" s="24" t="s">
        <v>6253</v>
      </c>
      <c r="T240" s="90" t="s">
        <v>6127</v>
      </c>
      <c r="U240" s="24" t="s">
        <v>110</v>
      </c>
      <c r="V240" s="24">
        <v>2</v>
      </c>
      <c r="W240" s="24" t="s">
        <v>448</v>
      </c>
      <c r="X240" s="24" t="s">
        <v>448</v>
      </c>
      <c r="Y240" s="30">
        <v>14.9</v>
      </c>
      <c r="Z240" s="30"/>
      <c r="AA240" s="30">
        <v>14.9</v>
      </c>
      <c r="AB240" s="59"/>
      <c r="AC240" s="59"/>
      <c r="AD240" s="35" t="s">
        <v>1104</v>
      </c>
      <c r="AE240" s="202" t="s">
        <v>19</v>
      </c>
      <c r="AF240" s="35" t="s">
        <v>1880</v>
      </c>
      <c r="AG240" s="692" t="s">
        <v>8502</v>
      </c>
    </row>
    <row r="241" spans="1:33" s="11" customFormat="1" ht="26.25" customHeight="1" x14ac:dyDescent="0.15">
      <c r="A241" s="8">
        <v>237</v>
      </c>
      <c r="B241" s="36" t="s">
        <v>6464</v>
      </c>
      <c r="C241" s="700" t="s">
        <v>111</v>
      </c>
      <c r="D241" s="700" t="s">
        <v>111</v>
      </c>
      <c r="E241" s="700" t="s">
        <v>111</v>
      </c>
      <c r="F241" s="29" t="s">
        <v>848</v>
      </c>
      <c r="G241" s="26" t="s">
        <v>5163</v>
      </c>
      <c r="H241" s="698" t="s">
        <v>2032</v>
      </c>
      <c r="I241" s="102" t="s">
        <v>819</v>
      </c>
      <c r="J241" s="37" t="s">
        <v>1129</v>
      </c>
      <c r="K241" s="22" t="s">
        <v>856</v>
      </c>
      <c r="L241" s="22" t="s">
        <v>1826</v>
      </c>
      <c r="M241" s="22" t="s">
        <v>1880</v>
      </c>
      <c r="N241" s="699" t="s">
        <v>102</v>
      </c>
      <c r="O241" s="54" t="s">
        <v>2423</v>
      </c>
      <c r="P241" s="22" t="s">
        <v>1880</v>
      </c>
      <c r="Q241" s="699" t="s">
        <v>446</v>
      </c>
      <c r="R241" s="699" t="s">
        <v>446</v>
      </c>
      <c r="S241" s="24" t="s">
        <v>6468</v>
      </c>
      <c r="T241" s="90" t="s">
        <v>6469</v>
      </c>
      <c r="U241" s="700" t="s">
        <v>2359</v>
      </c>
      <c r="V241" s="700">
        <v>1</v>
      </c>
      <c r="W241" s="24" t="s">
        <v>6425</v>
      </c>
      <c r="X241" s="24" t="s">
        <v>6470</v>
      </c>
      <c r="Y241" s="30"/>
      <c r="Z241" s="30">
        <v>30</v>
      </c>
      <c r="AA241" s="30">
        <f>Y241+Z241</f>
        <v>30</v>
      </c>
      <c r="AB241" s="59"/>
      <c r="AC241" s="59"/>
      <c r="AD241" s="35" t="s">
        <v>1104</v>
      </c>
      <c r="AE241" s="202" t="s">
        <v>19</v>
      </c>
      <c r="AF241" s="35" t="s">
        <v>1880</v>
      </c>
      <c r="AG241" s="699"/>
    </row>
    <row r="242" spans="1:33" s="11" customFormat="1" ht="26.25" customHeight="1" x14ac:dyDescent="0.15">
      <c r="A242" s="8">
        <v>238</v>
      </c>
      <c r="B242" s="36" t="s">
        <v>6465</v>
      </c>
      <c r="C242" s="700" t="s">
        <v>111</v>
      </c>
      <c r="D242" s="700" t="s">
        <v>111</v>
      </c>
      <c r="E242" s="700" t="s">
        <v>111</v>
      </c>
      <c r="F242" s="29" t="s">
        <v>268</v>
      </c>
      <c r="G242" s="26" t="s">
        <v>5164</v>
      </c>
      <c r="H242" s="698" t="s">
        <v>2032</v>
      </c>
      <c r="I242" s="698" t="s">
        <v>270</v>
      </c>
      <c r="J242" s="21" t="s">
        <v>610</v>
      </c>
      <c r="K242" s="21" t="s">
        <v>609</v>
      </c>
      <c r="L242" s="22" t="s">
        <v>1826</v>
      </c>
      <c r="M242" s="22" t="s">
        <v>1880</v>
      </c>
      <c r="N242" s="699" t="s">
        <v>102</v>
      </c>
      <c r="O242" s="54" t="s">
        <v>2423</v>
      </c>
      <c r="P242" s="22" t="s">
        <v>1880</v>
      </c>
      <c r="Q242" s="21" t="s">
        <v>226</v>
      </c>
      <c r="R242" s="21" t="s">
        <v>226</v>
      </c>
      <c r="S242" s="24" t="s">
        <v>6468</v>
      </c>
      <c r="T242" s="90" t="s">
        <v>6407</v>
      </c>
      <c r="U242" s="700" t="s">
        <v>2359</v>
      </c>
      <c r="V242" s="700">
        <v>1</v>
      </c>
      <c r="W242" s="24" t="s">
        <v>6425</v>
      </c>
      <c r="X242" s="24" t="s">
        <v>6470</v>
      </c>
      <c r="Y242" s="30"/>
      <c r="Z242" s="30">
        <v>21</v>
      </c>
      <c r="AA242" s="30">
        <f>Y242+Z242</f>
        <v>21</v>
      </c>
      <c r="AB242" s="59"/>
      <c r="AC242" s="59"/>
      <c r="AD242" s="35" t="s">
        <v>1104</v>
      </c>
      <c r="AE242" s="202" t="s">
        <v>19</v>
      </c>
      <c r="AF242" s="35" t="s">
        <v>1880</v>
      </c>
      <c r="AG242" s="699"/>
    </row>
    <row r="243" spans="1:33" s="11" customFormat="1" ht="26.25" customHeight="1" x14ac:dyDescent="0.15">
      <c r="A243" s="8">
        <v>239</v>
      </c>
      <c r="B243" s="36" t="s">
        <v>6466</v>
      </c>
      <c r="C243" s="700" t="s">
        <v>111</v>
      </c>
      <c r="D243" s="700" t="s">
        <v>111</v>
      </c>
      <c r="E243" s="700" t="s">
        <v>111</v>
      </c>
      <c r="F243" s="54" t="s">
        <v>3113</v>
      </c>
      <c r="G243" s="26" t="s">
        <v>5165</v>
      </c>
      <c r="H243" s="698" t="s">
        <v>2032</v>
      </c>
      <c r="I243" s="698" t="s">
        <v>2031</v>
      </c>
      <c r="J243" s="699" t="s">
        <v>2039</v>
      </c>
      <c r="K243" s="699" t="s">
        <v>2038</v>
      </c>
      <c r="L243" s="22" t="s">
        <v>1826</v>
      </c>
      <c r="M243" s="22" t="s">
        <v>1880</v>
      </c>
      <c r="N243" s="699" t="s">
        <v>102</v>
      </c>
      <c r="O243" s="54" t="s">
        <v>2423</v>
      </c>
      <c r="P243" s="22" t="s">
        <v>1880</v>
      </c>
      <c r="Q243" s="21" t="s">
        <v>226</v>
      </c>
      <c r="R243" s="21" t="s">
        <v>226</v>
      </c>
      <c r="S243" s="24" t="s">
        <v>6468</v>
      </c>
      <c r="T243" s="90" t="s">
        <v>6407</v>
      </c>
      <c r="U243" s="700" t="s">
        <v>2359</v>
      </c>
      <c r="V243" s="700">
        <v>1</v>
      </c>
      <c r="W243" s="24" t="s">
        <v>6425</v>
      </c>
      <c r="X243" s="24" t="s">
        <v>6470</v>
      </c>
      <c r="Y243" s="30"/>
      <c r="Z243" s="30">
        <v>21</v>
      </c>
      <c r="AA243" s="30">
        <f>Y243+Z243</f>
        <v>21</v>
      </c>
      <c r="AB243" s="59"/>
      <c r="AC243" s="59"/>
      <c r="AD243" s="35" t="s">
        <v>1104</v>
      </c>
      <c r="AE243" s="202" t="s">
        <v>19</v>
      </c>
      <c r="AF243" s="35" t="s">
        <v>1880</v>
      </c>
      <c r="AG243" s="699"/>
    </row>
    <row r="244" spans="1:33" s="11" customFormat="1" ht="26.25" customHeight="1" x14ac:dyDescent="0.15">
      <c r="A244" s="8">
        <v>240</v>
      </c>
      <c r="B244" s="36" t="s">
        <v>6467</v>
      </c>
      <c r="C244" s="700" t="s">
        <v>111</v>
      </c>
      <c r="D244" s="700" t="s">
        <v>111</v>
      </c>
      <c r="E244" s="700" t="s">
        <v>111</v>
      </c>
      <c r="F244" s="54" t="s">
        <v>2037</v>
      </c>
      <c r="G244" s="26" t="s">
        <v>5166</v>
      </c>
      <c r="H244" s="698" t="s">
        <v>2032</v>
      </c>
      <c r="I244" s="698" t="s">
        <v>2031</v>
      </c>
      <c r="J244" s="699" t="s">
        <v>2041</v>
      </c>
      <c r="K244" s="699" t="s">
        <v>2040</v>
      </c>
      <c r="L244" s="22" t="s">
        <v>1826</v>
      </c>
      <c r="M244" s="22" t="s">
        <v>1880</v>
      </c>
      <c r="N244" s="699" t="s">
        <v>102</v>
      </c>
      <c r="O244" s="54" t="s">
        <v>2423</v>
      </c>
      <c r="P244" s="22" t="s">
        <v>1880</v>
      </c>
      <c r="Q244" s="21" t="s">
        <v>226</v>
      </c>
      <c r="R244" s="21" t="s">
        <v>226</v>
      </c>
      <c r="S244" s="24" t="s">
        <v>6468</v>
      </c>
      <c r="T244" s="90" t="s">
        <v>6469</v>
      </c>
      <c r="U244" s="700" t="s">
        <v>2359</v>
      </c>
      <c r="V244" s="700">
        <v>1</v>
      </c>
      <c r="W244" s="24" t="s">
        <v>6425</v>
      </c>
      <c r="X244" s="24" t="s">
        <v>6470</v>
      </c>
      <c r="Y244" s="30"/>
      <c r="Z244" s="30">
        <v>21</v>
      </c>
      <c r="AA244" s="30">
        <f>Y244+Z244</f>
        <v>21</v>
      </c>
      <c r="AB244" s="59"/>
      <c r="AC244" s="59"/>
      <c r="AD244" s="35" t="s">
        <v>1104</v>
      </c>
      <c r="AE244" s="202" t="s">
        <v>19</v>
      </c>
      <c r="AF244" s="35" t="s">
        <v>1880</v>
      </c>
      <c r="AG244" s="692"/>
    </row>
    <row r="245" spans="1:33" s="11" customFormat="1" ht="46.5" customHeight="1" x14ac:dyDescent="0.15">
      <c r="A245" s="8">
        <v>241</v>
      </c>
      <c r="B245" s="36" t="s">
        <v>6477</v>
      </c>
      <c r="C245" s="71" t="s">
        <v>6474</v>
      </c>
      <c r="D245" s="704" t="s">
        <v>111</v>
      </c>
      <c r="E245" s="704" t="s">
        <v>111</v>
      </c>
      <c r="F245" s="29" t="s">
        <v>2148</v>
      </c>
      <c r="G245" s="98" t="s">
        <v>6475</v>
      </c>
      <c r="H245" s="691" t="s">
        <v>4712</v>
      </c>
      <c r="I245" s="691" t="s">
        <v>5383</v>
      </c>
      <c r="J245" s="37" t="s">
        <v>5384</v>
      </c>
      <c r="K245" s="691" t="s">
        <v>6421</v>
      </c>
      <c r="L245" s="22" t="s">
        <v>1826</v>
      </c>
      <c r="M245" s="22" t="s">
        <v>1880</v>
      </c>
      <c r="N245" s="703" t="s">
        <v>102</v>
      </c>
      <c r="O245" s="54" t="s">
        <v>6476</v>
      </c>
      <c r="P245" s="22" t="s">
        <v>1880</v>
      </c>
      <c r="Q245" s="690" t="s">
        <v>5480</v>
      </c>
      <c r="R245" s="690" t="s">
        <v>5480</v>
      </c>
      <c r="S245" s="24" t="s">
        <v>5162</v>
      </c>
      <c r="T245" s="90" t="s">
        <v>6437</v>
      </c>
      <c r="U245" s="704" t="s">
        <v>2359</v>
      </c>
      <c r="V245" s="704">
        <v>1</v>
      </c>
      <c r="W245" s="24" t="s">
        <v>448</v>
      </c>
      <c r="X245" s="24" t="s">
        <v>448</v>
      </c>
      <c r="Y245" s="30">
        <v>25</v>
      </c>
      <c r="Z245" s="30"/>
      <c r="AA245" s="30">
        <v>25</v>
      </c>
      <c r="AB245" s="59"/>
      <c r="AC245" s="59"/>
      <c r="AD245" s="35" t="s">
        <v>1104</v>
      </c>
      <c r="AE245" s="202" t="s">
        <v>19</v>
      </c>
      <c r="AF245" s="35" t="s">
        <v>1880</v>
      </c>
      <c r="AG245" s="690"/>
    </row>
    <row r="246" spans="1:33" s="11" customFormat="1" ht="26.25" customHeight="1" x14ac:dyDescent="0.15">
      <c r="A246" s="8">
        <v>242</v>
      </c>
      <c r="B246" s="8"/>
      <c r="C246" s="691"/>
      <c r="D246" s="691"/>
      <c r="E246" s="691"/>
      <c r="F246" s="29"/>
      <c r="G246" s="53"/>
      <c r="H246" s="689"/>
      <c r="I246" s="689"/>
      <c r="J246" s="689"/>
      <c r="K246" s="22"/>
      <c r="L246" s="22"/>
      <c r="M246" s="691"/>
      <c r="N246" s="690"/>
      <c r="O246" s="54"/>
      <c r="P246" s="71"/>
      <c r="Q246" s="690"/>
      <c r="R246" s="690"/>
      <c r="S246" s="24"/>
      <c r="T246" s="90"/>
      <c r="U246" s="24"/>
      <c r="V246" s="24"/>
      <c r="W246" s="24"/>
      <c r="X246" s="24"/>
      <c r="Y246" s="30"/>
      <c r="Z246" s="30"/>
      <c r="AA246" s="30"/>
      <c r="AB246" s="59"/>
      <c r="AC246" s="59"/>
      <c r="AD246" s="35"/>
      <c r="AE246" s="202"/>
      <c r="AF246" s="35"/>
      <c r="AG246" s="690"/>
    </row>
    <row r="247" spans="1:33" s="11" customFormat="1" ht="26.25" customHeight="1" x14ac:dyDescent="0.15">
      <c r="A247" s="8">
        <v>243</v>
      </c>
      <c r="B247" s="36"/>
      <c r="C247" s="688"/>
      <c r="D247" s="688"/>
      <c r="E247" s="688"/>
      <c r="F247" s="29"/>
      <c r="G247" s="98"/>
      <c r="H247" s="688"/>
      <c r="I247" s="688"/>
      <c r="J247" s="37"/>
      <c r="K247" s="688"/>
      <c r="L247" s="688"/>
      <c r="M247" s="688"/>
      <c r="N247" s="687"/>
      <c r="O247" s="54"/>
      <c r="P247" s="71"/>
      <c r="Q247" s="687"/>
      <c r="R247" s="687"/>
      <c r="S247" s="24"/>
      <c r="T247" s="90"/>
      <c r="U247" s="24"/>
      <c r="V247" s="24"/>
      <c r="W247" s="24"/>
      <c r="X247" s="24"/>
      <c r="Y247" s="30"/>
      <c r="Z247" s="30"/>
      <c r="AA247" s="30"/>
      <c r="AB247" s="59"/>
      <c r="AC247" s="59"/>
      <c r="AD247" s="35"/>
      <c r="AE247" s="202"/>
      <c r="AF247" s="35"/>
      <c r="AG247" s="687"/>
    </row>
    <row r="248" spans="1:33" s="11" customFormat="1" ht="26.25" customHeight="1" x14ac:dyDescent="0.15">
      <c r="A248" s="8"/>
      <c r="B248" s="36"/>
      <c r="C248" s="26"/>
      <c r="D248" s="26"/>
      <c r="E248" s="26"/>
      <c r="F248" s="29"/>
      <c r="G248" s="53"/>
      <c r="H248" s="417"/>
      <c r="I248" s="1"/>
      <c r="J248" s="37"/>
      <c r="K248" s="22"/>
      <c r="L248" s="22"/>
      <c r="M248" s="22"/>
      <c r="N248" s="418"/>
      <c r="O248" s="54"/>
      <c r="P248" s="22"/>
      <c r="Q248" s="418"/>
      <c r="R248" s="418"/>
      <c r="S248" s="24"/>
      <c r="T248" s="90"/>
      <c r="U248" s="146" t="s">
        <v>3144</v>
      </c>
      <c r="V248" s="146"/>
      <c r="W248" s="146"/>
      <c r="X248" s="146"/>
      <c r="Y248" s="148">
        <f>SUM(Y3:Y247)</f>
        <v>1928.7588000000005</v>
      </c>
      <c r="Z248" s="148">
        <f>SUM(Z3:Z247)</f>
        <v>1421.6499999999987</v>
      </c>
      <c r="AA248" s="148">
        <f>SUM(AA3:AA247)</f>
        <v>3350.4087999999983</v>
      </c>
      <c r="AB248" s="702"/>
      <c r="AC248" s="702"/>
      <c r="AD248" s="35"/>
      <c r="AE248" s="35"/>
      <c r="AF248" s="35"/>
      <c r="AG248" s="418"/>
    </row>
    <row r="249" spans="1:33" x14ac:dyDescent="0.15">
      <c r="C249" t="s">
        <v>4680</v>
      </c>
    </row>
  </sheetData>
  <autoFilter ref="A2:AG249" xr:uid="{00000000-0009-0000-0000-000002000000}"/>
  <mergeCells count="2">
    <mergeCell ref="A1:AF1"/>
    <mergeCell ref="AG20:AG21"/>
  </mergeCells>
  <phoneticPr fontId="1"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12"/>
  <sheetViews>
    <sheetView zoomScaleNormal="100" workbookViewId="0">
      <pane xSplit="2" ySplit="2" topLeftCell="C128" activePane="bottomRight" state="frozen"/>
      <selection pane="topRight" activeCell="C1" sqref="C1"/>
      <selection pane="bottomLeft" activeCell="A3" sqref="A3"/>
      <selection pane="bottomRight" activeCell="K136" sqref="K13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6.2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8" width="10.875" customWidth="1"/>
    <col min="29" max="29" width="13.75" customWidth="1"/>
    <col min="31" max="31" width="37.875" customWidth="1"/>
  </cols>
  <sheetData>
    <row r="1" spans="1:31" s="3" customFormat="1" ht="33" customHeight="1" x14ac:dyDescent="0.15">
      <c r="A1" s="1953" t="s">
        <v>4350</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1" s="4" customFormat="1" ht="27.95" customHeight="1" x14ac:dyDescent="0.15">
      <c r="A2" s="25" t="s">
        <v>0</v>
      </c>
      <c r="B2" s="25" t="s">
        <v>1</v>
      </c>
      <c r="C2" s="25" t="s">
        <v>2</v>
      </c>
      <c r="D2" s="25" t="s">
        <v>3</v>
      </c>
      <c r="E2" s="25" t="s">
        <v>958</v>
      </c>
      <c r="F2" s="25" t="s">
        <v>4</v>
      </c>
      <c r="G2" s="25" t="s">
        <v>5</v>
      </c>
      <c r="H2" s="25" t="s">
        <v>7</v>
      </c>
      <c r="I2" s="25" t="s">
        <v>6</v>
      </c>
      <c r="J2" s="25" t="s">
        <v>419</v>
      </c>
      <c r="K2" s="25" t="s">
        <v>420</v>
      </c>
      <c r="L2" s="25" t="s">
        <v>1825</v>
      </c>
      <c r="M2" s="25" t="s">
        <v>1857</v>
      </c>
      <c r="N2" s="25" t="s">
        <v>10</v>
      </c>
      <c r="O2" s="25" t="s">
        <v>8</v>
      </c>
      <c r="P2" s="25" t="s">
        <v>9</v>
      </c>
      <c r="Q2" s="25" t="s">
        <v>3342</v>
      </c>
      <c r="R2" s="25" t="s">
        <v>3343</v>
      </c>
      <c r="S2" s="25" t="s">
        <v>2126</v>
      </c>
      <c r="T2" s="49" t="s">
        <v>2127</v>
      </c>
      <c r="U2" s="32" t="s">
        <v>14</v>
      </c>
      <c r="V2" s="32" t="s">
        <v>13</v>
      </c>
      <c r="W2" s="25" t="s">
        <v>11</v>
      </c>
      <c r="X2" s="25" t="s">
        <v>12</v>
      </c>
      <c r="Y2" s="134" t="s">
        <v>429</v>
      </c>
      <c r="Z2" s="134" t="s">
        <v>2183</v>
      </c>
      <c r="AA2" s="134" t="s">
        <v>431</v>
      </c>
      <c r="AB2" s="25" t="s">
        <v>2124</v>
      </c>
      <c r="AC2" s="25" t="s">
        <v>2123</v>
      </c>
      <c r="AD2" s="25" t="s">
        <v>2125</v>
      </c>
      <c r="AE2" s="25" t="s">
        <v>3252</v>
      </c>
    </row>
    <row r="3" spans="1:31" s="11" customFormat="1" ht="26.25" customHeight="1" x14ac:dyDescent="0.15">
      <c r="A3" s="8">
        <v>1</v>
      </c>
      <c r="B3" s="36" t="s">
        <v>4585</v>
      </c>
      <c r="C3" s="26" t="s">
        <v>19</v>
      </c>
      <c r="D3" s="26" t="s">
        <v>19</v>
      </c>
      <c r="E3" s="26" t="s">
        <v>19</v>
      </c>
      <c r="F3" s="149" t="s">
        <v>845</v>
      </c>
      <c r="G3" s="26" t="s">
        <v>19</v>
      </c>
      <c r="H3" s="18" t="s">
        <v>1829</v>
      </c>
      <c r="I3" s="142" t="s">
        <v>849</v>
      </c>
      <c r="J3" s="21" t="s">
        <v>852</v>
      </c>
      <c r="K3" s="22" t="s">
        <v>855</v>
      </c>
      <c r="L3" s="22" t="s">
        <v>1826</v>
      </c>
      <c r="M3" s="22" t="s">
        <v>1880</v>
      </c>
      <c r="N3" s="9" t="s">
        <v>102</v>
      </c>
      <c r="O3" s="54" t="s">
        <v>851</v>
      </c>
      <c r="P3" s="22" t="s">
        <v>1880</v>
      </c>
      <c r="Q3" s="9" t="s">
        <v>854</v>
      </c>
      <c r="R3" s="9" t="s">
        <v>854</v>
      </c>
      <c r="S3" s="24" t="s">
        <v>111</v>
      </c>
      <c r="T3" s="90" t="s">
        <v>111</v>
      </c>
      <c r="U3" s="24" t="s">
        <v>111</v>
      </c>
      <c r="V3" s="24" t="s">
        <v>1880</v>
      </c>
      <c r="W3" s="24" t="s">
        <v>4586</v>
      </c>
      <c r="X3" s="24" t="s">
        <v>3426</v>
      </c>
      <c r="Y3" s="30"/>
      <c r="Z3" s="30">
        <v>12</v>
      </c>
      <c r="AA3" s="30">
        <f>Y3+Z3</f>
        <v>12</v>
      </c>
      <c r="AB3" s="35" t="s">
        <v>1104</v>
      </c>
      <c r="AC3" s="202" t="s">
        <v>19</v>
      </c>
      <c r="AD3" s="35" t="s">
        <v>1880</v>
      </c>
      <c r="AE3" s="9" t="s">
        <v>5193</v>
      </c>
    </row>
    <row r="4" spans="1:31" s="11" customFormat="1" ht="26.25" customHeight="1" x14ac:dyDescent="0.15">
      <c r="A4" s="8">
        <v>2</v>
      </c>
      <c r="B4" s="36" t="s">
        <v>4994</v>
      </c>
      <c r="C4" s="26" t="s">
        <v>19</v>
      </c>
      <c r="D4" s="26" t="s">
        <v>19</v>
      </c>
      <c r="E4" s="26" t="s">
        <v>19</v>
      </c>
      <c r="F4" s="54" t="s">
        <v>1874</v>
      </c>
      <c r="G4" s="26" t="s">
        <v>19</v>
      </c>
      <c r="H4" s="284" t="s">
        <v>1864</v>
      </c>
      <c r="I4" s="284" t="s">
        <v>1866</v>
      </c>
      <c r="J4" s="285" t="s">
        <v>1865</v>
      </c>
      <c r="K4" s="285" t="s">
        <v>1138</v>
      </c>
      <c r="L4" s="22" t="s">
        <v>1826</v>
      </c>
      <c r="M4" s="22" t="s">
        <v>1880</v>
      </c>
      <c r="N4" s="285" t="s">
        <v>102</v>
      </c>
      <c r="O4" s="54" t="s">
        <v>851</v>
      </c>
      <c r="P4" s="22" t="s">
        <v>1880</v>
      </c>
      <c r="Q4" s="21" t="s">
        <v>226</v>
      </c>
      <c r="R4" s="21" t="s">
        <v>226</v>
      </c>
      <c r="S4" s="24" t="s">
        <v>111</v>
      </c>
      <c r="T4" s="90" t="s">
        <v>5290</v>
      </c>
      <c r="U4" s="24" t="s">
        <v>111</v>
      </c>
      <c r="V4" s="24" t="s">
        <v>111</v>
      </c>
      <c r="W4" s="24" t="s">
        <v>4995</v>
      </c>
      <c r="X4" s="24" t="s">
        <v>4996</v>
      </c>
      <c r="Y4" s="30"/>
      <c r="Z4" s="30">
        <v>9</v>
      </c>
      <c r="AA4" s="30">
        <f>Y4+Z4</f>
        <v>9</v>
      </c>
      <c r="AB4" s="35" t="s">
        <v>1104</v>
      </c>
      <c r="AC4" s="202" t="s">
        <v>19</v>
      </c>
      <c r="AD4" s="35" t="s">
        <v>1880</v>
      </c>
      <c r="AE4" s="285" t="s">
        <v>5192</v>
      </c>
    </row>
    <row r="5" spans="1:31" s="11" customFormat="1" ht="26.25" customHeight="1" x14ac:dyDescent="0.15">
      <c r="A5" s="8">
        <v>3</v>
      </c>
      <c r="B5" s="36" t="s">
        <v>4351</v>
      </c>
      <c r="C5" s="26" t="s">
        <v>4352</v>
      </c>
      <c r="D5" s="26" t="s">
        <v>4352</v>
      </c>
      <c r="E5" s="26" t="s">
        <v>4352</v>
      </c>
      <c r="F5" s="29" t="s">
        <v>4353</v>
      </c>
      <c r="G5" s="53" t="s">
        <v>4354</v>
      </c>
      <c r="H5" s="18" t="s">
        <v>1829</v>
      </c>
      <c r="I5" s="142" t="s">
        <v>4356</v>
      </c>
      <c r="J5" s="21" t="s">
        <v>4355</v>
      </c>
      <c r="K5" s="22" t="s">
        <v>4357</v>
      </c>
      <c r="L5" s="22" t="s">
        <v>4358</v>
      </c>
      <c r="M5" s="22" t="s">
        <v>4352</v>
      </c>
      <c r="N5" s="9" t="s">
        <v>4359</v>
      </c>
      <c r="O5" s="54" t="s">
        <v>4360</v>
      </c>
      <c r="P5" s="22" t="s">
        <v>4352</v>
      </c>
      <c r="Q5" s="9" t="s">
        <v>4361</v>
      </c>
      <c r="R5" s="9" t="s">
        <v>4361</v>
      </c>
      <c r="S5" s="24" t="s">
        <v>4362</v>
      </c>
      <c r="T5" s="90" t="s">
        <v>4363</v>
      </c>
      <c r="U5" s="24" t="s">
        <v>4364</v>
      </c>
      <c r="V5" s="24">
        <v>1</v>
      </c>
      <c r="W5" s="24" t="s">
        <v>4365</v>
      </c>
      <c r="X5" s="24" t="s">
        <v>4366</v>
      </c>
      <c r="Y5" s="30"/>
      <c r="Z5" s="30">
        <v>10</v>
      </c>
      <c r="AA5" s="30">
        <v>10</v>
      </c>
      <c r="AB5" s="35" t="s">
        <v>4367</v>
      </c>
      <c r="AC5" s="202" t="s">
        <v>4352</v>
      </c>
      <c r="AD5" s="22" t="s">
        <v>4352</v>
      </c>
      <c r="AE5" s="9"/>
    </row>
    <row r="6" spans="1:31" s="364" customFormat="1" ht="26.25" customHeight="1" x14ac:dyDescent="0.15">
      <c r="A6" s="8">
        <v>4</v>
      </c>
      <c r="B6" s="218" t="s">
        <v>4369</v>
      </c>
      <c r="C6" s="82" t="s">
        <v>111</v>
      </c>
      <c r="D6" s="82" t="s">
        <v>111</v>
      </c>
      <c r="E6" s="82" t="s">
        <v>111</v>
      </c>
      <c r="F6" s="205" t="s">
        <v>3694</v>
      </c>
      <c r="G6" s="99" t="s">
        <v>3937</v>
      </c>
      <c r="H6" s="83" t="s">
        <v>1457</v>
      </c>
      <c r="I6" s="83" t="s">
        <v>151</v>
      </c>
      <c r="J6" s="71" t="s">
        <v>4057</v>
      </c>
      <c r="K6" s="82" t="s">
        <v>4059</v>
      </c>
      <c r="L6" s="82" t="s">
        <v>1826</v>
      </c>
      <c r="M6" s="82" t="s">
        <v>111</v>
      </c>
      <c r="N6" s="82" t="s">
        <v>1818</v>
      </c>
      <c r="O6" s="205" t="s">
        <v>3994</v>
      </c>
      <c r="P6" s="71" t="s">
        <v>19</v>
      </c>
      <c r="Q6" s="82" t="s">
        <v>2348</v>
      </c>
      <c r="R6" s="82" t="s">
        <v>2348</v>
      </c>
      <c r="S6" s="82" t="s">
        <v>4382</v>
      </c>
      <c r="T6" s="271" t="s">
        <v>1880</v>
      </c>
      <c r="U6" s="82" t="s">
        <v>1880</v>
      </c>
      <c r="V6" s="82" t="s">
        <v>1880</v>
      </c>
      <c r="W6" s="82" t="s">
        <v>4370</v>
      </c>
      <c r="X6" s="82" t="s">
        <v>1843</v>
      </c>
      <c r="Y6" s="208"/>
      <c r="Z6" s="208">
        <v>2.5</v>
      </c>
      <c r="AA6" s="208">
        <v>2.5</v>
      </c>
      <c r="AB6" s="133" t="s">
        <v>1104</v>
      </c>
      <c r="AC6" s="133" t="s">
        <v>1880</v>
      </c>
      <c r="AD6" s="133" t="s">
        <v>1880</v>
      </c>
      <c r="AE6" s="82"/>
    </row>
    <row r="7" spans="1:31" s="11" customFormat="1" ht="26.25" customHeight="1" x14ac:dyDescent="0.15">
      <c r="A7" s="8">
        <v>5</v>
      </c>
      <c r="B7" s="8" t="s">
        <v>4373</v>
      </c>
      <c r="C7" s="40" t="s">
        <v>111</v>
      </c>
      <c r="D7" s="40" t="s">
        <v>111</v>
      </c>
      <c r="E7" s="40" t="s">
        <v>111</v>
      </c>
      <c r="F7" s="29" t="s">
        <v>1836</v>
      </c>
      <c r="G7" s="53" t="s">
        <v>4387</v>
      </c>
      <c r="H7" s="20" t="s">
        <v>4374</v>
      </c>
      <c r="I7" s="102" t="s">
        <v>4375</v>
      </c>
      <c r="J7" s="37" t="s">
        <v>4376</v>
      </c>
      <c r="K7" s="22" t="s">
        <v>4377</v>
      </c>
      <c r="L7" s="22" t="s">
        <v>4378</v>
      </c>
      <c r="M7" s="40" t="s">
        <v>111</v>
      </c>
      <c r="N7" s="9" t="s">
        <v>4379</v>
      </c>
      <c r="O7" s="54" t="s">
        <v>4380</v>
      </c>
      <c r="P7" s="71" t="s">
        <v>19</v>
      </c>
      <c r="Q7" s="82" t="s">
        <v>3591</v>
      </c>
      <c r="R7" s="9" t="s">
        <v>4381</v>
      </c>
      <c r="S7" s="24" t="s">
        <v>4382</v>
      </c>
      <c r="T7" s="90" t="s">
        <v>4383</v>
      </c>
      <c r="U7" s="24" t="s">
        <v>4384</v>
      </c>
      <c r="V7" s="24">
        <v>1</v>
      </c>
      <c r="W7" s="24" t="s">
        <v>4385</v>
      </c>
      <c r="X7" s="24" t="s">
        <v>4386</v>
      </c>
      <c r="Y7" s="30"/>
      <c r="Z7" s="30">
        <v>8.8000000000000007</v>
      </c>
      <c r="AA7" s="30">
        <v>8.8000000000000007</v>
      </c>
      <c r="AB7" s="35" t="s">
        <v>1104</v>
      </c>
      <c r="AC7" s="202" t="s">
        <v>1880</v>
      </c>
      <c r="AD7" s="35" t="s">
        <v>1880</v>
      </c>
      <c r="AE7" s="9"/>
    </row>
    <row r="8" spans="1:31" s="11" customFormat="1" ht="26.25" customHeight="1" x14ac:dyDescent="0.15">
      <c r="A8" s="8">
        <v>6</v>
      </c>
      <c r="B8" s="8" t="s">
        <v>4389</v>
      </c>
      <c r="C8" s="40" t="s">
        <v>111</v>
      </c>
      <c r="D8" s="40" t="s">
        <v>111</v>
      </c>
      <c r="E8" s="40" t="s">
        <v>111</v>
      </c>
      <c r="F8" s="29" t="s">
        <v>4391</v>
      </c>
      <c r="G8" s="53" t="s">
        <v>4390</v>
      </c>
      <c r="H8" s="20" t="s">
        <v>1147</v>
      </c>
      <c r="I8" s="20" t="s">
        <v>1789</v>
      </c>
      <c r="J8" s="37" t="s">
        <v>2484</v>
      </c>
      <c r="K8" s="22" t="s">
        <v>2485</v>
      </c>
      <c r="L8" s="22" t="s">
        <v>1826</v>
      </c>
      <c r="M8" s="40" t="s">
        <v>111</v>
      </c>
      <c r="N8" s="9" t="s">
        <v>1818</v>
      </c>
      <c r="O8" s="54" t="s">
        <v>4392</v>
      </c>
      <c r="P8" s="71" t="s">
        <v>19</v>
      </c>
      <c r="Q8" s="9" t="s">
        <v>1811</v>
      </c>
      <c r="R8" s="9" t="s">
        <v>4393</v>
      </c>
      <c r="S8" s="24" t="s">
        <v>4394</v>
      </c>
      <c r="T8" s="90" t="s">
        <v>4395</v>
      </c>
      <c r="U8" s="24" t="s">
        <v>2359</v>
      </c>
      <c r="V8" s="24">
        <v>1</v>
      </c>
      <c r="W8" s="24" t="s">
        <v>4396</v>
      </c>
      <c r="X8" s="24" t="s">
        <v>4397</v>
      </c>
      <c r="Y8" s="30"/>
      <c r="Z8" s="30">
        <v>16</v>
      </c>
      <c r="AA8" s="30">
        <v>16</v>
      </c>
      <c r="AB8" s="35" t="s">
        <v>1104</v>
      </c>
      <c r="AC8" s="202" t="s">
        <v>1880</v>
      </c>
      <c r="AD8" s="35" t="s">
        <v>1880</v>
      </c>
      <c r="AE8" s="9"/>
    </row>
    <row r="9" spans="1:31" s="11" customFormat="1" ht="26.25" customHeight="1" x14ac:dyDescent="0.15">
      <c r="A9" s="8">
        <v>7</v>
      </c>
      <c r="B9" s="8" t="s">
        <v>4398</v>
      </c>
      <c r="C9" s="40" t="s">
        <v>111</v>
      </c>
      <c r="D9" s="40" t="s">
        <v>111</v>
      </c>
      <c r="E9" s="40" t="s">
        <v>111</v>
      </c>
      <c r="F9" s="29" t="s">
        <v>4400</v>
      </c>
      <c r="G9" s="53" t="s">
        <v>4401</v>
      </c>
      <c r="H9" s="20" t="s">
        <v>1147</v>
      </c>
      <c r="I9" s="20" t="s">
        <v>1789</v>
      </c>
      <c r="J9" s="20" t="s">
        <v>2494</v>
      </c>
      <c r="K9" s="22" t="s">
        <v>2495</v>
      </c>
      <c r="L9" s="22" t="s">
        <v>1826</v>
      </c>
      <c r="M9" s="40" t="s">
        <v>111</v>
      </c>
      <c r="N9" s="9" t="s">
        <v>1818</v>
      </c>
      <c r="O9" s="54" t="s">
        <v>4392</v>
      </c>
      <c r="P9" s="71" t="s">
        <v>19</v>
      </c>
      <c r="Q9" s="9" t="s">
        <v>1811</v>
      </c>
      <c r="R9" s="9" t="s">
        <v>4393</v>
      </c>
      <c r="S9" s="24" t="s">
        <v>4394</v>
      </c>
      <c r="T9" s="90" t="s">
        <v>4395</v>
      </c>
      <c r="U9" s="24" t="s">
        <v>2359</v>
      </c>
      <c r="V9" s="24">
        <v>1</v>
      </c>
      <c r="W9" s="24" t="s">
        <v>4396</v>
      </c>
      <c r="X9" s="24" t="s">
        <v>4397</v>
      </c>
      <c r="Y9" s="30"/>
      <c r="Z9" s="30">
        <v>16</v>
      </c>
      <c r="AA9" s="30">
        <v>16</v>
      </c>
      <c r="AB9" s="35" t="s">
        <v>1104</v>
      </c>
      <c r="AC9" s="202" t="s">
        <v>1880</v>
      </c>
      <c r="AD9" s="35" t="s">
        <v>1880</v>
      </c>
      <c r="AE9" s="9"/>
    </row>
    <row r="10" spans="1:31" s="11" customFormat="1" ht="26.25" customHeight="1" x14ac:dyDescent="0.15">
      <c r="A10" s="8">
        <v>8</v>
      </c>
      <c r="B10" s="8" t="s">
        <v>4399</v>
      </c>
      <c r="C10" s="40" t="s">
        <v>111</v>
      </c>
      <c r="D10" s="40" t="s">
        <v>111</v>
      </c>
      <c r="E10" s="40" t="s">
        <v>111</v>
      </c>
      <c r="F10" s="29" t="s">
        <v>4400</v>
      </c>
      <c r="G10" s="53" t="s">
        <v>4401</v>
      </c>
      <c r="H10" s="20" t="s">
        <v>1147</v>
      </c>
      <c r="I10" s="20" t="s">
        <v>1789</v>
      </c>
      <c r="J10" s="20" t="s">
        <v>2498</v>
      </c>
      <c r="K10" s="22" t="s">
        <v>1138</v>
      </c>
      <c r="L10" s="22" t="s">
        <v>1826</v>
      </c>
      <c r="M10" s="40" t="s">
        <v>111</v>
      </c>
      <c r="N10" s="9" t="s">
        <v>1818</v>
      </c>
      <c r="O10" s="54" t="s">
        <v>4392</v>
      </c>
      <c r="P10" s="71" t="s">
        <v>19</v>
      </c>
      <c r="Q10" s="9" t="s">
        <v>1811</v>
      </c>
      <c r="R10" s="9" t="s">
        <v>4393</v>
      </c>
      <c r="S10" s="24" t="s">
        <v>4394</v>
      </c>
      <c r="T10" s="90" t="s">
        <v>4395</v>
      </c>
      <c r="U10" s="24" t="s">
        <v>2359</v>
      </c>
      <c r="V10" s="24">
        <v>1</v>
      </c>
      <c r="W10" s="24" t="s">
        <v>4396</v>
      </c>
      <c r="X10" s="24" t="s">
        <v>4397</v>
      </c>
      <c r="Y10" s="30"/>
      <c r="Z10" s="30">
        <v>16</v>
      </c>
      <c r="AA10" s="30">
        <v>16</v>
      </c>
      <c r="AB10" s="35" t="s">
        <v>1104</v>
      </c>
      <c r="AC10" s="202" t="s">
        <v>1880</v>
      </c>
      <c r="AD10" s="35" t="s">
        <v>1880</v>
      </c>
      <c r="AE10" s="9"/>
    </row>
    <row r="11" spans="1:31" s="11" customFormat="1" ht="40.5" customHeight="1" x14ac:dyDescent="0.15">
      <c r="A11" s="8">
        <v>9</v>
      </c>
      <c r="B11" s="8" t="s">
        <v>5617</v>
      </c>
      <c r="C11" s="40" t="s">
        <v>111</v>
      </c>
      <c r="D11" s="367" t="s">
        <v>5308</v>
      </c>
      <c r="E11" s="40" t="s">
        <v>111</v>
      </c>
      <c r="F11" s="29" t="s">
        <v>4404</v>
      </c>
      <c r="G11" s="53" t="s">
        <v>4521</v>
      </c>
      <c r="H11" s="20" t="s">
        <v>2135</v>
      </c>
      <c r="I11" s="20" t="s">
        <v>4405</v>
      </c>
      <c r="J11" s="20" t="s">
        <v>4406</v>
      </c>
      <c r="K11" s="20" t="s">
        <v>1138</v>
      </c>
      <c r="L11" s="22" t="s">
        <v>1826</v>
      </c>
      <c r="M11" s="40" t="s">
        <v>111</v>
      </c>
      <c r="N11" s="9" t="s">
        <v>1818</v>
      </c>
      <c r="O11" s="76" t="s">
        <v>1796</v>
      </c>
      <c r="P11" s="71" t="s">
        <v>19</v>
      </c>
      <c r="Q11" s="71" t="s">
        <v>1831</v>
      </c>
      <c r="R11" s="9" t="s">
        <v>1831</v>
      </c>
      <c r="S11" s="24" t="s">
        <v>4518</v>
      </c>
      <c r="T11" s="90" t="s">
        <v>4519</v>
      </c>
      <c r="U11" s="24" t="s">
        <v>4520</v>
      </c>
      <c r="V11" s="10">
        <v>2</v>
      </c>
      <c r="W11" s="24" t="s">
        <v>1880</v>
      </c>
      <c r="X11" s="24" t="s">
        <v>1880</v>
      </c>
      <c r="Y11" s="30">
        <v>3.2</v>
      </c>
      <c r="Z11" s="30"/>
      <c r="AA11" s="30">
        <v>3.2</v>
      </c>
      <c r="AB11" s="35" t="s">
        <v>1104</v>
      </c>
      <c r="AC11" s="202" t="s">
        <v>1880</v>
      </c>
      <c r="AD11" s="35" t="s">
        <v>1880</v>
      </c>
      <c r="AE11" s="9" t="s">
        <v>4407</v>
      </c>
    </row>
    <row r="12" spans="1:31" s="11" customFormat="1" ht="26.25" customHeight="1" x14ac:dyDescent="0.15">
      <c r="A12" s="8">
        <v>10</v>
      </c>
      <c r="B12" s="8" t="s">
        <v>4410</v>
      </c>
      <c r="C12" s="40" t="s">
        <v>111</v>
      </c>
      <c r="D12" s="40" t="s">
        <v>111</v>
      </c>
      <c r="E12" s="40" t="s">
        <v>111</v>
      </c>
      <c r="F12" s="29" t="s">
        <v>4414</v>
      </c>
      <c r="G12" s="53" t="s">
        <v>4415</v>
      </c>
      <c r="H12" s="20" t="s">
        <v>1147</v>
      </c>
      <c r="I12" s="20" t="s">
        <v>2067</v>
      </c>
      <c r="J12" s="20" t="s">
        <v>3580</v>
      </c>
      <c r="K12" s="20" t="s">
        <v>4416</v>
      </c>
      <c r="L12" s="22" t="s">
        <v>1826</v>
      </c>
      <c r="M12" s="40" t="s">
        <v>111</v>
      </c>
      <c r="N12" s="9" t="s">
        <v>1818</v>
      </c>
      <c r="O12" s="76" t="s">
        <v>4431</v>
      </c>
      <c r="P12" s="71" t="s">
        <v>19</v>
      </c>
      <c r="Q12" s="71" t="s">
        <v>2488</v>
      </c>
      <c r="R12" s="9" t="s">
        <v>4417</v>
      </c>
      <c r="S12" s="24" t="s">
        <v>4418</v>
      </c>
      <c r="T12" s="90" t="s">
        <v>4419</v>
      </c>
      <c r="U12" s="24" t="s">
        <v>4420</v>
      </c>
      <c r="V12" s="10">
        <v>1</v>
      </c>
      <c r="W12" s="24" t="s">
        <v>4421</v>
      </c>
      <c r="X12" s="24" t="s">
        <v>4422</v>
      </c>
      <c r="Y12" s="30"/>
      <c r="Z12" s="30">
        <v>0.53300000000000003</v>
      </c>
      <c r="AA12" s="30">
        <v>0.53300000000000003</v>
      </c>
      <c r="AB12" s="35" t="s">
        <v>1104</v>
      </c>
      <c r="AC12" s="202" t="s">
        <v>1880</v>
      </c>
      <c r="AD12" s="35" t="s">
        <v>1880</v>
      </c>
      <c r="AE12" s="9"/>
    </row>
    <row r="13" spans="1:31" s="11" customFormat="1" ht="26.25" customHeight="1" x14ac:dyDescent="0.15">
      <c r="A13" s="8">
        <v>11</v>
      </c>
      <c r="B13" s="8" t="s">
        <v>4411</v>
      </c>
      <c r="C13" s="40" t="s">
        <v>111</v>
      </c>
      <c r="D13" s="40" t="s">
        <v>111</v>
      </c>
      <c r="E13" s="40" t="s">
        <v>111</v>
      </c>
      <c r="F13" s="29" t="s">
        <v>4423</v>
      </c>
      <c r="G13" s="53" t="s">
        <v>4424</v>
      </c>
      <c r="H13" s="20" t="s">
        <v>1147</v>
      </c>
      <c r="I13" s="20" t="s">
        <v>2067</v>
      </c>
      <c r="J13" s="20" t="s">
        <v>4426</v>
      </c>
      <c r="K13" s="22" t="s">
        <v>4425</v>
      </c>
      <c r="L13" s="22" t="s">
        <v>1826</v>
      </c>
      <c r="M13" s="40" t="s">
        <v>111</v>
      </c>
      <c r="N13" s="9" t="s">
        <v>1818</v>
      </c>
      <c r="O13" s="76" t="s">
        <v>4431</v>
      </c>
      <c r="P13" s="71" t="s">
        <v>19</v>
      </c>
      <c r="Q13" s="71" t="s">
        <v>2488</v>
      </c>
      <c r="R13" s="9" t="s">
        <v>4417</v>
      </c>
      <c r="S13" s="24" t="s">
        <v>4418</v>
      </c>
      <c r="T13" s="90" t="s">
        <v>4419</v>
      </c>
      <c r="U13" s="24" t="s">
        <v>4420</v>
      </c>
      <c r="V13" s="10">
        <v>1</v>
      </c>
      <c r="W13" s="24" t="s">
        <v>4421</v>
      </c>
      <c r="X13" s="24" t="s">
        <v>4422</v>
      </c>
      <c r="Y13" s="30"/>
      <c r="Z13" s="30">
        <v>0.53300000000000003</v>
      </c>
      <c r="AA13" s="30">
        <v>0.53300000000000003</v>
      </c>
      <c r="AB13" s="35" t="s">
        <v>1104</v>
      </c>
      <c r="AC13" s="202" t="s">
        <v>1880</v>
      </c>
      <c r="AD13" s="35" t="s">
        <v>1880</v>
      </c>
      <c r="AE13" s="9"/>
    </row>
    <row r="14" spans="1:31" s="11" customFormat="1" ht="26.25" customHeight="1" x14ac:dyDescent="0.15">
      <c r="A14" s="8">
        <v>12</v>
      </c>
      <c r="B14" s="8" t="s">
        <v>4412</v>
      </c>
      <c r="C14" s="40" t="s">
        <v>111</v>
      </c>
      <c r="D14" s="40" t="s">
        <v>111</v>
      </c>
      <c r="E14" s="40" t="s">
        <v>111</v>
      </c>
      <c r="F14" s="29" t="s">
        <v>4414</v>
      </c>
      <c r="G14" s="53" t="s">
        <v>4415</v>
      </c>
      <c r="H14" s="20" t="s">
        <v>1147</v>
      </c>
      <c r="I14" s="20" t="s">
        <v>2067</v>
      </c>
      <c r="J14" s="20" t="s">
        <v>3580</v>
      </c>
      <c r="K14" s="20" t="s">
        <v>4416</v>
      </c>
      <c r="L14" s="22" t="s">
        <v>1826</v>
      </c>
      <c r="M14" s="40" t="s">
        <v>111</v>
      </c>
      <c r="N14" s="9" t="s">
        <v>1818</v>
      </c>
      <c r="O14" s="54" t="s">
        <v>4427</v>
      </c>
      <c r="P14" s="71" t="s">
        <v>19</v>
      </c>
      <c r="Q14" s="71" t="s">
        <v>2488</v>
      </c>
      <c r="R14" s="9" t="s">
        <v>4417</v>
      </c>
      <c r="S14" s="24" t="s">
        <v>4418</v>
      </c>
      <c r="T14" s="90" t="s">
        <v>4428</v>
      </c>
      <c r="U14" s="24" t="s">
        <v>2359</v>
      </c>
      <c r="V14" s="24">
        <v>1</v>
      </c>
      <c r="W14" s="24" t="s">
        <v>4429</v>
      </c>
      <c r="X14" s="24" t="s">
        <v>4430</v>
      </c>
      <c r="Y14" s="30"/>
      <c r="Z14" s="30">
        <v>44.466999999999999</v>
      </c>
      <c r="AA14" s="30">
        <v>44.466999999999999</v>
      </c>
      <c r="AB14" s="35" t="s">
        <v>1104</v>
      </c>
      <c r="AC14" s="202" t="s">
        <v>1880</v>
      </c>
      <c r="AD14" s="35" t="s">
        <v>1880</v>
      </c>
      <c r="AE14" s="9"/>
    </row>
    <row r="15" spans="1:31" s="11" customFormat="1" ht="26.25" customHeight="1" x14ac:dyDescent="0.15">
      <c r="A15" s="8">
        <v>13</v>
      </c>
      <c r="B15" s="8" t="s">
        <v>4413</v>
      </c>
      <c r="C15" s="40" t="s">
        <v>111</v>
      </c>
      <c r="D15" s="40" t="s">
        <v>111</v>
      </c>
      <c r="E15" s="40" t="s">
        <v>111</v>
      </c>
      <c r="F15" s="29" t="s">
        <v>4423</v>
      </c>
      <c r="G15" s="53" t="s">
        <v>4424</v>
      </c>
      <c r="H15" s="20" t="s">
        <v>1147</v>
      </c>
      <c r="I15" s="20" t="s">
        <v>2067</v>
      </c>
      <c r="J15" s="20" t="s">
        <v>4426</v>
      </c>
      <c r="K15" s="22" t="s">
        <v>4425</v>
      </c>
      <c r="L15" s="22" t="s">
        <v>1826</v>
      </c>
      <c r="M15" s="40" t="s">
        <v>111</v>
      </c>
      <c r="N15" s="9" t="s">
        <v>1818</v>
      </c>
      <c r="O15" s="54" t="s">
        <v>4427</v>
      </c>
      <c r="P15" s="71" t="s">
        <v>19</v>
      </c>
      <c r="Q15" s="71" t="s">
        <v>2488</v>
      </c>
      <c r="R15" s="9" t="s">
        <v>4417</v>
      </c>
      <c r="S15" s="24" t="s">
        <v>4418</v>
      </c>
      <c r="T15" s="90" t="s">
        <v>4428</v>
      </c>
      <c r="U15" s="24" t="s">
        <v>2359</v>
      </c>
      <c r="V15" s="24">
        <v>1</v>
      </c>
      <c r="W15" s="24" t="s">
        <v>4429</v>
      </c>
      <c r="X15" s="24" t="s">
        <v>4430</v>
      </c>
      <c r="Y15" s="30"/>
      <c r="Z15" s="30">
        <v>44.466999999999999</v>
      </c>
      <c r="AA15" s="30">
        <v>44.466999999999999</v>
      </c>
      <c r="AB15" s="35" t="s">
        <v>1104</v>
      </c>
      <c r="AC15" s="202" t="s">
        <v>1880</v>
      </c>
      <c r="AD15" s="35" t="s">
        <v>1880</v>
      </c>
      <c r="AE15" s="9"/>
    </row>
    <row r="16" spans="1:31" s="11" customFormat="1" ht="26.25" customHeight="1" x14ac:dyDescent="0.15">
      <c r="A16" s="8">
        <v>14</v>
      </c>
      <c r="B16" s="8" t="s">
        <v>4433</v>
      </c>
      <c r="C16" s="40" t="s">
        <v>111</v>
      </c>
      <c r="D16" s="40" t="s">
        <v>111</v>
      </c>
      <c r="E16" s="40" t="s">
        <v>111</v>
      </c>
      <c r="F16" s="29" t="s">
        <v>4435</v>
      </c>
      <c r="G16" s="29" t="s">
        <v>4434</v>
      </c>
      <c r="H16" s="20" t="s">
        <v>4436</v>
      </c>
      <c r="I16" s="1" t="s">
        <v>4437</v>
      </c>
      <c r="J16" s="20" t="s">
        <v>4438</v>
      </c>
      <c r="K16" s="22" t="s">
        <v>4439</v>
      </c>
      <c r="L16" s="22" t="s">
        <v>1826</v>
      </c>
      <c r="M16" s="40" t="s">
        <v>111</v>
      </c>
      <c r="N16" s="9" t="s">
        <v>4440</v>
      </c>
      <c r="O16" s="54" t="s">
        <v>4441</v>
      </c>
      <c r="P16" s="71" t="s">
        <v>19</v>
      </c>
      <c r="Q16" s="9" t="s">
        <v>4442</v>
      </c>
      <c r="R16" s="9" t="s">
        <v>4442</v>
      </c>
      <c r="S16" s="24" t="s">
        <v>4449</v>
      </c>
      <c r="T16" s="90" t="s">
        <v>4443</v>
      </c>
      <c r="U16" s="24" t="s">
        <v>4444</v>
      </c>
      <c r="V16" s="24">
        <v>1</v>
      </c>
      <c r="W16" s="24" t="s">
        <v>4445</v>
      </c>
      <c r="X16" s="24" t="s">
        <v>4446</v>
      </c>
      <c r="Y16" s="30"/>
      <c r="Z16" s="30">
        <v>30</v>
      </c>
      <c r="AA16" s="30">
        <v>30</v>
      </c>
      <c r="AB16" s="35" t="s">
        <v>1104</v>
      </c>
      <c r="AC16" s="202" t="s">
        <v>1880</v>
      </c>
      <c r="AD16" s="35" t="s">
        <v>1880</v>
      </c>
      <c r="AE16" s="9"/>
    </row>
    <row r="17" spans="1:31" s="11" customFormat="1" ht="26.25" customHeight="1" x14ac:dyDescent="0.15">
      <c r="A17" s="8">
        <v>15</v>
      </c>
      <c r="B17" s="8" t="s">
        <v>4450</v>
      </c>
      <c r="C17" s="40" t="s">
        <v>111</v>
      </c>
      <c r="D17" s="40" t="s">
        <v>111</v>
      </c>
      <c r="E17" s="40" t="s">
        <v>111</v>
      </c>
      <c r="F17" s="29" t="s">
        <v>4456</v>
      </c>
      <c r="G17" s="53" t="s">
        <v>4457</v>
      </c>
      <c r="H17" s="20" t="s">
        <v>4459</v>
      </c>
      <c r="I17" s="1" t="s">
        <v>4460</v>
      </c>
      <c r="J17" s="37" t="s">
        <v>4461</v>
      </c>
      <c r="K17" s="22" t="s">
        <v>4462</v>
      </c>
      <c r="L17" s="22" t="s">
        <v>4463</v>
      </c>
      <c r="M17" s="40" t="s">
        <v>111</v>
      </c>
      <c r="N17" s="9" t="s">
        <v>4464</v>
      </c>
      <c r="O17" s="54" t="s">
        <v>4465</v>
      </c>
      <c r="P17" s="71" t="s">
        <v>19</v>
      </c>
      <c r="Q17" s="9" t="s">
        <v>1811</v>
      </c>
      <c r="R17" s="9" t="s">
        <v>4458</v>
      </c>
      <c r="S17" s="24" t="s">
        <v>4466</v>
      </c>
      <c r="T17" s="90" t="s">
        <v>4467</v>
      </c>
      <c r="U17" s="24" t="s">
        <v>4468</v>
      </c>
      <c r="V17" s="24">
        <v>1</v>
      </c>
      <c r="W17" s="24" t="s">
        <v>4469</v>
      </c>
      <c r="X17" s="24" t="s">
        <v>4470</v>
      </c>
      <c r="Y17" s="30"/>
      <c r="Z17" s="30">
        <v>15</v>
      </c>
      <c r="AA17" s="30">
        <v>15</v>
      </c>
      <c r="AB17" s="35" t="s">
        <v>1104</v>
      </c>
      <c r="AC17" s="202" t="s">
        <v>1880</v>
      </c>
      <c r="AD17" s="35" t="s">
        <v>1880</v>
      </c>
      <c r="AE17" s="9"/>
    </row>
    <row r="18" spans="1:31" s="11" customFormat="1" ht="26.25" customHeight="1" x14ac:dyDescent="0.15">
      <c r="A18" s="8">
        <v>16</v>
      </c>
      <c r="B18" s="8" t="s">
        <v>4451</v>
      </c>
      <c r="C18" s="40" t="s">
        <v>111</v>
      </c>
      <c r="D18" s="40" t="s">
        <v>111</v>
      </c>
      <c r="E18" s="40" t="s">
        <v>111</v>
      </c>
      <c r="F18" s="29" t="s">
        <v>4456</v>
      </c>
      <c r="G18" s="53" t="s">
        <v>4471</v>
      </c>
      <c r="H18" s="20" t="s">
        <v>4459</v>
      </c>
      <c r="I18" s="1" t="s">
        <v>4460</v>
      </c>
      <c r="J18" s="37" t="s">
        <v>4472</v>
      </c>
      <c r="K18" s="22" t="s">
        <v>4462</v>
      </c>
      <c r="L18" s="22" t="s">
        <v>4463</v>
      </c>
      <c r="M18" s="40" t="s">
        <v>111</v>
      </c>
      <c r="N18" s="9" t="s">
        <v>4464</v>
      </c>
      <c r="O18" s="54" t="s">
        <v>4465</v>
      </c>
      <c r="P18" s="71" t="s">
        <v>19</v>
      </c>
      <c r="Q18" s="9" t="s">
        <v>1811</v>
      </c>
      <c r="R18" s="9" t="s">
        <v>4458</v>
      </c>
      <c r="S18" s="24" t="s">
        <v>4466</v>
      </c>
      <c r="T18" s="90" t="s">
        <v>4467</v>
      </c>
      <c r="U18" s="24" t="s">
        <v>4468</v>
      </c>
      <c r="V18" s="24">
        <v>1</v>
      </c>
      <c r="W18" s="24" t="s">
        <v>4469</v>
      </c>
      <c r="X18" s="24" t="s">
        <v>4470</v>
      </c>
      <c r="Y18" s="30"/>
      <c r="Z18" s="30">
        <v>15</v>
      </c>
      <c r="AA18" s="30">
        <v>15</v>
      </c>
      <c r="AB18" s="35" t="s">
        <v>1104</v>
      </c>
      <c r="AC18" s="202" t="s">
        <v>1880</v>
      </c>
      <c r="AD18" s="35" t="s">
        <v>1880</v>
      </c>
      <c r="AE18" s="9"/>
    </row>
    <row r="19" spans="1:31" s="11" customFormat="1" ht="26.25" customHeight="1" x14ac:dyDescent="0.15">
      <c r="A19" s="8">
        <v>17</v>
      </c>
      <c r="B19" s="8" t="s">
        <v>4452</v>
      </c>
      <c r="C19" s="40" t="s">
        <v>111</v>
      </c>
      <c r="D19" s="40" t="s">
        <v>111</v>
      </c>
      <c r="E19" s="40" t="s">
        <v>111</v>
      </c>
      <c r="F19" s="29" t="s">
        <v>4473</v>
      </c>
      <c r="G19" s="53" t="s">
        <v>4474</v>
      </c>
      <c r="H19" s="20" t="s">
        <v>4459</v>
      </c>
      <c r="I19" s="1" t="s">
        <v>4460</v>
      </c>
      <c r="J19" s="37" t="s">
        <v>4475</v>
      </c>
      <c r="K19" s="22" t="s">
        <v>115</v>
      </c>
      <c r="L19" s="22" t="s">
        <v>4463</v>
      </c>
      <c r="M19" s="40" t="s">
        <v>111</v>
      </c>
      <c r="N19" s="9" t="s">
        <v>4464</v>
      </c>
      <c r="O19" s="54" t="s">
        <v>4465</v>
      </c>
      <c r="P19" s="71" t="s">
        <v>19</v>
      </c>
      <c r="Q19" s="9" t="s">
        <v>1811</v>
      </c>
      <c r="R19" s="9" t="s">
        <v>4458</v>
      </c>
      <c r="S19" s="24" t="s">
        <v>4466</v>
      </c>
      <c r="T19" s="90" t="s">
        <v>4467</v>
      </c>
      <c r="U19" s="24" t="s">
        <v>4468</v>
      </c>
      <c r="V19" s="24">
        <v>1</v>
      </c>
      <c r="W19" s="24" t="s">
        <v>4469</v>
      </c>
      <c r="X19" s="24" t="s">
        <v>4470</v>
      </c>
      <c r="Y19" s="30"/>
      <c r="Z19" s="30">
        <v>15</v>
      </c>
      <c r="AA19" s="30">
        <v>15</v>
      </c>
      <c r="AB19" s="35" t="s">
        <v>1104</v>
      </c>
      <c r="AC19" s="202" t="s">
        <v>1880</v>
      </c>
      <c r="AD19" s="35" t="s">
        <v>1880</v>
      </c>
      <c r="AE19" s="9"/>
    </row>
    <row r="20" spans="1:31" s="11" customFormat="1" ht="26.25" customHeight="1" x14ac:dyDescent="0.15">
      <c r="A20" s="8">
        <v>18</v>
      </c>
      <c r="B20" s="8" t="s">
        <v>4453</v>
      </c>
      <c r="C20" s="40" t="s">
        <v>111</v>
      </c>
      <c r="D20" s="40" t="s">
        <v>111</v>
      </c>
      <c r="E20" s="40" t="s">
        <v>111</v>
      </c>
      <c r="F20" s="29" t="s">
        <v>4476</v>
      </c>
      <c r="G20" s="53" t="s">
        <v>4477</v>
      </c>
      <c r="H20" s="20" t="s">
        <v>4459</v>
      </c>
      <c r="I20" s="1" t="s">
        <v>4460</v>
      </c>
      <c r="J20" s="37" t="s">
        <v>4478</v>
      </c>
      <c r="K20" s="22" t="s">
        <v>4462</v>
      </c>
      <c r="L20" s="22" t="s">
        <v>4463</v>
      </c>
      <c r="M20" s="40" t="s">
        <v>111</v>
      </c>
      <c r="N20" s="9" t="s">
        <v>4464</v>
      </c>
      <c r="O20" s="54" t="s">
        <v>4465</v>
      </c>
      <c r="P20" s="71" t="s">
        <v>19</v>
      </c>
      <c r="Q20" s="9" t="s">
        <v>1811</v>
      </c>
      <c r="R20" s="9" t="s">
        <v>4458</v>
      </c>
      <c r="S20" s="24" t="s">
        <v>4466</v>
      </c>
      <c r="T20" s="90" t="s">
        <v>4467</v>
      </c>
      <c r="U20" s="24" t="s">
        <v>4468</v>
      </c>
      <c r="V20" s="24">
        <v>1</v>
      </c>
      <c r="W20" s="24" t="s">
        <v>4469</v>
      </c>
      <c r="X20" s="24" t="s">
        <v>4470</v>
      </c>
      <c r="Y20" s="30"/>
      <c r="Z20" s="30">
        <v>15</v>
      </c>
      <c r="AA20" s="30">
        <v>15</v>
      </c>
      <c r="AB20" s="35" t="s">
        <v>1104</v>
      </c>
      <c r="AC20" s="202" t="s">
        <v>1880</v>
      </c>
      <c r="AD20" s="35" t="s">
        <v>1880</v>
      </c>
      <c r="AE20" s="9"/>
    </row>
    <row r="21" spans="1:31" s="11" customFormat="1" ht="26.25" customHeight="1" x14ac:dyDescent="0.15">
      <c r="A21" s="8">
        <v>19</v>
      </c>
      <c r="B21" s="8" t="s">
        <v>4454</v>
      </c>
      <c r="C21" s="40" t="s">
        <v>111</v>
      </c>
      <c r="D21" s="40" t="s">
        <v>111</v>
      </c>
      <c r="E21" s="40" t="s">
        <v>111</v>
      </c>
      <c r="F21" s="29" t="s">
        <v>4480</v>
      </c>
      <c r="G21" s="53" t="s">
        <v>4479</v>
      </c>
      <c r="H21" s="20" t="s">
        <v>4459</v>
      </c>
      <c r="I21" s="1" t="s">
        <v>4460</v>
      </c>
      <c r="J21" s="37" t="s">
        <v>4481</v>
      </c>
      <c r="K21" s="22" t="s">
        <v>4482</v>
      </c>
      <c r="L21" s="22" t="s">
        <v>4463</v>
      </c>
      <c r="M21" s="40" t="s">
        <v>111</v>
      </c>
      <c r="N21" s="9" t="s">
        <v>4464</v>
      </c>
      <c r="O21" s="54" t="s">
        <v>4465</v>
      </c>
      <c r="P21" s="71" t="s">
        <v>19</v>
      </c>
      <c r="Q21" s="9" t="s">
        <v>1811</v>
      </c>
      <c r="R21" s="9" t="s">
        <v>4458</v>
      </c>
      <c r="S21" s="24" t="s">
        <v>4466</v>
      </c>
      <c r="T21" s="90" t="s">
        <v>4467</v>
      </c>
      <c r="U21" s="24" t="s">
        <v>4468</v>
      </c>
      <c r="V21" s="24">
        <v>1</v>
      </c>
      <c r="W21" s="24" t="s">
        <v>4469</v>
      </c>
      <c r="X21" s="24" t="s">
        <v>4470</v>
      </c>
      <c r="Y21" s="30"/>
      <c r="Z21" s="30">
        <v>15</v>
      </c>
      <c r="AA21" s="30">
        <v>15</v>
      </c>
      <c r="AB21" s="35" t="s">
        <v>1104</v>
      </c>
      <c r="AC21" s="202" t="s">
        <v>1880</v>
      </c>
      <c r="AD21" s="35" t="s">
        <v>1880</v>
      </c>
      <c r="AE21" s="9"/>
    </row>
    <row r="22" spans="1:31" s="11" customFormat="1" ht="26.25" customHeight="1" x14ac:dyDescent="0.15">
      <c r="A22" s="8">
        <v>20</v>
      </c>
      <c r="B22" s="8" t="s">
        <v>4455</v>
      </c>
      <c r="C22" s="40" t="s">
        <v>111</v>
      </c>
      <c r="D22" s="40" t="s">
        <v>111</v>
      </c>
      <c r="E22" s="40" t="s">
        <v>111</v>
      </c>
      <c r="F22" s="29" t="s">
        <v>4483</v>
      </c>
      <c r="G22" s="53" t="s">
        <v>4484</v>
      </c>
      <c r="H22" s="20" t="s">
        <v>4459</v>
      </c>
      <c r="I22" s="1" t="s">
        <v>4460</v>
      </c>
      <c r="J22" s="37" t="s">
        <v>4485</v>
      </c>
      <c r="K22" s="22" t="s">
        <v>4486</v>
      </c>
      <c r="L22" s="22" t="s">
        <v>4463</v>
      </c>
      <c r="M22" s="40" t="s">
        <v>111</v>
      </c>
      <c r="N22" s="9" t="s">
        <v>4464</v>
      </c>
      <c r="O22" s="54" t="s">
        <v>4465</v>
      </c>
      <c r="P22" s="71" t="s">
        <v>19</v>
      </c>
      <c r="Q22" s="9" t="s">
        <v>1811</v>
      </c>
      <c r="R22" s="9" t="s">
        <v>4458</v>
      </c>
      <c r="S22" s="24" t="s">
        <v>4466</v>
      </c>
      <c r="T22" s="90" t="s">
        <v>4467</v>
      </c>
      <c r="U22" s="24" t="s">
        <v>4468</v>
      </c>
      <c r="V22" s="24">
        <v>1</v>
      </c>
      <c r="W22" s="24" t="s">
        <v>4469</v>
      </c>
      <c r="X22" s="24" t="s">
        <v>4470</v>
      </c>
      <c r="Y22" s="30"/>
      <c r="Z22" s="30">
        <v>15</v>
      </c>
      <c r="AA22" s="30">
        <v>15</v>
      </c>
      <c r="AB22" s="35" t="s">
        <v>1104</v>
      </c>
      <c r="AC22" s="202" t="s">
        <v>1880</v>
      </c>
      <c r="AD22" s="35" t="s">
        <v>1880</v>
      </c>
      <c r="AE22" s="9"/>
    </row>
    <row r="23" spans="1:31" s="11" customFormat="1" ht="26.25" customHeight="1" x14ac:dyDescent="0.15">
      <c r="A23" s="8">
        <v>21</v>
      </c>
      <c r="B23" s="8" t="s">
        <v>4487</v>
      </c>
      <c r="C23" s="40" t="s">
        <v>111</v>
      </c>
      <c r="D23" s="40" t="s">
        <v>111</v>
      </c>
      <c r="E23" s="40" t="s">
        <v>111</v>
      </c>
      <c r="F23" s="29" t="s">
        <v>4488</v>
      </c>
      <c r="G23" s="53" t="s">
        <v>4489</v>
      </c>
      <c r="H23" s="20" t="s">
        <v>4490</v>
      </c>
      <c r="I23" s="1" t="s">
        <v>4491</v>
      </c>
      <c r="J23" s="20" t="s">
        <v>4500</v>
      </c>
      <c r="K23" s="22" t="s">
        <v>4501</v>
      </c>
      <c r="L23" s="22" t="s">
        <v>4492</v>
      </c>
      <c r="M23" s="40" t="s">
        <v>111</v>
      </c>
      <c r="N23" s="9" t="s">
        <v>4493</v>
      </c>
      <c r="O23" s="54" t="s">
        <v>4494</v>
      </c>
      <c r="P23" s="71" t="s">
        <v>19</v>
      </c>
      <c r="Q23" s="9" t="s">
        <v>4495</v>
      </c>
      <c r="R23" s="9" t="s">
        <v>4495</v>
      </c>
      <c r="S23" s="24" t="s">
        <v>4496</v>
      </c>
      <c r="T23" s="90" t="s">
        <v>4497</v>
      </c>
      <c r="U23" s="24" t="s">
        <v>2359</v>
      </c>
      <c r="V23" s="24">
        <v>1</v>
      </c>
      <c r="W23" s="24" t="s">
        <v>4498</v>
      </c>
      <c r="X23" s="24" t="s">
        <v>4499</v>
      </c>
      <c r="Y23" s="30"/>
      <c r="Z23" s="30">
        <v>9.5</v>
      </c>
      <c r="AA23" s="30">
        <v>9.5</v>
      </c>
      <c r="AB23" s="35" t="s">
        <v>1104</v>
      </c>
      <c r="AC23" s="202" t="s">
        <v>1880</v>
      </c>
      <c r="AD23" s="35" t="s">
        <v>1880</v>
      </c>
      <c r="AE23" s="9"/>
    </row>
    <row r="24" spans="1:31" s="11" customFormat="1" ht="26.25" customHeight="1" x14ac:dyDescent="0.15">
      <c r="A24" s="8">
        <v>22</v>
      </c>
      <c r="B24" s="8" t="s">
        <v>4502</v>
      </c>
      <c r="C24" s="40" t="s">
        <v>111</v>
      </c>
      <c r="D24" s="40" t="s">
        <v>111</v>
      </c>
      <c r="E24" s="40" t="s">
        <v>111</v>
      </c>
      <c r="F24" s="29" t="s">
        <v>4503</v>
      </c>
      <c r="G24" s="53" t="s">
        <v>4504</v>
      </c>
      <c r="H24" s="20" t="s">
        <v>1147</v>
      </c>
      <c r="I24" s="20" t="s">
        <v>4505</v>
      </c>
      <c r="J24" s="20" t="s">
        <v>4506</v>
      </c>
      <c r="K24" s="22" t="s">
        <v>4507</v>
      </c>
      <c r="L24" s="22" t="s">
        <v>4508</v>
      </c>
      <c r="M24" s="40" t="s">
        <v>111</v>
      </c>
      <c r="N24" s="9" t="s">
        <v>1818</v>
      </c>
      <c r="O24" s="54" t="s">
        <v>1819</v>
      </c>
      <c r="P24" s="71" t="s">
        <v>19</v>
      </c>
      <c r="Q24" s="9" t="s">
        <v>1151</v>
      </c>
      <c r="R24" s="9" t="s">
        <v>4509</v>
      </c>
      <c r="S24" s="24" t="s">
        <v>4510</v>
      </c>
      <c r="T24" s="90" t="s">
        <v>4511</v>
      </c>
      <c r="U24" s="24" t="s">
        <v>4512</v>
      </c>
      <c r="V24" s="24">
        <v>1</v>
      </c>
      <c r="W24" s="24" t="s">
        <v>4513</v>
      </c>
      <c r="X24" s="24" t="s">
        <v>4514</v>
      </c>
      <c r="Y24" s="30"/>
      <c r="Z24" s="30">
        <v>9.5</v>
      </c>
      <c r="AA24" s="30">
        <v>9.5</v>
      </c>
      <c r="AB24" s="35" t="s">
        <v>1104</v>
      </c>
      <c r="AC24" s="202" t="s">
        <v>1880</v>
      </c>
      <c r="AD24" s="35" t="s">
        <v>1880</v>
      </c>
      <c r="AE24" s="9"/>
    </row>
    <row r="25" spans="1:31" s="11" customFormat="1" ht="26.25" customHeight="1" x14ac:dyDescent="0.15">
      <c r="A25" s="8">
        <v>23</v>
      </c>
      <c r="B25" s="8" t="s">
        <v>4522</v>
      </c>
      <c r="C25" s="9" t="s">
        <v>4526</v>
      </c>
      <c r="D25" s="40" t="s">
        <v>111</v>
      </c>
      <c r="E25" s="8" t="s">
        <v>4855</v>
      </c>
      <c r="F25" s="29" t="s">
        <v>4423</v>
      </c>
      <c r="G25" s="53" t="s">
        <v>4530</v>
      </c>
      <c r="H25" s="9" t="s">
        <v>4195</v>
      </c>
      <c r="I25" s="9" t="s">
        <v>4196</v>
      </c>
      <c r="J25" s="9" t="s">
        <v>4531</v>
      </c>
      <c r="K25" s="22" t="s">
        <v>4532</v>
      </c>
      <c r="L25" s="22" t="s">
        <v>1826</v>
      </c>
      <c r="M25" s="40" t="s">
        <v>111</v>
      </c>
      <c r="N25" s="9" t="s">
        <v>445</v>
      </c>
      <c r="O25" s="54" t="s">
        <v>4533</v>
      </c>
      <c r="P25" s="71" t="s">
        <v>19</v>
      </c>
      <c r="Q25" s="9" t="s">
        <v>4535</v>
      </c>
      <c r="R25" s="9" t="s">
        <v>4535</v>
      </c>
      <c r="S25" s="24" t="s">
        <v>4536</v>
      </c>
      <c r="T25" s="90" t="s">
        <v>4537</v>
      </c>
      <c r="U25" s="24" t="s">
        <v>2359</v>
      </c>
      <c r="V25" s="24">
        <v>1</v>
      </c>
      <c r="W25" s="24" t="s">
        <v>1880</v>
      </c>
      <c r="X25" s="24" t="s">
        <v>1880</v>
      </c>
      <c r="Y25" s="136">
        <v>25.476897000000001</v>
      </c>
      <c r="Z25" s="30"/>
      <c r="AA25" s="136">
        <v>25.476897000000001</v>
      </c>
      <c r="AB25" s="35" t="s">
        <v>1104</v>
      </c>
      <c r="AC25" s="202" t="s">
        <v>1880</v>
      </c>
      <c r="AD25" s="35" t="s">
        <v>1880</v>
      </c>
      <c r="AE25" s="1954" t="s">
        <v>4933</v>
      </c>
    </row>
    <row r="26" spans="1:31" s="11" customFormat="1" ht="26.25" customHeight="1" x14ac:dyDescent="0.15">
      <c r="A26" s="8">
        <v>24</v>
      </c>
      <c r="B26" s="8" t="s">
        <v>4523</v>
      </c>
      <c r="C26" s="9" t="s">
        <v>4527</v>
      </c>
      <c r="D26" s="40" t="s">
        <v>111</v>
      </c>
      <c r="E26" s="40" t="s">
        <v>111</v>
      </c>
      <c r="F26" s="29" t="s">
        <v>4423</v>
      </c>
      <c r="G26" s="53" t="s">
        <v>4530</v>
      </c>
      <c r="H26" s="9" t="s">
        <v>4195</v>
      </c>
      <c r="I26" s="9" t="s">
        <v>4196</v>
      </c>
      <c r="J26" s="9" t="s">
        <v>4531</v>
      </c>
      <c r="K26" s="22" t="s">
        <v>4532</v>
      </c>
      <c r="L26" s="22" t="s">
        <v>1826</v>
      </c>
      <c r="M26" s="40" t="s">
        <v>111</v>
      </c>
      <c r="N26" s="9" t="s">
        <v>445</v>
      </c>
      <c r="O26" s="54" t="s">
        <v>4534</v>
      </c>
      <c r="P26" s="71" t="s">
        <v>19</v>
      </c>
      <c r="Q26" s="9" t="s">
        <v>4535</v>
      </c>
      <c r="R26" s="9" t="s">
        <v>4535</v>
      </c>
      <c r="S26" s="24" t="s">
        <v>4536</v>
      </c>
      <c r="T26" s="90" t="s">
        <v>4537</v>
      </c>
      <c r="U26" s="24" t="s">
        <v>2359</v>
      </c>
      <c r="V26" s="24">
        <v>1</v>
      </c>
      <c r="W26" s="24" t="s">
        <v>1880</v>
      </c>
      <c r="X26" s="24" t="s">
        <v>1880</v>
      </c>
      <c r="Y26" s="136">
        <v>2.7424029999999999</v>
      </c>
      <c r="Z26" s="30"/>
      <c r="AA26" s="136">
        <v>2.7424029999999999</v>
      </c>
      <c r="AB26" s="35" t="s">
        <v>1104</v>
      </c>
      <c r="AC26" s="202" t="s">
        <v>1880</v>
      </c>
      <c r="AD26" s="35" t="s">
        <v>1880</v>
      </c>
      <c r="AE26" s="1955"/>
    </row>
    <row r="27" spans="1:31" s="11" customFormat="1" ht="26.25" customHeight="1" x14ac:dyDescent="0.15">
      <c r="A27" s="8">
        <v>25</v>
      </c>
      <c r="B27" s="8" t="s">
        <v>4524</v>
      </c>
      <c r="C27" s="9" t="s">
        <v>4528</v>
      </c>
      <c r="D27" s="40" t="s">
        <v>111</v>
      </c>
      <c r="E27" s="8" t="s">
        <v>4856</v>
      </c>
      <c r="F27" s="29" t="s">
        <v>4414</v>
      </c>
      <c r="G27" s="53" t="s">
        <v>4538</v>
      </c>
      <c r="H27" s="20" t="s">
        <v>4539</v>
      </c>
      <c r="I27" s="1" t="s">
        <v>4540</v>
      </c>
      <c r="J27" s="37" t="s">
        <v>4541</v>
      </c>
      <c r="K27" s="22" t="s">
        <v>4542</v>
      </c>
      <c r="L27" s="22" t="s">
        <v>1826</v>
      </c>
      <c r="M27" s="40" t="s">
        <v>111</v>
      </c>
      <c r="N27" s="9" t="s">
        <v>445</v>
      </c>
      <c r="O27" s="54" t="s">
        <v>4533</v>
      </c>
      <c r="P27" s="71" t="s">
        <v>19</v>
      </c>
      <c r="Q27" s="9" t="s">
        <v>4535</v>
      </c>
      <c r="R27" s="9" t="s">
        <v>4535</v>
      </c>
      <c r="S27" s="24" t="s">
        <v>4536</v>
      </c>
      <c r="T27" s="90" t="s">
        <v>4537</v>
      </c>
      <c r="U27" s="24" t="s">
        <v>2359</v>
      </c>
      <c r="V27" s="24">
        <v>1</v>
      </c>
      <c r="W27" s="24" t="s">
        <v>1880</v>
      </c>
      <c r="X27" s="24" t="s">
        <v>1880</v>
      </c>
      <c r="Y27" s="136">
        <v>26.976897000000001</v>
      </c>
      <c r="Z27" s="30"/>
      <c r="AA27" s="136">
        <v>26.976897000000001</v>
      </c>
      <c r="AB27" s="35" t="s">
        <v>1104</v>
      </c>
      <c r="AC27" s="202" t="s">
        <v>1880</v>
      </c>
      <c r="AD27" s="35" t="s">
        <v>1880</v>
      </c>
      <c r="AE27" s="1954" t="s">
        <v>4934</v>
      </c>
    </row>
    <row r="28" spans="1:31" s="11" customFormat="1" ht="26.25" customHeight="1" x14ac:dyDescent="0.15">
      <c r="A28" s="8">
        <v>26</v>
      </c>
      <c r="B28" s="8" t="s">
        <v>4525</v>
      </c>
      <c r="C28" s="9" t="s">
        <v>4529</v>
      </c>
      <c r="D28" s="40" t="s">
        <v>111</v>
      </c>
      <c r="E28" s="40" t="s">
        <v>111</v>
      </c>
      <c r="F28" s="29" t="s">
        <v>4414</v>
      </c>
      <c r="G28" s="53" t="s">
        <v>4538</v>
      </c>
      <c r="H28" s="20" t="s">
        <v>4539</v>
      </c>
      <c r="I28" s="1" t="s">
        <v>4540</v>
      </c>
      <c r="J28" s="37" t="s">
        <v>4541</v>
      </c>
      <c r="K28" s="22" t="s">
        <v>4542</v>
      </c>
      <c r="L28" s="22" t="s">
        <v>1826</v>
      </c>
      <c r="M28" s="40" t="s">
        <v>111</v>
      </c>
      <c r="N28" s="9" t="s">
        <v>445</v>
      </c>
      <c r="O28" s="54" t="s">
        <v>4543</v>
      </c>
      <c r="P28" s="71" t="s">
        <v>19</v>
      </c>
      <c r="Q28" s="9" t="s">
        <v>4535</v>
      </c>
      <c r="R28" s="9" t="s">
        <v>4535</v>
      </c>
      <c r="S28" s="24" t="s">
        <v>4536</v>
      </c>
      <c r="T28" s="90" t="s">
        <v>4537</v>
      </c>
      <c r="U28" s="24" t="s">
        <v>2359</v>
      </c>
      <c r="V28" s="24">
        <v>1</v>
      </c>
      <c r="W28" s="24" t="s">
        <v>1880</v>
      </c>
      <c r="X28" s="24" t="s">
        <v>1880</v>
      </c>
      <c r="Y28" s="136">
        <v>1.280853</v>
      </c>
      <c r="Z28" s="30"/>
      <c r="AA28" s="136">
        <v>1.280853</v>
      </c>
      <c r="AB28" s="35" t="s">
        <v>1104</v>
      </c>
      <c r="AC28" s="202" t="s">
        <v>1880</v>
      </c>
      <c r="AD28" s="35" t="s">
        <v>1880</v>
      </c>
      <c r="AE28" s="1955"/>
    </row>
    <row r="29" spans="1:31" s="11" customFormat="1" ht="26.25" customHeight="1" x14ac:dyDescent="0.15">
      <c r="A29" s="8">
        <v>27</v>
      </c>
      <c r="B29" s="363" t="s">
        <v>4544</v>
      </c>
      <c r="C29" s="40" t="s">
        <v>111</v>
      </c>
      <c r="D29" s="330" t="s">
        <v>5309</v>
      </c>
      <c r="E29" s="40" t="s">
        <v>111</v>
      </c>
      <c r="F29" s="29" t="s">
        <v>4559</v>
      </c>
      <c r="G29" s="53" t="s">
        <v>4560</v>
      </c>
      <c r="H29" s="20" t="s">
        <v>1147</v>
      </c>
      <c r="I29" s="20" t="s">
        <v>4562</v>
      </c>
      <c r="J29" s="20" t="s">
        <v>4563</v>
      </c>
      <c r="K29" s="22" t="s">
        <v>4561</v>
      </c>
      <c r="L29" s="22" t="s">
        <v>1826</v>
      </c>
      <c r="M29" s="40" t="s">
        <v>111</v>
      </c>
      <c r="N29" s="9" t="s">
        <v>1818</v>
      </c>
      <c r="O29" s="54" t="s">
        <v>4564</v>
      </c>
      <c r="P29" s="71" t="s">
        <v>19</v>
      </c>
      <c r="Q29" s="9" t="s">
        <v>1152</v>
      </c>
      <c r="R29" s="9" t="s">
        <v>4565</v>
      </c>
      <c r="S29" s="24" t="s">
        <v>4568</v>
      </c>
      <c r="T29" s="90" t="s">
        <v>4569</v>
      </c>
      <c r="U29" s="24" t="s">
        <v>2359</v>
      </c>
      <c r="V29" s="24">
        <v>1</v>
      </c>
      <c r="W29" s="24" t="s">
        <v>1880</v>
      </c>
      <c r="X29" s="24" t="s">
        <v>1880</v>
      </c>
      <c r="Y29" s="30">
        <v>0.3</v>
      </c>
      <c r="Z29" s="30"/>
      <c r="AA29" s="30">
        <v>0.3</v>
      </c>
      <c r="AB29" s="35" t="s">
        <v>1104</v>
      </c>
      <c r="AC29" s="202" t="s">
        <v>1880</v>
      </c>
      <c r="AD29" s="35" t="s">
        <v>1880</v>
      </c>
      <c r="AE29" s="9"/>
    </row>
    <row r="30" spans="1:31" s="11" customFormat="1" ht="26.25" customHeight="1" x14ac:dyDescent="0.15">
      <c r="A30" s="8">
        <v>28</v>
      </c>
      <c r="B30" s="363" t="s">
        <v>4545</v>
      </c>
      <c r="C30" s="40" t="s">
        <v>111</v>
      </c>
      <c r="D30" s="330" t="s">
        <v>111</v>
      </c>
      <c r="E30" s="40" t="s">
        <v>111</v>
      </c>
      <c r="F30" s="29" t="s">
        <v>4559</v>
      </c>
      <c r="G30" s="53" t="s">
        <v>4566</v>
      </c>
      <c r="H30" s="20" t="s">
        <v>1147</v>
      </c>
      <c r="I30" s="20" t="s">
        <v>4562</v>
      </c>
      <c r="J30" s="20" t="s">
        <v>4563</v>
      </c>
      <c r="K30" s="22" t="s">
        <v>4561</v>
      </c>
      <c r="L30" s="22" t="s">
        <v>1826</v>
      </c>
      <c r="M30" s="40">
        <v>49.5</v>
      </c>
      <c r="N30" s="9" t="s">
        <v>1818</v>
      </c>
      <c r="O30" s="54" t="s">
        <v>4567</v>
      </c>
      <c r="P30" s="71" t="s">
        <v>19</v>
      </c>
      <c r="Q30" s="9" t="s">
        <v>1152</v>
      </c>
      <c r="R30" s="9" t="s">
        <v>4565</v>
      </c>
      <c r="S30" s="24" t="s">
        <v>4568</v>
      </c>
      <c r="T30" s="90" t="s">
        <v>4569</v>
      </c>
      <c r="U30" s="24" t="s">
        <v>2359</v>
      </c>
      <c r="V30" s="24">
        <v>1</v>
      </c>
      <c r="W30" s="24" t="s">
        <v>4570</v>
      </c>
      <c r="X30" s="24" t="s">
        <v>4571</v>
      </c>
      <c r="Y30" s="30"/>
      <c r="Z30" s="30">
        <v>9</v>
      </c>
      <c r="AA30" s="30">
        <v>9</v>
      </c>
      <c r="AB30" s="35" t="s">
        <v>1104</v>
      </c>
      <c r="AC30" s="202" t="s">
        <v>1880</v>
      </c>
      <c r="AD30" s="35" t="s">
        <v>1880</v>
      </c>
      <c r="AE30" s="9"/>
    </row>
    <row r="31" spans="1:31" s="11" customFormat="1" ht="26.25" customHeight="1" x14ac:dyDescent="0.15">
      <c r="A31" s="8">
        <v>29</v>
      </c>
      <c r="B31" s="363" t="s">
        <v>4556</v>
      </c>
      <c r="C31" s="40" t="s">
        <v>111</v>
      </c>
      <c r="D31" s="330" t="s">
        <v>111</v>
      </c>
      <c r="E31" s="8" t="s">
        <v>4583</v>
      </c>
      <c r="F31" s="29" t="s">
        <v>4547</v>
      </c>
      <c r="G31" s="53" t="s">
        <v>4546</v>
      </c>
      <c r="H31" s="20" t="s">
        <v>4548</v>
      </c>
      <c r="I31" s="1" t="s">
        <v>4549</v>
      </c>
      <c r="J31" s="37" t="s">
        <v>4550</v>
      </c>
      <c r="K31" s="22" t="s">
        <v>4551</v>
      </c>
      <c r="L31" s="22" t="s">
        <v>4552</v>
      </c>
      <c r="M31" s="40" t="s">
        <v>111</v>
      </c>
      <c r="N31" s="9" t="s">
        <v>445</v>
      </c>
      <c r="O31" s="54" t="s">
        <v>4853</v>
      </c>
      <c r="P31" s="71" t="s">
        <v>19</v>
      </c>
      <c r="Q31" s="9" t="s">
        <v>4553</v>
      </c>
      <c r="R31" s="9" t="s">
        <v>4553</v>
      </c>
      <c r="S31" s="24" t="s">
        <v>4554</v>
      </c>
      <c r="T31" s="90" t="s">
        <v>4555</v>
      </c>
      <c r="U31" s="24" t="s">
        <v>2359</v>
      </c>
      <c r="V31" s="24">
        <v>1</v>
      </c>
      <c r="W31" s="24" t="s">
        <v>1880</v>
      </c>
      <c r="X31" s="24" t="s">
        <v>1880</v>
      </c>
      <c r="Y31" s="136">
        <v>7.9879309999999997</v>
      </c>
      <c r="Z31" s="30"/>
      <c r="AA31" s="136">
        <v>7.9879309999999997</v>
      </c>
      <c r="AB31" s="35" t="s">
        <v>1104</v>
      </c>
      <c r="AC31" s="202" t="s">
        <v>1880</v>
      </c>
      <c r="AD31" s="35" t="s">
        <v>1880</v>
      </c>
      <c r="AE31" s="1954" t="s">
        <v>4788</v>
      </c>
    </row>
    <row r="32" spans="1:31" s="11" customFormat="1" ht="26.25" customHeight="1" x14ac:dyDescent="0.15">
      <c r="A32" s="8">
        <v>30</v>
      </c>
      <c r="B32" s="363" t="s">
        <v>4557</v>
      </c>
      <c r="C32" s="40" t="s">
        <v>111</v>
      </c>
      <c r="D32" s="330" t="s">
        <v>5310</v>
      </c>
      <c r="E32" s="40" t="s">
        <v>111</v>
      </c>
      <c r="F32" s="29" t="s">
        <v>4547</v>
      </c>
      <c r="G32" s="53" t="s">
        <v>4546</v>
      </c>
      <c r="H32" s="20" t="s">
        <v>1881</v>
      </c>
      <c r="I32" s="1" t="s">
        <v>2054</v>
      </c>
      <c r="J32" s="37" t="s">
        <v>4550</v>
      </c>
      <c r="K32" s="22" t="s">
        <v>4551</v>
      </c>
      <c r="L32" s="22" t="s">
        <v>1826</v>
      </c>
      <c r="M32" s="40" t="s">
        <v>111</v>
      </c>
      <c r="N32" s="9" t="s">
        <v>1818</v>
      </c>
      <c r="O32" s="54" t="s">
        <v>3917</v>
      </c>
      <c r="P32" s="71" t="s">
        <v>19</v>
      </c>
      <c r="Q32" s="9" t="s">
        <v>3248</v>
      </c>
      <c r="R32" s="9" t="s">
        <v>3248</v>
      </c>
      <c r="S32" s="24" t="s">
        <v>4558</v>
      </c>
      <c r="T32" s="90" t="s">
        <v>4555</v>
      </c>
      <c r="U32" s="24" t="s">
        <v>2359</v>
      </c>
      <c r="V32" s="24">
        <v>1</v>
      </c>
      <c r="W32" s="24" t="s">
        <v>1880</v>
      </c>
      <c r="X32" s="24" t="s">
        <v>1880</v>
      </c>
      <c r="Y32" s="136">
        <v>3.604311</v>
      </c>
      <c r="Z32" s="30"/>
      <c r="AA32" s="136">
        <v>3.604311</v>
      </c>
      <c r="AB32" s="35" t="s">
        <v>1104</v>
      </c>
      <c r="AC32" s="202" t="s">
        <v>1880</v>
      </c>
      <c r="AD32" s="35" t="s">
        <v>1880</v>
      </c>
      <c r="AE32" s="1955"/>
    </row>
    <row r="33" spans="1:31" s="11" customFormat="1" ht="26.25" customHeight="1" x14ac:dyDescent="0.15">
      <c r="A33" s="8">
        <v>31</v>
      </c>
      <c r="B33" s="363" t="s">
        <v>4572</v>
      </c>
      <c r="C33" s="40" t="s">
        <v>111</v>
      </c>
      <c r="D33" s="330" t="s">
        <v>111</v>
      </c>
      <c r="E33" s="40" t="s">
        <v>111</v>
      </c>
      <c r="F33" s="29" t="s">
        <v>4573</v>
      </c>
      <c r="G33" s="53" t="s">
        <v>4574</v>
      </c>
      <c r="H33" s="20" t="s">
        <v>1147</v>
      </c>
      <c r="I33" s="20" t="s">
        <v>2437</v>
      </c>
      <c r="J33" s="20" t="s">
        <v>4575</v>
      </c>
      <c r="K33" s="22" t="s">
        <v>4576</v>
      </c>
      <c r="L33" s="22" t="s">
        <v>4577</v>
      </c>
      <c r="M33" s="40" t="s">
        <v>111</v>
      </c>
      <c r="N33" s="9" t="s">
        <v>4578</v>
      </c>
      <c r="O33" s="54" t="s">
        <v>4579</v>
      </c>
      <c r="P33" s="71" t="s">
        <v>19</v>
      </c>
      <c r="Q33" s="9" t="s">
        <v>1152</v>
      </c>
      <c r="R33" s="9" t="s">
        <v>4565</v>
      </c>
      <c r="S33" s="24" t="s">
        <v>4580</v>
      </c>
      <c r="T33" s="90" t="s">
        <v>4569</v>
      </c>
      <c r="U33" s="24" t="s">
        <v>2359</v>
      </c>
      <c r="V33" s="24">
        <v>1</v>
      </c>
      <c r="W33" s="24" t="s">
        <v>4581</v>
      </c>
      <c r="X33" s="24" t="s">
        <v>4582</v>
      </c>
      <c r="Y33" s="30"/>
      <c r="Z33" s="30">
        <v>14</v>
      </c>
      <c r="AA33" s="30">
        <v>14</v>
      </c>
      <c r="AB33" s="35" t="s">
        <v>1104</v>
      </c>
      <c r="AC33" s="202" t="s">
        <v>1880</v>
      </c>
      <c r="AD33" s="35" t="s">
        <v>1880</v>
      </c>
      <c r="AE33" s="9"/>
    </row>
    <row r="34" spans="1:31" s="11" customFormat="1" ht="26.25" customHeight="1" x14ac:dyDescent="0.15">
      <c r="A34" s="8">
        <v>32</v>
      </c>
      <c r="B34" s="363" t="s">
        <v>4596</v>
      </c>
      <c r="C34" s="40" t="s">
        <v>4595</v>
      </c>
      <c r="D34" s="330" t="s">
        <v>111</v>
      </c>
      <c r="E34" s="40" t="s">
        <v>111</v>
      </c>
      <c r="F34" s="29" t="s">
        <v>4602</v>
      </c>
      <c r="G34" s="53" t="s">
        <v>4603</v>
      </c>
      <c r="H34" s="20" t="s">
        <v>4592</v>
      </c>
      <c r="I34" s="20" t="s">
        <v>4599</v>
      </c>
      <c r="J34" s="20" t="s">
        <v>4600</v>
      </c>
      <c r="K34" s="22" t="s">
        <v>4601</v>
      </c>
      <c r="L34" s="22" t="s">
        <v>2142</v>
      </c>
      <c r="M34" s="40" t="s">
        <v>111</v>
      </c>
      <c r="N34" s="216" t="s">
        <v>4597</v>
      </c>
      <c r="O34" s="220" t="s">
        <v>4598</v>
      </c>
      <c r="P34" s="71" t="s">
        <v>19</v>
      </c>
      <c r="Q34" s="9" t="s">
        <v>4593</v>
      </c>
      <c r="R34" s="9" t="s">
        <v>4593</v>
      </c>
      <c r="S34" s="24" t="s">
        <v>4615</v>
      </c>
      <c r="T34" s="90" t="s">
        <v>4604</v>
      </c>
      <c r="U34" s="24" t="s">
        <v>2359</v>
      </c>
      <c r="V34" s="24">
        <v>3</v>
      </c>
      <c r="W34" s="24" t="s">
        <v>1880</v>
      </c>
      <c r="X34" s="24" t="s">
        <v>1880</v>
      </c>
      <c r="Y34" s="136">
        <v>47.537931</v>
      </c>
      <c r="Z34" s="30"/>
      <c r="AA34" s="136">
        <v>47.537931</v>
      </c>
      <c r="AB34" s="35" t="s">
        <v>1104</v>
      </c>
      <c r="AC34" s="202" t="s">
        <v>1880</v>
      </c>
      <c r="AD34" s="35" t="s">
        <v>1880</v>
      </c>
      <c r="AE34" s="54" t="s">
        <v>4759</v>
      </c>
    </row>
    <row r="35" spans="1:31" s="11" customFormat="1" ht="26.25" customHeight="1" x14ac:dyDescent="0.15">
      <c r="A35" s="8">
        <v>33</v>
      </c>
      <c r="B35" s="363" t="s">
        <v>4590</v>
      </c>
      <c r="C35" s="40" t="s">
        <v>111</v>
      </c>
      <c r="D35" s="330" t="s">
        <v>111</v>
      </c>
      <c r="E35" s="40" t="s">
        <v>111</v>
      </c>
      <c r="F35" s="29" t="s">
        <v>4606</v>
      </c>
      <c r="G35" s="53" t="s">
        <v>4607</v>
      </c>
      <c r="H35" s="20" t="s">
        <v>4608</v>
      </c>
      <c r="I35" s="1" t="s">
        <v>4609</v>
      </c>
      <c r="J35" s="37" t="s">
        <v>4610</v>
      </c>
      <c r="K35" s="22" t="s">
        <v>4611</v>
      </c>
      <c r="L35" s="22" t="s">
        <v>4612</v>
      </c>
      <c r="M35" s="40" t="s">
        <v>111</v>
      </c>
      <c r="N35" s="28" t="s">
        <v>4605</v>
      </c>
      <c r="O35" s="54" t="s">
        <v>4614</v>
      </c>
      <c r="P35" s="71" t="s">
        <v>19</v>
      </c>
      <c r="Q35" s="9" t="s">
        <v>2348</v>
      </c>
      <c r="R35" s="9" t="s">
        <v>2348</v>
      </c>
      <c r="S35" s="24" t="s">
        <v>4615</v>
      </c>
      <c r="T35" s="90" t="s">
        <v>4613</v>
      </c>
      <c r="U35" s="24" t="s">
        <v>2359</v>
      </c>
      <c r="V35" s="24">
        <v>1</v>
      </c>
      <c r="W35" s="24" t="s">
        <v>1880</v>
      </c>
      <c r="X35" s="24" t="s">
        <v>1880</v>
      </c>
      <c r="Y35" s="136">
        <v>66.971975</v>
      </c>
      <c r="Z35" s="30"/>
      <c r="AA35" s="136">
        <v>66.971975</v>
      </c>
      <c r="AB35" s="35" t="s">
        <v>1104</v>
      </c>
      <c r="AC35" s="202" t="s">
        <v>1880</v>
      </c>
      <c r="AD35" s="35" t="s">
        <v>1880</v>
      </c>
      <c r="AE35" s="54" t="s">
        <v>5750</v>
      </c>
    </row>
    <row r="36" spans="1:31" s="11" customFormat="1" ht="26.25" customHeight="1" x14ac:dyDescent="0.15">
      <c r="A36" s="8">
        <v>34</v>
      </c>
      <c r="B36" s="363" t="s">
        <v>4616</v>
      </c>
      <c r="C36" s="40" t="s">
        <v>111</v>
      </c>
      <c r="D36" s="330" t="s">
        <v>111</v>
      </c>
      <c r="E36" s="40" t="s">
        <v>111</v>
      </c>
      <c r="F36" s="29" t="s">
        <v>4622</v>
      </c>
      <c r="G36" s="53" t="s">
        <v>4623</v>
      </c>
      <c r="H36" s="20" t="s">
        <v>1147</v>
      </c>
      <c r="I36" s="20" t="s">
        <v>3215</v>
      </c>
      <c r="J36" s="20" t="s">
        <v>3312</v>
      </c>
      <c r="K36" s="22" t="s">
        <v>4624</v>
      </c>
      <c r="L36" s="22" t="s">
        <v>1826</v>
      </c>
      <c r="M36" s="40" t="s">
        <v>111</v>
      </c>
      <c r="N36" s="71" t="s">
        <v>4625</v>
      </c>
      <c r="O36" s="76" t="s">
        <v>3917</v>
      </c>
      <c r="P36" s="71" t="s">
        <v>19</v>
      </c>
      <c r="Q36" s="71" t="s">
        <v>4681</v>
      </c>
      <c r="R36" s="9" t="s">
        <v>4626</v>
      </c>
      <c r="S36" s="24" t="s">
        <v>4678</v>
      </c>
      <c r="T36" s="90" t="s">
        <v>4627</v>
      </c>
      <c r="U36" s="24" t="s">
        <v>1800</v>
      </c>
      <c r="V36" s="10">
        <v>1</v>
      </c>
      <c r="W36" s="24" t="s">
        <v>1880</v>
      </c>
      <c r="X36" s="24" t="s">
        <v>1880</v>
      </c>
      <c r="Y36" s="30">
        <v>1.58</v>
      </c>
      <c r="Z36" s="30"/>
      <c r="AA36" s="30">
        <v>1.58</v>
      </c>
      <c r="AB36" s="35" t="s">
        <v>1104</v>
      </c>
      <c r="AC36" s="202" t="s">
        <v>1880</v>
      </c>
      <c r="AD36" s="35" t="s">
        <v>1880</v>
      </c>
      <c r="AE36" s="9"/>
    </row>
    <row r="37" spans="1:31" s="11" customFormat="1" ht="26.25" customHeight="1" x14ac:dyDescent="0.15">
      <c r="A37" s="8">
        <v>35</v>
      </c>
      <c r="B37" s="8" t="s">
        <v>4617</v>
      </c>
      <c r="C37" s="40" t="s">
        <v>111</v>
      </c>
      <c r="D37" s="330" t="s">
        <v>111</v>
      </c>
      <c r="E37" s="8" t="s">
        <v>4760</v>
      </c>
      <c r="F37" s="29" t="s">
        <v>4628</v>
      </c>
      <c r="G37" s="53" t="s">
        <v>4629</v>
      </c>
      <c r="H37" s="20" t="s">
        <v>1147</v>
      </c>
      <c r="I37" s="20" t="s">
        <v>2067</v>
      </c>
      <c r="J37" s="20" t="s">
        <v>4757</v>
      </c>
      <c r="K37" s="22" t="s">
        <v>4758</v>
      </c>
      <c r="L37" s="22" t="s">
        <v>1826</v>
      </c>
      <c r="M37" s="40" t="s">
        <v>111</v>
      </c>
      <c r="N37" s="71" t="s">
        <v>4630</v>
      </c>
      <c r="O37" s="76" t="s">
        <v>4683</v>
      </c>
      <c r="P37" s="71" t="s">
        <v>19</v>
      </c>
      <c r="Q37" s="71" t="s">
        <v>4681</v>
      </c>
      <c r="R37" s="9" t="s">
        <v>4632</v>
      </c>
      <c r="S37" s="24" t="s">
        <v>4678</v>
      </c>
      <c r="T37" s="90" t="s">
        <v>4633</v>
      </c>
      <c r="U37" s="24" t="s">
        <v>1800</v>
      </c>
      <c r="V37" s="10">
        <v>1</v>
      </c>
      <c r="W37" s="24" t="s">
        <v>1880</v>
      </c>
      <c r="X37" s="24" t="s">
        <v>1880</v>
      </c>
      <c r="Y37" s="30">
        <v>9.2347999999999999</v>
      </c>
      <c r="Z37" s="30"/>
      <c r="AA37" s="30">
        <v>9.2347999999999999</v>
      </c>
      <c r="AB37" s="35" t="s">
        <v>1104</v>
      </c>
      <c r="AC37" s="202" t="s">
        <v>1880</v>
      </c>
      <c r="AD37" s="35" t="s">
        <v>1880</v>
      </c>
      <c r="AE37" s="54" t="s">
        <v>4954</v>
      </c>
    </row>
    <row r="38" spans="1:31" s="11" customFormat="1" ht="26.25" customHeight="1" x14ac:dyDescent="0.15">
      <c r="A38" s="8">
        <v>36</v>
      </c>
      <c r="B38" s="8" t="s">
        <v>4618</v>
      </c>
      <c r="C38" s="40" t="s">
        <v>111</v>
      </c>
      <c r="D38" s="330" t="s">
        <v>111</v>
      </c>
      <c r="E38" s="8" t="s">
        <v>4883</v>
      </c>
      <c r="F38" s="29" t="s">
        <v>4473</v>
      </c>
      <c r="G38" s="53" t="s">
        <v>4634</v>
      </c>
      <c r="H38" s="20" t="s">
        <v>1147</v>
      </c>
      <c r="I38" s="20" t="s">
        <v>2067</v>
      </c>
      <c r="J38" s="20" t="s">
        <v>3962</v>
      </c>
      <c r="K38" s="22" t="s">
        <v>4635</v>
      </c>
      <c r="L38" s="22" t="s">
        <v>1826</v>
      </c>
      <c r="M38" s="40" t="s">
        <v>111</v>
      </c>
      <c r="N38" s="9" t="s">
        <v>4630</v>
      </c>
      <c r="O38" s="54" t="s">
        <v>4682</v>
      </c>
      <c r="P38" s="71" t="s">
        <v>19</v>
      </c>
      <c r="Q38" s="9" t="s">
        <v>4631</v>
      </c>
      <c r="R38" s="9" t="s">
        <v>4632</v>
      </c>
      <c r="S38" s="24" t="s">
        <v>4678</v>
      </c>
      <c r="T38" s="90" t="s">
        <v>4627</v>
      </c>
      <c r="U38" s="24" t="s">
        <v>1800</v>
      </c>
      <c r="V38" s="10">
        <v>1</v>
      </c>
      <c r="W38" s="24" t="s">
        <v>1880</v>
      </c>
      <c r="X38" s="24" t="s">
        <v>1880</v>
      </c>
      <c r="Y38" s="30">
        <v>23.345800000000001</v>
      </c>
      <c r="Z38" s="30"/>
      <c r="AA38" s="30">
        <v>23.345800000000001</v>
      </c>
      <c r="AB38" s="35" t="s">
        <v>1104</v>
      </c>
      <c r="AC38" s="202" t="s">
        <v>1880</v>
      </c>
      <c r="AD38" s="35">
        <v>12</v>
      </c>
      <c r="AE38" s="54" t="s">
        <v>4955</v>
      </c>
    </row>
    <row r="39" spans="1:31" s="11" customFormat="1" ht="26.25" customHeight="1" x14ac:dyDescent="0.15">
      <c r="A39" s="8">
        <v>37</v>
      </c>
      <c r="B39" s="8" t="s">
        <v>4619</v>
      </c>
      <c r="C39" s="40" t="s">
        <v>111</v>
      </c>
      <c r="D39" s="330" t="s">
        <v>111</v>
      </c>
      <c r="E39" s="40" t="s">
        <v>111</v>
      </c>
      <c r="F39" s="29" t="s">
        <v>4476</v>
      </c>
      <c r="G39" s="53" t="s">
        <v>4636</v>
      </c>
      <c r="H39" s="20" t="s">
        <v>1147</v>
      </c>
      <c r="I39" s="20" t="s">
        <v>2067</v>
      </c>
      <c r="J39" s="20" t="s">
        <v>2340</v>
      </c>
      <c r="K39" s="22" t="s">
        <v>4637</v>
      </c>
      <c r="L39" s="22" t="s">
        <v>1826</v>
      </c>
      <c r="M39" s="40" t="s">
        <v>111</v>
      </c>
      <c r="N39" s="9" t="s">
        <v>4630</v>
      </c>
      <c r="O39" s="54" t="s">
        <v>4533</v>
      </c>
      <c r="P39" s="71" t="s">
        <v>19</v>
      </c>
      <c r="Q39" s="9" t="s">
        <v>4631</v>
      </c>
      <c r="R39" s="9" t="s">
        <v>4632</v>
      </c>
      <c r="S39" s="24" t="s">
        <v>4678</v>
      </c>
      <c r="T39" s="90" t="s">
        <v>4627</v>
      </c>
      <c r="U39" s="24" t="s">
        <v>1800</v>
      </c>
      <c r="V39" s="10">
        <v>1</v>
      </c>
      <c r="W39" s="24" t="s">
        <v>1880</v>
      </c>
      <c r="X39" s="24" t="s">
        <v>1880</v>
      </c>
      <c r="Y39" s="30">
        <v>28.3003</v>
      </c>
      <c r="Z39" s="30"/>
      <c r="AA39" s="30">
        <v>28.3003</v>
      </c>
      <c r="AB39" s="35" t="s">
        <v>1104</v>
      </c>
      <c r="AC39" s="202" t="s">
        <v>1880</v>
      </c>
      <c r="AD39" s="35">
        <v>22</v>
      </c>
      <c r="AE39" s="54" t="s">
        <v>4956</v>
      </c>
    </row>
    <row r="40" spans="1:31" s="11" customFormat="1" ht="26.25" customHeight="1" x14ac:dyDescent="0.15">
      <c r="A40" s="8">
        <v>38</v>
      </c>
      <c r="B40" s="8" t="s">
        <v>4620</v>
      </c>
      <c r="C40" s="40" t="s">
        <v>111</v>
      </c>
      <c r="D40" s="330" t="s">
        <v>111</v>
      </c>
      <c r="E40" s="8" t="s">
        <v>4931</v>
      </c>
      <c r="F40" s="29" t="s">
        <v>4456</v>
      </c>
      <c r="G40" s="53" t="s">
        <v>4638</v>
      </c>
      <c r="H40" s="20" t="s">
        <v>1147</v>
      </c>
      <c r="I40" s="20" t="s">
        <v>2067</v>
      </c>
      <c r="J40" s="20" t="s">
        <v>1808</v>
      </c>
      <c r="K40" s="22" t="s">
        <v>4637</v>
      </c>
      <c r="L40" s="22" t="s">
        <v>1826</v>
      </c>
      <c r="M40" s="40" t="s">
        <v>111</v>
      </c>
      <c r="N40" s="9" t="s">
        <v>4630</v>
      </c>
      <c r="O40" s="54" t="s">
        <v>4533</v>
      </c>
      <c r="P40" s="71" t="s">
        <v>19</v>
      </c>
      <c r="Q40" s="9" t="s">
        <v>4631</v>
      </c>
      <c r="R40" s="9" t="s">
        <v>4632</v>
      </c>
      <c r="S40" s="24" t="s">
        <v>4678</v>
      </c>
      <c r="T40" s="90" t="s">
        <v>4627</v>
      </c>
      <c r="U40" s="24" t="s">
        <v>1800</v>
      </c>
      <c r="V40" s="10">
        <v>1</v>
      </c>
      <c r="W40" s="24" t="s">
        <v>1880</v>
      </c>
      <c r="X40" s="24" t="s">
        <v>1880</v>
      </c>
      <c r="Y40" s="30">
        <v>23.345800000000001</v>
      </c>
      <c r="Z40" s="30"/>
      <c r="AA40" s="30">
        <v>23.345800000000001</v>
      </c>
      <c r="AB40" s="35" t="s">
        <v>1104</v>
      </c>
      <c r="AC40" s="202" t="s">
        <v>1880</v>
      </c>
      <c r="AD40" s="35">
        <v>12</v>
      </c>
      <c r="AE40" s="54" t="s">
        <v>4955</v>
      </c>
    </row>
    <row r="41" spans="1:31" s="11" customFormat="1" ht="26.25" customHeight="1" x14ac:dyDescent="0.15">
      <c r="A41" s="8">
        <v>39</v>
      </c>
      <c r="B41" s="8" t="s">
        <v>4621</v>
      </c>
      <c r="C41" s="40" t="s">
        <v>111</v>
      </c>
      <c r="D41" s="330" t="s">
        <v>111</v>
      </c>
      <c r="E41" s="8" t="s">
        <v>4932</v>
      </c>
      <c r="F41" s="29" t="s">
        <v>4480</v>
      </c>
      <c r="G41" s="53" t="s">
        <v>4639</v>
      </c>
      <c r="H41" s="20" t="s">
        <v>1147</v>
      </c>
      <c r="I41" s="20" t="s">
        <v>2067</v>
      </c>
      <c r="J41" s="20" t="s">
        <v>4481</v>
      </c>
      <c r="K41" s="22" t="s">
        <v>4640</v>
      </c>
      <c r="L41" s="22" t="s">
        <v>1826</v>
      </c>
      <c r="M41" s="40" t="s">
        <v>111</v>
      </c>
      <c r="N41" s="9" t="s">
        <v>4630</v>
      </c>
      <c r="O41" s="54" t="s">
        <v>4533</v>
      </c>
      <c r="P41" s="71" t="s">
        <v>19</v>
      </c>
      <c r="Q41" s="257" t="s">
        <v>1811</v>
      </c>
      <c r="R41" s="9" t="s">
        <v>4632</v>
      </c>
      <c r="S41" s="24" t="s">
        <v>4678</v>
      </c>
      <c r="T41" s="90" t="s">
        <v>4627</v>
      </c>
      <c r="U41" s="24" t="s">
        <v>1800</v>
      </c>
      <c r="V41" s="10">
        <v>1</v>
      </c>
      <c r="W41" s="24" t="s">
        <v>1880</v>
      </c>
      <c r="X41" s="24" t="s">
        <v>1880</v>
      </c>
      <c r="Y41" s="30">
        <v>23.345800000000001</v>
      </c>
      <c r="Z41" s="30"/>
      <c r="AA41" s="30">
        <v>23.345800000000001</v>
      </c>
      <c r="AB41" s="35" t="s">
        <v>1104</v>
      </c>
      <c r="AC41" s="202" t="s">
        <v>1880</v>
      </c>
      <c r="AD41" s="35">
        <v>12</v>
      </c>
      <c r="AE41" s="54" t="s">
        <v>4955</v>
      </c>
    </row>
    <row r="42" spans="1:31" s="11" customFormat="1" ht="26.25" customHeight="1" x14ac:dyDescent="0.15">
      <c r="A42" s="8">
        <v>40</v>
      </c>
      <c r="B42" s="8" t="s">
        <v>4662</v>
      </c>
      <c r="C42" s="40" t="s">
        <v>4661</v>
      </c>
      <c r="D42" s="330" t="s">
        <v>111</v>
      </c>
      <c r="E42" s="40" t="s">
        <v>111</v>
      </c>
      <c r="F42" s="29" t="s">
        <v>4663</v>
      </c>
      <c r="G42" s="53" t="s">
        <v>4664</v>
      </c>
      <c r="H42" s="20" t="s">
        <v>1147</v>
      </c>
      <c r="I42" s="20" t="s">
        <v>4668</v>
      </c>
      <c r="J42" s="20" t="s">
        <v>4669</v>
      </c>
      <c r="K42" s="22" t="s">
        <v>4665</v>
      </c>
      <c r="L42" s="22" t="s">
        <v>1826</v>
      </c>
      <c r="M42" s="40" t="s">
        <v>111</v>
      </c>
      <c r="N42" s="9" t="s">
        <v>445</v>
      </c>
      <c r="O42" s="54" t="s">
        <v>4666</v>
      </c>
      <c r="P42" s="71" t="s">
        <v>19</v>
      </c>
      <c r="Q42" s="9" t="s">
        <v>4653</v>
      </c>
      <c r="R42" s="9" t="s">
        <v>4653</v>
      </c>
      <c r="S42" s="24" t="s">
        <v>4678</v>
      </c>
      <c r="T42" s="90" t="s">
        <v>4667</v>
      </c>
      <c r="U42" s="24" t="s">
        <v>4655</v>
      </c>
      <c r="V42" s="24">
        <v>1</v>
      </c>
      <c r="W42" s="24" t="s">
        <v>1880</v>
      </c>
      <c r="X42" s="24" t="s">
        <v>1880</v>
      </c>
      <c r="Y42" s="30">
        <v>8</v>
      </c>
      <c r="Z42" s="30"/>
      <c r="AA42" s="30">
        <v>8</v>
      </c>
      <c r="AB42" s="35" t="s">
        <v>1104</v>
      </c>
      <c r="AC42" s="202" t="s">
        <v>1880</v>
      </c>
      <c r="AD42" s="35" t="s">
        <v>1880</v>
      </c>
      <c r="AE42" s="9"/>
    </row>
    <row r="43" spans="1:31" s="11" customFormat="1" ht="26.25" customHeight="1" x14ac:dyDescent="0.15">
      <c r="A43" s="8">
        <v>41</v>
      </c>
      <c r="B43" s="8" t="s">
        <v>4641</v>
      </c>
      <c r="C43" s="40" t="s">
        <v>111</v>
      </c>
      <c r="D43" s="330" t="s">
        <v>111</v>
      </c>
      <c r="E43" s="40" t="s">
        <v>111</v>
      </c>
      <c r="F43" s="29" t="s">
        <v>4659</v>
      </c>
      <c r="G43" s="53" t="s">
        <v>4660</v>
      </c>
      <c r="H43" s="20" t="s">
        <v>1147</v>
      </c>
      <c r="I43" s="20" t="s">
        <v>2151</v>
      </c>
      <c r="J43" s="20" t="s">
        <v>2152</v>
      </c>
      <c r="K43" s="20" t="s">
        <v>2158</v>
      </c>
      <c r="L43" s="22" t="s">
        <v>1826</v>
      </c>
      <c r="M43" s="40" t="s">
        <v>111</v>
      </c>
      <c r="N43" s="221" t="s">
        <v>4651</v>
      </c>
      <c r="O43" s="222" t="s">
        <v>4652</v>
      </c>
      <c r="P43" s="221" t="s">
        <v>19</v>
      </c>
      <c r="Q43" s="221" t="s">
        <v>4653</v>
      </c>
      <c r="R43" s="221" t="s">
        <v>4653</v>
      </c>
      <c r="S43" s="24" t="s">
        <v>4678</v>
      </c>
      <c r="T43" s="224" t="s">
        <v>4654</v>
      </c>
      <c r="U43" s="223" t="s">
        <v>4655</v>
      </c>
      <c r="V43" s="223">
        <v>1</v>
      </c>
      <c r="W43" s="223" t="s">
        <v>4656</v>
      </c>
      <c r="X43" s="223" t="s">
        <v>4657</v>
      </c>
      <c r="Y43" s="30"/>
      <c r="Z43" s="30">
        <v>10</v>
      </c>
      <c r="AA43" s="30">
        <v>10</v>
      </c>
      <c r="AB43" s="35" t="s">
        <v>4658</v>
      </c>
      <c r="AC43" s="202" t="s">
        <v>1880</v>
      </c>
      <c r="AD43" s="35" t="s">
        <v>1880</v>
      </c>
      <c r="AE43" s="9"/>
    </row>
    <row r="44" spans="1:31" s="11" customFormat="1" ht="26.25" customHeight="1" x14ac:dyDescent="0.15">
      <c r="A44" s="8">
        <v>42</v>
      </c>
      <c r="B44" s="8" t="s">
        <v>4648</v>
      </c>
      <c r="C44" s="40" t="s">
        <v>111</v>
      </c>
      <c r="D44" s="330" t="s">
        <v>111</v>
      </c>
      <c r="E44" s="40" t="s">
        <v>111</v>
      </c>
      <c r="F44" s="29" t="s">
        <v>4649</v>
      </c>
      <c r="G44" s="53" t="s">
        <v>4650</v>
      </c>
      <c r="H44" s="20" t="s">
        <v>2012</v>
      </c>
      <c r="I44" s="20" t="s">
        <v>2151</v>
      </c>
      <c r="J44" s="20" t="s">
        <v>2157</v>
      </c>
      <c r="K44" s="20" t="s">
        <v>2181</v>
      </c>
      <c r="L44" s="22" t="s">
        <v>1826</v>
      </c>
      <c r="M44" s="40" t="s">
        <v>111</v>
      </c>
      <c r="N44" s="221" t="s">
        <v>4651</v>
      </c>
      <c r="O44" s="222" t="s">
        <v>4652</v>
      </c>
      <c r="P44" s="221" t="s">
        <v>19</v>
      </c>
      <c r="Q44" s="221" t="s">
        <v>4653</v>
      </c>
      <c r="R44" s="221" t="s">
        <v>4653</v>
      </c>
      <c r="S44" s="24" t="s">
        <v>4678</v>
      </c>
      <c r="T44" s="224" t="s">
        <v>4654</v>
      </c>
      <c r="U44" s="223" t="s">
        <v>4655</v>
      </c>
      <c r="V44" s="223">
        <v>1</v>
      </c>
      <c r="W44" s="223" t="s">
        <v>4656</v>
      </c>
      <c r="X44" s="223" t="s">
        <v>4657</v>
      </c>
      <c r="Y44" s="30"/>
      <c r="Z44" s="30">
        <v>10</v>
      </c>
      <c r="AA44" s="30">
        <v>10</v>
      </c>
      <c r="AB44" s="35" t="s">
        <v>4658</v>
      </c>
      <c r="AC44" s="202" t="s">
        <v>1880</v>
      </c>
      <c r="AD44" s="35" t="s">
        <v>1880</v>
      </c>
      <c r="AE44" s="9"/>
    </row>
    <row r="45" spans="1:31" s="364" customFormat="1" ht="26.25" customHeight="1" x14ac:dyDescent="0.15">
      <c r="A45" s="8">
        <v>43</v>
      </c>
      <c r="B45" s="218" t="s">
        <v>4646</v>
      </c>
      <c r="C45" s="82" t="s">
        <v>111</v>
      </c>
      <c r="D45" s="82" t="s">
        <v>111</v>
      </c>
      <c r="E45" s="82" t="s">
        <v>111</v>
      </c>
      <c r="F45" s="67" t="s">
        <v>4642</v>
      </c>
      <c r="G45" s="99" t="s">
        <v>3937</v>
      </c>
      <c r="H45" s="83" t="s">
        <v>2420</v>
      </c>
      <c r="I45" s="83" t="s">
        <v>1789</v>
      </c>
      <c r="J45" s="83" t="s">
        <v>3695</v>
      </c>
      <c r="K45" s="83" t="s">
        <v>3696</v>
      </c>
      <c r="L45" s="84" t="s">
        <v>1826</v>
      </c>
      <c r="M45" s="82" t="s">
        <v>111</v>
      </c>
      <c r="N45" s="71" t="s">
        <v>4643</v>
      </c>
      <c r="O45" s="76" t="s">
        <v>4644</v>
      </c>
      <c r="P45" s="71" t="s">
        <v>19</v>
      </c>
      <c r="Q45" s="71" t="s">
        <v>4645</v>
      </c>
      <c r="R45" s="71" t="s">
        <v>4645</v>
      </c>
      <c r="S45" s="211" t="s">
        <v>4695</v>
      </c>
      <c r="T45" s="271" t="s">
        <v>1880</v>
      </c>
      <c r="U45" s="82" t="s">
        <v>1880</v>
      </c>
      <c r="V45" s="82" t="s">
        <v>1880</v>
      </c>
      <c r="W45" s="211" t="s">
        <v>1880</v>
      </c>
      <c r="X45" s="211" t="s">
        <v>1880</v>
      </c>
      <c r="Y45" s="96">
        <v>2.4</v>
      </c>
      <c r="Z45" s="96"/>
      <c r="AA45" s="96">
        <v>2.4</v>
      </c>
      <c r="AB45" s="133" t="s">
        <v>1104</v>
      </c>
      <c r="AC45" s="133" t="s">
        <v>1880</v>
      </c>
      <c r="AD45" s="133" t="s">
        <v>1880</v>
      </c>
      <c r="AE45" s="76" t="s">
        <v>4726</v>
      </c>
    </row>
    <row r="46" spans="1:31" s="364" customFormat="1" ht="26.25" customHeight="1" x14ac:dyDescent="0.15">
      <c r="A46" s="8">
        <v>44</v>
      </c>
      <c r="B46" s="218" t="s">
        <v>4647</v>
      </c>
      <c r="C46" s="82" t="s">
        <v>111</v>
      </c>
      <c r="D46" s="82" t="s">
        <v>111</v>
      </c>
      <c r="E46" s="82" t="s">
        <v>111</v>
      </c>
      <c r="F46" s="67" t="s">
        <v>4642</v>
      </c>
      <c r="G46" s="99" t="s">
        <v>3937</v>
      </c>
      <c r="H46" s="83" t="s">
        <v>2420</v>
      </c>
      <c r="I46" s="83" t="s">
        <v>1789</v>
      </c>
      <c r="J46" s="83" t="s">
        <v>3695</v>
      </c>
      <c r="K46" s="83" t="s">
        <v>3696</v>
      </c>
      <c r="L46" s="84" t="s">
        <v>1826</v>
      </c>
      <c r="M46" s="82" t="s">
        <v>111</v>
      </c>
      <c r="N46" s="71" t="s">
        <v>4643</v>
      </c>
      <c r="O46" s="76" t="s">
        <v>4644</v>
      </c>
      <c r="P46" s="71" t="s">
        <v>19</v>
      </c>
      <c r="Q46" s="71" t="s">
        <v>4645</v>
      </c>
      <c r="R46" s="71" t="s">
        <v>4645</v>
      </c>
      <c r="S46" s="211" t="s">
        <v>4695</v>
      </c>
      <c r="T46" s="271" t="s">
        <v>1880</v>
      </c>
      <c r="U46" s="82" t="s">
        <v>1880</v>
      </c>
      <c r="V46" s="82" t="s">
        <v>1880</v>
      </c>
      <c r="W46" s="211" t="s">
        <v>1880</v>
      </c>
      <c r="X46" s="211" t="s">
        <v>1880</v>
      </c>
      <c r="Y46" s="96">
        <v>2.8</v>
      </c>
      <c r="Z46" s="96"/>
      <c r="AA46" s="96">
        <v>2.8</v>
      </c>
      <c r="AB46" s="133" t="s">
        <v>1104</v>
      </c>
      <c r="AC46" s="133" t="s">
        <v>1880</v>
      </c>
      <c r="AD46" s="133" t="s">
        <v>1880</v>
      </c>
      <c r="AE46" s="76" t="s">
        <v>4684</v>
      </c>
    </row>
    <row r="47" spans="1:31" s="11" customFormat="1" ht="26.25" customHeight="1" x14ac:dyDescent="0.15">
      <c r="A47" s="8">
        <v>45</v>
      </c>
      <c r="B47" s="8" t="s">
        <v>4672</v>
      </c>
      <c r="C47" s="26" t="s">
        <v>4671</v>
      </c>
      <c r="D47" s="40" t="s">
        <v>111</v>
      </c>
      <c r="E47" s="40" t="s">
        <v>111</v>
      </c>
      <c r="F47" s="29" t="s">
        <v>4673</v>
      </c>
      <c r="G47" s="53" t="s">
        <v>4670</v>
      </c>
      <c r="H47" s="9" t="s">
        <v>4674</v>
      </c>
      <c r="I47" s="9" t="s">
        <v>4196</v>
      </c>
      <c r="J47" s="9" t="s">
        <v>4675</v>
      </c>
      <c r="K47" s="22" t="s">
        <v>1138</v>
      </c>
      <c r="L47" s="22" t="s">
        <v>2142</v>
      </c>
      <c r="M47" s="40" t="s">
        <v>111</v>
      </c>
      <c r="N47" s="9" t="s">
        <v>4676</v>
      </c>
      <c r="O47" s="54" t="s">
        <v>4677</v>
      </c>
      <c r="P47" s="71" t="s">
        <v>19</v>
      </c>
      <c r="Q47" s="9" t="s">
        <v>3652</v>
      </c>
      <c r="R47" s="9" t="s">
        <v>3652</v>
      </c>
      <c r="S47" s="24" t="s">
        <v>4678</v>
      </c>
      <c r="T47" s="90" t="s">
        <v>4679</v>
      </c>
      <c r="U47" s="24" t="s">
        <v>2359</v>
      </c>
      <c r="V47" s="24">
        <v>1</v>
      </c>
      <c r="W47" s="24" t="s">
        <v>1880</v>
      </c>
      <c r="X47" s="24" t="s">
        <v>1880</v>
      </c>
      <c r="Y47" s="30">
        <v>5.98</v>
      </c>
      <c r="Z47" s="30"/>
      <c r="AA47" s="30">
        <v>5.98</v>
      </c>
      <c r="AB47" s="35" t="s">
        <v>1104</v>
      </c>
      <c r="AC47" s="202" t="s">
        <v>1880</v>
      </c>
      <c r="AD47" s="35">
        <v>0.3</v>
      </c>
      <c r="AE47" s="9"/>
    </row>
    <row r="48" spans="1:31" s="11" customFormat="1" ht="26.25" customHeight="1" x14ac:dyDescent="0.15">
      <c r="A48" s="8">
        <v>46</v>
      </c>
      <c r="B48" s="8" t="s">
        <v>4688</v>
      </c>
      <c r="C48" s="26" t="s">
        <v>4687</v>
      </c>
      <c r="D48" s="226" t="s">
        <v>111</v>
      </c>
      <c r="E48" s="226" t="s">
        <v>111</v>
      </c>
      <c r="F48" s="29" t="s">
        <v>4689</v>
      </c>
      <c r="G48" s="53" t="s">
        <v>4690</v>
      </c>
      <c r="H48" s="225" t="s">
        <v>4691</v>
      </c>
      <c r="I48" s="225" t="s">
        <v>4692</v>
      </c>
      <c r="J48" s="225" t="s">
        <v>4693</v>
      </c>
      <c r="K48" s="22" t="s">
        <v>1138</v>
      </c>
      <c r="L48" s="22" t="s">
        <v>1826</v>
      </c>
      <c r="M48" s="226" t="s">
        <v>111</v>
      </c>
      <c r="N48" s="216" t="s">
        <v>25</v>
      </c>
      <c r="O48" s="54" t="s">
        <v>4694</v>
      </c>
      <c r="P48" s="71" t="s">
        <v>19</v>
      </c>
      <c r="Q48" s="225" t="s">
        <v>3248</v>
      </c>
      <c r="R48" s="225" t="s">
        <v>3248</v>
      </c>
      <c r="S48" s="24" t="s">
        <v>4727</v>
      </c>
      <c r="T48" s="90" t="s">
        <v>4695</v>
      </c>
      <c r="U48" s="24" t="s">
        <v>2359</v>
      </c>
      <c r="V48" s="24">
        <v>1</v>
      </c>
      <c r="W48" s="24" t="s">
        <v>1880</v>
      </c>
      <c r="X48" s="24" t="s">
        <v>1880</v>
      </c>
      <c r="Y48" s="30">
        <v>6</v>
      </c>
      <c r="Z48" s="30"/>
      <c r="AA48" s="30">
        <v>6</v>
      </c>
      <c r="AB48" s="35" t="s">
        <v>1104</v>
      </c>
      <c r="AC48" s="202" t="s">
        <v>1880</v>
      </c>
      <c r="AD48" s="35" t="s">
        <v>1880</v>
      </c>
      <c r="AE48" s="225"/>
    </row>
    <row r="49" spans="1:31" s="11" customFormat="1" ht="26.25" customHeight="1" x14ac:dyDescent="0.15">
      <c r="A49" s="8">
        <v>47</v>
      </c>
      <c r="B49" s="8" t="s">
        <v>4699</v>
      </c>
      <c r="C49" s="26" t="s">
        <v>4696</v>
      </c>
      <c r="D49" s="226" t="s">
        <v>111</v>
      </c>
      <c r="E49" s="226" t="s">
        <v>111</v>
      </c>
      <c r="F49" s="29" t="s">
        <v>4697</v>
      </c>
      <c r="G49" s="53" t="s">
        <v>4698</v>
      </c>
      <c r="H49" s="225" t="s">
        <v>4700</v>
      </c>
      <c r="I49" s="225" t="s">
        <v>4701</v>
      </c>
      <c r="J49" s="225" t="s">
        <v>4702</v>
      </c>
      <c r="K49" s="225" t="s">
        <v>4703</v>
      </c>
      <c r="L49" s="22" t="s">
        <v>1826</v>
      </c>
      <c r="M49" s="226" t="s">
        <v>111</v>
      </c>
      <c r="N49" s="221" t="s">
        <v>1818</v>
      </c>
      <c r="O49" s="222" t="s">
        <v>1819</v>
      </c>
      <c r="P49" s="71" t="s">
        <v>19</v>
      </c>
      <c r="Q49" s="225" t="s">
        <v>4704</v>
      </c>
      <c r="R49" s="225" t="s">
        <v>4704</v>
      </c>
      <c r="S49" s="24" t="s">
        <v>4727</v>
      </c>
      <c r="T49" s="90" t="s">
        <v>4679</v>
      </c>
      <c r="U49" s="24" t="s">
        <v>2359</v>
      </c>
      <c r="V49" s="24">
        <v>1</v>
      </c>
      <c r="W49" s="24" t="s">
        <v>1842</v>
      </c>
      <c r="X49" s="24" t="s">
        <v>1843</v>
      </c>
      <c r="Y49" s="30"/>
      <c r="Z49" s="30">
        <v>9.9</v>
      </c>
      <c r="AA49" s="30">
        <v>9.9</v>
      </c>
      <c r="AB49" s="35" t="s">
        <v>1104</v>
      </c>
      <c r="AC49" s="202" t="s">
        <v>1880</v>
      </c>
      <c r="AD49" s="35" t="s">
        <v>1880</v>
      </c>
      <c r="AE49" s="225"/>
    </row>
    <row r="50" spans="1:31" s="11" customFormat="1" ht="26.25" customHeight="1" x14ac:dyDescent="0.15">
      <c r="A50" s="8">
        <v>48</v>
      </c>
      <c r="B50" s="8" t="s">
        <v>4685</v>
      </c>
      <c r="C50" s="226" t="s">
        <v>111</v>
      </c>
      <c r="D50" s="226" t="s">
        <v>111</v>
      </c>
      <c r="E50" s="226" t="s">
        <v>111</v>
      </c>
      <c r="F50" s="29" t="s">
        <v>4165</v>
      </c>
      <c r="G50" s="53" t="s">
        <v>4705</v>
      </c>
      <c r="H50" s="225" t="s">
        <v>4195</v>
      </c>
      <c r="I50" s="225" t="s">
        <v>1124</v>
      </c>
      <c r="J50" s="225" t="s">
        <v>4706</v>
      </c>
      <c r="K50" s="22" t="s">
        <v>4168</v>
      </c>
      <c r="L50" s="22" t="s">
        <v>1826</v>
      </c>
      <c r="M50" s="226" t="s">
        <v>111</v>
      </c>
      <c r="N50" s="221" t="s">
        <v>1818</v>
      </c>
      <c r="O50" s="222" t="s">
        <v>1819</v>
      </c>
      <c r="P50" s="71" t="s">
        <v>19</v>
      </c>
      <c r="Q50" s="71" t="s">
        <v>1152</v>
      </c>
      <c r="R50" s="225" t="s">
        <v>1152</v>
      </c>
      <c r="S50" s="24" t="s">
        <v>4727</v>
      </c>
      <c r="T50" s="90" t="s">
        <v>4707</v>
      </c>
      <c r="U50" s="24" t="s">
        <v>1800</v>
      </c>
      <c r="V50" s="10">
        <v>1</v>
      </c>
      <c r="W50" s="24" t="s">
        <v>4707</v>
      </c>
      <c r="X50" s="24" t="s">
        <v>4708</v>
      </c>
      <c r="Y50" s="30"/>
      <c r="Z50" s="30">
        <v>15</v>
      </c>
      <c r="AA50" s="30">
        <v>15</v>
      </c>
      <c r="AB50" s="35" t="s">
        <v>1104</v>
      </c>
      <c r="AC50" s="202" t="s">
        <v>1880</v>
      </c>
      <c r="AD50" s="35" t="s">
        <v>1880</v>
      </c>
      <c r="AE50" s="225"/>
    </row>
    <row r="51" spans="1:31" s="11" customFormat="1" ht="33.75" x14ac:dyDescent="0.15">
      <c r="A51" s="8">
        <v>49</v>
      </c>
      <c r="B51" s="8" t="s">
        <v>4710</v>
      </c>
      <c r="C51" s="26" t="s">
        <v>4709</v>
      </c>
      <c r="D51" s="226" t="s">
        <v>111</v>
      </c>
      <c r="E51" s="226" t="s">
        <v>111</v>
      </c>
      <c r="F51" s="29" t="s">
        <v>4711</v>
      </c>
      <c r="G51" s="53" t="s">
        <v>5459</v>
      </c>
      <c r="H51" s="225" t="s">
        <v>4712</v>
      </c>
      <c r="I51" s="225" t="s">
        <v>188</v>
      </c>
      <c r="J51" s="225" t="s">
        <v>5458</v>
      </c>
      <c r="K51" s="22" t="s">
        <v>1138</v>
      </c>
      <c r="L51" s="22" t="s">
        <v>1826</v>
      </c>
      <c r="M51" s="22" t="s">
        <v>4713</v>
      </c>
      <c r="N51" s="28" t="s">
        <v>25</v>
      </c>
      <c r="O51" s="54" t="s">
        <v>4714</v>
      </c>
      <c r="P51" s="71" t="s">
        <v>19</v>
      </c>
      <c r="Q51" s="71" t="s">
        <v>4724</v>
      </c>
      <c r="R51" s="225" t="s">
        <v>1152</v>
      </c>
      <c r="S51" s="24" t="s">
        <v>4727</v>
      </c>
      <c r="T51" s="90" t="s">
        <v>4715</v>
      </c>
      <c r="U51" s="24" t="s">
        <v>2359</v>
      </c>
      <c r="V51" s="24">
        <v>1</v>
      </c>
      <c r="W51" s="223" t="s">
        <v>1880</v>
      </c>
      <c r="X51" s="223" t="s">
        <v>1880</v>
      </c>
      <c r="Y51" s="324">
        <v>26.301724</v>
      </c>
      <c r="Z51" s="96"/>
      <c r="AA51" s="324">
        <v>26.301724</v>
      </c>
      <c r="AB51" s="35" t="s">
        <v>1104</v>
      </c>
      <c r="AC51" s="133" t="s">
        <v>3533</v>
      </c>
      <c r="AD51" s="35" t="s">
        <v>1880</v>
      </c>
      <c r="AE51" s="54" t="s">
        <v>5125</v>
      </c>
    </row>
    <row r="52" spans="1:31" s="11" customFormat="1" ht="26.25" customHeight="1" x14ac:dyDescent="0.15">
      <c r="A52" s="8">
        <v>50</v>
      </c>
      <c r="B52" s="8" t="s">
        <v>4686</v>
      </c>
      <c r="C52" s="226" t="s">
        <v>111</v>
      </c>
      <c r="D52" s="226" t="s">
        <v>111</v>
      </c>
      <c r="E52" s="226" t="s">
        <v>111</v>
      </c>
      <c r="F52" s="29" t="s">
        <v>1835</v>
      </c>
      <c r="G52" s="53" t="s">
        <v>4716</v>
      </c>
      <c r="H52" s="229" t="s">
        <v>3649</v>
      </c>
      <c r="I52" s="229" t="s">
        <v>4728</v>
      </c>
      <c r="J52" s="229" t="s">
        <v>4729</v>
      </c>
      <c r="K52" s="22" t="s">
        <v>1138</v>
      </c>
      <c r="L52" s="22" t="s">
        <v>1826</v>
      </c>
      <c r="M52" s="22" t="s">
        <v>1834</v>
      </c>
      <c r="N52" s="221" t="s">
        <v>1818</v>
      </c>
      <c r="O52" s="222" t="s">
        <v>1819</v>
      </c>
      <c r="P52" s="71" t="s">
        <v>19</v>
      </c>
      <c r="Q52" s="225" t="s">
        <v>1831</v>
      </c>
      <c r="R52" s="225" t="s">
        <v>1831</v>
      </c>
      <c r="S52" s="24" t="s">
        <v>4727</v>
      </c>
      <c r="T52" s="90" t="s">
        <v>4382</v>
      </c>
      <c r="U52" s="24" t="s">
        <v>1800</v>
      </c>
      <c r="V52" s="10">
        <v>1</v>
      </c>
      <c r="W52" s="24">
        <v>2019.1</v>
      </c>
      <c r="X52" s="24">
        <v>2020.1</v>
      </c>
      <c r="Y52" s="30"/>
      <c r="Z52" s="30">
        <v>10</v>
      </c>
      <c r="AA52" s="30">
        <v>10</v>
      </c>
      <c r="AB52" s="35" t="s">
        <v>1104</v>
      </c>
      <c r="AC52" s="202" t="s">
        <v>1880</v>
      </c>
      <c r="AD52" s="35" t="s">
        <v>1880</v>
      </c>
      <c r="AE52" s="225"/>
    </row>
    <row r="53" spans="1:31" s="11" customFormat="1" ht="26.25" customHeight="1" x14ac:dyDescent="0.15">
      <c r="A53" s="8">
        <v>51</v>
      </c>
      <c r="B53" s="363" t="s">
        <v>4718</v>
      </c>
      <c r="C53" s="26" t="s">
        <v>4717</v>
      </c>
      <c r="D53" s="226" t="s">
        <v>111</v>
      </c>
      <c r="E53" s="226" t="s">
        <v>111</v>
      </c>
      <c r="F53" s="29" t="s">
        <v>4719</v>
      </c>
      <c r="G53" s="53" t="s">
        <v>4720</v>
      </c>
      <c r="H53" s="225" t="s">
        <v>4195</v>
      </c>
      <c r="I53" s="225" t="s">
        <v>4721</v>
      </c>
      <c r="J53" s="225" t="s">
        <v>4722</v>
      </c>
      <c r="K53" s="22" t="s">
        <v>1138</v>
      </c>
      <c r="L53" s="22" t="s">
        <v>2142</v>
      </c>
      <c r="M53" s="226" t="s">
        <v>111</v>
      </c>
      <c r="N53" s="225" t="s">
        <v>445</v>
      </c>
      <c r="O53" s="54" t="s">
        <v>4723</v>
      </c>
      <c r="P53" s="71" t="s">
        <v>19</v>
      </c>
      <c r="Q53" s="71" t="s">
        <v>1152</v>
      </c>
      <c r="R53" s="225" t="s">
        <v>1152</v>
      </c>
      <c r="S53" s="24" t="s">
        <v>4727</v>
      </c>
      <c r="T53" s="90" t="s">
        <v>4615</v>
      </c>
      <c r="U53" s="24" t="s">
        <v>2359</v>
      </c>
      <c r="V53" s="24">
        <v>2</v>
      </c>
      <c r="W53" s="24" t="s">
        <v>1880</v>
      </c>
      <c r="X53" s="24" t="s">
        <v>1880</v>
      </c>
      <c r="Y53" s="30">
        <v>9.75</v>
      </c>
      <c r="Z53" s="30"/>
      <c r="AA53" s="30">
        <v>9.75</v>
      </c>
      <c r="AB53" s="35" t="s">
        <v>1104</v>
      </c>
      <c r="AC53" s="202" t="s">
        <v>1880</v>
      </c>
      <c r="AD53" s="35" t="s">
        <v>1880</v>
      </c>
      <c r="AE53" s="225"/>
    </row>
    <row r="54" spans="1:31" s="11" customFormat="1" ht="26.25" customHeight="1" x14ac:dyDescent="0.15">
      <c r="A54" s="8">
        <v>52</v>
      </c>
      <c r="B54" s="363" t="s">
        <v>4725</v>
      </c>
      <c r="C54" s="228" t="s">
        <v>111</v>
      </c>
      <c r="D54" s="330" t="s">
        <v>111</v>
      </c>
      <c r="E54" s="228" t="s">
        <v>111</v>
      </c>
      <c r="F54" s="29" t="s">
        <v>2356</v>
      </c>
      <c r="G54" s="53" t="s">
        <v>4737</v>
      </c>
      <c r="H54" s="228" t="s">
        <v>3398</v>
      </c>
      <c r="I54" s="228" t="s">
        <v>188</v>
      </c>
      <c r="J54" s="21" t="s">
        <v>259</v>
      </c>
      <c r="K54" s="22" t="s">
        <v>2385</v>
      </c>
      <c r="L54" s="22" t="s">
        <v>1826</v>
      </c>
      <c r="M54" s="231" t="s">
        <v>111</v>
      </c>
      <c r="N54" s="227" t="s">
        <v>445</v>
      </c>
      <c r="O54" s="222" t="s">
        <v>4741</v>
      </c>
      <c r="P54" s="71" t="s">
        <v>19</v>
      </c>
      <c r="Q54" s="225" t="s">
        <v>1831</v>
      </c>
      <c r="R54" s="225" t="s">
        <v>1831</v>
      </c>
      <c r="S54" s="211" t="s">
        <v>4743</v>
      </c>
      <c r="T54" s="90" t="s">
        <v>4736</v>
      </c>
      <c r="U54" s="24" t="s">
        <v>2359</v>
      </c>
      <c r="V54" s="24">
        <v>1</v>
      </c>
      <c r="W54" s="24" t="s">
        <v>1880</v>
      </c>
      <c r="X54" s="24" t="s">
        <v>1880</v>
      </c>
      <c r="Y54" s="30">
        <v>4.9800000000000004</v>
      </c>
      <c r="Z54" s="30"/>
      <c r="AA54" s="30">
        <v>4.9800000000000004</v>
      </c>
      <c r="AB54" s="35" t="s">
        <v>1104</v>
      </c>
      <c r="AC54" s="202" t="s">
        <v>1880</v>
      </c>
      <c r="AD54" s="35" t="s">
        <v>1880</v>
      </c>
      <c r="AE54" s="225"/>
    </row>
    <row r="55" spans="1:31" s="11" customFormat="1" ht="26.25" customHeight="1" x14ac:dyDescent="0.15">
      <c r="A55" s="8">
        <v>53</v>
      </c>
      <c r="B55" s="363" t="s">
        <v>4730</v>
      </c>
      <c r="C55" s="231" t="s">
        <v>111</v>
      </c>
      <c r="D55" s="330" t="s">
        <v>111</v>
      </c>
      <c r="E55" s="231" t="s">
        <v>111</v>
      </c>
      <c r="F55" s="29" t="s">
        <v>4731</v>
      </c>
      <c r="G55" s="53" t="s">
        <v>4732</v>
      </c>
      <c r="H55" s="231" t="s">
        <v>23</v>
      </c>
      <c r="I55" s="231" t="s">
        <v>4733</v>
      </c>
      <c r="J55" s="231" t="s">
        <v>4734</v>
      </c>
      <c r="K55" s="231" t="s">
        <v>4735</v>
      </c>
      <c r="L55" s="22" t="s">
        <v>1826</v>
      </c>
      <c r="M55" s="228" t="s">
        <v>111</v>
      </c>
      <c r="N55" s="230" t="s">
        <v>445</v>
      </c>
      <c r="O55" s="76" t="s">
        <v>4666</v>
      </c>
      <c r="P55" s="71" t="s">
        <v>19</v>
      </c>
      <c r="Q55" s="71" t="s">
        <v>1152</v>
      </c>
      <c r="R55" s="230" t="s">
        <v>1152</v>
      </c>
      <c r="S55" s="211" t="s">
        <v>4743</v>
      </c>
      <c r="T55" s="90" t="s">
        <v>4736</v>
      </c>
      <c r="U55" s="24" t="s">
        <v>2359</v>
      </c>
      <c r="V55" s="24">
        <v>1</v>
      </c>
      <c r="W55" s="24" t="s">
        <v>1880</v>
      </c>
      <c r="X55" s="24" t="s">
        <v>1880</v>
      </c>
      <c r="Y55" s="30">
        <v>8</v>
      </c>
      <c r="Z55" s="30"/>
      <c r="AA55" s="30">
        <v>8</v>
      </c>
      <c r="AB55" s="35" t="s">
        <v>1104</v>
      </c>
      <c r="AC55" s="133" t="s">
        <v>4756</v>
      </c>
      <c r="AD55" s="35" t="s">
        <v>1880</v>
      </c>
      <c r="AE55" s="230"/>
    </row>
    <row r="56" spans="1:31" s="11" customFormat="1" ht="26.25" customHeight="1" x14ac:dyDescent="0.15">
      <c r="A56" s="8">
        <v>54</v>
      </c>
      <c r="B56" s="363" t="s">
        <v>4738</v>
      </c>
      <c r="C56" s="232" t="s">
        <v>111</v>
      </c>
      <c r="D56" s="330" t="s">
        <v>111</v>
      </c>
      <c r="E56" s="232" t="s">
        <v>111</v>
      </c>
      <c r="F56" s="29" t="s">
        <v>4740</v>
      </c>
      <c r="G56" s="53" t="s">
        <v>4745</v>
      </c>
      <c r="H56" s="232" t="s">
        <v>1460</v>
      </c>
      <c r="I56" s="232" t="s">
        <v>1448</v>
      </c>
      <c r="J56" s="232" t="s">
        <v>4739</v>
      </c>
      <c r="K56" s="232" t="s">
        <v>557</v>
      </c>
      <c r="L56" s="22" t="s">
        <v>1826</v>
      </c>
      <c r="M56" s="232" t="s">
        <v>111</v>
      </c>
      <c r="N56" s="9" t="s">
        <v>1818</v>
      </c>
      <c r="O56" s="76" t="s">
        <v>4742</v>
      </c>
      <c r="P56" s="71" t="s">
        <v>19</v>
      </c>
      <c r="Q56" s="221" t="s">
        <v>3248</v>
      </c>
      <c r="R56" s="9" t="s">
        <v>3248</v>
      </c>
      <c r="S56" s="24" t="s">
        <v>4744</v>
      </c>
      <c r="T56" s="90" t="s">
        <v>4736</v>
      </c>
      <c r="U56" s="24" t="s">
        <v>1800</v>
      </c>
      <c r="V56" s="10">
        <v>1</v>
      </c>
      <c r="W56" s="24" t="s">
        <v>1880</v>
      </c>
      <c r="X56" s="24" t="s">
        <v>1880</v>
      </c>
      <c r="Y56" s="30">
        <v>3.3</v>
      </c>
      <c r="Z56" s="30"/>
      <c r="AA56" s="30">
        <v>3.3</v>
      </c>
      <c r="AB56" s="35" t="s">
        <v>1104</v>
      </c>
      <c r="AC56" s="202" t="s">
        <v>1880</v>
      </c>
      <c r="AD56" s="35" t="s">
        <v>1880</v>
      </c>
      <c r="AE56" s="9"/>
    </row>
    <row r="57" spans="1:31" s="11" customFormat="1" ht="26.25" customHeight="1" x14ac:dyDescent="0.15">
      <c r="A57" s="8">
        <v>55</v>
      </c>
      <c r="B57" s="363" t="s">
        <v>4747</v>
      </c>
      <c r="C57" s="233" t="s">
        <v>4746</v>
      </c>
      <c r="D57" s="234" t="s">
        <v>111</v>
      </c>
      <c r="E57" s="234" t="s">
        <v>111</v>
      </c>
      <c r="F57" s="29" t="s">
        <v>4311</v>
      </c>
      <c r="G57" s="53" t="s">
        <v>4748</v>
      </c>
      <c r="H57" s="235" t="s">
        <v>3649</v>
      </c>
      <c r="I57" s="235" t="s">
        <v>4750</v>
      </c>
      <c r="J57" s="235" t="s">
        <v>4751</v>
      </c>
      <c r="K57" s="22" t="s">
        <v>4752</v>
      </c>
      <c r="L57" s="22" t="s">
        <v>1826</v>
      </c>
      <c r="M57" s="236" t="s">
        <v>111</v>
      </c>
      <c r="N57" s="216" t="s">
        <v>25</v>
      </c>
      <c r="O57" s="54" t="s">
        <v>4753</v>
      </c>
      <c r="P57" s="71" t="s">
        <v>19</v>
      </c>
      <c r="Q57" s="233" t="s">
        <v>1831</v>
      </c>
      <c r="R57" s="233" t="s">
        <v>1831</v>
      </c>
      <c r="S57" s="24" t="s">
        <v>4754</v>
      </c>
      <c r="T57" s="90" t="s">
        <v>4755</v>
      </c>
      <c r="U57" s="24" t="s">
        <v>2359</v>
      </c>
      <c r="V57" s="24">
        <v>1</v>
      </c>
      <c r="W57" s="24" t="s">
        <v>1880</v>
      </c>
      <c r="X57" s="24" t="s">
        <v>1880</v>
      </c>
      <c r="Y57" s="30">
        <v>14.425000000000001</v>
      </c>
      <c r="Z57" s="30"/>
      <c r="AA57" s="30">
        <v>14.425000000000001</v>
      </c>
      <c r="AB57" s="35" t="s">
        <v>1104</v>
      </c>
      <c r="AC57" s="202" t="s">
        <v>1880</v>
      </c>
      <c r="AD57" s="35" t="s">
        <v>1880</v>
      </c>
      <c r="AE57" s="233"/>
    </row>
    <row r="58" spans="1:31" s="11" customFormat="1" ht="42" customHeight="1" x14ac:dyDescent="0.15">
      <c r="A58" s="8">
        <v>56</v>
      </c>
      <c r="B58" s="8" t="s">
        <v>4762</v>
      </c>
      <c r="C58" s="240" t="s">
        <v>111</v>
      </c>
      <c r="D58" s="240" t="s">
        <v>111</v>
      </c>
      <c r="E58" s="240" t="s">
        <v>111</v>
      </c>
      <c r="F58" s="29" t="s">
        <v>4763</v>
      </c>
      <c r="G58" s="53" t="s">
        <v>4764</v>
      </c>
      <c r="H58" s="239" t="s">
        <v>2112</v>
      </c>
      <c r="I58" s="239" t="s">
        <v>1124</v>
      </c>
      <c r="J58" s="239" t="s">
        <v>4765</v>
      </c>
      <c r="K58" s="22" t="s">
        <v>4766</v>
      </c>
      <c r="L58" s="22" t="s">
        <v>1826</v>
      </c>
      <c r="M58" s="240" t="s">
        <v>111</v>
      </c>
      <c r="N58" s="216" t="s">
        <v>25</v>
      </c>
      <c r="O58" s="54" t="s">
        <v>4767</v>
      </c>
      <c r="P58" s="71" t="s">
        <v>19</v>
      </c>
      <c r="Q58" s="239" t="s">
        <v>4768</v>
      </c>
      <c r="R58" s="239" t="s">
        <v>4768</v>
      </c>
      <c r="S58" s="24" t="s">
        <v>4772</v>
      </c>
      <c r="T58" s="90" t="s">
        <v>4769</v>
      </c>
      <c r="U58" s="24" t="s">
        <v>2359</v>
      </c>
      <c r="V58" s="24">
        <v>1</v>
      </c>
      <c r="W58" s="24" t="s">
        <v>4770</v>
      </c>
      <c r="X58" s="24" t="s">
        <v>4771</v>
      </c>
      <c r="Y58" s="30"/>
      <c r="Z58" s="30">
        <v>19.86</v>
      </c>
      <c r="AA58" s="30">
        <v>19.86</v>
      </c>
      <c r="AB58" s="35" t="s">
        <v>1104</v>
      </c>
      <c r="AC58" s="202" t="s">
        <v>1880</v>
      </c>
      <c r="AD58" s="35" t="s">
        <v>1880</v>
      </c>
      <c r="AE58" s="239"/>
    </row>
    <row r="59" spans="1:31" s="11" customFormat="1" ht="26.25" customHeight="1" x14ac:dyDescent="0.15">
      <c r="A59" s="8">
        <v>57</v>
      </c>
      <c r="B59" s="8" t="s">
        <v>4776</v>
      </c>
      <c r="C59" s="244" t="s">
        <v>111</v>
      </c>
      <c r="D59" s="244" t="s">
        <v>111</v>
      </c>
      <c r="E59" s="244" t="s">
        <v>111</v>
      </c>
      <c r="F59" s="29" t="s">
        <v>4777</v>
      </c>
      <c r="G59" s="53" t="s">
        <v>4778</v>
      </c>
      <c r="H59" s="243" t="s">
        <v>3649</v>
      </c>
      <c r="I59" s="243" t="s">
        <v>1124</v>
      </c>
      <c r="J59" s="243" t="s">
        <v>4779</v>
      </c>
      <c r="K59" s="243" t="s">
        <v>4780</v>
      </c>
      <c r="L59" s="22" t="s">
        <v>1826</v>
      </c>
      <c r="M59" s="244" t="s">
        <v>4787</v>
      </c>
      <c r="N59" s="216" t="s">
        <v>25</v>
      </c>
      <c r="O59" s="54" t="s">
        <v>4781</v>
      </c>
      <c r="P59" s="71" t="s">
        <v>19</v>
      </c>
      <c r="Q59" s="243" t="s">
        <v>4782</v>
      </c>
      <c r="R59" s="243" t="s">
        <v>4782</v>
      </c>
      <c r="S59" s="24" t="s">
        <v>4783</v>
      </c>
      <c r="T59" s="90" t="s">
        <v>4784</v>
      </c>
      <c r="U59" s="24" t="s">
        <v>2359</v>
      </c>
      <c r="V59" s="24">
        <v>1</v>
      </c>
      <c r="W59" s="24" t="s">
        <v>4785</v>
      </c>
      <c r="X59" s="24" t="s">
        <v>4786</v>
      </c>
      <c r="Y59" s="30"/>
      <c r="Z59" s="30">
        <v>10</v>
      </c>
      <c r="AA59" s="30">
        <v>10</v>
      </c>
      <c r="AB59" s="35" t="s">
        <v>1104</v>
      </c>
      <c r="AC59" s="202" t="s">
        <v>1880</v>
      </c>
      <c r="AD59" s="35" t="s">
        <v>1880</v>
      </c>
      <c r="AE59" s="243"/>
    </row>
    <row r="60" spans="1:31" s="11" customFormat="1" ht="26.25" customHeight="1" x14ac:dyDescent="0.15">
      <c r="A60" s="8">
        <v>58</v>
      </c>
      <c r="B60" s="8" t="s">
        <v>4789</v>
      </c>
      <c r="C60" s="246" t="s">
        <v>111</v>
      </c>
      <c r="D60" s="247" t="s">
        <v>4798</v>
      </c>
      <c r="E60" s="246" t="s">
        <v>111</v>
      </c>
      <c r="F60" s="29" t="s">
        <v>4790</v>
      </c>
      <c r="G60" s="53" t="s">
        <v>4797</v>
      </c>
      <c r="H60" s="245" t="s">
        <v>4791</v>
      </c>
      <c r="I60" s="245" t="s">
        <v>4792</v>
      </c>
      <c r="J60" s="245" t="s">
        <v>1130</v>
      </c>
      <c r="K60" s="245" t="s">
        <v>4780</v>
      </c>
      <c r="L60" s="22" t="s">
        <v>1826</v>
      </c>
      <c r="M60" s="246" t="s">
        <v>111</v>
      </c>
      <c r="N60" s="216" t="s">
        <v>25</v>
      </c>
      <c r="O60" s="54" t="s">
        <v>4793</v>
      </c>
      <c r="P60" s="71" t="s">
        <v>19</v>
      </c>
      <c r="Q60" s="245" t="s">
        <v>4794</v>
      </c>
      <c r="R60" s="245" t="s">
        <v>4794</v>
      </c>
      <c r="S60" s="24" t="s">
        <v>4795</v>
      </c>
      <c r="T60" s="90" t="s">
        <v>4796</v>
      </c>
      <c r="U60" s="24" t="s">
        <v>2359</v>
      </c>
      <c r="V60" s="24">
        <v>1</v>
      </c>
      <c r="W60" s="24" t="s">
        <v>1880</v>
      </c>
      <c r="X60" s="24" t="s">
        <v>1880</v>
      </c>
      <c r="Y60" s="30">
        <v>2.6301999999999999</v>
      </c>
      <c r="Z60" s="30"/>
      <c r="AA60" s="30">
        <v>2.6301999999999999</v>
      </c>
      <c r="AB60" s="35" t="s">
        <v>1104</v>
      </c>
      <c r="AC60" s="202" t="s">
        <v>1880</v>
      </c>
      <c r="AD60" s="35" t="s">
        <v>1880</v>
      </c>
      <c r="AE60" s="245"/>
    </row>
    <row r="61" spans="1:31" s="11" customFormat="1" ht="26.25" customHeight="1" x14ac:dyDescent="0.15">
      <c r="A61" s="8">
        <v>59</v>
      </c>
      <c r="B61" s="8" t="s">
        <v>4800</v>
      </c>
      <c r="C61" s="250" t="s">
        <v>111</v>
      </c>
      <c r="D61" s="250" t="s">
        <v>111</v>
      </c>
      <c r="E61" s="250" t="s">
        <v>111</v>
      </c>
      <c r="F61" s="151" t="s">
        <v>3611</v>
      </c>
      <c r="G61" s="54" t="s">
        <v>4809</v>
      </c>
      <c r="H61" s="250" t="s">
        <v>2135</v>
      </c>
      <c r="I61" s="250" t="s">
        <v>2533</v>
      </c>
      <c r="J61" s="249" t="s">
        <v>1010</v>
      </c>
      <c r="K61" s="2" t="s">
        <v>1011</v>
      </c>
      <c r="L61" s="250" t="s">
        <v>1826</v>
      </c>
      <c r="M61" s="250" t="s">
        <v>111</v>
      </c>
      <c r="N61" s="22" t="s">
        <v>454</v>
      </c>
      <c r="O61" s="54" t="s">
        <v>1819</v>
      </c>
      <c r="P61" s="250" t="s">
        <v>111</v>
      </c>
      <c r="Q61" s="250" t="s">
        <v>1831</v>
      </c>
      <c r="R61" s="250" t="s">
        <v>1831</v>
      </c>
      <c r="S61" s="250" t="s">
        <v>4841</v>
      </c>
      <c r="T61" s="130" t="s">
        <v>4025</v>
      </c>
      <c r="U61" s="250" t="s">
        <v>2359</v>
      </c>
      <c r="V61" s="250">
        <v>1</v>
      </c>
      <c r="W61" s="250" t="s">
        <v>4385</v>
      </c>
      <c r="X61" s="250" t="s">
        <v>4120</v>
      </c>
      <c r="Y61" s="150"/>
      <c r="Z61" s="150">
        <v>8</v>
      </c>
      <c r="AA61" s="150">
        <v>8</v>
      </c>
      <c r="AB61" s="250" t="s">
        <v>1104</v>
      </c>
      <c r="AC61" s="202" t="s">
        <v>1880</v>
      </c>
      <c r="AD61" s="133" t="s">
        <v>1880</v>
      </c>
      <c r="AE61" s="249"/>
    </row>
    <row r="62" spans="1:31" s="11" customFormat="1" ht="26.25" customHeight="1" x14ac:dyDescent="0.15">
      <c r="A62" s="8">
        <v>60</v>
      </c>
      <c r="B62" s="8" t="s">
        <v>4801</v>
      </c>
      <c r="C62" s="250" t="s">
        <v>111</v>
      </c>
      <c r="D62" s="250" t="s">
        <v>111</v>
      </c>
      <c r="E62" s="250" t="s">
        <v>111</v>
      </c>
      <c r="F62" s="151" t="s">
        <v>3612</v>
      </c>
      <c r="G62" s="54" t="s">
        <v>4810</v>
      </c>
      <c r="H62" s="250" t="s">
        <v>2135</v>
      </c>
      <c r="I62" s="250" t="s">
        <v>2533</v>
      </c>
      <c r="J62" s="21" t="s">
        <v>3667</v>
      </c>
      <c r="K62" s="249" t="s">
        <v>3668</v>
      </c>
      <c r="L62" s="250" t="s">
        <v>1826</v>
      </c>
      <c r="M62" s="250" t="s">
        <v>111</v>
      </c>
      <c r="N62" s="22" t="s">
        <v>454</v>
      </c>
      <c r="O62" s="54" t="s">
        <v>851</v>
      </c>
      <c r="P62" s="250" t="s">
        <v>111</v>
      </c>
      <c r="Q62" s="250" t="s">
        <v>1831</v>
      </c>
      <c r="R62" s="250" t="s">
        <v>1831</v>
      </c>
      <c r="S62" s="250" t="s">
        <v>4841</v>
      </c>
      <c r="T62" s="130" t="s">
        <v>4025</v>
      </c>
      <c r="U62" s="250" t="s">
        <v>2359</v>
      </c>
      <c r="V62" s="250">
        <v>1</v>
      </c>
      <c r="W62" s="250" t="s">
        <v>4385</v>
      </c>
      <c r="X62" s="250" t="s">
        <v>4120</v>
      </c>
      <c r="Y62" s="150"/>
      <c r="Z62" s="150">
        <v>8</v>
      </c>
      <c r="AA62" s="150">
        <v>8</v>
      </c>
      <c r="AB62" s="250" t="s">
        <v>1104</v>
      </c>
      <c r="AC62" s="202" t="s">
        <v>1880</v>
      </c>
      <c r="AD62" s="133" t="s">
        <v>1880</v>
      </c>
      <c r="AE62" s="249"/>
    </row>
    <row r="63" spans="1:31" s="11" customFormat="1" ht="26.25" customHeight="1" x14ac:dyDescent="0.15">
      <c r="A63" s="8">
        <v>61</v>
      </c>
      <c r="B63" s="8" t="s">
        <v>4802</v>
      </c>
      <c r="C63" s="250" t="s">
        <v>111</v>
      </c>
      <c r="D63" s="250" t="s">
        <v>111</v>
      </c>
      <c r="E63" s="250" t="s">
        <v>111</v>
      </c>
      <c r="F63" s="54" t="s">
        <v>3613</v>
      </c>
      <c r="G63" s="54" t="s">
        <v>4811</v>
      </c>
      <c r="H63" s="250" t="s">
        <v>2135</v>
      </c>
      <c r="I63" s="250" t="s">
        <v>2533</v>
      </c>
      <c r="J63" s="21" t="s">
        <v>3636</v>
      </c>
      <c r="K63" s="250" t="s">
        <v>3637</v>
      </c>
      <c r="L63" s="250" t="s">
        <v>2142</v>
      </c>
      <c r="M63" s="250" t="s">
        <v>111</v>
      </c>
      <c r="N63" s="22" t="s">
        <v>575</v>
      </c>
      <c r="O63" s="54" t="s">
        <v>851</v>
      </c>
      <c r="P63" s="250" t="s">
        <v>111</v>
      </c>
      <c r="Q63" s="250" t="s">
        <v>1831</v>
      </c>
      <c r="R63" s="250" t="s">
        <v>1831</v>
      </c>
      <c r="S63" s="250" t="s">
        <v>4841</v>
      </c>
      <c r="T63" s="130" t="s">
        <v>4025</v>
      </c>
      <c r="U63" s="250" t="s">
        <v>2359</v>
      </c>
      <c r="V63" s="250">
        <v>1</v>
      </c>
      <c r="W63" s="250" t="s">
        <v>4385</v>
      </c>
      <c r="X63" s="250" t="s">
        <v>4120</v>
      </c>
      <c r="Y63" s="150"/>
      <c r="Z63" s="150">
        <v>8</v>
      </c>
      <c r="AA63" s="150">
        <v>8</v>
      </c>
      <c r="AB63" s="250" t="s">
        <v>1104</v>
      </c>
      <c r="AC63" s="202" t="s">
        <v>1880</v>
      </c>
      <c r="AD63" s="133" t="s">
        <v>1880</v>
      </c>
      <c r="AE63" s="249"/>
    </row>
    <row r="64" spans="1:31" s="11" customFormat="1" ht="26.25" customHeight="1" x14ac:dyDescent="0.15">
      <c r="A64" s="8">
        <v>62</v>
      </c>
      <c r="B64" s="8" t="s">
        <v>4803</v>
      </c>
      <c r="C64" s="250" t="s">
        <v>111</v>
      </c>
      <c r="D64" s="250" t="s">
        <v>111</v>
      </c>
      <c r="E64" s="250" t="s">
        <v>111</v>
      </c>
      <c r="F64" s="151" t="s">
        <v>3614</v>
      </c>
      <c r="G64" s="54" t="s">
        <v>4812</v>
      </c>
      <c r="H64" s="250" t="s">
        <v>2135</v>
      </c>
      <c r="I64" s="250" t="s">
        <v>2533</v>
      </c>
      <c r="J64" s="21" t="s">
        <v>3634</v>
      </c>
      <c r="K64" s="250" t="s">
        <v>3635</v>
      </c>
      <c r="L64" s="250" t="s">
        <v>1826</v>
      </c>
      <c r="M64" s="250" t="s">
        <v>111</v>
      </c>
      <c r="N64" s="22" t="s">
        <v>454</v>
      </c>
      <c r="O64" s="54" t="s">
        <v>851</v>
      </c>
      <c r="P64" s="250" t="s">
        <v>111</v>
      </c>
      <c r="Q64" s="250" t="s">
        <v>1831</v>
      </c>
      <c r="R64" s="250" t="s">
        <v>1831</v>
      </c>
      <c r="S64" s="250" t="s">
        <v>4841</v>
      </c>
      <c r="T64" s="130" t="s">
        <v>4025</v>
      </c>
      <c r="U64" s="250" t="s">
        <v>2359</v>
      </c>
      <c r="V64" s="250">
        <v>1</v>
      </c>
      <c r="W64" s="250" t="s">
        <v>4385</v>
      </c>
      <c r="X64" s="250" t="s">
        <v>4120</v>
      </c>
      <c r="Y64" s="150"/>
      <c r="Z64" s="150">
        <v>8</v>
      </c>
      <c r="AA64" s="150">
        <v>8</v>
      </c>
      <c r="AB64" s="250" t="s">
        <v>1104</v>
      </c>
      <c r="AC64" s="202" t="s">
        <v>1880</v>
      </c>
      <c r="AD64" s="133" t="s">
        <v>1880</v>
      </c>
      <c r="AE64" s="249"/>
    </row>
    <row r="65" spans="1:31" s="11" customFormat="1" ht="26.25" customHeight="1" x14ac:dyDescent="0.15">
      <c r="A65" s="8">
        <v>63</v>
      </c>
      <c r="B65" s="8" t="s">
        <v>4804</v>
      </c>
      <c r="C65" s="250" t="s">
        <v>111</v>
      </c>
      <c r="D65" s="250" t="s">
        <v>111</v>
      </c>
      <c r="E65" s="250" t="s">
        <v>111</v>
      </c>
      <c r="F65" s="151" t="s">
        <v>3615</v>
      </c>
      <c r="G65" s="54" t="s">
        <v>4813</v>
      </c>
      <c r="H65" s="250" t="s">
        <v>2135</v>
      </c>
      <c r="I65" s="250" t="s">
        <v>2533</v>
      </c>
      <c r="J65" s="44" t="s">
        <v>3644</v>
      </c>
      <c r="K65" s="71" t="s">
        <v>3633</v>
      </c>
      <c r="L65" s="250" t="s">
        <v>1826</v>
      </c>
      <c r="M65" s="250" t="s">
        <v>111</v>
      </c>
      <c r="N65" s="22" t="s">
        <v>454</v>
      </c>
      <c r="O65" s="54" t="s">
        <v>851</v>
      </c>
      <c r="P65" s="250" t="s">
        <v>111</v>
      </c>
      <c r="Q65" s="250" t="s">
        <v>1831</v>
      </c>
      <c r="R65" s="250" t="s">
        <v>1831</v>
      </c>
      <c r="S65" s="250" t="s">
        <v>4841</v>
      </c>
      <c r="T65" s="130" t="s">
        <v>4025</v>
      </c>
      <c r="U65" s="250" t="s">
        <v>2359</v>
      </c>
      <c r="V65" s="250">
        <v>1</v>
      </c>
      <c r="W65" s="250" t="s">
        <v>4385</v>
      </c>
      <c r="X65" s="250" t="s">
        <v>4120</v>
      </c>
      <c r="Y65" s="150"/>
      <c r="Z65" s="150">
        <v>8</v>
      </c>
      <c r="AA65" s="150">
        <v>8</v>
      </c>
      <c r="AB65" s="250" t="s">
        <v>1104</v>
      </c>
      <c r="AC65" s="202" t="s">
        <v>1880</v>
      </c>
      <c r="AD65" s="133" t="s">
        <v>1880</v>
      </c>
      <c r="AE65" s="249"/>
    </row>
    <row r="66" spans="1:31" s="11" customFormat="1" ht="26.25" customHeight="1" x14ac:dyDescent="0.15">
      <c r="A66" s="8">
        <v>64</v>
      </c>
      <c r="B66" s="8" t="s">
        <v>4805</v>
      </c>
      <c r="C66" s="250" t="s">
        <v>111</v>
      </c>
      <c r="D66" s="250" t="s">
        <v>111</v>
      </c>
      <c r="E66" s="250" t="s">
        <v>111</v>
      </c>
      <c r="F66" s="151" t="s">
        <v>3614</v>
      </c>
      <c r="G66" s="54" t="s">
        <v>4814</v>
      </c>
      <c r="H66" s="250" t="s">
        <v>2135</v>
      </c>
      <c r="I66" s="250" t="s">
        <v>2533</v>
      </c>
      <c r="J66" s="21" t="s">
        <v>3631</v>
      </c>
      <c r="K66" s="250" t="s">
        <v>3632</v>
      </c>
      <c r="L66" s="250" t="s">
        <v>2142</v>
      </c>
      <c r="M66" s="250" t="s">
        <v>111</v>
      </c>
      <c r="N66" s="22" t="s">
        <v>575</v>
      </c>
      <c r="O66" s="54" t="s">
        <v>851</v>
      </c>
      <c r="P66" s="250" t="s">
        <v>111</v>
      </c>
      <c r="Q66" s="250" t="s">
        <v>1831</v>
      </c>
      <c r="R66" s="250" t="s">
        <v>1831</v>
      </c>
      <c r="S66" s="250" t="s">
        <v>4841</v>
      </c>
      <c r="T66" s="130" t="s">
        <v>4025</v>
      </c>
      <c r="U66" s="250" t="s">
        <v>2359</v>
      </c>
      <c r="V66" s="250">
        <v>1</v>
      </c>
      <c r="W66" s="250" t="s">
        <v>4385</v>
      </c>
      <c r="X66" s="250" t="s">
        <v>4120</v>
      </c>
      <c r="Y66" s="150"/>
      <c r="Z66" s="150">
        <v>8</v>
      </c>
      <c r="AA66" s="150">
        <v>8</v>
      </c>
      <c r="AB66" s="250" t="s">
        <v>1104</v>
      </c>
      <c r="AC66" s="202" t="s">
        <v>1880</v>
      </c>
      <c r="AD66" s="133" t="s">
        <v>1880</v>
      </c>
      <c r="AE66" s="249"/>
    </row>
    <row r="67" spans="1:31" s="11" customFormat="1" ht="26.25" customHeight="1" x14ac:dyDescent="0.15">
      <c r="A67" s="8">
        <v>65</v>
      </c>
      <c r="B67" s="8" t="s">
        <v>4806</v>
      </c>
      <c r="C67" s="250" t="s">
        <v>111</v>
      </c>
      <c r="D67" s="250" t="s">
        <v>111</v>
      </c>
      <c r="E67" s="250" t="s">
        <v>111</v>
      </c>
      <c r="F67" s="151" t="s">
        <v>3614</v>
      </c>
      <c r="G67" s="54" t="s">
        <v>4815</v>
      </c>
      <c r="H67" s="250" t="s">
        <v>2135</v>
      </c>
      <c r="I67" s="250" t="s">
        <v>2533</v>
      </c>
      <c r="J67" s="21" t="s">
        <v>3630</v>
      </c>
      <c r="K67" s="2" t="s">
        <v>1018</v>
      </c>
      <c r="L67" s="250" t="s">
        <v>2142</v>
      </c>
      <c r="M67" s="250" t="s">
        <v>111</v>
      </c>
      <c r="N67" s="22" t="s">
        <v>575</v>
      </c>
      <c r="O67" s="54" t="s">
        <v>851</v>
      </c>
      <c r="P67" s="250" t="s">
        <v>111</v>
      </c>
      <c r="Q67" s="250" t="s">
        <v>1831</v>
      </c>
      <c r="R67" s="250" t="s">
        <v>1831</v>
      </c>
      <c r="S67" s="250" t="s">
        <v>4841</v>
      </c>
      <c r="T67" s="130" t="s">
        <v>4025</v>
      </c>
      <c r="U67" s="250" t="s">
        <v>2359</v>
      </c>
      <c r="V67" s="250">
        <v>1</v>
      </c>
      <c r="W67" s="250" t="s">
        <v>4385</v>
      </c>
      <c r="X67" s="250" t="s">
        <v>4120</v>
      </c>
      <c r="Y67" s="150"/>
      <c r="Z67" s="150">
        <v>8</v>
      </c>
      <c r="AA67" s="150">
        <v>8</v>
      </c>
      <c r="AB67" s="250" t="s">
        <v>1104</v>
      </c>
      <c r="AC67" s="202" t="s">
        <v>1880</v>
      </c>
      <c r="AD67" s="133" t="s">
        <v>1880</v>
      </c>
      <c r="AE67" s="249"/>
    </row>
    <row r="68" spans="1:31" s="11" customFormat="1" ht="26.25" customHeight="1" x14ac:dyDescent="0.15">
      <c r="A68" s="8">
        <v>66</v>
      </c>
      <c r="B68" s="8" t="s">
        <v>4807</v>
      </c>
      <c r="C68" s="250" t="s">
        <v>111</v>
      </c>
      <c r="D68" s="250" t="s">
        <v>111</v>
      </c>
      <c r="E68" s="250" t="s">
        <v>111</v>
      </c>
      <c r="F68" s="151" t="s">
        <v>3616</v>
      </c>
      <c r="G68" s="54" t="s">
        <v>4816</v>
      </c>
      <c r="H68" s="250" t="s">
        <v>2135</v>
      </c>
      <c r="I68" s="250" t="s">
        <v>2533</v>
      </c>
      <c r="J68" s="21" t="s">
        <v>3629</v>
      </c>
      <c r="K68" s="82" t="s">
        <v>3645</v>
      </c>
      <c r="L68" s="250" t="s">
        <v>2142</v>
      </c>
      <c r="M68" s="250" t="s">
        <v>111</v>
      </c>
      <c r="N68" s="22" t="s">
        <v>575</v>
      </c>
      <c r="O68" s="54" t="s">
        <v>851</v>
      </c>
      <c r="P68" s="250" t="s">
        <v>111</v>
      </c>
      <c r="Q68" s="250" t="s">
        <v>1831</v>
      </c>
      <c r="R68" s="250" t="s">
        <v>1831</v>
      </c>
      <c r="S68" s="250" t="s">
        <v>4841</v>
      </c>
      <c r="T68" s="130" t="s">
        <v>4025</v>
      </c>
      <c r="U68" s="250" t="s">
        <v>2359</v>
      </c>
      <c r="V68" s="250">
        <v>1</v>
      </c>
      <c r="W68" s="250" t="s">
        <v>4385</v>
      </c>
      <c r="X68" s="250" t="s">
        <v>4120</v>
      </c>
      <c r="Y68" s="150"/>
      <c r="Z68" s="150">
        <v>8</v>
      </c>
      <c r="AA68" s="150">
        <v>8</v>
      </c>
      <c r="AB68" s="250" t="s">
        <v>1104</v>
      </c>
      <c r="AC68" s="202" t="s">
        <v>1880</v>
      </c>
      <c r="AD68" s="133" t="s">
        <v>1880</v>
      </c>
      <c r="AE68" s="249"/>
    </row>
    <row r="69" spans="1:31" s="11" customFormat="1" ht="26.25" customHeight="1" x14ac:dyDescent="0.15">
      <c r="A69" s="8">
        <v>67</v>
      </c>
      <c r="B69" s="8" t="s">
        <v>4808</v>
      </c>
      <c r="C69" s="250" t="s">
        <v>111</v>
      </c>
      <c r="D69" s="250" t="s">
        <v>111</v>
      </c>
      <c r="E69" s="250" t="s">
        <v>111</v>
      </c>
      <c r="F69" s="54" t="s">
        <v>3617</v>
      </c>
      <c r="G69" s="54" t="s">
        <v>4817</v>
      </c>
      <c r="H69" s="250" t="s">
        <v>2135</v>
      </c>
      <c r="I69" s="250" t="s">
        <v>2533</v>
      </c>
      <c r="J69" s="250" t="s">
        <v>3627</v>
      </c>
      <c r="K69" s="250" t="s">
        <v>3628</v>
      </c>
      <c r="L69" s="250" t="s">
        <v>1826</v>
      </c>
      <c r="M69" s="250" t="s">
        <v>111</v>
      </c>
      <c r="N69" s="22" t="s">
        <v>454</v>
      </c>
      <c r="O69" s="54" t="s">
        <v>851</v>
      </c>
      <c r="P69" s="250" t="s">
        <v>111</v>
      </c>
      <c r="Q69" s="250" t="s">
        <v>1831</v>
      </c>
      <c r="R69" s="250" t="s">
        <v>1831</v>
      </c>
      <c r="S69" s="250" t="s">
        <v>4841</v>
      </c>
      <c r="T69" s="130" t="s">
        <v>4025</v>
      </c>
      <c r="U69" s="250" t="s">
        <v>2359</v>
      </c>
      <c r="V69" s="250">
        <v>1</v>
      </c>
      <c r="W69" s="250" t="s">
        <v>4385</v>
      </c>
      <c r="X69" s="250" t="s">
        <v>4120</v>
      </c>
      <c r="Y69" s="150"/>
      <c r="Z69" s="150">
        <v>8</v>
      </c>
      <c r="AA69" s="150">
        <v>8</v>
      </c>
      <c r="AB69" s="250" t="s">
        <v>1104</v>
      </c>
      <c r="AC69" s="202" t="s">
        <v>1880</v>
      </c>
      <c r="AD69" s="133" t="s">
        <v>1880</v>
      </c>
      <c r="AE69" s="249"/>
    </row>
    <row r="70" spans="1:31" s="11" customFormat="1" ht="26.25" customHeight="1" x14ac:dyDescent="0.15">
      <c r="A70" s="8">
        <v>68</v>
      </c>
      <c r="B70" s="8" t="s">
        <v>4818</v>
      </c>
      <c r="C70" s="251" t="s">
        <v>4819</v>
      </c>
      <c r="D70" s="250" t="s">
        <v>111</v>
      </c>
      <c r="E70" s="260" t="s">
        <v>4872</v>
      </c>
      <c r="F70" s="29" t="s">
        <v>4740</v>
      </c>
      <c r="G70" s="53" t="s">
        <v>4820</v>
      </c>
      <c r="H70" s="249" t="s">
        <v>4712</v>
      </c>
      <c r="I70" s="249" t="s">
        <v>3101</v>
      </c>
      <c r="J70" s="249" t="s">
        <v>4821</v>
      </c>
      <c r="K70" s="22" t="s">
        <v>4822</v>
      </c>
      <c r="L70" s="250" t="s">
        <v>1826</v>
      </c>
      <c r="M70" s="250" t="s">
        <v>111</v>
      </c>
      <c r="N70" s="22" t="s">
        <v>454</v>
      </c>
      <c r="O70" s="54" t="s">
        <v>4823</v>
      </c>
      <c r="P70" s="250" t="s">
        <v>111</v>
      </c>
      <c r="Q70" s="71" t="s">
        <v>4824</v>
      </c>
      <c r="R70" s="249" t="s">
        <v>4824</v>
      </c>
      <c r="S70" s="250" t="s">
        <v>4841</v>
      </c>
      <c r="T70" s="90" t="s">
        <v>4825</v>
      </c>
      <c r="U70" s="250" t="s">
        <v>2359</v>
      </c>
      <c r="V70" s="250">
        <v>1</v>
      </c>
      <c r="W70" s="24" t="s">
        <v>1880</v>
      </c>
      <c r="X70" s="24" t="s">
        <v>1880</v>
      </c>
      <c r="Y70" s="30">
        <v>0.55000000000000004</v>
      </c>
      <c r="Z70" s="30"/>
      <c r="AA70" s="30">
        <v>0.55000000000000004</v>
      </c>
      <c r="AB70" s="250" t="s">
        <v>1104</v>
      </c>
      <c r="AC70" s="133" t="s">
        <v>4857</v>
      </c>
      <c r="AD70" s="133" t="s">
        <v>1880</v>
      </c>
      <c r="AE70" s="249"/>
    </row>
    <row r="71" spans="1:31" s="11" customFormat="1" ht="26.25" customHeight="1" x14ac:dyDescent="0.15">
      <c r="A71" s="8">
        <v>69</v>
      </c>
      <c r="B71" s="8" t="s">
        <v>4827</v>
      </c>
      <c r="C71" s="251" t="s">
        <v>4826</v>
      </c>
      <c r="D71" s="250" t="s">
        <v>111</v>
      </c>
      <c r="E71" s="250" t="s">
        <v>111</v>
      </c>
      <c r="F71" s="29" t="s">
        <v>4828</v>
      </c>
      <c r="G71" s="53" t="s">
        <v>4829</v>
      </c>
      <c r="H71" s="1" t="s">
        <v>3396</v>
      </c>
      <c r="I71" s="248" t="s">
        <v>410</v>
      </c>
      <c r="J71" s="21" t="s">
        <v>554</v>
      </c>
      <c r="K71" s="22" t="s">
        <v>4822</v>
      </c>
      <c r="L71" s="250" t="s">
        <v>1826</v>
      </c>
      <c r="M71" s="250" t="s">
        <v>111</v>
      </c>
      <c r="N71" s="22" t="s">
        <v>454</v>
      </c>
      <c r="O71" s="54" t="s">
        <v>4823</v>
      </c>
      <c r="P71" s="250" t="s">
        <v>111</v>
      </c>
      <c r="Q71" s="249" t="s">
        <v>4830</v>
      </c>
      <c r="R71" s="249" t="s">
        <v>4830</v>
      </c>
      <c r="S71" s="250" t="s">
        <v>4841</v>
      </c>
      <c r="T71" s="90" t="s">
        <v>4825</v>
      </c>
      <c r="U71" s="250" t="s">
        <v>2359</v>
      </c>
      <c r="V71" s="250">
        <v>1</v>
      </c>
      <c r="W71" s="24" t="s">
        <v>1880</v>
      </c>
      <c r="X71" s="24" t="s">
        <v>1880</v>
      </c>
      <c r="Y71" s="30">
        <v>2.2400000000000002</v>
      </c>
      <c r="Z71" s="30"/>
      <c r="AA71" s="30">
        <v>2.2400000000000002</v>
      </c>
      <c r="AB71" s="250" t="s">
        <v>1104</v>
      </c>
      <c r="AC71" s="202" t="s">
        <v>1880</v>
      </c>
      <c r="AD71" s="133" t="s">
        <v>1880</v>
      </c>
      <c r="AE71" s="54" t="s">
        <v>4831</v>
      </c>
    </row>
    <row r="72" spans="1:31" s="11" customFormat="1" ht="26.25" customHeight="1" x14ac:dyDescent="0.15">
      <c r="A72" s="8">
        <v>70</v>
      </c>
      <c r="B72" s="8" t="s">
        <v>4833</v>
      </c>
      <c r="C72" s="251" t="s">
        <v>4832</v>
      </c>
      <c r="D72" s="250" t="s">
        <v>111</v>
      </c>
      <c r="E72" s="250" t="s">
        <v>111</v>
      </c>
      <c r="F72" s="29" t="s">
        <v>4834</v>
      </c>
      <c r="G72" s="53" t="s">
        <v>4835</v>
      </c>
      <c r="H72" s="1" t="s">
        <v>4836</v>
      </c>
      <c r="I72" s="1" t="s">
        <v>4837</v>
      </c>
      <c r="J72" s="1" t="s">
        <v>4838</v>
      </c>
      <c r="K72" s="1" t="s">
        <v>4839</v>
      </c>
      <c r="L72" s="250" t="s">
        <v>1826</v>
      </c>
      <c r="M72" s="250" t="s">
        <v>111</v>
      </c>
      <c r="N72" s="22" t="s">
        <v>454</v>
      </c>
      <c r="O72" s="54" t="s">
        <v>4854</v>
      </c>
      <c r="P72" s="254" t="s">
        <v>1880</v>
      </c>
      <c r="Q72" s="253" t="s">
        <v>1152</v>
      </c>
      <c r="R72" s="249" t="s">
        <v>4840</v>
      </c>
      <c r="S72" s="250" t="s">
        <v>4841</v>
      </c>
      <c r="T72" s="90" t="s">
        <v>4825</v>
      </c>
      <c r="U72" s="250" t="s">
        <v>2359</v>
      </c>
      <c r="V72" s="250">
        <v>1</v>
      </c>
      <c r="W72" s="24" t="s">
        <v>1880</v>
      </c>
      <c r="X72" s="24" t="s">
        <v>1880</v>
      </c>
      <c r="Y72" s="30">
        <v>4.78</v>
      </c>
      <c r="Z72" s="30"/>
      <c r="AA72" s="30">
        <v>4.78</v>
      </c>
      <c r="AB72" s="250" t="s">
        <v>1104</v>
      </c>
      <c r="AC72" s="202" t="s">
        <v>1880</v>
      </c>
      <c r="AD72" s="133" t="s">
        <v>1880</v>
      </c>
      <c r="AE72" s="249"/>
    </row>
    <row r="73" spans="1:31" s="11" customFormat="1" ht="26.25" customHeight="1" x14ac:dyDescent="0.15">
      <c r="A73" s="8">
        <v>71</v>
      </c>
      <c r="B73" s="8" t="s">
        <v>4842</v>
      </c>
      <c r="C73" s="251" t="s">
        <v>4843</v>
      </c>
      <c r="D73" s="250" t="s">
        <v>111</v>
      </c>
      <c r="E73" s="252" t="s">
        <v>111</v>
      </c>
      <c r="F73" s="29" t="s">
        <v>4844</v>
      </c>
      <c r="G73" s="53" t="s">
        <v>4845</v>
      </c>
      <c r="H73" s="1" t="s">
        <v>818</v>
      </c>
      <c r="I73" s="1" t="s">
        <v>4846</v>
      </c>
      <c r="J73" s="1" t="s">
        <v>822</v>
      </c>
      <c r="K73" s="1" t="s">
        <v>4847</v>
      </c>
      <c r="L73" s="250" t="s">
        <v>1826</v>
      </c>
      <c r="M73" s="250" t="s">
        <v>111</v>
      </c>
      <c r="N73" s="216" t="s">
        <v>25</v>
      </c>
      <c r="O73" s="54" t="s">
        <v>4848</v>
      </c>
      <c r="P73" s="250" t="s">
        <v>111</v>
      </c>
      <c r="Q73" s="249" t="s">
        <v>4840</v>
      </c>
      <c r="R73" s="249" t="s">
        <v>4840</v>
      </c>
      <c r="S73" s="24" t="s">
        <v>4849</v>
      </c>
      <c r="T73" s="90" t="s">
        <v>4850</v>
      </c>
      <c r="U73" s="250" t="s">
        <v>2359</v>
      </c>
      <c r="V73" s="250">
        <v>1</v>
      </c>
      <c r="W73" s="24" t="s">
        <v>1880</v>
      </c>
      <c r="X73" s="24" t="s">
        <v>1880</v>
      </c>
      <c r="Y73" s="30">
        <v>3</v>
      </c>
      <c r="Z73" s="30"/>
      <c r="AA73" s="30">
        <v>3</v>
      </c>
      <c r="AB73" s="250" t="s">
        <v>1104</v>
      </c>
      <c r="AC73" s="202" t="s">
        <v>1880</v>
      </c>
      <c r="AD73" s="133" t="s">
        <v>1880</v>
      </c>
      <c r="AE73" s="54" t="s">
        <v>4852</v>
      </c>
    </row>
    <row r="74" spans="1:31" s="11" customFormat="1" ht="26.25" customHeight="1" x14ac:dyDescent="0.15">
      <c r="A74" s="8">
        <v>72</v>
      </c>
      <c r="B74" s="8" t="s">
        <v>4858</v>
      </c>
      <c r="C74" s="256" t="s">
        <v>111</v>
      </c>
      <c r="D74" s="256" t="s">
        <v>4863</v>
      </c>
      <c r="E74" s="256" t="s">
        <v>4862</v>
      </c>
      <c r="F74" s="29" t="s">
        <v>4790</v>
      </c>
      <c r="G74" s="53" t="s">
        <v>4860</v>
      </c>
      <c r="H74" s="255" t="s">
        <v>4791</v>
      </c>
      <c r="I74" s="255" t="s">
        <v>4792</v>
      </c>
      <c r="J74" s="255" t="s">
        <v>1130</v>
      </c>
      <c r="K74" s="255" t="s">
        <v>4780</v>
      </c>
      <c r="L74" s="22" t="s">
        <v>1826</v>
      </c>
      <c r="M74" s="256" t="s">
        <v>111</v>
      </c>
      <c r="N74" s="216" t="s">
        <v>25</v>
      </c>
      <c r="O74" s="54" t="s">
        <v>1796</v>
      </c>
      <c r="P74" s="256" t="s">
        <v>111</v>
      </c>
      <c r="Q74" s="249" t="s">
        <v>4861</v>
      </c>
      <c r="R74" s="249" t="s">
        <v>4861</v>
      </c>
      <c r="S74" s="24" t="s">
        <v>4869</v>
      </c>
      <c r="T74" s="90" t="s">
        <v>4870</v>
      </c>
      <c r="U74" s="259" t="s">
        <v>2359</v>
      </c>
      <c r="V74" s="259">
        <v>1</v>
      </c>
      <c r="W74" s="24" t="s">
        <v>1880</v>
      </c>
      <c r="X74" s="24" t="s">
        <v>1880</v>
      </c>
      <c r="Y74" s="30">
        <v>1.86</v>
      </c>
      <c r="Z74" s="30"/>
      <c r="AA74" s="30">
        <v>1.86</v>
      </c>
      <c r="AB74" s="256" t="s">
        <v>1104</v>
      </c>
      <c r="AC74" s="202" t="s">
        <v>1880</v>
      </c>
      <c r="AD74" s="133" t="s">
        <v>1880</v>
      </c>
      <c r="AE74" s="54" t="s">
        <v>4761</v>
      </c>
    </row>
    <row r="75" spans="1:31" s="11" customFormat="1" ht="26.25" customHeight="1" x14ac:dyDescent="0.15">
      <c r="A75" s="8">
        <v>73</v>
      </c>
      <c r="B75" s="8" t="s">
        <v>4859</v>
      </c>
      <c r="C75" s="256" t="s">
        <v>111</v>
      </c>
      <c r="D75" s="256" t="s">
        <v>111</v>
      </c>
      <c r="E75" s="256" t="s">
        <v>111</v>
      </c>
      <c r="F75" s="29" t="s">
        <v>4864</v>
      </c>
      <c r="G75" s="53" t="s">
        <v>4865</v>
      </c>
      <c r="H75" s="255" t="s">
        <v>4195</v>
      </c>
      <c r="I75" s="255" t="s">
        <v>4196</v>
      </c>
      <c r="J75" s="71" t="s">
        <v>4867</v>
      </c>
      <c r="K75" s="71" t="s">
        <v>4780</v>
      </c>
      <c r="L75" s="22" t="s">
        <v>1826</v>
      </c>
      <c r="M75" s="256" t="s">
        <v>111</v>
      </c>
      <c r="N75" s="71" t="s">
        <v>445</v>
      </c>
      <c r="O75" s="76" t="s">
        <v>5143</v>
      </c>
      <c r="P75" s="256" t="s">
        <v>111</v>
      </c>
      <c r="Q75" s="258" t="s">
        <v>1811</v>
      </c>
      <c r="R75" s="249" t="s">
        <v>4866</v>
      </c>
      <c r="S75" s="24" t="s">
        <v>4869</v>
      </c>
      <c r="T75" s="90" t="s">
        <v>4871</v>
      </c>
      <c r="U75" s="24" t="s">
        <v>1800</v>
      </c>
      <c r="V75" s="10">
        <v>1</v>
      </c>
      <c r="W75" s="24" t="s">
        <v>1880</v>
      </c>
      <c r="X75" s="24" t="s">
        <v>1880</v>
      </c>
      <c r="Y75" s="30">
        <v>2.95</v>
      </c>
      <c r="Z75" s="30"/>
      <c r="AA75" s="30">
        <v>2.95</v>
      </c>
      <c r="AB75" s="256" t="s">
        <v>1104</v>
      </c>
      <c r="AC75" s="202" t="s">
        <v>1880</v>
      </c>
      <c r="AD75" s="133" t="s">
        <v>1880</v>
      </c>
      <c r="AE75" s="249"/>
    </row>
    <row r="76" spans="1:31" s="11" customFormat="1" ht="26.25" customHeight="1" x14ac:dyDescent="0.15">
      <c r="A76" s="8">
        <v>74</v>
      </c>
      <c r="B76" s="8" t="s">
        <v>4873</v>
      </c>
      <c r="C76" s="262" t="s">
        <v>111</v>
      </c>
      <c r="D76" s="262" t="s">
        <v>4878</v>
      </c>
      <c r="E76" s="262" t="s">
        <v>111</v>
      </c>
      <c r="F76" s="29" t="s">
        <v>2037</v>
      </c>
      <c r="G76" s="53" t="s">
        <v>3724</v>
      </c>
      <c r="H76" s="261" t="s">
        <v>4791</v>
      </c>
      <c r="I76" s="264" t="s">
        <v>4792</v>
      </c>
      <c r="J76" s="264" t="s">
        <v>4874</v>
      </c>
      <c r="K76" s="264" t="s">
        <v>4875</v>
      </c>
      <c r="L76" s="22" t="s">
        <v>1826</v>
      </c>
      <c r="M76" s="262" t="s">
        <v>111</v>
      </c>
      <c r="N76" s="261" t="s">
        <v>1818</v>
      </c>
      <c r="O76" s="54" t="s">
        <v>1796</v>
      </c>
      <c r="P76" s="262" t="s">
        <v>111</v>
      </c>
      <c r="Q76" s="261" t="s">
        <v>1785</v>
      </c>
      <c r="R76" s="261" t="s">
        <v>1785</v>
      </c>
      <c r="S76" s="24" t="s">
        <v>4876</v>
      </c>
      <c r="T76" s="90" t="s">
        <v>4877</v>
      </c>
      <c r="U76" s="262" t="s">
        <v>2359</v>
      </c>
      <c r="V76" s="262">
        <v>1</v>
      </c>
      <c r="W76" s="223" t="s">
        <v>1880</v>
      </c>
      <c r="X76" s="24" t="s">
        <v>1880</v>
      </c>
      <c r="Y76" s="30">
        <v>2.38</v>
      </c>
      <c r="Z76" s="30"/>
      <c r="AA76" s="30">
        <v>2.38</v>
      </c>
      <c r="AB76" s="262" t="s">
        <v>1104</v>
      </c>
      <c r="AC76" s="202" t="s">
        <v>1880</v>
      </c>
      <c r="AD76" s="133" t="s">
        <v>1880</v>
      </c>
      <c r="AE76" s="261"/>
    </row>
    <row r="77" spans="1:31" s="11" customFormat="1" ht="26.25" customHeight="1" x14ac:dyDescent="0.15">
      <c r="A77" s="8">
        <v>75</v>
      </c>
      <c r="B77" s="363" t="s">
        <v>4885</v>
      </c>
      <c r="C77" s="265" t="s">
        <v>111</v>
      </c>
      <c r="D77" s="330" t="s">
        <v>111</v>
      </c>
      <c r="E77" s="265" t="s">
        <v>111</v>
      </c>
      <c r="F77" s="29" t="s">
        <v>4165</v>
      </c>
      <c r="G77" s="53" t="s">
        <v>4886</v>
      </c>
      <c r="H77" s="264" t="s">
        <v>4195</v>
      </c>
      <c r="I77" s="264" t="s">
        <v>1124</v>
      </c>
      <c r="J77" s="264" t="s">
        <v>4706</v>
      </c>
      <c r="K77" s="264" t="s">
        <v>4887</v>
      </c>
      <c r="L77" s="22" t="s">
        <v>1826</v>
      </c>
      <c r="M77" s="265" t="s">
        <v>111</v>
      </c>
      <c r="N77" s="264" t="s">
        <v>1818</v>
      </c>
      <c r="O77" s="54" t="s">
        <v>3917</v>
      </c>
      <c r="P77" s="265" t="s">
        <v>111</v>
      </c>
      <c r="Q77" s="264" t="s">
        <v>1152</v>
      </c>
      <c r="R77" s="264" t="s">
        <v>1152</v>
      </c>
      <c r="S77" s="24" t="s">
        <v>4889</v>
      </c>
      <c r="T77" s="90" t="s">
        <v>4888</v>
      </c>
      <c r="U77" s="265" t="s">
        <v>2359</v>
      </c>
      <c r="V77" s="265">
        <v>1</v>
      </c>
      <c r="W77" s="223" t="s">
        <v>1880</v>
      </c>
      <c r="X77" s="24" t="s">
        <v>1880</v>
      </c>
      <c r="Y77" s="30">
        <v>2.7</v>
      </c>
      <c r="Z77" s="30"/>
      <c r="AA77" s="30">
        <v>2.7</v>
      </c>
      <c r="AB77" s="265" t="s">
        <v>1104</v>
      </c>
      <c r="AC77" s="133" t="s">
        <v>4890</v>
      </c>
      <c r="AD77" s="133" t="s">
        <v>1880</v>
      </c>
      <c r="AE77" s="264"/>
    </row>
    <row r="78" spans="1:31" s="11" customFormat="1" ht="26.25" customHeight="1" x14ac:dyDescent="0.15">
      <c r="A78" s="8">
        <v>76</v>
      </c>
      <c r="B78" s="8" t="s">
        <v>4896</v>
      </c>
      <c r="C78" s="251" t="s">
        <v>4891</v>
      </c>
      <c r="D78" s="267" t="s">
        <v>111</v>
      </c>
      <c r="E78" s="267" t="s">
        <v>111</v>
      </c>
      <c r="F78" s="29" t="s">
        <v>4892</v>
      </c>
      <c r="G78" s="53" t="s">
        <v>4935</v>
      </c>
      <c r="H78" s="266" t="s">
        <v>4893</v>
      </c>
      <c r="I78" s="266" t="s">
        <v>1124</v>
      </c>
      <c r="J78" s="266" t="s">
        <v>4894</v>
      </c>
      <c r="K78" s="22" t="s">
        <v>4895</v>
      </c>
      <c r="L78" s="22" t="s">
        <v>1826</v>
      </c>
      <c r="M78" s="267" t="s">
        <v>1880</v>
      </c>
      <c r="N78" s="22" t="s">
        <v>454</v>
      </c>
      <c r="O78" s="54" t="s">
        <v>851</v>
      </c>
      <c r="P78" s="267" t="s">
        <v>111</v>
      </c>
      <c r="Q78" s="266" t="s">
        <v>3591</v>
      </c>
      <c r="R78" s="266" t="s">
        <v>3591</v>
      </c>
      <c r="S78" s="211" t="s">
        <v>4900</v>
      </c>
      <c r="T78" s="271" t="s">
        <v>4901</v>
      </c>
      <c r="U78" s="270" t="s">
        <v>2359</v>
      </c>
      <c r="V78" s="270">
        <v>1</v>
      </c>
      <c r="W78" s="223" t="s">
        <v>4902</v>
      </c>
      <c r="X78" s="223" t="s">
        <v>4903</v>
      </c>
      <c r="Y78" s="30"/>
      <c r="Z78" s="30">
        <v>11.5</v>
      </c>
      <c r="AA78" s="30">
        <v>11.5</v>
      </c>
      <c r="AB78" s="267" t="s">
        <v>1104</v>
      </c>
      <c r="AC78" s="35" t="s">
        <v>4897</v>
      </c>
      <c r="AD78" s="133" t="s">
        <v>1880</v>
      </c>
      <c r="AE78" s="266"/>
    </row>
    <row r="79" spans="1:31" s="11" customFormat="1" ht="26.25" customHeight="1" x14ac:dyDescent="0.15">
      <c r="A79" s="8">
        <v>77</v>
      </c>
      <c r="B79" s="8" t="s">
        <v>4905</v>
      </c>
      <c r="C79" s="26" t="s">
        <v>4904</v>
      </c>
      <c r="D79" s="270" t="s">
        <v>111</v>
      </c>
      <c r="E79" s="270" t="s">
        <v>111</v>
      </c>
      <c r="F79" s="29" t="s">
        <v>4906</v>
      </c>
      <c r="G79" s="53" t="s">
        <v>4907</v>
      </c>
      <c r="H79" s="268" t="s">
        <v>1147</v>
      </c>
      <c r="I79" s="1" t="s">
        <v>2067</v>
      </c>
      <c r="J79" s="37" t="s">
        <v>3801</v>
      </c>
      <c r="K79" s="22" t="s">
        <v>1880</v>
      </c>
      <c r="L79" s="22" t="s">
        <v>1826</v>
      </c>
      <c r="M79" s="270" t="s">
        <v>1880</v>
      </c>
      <c r="N79" s="216" t="s">
        <v>138</v>
      </c>
      <c r="O79" s="54" t="s">
        <v>4533</v>
      </c>
      <c r="P79" s="270" t="s">
        <v>111</v>
      </c>
      <c r="Q79" s="269" t="s">
        <v>1811</v>
      </c>
      <c r="R79" s="269" t="s">
        <v>2072</v>
      </c>
      <c r="S79" s="24" t="s">
        <v>4900</v>
      </c>
      <c r="T79" s="90" t="s">
        <v>4908</v>
      </c>
      <c r="U79" s="270" t="s">
        <v>2359</v>
      </c>
      <c r="V79" s="270">
        <v>1</v>
      </c>
      <c r="W79" s="24" t="s">
        <v>1880</v>
      </c>
      <c r="X79" s="24" t="s">
        <v>1880</v>
      </c>
      <c r="Y79" s="30">
        <v>16.113900000000001</v>
      </c>
      <c r="Z79" s="30"/>
      <c r="AA79" s="30">
        <v>16.113900000000001</v>
      </c>
      <c r="AB79" s="270" t="s">
        <v>1104</v>
      </c>
      <c r="AC79" s="202" t="s">
        <v>1880</v>
      </c>
      <c r="AD79" s="133" t="s">
        <v>1880</v>
      </c>
      <c r="AE79" s="269"/>
    </row>
    <row r="80" spans="1:31" s="11" customFormat="1" ht="26.25" customHeight="1" x14ac:dyDescent="0.15">
      <c r="A80" s="8">
        <v>78</v>
      </c>
      <c r="B80" s="8" t="s">
        <v>4910</v>
      </c>
      <c r="C80" s="26" t="s">
        <v>4909</v>
      </c>
      <c r="D80" s="270" t="s">
        <v>111</v>
      </c>
      <c r="E80" s="270" t="s">
        <v>111</v>
      </c>
      <c r="F80" s="29" t="s">
        <v>4906</v>
      </c>
      <c r="G80" s="53" t="s">
        <v>4911</v>
      </c>
      <c r="H80" s="269" t="s">
        <v>4195</v>
      </c>
      <c r="I80" s="269" t="s">
        <v>4196</v>
      </c>
      <c r="J80" s="269" t="s">
        <v>4867</v>
      </c>
      <c r="K80" s="22" t="s">
        <v>1880</v>
      </c>
      <c r="L80" s="22" t="s">
        <v>1826</v>
      </c>
      <c r="M80" s="270" t="s">
        <v>1880</v>
      </c>
      <c r="N80" s="216" t="s">
        <v>138</v>
      </c>
      <c r="O80" s="54" t="s">
        <v>5142</v>
      </c>
      <c r="P80" s="270" t="s">
        <v>111</v>
      </c>
      <c r="Q80" s="269" t="s">
        <v>1811</v>
      </c>
      <c r="R80" s="269" t="s">
        <v>2072</v>
      </c>
      <c r="S80" s="24" t="s">
        <v>4900</v>
      </c>
      <c r="T80" s="90" t="s">
        <v>4908</v>
      </c>
      <c r="U80" s="270" t="s">
        <v>2359</v>
      </c>
      <c r="V80" s="270">
        <v>1</v>
      </c>
      <c r="W80" s="24" t="s">
        <v>1880</v>
      </c>
      <c r="X80" s="24" t="s">
        <v>1880</v>
      </c>
      <c r="Y80" s="30">
        <v>16.113900000000001</v>
      </c>
      <c r="Z80" s="30"/>
      <c r="AA80" s="30">
        <v>16.113900000000001</v>
      </c>
      <c r="AB80" s="270" t="s">
        <v>1104</v>
      </c>
      <c r="AC80" s="202" t="s">
        <v>1880</v>
      </c>
      <c r="AD80" s="133" t="s">
        <v>1880</v>
      </c>
      <c r="AE80" s="269"/>
    </row>
    <row r="81" spans="1:31" s="11" customFormat="1" ht="26.25" customHeight="1" x14ac:dyDescent="0.15">
      <c r="A81" s="8">
        <v>79</v>
      </c>
      <c r="B81" s="8" t="s">
        <v>4914</v>
      </c>
      <c r="C81" s="26" t="s">
        <v>4912</v>
      </c>
      <c r="D81" s="270" t="s">
        <v>111</v>
      </c>
      <c r="E81" s="270" t="s">
        <v>111</v>
      </c>
      <c r="F81" s="29" t="s">
        <v>4906</v>
      </c>
      <c r="G81" s="53" t="s">
        <v>4913</v>
      </c>
      <c r="H81" s="269" t="s">
        <v>4195</v>
      </c>
      <c r="I81" s="269" t="s">
        <v>4196</v>
      </c>
      <c r="J81" s="269" t="s">
        <v>417</v>
      </c>
      <c r="K81" s="22" t="s">
        <v>3805</v>
      </c>
      <c r="L81" s="22" t="s">
        <v>1826</v>
      </c>
      <c r="M81" s="270" t="s">
        <v>1880</v>
      </c>
      <c r="N81" s="216" t="s">
        <v>138</v>
      </c>
      <c r="O81" s="54" t="s">
        <v>4533</v>
      </c>
      <c r="P81" s="270" t="s">
        <v>111</v>
      </c>
      <c r="Q81" s="269" t="s">
        <v>1811</v>
      </c>
      <c r="R81" s="269" t="s">
        <v>2072</v>
      </c>
      <c r="S81" s="24" t="s">
        <v>4900</v>
      </c>
      <c r="T81" s="90" t="s">
        <v>4908</v>
      </c>
      <c r="U81" s="270" t="s">
        <v>2359</v>
      </c>
      <c r="V81" s="270">
        <v>1</v>
      </c>
      <c r="W81" s="24" t="s">
        <v>1880</v>
      </c>
      <c r="X81" s="24" t="s">
        <v>1880</v>
      </c>
      <c r="Y81" s="30">
        <v>16.113900000000001</v>
      </c>
      <c r="Z81" s="30"/>
      <c r="AA81" s="30">
        <v>16.113900000000001</v>
      </c>
      <c r="AB81" s="270" t="s">
        <v>1104</v>
      </c>
      <c r="AC81" s="202" t="s">
        <v>1880</v>
      </c>
      <c r="AD81" s="133" t="s">
        <v>1880</v>
      </c>
      <c r="AE81" s="266"/>
    </row>
    <row r="82" spans="1:31" s="11" customFormat="1" ht="26.25" customHeight="1" x14ac:dyDescent="0.15">
      <c r="A82" s="8">
        <v>80</v>
      </c>
      <c r="B82" s="8" t="s">
        <v>4898</v>
      </c>
      <c r="C82" s="270" t="s">
        <v>111</v>
      </c>
      <c r="D82" s="270" t="s">
        <v>111</v>
      </c>
      <c r="E82" s="270" t="s">
        <v>111</v>
      </c>
      <c r="F82" s="29" t="s">
        <v>4096</v>
      </c>
      <c r="G82" s="53" t="s">
        <v>4915</v>
      </c>
      <c r="H82" s="269" t="s">
        <v>3649</v>
      </c>
      <c r="I82" s="269" t="s">
        <v>4750</v>
      </c>
      <c r="J82" s="269" t="s">
        <v>4916</v>
      </c>
      <c r="K82" s="22" t="s">
        <v>4098</v>
      </c>
      <c r="L82" s="22" t="s">
        <v>2142</v>
      </c>
      <c r="M82" s="270" t="s">
        <v>1880</v>
      </c>
      <c r="N82" s="22" t="s">
        <v>2422</v>
      </c>
      <c r="O82" s="54" t="s">
        <v>851</v>
      </c>
      <c r="P82" s="270" t="s">
        <v>111</v>
      </c>
      <c r="Q82" s="266" t="s">
        <v>1831</v>
      </c>
      <c r="R82" s="266" t="s">
        <v>1831</v>
      </c>
      <c r="S82" s="24" t="s">
        <v>4900</v>
      </c>
      <c r="T82" s="90" t="s">
        <v>4917</v>
      </c>
      <c r="U82" s="270" t="s">
        <v>2359</v>
      </c>
      <c r="V82" s="270">
        <v>2</v>
      </c>
      <c r="W82" s="24" t="s">
        <v>4918</v>
      </c>
      <c r="X82" s="24" t="s">
        <v>4919</v>
      </c>
      <c r="Y82" s="30"/>
      <c r="Z82" s="30">
        <v>8.8000000000000007</v>
      </c>
      <c r="AA82" s="30">
        <v>8.8000000000000007</v>
      </c>
      <c r="AB82" s="270" t="s">
        <v>1104</v>
      </c>
      <c r="AC82" s="202" t="s">
        <v>1880</v>
      </c>
      <c r="AD82" s="133" t="s">
        <v>1880</v>
      </c>
      <c r="AE82" s="266"/>
    </row>
    <row r="83" spans="1:31" s="11" customFormat="1" ht="26.25" customHeight="1" x14ac:dyDescent="0.15">
      <c r="A83" s="8">
        <v>81</v>
      </c>
      <c r="B83" s="8" t="s">
        <v>4921</v>
      </c>
      <c r="C83" s="26" t="s">
        <v>4920</v>
      </c>
      <c r="D83" s="270" t="s">
        <v>111</v>
      </c>
      <c r="E83" s="270" t="s">
        <v>111</v>
      </c>
      <c r="F83" s="29" t="s">
        <v>4922</v>
      </c>
      <c r="G83" s="53" t="s">
        <v>4923</v>
      </c>
      <c r="H83" s="269" t="s">
        <v>4712</v>
      </c>
      <c r="I83" s="269" t="s">
        <v>4701</v>
      </c>
      <c r="J83" s="269" t="s">
        <v>4924</v>
      </c>
      <c r="K83" s="22" t="s">
        <v>1138</v>
      </c>
      <c r="L83" s="22" t="s">
        <v>1826</v>
      </c>
      <c r="M83" s="270" t="s">
        <v>1880</v>
      </c>
      <c r="N83" s="216" t="s">
        <v>25</v>
      </c>
      <c r="O83" s="54" t="s">
        <v>2238</v>
      </c>
      <c r="P83" s="270" t="s">
        <v>111</v>
      </c>
      <c r="Q83" s="221" t="s">
        <v>1811</v>
      </c>
      <c r="R83" s="266" t="s">
        <v>3248</v>
      </c>
      <c r="S83" s="24" t="s">
        <v>4900</v>
      </c>
      <c r="T83" s="90" t="s">
        <v>4925</v>
      </c>
      <c r="U83" s="270" t="s">
        <v>2359</v>
      </c>
      <c r="V83" s="270">
        <v>1</v>
      </c>
      <c r="W83" s="211" t="s">
        <v>5306</v>
      </c>
      <c r="X83" s="211" t="s">
        <v>1880</v>
      </c>
      <c r="Y83" s="136">
        <v>22.395430999999999</v>
      </c>
      <c r="Z83" s="30">
        <v>12</v>
      </c>
      <c r="AA83" s="136">
        <v>34.395431000000002</v>
      </c>
      <c r="AB83" s="270" t="s">
        <v>1104</v>
      </c>
      <c r="AC83" s="35" t="s">
        <v>4926</v>
      </c>
      <c r="AD83" s="133" t="s">
        <v>1880</v>
      </c>
      <c r="AE83" s="266"/>
    </row>
    <row r="84" spans="1:31" s="11" customFormat="1" ht="26.25" customHeight="1" x14ac:dyDescent="0.15">
      <c r="A84" s="8">
        <v>82</v>
      </c>
      <c r="B84" s="8" t="s">
        <v>4899</v>
      </c>
      <c r="C84" s="26" t="s">
        <v>4927</v>
      </c>
      <c r="D84" s="270" t="s">
        <v>111</v>
      </c>
      <c r="E84" s="270" t="s">
        <v>111</v>
      </c>
      <c r="F84" s="29" t="s">
        <v>4928</v>
      </c>
      <c r="G84" s="53" t="s">
        <v>4929</v>
      </c>
      <c r="H84" s="269" t="s">
        <v>4712</v>
      </c>
      <c r="I84" s="269" t="s">
        <v>4701</v>
      </c>
      <c r="J84" s="269" t="s">
        <v>4930</v>
      </c>
      <c r="K84" s="22" t="s">
        <v>1138</v>
      </c>
      <c r="L84" s="22" t="s">
        <v>1826</v>
      </c>
      <c r="M84" s="270" t="s">
        <v>1880</v>
      </c>
      <c r="N84" s="216" t="s">
        <v>25</v>
      </c>
      <c r="O84" s="54" t="s">
        <v>2238</v>
      </c>
      <c r="P84" s="270" t="s">
        <v>111</v>
      </c>
      <c r="Q84" s="221" t="s">
        <v>1811</v>
      </c>
      <c r="R84" s="269" t="s">
        <v>3248</v>
      </c>
      <c r="S84" s="24" t="s">
        <v>4900</v>
      </c>
      <c r="T84" s="90" t="s">
        <v>4925</v>
      </c>
      <c r="U84" s="270" t="s">
        <v>2359</v>
      </c>
      <c r="V84" s="270">
        <v>1</v>
      </c>
      <c r="W84" s="211" t="s">
        <v>5306</v>
      </c>
      <c r="X84" s="211" t="s">
        <v>1880</v>
      </c>
      <c r="Y84" s="136">
        <v>15.549830999999999</v>
      </c>
      <c r="Z84" s="30">
        <v>12</v>
      </c>
      <c r="AA84" s="136">
        <v>27.549831000000001</v>
      </c>
      <c r="AB84" s="270" t="s">
        <v>1104</v>
      </c>
      <c r="AC84" s="35" t="s">
        <v>4926</v>
      </c>
      <c r="AD84" s="133" t="s">
        <v>1880</v>
      </c>
      <c r="AE84" s="266"/>
    </row>
    <row r="85" spans="1:31" s="11" customFormat="1" ht="26.25" customHeight="1" x14ac:dyDescent="0.15">
      <c r="A85" s="8">
        <v>83</v>
      </c>
      <c r="B85" s="8" t="s">
        <v>4936</v>
      </c>
      <c r="C85" s="273" t="s">
        <v>111</v>
      </c>
      <c r="D85" s="273" t="s">
        <v>111</v>
      </c>
      <c r="E85" s="273" t="s">
        <v>111</v>
      </c>
      <c r="F85" s="29" t="s">
        <v>3836</v>
      </c>
      <c r="G85" s="54" t="s">
        <v>4942</v>
      </c>
      <c r="H85" s="272" t="s">
        <v>4195</v>
      </c>
      <c r="I85" s="272" t="s">
        <v>4937</v>
      </c>
      <c r="J85" s="272" t="s">
        <v>4938</v>
      </c>
      <c r="K85" s="272" t="s">
        <v>4939</v>
      </c>
      <c r="L85" s="22" t="s">
        <v>1826</v>
      </c>
      <c r="M85" s="273" t="s">
        <v>1880</v>
      </c>
      <c r="N85" s="216" t="s">
        <v>25</v>
      </c>
      <c r="O85" s="54" t="s">
        <v>851</v>
      </c>
      <c r="P85" s="273" t="s">
        <v>111</v>
      </c>
      <c r="Q85" s="272" t="s">
        <v>1152</v>
      </c>
      <c r="R85" s="272" t="s">
        <v>1152</v>
      </c>
      <c r="S85" s="24" t="s">
        <v>4940</v>
      </c>
      <c r="T85" s="90" t="s">
        <v>3848</v>
      </c>
      <c r="U85" s="273" t="s">
        <v>2359</v>
      </c>
      <c r="V85" s="273">
        <v>1</v>
      </c>
      <c r="W85" s="24" t="s">
        <v>3293</v>
      </c>
      <c r="X85" s="24" t="s">
        <v>4941</v>
      </c>
      <c r="Y85" s="30"/>
      <c r="Z85" s="30">
        <v>8</v>
      </c>
      <c r="AA85" s="30">
        <v>8</v>
      </c>
      <c r="AB85" s="273" t="s">
        <v>1104</v>
      </c>
      <c r="AC85" s="202" t="s">
        <v>1880</v>
      </c>
      <c r="AD85" s="133" t="s">
        <v>1880</v>
      </c>
      <c r="AE85" s="272"/>
    </row>
    <row r="86" spans="1:31" s="11" customFormat="1" ht="26.25" customHeight="1" x14ac:dyDescent="0.15">
      <c r="A86" s="8">
        <v>84</v>
      </c>
      <c r="B86" s="8" t="s">
        <v>4947</v>
      </c>
      <c r="C86" s="275" t="s">
        <v>4944</v>
      </c>
      <c r="D86" s="275" t="s">
        <v>111</v>
      </c>
      <c r="E86" s="8" t="s">
        <v>5096</v>
      </c>
      <c r="F86" s="29" t="s">
        <v>4559</v>
      </c>
      <c r="G86" s="53" t="s">
        <v>4943</v>
      </c>
      <c r="H86" s="274" t="s">
        <v>4195</v>
      </c>
      <c r="I86" s="274" t="s">
        <v>4945</v>
      </c>
      <c r="J86" s="274" t="s">
        <v>4946</v>
      </c>
      <c r="K86" s="22" t="s">
        <v>4561</v>
      </c>
      <c r="L86" s="22" t="s">
        <v>1826</v>
      </c>
      <c r="M86" s="275" t="s">
        <v>1880</v>
      </c>
      <c r="N86" s="274" t="s">
        <v>445</v>
      </c>
      <c r="O86" s="54" t="s">
        <v>3523</v>
      </c>
      <c r="P86" s="275" t="s">
        <v>111</v>
      </c>
      <c r="Q86" s="274" t="s">
        <v>1152</v>
      </c>
      <c r="R86" s="274" t="s">
        <v>1152</v>
      </c>
      <c r="S86" s="24" t="s">
        <v>4940</v>
      </c>
      <c r="T86" s="90" t="s">
        <v>4917</v>
      </c>
      <c r="U86" s="275" t="s">
        <v>2359</v>
      </c>
      <c r="V86" s="275">
        <v>1</v>
      </c>
      <c r="W86" s="24" t="s">
        <v>1880</v>
      </c>
      <c r="X86" s="24" t="s">
        <v>1880</v>
      </c>
      <c r="Y86" s="30">
        <v>9</v>
      </c>
      <c r="Z86" s="30"/>
      <c r="AA86" s="30">
        <v>9</v>
      </c>
      <c r="AB86" s="275" t="s">
        <v>1104</v>
      </c>
      <c r="AC86" s="35" t="s">
        <v>4756</v>
      </c>
      <c r="AD86" s="133" t="s">
        <v>1880</v>
      </c>
      <c r="AE86" s="274"/>
    </row>
    <row r="87" spans="1:31" s="11" customFormat="1" ht="26.25" customHeight="1" x14ac:dyDescent="0.15">
      <c r="A87" s="8">
        <v>85</v>
      </c>
      <c r="B87" s="8" t="s">
        <v>4948</v>
      </c>
      <c r="C87" s="277" t="s">
        <v>111</v>
      </c>
      <c r="D87" s="277" t="s">
        <v>111</v>
      </c>
      <c r="E87" s="277" t="s">
        <v>111</v>
      </c>
      <c r="F87" s="54" t="s">
        <v>1253</v>
      </c>
      <c r="G87" s="53" t="s">
        <v>4951</v>
      </c>
      <c r="H87" s="1" t="s">
        <v>1449</v>
      </c>
      <c r="I87" s="142" t="s">
        <v>177</v>
      </c>
      <c r="J87" s="21" t="s">
        <v>3263</v>
      </c>
      <c r="K87" s="21" t="s">
        <v>1733</v>
      </c>
      <c r="L87" s="277" t="s">
        <v>1826</v>
      </c>
      <c r="M87" s="277" t="s">
        <v>111</v>
      </c>
      <c r="N87" s="276" t="s">
        <v>1818</v>
      </c>
      <c r="O87" s="89" t="s">
        <v>1819</v>
      </c>
      <c r="P87" s="277" t="s">
        <v>111</v>
      </c>
      <c r="Q87" s="276" t="s">
        <v>1831</v>
      </c>
      <c r="R87" s="276" t="s">
        <v>1831</v>
      </c>
      <c r="S87" s="24" t="s">
        <v>4940</v>
      </c>
      <c r="T87" s="90" t="s">
        <v>4783</v>
      </c>
      <c r="U87" s="24" t="s">
        <v>2359</v>
      </c>
      <c r="V87" s="24">
        <v>2</v>
      </c>
      <c r="W87" s="24" t="s">
        <v>4952</v>
      </c>
      <c r="X87" s="24" t="s">
        <v>4953</v>
      </c>
      <c r="Y87" s="30"/>
      <c r="Z87" s="30">
        <v>10</v>
      </c>
      <c r="AA87" s="30">
        <v>10</v>
      </c>
      <c r="AB87" s="277" t="s">
        <v>1104</v>
      </c>
      <c r="AC87" s="202" t="s">
        <v>1880</v>
      </c>
      <c r="AD87" s="133" t="s">
        <v>1880</v>
      </c>
      <c r="AE87" s="276"/>
    </row>
    <row r="88" spans="1:31" s="11" customFormat="1" ht="26.25" customHeight="1" x14ac:dyDescent="0.15">
      <c r="A88" s="8">
        <v>86</v>
      </c>
      <c r="B88" s="8" t="s">
        <v>4949</v>
      </c>
      <c r="C88" s="277" t="s">
        <v>111</v>
      </c>
      <c r="D88" s="277" t="s">
        <v>111</v>
      </c>
      <c r="E88" s="277" t="s">
        <v>111</v>
      </c>
      <c r="F88" s="54" t="s">
        <v>1253</v>
      </c>
      <c r="G88" s="53" t="s">
        <v>4951</v>
      </c>
      <c r="H88" s="1" t="s">
        <v>1449</v>
      </c>
      <c r="I88" s="142" t="s">
        <v>177</v>
      </c>
      <c r="J88" s="21" t="s">
        <v>3264</v>
      </c>
      <c r="K88" s="21" t="s">
        <v>1732</v>
      </c>
      <c r="L88" s="277" t="s">
        <v>1826</v>
      </c>
      <c r="M88" s="277" t="s">
        <v>111</v>
      </c>
      <c r="N88" s="276" t="s">
        <v>102</v>
      </c>
      <c r="O88" s="89" t="s">
        <v>851</v>
      </c>
      <c r="P88" s="277" t="s">
        <v>111</v>
      </c>
      <c r="Q88" s="276" t="s">
        <v>1831</v>
      </c>
      <c r="R88" s="276" t="s">
        <v>1831</v>
      </c>
      <c r="S88" s="24" t="s">
        <v>4940</v>
      </c>
      <c r="T88" s="90" t="s">
        <v>4783</v>
      </c>
      <c r="U88" s="24" t="s">
        <v>2359</v>
      </c>
      <c r="V88" s="24">
        <v>2</v>
      </c>
      <c r="W88" s="24" t="s">
        <v>4952</v>
      </c>
      <c r="X88" s="24" t="s">
        <v>4953</v>
      </c>
      <c r="Y88" s="30"/>
      <c r="Z88" s="30">
        <v>10</v>
      </c>
      <c r="AA88" s="30">
        <v>10</v>
      </c>
      <c r="AB88" s="277" t="s">
        <v>1104</v>
      </c>
      <c r="AC88" s="202" t="s">
        <v>1880</v>
      </c>
      <c r="AD88" s="133" t="s">
        <v>1880</v>
      </c>
      <c r="AE88" s="276"/>
    </row>
    <row r="89" spans="1:31" s="11" customFormat="1" ht="26.25" customHeight="1" x14ac:dyDescent="0.15">
      <c r="A89" s="8">
        <v>87</v>
      </c>
      <c r="B89" s="8" t="s">
        <v>4950</v>
      </c>
      <c r="C89" s="277" t="s">
        <v>111</v>
      </c>
      <c r="D89" s="277" t="s">
        <v>111</v>
      </c>
      <c r="E89" s="277" t="s">
        <v>111</v>
      </c>
      <c r="F89" s="54" t="s">
        <v>3271</v>
      </c>
      <c r="G89" s="53" t="s">
        <v>4951</v>
      </c>
      <c r="H89" s="1" t="s">
        <v>1449</v>
      </c>
      <c r="I89" s="142" t="s">
        <v>177</v>
      </c>
      <c r="J89" s="21" t="s">
        <v>3273</v>
      </c>
      <c r="K89" s="21" t="s">
        <v>1734</v>
      </c>
      <c r="L89" s="277" t="s">
        <v>1826</v>
      </c>
      <c r="M89" s="277" t="s">
        <v>111</v>
      </c>
      <c r="N89" s="276" t="s">
        <v>102</v>
      </c>
      <c r="O89" s="89" t="s">
        <v>851</v>
      </c>
      <c r="P89" s="277" t="s">
        <v>111</v>
      </c>
      <c r="Q89" s="276" t="s">
        <v>1831</v>
      </c>
      <c r="R89" s="276" t="s">
        <v>1831</v>
      </c>
      <c r="S89" s="24" t="s">
        <v>4940</v>
      </c>
      <c r="T89" s="90" t="s">
        <v>4783</v>
      </c>
      <c r="U89" s="24" t="s">
        <v>2359</v>
      </c>
      <c r="V89" s="24">
        <v>2</v>
      </c>
      <c r="W89" s="24" t="s">
        <v>4952</v>
      </c>
      <c r="X89" s="24" t="s">
        <v>4953</v>
      </c>
      <c r="Y89" s="30"/>
      <c r="Z89" s="30">
        <v>10</v>
      </c>
      <c r="AA89" s="30">
        <v>10</v>
      </c>
      <c r="AB89" s="277" t="s">
        <v>1104</v>
      </c>
      <c r="AC89" s="202" t="s">
        <v>1880</v>
      </c>
      <c r="AD89" s="133" t="s">
        <v>1880</v>
      </c>
      <c r="AE89" s="276"/>
    </row>
    <row r="90" spans="1:31" s="11" customFormat="1" ht="26.25" customHeight="1" x14ac:dyDescent="0.15">
      <c r="A90" s="8">
        <v>88</v>
      </c>
      <c r="B90" s="8" t="s">
        <v>4959</v>
      </c>
      <c r="C90" s="280" t="s">
        <v>111</v>
      </c>
      <c r="D90" s="280" t="s">
        <v>111</v>
      </c>
      <c r="E90" s="280" t="s">
        <v>111</v>
      </c>
      <c r="F90" s="29" t="s">
        <v>3543</v>
      </c>
      <c r="G90" s="53" t="s">
        <v>4965</v>
      </c>
      <c r="H90" s="1" t="s">
        <v>23</v>
      </c>
      <c r="I90" s="1" t="s">
        <v>177</v>
      </c>
      <c r="J90" s="1" t="s">
        <v>4966</v>
      </c>
      <c r="K90" s="22" t="s">
        <v>3545</v>
      </c>
      <c r="L90" s="280" t="s">
        <v>1826</v>
      </c>
      <c r="M90" s="280" t="s">
        <v>111</v>
      </c>
      <c r="N90" s="279" t="s">
        <v>102</v>
      </c>
      <c r="O90" s="89" t="s">
        <v>851</v>
      </c>
      <c r="P90" s="280" t="s">
        <v>111</v>
      </c>
      <c r="Q90" s="279" t="s">
        <v>1151</v>
      </c>
      <c r="R90" s="279" t="s">
        <v>1152</v>
      </c>
      <c r="S90" s="24" t="s">
        <v>4967</v>
      </c>
      <c r="T90" s="90" t="s">
        <v>4968</v>
      </c>
      <c r="U90" s="280" t="s">
        <v>2359</v>
      </c>
      <c r="V90" s="280">
        <v>2</v>
      </c>
      <c r="W90" s="24" t="s">
        <v>4385</v>
      </c>
      <c r="X90" s="24" t="s">
        <v>4120</v>
      </c>
      <c r="Y90" s="30"/>
      <c r="Z90" s="30">
        <v>12</v>
      </c>
      <c r="AA90" s="30">
        <v>12</v>
      </c>
      <c r="AB90" s="280" t="s">
        <v>1104</v>
      </c>
      <c r="AC90" s="202" t="s">
        <v>1880</v>
      </c>
      <c r="AD90" s="133" t="s">
        <v>1880</v>
      </c>
      <c r="AE90" s="279"/>
    </row>
    <row r="91" spans="1:31" s="11" customFormat="1" ht="26.25" customHeight="1" x14ac:dyDescent="0.15">
      <c r="A91" s="8">
        <v>89</v>
      </c>
      <c r="B91" s="8" t="s">
        <v>4960</v>
      </c>
      <c r="C91" s="280" t="s">
        <v>111</v>
      </c>
      <c r="D91" s="280" t="s">
        <v>111</v>
      </c>
      <c r="E91" s="280" t="s">
        <v>111</v>
      </c>
      <c r="F91" s="29" t="s">
        <v>3547</v>
      </c>
      <c r="G91" s="53" t="s">
        <v>3677</v>
      </c>
      <c r="H91" s="1" t="s">
        <v>23</v>
      </c>
      <c r="I91" s="1" t="s">
        <v>177</v>
      </c>
      <c r="J91" s="1" t="s">
        <v>4969</v>
      </c>
      <c r="K91" s="22" t="s">
        <v>3550</v>
      </c>
      <c r="L91" s="280" t="s">
        <v>1826</v>
      </c>
      <c r="M91" s="280" t="s">
        <v>111</v>
      </c>
      <c r="N91" s="279" t="s">
        <v>102</v>
      </c>
      <c r="O91" s="89" t="s">
        <v>851</v>
      </c>
      <c r="P91" s="280" t="s">
        <v>111</v>
      </c>
      <c r="Q91" s="279" t="s">
        <v>1151</v>
      </c>
      <c r="R91" s="279" t="s">
        <v>1152</v>
      </c>
      <c r="S91" s="24" t="s">
        <v>4967</v>
      </c>
      <c r="T91" s="90" t="s">
        <v>4968</v>
      </c>
      <c r="U91" s="280" t="s">
        <v>2359</v>
      </c>
      <c r="V91" s="280">
        <v>2</v>
      </c>
      <c r="W91" s="24" t="s">
        <v>4385</v>
      </c>
      <c r="X91" s="24" t="s">
        <v>4120</v>
      </c>
      <c r="Y91" s="30"/>
      <c r="Z91" s="30">
        <v>12</v>
      </c>
      <c r="AA91" s="30">
        <v>12</v>
      </c>
      <c r="AB91" s="280" t="s">
        <v>1104</v>
      </c>
      <c r="AC91" s="202" t="s">
        <v>1880</v>
      </c>
      <c r="AD91" s="133" t="s">
        <v>1880</v>
      </c>
      <c r="AE91" s="279"/>
    </row>
    <row r="92" spans="1:31" s="11" customFormat="1" ht="26.25" customHeight="1" x14ac:dyDescent="0.15">
      <c r="A92" s="8">
        <v>90</v>
      </c>
      <c r="B92" s="8" t="s">
        <v>4961</v>
      </c>
      <c r="C92" s="280" t="s">
        <v>111</v>
      </c>
      <c r="D92" s="280" t="s">
        <v>111</v>
      </c>
      <c r="E92" s="280" t="s">
        <v>111</v>
      </c>
      <c r="F92" s="294" t="s">
        <v>3539</v>
      </c>
      <c r="G92" s="53" t="s">
        <v>3541</v>
      </c>
      <c r="H92" s="1" t="s">
        <v>23</v>
      </c>
      <c r="I92" s="142" t="s">
        <v>177</v>
      </c>
      <c r="J92" s="1" t="s">
        <v>5008</v>
      </c>
      <c r="K92" s="1" t="s">
        <v>5009</v>
      </c>
      <c r="L92" s="280" t="s">
        <v>1826</v>
      </c>
      <c r="M92" s="280" t="s">
        <v>111</v>
      </c>
      <c r="N92" s="279" t="s">
        <v>102</v>
      </c>
      <c r="O92" s="89" t="s">
        <v>851</v>
      </c>
      <c r="P92" s="280" t="s">
        <v>111</v>
      </c>
      <c r="Q92" s="279" t="s">
        <v>1151</v>
      </c>
      <c r="R92" s="279" t="s">
        <v>1152</v>
      </c>
      <c r="S92" s="24" t="s">
        <v>4967</v>
      </c>
      <c r="T92" s="90" t="s">
        <v>4968</v>
      </c>
      <c r="U92" s="280" t="s">
        <v>2359</v>
      </c>
      <c r="V92" s="280">
        <v>2</v>
      </c>
      <c r="W92" s="24" t="s">
        <v>4385</v>
      </c>
      <c r="X92" s="24" t="s">
        <v>4120</v>
      </c>
      <c r="Y92" s="30"/>
      <c r="Z92" s="30">
        <v>12</v>
      </c>
      <c r="AA92" s="30">
        <v>12</v>
      </c>
      <c r="AB92" s="280" t="s">
        <v>1104</v>
      </c>
      <c r="AC92" s="202" t="s">
        <v>1880</v>
      </c>
      <c r="AD92" s="133" t="s">
        <v>1880</v>
      </c>
      <c r="AE92" s="279"/>
    </row>
    <row r="93" spans="1:31" s="11" customFormat="1" ht="26.25" customHeight="1" x14ac:dyDescent="0.15">
      <c r="A93" s="8">
        <v>91</v>
      </c>
      <c r="B93" s="8" t="s">
        <v>4962</v>
      </c>
      <c r="C93" s="280" t="s">
        <v>111</v>
      </c>
      <c r="D93" s="280" t="s">
        <v>111</v>
      </c>
      <c r="E93" s="280" t="s">
        <v>111</v>
      </c>
      <c r="F93" s="151" t="s">
        <v>3816</v>
      </c>
      <c r="G93" s="151" t="s">
        <v>3806</v>
      </c>
      <c r="H93" s="102" t="s">
        <v>1508</v>
      </c>
      <c r="I93" s="1" t="s">
        <v>2826</v>
      </c>
      <c r="J93" s="1" t="s">
        <v>3807</v>
      </c>
      <c r="K93" s="280" t="s">
        <v>1138</v>
      </c>
      <c r="L93" s="280" t="s">
        <v>1826</v>
      </c>
      <c r="M93" s="280" t="s">
        <v>111</v>
      </c>
      <c r="N93" s="280" t="s">
        <v>1818</v>
      </c>
      <c r="O93" s="151" t="s">
        <v>1819</v>
      </c>
      <c r="P93" s="280" t="s">
        <v>111</v>
      </c>
      <c r="Q93" s="279" t="s">
        <v>1785</v>
      </c>
      <c r="R93" s="279" t="s">
        <v>1785</v>
      </c>
      <c r="S93" s="24" t="s">
        <v>4967</v>
      </c>
      <c r="T93" s="90" t="s">
        <v>4385</v>
      </c>
      <c r="U93" s="280" t="s">
        <v>2359</v>
      </c>
      <c r="V93" s="280">
        <v>1</v>
      </c>
      <c r="W93" s="24" t="s">
        <v>4385</v>
      </c>
      <c r="X93" s="24" t="s">
        <v>4120</v>
      </c>
      <c r="Y93" s="30"/>
      <c r="Z93" s="30">
        <v>6</v>
      </c>
      <c r="AA93" s="30">
        <v>6</v>
      </c>
      <c r="AB93" s="280" t="s">
        <v>1104</v>
      </c>
      <c r="AC93" s="202" t="s">
        <v>1880</v>
      </c>
      <c r="AD93" s="133" t="s">
        <v>1880</v>
      </c>
      <c r="AE93" s="279"/>
    </row>
    <row r="94" spans="1:31" s="11" customFormat="1" ht="26.25" customHeight="1" x14ac:dyDescent="0.15">
      <c r="A94" s="8">
        <v>92</v>
      </c>
      <c r="B94" s="8" t="s">
        <v>4963</v>
      </c>
      <c r="C94" s="280" t="s">
        <v>111</v>
      </c>
      <c r="D94" s="280" t="s">
        <v>111</v>
      </c>
      <c r="E94" s="8" t="s">
        <v>5095</v>
      </c>
      <c r="F94" s="29" t="s">
        <v>4970</v>
      </c>
      <c r="G94" s="53" t="s">
        <v>4971</v>
      </c>
      <c r="H94" s="102" t="s">
        <v>5036</v>
      </c>
      <c r="I94" s="295" t="s">
        <v>4972</v>
      </c>
      <c r="J94" s="37" t="s">
        <v>4973</v>
      </c>
      <c r="K94" s="22" t="s">
        <v>1138</v>
      </c>
      <c r="L94" s="280" t="s">
        <v>1826</v>
      </c>
      <c r="M94" s="280" t="s">
        <v>111</v>
      </c>
      <c r="N94" s="280" t="s">
        <v>1818</v>
      </c>
      <c r="O94" s="54" t="s">
        <v>4974</v>
      </c>
      <c r="P94" s="280" t="s">
        <v>111</v>
      </c>
      <c r="Q94" s="279" t="s">
        <v>3591</v>
      </c>
      <c r="R94" s="279" t="s">
        <v>3591</v>
      </c>
      <c r="S94" s="24" t="s">
        <v>4967</v>
      </c>
      <c r="T94" s="90" t="s">
        <v>4975</v>
      </c>
      <c r="U94" s="24" t="s">
        <v>2359</v>
      </c>
      <c r="V94" s="24">
        <v>4</v>
      </c>
      <c r="W94" s="211" t="s">
        <v>5306</v>
      </c>
      <c r="X94" s="211" t="s">
        <v>1880</v>
      </c>
      <c r="Y94" s="30">
        <v>15</v>
      </c>
      <c r="Z94" s="30">
        <v>8</v>
      </c>
      <c r="AA94" s="30">
        <v>23</v>
      </c>
      <c r="AB94" s="280" t="s">
        <v>1104</v>
      </c>
      <c r="AC94" s="35" t="s">
        <v>5040</v>
      </c>
      <c r="AD94" s="133" t="s">
        <v>1880</v>
      </c>
      <c r="AE94" s="292" t="s">
        <v>5037</v>
      </c>
    </row>
    <row r="95" spans="1:31" s="11" customFormat="1" ht="26.25" customHeight="1" x14ac:dyDescent="0.15">
      <c r="A95" s="8">
        <v>93</v>
      </c>
      <c r="B95" s="8" t="s">
        <v>4964</v>
      </c>
      <c r="C95" s="280" t="s">
        <v>111</v>
      </c>
      <c r="D95" s="280" t="s">
        <v>111</v>
      </c>
      <c r="E95" s="280" t="s">
        <v>111</v>
      </c>
      <c r="F95" s="29" t="s">
        <v>4976</v>
      </c>
      <c r="G95" s="53" t="s">
        <v>4977</v>
      </c>
      <c r="H95" s="278" t="s">
        <v>2347</v>
      </c>
      <c r="I95" s="295" t="s">
        <v>4978</v>
      </c>
      <c r="J95" s="37" t="s">
        <v>4979</v>
      </c>
      <c r="K95" s="22" t="s">
        <v>1138</v>
      </c>
      <c r="L95" s="22" t="s">
        <v>1826</v>
      </c>
      <c r="M95" s="280" t="s">
        <v>111</v>
      </c>
      <c r="N95" s="280" t="s">
        <v>1818</v>
      </c>
      <c r="O95" s="54" t="s">
        <v>4980</v>
      </c>
      <c r="P95" s="280" t="s">
        <v>111</v>
      </c>
      <c r="Q95" s="289" t="s">
        <v>2072</v>
      </c>
      <c r="R95" s="279" t="s">
        <v>2072</v>
      </c>
      <c r="S95" s="24" t="s">
        <v>4967</v>
      </c>
      <c r="T95" s="90" t="s">
        <v>4825</v>
      </c>
      <c r="U95" s="280" t="s">
        <v>2359</v>
      </c>
      <c r="V95" s="280">
        <v>1</v>
      </c>
      <c r="W95" s="24" t="s">
        <v>1880</v>
      </c>
      <c r="X95" s="24" t="s">
        <v>1880</v>
      </c>
      <c r="Y95" s="30">
        <v>31.879000000000001</v>
      </c>
      <c r="Z95" s="30"/>
      <c r="AA95" s="30">
        <v>31.879000000000001</v>
      </c>
      <c r="AB95" s="280" t="s">
        <v>1104</v>
      </c>
      <c r="AC95" s="202" t="s">
        <v>1880</v>
      </c>
      <c r="AD95" s="133" t="s">
        <v>1880</v>
      </c>
      <c r="AE95" s="292" t="s">
        <v>5039</v>
      </c>
    </row>
    <row r="96" spans="1:31" s="11" customFormat="1" ht="26.25" customHeight="1" x14ac:dyDescent="0.15">
      <c r="A96" s="8">
        <v>94</v>
      </c>
      <c r="B96" s="8" t="s">
        <v>4986</v>
      </c>
      <c r="C96" s="280" t="s">
        <v>4985</v>
      </c>
      <c r="D96" s="280" t="s">
        <v>111</v>
      </c>
      <c r="E96" s="280" t="s">
        <v>111</v>
      </c>
      <c r="F96" s="29" t="s">
        <v>4981</v>
      </c>
      <c r="G96" s="53" t="s">
        <v>5038</v>
      </c>
      <c r="H96" s="278" t="s">
        <v>1147</v>
      </c>
      <c r="I96" s="278" t="s">
        <v>4982</v>
      </c>
      <c r="J96" s="278" t="s">
        <v>4983</v>
      </c>
      <c r="K96" s="22" t="s">
        <v>4984</v>
      </c>
      <c r="L96" s="22" t="s">
        <v>1826</v>
      </c>
      <c r="M96" s="280" t="s">
        <v>111</v>
      </c>
      <c r="N96" s="280" t="s">
        <v>1818</v>
      </c>
      <c r="O96" s="54" t="s">
        <v>5299</v>
      </c>
      <c r="P96" s="280" t="s">
        <v>111</v>
      </c>
      <c r="Q96" s="266" t="s">
        <v>1152</v>
      </c>
      <c r="R96" s="266" t="s">
        <v>1152</v>
      </c>
      <c r="S96" s="24" t="s">
        <v>4967</v>
      </c>
      <c r="T96" s="90" t="s">
        <v>4987</v>
      </c>
      <c r="U96" s="280" t="s">
        <v>2359</v>
      </c>
      <c r="V96" s="280">
        <v>1</v>
      </c>
      <c r="W96" s="24" t="s">
        <v>1880</v>
      </c>
      <c r="X96" s="24" t="s">
        <v>1880</v>
      </c>
      <c r="Y96" s="30">
        <v>3.7</v>
      </c>
      <c r="Z96" s="30"/>
      <c r="AA96" s="30">
        <v>3.7</v>
      </c>
      <c r="AB96" s="280" t="s">
        <v>1104</v>
      </c>
      <c r="AC96" s="202" t="s">
        <v>1880</v>
      </c>
      <c r="AD96" s="133" t="s">
        <v>1880</v>
      </c>
      <c r="AE96" s="266"/>
    </row>
    <row r="97" spans="1:31" s="11" customFormat="1" ht="26.25" customHeight="1" x14ac:dyDescent="0.15">
      <c r="A97" s="8">
        <v>95</v>
      </c>
      <c r="B97" s="8" t="s">
        <v>4988</v>
      </c>
      <c r="C97" s="283" t="s">
        <v>111</v>
      </c>
      <c r="D97" s="283" t="s">
        <v>111</v>
      </c>
      <c r="E97" s="283" t="s">
        <v>111</v>
      </c>
      <c r="F97" s="29" t="s">
        <v>4697</v>
      </c>
      <c r="G97" s="53" t="s">
        <v>4989</v>
      </c>
      <c r="H97" s="281" t="s">
        <v>4990</v>
      </c>
      <c r="I97" s="281" t="s">
        <v>3215</v>
      </c>
      <c r="J97" s="281" t="s">
        <v>4991</v>
      </c>
      <c r="K97" s="22" t="s">
        <v>4992</v>
      </c>
      <c r="L97" s="22" t="s">
        <v>1826</v>
      </c>
      <c r="M97" s="283" t="s">
        <v>111</v>
      </c>
      <c r="N97" s="283" t="s">
        <v>1818</v>
      </c>
      <c r="O97" s="151" t="s">
        <v>1819</v>
      </c>
      <c r="P97" s="283" t="s">
        <v>111</v>
      </c>
      <c r="Q97" s="282" t="s">
        <v>3591</v>
      </c>
      <c r="R97" s="282" t="s">
        <v>3591</v>
      </c>
      <c r="S97" s="24" t="s">
        <v>4967</v>
      </c>
      <c r="T97" s="90" t="s">
        <v>4993</v>
      </c>
      <c r="U97" s="283" t="s">
        <v>2359</v>
      </c>
      <c r="V97" s="283">
        <v>1</v>
      </c>
      <c r="W97" s="24" t="s">
        <v>4385</v>
      </c>
      <c r="X97" s="24" t="s">
        <v>4120</v>
      </c>
      <c r="Y97" s="30"/>
      <c r="Z97" s="30">
        <v>9.9</v>
      </c>
      <c r="AA97" s="30">
        <v>9.9</v>
      </c>
      <c r="AB97" s="283" t="s">
        <v>1104</v>
      </c>
      <c r="AC97" s="202" t="s">
        <v>1880</v>
      </c>
      <c r="AD97" s="133" t="s">
        <v>1880</v>
      </c>
      <c r="AE97" s="282"/>
    </row>
    <row r="98" spans="1:31" s="11" customFormat="1" ht="26.25" customHeight="1" x14ac:dyDescent="0.15">
      <c r="A98" s="8">
        <v>96</v>
      </c>
      <c r="B98" s="8" t="s">
        <v>5000</v>
      </c>
      <c r="C98" s="26" t="s">
        <v>5001</v>
      </c>
      <c r="D98" s="288" t="s">
        <v>111</v>
      </c>
      <c r="E98" s="288" t="s">
        <v>111</v>
      </c>
      <c r="F98" s="29" t="s">
        <v>2356</v>
      </c>
      <c r="G98" s="53" t="s">
        <v>5002</v>
      </c>
      <c r="H98" s="287" t="s">
        <v>5003</v>
      </c>
      <c r="I98" s="287" t="s">
        <v>4728</v>
      </c>
      <c r="J98" s="287" t="s">
        <v>5004</v>
      </c>
      <c r="K98" s="22" t="s">
        <v>2385</v>
      </c>
      <c r="L98" s="22" t="s">
        <v>1826</v>
      </c>
      <c r="M98" s="288" t="s">
        <v>111</v>
      </c>
      <c r="N98" s="287" t="s">
        <v>1131</v>
      </c>
      <c r="O98" s="54" t="s">
        <v>5005</v>
      </c>
      <c r="P98" s="288" t="s">
        <v>111</v>
      </c>
      <c r="Q98" s="287" t="s">
        <v>1831</v>
      </c>
      <c r="R98" s="287" t="s">
        <v>1831</v>
      </c>
      <c r="S98" s="24" t="s">
        <v>5006</v>
      </c>
      <c r="T98" s="90" t="s">
        <v>4975</v>
      </c>
      <c r="U98" s="288" t="s">
        <v>2359</v>
      </c>
      <c r="V98" s="288">
        <v>1</v>
      </c>
      <c r="W98" s="24" t="s">
        <v>1880</v>
      </c>
      <c r="X98" s="24" t="s">
        <v>1880</v>
      </c>
      <c r="Y98" s="30">
        <v>4.9800000000000004</v>
      </c>
      <c r="Z98" s="30"/>
      <c r="AA98" s="30">
        <v>4.9800000000000004</v>
      </c>
      <c r="AB98" s="288" t="s">
        <v>1104</v>
      </c>
      <c r="AC98" s="35" t="s">
        <v>5007</v>
      </c>
      <c r="AD98" s="133" t="s">
        <v>1880</v>
      </c>
      <c r="AE98" s="287"/>
    </row>
    <row r="99" spans="1:31" s="11" customFormat="1" ht="26.25" customHeight="1" x14ac:dyDescent="0.15">
      <c r="A99" s="8">
        <v>97</v>
      </c>
      <c r="B99" s="8" t="s">
        <v>5010</v>
      </c>
      <c r="C99" s="291" t="s">
        <v>111</v>
      </c>
      <c r="D99" s="291" t="s">
        <v>111</v>
      </c>
      <c r="E99" s="291" t="s">
        <v>111</v>
      </c>
      <c r="F99" s="151" t="s">
        <v>3288</v>
      </c>
      <c r="G99" s="47" t="s">
        <v>3289</v>
      </c>
      <c r="H99" s="291" t="s">
        <v>1147</v>
      </c>
      <c r="I99" s="291" t="s">
        <v>3215</v>
      </c>
      <c r="J99" s="21" t="s">
        <v>3290</v>
      </c>
      <c r="K99" s="291" t="s">
        <v>1138</v>
      </c>
      <c r="L99" s="291" t="s">
        <v>1826</v>
      </c>
      <c r="M99" s="291" t="s">
        <v>111</v>
      </c>
      <c r="N99" s="291" t="s">
        <v>1818</v>
      </c>
      <c r="O99" s="151" t="s">
        <v>1819</v>
      </c>
      <c r="P99" s="291" t="s">
        <v>111</v>
      </c>
      <c r="Q99" s="290" t="s">
        <v>1811</v>
      </c>
      <c r="R99" s="290" t="s">
        <v>5029</v>
      </c>
      <c r="S99" s="24" t="s">
        <v>5006</v>
      </c>
      <c r="T99" s="90" t="s">
        <v>4967</v>
      </c>
      <c r="U99" s="291" t="s">
        <v>2359</v>
      </c>
      <c r="V99" s="291">
        <v>2</v>
      </c>
      <c r="W99" s="291" t="s">
        <v>5030</v>
      </c>
      <c r="X99" s="291" t="s">
        <v>5032</v>
      </c>
      <c r="Y99" s="30"/>
      <c r="Z99" s="30">
        <v>12.24</v>
      </c>
      <c r="AA99" s="30">
        <v>12.24</v>
      </c>
      <c r="AB99" s="291" t="s">
        <v>1104</v>
      </c>
      <c r="AC99" s="202" t="s">
        <v>1880</v>
      </c>
      <c r="AD99" s="133" t="s">
        <v>1880</v>
      </c>
      <c r="AE99" s="290"/>
    </row>
    <row r="100" spans="1:31" s="11" customFormat="1" ht="26.25" customHeight="1" x14ac:dyDescent="0.15">
      <c r="A100" s="8">
        <v>98</v>
      </c>
      <c r="B100" s="8" t="s">
        <v>5011</v>
      </c>
      <c r="C100" s="291" t="s">
        <v>111</v>
      </c>
      <c r="D100" s="291" t="s">
        <v>111</v>
      </c>
      <c r="E100" s="291" t="s">
        <v>111</v>
      </c>
      <c r="F100" s="151" t="s">
        <v>3294</v>
      </c>
      <c r="G100" s="47" t="s">
        <v>3299</v>
      </c>
      <c r="H100" s="291" t="s">
        <v>1147</v>
      </c>
      <c r="I100" s="291" t="s">
        <v>3215</v>
      </c>
      <c r="J100" s="84" t="s">
        <v>3341</v>
      </c>
      <c r="K100" s="291" t="s">
        <v>1138</v>
      </c>
      <c r="L100" s="291" t="s">
        <v>1826</v>
      </c>
      <c r="M100" s="291" t="s">
        <v>111</v>
      </c>
      <c r="N100" s="291" t="s">
        <v>1818</v>
      </c>
      <c r="O100" s="151" t="s">
        <v>1819</v>
      </c>
      <c r="P100" s="291" t="s">
        <v>111</v>
      </c>
      <c r="Q100" s="290" t="s">
        <v>1811</v>
      </c>
      <c r="R100" s="290" t="s">
        <v>5029</v>
      </c>
      <c r="S100" s="24" t="s">
        <v>5006</v>
      </c>
      <c r="T100" s="90" t="s">
        <v>4967</v>
      </c>
      <c r="U100" s="291" t="s">
        <v>2359</v>
      </c>
      <c r="V100" s="291">
        <v>2</v>
      </c>
      <c r="W100" s="291" t="s">
        <v>5031</v>
      </c>
      <c r="X100" s="291" t="s">
        <v>5033</v>
      </c>
      <c r="Y100" s="30"/>
      <c r="Z100" s="30">
        <v>12.24</v>
      </c>
      <c r="AA100" s="30">
        <v>12.24</v>
      </c>
      <c r="AB100" s="291" t="s">
        <v>1104</v>
      </c>
      <c r="AC100" s="202" t="s">
        <v>1880</v>
      </c>
      <c r="AD100" s="133" t="s">
        <v>1880</v>
      </c>
      <c r="AE100" s="290"/>
    </row>
    <row r="101" spans="1:31" s="11" customFormat="1" ht="26.25" customHeight="1" x14ac:dyDescent="0.15">
      <c r="A101" s="8">
        <v>99</v>
      </c>
      <c r="B101" s="8" t="s">
        <v>5012</v>
      </c>
      <c r="C101" s="291" t="s">
        <v>111</v>
      </c>
      <c r="D101" s="291" t="s">
        <v>111</v>
      </c>
      <c r="E101" s="291" t="s">
        <v>111</v>
      </c>
      <c r="F101" s="54" t="s">
        <v>3294</v>
      </c>
      <c r="G101" s="47" t="s">
        <v>3299</v>
      </c>
      <c r="H101" s="291" t="s">
        <v>1147</v>
      </c>
      <c r="I101" s="291" t="s">
        <v>3215</v>
      </c>
      <c r="J101" s="84" t="s">
        <v>3339</v>
      </c>
      <c r="K101" s="291" t="s">
        <v>1138</v>
      </c>
      <c r="L101" s="291" t="s">
        <v>1826</v>
      </c>
      <c r="M101" s="291" t="s">
        <v>111</v>
      </c>
      <c r="N101" s="291" t="s">
        <v>1818</v>
      </c>
      <c r="O101" s="151" t="s">
        <v>1819</v>
      </c>
      <c r="P101" s="291" t="s">
        <v>111</v>
      </c>
      <c r="Q101" s="290" t="s">
        <v>1811</v>
      </c>
      <c r="R101" s="290" t="s">
        <v>5029</v>
      </c>
      <c r="S101" s="24" t="s">
        <v>5006</v>
      </c>
      <c r="T101" s="90" t="s">
        <v>4967</v>
      </c>
      <c r="U101" s="291" t="s">
        <v>2359</v>
      </c>
      <c r="V101" s="291">
        <v>2</v>
      </c>
      <c r="W101" s="291" t="s">
        <v>5031</v>
      </c>
      <c r="X101" s="291" t="s">
        <v>5033</v>
      </c>
      <c r="Y101" s="30"/>
      <c r="Z101" s="30">
        <v>12.24</v>
      </c>
      <c r="AA101" s="30">
        <v>12.24</v>
      </c>
      <c r="AB101" s="291" t="s">
        <v>1104</v>
      </c>
      <c r="AC101" s="202" t="s">
        <v>1880</v>
      </c>
      <c r="AD101" s="133" t="s">
        <v>1880</v>
      </c>
      <c r="AE101" s="290"/>
    </row>
    <row r="102" spans="1:31" s="11" customFormat="1" ht="26.25" customHeight="1" x14ac:dyDescent="0.15">
      <c r="A102" s="8">
        <v>100</v>
      </c>
      <c r="B102" s="8" t="s">
        <v>5013</v>
      </c>
      <c r="C102" s="291" t="s">
        <v>111</v>
      </c>
      <c r="D102" s="291" t="s">
        <v>111</v>
      </c>
      <c r="E102" s="291" t="s">
        <v>111</v>
      </c>
      <c r="F102" s="54" t="s">
        <v>3294</v>
      </c>
      <c r="G102" s="47" t="s">
        <v>3299</v>
      </c>
      <c r="H102" s="291" t="s">
        <v>1147</v>
      </c>
      <c r="I102" s="291" t="s">
        <v>3215</v>
      </c>
      <c r="J102" s="84" t="s">
        <v>3340</v>
      </c>
      <c r="K102" s="291" t="s">
        <v>1138</v>
      </c>
      <c r="L102" s="291" t="s">
        <v>1826</v>
      </c>
      <c r="M102" s="291" t="s">
        <v>111</v>
      </c>
      <c r="N102" s="291" t="s">
        <v>1818</v>
      </c>
      <c r="O102" s="151" t="s">
        <v>1819</v>
      </c>
      <c r="P102" s="291" t="s">
        <v>111</v>
      </c>
      <c r="Q102" s="290" t="s">
        <v>1811</v>
      </c>
      <c r="R102" s="290" t="s">
        <v>5029</v>
      </c>
      <c r="S102" s="24" t="s">
        <v>5006</v>
      </c>
      <c r="T102" s="90" t="s">
        <v>4967</v>
      </c>
      <c r="U102" s="291" t="s">
        <v>2359</v>
      </c>
      <c r="V102" s="291">
        <v>2</v>
      </c>
      <c r="W102" s="291" t="s">
        <v>5031</v>
      </c>
      <c r="X102" s="291" t="s">
        <v>5033</v>
      </c>
      <c r="Y102" s="30"/>
      <c r="Z102" s="30">
        <v>12.24</v>
      </c>
      <c r="AA102" s="30">
        <v>12.24</v>
      </c>
      <c r="AB102" s="291" t="s">
        <v>1104</v>
      </c>
      <c r="AC102" s="202" t="s">
        <v>1880</v>
      </c>
      <c r="AD102" s="133" t="s">
        <v>1880</v>
      </c>
      <c r="AE102" s="290"/>
    </row>
    <row r="103" spans="1:31" s="11" customFormat="1" ht="26.25" customHeight="1" x14ac:dyDescent="0.15">
      <c r="A103" s="8">
        <v>101</v>
      </c>
      <c r="B103" s="8" t="s">
        <v>5014</v>
      </c>
      <c r="C103" s="291" t="s">
        <v>111</v>
      </c>
      <c r="D103" s="291" t="s">
        <v>111</v>
      </c>
      <c r="E103" s="291" t="s">
        <v>111</v>
      </c>
      <c r="F103" s="54" t="s">
        <v>3294</v>
      </c>
      <c r="G103" s="47" t="s">
        <v>3298</v>
      </c>
      <c r="H103" s="291" t="s">
        <v>1147</v>
      </c>
      <c r="I103" s="291" t="s">
        <v>3215</v>
      </c>
      <c r="J103" s="84" t="s">
        <v>3297</v>
      </c>
      <c r="K103" s="291" t="s">
        <v>3332</v>
      </c>
      <c r="L103" s="291" t="s">
        <v>1826</v>
      </c>
      <c r="M103" s="291" t="s">
        <v>111</v>
      </c>
      <c r="N103" s="291" t="s">
        <v>1818</v>
      </c>
      <c r="O103" s="151" t="s">
        <v>1819</v>
      </c>
      <c r="P103" s="291" t="s">
        <v>111</v>
      </c>
      <c r="Q103" s="290" t="s">
        <v>1811</v>
      </c>
      <c r="R103" s="290" t="s">
        <v>5029</v>
      </c>
      <c r="S103" s="24" t="s">
        <v>5006</v>
      </c>
      <c r="T103" s="90" t="s">
        <v>4967</v>
      </c>
      <c r="U103" s="291" t="s">
        <v>2359</v>
      </c>
      <c r="V103" s="291">
        <v>2</v>
      </c>
      <c r="W103" s="291" t="s">
        <v>5030</v>
      </c>
      <c r="X103" s="293" t="s">
        <v>5032</v>
      </c>
      <c r="Y103" s="30"/>
      <c r="Z103" s="30">
        <v>12.24</v>
      </c>
      <c r="AA103" s="30">
        <v>12.24</v>
      </c>
      <c r="AB103" s="291" t="s">
        <v>1104</v>
      </c>
      <c r="AC103" s="202" t="s">
        <v>1880</v>
      </c>
      <c r="AD103" s="133" t="s">
        <v>1880</v>
      </c>
      <c r="AE103" s="290"/>
    </row>
    <row r="104" spans="1:31" s="11" customFormat="1" ht="26.25" customHeight="1" x14ac:dyDescent="0.15">
      <c r="A104" s="8">
        <v>102</v>
      </c>
      <c r="B104" s="8" t="s">
        <v>5015</v>
      </c>
      <c r="C104" s="291" t="s">
        <v>111</v>
      </c>
      <c r="D104" s="291" t="s">
        <v>111</v>
      </c>
      <c r="E104" s="291" t="s">
        <v>111</v>
      </c>
      <c r="F104" s="54" t="s">
        <v>3300</v>
      </c>
      <c r="G104" s="54" t="s">
        <v>3301</v>
      </c>
      <c r="H104" s="291" t="s">
        <v>1147</v>
      </c>
      <c r="I104" s="291" t="s">
        <v>3215</v>
      </c>
      <c r="J104" s="21" t="s">
        <v>3302</v>
      </c>
      <c r="K104" s="291" t="s">
        <v>3333</v>
      </c>
      <c r="L104" s="291" t="s">
        <v>1826</v>
      </c>
      <c r="M104" s="291" t="s">
        <v>111</v>
      </c>
      <c r="N104" s="291" t="s">
        <v>1818</v>
      </c>
      <c r="O104" s="151" t="s">
        <v>1819</v>
      </c>
      <c r="P104" s="291" t="s">
        <v>111</v>
      </c>
      <c r="Q104" s="290" t="s">
        <v>1811</v>
      </c>
      <c r="R104" s="290" t="s">
        <v>5029</v>
      </c>
      <c r="S104" s="24" t="s">
        <v>5006</v>
      </c>
      <c r="T104" s="90" t="s">
        <v>4967</v>
      </c>
      <c r="U104" s="291" t="s">
        <v>2359</v>
      </c>
      <c r="V104" s="291">
        <v>2</v>
      </c>
      <c r="W104" s="291" t="s">
        <v>5030</v>
      </c>
      <c r="X104" s="291" t="s">
        <v>5032</v>
      </c>
      <c r="Y104" s="30"/>
      <c r="Z104" s="30">
        <v>12.24</v>
      </c>
      <c r="AA104" s="30">
        <v>12.24</v>
      </c>
      <c r="AB104" s="291" t="s">
        <v>1104</v>
      </c>
      <c r="AC104" s="202" t="s">
        <v>1880</v>
      </c>
      <c r="AD104" s="133" t="s">
        <v>1880</v>
      </c>
      <c r="AE104" s="290"/>
    </row>
    <row r="105" spans="1:31" s="11" customFormat="1" ht="26.25" customHeight="1" x14ac:dyDescent="0.15">
      <c r="A105" s="8">
        <v>103</v>
      </c>
      <c r="B105" s="8" t="s">
        <v>5016</v>
      </c>
      <c r="C105" s="291" t="s">
        <v>111</v>
      </c>
      <c r="D105" s="291" t="s">
        <v>111</v>
      </c>
      <c r="E105" s="291" t="s">
        <v>111</v>
      </c>
      <c r="F105" s="54" t="s">
        <v>3303</v>
      </c>
      <c r="G105" s="54" t="s">
        <v>3304</v>
      </c>
      <c r="H105" s="291" t="s">
        <v>1147</v>
      </c>
      <c r="I105" s="291" t="s">
        <v>3215</v>
      </c>
      <c r="J105" s="21" t="s">
        <v>3216</v>
      </c>
      <c r="K105" s="291" t="s">
        <v>1138</v>
      </c>
      <c r="L105" s="291" t="s">
        <v>1826</v>
      </c>
      <c r="M105" s="291" t="s">
        <v>111</v>
      </c>
      <c r="N105" s="291" t="s">
        <v>1818</v>
      </c>
      <c r="O105" s="151" t="s">
        <v>1819</v>
      </c>
      <c r="P105" s="291" t="s">
        <v>111</v>
      </c>
      <c r="Q105" s="290" t="s">
        <v>1811</v>
      </c>
      <c r="R105" s="290" t="s">
        <v>5029</v>
      </c>
      <c r="S105" s="24" t="s">
        <v>5006</v>
      </c>
      <c r="T105" s="90" t="s">
        <v>4967</v>
      </c>
      <c r="U105" s="291" t="s">
        <v>2359</v>
      </c>
      <c r="V105" s="291">
        <v>2</v>
      </c>
      <c r="W105" s="291" t="s">
        <v>5031</v>
      </c>
      <c r="X105" s="291" t="s">
        <v>5033</v>
      </c>
      <c r="Y105" s="30"/>
      <c r="Z105" s="30">
        <v>12.24</v>
      </c>
      <c r="AA105" s="30">
        <v>12.24</v>
      </c>
      <c r="AB105" s="291" t="s">
        <v>1104</v>
      </c>
      <c r="AC105" s="202" t="s">
        <v>1880</v>
      </c>
      <c r="AD105" s="133" t="s">
        <v>1880</v>
      </c>
      <c r="AE105" s="290"/>
    </row>
    <row r="106" spans="1:31" s="11" customFormat="1" ht="26.25" customHeight="1" x14ac:dyDescent="0.15">
      <c r="A106" s="8">
        <v>104</v>
      </c>
      <c r="B106" s="8" t="s">
        <v>5017</v>
      </c>
      <c r="C106" s="291" t="s">
        <v>111</v>
      </c>
      <c r="D106" s="291" t="s">
        <v>111</v>
      </c>
      <c r="E106" s="291" t="s">
        <v>111</v>
      </c>
      <c r="F106" s="54" t="s">
        <v>3305</v>
      </c>
      <c r="G106" s="47" t="s">
        <v>3306</v>
      </c>
      <c r="H106" s="291" t="s">
        <v>1147</v>
      </c>
      <c r="I106" s="291" t="s">
        <v>3215</v>
      </c>
      <c r="J106" s="21" t="s">
        <v>3307</v>
      </c>
      <c r="K106" s="291" t="s">
        <v>1138</v>
      </c>
      <c r="L106" s="291" t="s">
        <v>1826</v>
      </c>
      <c r="M106" s="291" t="s">
        <v>111</v>
      </c>
      <c r="N106" s="291" t="s">
        <v>1818</v>
      </c>
      <c r="O106" s="151" t="s">
        <v>1819</v>
      </c>
      <c r="P106" s="291" t="s">
        <v>111</v>
      </c>
      <c r="Q106" s="290" t="s">
        <v>1811</v>
      </c>
      <c r="R106" s="290" t="s">
        <v>5029</v>
      </c>
      <c r="S106" s="24" t="s">
        <v>5006</v>
      </c>
      <c r="T106" s="90" t="s">
        <v>4967</v>
      </c>
      <c r="U106" s="291" t="s">
        <v>2359</v>
      </c>
      <c r="V106" s="291">
        <v>2</v>
      </c>
      <c r="W106" s="291" t="s">
        <v>5030</v>
      </c>
      <c r="X106" s="291" t="s">
        <v>5032</v>
      </c>
      <c r="Y106" s="30"/>
      <c r="Z106" s="30">
        <v>12.24</v>
      </c>
      <c r="AA106" s="30">
        <v>12.24</v>
      </c>
      <c r="AB106" s="291" t="s">
        <v>1104</v>
      </c>
      <c r="AC106" s="202" t="s">
        <v>1880</v>
      </c>
      <c r="AD106" s="133" t="s">
        <v>1880</v>
      </c>
      <c r="AE106" s="290"/>
    </row>
    <row r="107" spans="1:31" s="11" customFormat="1" ht="26.25" customHeight="1" x14ac:dyDescent="0.15">
      <c r="A107" s="8">
        <v>105</v>
      </c>
      <c r="B107" s="8" t="s">
        <v>5018</v>
      </c>
      <c r="C107" s="291" t="s">
        <v>111</v>
      </c>
      <c r="D107" s="291" t="s">
        <v>111</v>
      </c>
      <c r="E107" s="291" t="s">
        <v>111</v>
      </c>
      <c r="F107" s="54" t="s">
        <v>3308</v>
      </c>
      <c r="G107" s="47" t="s">
        <v>3309</v>
      </c>
      <c r="H107" s="291" t="s">
        <v>1147</v>
      </c>
      <c r="I107" s="291" t="s">
        <v>3215</v>
      </c>
      <c r="J107" s="21" t="s">
        <v>3232</v>
      </c>
      <c r="K107" s="291" t="s">
        <v>1138</v>
      </c>
      <c r="L107" s="291" t="s">
        <v>1826</v>
      </c>
      <c r="M107" s="291" t="s">
        <v>111</v>
      </c>
      <c r="N107" s="291" t="s">
        <v>1818</v>
      </c>
      <c r="O107" s="151" t="s">
        <v>1819</v>
      </c>
      <c r="P107" s="291" t="s">
        <v>111</v>
      </c>
      <c r="Q107" s="290" t="s">
        <v>1811</v>
      </c>
      <c r="R107" s="290" t="s">
        <v>5029</v>
      </c>
      <c r="S107" s="24" t="s">
        <v>5006</v>
      </c>
      <c r="T107" s="90" t="s">
        <v>4967</v>
      </c>
      <c r="U107" s="291" t="s">
        <v>2359</v>
      </c>
      <c r="V107" s="291">
        <v>2</v>
      </c>
      <c r="W107" s="291" t="s">
        <v>5030</v>
      </c>
      <c r="X107" s="291" t="s">
        <v>5032</v>
      </c>
      <c r="Y107" s="30"/>
      <c r="Z107" s="30">
        <v>12.24</v>
      </c>
      <c r="AA107" s="30">
        <v>12.24</v>
      </c>
      <c r="AB107" s="291" t="s">
        <v>1104</v>
      </c>
      <c r="AC107" s="202" t="s">
        <v>1880</v>
      </c>
      <c r="AD107" s="133" t="s">
        <v>1880</v>
      </c>
      <c r="AE107" s="290"/>
    </row>
    <row r="108" spans="1:31" s="11" customFormat="1" ht="26.25" customHeight="1" x14ac:dyDescent="0.15">
      <c r="A108" s="8">
        <v>106</v>
      </c>
      <c r="B108" s="8" t="s">
        <v>5019</v>
      </c>
      <c r="C108" s="291" t="s">
        <v>111</v>
      </c>
      <c r="D108" s="291" t="s">
        <v>111</v>
      </c>
      <c r="E108" s="291" t="s">
        <v>111</v>
      </c>
      <c r="F108" s="54" t="s">
        <v>3310</v>
      </c>
      <c r="G108" s="54" t="s">
        <v>3311</v>
      </c>
      <c r="H108" s="291" t="s">
        <v>1147</v>
      </c>
      <c r="I108" s="291" t="s">
        <v>3215</v>
      </c>
      <c r="J108" s="21" t="s">
        <v>3312</v>
      </c>
      <c r="K108" s="291" t="s">
        <v>3334</v>
      </c>
      <c r="L108" s="291" t="s">
        <v>1826</v>
      </c>
      <c r="M108" s="291" t="s">
        <v>111</v>
      </c>
      <c r="N108" s="291" t="s">
        <v>1818</v>
      </c>
      <c r="O108" s="151" t="s">
        <v>1819</v>
      </c>
      <c r="P108" s="291" t="s">
        <v>111</v>
      </c>
      <c r="Q108" s="290" t="s">
        <v>1811</v>
      </c>
      <c r="R108" s="290" t="s">
        <v>5029</v>
      </c>
      <c r="S108" s="24" t="s">
        <v>5006</v>
      </c>
      <c r="T108" s="90" t="s">
        <v>4967</v>
      </c>
      <c r="U108" s="291" t="s">
        <v>2359</v>
      </c>
      <c r="V108" s="291">
        <v>2</v>
      </c>
      <c r="W108" s="291" t="s">
        <v>5030</v>
      </c>
      <c r="X108" s="291" t="s">
        <v>5032</v>
      </c>
      <c r="Y108" s="30"/>
      <c r="Z108" s="30">
        <v>12.24</v>
      </c>
      <c r="AA108" s="30">
        <v>12.24</v>
      </c>
      <c r="AB108" s="291" t="s">
        <v>1104</v>
      </c>
      <c r="AC108" s="202" t="s">
        <v>1880</v>
      </c>
      <c r="AD108" s="133" t="s">
        <v>1880</v>
      </c>
      <c r="AE108" s="290"/>
    </row>
    <row r="109" spans="1:31" s="11" customFormat="1" ht="26.25" customHeight="1" x14ac:dyDescent="0.15">
      <c r="A109" s="8">
        <v>107</v>
      </c>
      <c r="B109" s="8" t="s">
        <v>5020</v>
      </c>
      <c r="C109" s="291" t="s">
        <v>111</v>
      </c>
      <c r="D109" s="291" t="s">
        <v>111</v>
      </c>
      <c r="E109" s="291" t="s">
        <v>111</v>
      </c>
      <c r="F109" s="54" t="s">
        <v>3313</v>
      </c>
      <c r="G109" s="54" t="s">
        <v>3314</v>
      </c>
      <c r="H109" s="291" t="s">
        <v>1147</v>
      </c>
      <c r="I109" s="291" t="s">
        <v>3215</v>
      </c>
      <c r="J109" s="21" t="s">
        <v>3315</v>
      </c>
      <c r="K109" s="291" t="s">
        <v>1138</v>
      </c>
      <c r="L109" s="291" t="s">
        <v>1826</v>
      </c>
      <c r="M109" s="291" t="s">
        <v>111</v>
      </c>
      <c r="N109" s="291" t="s">
        <v>1818</v>
      </c>
      <c r="O109" s="151" t="s">
        <v>1819</v>
      </c>
      <c r="P109" s="291" t="s">
        <v>111</v>
      </c>
      <c r="Q109" s="290" t="s">
        <v>1811</v>
      </c>
      <c r="R109" s="290" t="s">
        <v>5029</v>
      </c>
      <c r="S109" s="24" t="s">
        <v>5006</v>
      </c>
      <c r="T109" s="90" t="s">
        <v>4967</v>
      </c>
      <c r="U109" s="291" t="s">
        <v>2359</v>
      </c>
      <c r="V109" s="291">
        <v>2</v>
      </c>
      <c r="W109" s="291" t="s">
        <v>5030</v>
      </c>
      <c r="X109" s="291" t="s">
        <v>5032</v>
      </c>
      <c r="Y109" s="30"/>
      <c r="Z109" s="30">
        <v>12.24</v>
      </c>
      <c r="AA109" s="30">
        <v>12.24</v>
      </c>
      <c r="AB109" s="291" t="s">
        <v>1104</v>
      </c>
      <c r="AC109" s="202" t="s">
        <v>1880</v>
      </c>
      <c r="AD109" s="133" t="s">
        <v>1880</v>
      </c>
      <c r="AE109" s="290"/>
    </row>
    <row r="110" spans="1:31" s="11" customFormat="1" ht="26.25" customHeight="1" x14ac:dyDescent="0.15">
      <c r="A110" s="8">
        <v>108</v>
      </c>
      <c r="B110" s="8" t="s">
        <v>5021</v>
      </c>
      <c r="C110" s="291" t="s">
        <v>111</v>
      </c>
      <c r="D110" s="291" t="s">
        <v>111</v>
      </c>
      <c r="E110" s="291" t="s">
        <v>111</v>
      </c>
      <c r="F110" s="54" t="s">
        <v>3316</v>
      </c>
      <c r="G110" s="54" t="s">
        <v>3317</v>
      </c>
      <c r="H110" s="291" t="s">
        <v>1147</v>
      </c>
      <c r="I110" s="291" t="s">
        <v>3215</v>
      </c>
      <c r="J110" s="21" t="s">
        <v>3318</v>
      </c>
      <c r="K110" s="291" t="s">
        <v>3335</v>
      </c>
      <c r="L110" s="291" t="s">
        <v>1826</v>
      </c>
      <c r="M110" s="291" t="s">
        <v>111</v>
      </c>
      <c r="N110" s="291" t="s">
        <v>1818</v>
      </c>
      <c r="O110" s="151" t="s">
        <v>1819</v>
      </c>
      <c r="P110" s="291" t="s">
        <v>111</v>
      </c>
      <c r="Q110" s="290" t="s">
        <v>1811</v>
      </c>
      <c r="R110" s="290" t="s">
        <v>5029</v>
      </c>
      <c r="S110" s="24" t="s">
        <v>5006</v>
      </c>
      <c r="T110" s="90" t="s">
        <v>4967</v>
      </c>
      <c r="U110" s="291" t="s">
        <v>2359</v>
      </c>
      <c r="V110" s="291">
        <v>2</v>
      </c>
      <c r="W110" s="291" t="s">
        <v>5031</v>
      </c>
      <c r="X110" s="291" t="s">
        <v>5033</v>
      </c>
      <c r="Y110" s="30"/>
      <c r="Z110" s="30">
        <v>12.24</v>
      </c>
      <c r="AA110" s="30">
        <v>12.24</v>
      </c>
      <c r="AB110" s="291" t="s">
        <v>1104</v>
      </c>
      <c r="AC110" s="202" t="s">
        <v>1880</v>
      </c>
      <c r="AD110" s="133" t="s">
        <v>1880</v>
      </c>
      <c r="AE110" s="290"/>
    </row>
    <row r="111" spans="1:31" s="11" customFormat="1" ht="26.25" customHeight="1" x14ac:dyDescent="0.15">
      <c r="A111" s="8">
        <v>109</v>
      </c>
      <c r="B111" s="8" t="s">
        <v>5022</v>
      </c>
      <c r="C111" s="291" t="s">
        <v>111</v>
      </c>
      <c r="D111" s="291" t="s">
        <v>111</v>
      </c>
      <c r="E111" s="291" t="s">
        <v>111</v>
      </c>
      <c r="F111" s="54" t="s">
        <v>3319</v>
      </c>
      <c r="G111" s="54" t="s">
        <v>3320</v>
      </c>
      <c r="H111" s="291" t="s">
        <v>1147</v>
      </c>
      <c r="I111" s="291" t="s">
        <v>3215</v>
      </c>
      <c r="J111" s="21" t="s">
        <v>3230</v>
      </c>
      <c r="K111" s="291" t="s">
        <v>1138</v>
      </c>
      <c r="L111" s="291" t="s">
        <v>1826</v>
      </c>
      <c r="M111" s="291" t="s">
        <v>111</v>
      </c>
      <c r="N111" s="291" t="s">
        <v>1818</v>
      </c>
      <c r="O111" s="151" t="s">
        <v>1819</v>
      </c>
      <c r="P111" s="291" t="s">
        <v>111</v>
      </c>
      <c r="Q111" s="290" t="s">
        <v>1811</v>
      </c>
      <c r="R111" s="290" t="s">
        <v>5029</v>
      </c>
      <c r="S111" s="24" t="s">
        <v>5006</v>
      </c>
      <c r="T111" s="90" t="s">
        <v>4967</v>
      </c>
      <c r="U111" s="291" t="s">
        <v>2359</v>
      </c>
      <c r="V111" s="291">
        <v>2</v>
      </c>
      <c r="W111" s="291" t="s">
        <v>5030</v>
      </c>
      <c r="X111" s="291" t="s">
        <v>5032</v>
      </c>
      <c r="Y111" s="30"/>
      <c r="Z111" s="30">
        <v>12.24</v>
      </c>
      <c r="AA111" s="30">
        <v>12.24</v>
      </c>
      <c r="AB111" s="291" t="s">
        <v>1104</v>
      </c>
      <c r="AC111" s="202" t="s">
        <v>1880</v>
      </c>
      <c r="AD111" s="133" t="s">
        <v>1880</v>
      </c>
      <c r="AE111" s="290"/>
    </row>
    <row r="112" spans="1:31" s="11" customFormat="1" ht="26.25" customHeight="1" x14ac:dyDescent="0.15">
      <c r="A112" s="8">
        <v>110</v>
      </c>
      <c r="B112" s="8" t="s">
        <v>5023</v>
      </c>
      <c r="C112" s="291" t="s">
        <v>111</v>
      </c>
      <c r="D112" s="291" t="s">
        <v>111</v>
      </c>
      <c r="E112" s="291" t="s">
        <v>111</v>
      </c>
      <c r="F112" s="54" t="s">
        <v>3321</v>
      </c>
      <c r="G112" s="54" t="s">
        <v>3322</v>
      </c>
      <c r="H112" s="291" t="s">
        <v>1147</v>
      </c>
      <c r="I112" s="291" t="s">
        <v>3215</v>
      </c>
      <c r="J112" s="21" t="s">
        <v>3323</v>
      </c>
      <c r="K112" s="291" t="s">
        <v>1138</v>
      </c>
      <c r="L112" s="291" t="s">
        <v>1826</v>
      </c>
      <c r="M112" s="291" t="s">
        <v>111</v>
      </c>
      <c r="N112" s="291" t="s">
        <v>1818</v>
      </c>
      <c r="O112" s="151" t="s">
        <v>1819</v>
      </c>
      <c r="P112" s="291" t="s">
        <v>111</v>
      </c>
      <c r="Q112" s="290" t="s">
        <v>1811</v>
      </c>
      <c r="R112" s="290" t="s">
        <v>5029</v>
      </c>
      <c r="S112" s="24" t="s">
        <v>5006</v>
      </c>
      <c r="T112" s="90" t="s">
        <v>4967</v>
      </c>
      <c r="U112" s="291" t="s">
        <v>2359</v>
      </c>
      <c r="V112" s="291">
        <v>2</v>
      </c>
      <c r="W112" s="291" t="s">
        <v>5030</v>
      </c>
      <c r="X112" s="291" t="s">
        <v>5032</v>
      </c>
      <c r="Y112" s="30"/>
      <c r="Z112" s="30">
        <v>12.24</v>
      </c>
      <c r="AA112" s="30">
        <v>12.24</v>
      </c>
      <c r="AB112" s="291" t="s">
        <v>1104</v>
      </c>
      <c r="AC112" s="202" t="s">
        <v>1880</v>
      </c>
      <c r="AD112" s="133" t="s">
        <v>1880</v>
      </c>
      <c r="AE112" s="290"/>
    </row>
    <row r="113" spans="1:31" s="11" customFormat="1" ht="26.25" customHeight="1" x14ac:dyDescent="0.15">
      <c r="A113" s="8">
        <v>111</v>
      </c>
      <c r="B113" s="8" t="s">
        <v>5024</v>
      </c>
      <c r="C113" s="291" t="s">
        <v>111</v>
      </c>
      <c r="D113" s="291" t="s">
        <v>111</v>
      </c>
      <c r="E113" s="291" t="s">
        <v>111</v>
      </c>
      <c r="F113" s="54" t="s">
        <v>3221</v>
      </c>
      <c r="G113" s="54" t="s">
        <v>3324</v>
      </c>
      <c r="H113" s="291" t="s">
        <v>1147</v>
      </c>
      <c r="I113" s="291" t="s">
        <v>3215</v>
      </c>
      <c r="J113" s="21" t="s">
        <v>3222</v>
      </c>
      <c r="K113" s="291" t="s">
        <v>1138</v>
      </c>
      <c r="L113" s="291" t="s">
        <v>1826</v>
      </c>
      <c r="M113" s="291" t="s">
        <v>111</v>
      </c>
      <c r="N113" s="291" t="s">
        <v>1818</v>
      </c>
      <c r="O113" s="151" t="s">
        <v>1819</v>
      </c>
      <c r="P113" s="291" t="s">
        <v>111</v>
      </c>
      <c r="Q113" s="290" t="s">
        <v>1811</v>
      </c>
      <c r="R113" s="290" t="s">
        <v>5029</v>
      </c>
      <c r="S113" s="24" t="s">
        <v>5006</v>
      </c>
      <c r="T113" s="90" t="s">
        <v>4967</v>
      </c>
      <c r="U113" s="291" t="s">
        <v>2359</v>
      </c>
      <c r="V113" s="291">
        <v>2</v>
      </c>
      <c r="W113" s="291" t="s">
        <v>5030</v>
      </c>
      <c r="X113" s="291" t="s">
        <v>5032</v>
      </c>
      <c r="Y113" s="30"/>
      <c r="Z113" s="30">
        <v>12.24</v>
      </c>
      <c r="AA113" s="30">
        <v>12.24</v>
      </c>
      <c r="AB113" s="291" t="s">
        <v>1104</v>
      </c>
      <c r="AC113" s="202" t="s">
        <v>1880</v>
      </c>
      <c r="AD113" s="133" t="s">
        <v>1880</v>
      </c>
      <c r="AE113" s="290"/>
    </row>
    <row r="114" spans="1:31" s="11" customFormat="1" ht="26.25" customHeight="1" x14ac:dyDescent="0.15">
      <c r="A114" s="8">
        <v>112</v>
      </c>
      <c r="B114" s="8" t="s">
        <v>5025</v>
      </c>
      <c r="C114" s="291" t="s">
        <v>111</v>
      </c>
      <c r="D114" s="291" t="s">
        <v>111</v>
      </c>
      <c r="E114" s="291" t="s">
        <v>111</v>
      </c>
      <c r="F114" s="54" t="s">
        <v>3224</v>
      </c>
      <c r="G114" s="54" t="s">
        <v>3325</v>
      </c>
      <c r="H114" s="291" t="s">
        <v>1147</v>
      </c>
      <c r="I114" s="291" t="s">
        <v>3215</v>
      </c>
      <c r="J114" s="21" t="s">
        <v>3225</v>
      </c>
      <c r="K114" s="291" t="s">
        <v>1138</v>
      </c>
      <c r="L114" s="291" t="s">
        <v>1826</v>
      </c>
      <c r="M114" s="291" t="s">
        <v>111</v>
      </c>
      <c r="N114" s="291" t="s">
        <v>1818</v>
      </c>
      <c r="O114" s="151" t="s">
        <v>1819</v>
      </c>
      <c r="P114" s="291" t="s">
        <v>111</v>
      </c>
      <c r="Q114" s="290" t="s">
        <v>1811</v>
      </c>
      <c r="R114" s="290" t="s">
        <v>5029</v>
      </c>
      <c r="S114" s="24" t="s">
        <v>5006</v>
      </c>
      <c r="T114" s="90" t="s">
        <v>4967</v>
      </c>
      <c r="U114" s="291" t="s">
        <v>2359</v>
      </c>
      <c r="V114" s="291">
        <v>2</v>
      </c>
      <c r="W114" s="291" t="s">
        <v>5030</v>
      </c>
      <c r="X114" s="291" t="s">
        <v>5032</v>
      </c>
      <c r="Y114" s="30"/>
      <c r="Z114" s="30">
        <v>12.24</v>
      </c>
      <c r="AA114" s="30">
        <v>12.24</v>
      </c>
      <c r="AB114" s="291" t="s">
        <v>1104</v>
      </c>
      <c r="AC114" s="202" t="s">
        <v>1880</v>
      </c>
      <c r="AD114" s="133" t="s">
        <v>1880</v>
      </c>
      <c r="AE114" s="290"/>
    </row>
    <row r="115" spans="1:31" s="11" customFormat="1" ht="26.25" customHeight="1" x14ac:dyDescent="0.15">
      <c r="A115" s="8">
        <v>113</v>
      </c>
      <c r="B115" s="8" t="s">
        <v>5026</v>
      </c>
      <c r="C115" s="291" t="s">
        <v>111</v>
      </c>
      <c r="D115" s="291" t="s">
        <v>111</v>
      </c>
      <c r="E115" s="291" t="s">
        <v>111</v>
      </c>
      <c r="F115" s="54" t="s">
        <v>3326</v>
      </c>
      <c r="G115" s="54" t="s">
        <v>3327</v>
      </c>
      <c r="H115" s="291" t="s">
        <v>1147</v>
      </c>
      <c r="I115" s="291" t="s">
        <v>3215</v>
      </c>
      <c r="J115" s="21" t="s">
        <v>3328</v>
      </c>
      <c r="K115" s="291" t="s">
        <v>1138</v>
      </c>
      <c r="L115" s="291" t="s">
        <v>1826</v>
      </c>
      <c r="M115" s="291" t="s">
        <v>111</v>
      </c>
      <c r="N115" s="291" t="s">
        <v>1818</v>
      </c>
      <c r="O115" s="151" t="s">
        <v>1819</v>
      </c>
      <c r="P115" s="291" t="s">
        <v>111</v>
      </c>
      <c r="Q115" s="290" t="s">
        <v>1811</v>
      </c>
      <c r="R115" s="290" t="s">
        <v>5029</v>
      </c>
      <c r="S115" s="24" t="s">
        <v>5006</v>
      </c>
      <c r="T115" s="90" t="s">
        <v>4967</v>
      </c>
      <c r="U115" s="291" t="s">
        <v>2359</v>
      </c>
      <c r="V115" s="291">
        <v>2</v>
      </c>
      <c r="W115" s="291" t="s">
        <v>5031</v>
      </c>
      <c r="X115" s="291" t="s">
        <v>5033</v>
      </c>
      <c r="Y115" s="30"/>
      <c r="Z115" s="30">
        <v>12.24</v>
      </c>
      <c r="AA115" s="30">
        <v>12.24</v>
      </c>
      <c r="AB115" s="291" t="s">
        <v>1104</v>
      </c>
      <c r="AC115" s="202" t="s">
        <v>1880</v>
      </c>
      <c r="AD115" s="133" t="s">
        <v>1880</v>
      </c>
      <c r="AE115" s="290"/>
    </row>
    <row r="116" spans="1:31" s="11" customFormat="1" ht="26.25" customHeight="1" x14ac:dyDescent="0.15">
      <c r="A116" s="8">
        <v>114</v>
      </c>
      <c r="B116" s="8" t="s">
        <v>5027</v>
      </c>
      <c r="C116" s="291" t="s">
        <v>111</v>
      </c>
      <c r="D116" s="291" t="s">
        <v>111</v>
      </c>
      <c r="E116" s="291" t="s">
        <v>111</v>
      </c>
      <c r="F116" s="54" t="s">
        <v>3329</v>
      </c>
      <c r="G116" s="54" t="s">
        <v>3330</v>
      </c>
      <c r="H116" s="291" t="s">
        <v>1147</v>
      </c>
      <c r="I116" s="291" t="s">
        <v>3215</v>
      </c>
      <c r="J116" s="21" t="s">
        <v>3331</v>
      </c>
      <c r="K116" s="290" t="s">
        <v>3236</v>
      </c>
      <c r="L116" s="291" t="s">
        <v>1826</v>
      </c>
      <c r="M116" s="291" t="s">
        <v>111</v>
      </c>
      <c r="N116" s="291" t="s">
        <v>1818</v>
      </c>
      <c r="O116" s="151" t="s">
        <v>1819</v>
      </c>
      <c r="P116" s="291" t="s">
        <v>111</v>
      </c>
      <c r="Q116" s="290" t="s">
        <v>1811</v>
      </c>
      <c r="R116" s="290" t="s">
        <v>5029</v>
      </c>
      <c r="S116" s="24" t="s">
        <v>5006</v>
      </c>
      <c r="T116" s="90" t="s">
        <v>4967</v>
      </c>
      <c r="U116" s="291" t="s">
        <v>2359</v>
      </c>
      <c r="V116" s="291">
        <v>2</v>
      </c>
      <c r="W116" s="291" t="s">
        <v>5030</v>
      </c>
      <c r="X116" s="291" t="s">
        <v>5032</v>
      </c>
      <c r="Y116" s="30"/>
      <c r="Z116" s="30">
        <v>12.24</v>
      </c>
      <c r="AA116" s="30">
        <v>12.24</v>
      </c>
      <c r="AB116" s="291" t="s">
        <v>1104</v>
      </c>
      <c r="AC116" s="202" t="s">
        <v>1880</v>
      </c>
      <c r="AD116" s="133" t="s">
        <v>1880</v>
      </c>
      <c r="AE116" s="290"/>
    </row>
    <row r="117" spans="1:31" s="11" customFormat="1" ht="26.25" customHeight="1" x14ac:dyDescent="0.15">
      <c r="A117" s="8">
        <v>115</v>
      </c>
      <c r="B117" s="8" t="s">
        <v>5028</v>
      </c>
      <c r="C117" s="291" t="s">
        <v>111</v>
      </c>
      <c r="D117" s="291" t="s">
        <v>111</v>
      </c>
      <c r="E117" s="291" t="s">
        <v>111</v>
      </c>
      <c r="F117" s="29" t="s">
        <v>4257</v>
      </c>
      <c r="G117" s="53" t="s">
        <v>5034</v>
      </c>
      <c r="H117" s="291" t="s">
        <v>1147</v>
      </c>
      <c r="I117" s="291" t="s">
        <v>3215</v>
      </c>
      <c r="J117" s="37" t="s">
        <v>4259</v>
      </c>
      <c r="K117" s="22" t="s">
        <v>1138</v>
      </c>
      <c r="L117" s="291" t="s">
        <v>1826</v>
      </c>
      <c r="M117" s="291" t="s">
        <v>111</v>
      </c>
      <c r="N117" s="291" t="s">
        <v>1818</v>
      </c>
      <c r="O117" s="151" t="s">
        <v>1819</v>
      </c>
      <c r="P117" s="291" t="s">
        <v>111</v>
      </c>
      <c r="Q117" s="290" t="s">
        <v>1811</v>
      </c>
      <c r="R117" s="290" t="s">
        <v>5029</v>
      </c>
      <c r="S117" s="24" t="s">
        <v>5006</v>
      </c>
      <c r="T117" s="90" t="s">
        <v>4967</v>
      </c>
      <c r="U117" s="291" t="s">
        <v>2359</v>
      </c>
      <c r="V117" s="291">
        <v>2</v>
      </c>
      <c r="W117" s="24" t="s">
        <v>5035</v>
      </c>
      <c r="X117" s="24" t="s">
        <v>5032</v>
      </c>
      <c r="Y117" s="30"/>
      <c r="Z117" s="30">
        <v>12.24</v>
      </c>
      <c r="AA117" s="30">
        <v>12.24</v>
      </c>
      <c r="AB117" s="291" t="s">
        <v>1104</v>
      </c>
      <c r="AC117" s="202" t="s">
        <v>1880</v>
      </c>
      <c r="AD117" s="133" t="s">
        <v>1880</v>
      </c>
      <c r="AE117" s="290"/>
    </row>
    <row r="118" spans="1:31" s="11" customFormat="1" ht="26.25" customHeight="1" x14ac:dyDescent="0.15">
      <c r="A118" s="8">
        <v>116</v>
      </c>
      <c r="B118" s="8" t="s">
        <v>5053</v>
      </c>
      <c r="C118" s="306" t="s">
        <v>5052</v>
      </c>
      <c r="D118" s="306" t="s">
        <v>111</v>
      </c>
      <c r="E118" s="306" t="s">
        <v>111</v>
      </c>
      <c r="F118" s="54" t="s">
        <v>5054</v>
      </c>
      <c r="G118" s="54" t="s">
        <v>5055</v>
      </c>
      <c r="H118" s="306" t="s">
        <v>2012</v>
      </c>
      <c r="I118" s="306" t="s">
        <v>2067</v>
      </c>
      <c r="J118" s="21" t="s">
        <v>5098</v>
      </c>
      <c r="K118" s="305" t="s">
        <v>1138</v>
      </c>
      <c r="L118" s="306" t="s">
        <v>1826</v>
      </c>
      <c r="M118" s="306" t="s">
        <v>111</v>
      </c>
      <c r="N118" s="306" t="s">
        <v>1818</v>
      </c>
      <c r="O118" s="54" t="s">
        <v>5094</v>
      </c>
      <c r="P118" s="306" t="s">
        <v>111</v>
      </c>
      <c r="Q118" s="305" t="s">
        <v>1811</v>
      </c>
      <c r="R118" s="305" t="s">
        <v>3248</v>
      </c>
      <c r="S118" s="24" t="s">
        <v>5056</v>
      </c>
      <c r="T118" s="90" t="s">
        <v>5057</v>
      </c>
      <c r="U118" s="306" t="s">
        <v>2359</v>
      </c>
      <c r="V118" s="306">
        <v>2</v>
      </c>
      <c r="W118" s="211" t="s">
        <v>2512</v>
      </c>
      <c r="X118" s="211" t="s">
        <v>1880</v>
      </c>
      <c r="Y118" s="30">
        <v>12.6</v>
      </c>
      <c r="Z118" s="30"/>
      <c r="AA118" s="30">
        <v>12.6</v>
      </c>
      <c r="AB118" s="306" t="s">
        <v>1104</v>
      </c>
      <c r="AC118" s="342" t="s">
        <v>5186</v>
      </c>
      <c r="AD118" s="133" t="s">
        <v>1880</v>
      </c>
      <c r="AE118" s="305"/>
    </row>
    <row r="119" spans="1:31" s="11" customFormat="1" ht="26.25" customHeight="1" x14ac:dyDescent="0.15">
      <c r="A119" s="8">
        <v>117</v>
      </c>
      <c r="B119" s="8" t="s">
        <v>5041</v>
      </c>
      <c r="C119" s="301" t="s">
        <v>111</v>
      </c>
      <c r="D119" s="301" t="s">
        <v>111</v>
      </c>
      <c r="E119" s="8" t="s">
        <v>6257</v>
      </c>
      <c r="F119" s="29" t="s">
        <v>5058</v>
      </c>
      <c r="G119" s="53" t="s">
        <v>5059</v>
      </c>
      <c r="H119" s="307" t="s">
        <v>2135</v>
      </c>
      <c r="I119" s="307" t="s">
        <v>4978</v>
      </c>
      <c r="J119" s="307" t="s">
        <v>5060</v>
      </c>
      <c r="K119" s="22" t="s">
        <v>1138</v>
      </c>
      <c r="L119" s="301" t="s">
        <v>1826</v>
      </c>
      <c r="M119" s="301" t="s">
        <v>111</v>
      </c>
      <c r="N119" s="28" t="s">
        <v>25</v>
      </c>
      <c r="O119" s="54" t="s">
        <v>5099</v>
      </c>
      <c r="P119" s="301" t="s">
        <v>111</v>
      </c>
      <c r="Q119" s="298" t="s">
        <v>2348</v>
      </c>
      <c r="R119" s="298" t="s">
        <v>2348</v>
      </c>
      <c r="S119" s="24" t="s">
        <v>5056</v>
      </c>
      <c r="T119" s="90" t="s">
        <v>4917</v>
      </c>
      <c r="U119" s="301" t="s">
        <v>2359</v>
      </c>
      <c r="V119" s="301">
        <v>1</v>
      </c>
      <c r="W119" s="211" t="s">
        <v>2512</v>
      </c>
      <c r="X119" s="211" t="s">
        <v>1880</v>
      </c>
      <c r="Y119" s="30">
        <v>36</v>
      </c>
      <c r="Z119" s="30"/>
      <c r="AA119" s="30">
        <v>36</v>
      </c>
      <c r="AB119" s="301" t="s">
        <v>1104</v>
      </c>
      <c r="AC119" s="133" t="s">
        <v>5118</v>
      </c>
      <c r="AD119" s="133" t="s">
        <v>1880</v>
      </c>
      <c r="AE119" s="298"/>
    </row>
    <row r="120" spans="1:31" s="11" customFormat="1" ht="26.25" customHeight="1" x14ac:dyDescent="0.15">
      <c r="A120" s="8">
        <v>118</v>
      </c>
      <c r="B120" s="8" t="s">
        <v>5042</v>
      </c>
      <c r="C120" s="301" t="s">
        <v>111</v>
      </c>
      <c r="D120" s="301" t="s">
        <v>111</v>
      </c>
      <c r="E120" s="301" t="s">
        <v>111</v>
      </c>
      <c r="F120" s="29" t="s">
        <v>5058</v>
      </c>
      <c r="G120" s="53" t="s">
        <v>5061</v>
      </c>
      <c r="H120" s="307" t="s">
        <v>2135</v>
      </c>
      <c r="I120" s="307" t="s">
        <v>4978</v>
      </c>
      <c r="J120" s="307" t="s">
        <v>5060</v>
      </c>
      <c r="K120" s="22" t="s">
        <v>1138</v>
      </c>
      <c r="L120" s="301" t="s">
        <v>1826</v>
      </c>
      <c r="M120" s="301" t="s">
        <v>111</v>
      </c>
      <c r="N120" s="301" t="s">
        <v>3990</v>
      </c>
      <c r="O120" s="54" t="s">
        <v>5100</v>
      </c>
      <c r="P120" s="301" t="s">
        <v>111</v>
      </c>
      <c r="Q120" s="300" t="s">
        <v>2348</v>
      </c>
      <c r="R120" s="300" t="s">
        <v>2348</v>
      </c>
      <c r="S120" s="24" t="s">
        <v>5056</v>
      </c>
      <c r="T120" s="90" t="s">
        <v>4917</v>
      </c>
      <c r="U120" s="301" t="s">
        <v>2359</v>
      </c>
      <c r="V120" s="301">
        <v>1</v>
      </c>
      <c r="W120" s="24" t="s">
        <v>1880</v>
      </c>
      <c r="X120" s="24" t="s">
        <v>1880</v>
      </c>
      <c r="Y120" s="30">
        <v>59</v>
      </c>
      <c r="Z120" s="30"/>
      <c r="AA120" s="30">
        <v>59</v>
      </c>
      <c r="AB120" s="301" t="s">
        <v>1104</v>
      </c>
      <c r="AC120" s="202" t="s">
        <v>1880</v>
      </c>
      <c r="AD120" s="133" t="s">
        <v>1880</v>
      </c>
      <c r="AE120" s="298"/>
    </row>
    <row r="121" spans="1:31" s="11" customFormat="1" ht="26.25" customHeight="1" x14ac:dyDescent="0.15">
      <c r="A121" s="8">
        <v>119</v>
      </c>
      <c r="B121" s="8" t="s">
        <v>5066</v>
      </c>
      <c r="C121" s="308" t="s">
        <v>5065</v>
      </c>
      <c r="D121" s="301" t="s">
        <v>111</v>
      </c>
      <c r="E121" s="301" t="s">
        <v>111</v>
      </c>
      <c r="F121" s="29" t="s">
        <v>5063</v>
      </c>
      <c r="G121" s="53" t="s">
        <v>5064</v>
      </c>
      <c r="H121" s="297" t="s">
        <v>1147</v>
      </c>
      <c r="I121" s="1" t="s">
        <v>2327</v>
      </c>
      <c r="J121" s="37" t="s">
        <v>5062</v>
      </c>
      <c r="K121" s="22" t="s">
        <v>1138</v>
      </c>
      <c r="L121" s="301" t="s">
        <v>1826</v>
      </c>
      <c r="M121" s="301" t="s">
        <v>111</v>
      </c>
      <c r="N121" s="28" t="s">
        <v>25</v>
      </c>
      <c r="O121" s="54" t="s">
        <v>4854</v>
      </c>
      <c r="P121" s="301" t="s">
        <v>111</v>
      </c>
      <c r="Q121" s="221" t="s">
        <v>1152</v>
      </c>
      <c r="R121" s="298" t="s">
        <v>1152</v>
      </c>
      <c r="S121" s="24" t="s">
        <v>5056</v>
      </c>
      <c r="T121" s="90" t="s">
        <v>5067</v>
      </c>
      <c r="U121" s="301" t="s">
        <v>2359</v>
      </c>
      <c r="V121" s="301">
        <v>1</v>
      </c>
      <c r="W121" s="24" t="s">
        <v>1880</v>
      </c>
      <c r="X121" s="24" t="s">
        <v>1880</v>
      </c>
      <c r="Y121" s="30">
        <v>9.5</v>
      </c>
      <c r="Z121" s="30"/>
      <c r="AA121" s="30">
        <v>9.5</v>
      </c>
      <c r="AB121" s="301" t="s">
        <v>1104</v>
      </c>
      <c r="AC121" s="202" t="s">
        <v>1880</v>
      </c>
      <c r="AD121" s="133" t="s">
        <v>1880</v>
      </c>
      <c r="AE121" s="298"/>
    </row>
    <row r="122" spans="1:31" s="11" customFormat="1" ht="26.25" customHeight="1" x14ac:dyDescent="0.15">
      <c r="A122" s="8">
        <v>120</v>
      </c>
      <c r="B122" s="8" t="s">
        <v>5043</v>
      </c>
      <c r="C122" s="308" t="s">
        <v>5065</v>
      </c>
      <c r="D122" s="301" t="s">
        <v>111</v>
      </c>
      <c r="E122" s="301" t="s">
        <v>111</v>
      </c>
      <c r="F122" s="29" t="s">
        <v>5063</v>
      </c>
      <c r="G122" s="53" t="s">
        <v>5068</v>
      </c>
      <c r="H122" s="299" t="s">
        <v>1147</v>
      </c>
      <c r="I122" s="1" t="s">
        <v>2327</v>
      </c>
      <c r="J122" s="37" t="s">
        <v>5062</v>
      </c>
      <c r="K122" s="22" t="s">
        <v>1138</v>
      </c>
      <c r="L122" s="301" t="s">
        <v>1826</v>
      </c>
      <c r="M122" s="301" t="s">
        <v>111</v>
      </c>
      <c r="N122" s="28" t="s">
        <v>25</v>
      </c>
      <c r="O122" s="54" t="s">
        <v>5094</v>
      </c>
      <c r="P122" s="301" t="s">
        <v>111</v>
      </c>
      <c r="Q122" s="221" t="s">
        <v>1152</v>
      </c>
      <c r="R122" s="300" t="s">
        <v>1152</v>
      </c>
      <c r="S122" s="24" t="s">
        <v>5056</v>
      </c>
      <c r="T122" s="90" t="s">
        <v>5067</v>
      </c>
      <c r="U122" s="301" t="s">
        <v>2359</v>
      </c>
      <c r="V122" s="301">
        <v>1</v>
      </c>
      <c r="W122" s="24" t="s">
        <v>4888</v>
      </c>
      <c r="X122" s="24" t="s">
        <v>4446</v>
      </c>
      <c r="Y122" s="30">
        <v>12</v>
      </c>
      <c r="AA122" s="30">
        <v>12</v>
      </c>
      <c r="AB122" s="301" t="s">
        <v>1104</v>
      </c>
      <c r="AC122" s="202" t="s">
        <v>1880</v>
      </c>
      <c r="AD122" s="133" t="s">
        <v>1880</v>
      </c>
      <c r="AE122" s="298"/>
    </row>
    <row r="123" spans="1:31" s="11" customFormat="1" ht="26.25" customHeight="1" x14ac:dyDescent="0.15">
      <c r="A123" s="8">
        <v>121</v>
      </c>
      <c r="B123" s="8" t="s">
        <v>5044</v>
      </c>
      <c r="C123" s="301" t="s">
        <v>111</v>
      </c>
      <c r="D123" s="26" t="s">
        <v>5075</v>
      </c>
      <c r="E123" s="8" t="s">
        <v>5434</v>
      </c>
      <c r="F123" s="29" t="s">
        <v>4790</v>
      </c>
      <c r="G123" s="53" t="s">
        <v>5069</v>
      </c>
      <c r="H123" s="299" t="s">
        <v>2032</v>
      </c>
      <c r="I123" s="299" t="s">
        <v>2031</v>
      </c>
      <c r="J123" s="299" t="s">
        <v>3120</v>
      </c>
      <c r="K123" s="22" t="s">
        <v>1138</v>
      </c>
      <c r="L123" s="301" t="s">
        <v>1826</v>
      </c>
      <c r="M123" s="301" t="s">
        <v>111</v>
      </c>
      <c r="N123" s="28" t="s">
        <v>25</v>
      </c>
      <c r="O123" s="222" t="s">
        <v>5070</v>
      </c>
      <c r="P123" s="301" t="s">
        <v>111</v>
      </c>
      <c r="Q123" s="298" t="s">
        <v>1785</v>
      </c>
      <c r="R123" s="298" t="s">
        <v>1785</v>
      </c>
      <c r="S123" s="24" t="s">
        <v>5056</v>
      </c>
      <c r="T123" s="90" t="s">
        <v>5071</v>
      </c>
      <c r="U123" s="301" t="s">
        <v>2359</v>
      </c>
      <c r="V123" s="301">
        <v>1</v>
      </c>
      <c r="W123" s="24" t="s">
        <v>1880</v>
      </c>
      <c r="X123" s="24" t="s">
        <v>1880</v>
      </c>
      <c r="Y123" s="30">
        <v>5.5</v>
      </c>
      <c r="Z123" s="30"/>
      <c r="AA123" s="30">
        <v>5.5</v>
      </c>
      <c r="AB123" s="301" t="s">
        <v>1104</v>
      </c>
      <c r="AC123" s="202" t="s">
        <v>1880</v>
      </c>
      <c r="AD123" s="133" t="s">
        <v>1880</v>
      </c>
      <c r="AE123" s="298"/>
    </row>
    <row r="124" spans="1:31" s="11" customFormat="1" ht="26.25" customHeight="1" x14ac:dyDescent="0.15">
      <c r="A124" s="8">
        <v>122</v>
      </c>
      <c r="B124" s="8" t="s">
        <v>5045</v>
      </c>
      <c r="C124" s="301" t="s">
        <v>111</v>
      </c>
      <c r="D124" s="26" t="s">
        <v>5076</v>
      </c>
      <c r="E124" s="8" t="s">
        <v>5435</v>
      </c>
      <c r="F124" s="29" t="s">
        <v>2028</v>
      </c>
      <c r="G124" s="53" t="s">
        <v>5072</v>
      </c>
      <c r="H124" s="299" t="s">
        <v>2032</v>
      </c>
      <c r="I124" s="299" t="s">
        <v>2031</v>
      </c>
      <c r="J124" s="299" t="s">
        <v>3119</v>
      </c>
      <c r="K124" s="22" t="s">
        <v>3139</v>
      </c>
      <c r="L124" s="301" t="s">
        <v>1826</v>
      </c>
      <c r="M124" s="301" t="s">
        <v>111</v>
      </c>
      <c r="N124" s="28" t="s">
        <v>25</v>
      </c>
      <c r="O124" s="222" t="s">
        <v>5070</v>
      </c>
      <c r="P124" s="301" t="s">
        <v>111</v>
      </c>
      <c r="Q124" s="300" t="s">
        <v>1785</v>
      </c>
      <c r="R124" s="300" t="s">
        <v>1785</v>
      </c>
      <c r="S124" s="24" t="s">
        <v>5056</v>
      </c>
      <c r="T124" s="90" t="s">
        <v>5071</v>
      </c>
      <c r="U124" s="301" t="s">
        <v>2359</v>
      </c>
      <c r="V124" s="301">
        <v>1</v>
      </c>
      <c r="W124" s="24" t="s">
        <v>1880</v>
      </c>
      <c r="X124" s="24" t="s">
        <v>1880</v>
      </c>
      <c r="Y124" s="30">
        <v>5.5</v>
      </c>
      <c r="Z124" s="30"/>
      <c r="AA124" s="30">
        <v>5.5</v>
      </c>
      <c r="AB124" s="301" t="s">
        <v>1104</v>
      </c>
      <c r="AC124" s="202" t="s">
        <v>1880</v>
      </c>
      <c r="AD124" s="133" t="s">
        <v>1880</v>
      </c>
      <c r="AE124" s="298"/>
    </row>
    <row r="125" spans="1:31" s="11" customFormat="1" ht="26.25" customHeight="1" x14ac:dyDescent="0.15">
      <c r="A125" s="8">
        <v>123</v>
      </c>
      <c r="B125" s="8" t="s">
        <v>5046</v>
      </c>
      <c r="C125" s="301" t="s">
        <v>111</v>
      </c>
      <c r="D125" s="26" t="s">
        <v>5077</v>
      </c>
      <c r="E125" s="8" t="s">
        <v>5436</v>
      </c>
      <c r="F125" s="29" t="s">
        <v>3113</v>
      </c>
      <c r="G125" s="299" t="s">
        <v>5073</v>
      </c>
      <c r="H125" s="299" t="s">
        <v>2032</v>
      </c>
      <c r="I125" s="299" t="s">
        <v>2031</v>
      </c>
      <c r="J125" s="299" t="s">
        <v>2039</v>
      </c>
      <c r="K125" s="299" t="s">
        <v>2038</v>
      </c>
      <c r="L125" s="301" t="s">
        <v>1826</v>
      </c>
      <c r="M125" s="301" t="s">
        <v>111</v>
      </c>
      <c r="N125" s="28" t="s">
        <v>25</v>
      </c>
      <c r="O125" s="222" t="s">
        <v>5070</v>
      </c>
      <c r="P125" s="301" t="s">
        <v>111</v>
      </c>
      <c r="Q125" s="300" t="s">
        <v>1785</v>
      </c>
      <c r="R125" s="300" t="s">
        <v>1785</v>
      </c>
      <c r="S125" s="24" t="s">
        <v>5056</v>
      </c>
      <c r="T125" s="90" t="s">
        <v>5071</v>
      </c>
      <c r="U125" s="301" t="s">
        <v>2359</v>
      </c>
      <c r="V125" s="301">
        <v>1</v>
      </c>
      <c r="W125" s="24" t="s">
        <v>1880</v>
      </c>
      <c r="X125" s="24" t="s">
        <v>1880</v>
      </c>
      <c r="Y125" s="30">
        <v>5.5</v>
      </c>
      <c r="Z125" s="30"/>
      <c r="AA125" s="30">
        <v>5.5</v>
      </c>
      <c r="AB125" s="301" t="s">
        <v>1104</v>
      </c>
      <c r="AC125" s="202" t="s">
        <v>1880</v>
      </c>
      <c r="AD125" s="133" t="s">
        <v>1880</v>
      </c>
      <c r="AE125" s="298"/>
    </row>
    <row r="126" spans="1:31" s="11" customFormat="1" ht="26.25" customHeight="1" x14ac:dyDescent="0.15">
      <c r="A126" s="8">
        <v>124</v>
      </c>
      <c r="B126" s="8" t="s">
        <v>5047</v>
      </c>
      <c r="C126" s="301" t="s">
        <v>111</v>
      </c>
      <c r="D126" s="26" t="s">
        <v>5078</v>
      </c>
      <c r="E126" s="8" t="s">
        <v>5437</v>
      </c>
      <c r="F126" s="29" t="s">
        <v>2037</v>
      </c>
      <c r="G126" s="299" t="s">
        <v>5074</v>
      </c>
      <c r="H126" s="299" t="s">
        <v>2032</v>
      </c>
      <c r="I126" s="299" t="s">
        <v>2031</v>
      </c>
      <c r="J126" s="299" t="s">
        <v>2041</v>
      </c>
      <c r="K126" s="299" t="s">
        <v>2040</v>
      </c>
      <c r="L126" s="301" t="s">
        <v>1826</v>
      </c>
      <c r="M126" s="301" t="s">
        <v>111</v>
      </c>
      <c r="N126" s="28" t="s">
        <v>25</v>
      </c>
      <c r="O126" s="222" t="s">
        <v>5070</v>
      </c>
      <c r="P126" s="301" t="s">
        <v>111</v>
      </c>
      <c r="Q126" s="300" t="s">
        <v>1785</v>
      </c>
      <c r="R126" s="300" t="s">
        <v>1785</v>
      </c>
      <c r="S126" s="24" t="s">
        <v>5056</v>
      </c>
      <c r="T126" s="90" t="s">
        <v>5071</v>
      </c>
      <c r="U126" s="301" t="s">
        <v>2359</v>
      </c>
      <c r="V126" s="301">
        <v>1</v>
      </c>
      <c r="W126" s="24" t="s">
        <v>1880</v>
      </c>
      <c r="X126" s="24" t="s">
        <v>1880</v>
      </c>
      <c r="Y126" s="30">
        <v>5.5</v>
      </c>
      <c r="Z126" s="30"/>
      <c r="AA126" s="30">
        <v>5.5</v>
      </c>
      <c r="AB126" s="301" t="s">
        <v>1104</v>
      </c>
      <c r="AC126" s="202" t="s">
        <v>1880</v>
      </c>
      <c r="AD126" s="133" t="s">
        <v>1880</v>
      </c>
      <c r="AE126" s="298"/>
    </row>
    <row r="127" spans="1:31" s="11" customFormat="1" ht="58.5" customHeight="1" x14ac:dyDescent="0.15">
      <c r="A127" s="8">
        <v>125</v>
      </c>
      <c r="B127" s="218" t="s">
        <v>5048</v>
      </c>
      <c r="C127" s="301" t="s">
        <v>111</v>
      </c>
      <c r="D127" s="26" t="s">
        <v>5140</v>
      </c>
      <c r="E127" s="301" t="s">
        <v>111</v>
      </c>
      <c r="F127" s="29" t="s">
        <v>3639</v>
      </c>
      <c r="G127" s="53" t="s">
        <v>5079</v>
      </c>
      <c r="H127" s="299" t="s">
        <v>3641</v>
      </c>
      <c r="I127" s="299" t="s">
        <v>1789</v>
      </c>
      <c r="J127" s="299" t="s">
        <v>5080</v>
      </c>
      <c r="K127" s="22" t="s">
        <v>1138</v>
      </c>
      <c r="L127" s="301" t="s">
        <v>1826</v>
      </c>
      <c r="M127" s="301" t="s">
        <v>111</v>
      </c>
      <c r="N127" s="28" t="s">
        <v>25</v>
      </c>
      <c r="O127" s="222" t="s">
        <v>5141</v>
      </c>
      <c r="P127" s="301" t="s">
        <v>111</v>
      </c>
      <c r="Q127" s="300" t="s">
        <v>1785</v>
      </c>
      <c r="R127" s="300" t="s">
        <v>1785</v>
      </c>
      <c r="S127" s="24" t="s">
        <v>5056</v>
      </c>
      <c r="T127" s="90" t="s">
        <v>5067</v>
      </c>
      <c r="U127" s="301" t="s">
        <v>2359</v>
      </c>
      <c r="V127" s="301">
        <v>1</v>
      </c>
      <c r="W127" s="223" t="s">
        <v>5081</v>
      </c>
      <c r="X127" s="223" t="s">
        <v>5082</v>
      </c>
      <c r="Y127" s="30"/>
      <c r="Z127" s="328">
        <v>8</v>
      </c>
      <c r="AA127" s="30">
        <v>8</v>
      </c>
      <c r="AB127" s="301" t="s">
        <v>1104</v>
      </c>
      <c r="AC127" s="202" t="s">
        <v>1880</v>
      </c>
      <c r="AD127" s="133" t="s">
        <v>1880</v>
      </c>
      <c r="AE127" s="298" t="s">
        <v>5149</v>
      </c>
    </row>
    <row r="128" spans="1:31" s="11" customFormat="1" ht="26.25" customHeight="1" x14ac:dyDescent="0.15">
      <c r="A128" s="8">
        <v>126</v>
      </c>
      <c r="B128" s="218" t="s">
        <v>5049</v>
      </c>
      <c r="C128" s="301" t="s">
        <v>111</v>
      </c>
      <c r="D128" s="327" t="s">
        <v>111</v>
      </c>
      <c r="E128" s="301" t="s">
        <v>111</v>
      </c>
      <c r="F128" s="29" t="s">
        <v>3639</v>
      </c>
      <c r="G128" s="53" t="s">
        <v>5083</v>
      </c>
      <c r="H128" s="299" t="s">
        <v>3641</v>
      </c>
      <c r="I128" s="299" t="s">
        <v>1789</v>
      </c>
      <c r="J128" s="299" t="s">
        <v>5080</v>
      </c>
      <c r="K128" s="22" t="s">
        <v>1138</v>
      </c>
      <c r="L128" s="301" t="s">
        <v>1826</v>
      </c>
      <c r="M128" s="301" t="s">
        <v>111</v>
      </c>
      <c r="N128" s="28" t="s">
        <v>25</v>
      </c>
      <c r="O128" s="222" t="s">
        <v>1819</v>
      </c>
      <c r="P128" s="301" t="s">
        <v>111</v>
      </c>
      <c r="Q128" s="300" t="s">
        <v>1785</v>
      </c>
      <c r="R128" s="300" t="s">
        <v>1785</v>
      </c>
      <c r="S128" s="24" t="s">
        <v>5056</v>
      </c>
      <c r="T128" s="90" t="s">
        <v>5067</v>
      </c>
      <c r="U128" s="301" t="s">
        <v>2359</v>
      </c>
      <c r="V128" s="301">
        <v>1</v>
      </c>
      <c r="W128" s="24" t="s">
        <v>5084</v>
      </c>
      <c r="X128" s="24" t="s">
        <v>5085</v>
      </c>
      <c r="Y128" s="30"/>
      <c r="Z128" s="328">
        <v>8</v>
      </c>
      <c r="AA128" s="30">
        <v>8</v>
      </c>
      <c r="AB128" s="301" t="s">
        <v>1104</v>
      </c>
      <c r="AC128" s="202" t="s">
        <v>1880</v>
      </c>
      <c r="AD128" s="133" t="s">
        <v>1880</v>
      </c>
      <c r="AE128" s="298"/>
    </row>
    <row r="129" spans="1:31" s="11" customFormat="1" ht="45.75" customHeight="1" x14ac:dyDescent="0.15">
      <c r="A129" s="8">
        <v>127</v>
      </c>
      <c r="B129" s="218" t="s">
        <v>5050</v>
      </c>
      <c r="C129" s="301" t="s">
        <v>111</v>
      </c>
      <c r="D129" s="26" t="s">
        <v>5139</v>
      </c>
      <c r="E129" s="301" t="s">
        <v>111</v>
      </c>
      <c r="F129" s="29" t="s">
        <v>3639</v>
      </c>
      <c r="G129" s="53" t="s">
        <v>5088</v>
      </c>
      <c r="H129" s="299" t="s">
        <v>3641</v>
      </c>
      <c r="I129" s="299" t="s">
        <v>1789</v>
      </c>
      <c r="J129" s="299" t="s">
        <v>5086</v>
      </c>
      <c r="K129" s="22" t="s">
        <v>5087</v>
      </c>
      <c r="L129" s="301" t="s">
        <v>1826</v>
      </c>
      <c r="M129" s="301" t="s">
        <v>111</v>
      </c>
      <c r="N129" s="28" t="s">
        <v>25</v>
      </c>
      <c r="O129" s="222" t="s">
        <v>5141</v>
      </c>
      <c r="P129" s="301" t="s">
        <v>111</v>
      </c>
      <c r="Q129" s="298" t="s">
        <v>1785</v>
      </c>
      <c r="R129" s="298" t="s">
        <v>1785</v>
      </c>
      <c r="S129" s="24" t="s">
        <v>5056</v>
      </c>
      <c r="T129" s="90" t="s">
        <v>5067</v>
      </c>
      <c r="U129" s="301" t="s">
        <v>2359</v>
      </c>
      <c r="V129" s="301">
        <v>1</v>
      </c>
      <c r="W129" s="223" t="s">
        <v>1134</v>
      </c>
      <c r="X129" s="223" t="s">
        <v>5090</v>
      </c>
      <c r="Y129" s="30"/>
      <c r="Z129" s="328">
        <v>7.5</v>
      </c>
      <c r="AA129" s="30">
        <v>7.5</v>
      </c>
      <c r="AB129" s="301" t="s">
        <v>1104</v>
      </c>
      <c r="AC129" s="202" t="s">
        <v>1880</v>
      </c>
      <c r="AD129" s="133" t="s">
        <v>1880</v>
      </c>
      <c r="AE129" s="298" t="s">
        <v>5148</v>
      </c>
    </row>
    <row r="130" spans="1:31" s="11" customFormat="1" ht="26.25" customHeight="1" x14ac:dyDescent="0.15">
      <c r="A130" s="8">
        <v>128</v>
      </c>
      <c r="B130" s="218" t="s">
        <v>5051</v>
      </c>
      <c r="C130" s="301" t="s">
        <v>111</v>
      </c>
      <c r="D130" s="327" t="s">
        <v>111</v>
      </c>
      <c r="E130" s="301" t="s">
        <v>111</v>
      </c>
      <c r="F130" s="29" t="s">
        <v>3639</v>
      </c>
      <c r="G130" s="53" t="s">
        <v>5089</v>
      </c>
      <c r="H130" s="299" t="s">
        <v>3641</v>
      </c>
      <c r="I130" s="299" t="s">
        <v>1789</v>
      </c>
      <c r="J130" s="299" t="s">
        <v>5086</v>
      </c>
      <c r="K130" s="22" t="s">
        <v>5087</v>
      </c>
      <c r="L130" s="301" t="s">
        <v>1826</v>
      </c>
      <c r="M130" s="301" t="s">
        <v>111</v>
      </c>
      <c r="N130" s="28" t="s">
        <v>25</v>
      </c>
      <c r="O130" s="222" t="s">
        <v>1819</v>
      </c>
      <c r="P130" s="301" t="s">
        <v>111</v>
      </c>
      <c r="Q130" s="300" t="s">
        <v>1785</v>
      </c>
      <c r="R130" s="300" t="s">
        <v>1785</v>
      </c>
      <c r="S130" s="24" t="s">
        <v>5056</v>
      </c>
      <c r="T130" s="90" t="s">
        <v>5067</v>
      </c>
      <c r="U130" s="301" t="s">
        <v>2359</v>
      </c>
      <c r="V130" s="301">
        <v>1</v>
      </c>
      <c r="W130" s="24" t="s">
        <v>4382</v>
      </c>
      <c r="X130" s="24" t="s">
        <v>5090</v>
      </c>
      <c r="Y130" s="30"/>
      <c r="Z130" s="328">
        <v>7.5</v>
      </c>
      <c r="AA130" s="30">
        <v>7.5</v>
      </c>
      <c r="AB130" s="301" t="s">
        <v>1104</v>
      </c>
      <c r="AC130" s="202" t="s">
        <v>1880</v>
      </c>
      <c r="AD130" s="133" t="s">
        <v>1880</v>
      </c>
      <c r="AE130" s="296"/>
    </row>
    <row r="131" spans="1:31" s="11" customFormat="1" ht="26.25" customHeight="1" x14ac:dyDescent="0.15">
      <c r="A131" s="8">
        <v>129</v>
      </c>
      <c r="B131" s="218" t="s">
        <v>5144</v>
      </c>
      <c r="C131" s="301" t="s">
        <v>111</v>
      </c>
      <c r="D131" s="301" t="s">
        <v>111</v>
      </c>
      <c r="E131" s="301" t="s">
        <v>111</v>
      </c>
      <c r="F131" s="29" t="s">
        <v>5091</v>
      </c>
      <c r="G131" s="53" t="s">
        <v>5092</v>
      </c>
      <c r="H131" s="302" t="s">
        <v>1880</v>
      </c>
      <c r="I131" s="295" t="s">
        <v>1880</v>
      </c>
      <c r="J131" s="303" t="s">
        <v>1880</v>
      </c>
      <c r="K131" s="304" t="s">
        <v>1880</v>
      </c>
      <c r="L131" s="304" t="s">
        <v>1880</v>
      </c>
      <c r="M131" s="304" t="s">
        <v>1880</v>
      </c>
      <c r="N131" s="28" t="s">
        <v>1448</v>
      </c>
      <c r="O131" s="222" t="s">
        <v>4644</v>
      </c>
      <c r="P131" s="301" t="s">
        <v>111</v>
      </c>
      <c r="Q131" s="221" t="s">
        <v>2072</v>
      </c>
      <c r="R131" s="298" t="s">
        <v>2072</v>
      </c>
      <c r="S131" s="24" t="s">
        <v>5056</v>
      </c>
      <c r="T131" s="90" t="s">
        <v>5093</v>
      </c>
      <c r="U131" s="24" t="s">
        <v>1800</v>
      </c>
      <c r="V131" s="10">
        <v>1</v>
      </c>
      <c r="W131" s="24" t="s">
        <v>1880</v>
      </c>
      <c r="X131" s="24" t="s">
        <v>1880</v>
      </c>
      <c r="Y131" s="30">
        <v>2.544</v>
      </c>
      <c r="Z131" s="30"/>
      <c r="AA131" s="30">
        <v>2.544</v>
      </c>
      <c r="AB131" s="301" t="s">
        <v>1104</v>
      </c>
      <c r="AC131" s="202" t="s">
        <v>1880</v>
      </c>
      <c r="AD131" s="133" t="s">
        <v>1880</v>
      </c>
      <c r="AE131" s="298"/>
    </row>
    <row r="132" spans="1:31" s="11" customFormat="1" ht="26.25" customHeight="1" x14ac:dyDescent="0.15">
      <c r="A132" s="8">
        <v>130</v>
      </c>
      <c r="B132" s="218" t="s">
        <v>5105</v>
      </c>
      <c r="C132" s="311" t="s">
        <v>111</v>
      </c>
      <c r="D132" s="330" t="s">
        <v>5109</v>
      </c>
      <c r="E132" s="311" t="s">
        <v>111</v>
      </c>
      <c r="F132" s="29" t="s">
        <v>4790</v>
      </c>
      <c r="G132" s="53" t="s">
        <v>5106</v>
      </c>
      <c r="H132" s="310" t="s">
        <v>2032</v>
      </c>
      <c r="I132" s="310" t="s">
        <v>2031</v>
      </c>
      <c r="J132" s="310" t="s">
        <v>3120</v>
      </c>
      <c r="K132" s="22" t="s">
        <v>1138</v>
      </c>
      <c r="L132" s="311" t="s">
        <v>1826</v>
      </c>
      <c r="M132" s="311" t="s">
        <v>111</v>
      </c>
      <c r="N132" s="298" t="s">
        <v>1818</v>
      </c>
      <c r="O132" s="54" t="s">
        <v>1796</v>
      </c>
      <c r="P132" s="311" t="s">
        <v>111</v>
      </c>
      <c r="Q132" s="298" t="s">
        <v>1785</v>
      </c>
      <c r="R132" s="298" t="s">
        <v>1785</v>
      </c>
      <c r="S132" s="24" t="s">
        <v>5107</v>
      </c>
      <c r="T132" s="90" t="s">
        <v>5108</v>
      </c>
      <c r="U132" s="311" t="s">
        <v>2359</v>
      </c>
      <c r="V132" s="311">
        <v>1</v>
      </c>
      <c r="W132" s="24" t="s">
        <v>1880</v>
      </c>
      <c r="X132" s="24" t="s">
        <v>1880</v>
      </c>
      <c r="Y132" s="30">
        <v>0.96</v>
      </c>
      <c r="Z132" s="30"/>
      <c r="AA132" s="30">
        <v>0.96</v>
      </c>
      <c r="AB132" s="311" t="s">
        <v>1104</v>
      </c>
      <c r="AC132" s="202" t="s">
        <v>1880</v>
      </c>
      <c r="AD132" s="133" t="s">
        <v>1880</v>
      </c>
      <c r="AE132" s="298"/>
    </row>
    <row r="133" spans="1:31" s="364" customFormat="1" ht="26.25" customHeight="1" x14ac:dyDescent="0.15">
      <c r="A133" s="8">
        <v>131</v>
      </c>
      <c r="B133" s="218" t="s">
        <v>5110</v>
      </c>
      <c r="C133" s="82" t="s">
        <v>111</v>
      </c>
      <c r="D133" s="82" t="s">
        <v>5147</v>
      </c>
      <c r="E133" s="82" t="s">
        <v>111</v>
      </c>
      <c r="F133" s="67" t="s">
        <v>3271</v>
      </c>
      <c r="G133" s="99" t="s">
        <v>3937</v>
      </c>
      <c r="H133" s="83" t="s">
        <v>2135</v>
      </c>
      <c r="I133" s="83" t="s">
        <v>2533</v>
      </c>
      <c r="J133" s="83" t="s">
        <v>3273</v>
      </c>
      <c r="K133" s="84" t="s">
        <v>5112</v>
      </c>
      <c r="L133" s="82" t="s">
        <v>1826</v>
      </c>
      <c r="M133" s="82" t="s">
        <v>111</v>
      </c>
      <c r="N133" s="71" t="s">
        <v>1818</v>
      </c>
      <c r="O133" s="76" t="s">
        <v>1796</v>
      </c>
      <c r="P133" s="82" t="s">
        <v>111</v>
      </c>
      <c r="Q133" s="71" t="s">
        <v>1831</v>
      </c>
      <c r="R133" s="71" t="s">
        <v>1831</v>
      </c>
      <c r="S133" s="211" t="s">
        <v>5224</v>
      </c>
      <c r="T133" s="271" t="s">
        <v>1880</v>
      </c>
      <c r="U133" s="82" t="s">
        <v>1880</v>
      </c>
      <c r="V133" s="82" t="s">
        <v>1880</v>
      </c>
      <c r="W133" s="211" t="s">
        <v>1880</v>
      </c>
      <c r="X133" s="211" t="s">
        <v>1880</v>
      </c>
      <c r="Y133" s="96">
        <v>0.89300000000000002</v>
      </c>
      <c r="Z133" s="96"/>
      <c r="AA133" s="96">
        <v>0.89300000000000002</v>
      </c>
      <c r="AB133" s="82" t="s">
        <v>1104</v>
      </c>
      <c r="AC133" s="133" t="s">
        <v>1880</v>
      </c>
      <c r="AD133" s="133" t="s">
        <v>1880</v>
      </c>
      <c r="AE133" s="71"/>
    </row>
    <row r="134" spans="1:31" s="11" customFormat="1" ht="26.25" customHeight="1" x14ac:dyDescent="0.15">
      <c r="A134" s="8">
        <v>132</v>
      </c>
      <c r="B134" s="218" t="s">
        <v>5111</v>
      </c>
      <c r="C134" s="314" t="s">
        <v>111</v>
      </c>
      <c r="D134" s="314" t="s">
        <v>111</v>
      </c>
      <c r="E134" s="314" t="s">
        <v>111</v>
      </c>
      <c r="F134" s="29" t="s">
        <v>2532</v>
      </c>
      <c r="G134" s="53" t="s">
        <v>5113</v>
      </c>
      <c r="H134" s="312" t="s">
        <v>2135</v>
      </c>
      <c r="I134" s="312" t="s">
        <v>2533</v>
      </c>
      <c r="J134" s="312" t="s">
        <v>2534</v>
      </c>
      <c r="K134" s="22" t="s">
        <v>2535</v>
      </c>
      <c r="L134" s="314" t="s">
        <v>1826</v>
      </c>
      <c r="M134" s="314" t="s">
        <v>111</v>
      </c>
      <c r="N134" s="314" t="s">
        <v>1818</v>
      </c>
      <c r="O134" s="151" t="s">
        <v>1819</v>
      </c>
      <c r="P134" s="314" t="s">
        <v>111</v>
      </c>
      <c r="Q134" s="313" t="s">
        <v>1831</v>
      </c>
      <c r="R134" s="313" t="s">
        <v>1831</v>
      </c>
      <c r="S134" s="24" t="s">
        <v>5114</v>
      </c>
      <c r="T134" s="90" t="s">
        <v>4917</v>
      </c>
      <c r="U134" s="314" t="s">
        <v>2359</v>
      </c>
      <c r="V134" s="314">
        <v>1</v>
      </c>
      <c r="W134" s="24" t="s">
        <v>4385</v>
      </c>
      <c r="X134" s="24" t="s">
        <v>4120</v>
      </c>
      <c r="Y134" s="30"/>
      <c r="Z134" s="30">
        <v>8</v>
      </c>
      <c r="AA134" s="30">
        <v>8</v>
      </c>
      <c r="AB134" s="314" t="s">
        <v>1104</v>
      </c>
      <c r="AC134" s="202" t="s">
        <v>1880</v>
      </c>
      <c r="AD134" s="133" t="s">
        <v>1880</v>
      </c>
      <c r="AE134" s="298"/>
    </row>
    <row r="135" spans="1:31" s="11" customFormat="1" ht="26.25" customHeight="1" x14ac:dyDescent="0.15">
      <c r="A135" s="8">
        <v>133</v>
      </c>
      <c r="B135" s="218" t="s">
        <v>5117</v>
      </c>
      <c r="C135" s="317" t="s">
        <v>111</v>
      </c>
      <c r="D135" s="317" t="s">
        <v>111</v>
      </c>
      <c r="E135" s="317" t="s">
        <v>111</v>
      </c>
      <c r="F135" s="29" t="s">
        <v>1775</v>
      </c>
      <c r="G135" s="53" t="s">
        <v>1776</v>
      </c>
      <c r="H135" s="315" t="s">
        <v>2113</v>
      </c>
      <c r="I135" s="315" t="s">
        <v>1779</v>
      </c>
      <c r="J135" s="315" t="s">
        <v>1778</v>
      </c>
      <c r="K135" s="22" t="s">
        <v>1777</v>
      </c>
      <c r="L135" s="317" t="s">
        <v>1826</v>
      </c>
      <c r="M135" s="317" t="s">
        <v>111</v>
      </c>
      <c r="N135" s="317" t="s">
        <v>1818</v>
      </c>
      <c r="O135" s="151" t="s">
        <v>1819</v>
      </c>
      <c r="P135" s="317" t="s">
        <v>111</v>
      </c>
      <c r="Q135" s="316" t="s">
        <v>1831</v>
      </c>
      <c r="R135" s="316" t="s">
        <v>1831</v>
      </c>
      <c r="S135" s="24" t="s">
        <v>5118</v>
      </c>
      <c r="T135" s="90" t="s">
        <v>5119</v>
      </c>
      <c r="U135" s="317" t="s">
        <v>2359</v>
      </c>
      <c r="V135" s="317">
        <v>3</v>
      </c>
      <c r="W135" s="24" t="s">
        <v>4385</v>
      </c>
      <c r="X135" s="24" t="s">
        <v>4120</v>
      </c>
      <c r="Y135" s="30"/>
      <c r="Z135" s="30">
        <v>8</v>
      </c>
      <c r="AA135" s="30">
        <v>8</v>
      </c>
      <c r="AB135" s="317" t="s">
        <v>1104</v>
      </c>
      <c r="AC135" s="202" t="s">
        <v>1880</v>
      </c>
      <c r="AD135" s="133" t="s">
        <v>1880</v>
      </c>
      <c r="AE135" s="316"/>
    </row>
    <row r="136" spans="1:31" s="11" customFormat="1" ht="26.25" customHeight="1" x14ac:dyDescent="0.15">
      <c r="A136" s="8">
        <v>134</v>
      </c>
      <c r="B136" s="218" t="s">
        <v>5120</v>
      </c>
      <c r="C136" s="320" t="s">
        <v>111</v>
      </c>
      <c r="D136" s="320" t="s">
        <v>111</v>
      </c>
      <c r="E136" s="345" t="s">
        <v>5189</v>
      </c>
      <c r="F136" s="29" t="s">
        <v>5121</v>
      </c>
      <c r="G136" s="53" t="s">
        <v>5146</v>
      </c>
      <c r="H136" s="318" t="s">
        <v>1147</v>
      </c>
      <c r="I136" s="302" t="s">
        <v>5122</v>
      </c>
      <c r="J136" s="302" t="s">
        <v>5123</v>
      </c>
      <c r="K136" s="304" t="s">
        <v>5145</v>
      </c>
      <c r="L136" s="320" t="s">
        <v>1826</v>
      </c>
      <c r="M136" s="320" t="s">
        <v>111</v>
      </c>
      <c r="N136" s="320" t="s">
        <v>1150</v>
      </c>
      <c r="O136" s="54" t="s">
        <v>2389</v>
      </c>
      <c r="P136" s="320" t="s">
        <v>111</v>
      </c>
      <c r="Q136" s="331" t="s">
        <v>1152</v>
      </c>
      <c r="R136" s="319" t="s">
        <v>1152</v>
      </c>
      <c r="S136" s="24" t="s">
        <v>5118</v>
      </c>
      <c r="T136" s="90" t="s">
        <v>5124</v>
      </c>
      <c r="U136" s="24" t="s">
        <v>1800</v>
      </c>
      <c r="V136" s="10">
        <v>1</v>
      </c>
      <c r="W136" s="24" t="s">
        <v>1880</v>
      </c>
      <c r="X136" s="24" t="s">
        <v>1880</v>
      </c>
      <c r="Y136" s="30">
        <v>23.5</v>
      </c>
      <c r="Z136" s="30"/>
      <c r="AA136" s="30">
        <v>23.5</v>
      </c>
      <c r="AB136" s="320" t="s">
        <v>1104</v>
      </c>
      <c r="AC136" s="133" t="s">
        <v>5194</v>
      </c>
      <c r="AD136" s="133" t="s">
        <v>1880</v>
      </c>
      <c r="AE136" s="319"/>
    </row>
    <row r="137" spans="1:31" s="11" customFormat="1" ht="26.25" customHeight="1" x14ac:dyDescent="0.15">
      <c r="A137" s="8">
        <v>135</v>
      </c>
      <c r="B137" s="218" t="s">
        <v>5126</v>
      </c>
      <c r="C137" s="323" t="s">
        <v>111</v>
      </c>
      <c r="D137" s="323" t="s">
        <v>111</v>
      </c>
      <c r="E137" s="323" t="s">
        <v>111</v>
      </c>
      <c r="F137" s="29" t="s">
        <v>5127</v>
      </c>
      <c r="G137" s="53" t="s">
        <v>5128</v>
      </c>
      <c r="H137" s="321" t="s">
        <v>1147</v>
      </c>
      <c r="I137" s="302" t="s">
        <v>2437</v>
      </c>
      <c r="J137" s="321" t="s">
        <v>3491</v>
      </c>
      <c r="K137" s="321" t="s">
        <v>2466</v>
      </c>
      <c r="L137" s="22" t="s">
        <v>2142</v>
      </c>
      <c r="M137" s="323" t="s">
        <v>1880</v>
      </c>
      <c r="N137" s="22" t="s">
        <v>2422</v>
      </c>
      <c r="O137" s="54" t="s">
        <v>851</v>
      </c>
      <c r="P137" s="323" t="s">
        <v>111</v>
      </c>
      <c r="Q137" s="322" t="s">
        <v>1152</v>
      </c>
      <c r="R137" s="322" t="s">
        <v>1152</v>
      </c>
      <c r="S137" s="24" t="s">
        <v>5129</v>
      </c>
      <c r="T137" s="90" t="s">
        <v>5130</v>
      </c>
      <c r="U137" s="323" t="s">
        <v>2359</v>
      </c>
      <c r="V137" s="323">
        <v>1</v>
      </c>
      <c r="W137" s="24" t="s">
        <v>4888</v>
      </c>
      <c r="X137" s="24" t="s">
        <v>4446</v>
      </c>
      <c r="Y137" s="30"/>
      <c r="Z137" s="30">
        <v>8</v>
      </c>
      <c r="AA137" s="30">
        <v>8</v>
      </c>
      <c r="AB137" s="323" t="s">
        <v>1104</v>
      </c>
      <c r="AC137" s="202" t="s">
        <v>1880</v>
      </c>
      <c r="AD137" s="133" t="s">
        <v>1880</v>
      </c>
      <c r="AE137" s="322"/>
    </row>
    <row r="138" spans="1:31" s="11" customFormat="1" ht="26.25" customHeight="1" x14ac:dyDescent="0.15">
      <c r="A138" s="8">
        <v>136</v>
      </c>
      <c r="B138" s="218" t="s">
        <v>5131</v>
      </c>
      <c r="C138" s="323" t="s">
        <v>111</v>
      </c>
      <c r="D138" s="323" t="s">
        <v>111</v>
      </c>
      <c r="E138" s="323" t="s">
        <v>111</v>
      </c>
      <c r="F138" s="29" t="s">
        <v>5127</v>
      </c>
      <c r="G138" s="53" t="s">
        <v>5132</v>
      </c>
      <c r="H138" s="321" t="s">
        <v>1147</v>
      </c>
      <c r="I138" s="302" t="s">
        <v>2437</v>
      </c>
      <c r="J138" s="321" t="s">
        <v>3491</v>
      </c>
      <c r="K138" s="321" t="s">
        <v>2466</v>
      </c>
      <c r="L138" s="22" t="s">
        <v>2142</v>
      </c>
      <c r="M138" s="323" t="s">
        <v>1880</v>
      </c>
      <c r="N138" s="22" t="s">
        <v>2422</v>
      </c>
      <c r="O138" s="151" t="s">
        <v>4694</v>
      </c>
      <c r="P138" s="323" t="s">
        <v>111</v>
      </c>
      <c r="Q138" s="322" t="s">
        <v>1152</v>
      </c>
      <c r="R138" s="322" t="s">
        <v>1152</v>
      </c>
      <c r="S138" s="24" t="s">
        <v>5129</v>
      </c>
      <c r="T138" s="90" t="s">
        <v>5130</v>
      </c>
      <c r="U138" s="323" t="s">
        <v>2359</v>
      </c>
      <c r="V138" s="323">
        <v>1</v>
      </c>
      <c r="W138" s="24" t="s">
        <v>1880</v>
      </c>
      <c r="X138" s="24" t="s">
        <v>1880</v>
      </c>
      <c r="Y138" s="30">
        <v>14.8</v>
      </c>
      <c r="Z138" s="30"/>
      <c r="AA138" s="30">
        <v>14.8</v>
      </c>
      <c r="AB138" s="323" t="s">
        <v>1104</v>
      </c>
      <c r="AC138" s="133" t="s">
        <v>5190</v>
      </c>
      <c r="AD138" s="133" t="s">
        <v>1880</v>
      </c>
      <c r="AE138" s="316"/>
    </row>
    <row r="139" spans="1:31" s="11" customFormat="1" ht="46.5" customHeight="1" x14ac:dyDescent="0.15">
      <c r="A139" s="8">
        <v>137</v>
      </c>
      <c r="B139" s="218" t="s">
        <v>5133</v>
      </c>
      <c r="C139" s="326" t="s">
        <v>111</v>
      </c>
      <c r="D139" s="326" t="s">
        <v>111</v>
      </c>
      <c r="E139" s="326" t="s">
        <v>111</v>
      </c>
      <c r="F139" s="54" t="s">
        <v>2010</v>
      </c>
      <c r="G139" s="54" t="s">
        <v>4015</v>
      </c>
      <c r="H139" s="1" t="s">
        <v>1460</v>
      </c>
      <c r="I139" s="142" t="s">
        <v>4016</v>
      </c>
      <c r="J139" s="329" t="s">
        <v>4017</v>
      </c>
      <c r="K139" s="330" t="s">
        <v>4018</v>
      </c>
      <c r="L139" s="326" t="s">
        <v>1826</v>
      </c>
      <c r="M139" s="326" t="s">
        <v>111</v>
      </c>
      <c r="N139" s="326" t="s">
        <v>1818</v>
      </c>
      <c r="O139" s="151" t="s">
        <v>1819</v>
      </c>
      <c r="P139" s="326" t="s">
        <v>111</v>
      </c>
      <c r="Q139" s="331" t="s">
        <v>3248</v>
      </c>
      <c r="R139" s="325" t="s">
        <v>3248</v>
      </c>
      <c r="S139" s="24" t="s">
        <v>5136</v>
      </c>
      <c r="T139" s="90" t="s">
        <v>5137</v>
      </c>
      <c r="U139" s="326" t="s">
        <v>2359</v>
      </c>
      <c r="V139" s="326">
        <v>4</v>
      </c>
      <c r="W139" s="223" t="s">
        <v>4756</v>
      </c>
      <c r="X139" s="223" t="s">
        <v>5138</v>
      </c>
      <c r="Y139" s="30"/>
      <c r="Z139" s="30">
        <v>3</v>
      </c>
      <c r="AA139" s="30">
        <v>3</v>
      </c>
      <c r="AB139" s="326" t="s">
        <v>1104</v>
      </c>
      <c r="AC139" s="202" t="s">
        <v>1880</v>
      </c>
      <c r="AD139" s="133" t="s">
        <v>1880</v>
      </c>
      <c r="AE139" s="325" t="s">
        <v>5150</v>
      </c>
    </row>
    <row r="140" spans="1:31" s="11" customFormat="1" ht="26.25" customHeight="1" x14ac:dyDescent="0.15">
      <c r="A140" s="8">
        <v>138</v>
      </c>
      <c r="B140" s="218" t="s">
        <v>5134</v>
      </c>
      <c r="C140" s="326" t="s">
        <v>111</v>
      </c>
      <c r="D140" s="326" t="s">
        <v>111</v>
      </c>
      <c r="E140" s="326" t="s">
        <v>111</v>
      </c>
      <c r="F140" s="151" t="s">
        <v>2018</v>
      </c>
      <c r="G140" s="54" t="s">
        <v>4026</v>
      </c>
      <c r="H140" s="1" t="s">
        <v>1460</v>
      </c>
      <c r="I140" s="142" t="s">
        <v>4016</v>
      </c>
      <c r="J140" s="329" t="s">
        <v>4027</v>
      </c>
      <c r="K140" s="330" t="s">
        <v>4028</v>
      </c>
      <c r="L140" s="326" t="s">
        <v>1826</v>
      </c>
      <c r="M140" s="326" t="s">
        <v>111</v>
      </c>
      <c r="N140" s="326" t="s">
        <v>1818</v>
      </c>
      <c r="O140" s="151" t="s">
        <v>1819</v>
      </c>
      <c r="P140" s="326" t="s">
        <v>111</v>
      </c>
      <c r="Q140" s="331" t="s">
        <v>3248</v>
      </c>
      <c r="R140" s="325" t="s">
        <v>3248</v>
      </c>
      <c r="S140" s="24" t="s">
        <v>5136</v>
      </c>
      <c r="T140" s="90" t="s">
        <v>5137</v>
      </c>
      <c r="U140" s="326" t="s">
        <v>2359</v>
      </c>
      <c r="V140" s="326">
        <v>4</v>
      </c>
      <c r="W140" s="223" t="s">
        <v>4756</v>
      </c>
      <c r="X140" s="223" t="s">
        <v>5138</v>
      </c>
      <c r="Y140" s="30"/>
      <c r="Z140" s="30">
        <v>3</v>
      </c>
      <c r="AA140" s="30">
        <v>3</v>
      </c>
      <c r="AB140" s="326" t="s">
        <v>1104</v>
      </c>
      <c r="AC140" s="202" t="s">
        <v>1880</v>
      </c>
      <c r="AD140" s="133" t="s">
        <v>1880</v>
      </c>
      <c r="AE140" s="325"/>
    </row>
    <row r="141" spans="1:31" s="11" customFormat="1" ht="26.25" customHeight="1" x14ac:dyDescent="0.15">
      <c r="A141" s="8">
        <v>139</v>
      </c>
      <c r="B141" s="218" t="s">
        <v>5135</v>
      </c>
      <c r="C141" s="326" t="s">
        <v>111</v>
      </c>
      <c r="D141" s="326" t="s">
        <v>111</v>
      </c>
      <c r="E141" s="326" t="s">
        <v>111</v>
      </c>
      <c r="F141" s="54" t="s">
        <v>2020</v>
      </c>
      <c r="G141" s="54" t="s">
        <v>4029</v>
      </c>
      <c r="H141" s="1" t="s">
        <v>1460</v>
      </c>
      <c r="I141" s="142" t="s">
        <v>4016</v>
      </c>
      <c r="J141" s="329" t="s">
        <v>4030</v>
      </c>
      <c r="K141" s="330" t="s">
        <v>4031</v>
      </c>
      <c r="L141" s="326" t="s">
        <v>1826</v>
      </c>
      <c r="M141" s="326" t="s">
        <v>111</v>
      </c>
      <c r="N141" s="326" t="s">
        <v>1818</v>
      </c>
      <c r="O141" s="151" t="s">
        <v>1819</v>
      </c>
      <c r="P141" s="326" t="s">
        <v>111</v>
      </c>
      <c r="Q141" s="331" t="s">
        <v>3248</v>
      </c>
      <c r="R141" s="325" t="s">
        <v>3248</v>
      </c>
      <c r="S141" s="24" t="s">
        <v>5136</v>
      </c>
      <c r="T141" s="90" t="s">
        <v>5137</v>
      </c>
      <c r="U141" s="326" t="s">
        <v>2359</v>
      </c>
      <c r="V141" s="326">
        <v>4</v>
      </c>
      <c r="W141" s="223" t="s">
        <v>4756</v>
      </c>
      <c r="X141" s="223" t="s">
        <v>5138</v>
      </c>
      <c r="Y141" s="30"/>
      <c r="Z141" s="30">
        <v>3</v>
      </c>
      <c r="AA141" s="30">
        <v>3</v>
      </c>
      <c r="AB141" s="326" t="s">
        <v>1104</v>
      </c>
      <c r="AC141" s="202" t="s">
        <v>1880</v>
      </c>
      <c r="AD141" s="133" t="s">
        <v>1880</v>
      </c>
      <c r="AE141" s="325"/>
    </row>
    <row r="142" spans="1:31" s="11" customFormat="1" ht="26.25" customHeight="1" x14ac:dyDescent="0.15">
      <c r="A142" s="8">
        <v>140</v>
      </c>
      <c r="B142" s="218" t="s">
        <v>5346</v>
      </c>
      <c r="C142" s="391" t="s">
        <v>5349</v>
      </c>
      <c r="D142" s="333" t="s">
        <v>111</v>
      </c>
      <c r="E142" s="333" t="s">
        <v>111</v>
      </c>
      <c r="F142" s="29" t="s">
        <v>5151</v>
      </c>
      <c r="G142" s="54" t="s">
        <v>5348</v>
      </c>
      <c r="H142" s="1" t="s">
        <v>23</v>
      </c>
      <c r="I142" s="1" t="s">
        <v>28</v>
      </c>
      <c r="J142" s="1" t="s">
        <v>5350</v>
      </c>
      <c r="K142" s="330" t="s">
        <v>4416</v>
      </c>
      <c r="L142" s="333" t="s">
        <v>1826</v>
      </c>
      <c r="M142" s="333" t="s">
        <v>111</v>
      </c>
      <c r="N142" s="392" t="s">
        <v>795</v>
      </c>
      <c r="O142" s="222" t="s">
        <v>5351</v>
      </c>
      <c r="P142" s="333" t="s">
        <v>111</v>
      </c>
      <c r="Q142" s="71" t="s">
        <v>2072</v>
      </c>
      <c r="R142" s="71" t="s">
        <v>2072</v>
      </c>
      <c r="S142" s="211" t="s">
        <v>5352</v>
      </c>
      <c r="T142" s="271" t="s">
        <v>5156</v>
      </c>
      <c r="U142" s="82" t="s">
        <v>2359</v>
      </c>
      <c r="V142" s="82">
        <v>1</v>
      </c>
      <c r="W142" s="24" t="s">
        <v>1880</v>
      </c>
      <c r="X142" s="24" t="s">
        <v>1880</v>
      </c>
      <c r="Y142" s="30">
        <v>26.285</v>
      </c>
      <c r="Z142" s="30"/>
      <c r="AA142" s="30">
        <v>26.285</v>
      </c>
      <c r="AB142" s="333" t="s">
        <v>1104</v>
      </c>
      <c r="AC142" s="202" t="s">
        <v>1880</v>
      </c>
      <c r="AD142" s="133" t="s">
        <v>1880</v>
      </c>
      <c r="AE142" s="332" t="s">
        <v>5304</v>
      </c>
    </row>
    <row r="143" spans="1:31" s="11" customFormat="1" ht="26.25" customHeight="1" x14ac:dyDescent="0.15">
      <c r="A143" s="8">
        <v>141</v>
      </c>
      <c r="B143" s="218" t="s">
        <v>5347</v>
      </c>
      <c r="C143" s="391" t="s">
        <v>5354</v>
      </c>
      <c r="D143" s="379" t="s">
        <v>111</v>
      </c>
      <c r="E143" s="379" t="s">
        <v>111</v>
      </c>
      <c r="F143" s="29" t="s">
        <v>5151</v>
      </c>
      <c r="G143" s="53" t="s">
        <v>5353</v>
      </c>
      <c r="H143" s="1" t="s">
        <v>23</v>
      </c>
      <c r="I143" s="1" t="s">
        <v>28</v>
      </c>
      <c r="J143" s="379" t="s">
        <v>4426</v>
      </c>
      <c r="K143" s="379" t="s">
        <v>1138</v>
      </c>
      <c r="L143" s="379" t="s">
        <v>1826</v>
      </c>
      <c r="M143" s="379" t="s">
        <v>111</v>
      </c>
      <c r="N143" s="392" t="s">
        <v>795</v>
      </c>
      <c r="O143" s="222" t="s">
        <v>5351</v>
      </c>
      <c r="P143" s="379" t="s">
        <v>111</v>
      </c>
      <c r="Q143" s="71" t="s">
        <v>2072</v>
      </c>
      <c r="R143" s="71" t="s">
        <v>2072</v>
      </c>
      <c r="S143" s="211" t="s">
        <v>5352</v>
      </c>
      <c r="T143" s="271" t="s">
        <v>5156</v>
      </c>
      <c r="U143" s="82" t="s">
        <v>2359</v>
      </c>
      <c r="V143" s="82">
        <v>1</v>
      </c>
      <c r="W143" s="24" t="s">
        <v>1880</v>
      </c>
      <c r="X143" s="24" t="s">
        <v>1880</v>
      </c>
      <c r="Y143" s="30">
        <v>26.285</v>
      </c>
      <c r="Z143" s="30"/>
      <c r="AA143" s="30">
        <v>26.285</v>
      </c>
      <c r="AB143" s="379" t="s">
        <v>1104</v>
      </c>
      <c r="AC143" s="202" t="s">
        <v>1880</v>
      </c>
      <c r="AD143" s="133" t="s">
        <v>1880</v>
      </c>
      <c r="AE143" s="378" t="s">
        <v>5304</v>
      </c>
    </row>
    <row r="144" spans="1:31" s="11" customFormat="1" ht="26.25" customHeight="1" x14ac:dyDescent="0.15">
      <c r="A144" s="8">
        <v>142</v>
      </c>
      <c r="B144" s="8" t="s">
        <v>5152</v>
      </c>
      <c r="C144" s="26" t="s">
        <v>5174</v>
      </c>
      <c r="D144" s="26" t="s">
        <v>19</v>
      </c>
      <c r="E144" s="8" t="s">
        <v>5583</v>
      </c>
      <c r="F144" s="29" t="s">
        <v>5153</v>
      </c>
      <c r="G144" s="53" t="s">
        <v>5154</v>
      </c>
      <c r="H144" s="337" t="s">
        <v>1881</v>
      </c>
      <c r="I144" s="337" t="s">
        <v>1146</v>
      </c>
      <c r="J144" s="337" t="s">
        <v>5175</v>
      </c>
      <c r="K144" s="337" t="s">
        <v>1138</v>
      </c>
      <c r="L144" s="22" t="s">
        <v>1826</v>
      </c>
      <c r="M144" s="22" t="s">
        <v>5155</v>
      </c>
      <c r="N144" s="338" t="s">
        <v>1131</v>
      </c>
      <c r="O144" s="54" t="s">
        <v>5099</v>
      </c>
      <c r="P144" s="22" t="s">
        <v>1880</v>
      </c>
      <c r="Q144" s="338" t="s">
        <v>1151</v>
      </c>
      <c r="R144" s="338" t="s">
        <v>3248</v>
      </c>
      <c r="S144" s="24" t="s">
        <v>5185</v>
      </c>
      <c r="T144" s="90" t="s">
        <v>5108</v>
      </c>
      <c r="U144" s="339" t="s">
        <v>2359</v>
      </c>
      <c r="V144" s="339">
        <v>1</v>
      </c>
      <c r="W144" s="211" t="s">
        <v>2512</v>
      </c>
      <c r="X144" s="211" t="s">
        <v>1880</v>
      </c>
      <c r="Y144" s="30">
        <v>51.9</v>
      </c>
      <c r="Z144" s="30"/>
      <c r="AA144" s="30">
        <v>51.9</v>
      </c>
      <c r="AB144" s="35" t="s">
        <v>1104</v>
      </c>
      <c r="AC144" s="133" t="s">
        <v>5176</v>
      </c>
      <c r="AD144" s="35" t="s">
        <v>1880</v>
      </c>
      <c r="AE144" s="338"/>
    </row>
    <row r="145" spans="1:31" s="11" customFormat="1" ht="26.25" customHeight="1" x14ac:dyDescent="0.15">
      <c r="A145" s="8">
        <v>143</v>
      </c>
      <c r="B145" s="8" t="s">
        <v>5177</v>
      </c>
      <c r="C145" s="26" t="s">
        <v>5178</v>
      </c>
      <c r="D145" s="26" t="s">
        <v>19</v>
      </c>
      <c r="E145" s="26" t="s">
        <v>19</v>
      </c>
      <c r="F145" s="29" t="s">
        <v>5153</v>
      </c>
      <c r="G145" s="53" t="s">
        <v>5154</v>
      </c>
      <c r="H145" s="337" t="s">
        <v>1881</v>
      </c>
      <c r="I145" s="337" t="s">
        <v>1146</v>
      </c>
      <c r="J145" s="337" t="s">
        <v>5175</v>
      </c>
      <c r="K145" s="337" t="s">
        <v>1138</v>
      </c>
      <c r="L145" s="22" t="s">
        <v>1826</v>
      </c>
      <c r="M145" s="22" t="s">
        <v>5155</v>
      </c>
      <c r="N145" s="338" t="s">
        <v>445</v>
      </c>
      <c r="O145" s="54" t="s">
        <v>5179</v>
      </c>
      <c r="P145" s="22" t="s">
        <v>1880</v>
      </c>
      <c r="Q145" s="338" t="s">
        <v>1151</v>
      </c>
      <c r="R145" s="338" t="s">
        <v>3248</v>
      </c>
      <c r="S145" s="24" t="s">
        <v>5185</v>
      </c>
      <c r="T145" s="90" t="s">
        <v>5108</v>
      </c>
      <c r="U145" s="339" t="s">
        <v>2359</v>
      </c>
      <c r="V145" s="346">
        <v>1</v>
      </c>
      <c r="W145" s="24" t="s">
        <v>1880</v>
      </c>
      <c r="X145" s="24" t="s">
        <v>1880</v>
      </c>
      <c r="Y145" s="30">
        <v>5.0999999999999996</v>
      </c>
      <c r="Z145" s="30"/>
      <c r="AA145" s="30">
        <v>5.0999999999999996</v>
      </c>
      <c r="AB145" s="35" t="s">
        <v>1104</v>
      </c>
      <c r="AC145" s="133" t="s">
        <v>5176</v>
      </c>
      <c r="AD145" s="35" t="s">
        <v>1880</v>
      </c>
      <c r="AE145" s="338"/>
    </row>
    <row r="146" spans="1:31" s="11" customFormat="1" ht="26.25" customHeight="1" x14ac:dyDescent="0.15">
      <c r="A146" s="8">
        <v>144</v>
      </c>
      <c r="B146" s="36" t="s">
        <v>5157</v>
      </c>
      <c r="C146" s="26" t="s">
        <v>19</v>
      </c>
      <c r="D146" s="26" t="s">
        <v>19</v>
      </c>
      <c r="E146" s="26" t="s">
        <v>19</v>
      </c>
      <c r="F146" s="29" t="s">
        <v>4790</v>
      </c>
      <c r="G146" s="26" t="s">
        <v>5161</v>
      </c>
      <c r="H146" s="20" t="s">
        <v>2032</v>
      </c>
      <c r="I146" s="102" t="s">
        <v>819</v>
      </c>
      <c r="J146" s="37" t="s">
        <v>1130</v>
      </c>
      <c r="K146" s="347" t="s">
        <v>1138</v>
      </c>
      <c r="L146" s="22" t="s">
        <v>1826</v>
      </c>
      <c r="M146" s="22" t="s">
        <v>1880</v>
      </c>
      <c r="N146" s="9" t="s">
        <v>102</v>
      </c>
      <c r="O146" s="54" t="s">
        <v>4114</v>
      </c>
      <c r="P146" s="22" t="s">
        <v>1880</v>
      </c>
      <c r="Q146" s="9" t="s">
        <v>446</v>
      </c>
      <c r="R146" s="9" t="s">
        <v>446</v>
      </c>
      <c r="S146" s="24" t="s">
        <v>5185</v>
      </c>
      <c r="T146" s="90" t="s">
        <v>5118</v>
      </c>
      <c r="U146" s="336" t="s">
        <v>2359</v>
      </c>
      <c r="V146" s="336">
        <v>2</v>
      </c>
      <c r="W146" s="24" t="s">
        <v>4586</v>
      </c>
      <c r="X146" s="24" t="s">
        <v>5162</v>
      </c>
      <c r="Y146" s="30"/>
      <c r="Z146" s="30">
        <v>20</v>
      </c>
      <c r="AA146" s="30">
        <f t="shared" ref="AA146:AA151" si="0">Y146+Z146</f>
        <v>20</v>
      </c>
      <c r="AB146" s="35" t="s">
        <v>1104</v>
      </c>
      <c r="AC146" s="202" t="s">
        <v>19</v>
      </c>
      <c r="AD146" s="35" t="s">
        <v>1880</v>
      </c>
      <c r="AE146" s="9"/>
    </row>
    <row r="147" spans="1:31" s="11" customFormat="1" ht="26.25" customHeight="1" x14ac:dyDescent="0.15">
      <c r="A147" s="8">
        <v>145</v>
      </c>
      <c r="B147" s="36" t="s">
        <v>5158</v>
      </c>
      <c r="C147" s="26" t="s">
        <v>19</v>
      </c>
      <c r="D147" s="26" t="s">
        <v>19</v>
      </c>
      <c r="E147" s="26" t="s">
        <v>19</v>
      </c>
      <c r="F147" s="29" t="s">
        <v>848</v>
      </c>
      <c r="G147" s="26" t="s">
        <v>5163</v>
      </c>
      <c r="H147" s="20" t="s">
        <v>2032</v>
      </c>
      <c r="I147" s="102" t="s">
        <v>819</v>
      </c>
      <c r="J147" s="37" t="s">
        <v>1129</v>
      </c>
      <c r="K147" s="22" t="s">
        <v>856</v>
      </c>
      <c r="L147" s="22" t="s">
        <v>1826</v>
      </c>
      <c r="M147" s="22" t="s">
        <v>1880</v>
      </c>
      <c r="N147" s="9" t="s">
        <v>102</v>
      </c>
      <c r="O147" s="54" t="s">
        <v>4114</v>
      </c>
      <c r="P147" s="22" t="s">
        <v>1880</v>
      </c>
      <c r="Q147" s="9" t="s">
        <v>446</v>
      </c>
      <c r="R147" s="9" t="s">
        <v>446</v>
      </c>
      <c r="S147" s="24" t="s">
        <v>5185</v>
      </c>
      <c r="T147" s="90" t="s">
        <v>5118</v>
      </c>
      <c r="U147" s="336" t="s">
        <v>2359</v>
      </c>
      <c r="V147" s="336">
        <v>2</v>
      </c>
      <c r="W147" s="24" t="s">
        <v>4586</v>
      </c>
      <c r="X147" s="24" t="s">
        <v>5162</v>
      </c>
      <c r="Y147" s="30"/>
      <c r="Z147" s="30">
        <v>20</v>
      </c>
      <c r="AA147" s="30">
        <f t="shared" si="0"/>
        <v>20</v>
      </c>
      <c r="AB147" s="35" t="s">
        <v>1104</v>
      </c>
      <c r="AC147" s="202" t="s">
        <v>19</v>
      </c>
      <c r="AD147" s="35" t="s">
        <v>1880</v>
      </c>
      <c r="AE147" s="9"/>
    </row>
    <row r="148" spans="1:31" s="11" customFormat="1" ht="26.25" customHeight="1" x14ac:dyDescent="0.15">
      <c r="A148" s="8">
        <v>146</v>
      </c>
      <c r="B148" s="36" t="s">
        <v>5159</v>
      </c>
      <c r="C148" s="26" t="s">
        <v>19</v>
      </c>
      <c r="D148" s="26" t="s">
        <v>19</v>
      </c>
      <c r="E148" s="26" t="s">
        <v>19</v>
      </c>
      <c r="F148" s="29" t="s">
        <v>268</v>
      </c>
      <c r="G148" s="26" t="s">
        <v>5164</v>
      </c>
      <c r="H148" s="20" t="s">
        <v>2032</v>
      </c>
      <c r="I148" s="20" t="s">
        <v>270</v>
      </c>
      <c r="J148" s="21" t="s">
        <v>610</v>
      </c>
      <c r="K148" s="21" t="s">
        <v>609</v>
      </c>
      <c r="L148" s="22" t="s">
        <v>1826</v>
      </c>
      <c r="M148" s="22" t="s">
        <v>1880</v>
      </c>
      <c r="N148" s="335" t="s">
        <v>102</v>
      </c>
      <c r="O148" s="54" t="s">
        <v>4114</v>
      </c>
      <c r="P148" s="22" t="s">
        <v>1880</v>
      </c>
      <c r="Q148" s="21" t="s">
        <v>226</v>
      </c>
      <c r="R148" s="21" t="s">
        <v>226</v>
      </c>
      <c r="S148" s="24" t="s">
        <v>5185</v>
      </c>
      <c r="T148" s="90" t="s">
        <v>5118</v>
      </c>
      <c r="U148" s="336" t="s">
        <v>2359</v>
      </c>
      <c r="V148" s="336">
        <v>2</v>
      </c>
      <c r="W148" s="24" t="s">
        <v>4586</v>
      </c>
      <c r="X148" s="24" t="s">
        <v>5162</v>
      </c>
      <c r="Y148" s="30"/>
      <c r="Z148" s="30">
        <v>14</v>
      </c>
      <c r="AA148" s="30">
        <f t="shared" si="0"/>
        <v>14</v>
      </c>
      <c r="AB148" s="35" t="s">
        <v>1104</v>
      </c>
      <c r="AC148" s="202" t="s">
        <v>19</v>
      </c>
      <c r="AD148" s="35" t="s">
        <v>1880</v>
      </c>
      <c r="AE148" s="9"/>
    </row>
    <row r="149" spans="1:31" s="11" customFormat="1" ht="26.25" customHeight="1" x14ac:dyDescent="0.15">
      <c r="A149" s="8">
        <v>147</v>
      </c>
      <c r="B149" s="36" t="s">
        <v>5160</v>
      </c>
      <c r="C149" s="26" t="s">
        <v>19</v>
      </c>
      <c r="D149" s="26" t="s">
        <v>19</v>
      </c>
      <c r="E149" s="26" t="s">
        <v>19</v>
      </c>
      <c r="F149" s="54" t="s">
        <v>3113</v>
      </c>
      <c r="G149" s="26" t="s">
        <v>5165</v>
      </c>
      <c r="H149" s="237" t="s">
        <v>2032</v>
      </c>
      <c r="I149" s="237" t="s">
        <v>2031</v>
      </c>
      <c r="J149" s="238" t="s">
        <v>2039</v>
      </c>
      <c r="K149" s="238" t="s">
        <v>2038</v>
      </c>
      <c r="L149" s="22" t="s">
        <v>1826</v>
      </c>
      <c r="M149" s="22" t="s">
        <v>1880</v>
      </c>
      <c r="N149" s="335" t="s">
        <v>102</v>
      </c>
      <c r="O149" s="54" t="s">
        <v>4114</v>
      </c>
      <c r="P149" s="22" t="s">
        <v>1880</v>
      </c>
      <c r="Q149" s="21" t="s">
        <v>226</v>
      </c>
      <c r="R149" s="21" t="s">
        <v>226</v>
      </c>
      <c r="S149" s="24" t="s">
        <v>5185</v>
      </c>
      <c r="T149" s="90" t="s">
        <v>5118</v>
      </c>
      <c r="U149" s="336" t="s">
        <v>2359</v>
      </c>
      <c r="V149" s="336">
        <v>2</v>
      </c>
      <c r="W149" s="24" t="s">
        <v>4586</v>
      </c>
      <c r="X149" s="24" t="s">
        <v>5162</v>
      </c>
      <c r="Y149" s="30"/>
      <c r="Z149" s="30">
        <v>14</v>
      </c>
      <c r="AA149" s="30">
        <f t="shared" si="0"/>
        <v>14</v>
      </c>
      <c r="AB149" s="35" t="s">
        <v>1104</v>
      </c>
      <c r="AC149" s="202" t="s">
        <v>19</v>
      </c>
      <c r="AD149" s="35" t="s">
        <v>1880</v>
      </c>
      <c r="AE149" s="238"/>
    </row>
    <row r="150" spans="1:31" s="11" customFormat="1" ht="26.25" customHeight="1" x14ac:dyDescent="0.15">
      <c r="A150" s="8">
        <v>148</v>
      </c>
      <c r="B150" s="36" t="s">
        <v>5167</v>
      </c>
      <c r="C150" s="26" t="s">
        <v>19</v>
      </c>
      <c r="D150" s="26" t="s">
        <v>19</v>
      </c>
      <c r="E150" s="26" t="s">
        <v>19</v>
      </c>
      <c r="F150" s="54" t="s">
        <v>2037</v>
      </c>
      <c r="G150" s="26" t="s">
        <v>5166</v>
      </c>
      <c r="H150" s="237" t="s">
        <v>2032</v>
      </c>
      <c r="I150" s="237" t="s">
        <v>2031</v>
      </c>
      <c r="J150" s="238" t="s">
        <v>2041</v>
      </c>
      <c r="K150" s="238" t="s">
        <v>2040</v>
      </c>
      <c r="L150" s="22" t="s">
        <v>1826</v>
      </c>
      <c r="M150" s="22" t="s">
        <v>1880</v>
      </c>
      <c r="N150" s="335" t="s">
        <v>102</v>
      </c>
      <c r="O150" s="54" t="s">
        <v>4114</v>
      </c>
      <c r="P150" s="22" t="s">
        <v>1880</v>
      </c>
      <c r="Q150" s="21" t="s">
        <v>226</v>
      </c>
      <c r="R150" s="21" t="s">
        <v>226</v>
      </c>
      <c r="S150" s="24" t="s">
        <v>5185</v>
      </c>
      <c r="T150" s="90" t="s">
        <v>5118</v>
      </c>
      <c r="U150" s="336" t="s">
        <v>2359</v>
      </c>
      <c r="V150" s="336">
        <v>2</v>
      </c>
      <c r="W150" s="24" t="s">
        <v>4586</v>
      </c>
      <c r="X150" s="24" t="s">
        <v>5162</v>
      </c>
      <c r="Y150" s="30"/>
      <c r="Z150" s="30">
        <v>14</v>
      </c>
      <c r="AA150" s="30">
        <f t="shared" si="0"/>
        <v>14</v>
      </c>
      <c r="AB150" s="35" t="s">
        <v>1104</v>
      </c>
      <c r="AC150" s="202" t="s">
        <v>19</v>
      </c>
      <c r="AD150" s="35" t="s">
        <v>1880</v>
      </c>
      <c r="AE150" s="238"/>
    </row>
    <row r="151" spans="1:31" s="11" customFormat="1" ht="26.25" customHeight="1" x14ac:dyDescent="0.15">
      <c r="A151" s="8">
        <v>149</v>
      </c>
      <c r="B151" s="8" t="s">
        <v>5168</v>
      </c>
      <c r="C151" s="26" t="s">
        <v>19</v>
      </c>
      <c r="D151" s="26" t="s">
        <v>19</v>
      </c>
      <c r="E151" s="26" t="s">
        <v>19</v>
      </c>
      <c r="F151" s="29" t="s">
        <v>3920</v>
      </c>
      <c r="G151" s="53" t="s">
        <v>5169</v>
      </c>
      <c r="H151" s="334" t="s">
        <v>2012</v>
      </c>
      <c r="I151" s="334" t="s">
        <v>1866</v>
      </c>
      <c r="J151" s="334" t="s">
        <v>3924</v>
      </c>
      <c r="K151" s="334" t="s">
        <v>5170</v>
      </c>
      <c r="L151" s="22" t="s">
        <v>1826</v>
      </c>
      <c r="M151" s="22" t="s">
        <v>1880</v>
      </c>
      <c r="N151" s="335" t="s">
        <v>102</v>
      </c>
      <c r="O151" s="54" t="s">
        <v>1819</v>
      </c>
      <c r="P151" s="22" t="s">
        <v>1880</v>
      </c>
      <c r="Q151" s="335" t="s">
        <v>3248</v>
      </c>
      <c r="R151" s="335" t="s">
        <v>3248</v>
      </c>
      <c r="S151" s="24" t="s">
        <v>5185</v>
      </c>
      <c r="T151" s="90" t="s">
        <v>5067</v>
      </c>
      <c r="U151" s="336" t="s">
        <v>2359</v>
      </c>
      <c r="V151" s="336">
        <v>1</v>
      </c>
      <c r="W151" s="24" t="s">
        <v>5171</v>
      </c>
      <c r="X151" s="24" t="s">
        <v>5172</v>
      </c>
      <c r="Y151" s="30"/>
      <c r="Z151" s="30">
        <v>10</v>
      </c>
      <c r="AA151" s="30">
        <f t="shared" si="0"/>
        <v>10</v>
      </c>
      <c r="AB151" s="35" t="s">
        <v>1104</v>
      </c>
      <c r="AC151" s="202" t="s">
        <v>19</v>
      </c>
      <c r="AD151" s="35" t="s">
        <v>1880</v>
      </c>
      <c r="AE151" s="335"/>
    </row>
    <row r="152" spans="1:31" s="11" customFormat="1" ht="26.25" customHeight="1" x14ac:dyDescent="0.15">
      <c r="A152" s="8">
        <v>150</v>
      </c>
      <c r="B152" s="8" t="s">
        <v>5616</v>
      </c>
      <c r="C152" s="336" t="s">
        <v>111</v>
      </c>
      <c r="D152" s="336" t="s">
        <v>111</v>
      </c>
      <c r="E152" s="336" t="s">
        <v>111</v>
      </c>
      <c r="F152" s="29" t="s">
        <v>5121</v>
      </c>
      <c r="G152" s="53" t="s">
        <v>5146</v>
      </c>
      <c r="H152" s="334" t="s">
        <v>1147</v>
      </c>
      <c r="I152" s="302" t="s">
        <v>5122</v>
      </c>
      <c r="J152" s="302" t="s">
        <v>5123</v>
      </c>
      <c r="K152" s="304" t="s">
        <v>5145</v>
      </c>
      <c r="L152" s="336" t="s">
        <v>1826</v>
      </c>
      <c r="M152" s="336" t="s">
        <v>111</v>
      </c>
      <c r="N152" s="336" t="s">
        <v>1150</v>
      </c>
      <c r="O152" s="151" t="s">
        <v>3917</v>
      </c>
      <c r="P152" s="22" t="s">
        <v>1880</v>
      </c>
      <c r="Q152" s="335" t="s">
        <v>1152</v>
      </c>
      <c r="R152" s="335" t="s">
        <v>1152</v>
      </c>
      <c r="S152" s="24" t="s">
        <v>5185</v>
      </c>
      <c r="T152" s="90" t="s">
        <v>5082</v>
      </c>
      <c r="U152" s="336" t="s">
        <v>2359</v>
      </c>
      <c r="V152" s="336">
        <v>1</v>
      </c>
      <c r="W152" s="24" t="s">
        <v>1880</v>
      </c>
      <c r="X152" s="24" t="s">
        <v>1880</v>
      </c>
      <c r="Y152" s="30">
        <v>0.8</v>
      </c>
      <c r="Z152" s="30"/>
      <c r="AA152" s="30">
        <v>0.8</v>
      </c>
      <c r="AB152" s="35" t="s">
        <v>1104</v>
      </c>
      <c r="AC152" s="202" t="s">
        <v>19</v>
      </c>
      <c r="AD152" s="35" t="s">
        <v>1880</v>
      </c>
      <c r="AE152" s="54" t="s">
        <v>5173</v>
      </c>
    </row>
    <row r="153" spans="1:31" s="11" customFormat="1" ht="26.25" customHeight="1" x14ac:dyDescent="0.15">
      <c r="A153" s="8">
        <v>151</v>
      </c>
      <c r="B153" s="8" t="s">
        <v>5180</v>
      </c>
      <c r="C153" s="341" t="s">
        <v>111</v>
      </c>
      <c r="D153" s="341" t="s">
        <v>111</v>
      </c>
      <c r="E153" s="341" t="s">
        <v>111</v>
      </c>
      <c r="F153" s="151" t="s">
        <v>4278</v>
      </c>
      <c r="G153" s="53" t="s">
        <v>5182</v>
      </c>
      <c r="H153" s="341" t="s">
        <v>2012</v>
      </c>
      <c r="I153" s="341" t="s">
        <v>2533</v>
      </c>
      <c r="J153" s="341" t="s">
        <v>4284</v>
      </c>
      <c r="K153" s="341" t="s">
        <v>4279</v>
      </c>
      <c r="L153" s="341" t="s">
        <v>1826</v>
      </c>
      <c r="M153" s="341" t="s">
        <v>111</v>
      </c>
      <c r="N153" s="341" t="s">
        <v>1818</v>
      </c>
      <c r="O153" s="151" t="s">
        <v>5183</v>
      </c>
      <c r="P153" s="22" t="s">
        <v>1880</v>
      </c>
      <c r="Q153" s="340" t="s">
        <v>3248</v>
      </c>
      <c r="R153" s="340" t="s">
        <v>3248</v>
      </c>
      <c r="S153" s="24" t="s">
        <v>5185</v>
      </c>
      <c r="T153" s="90" t="s">
        <v>5156</v>
      </c>
      <c r="U153" s="341" t="s">
        <v>2359</v>
      </c>
      <c r="V153" s="341">
        <v>1</v>
      </c>
      <c r="W153" s="24" t="s">
        <v>4888</v>
      </c>
      <c r="X153" s="24" t="s">
        <v>4446</v>
      </c>
      <c r="Y153" s="30">
        <v>1</v>
      </c>
      <c r="Z153" s="30">
        <v>8.9</v>
      </c>
      <c r="AA153" s="30">
        <v>9.9</v>
      </c>
      <c r="AB153" s="35" t="s">
        <v>1104</v>
      </c>
      <c r="AC153" s="202" t="s">
        <v>19</v>
      </c>
      <c r="AD153" s="35" t="s">
        <v>1880</v>
      </c>
      <c r="AE153" s="340"/>
    </row>
    <row r="154" spans="1:31" s="11" customFormat="1" ht="26.25" customHeight="1" x14ac:dyDescent="0.15">
      <c r="A154" s="8">
        <v>152</v>
      </c>
      <c r="B154" s="8" t="s">
        <v>5181</v>
      </c>
      <c r="C154" s="341" t="s">
        <v>111</v>
      </c>
      <c r="D154" s="341" t="s">
        <v>111</v>
      </c>
      <c r="E154" s="341" t="s">
        <v>111</v>
      </c>
      <c r="F154" s="151" t="s">
        <v>4285</v>
      </c>
      <c r="G154" s="53" t="s">
        <v>5184</v>
      </c>
      <c r="H154" s="341" t="s">
        <v>2012</v>
      </c>
      <c r="I154" s="341" t="s">
        <v>2533</v>
      </c>
      <c r="J154" s="341" t="s">
        <v>4287</v>
      </c>
      <c r="K154" s="341" t="s">
        <v>4286</v>
      </c>
      <c r="L154" s="341" t="s">
        <v>1826</v>
      </c>
      <c r="M154" s="341" t="s">
        <v>111</v>
      </c>
      <c r="N154" s="341" t="s">
        <v>1818</v>
      </c>
      <c r="O154" s="151" t="s">
        <v>5183</v>
      </c>
      <c r="P154" s="22" t="s">
        <v>1880</v>
      </c>
      <c r="Q154" s="340" t="s">
        <v>3248</v>
      </c>
      <c r="R154" s="340" t="s">
        <v>3248</v>
      </c>
      <c r="S154" s="24" t="s">
        <v>5185</v>
      </c>
      <c r="T154" s="90" t="s">
        <v>5156</v>
      </c>
      <c r="U154" s="341" t="s">
        <v>2359</v>
      </c>
      <c r="V154" s="341">
        <v>1</v>
      </c>
      <c r="W154" s="24" t="s">
        <v>4385</v>
      </c>
      <c r="X154" s="24" t="s">
        <v>4120</v>
      </c>
      <c r="Y154" s="30">
        <v>1</v>
      </c>
      <c r="Z154" s="30">
        <v>8.9</v>
      </c>
      <c r="AA154" s="30">
        <v>9.9</v>
      </c>
      <c r="AB154" s="35" t="s">
        <v>1104</v>
      </c>
      <c r="AC154" s="202" t="s">
        <v>19</v>
      </c>
      <c r="AD154" s="35" t="s">
        <v>1880</v>
      </c>
      <c r="AE154" s="340"/>
    </row>
    <row r="155" spans="1:31" s="364" customFormat="1" ht="26.25" customHeight="1" x14ac:dyDescent="0.15">
      <c r="A155" s="8">
        <v>153</v>
      </c>
      <c r="B155" s="218" t="s">
        <v>5261</v>
      </c>
      <c r="C155" s="82" t="s">
        <v>111</v>
      </c>
      <c r="D155" s="82" t="s">
        <v>5191</v>
      </c>
      <c r="E155" s="82" t="s">
        <v>111</v>
      </c>
      <c r="F155" s="67" t="s">
        <v>3305</v>
      </c>
      <c r="G155" s="99" t="s">
        <v>3937</v>
      </c>
      <c r="H155" s="82" t="s">
        <v>1147</v>
      </c>
      <c r="I155" s="82" t="s">
        <v>3215</v>
      </c>
      <c r="J155" s="82" t="s">
        <v>3307</v>
      </c>
      <c r="K155" s="84" t="s">
        <v>1138</v>
      </c>
      <c r="L155" s="82" t="s">
        <v>1826</v>
      </c>
      <c r="M155" s="82" t="s">
        <v>111</v>
      </c>
      <c r="N155" s="82" t="s">
        <v>1818</v>
      </c>
      <c r="O155" s="205" t="s">
        <v>3917</v>
      </c>
      <c r="P155" s="84" t="s">
        <v>1880</v>
      </c>
      <c r="Q155" s="71" t="s">
        <v>5029</v>
      </c>
      <c r="R155" s="71" t="s">
        <v>5029</v>
      </c>
      <c r="S155" s="366" t="s">
        <v>5302</v>
      </c>
      <c r="T155" s="271" t="s">
        <v>5291</v>
      </c>
      <c r="U155" s="82" t="s">
        <v>5291</v>
      </c>
      <c r="V155" s="82" t="s">
        <v>5291</v>
      </c>
      <c r="W155" s="211" t="s">
        <v>1880</v>
      </c>
      <c r="X155" s="211" t="s">
        <v>1880</v>
      </c>
      <c r="Y155" s="96">
        <v>0.79</v>
      </c>
      <c r="Z155" s="96"/>
      <c r="AA155" s="96">
        <v>0.79</v>
      </c>
      <c r="AB155" s="133" t="s">
        <v>1104</v>
      </c>
      <c r="AC155" s="133" t="s">
        <v>19</v>
      </c>
      <c r="AD155" s="133" t="s">
        <v>1880</v>
      </c>
      <c r="AE155" s="365"/>
    </row>
    <row r="156" spans="1:31" s="11" customFormat="1" ht="26.25" customHeight="1" x14ac:dyDescent="0.15">
      <c r="A156" s="8">
        <v>154</v>
      </c>
      <c r="B156" s="218" t="s">
        <v>5187</v>
      </c>
      <c r="C156" s="344" t="s">
        <v>111</v>
      </c>
      <c r="D156" s="344" t="s">
        <v>111</v>
      </c>
      <c r="E156" s="344" t="s">
        <v>111</v>
      </c>
      <c r="F156" s="29" t="s">
        <v>1135</v>
      </c>
      <c r="G156" s="98" t="s">
        <v>5195</v>
      </c>
      <c r="H156" s="344" t="s">
        <v>2135</v>
      </c>
      <c r="I156" s="344" t="s">
        <v>1136</v>
      </c>
      <c r="J156" s="344" t="s">
        <v>5188</v>
      </c>
      <c r="K156" s="22" t="s">
        <v>1138</v>
      </c>
      <c r="L156" s="344" t="s">
        <v>1826</v>
      </c>
      <c r="M156" s="344" t="s">
        <v>111</v>
      </c>
      <c r="N156" s="344" t="s">
        <v>1818</v>
      </c>
      <c r="O156" s="151" t="s">
        <v>1819</v>
      </c>
      <c r="P156" s="22" t="s">
        <v>1880</v>
      </c>
      <c r="Q156" s="343" t="s">
        <v>1831</v>
      </c>
      <c r="R156" s="343" t="s">
        <v>1831</v>
      </c>
      <c r="S156" s="24" t="s">
        <v>5185</v>
      </c>
      <c r="T156" s="24" t="s">
        <v>4993</v>
      </c>
      <c r="U156" s="348" t="s">
        <v>2359</v>
      </c>
      <c r="V156" s="348">
        <v>1</v>
      </c>
      <c r="W156" s="211" t="s">
        <v>5289</v>
      </c>
      <c r="X156" s="211"/>
      <c r="Y156" s="30"/>
      <c r="Z156" s="30">
        <v>10</v>
      </c>
      <c r="AA156" s="30">
        <v>10</v>
      </c>
      <c r="AB156" s="35" t="s">
        <v>1104</v>
      </c>
      <c r="AC156" s="202" t="s">
        <v>19</v>
      </c>
      <c r="AD156" s="35" t="s">
        <v>1880</v>
      </c>
      <c r="AE156" s="343"/>
    </row>
    <row r="157" spans="1:31" s="11" customFormat="1" ht="26.25" customHeight="1" x14ac:dyDescent="0.15">
      <c r="A157" s="8">
        <v>155</v>
      </c>
      <c r="B157" s="218" t="s">
        <v>5222</v>
      </c>
      <c r="C157" s="351" t="s">
        <v>5218</v>
      </c>
      <c r="D157" s="353" t="s">
        <v>111</v>
      </c>
      <c r="E157" s="353" t="s">
        <v>111</v>
      </c>
      <c r="F157" s="29" t="s">
        <v>5219</v>
      </c>
      <c r="G157" s="53" t="s">
        <v>5220</v>
      </c>
      <c r="H157" s="353" t="s">
        <v>2012</v>
      </c>
      <c r="I157" s="353" t="s">
        <v>2067</v>
      </c>
      <c r="J157" s="353" t="s">
        <v>5221</v>
      </c>
      <c r="K157" s="22" t="s">
        <v>1138</v>
      </c>
      <c r="L157" s="353" t="s">
        <v>1826</v>
      </c>
      <c r="M157" s="353" t="s">
        <v>111</v>
      </c>
      <c r="N157" s="353" t="s">
        <v>1818</v>
      </c>
      <c r="O157" s="76" t="s">
        <v>5292</v>
      </c>
      <c r="P157" s="22" t="s">
        <v>1880</v>
      </c>
      <c r="Q157" s="350" t="s">
        <v>1811</v>
      </c>
      <c r="R157" s="350" t="s">
        <v>3248</v>
      </c>
      <c r="S157" s="24" t="s">
        <v>5223</v>
      </c>
      <c r="T157" s="90" t="s">
        <v>5224</v>
      </c>
      <c r="U157" s="353" t="s">
        <v>2359</v>
      </c>
      <c r="V157" s="353">
        <v>1</v>
      </c>
      <c r="W157" s="211" t="s">
        <v>5295</v>
      </c>
      <c r="X157" s="211" t="s">
        <v>1880</v>
      </c>
      <c r="Y157" s="30">
        <v>12.4</v>
      </c>
      <c r="Z157" s="30"/>
      <c r="AA157" s="30">
        <v>12.4</v>
      </c>
      <c r="AB157" s="35" t="s">
        <v>1104</v>
      </c>
      <c r="AC157" s="133" t="s">
        <v>5254</v>
      </c>
      <c r="AD157" s="35" t="s">
        <v>1880</v>
      </c>
      <c r="AE157" s="350"/>
    </row>
    <row r="158" spans="1:31" s="11" customFormat="1" ht="26.25" customHeight="1" x14ac:dyDescent="0.15">
      <c r="A158" s="8">
        <v>156</v>
      </c>
      <c r="B158" s="218" t="s">
        <v>5196</v>
      </c>
      <c r="C158" s="353" t="s">
        <v>111</v>
      </c>
      <c r="D158" s="353" t="s">
        <v>111</v>
      </c>
      <c r="E158" s="353" t="s">
        <v>111</v>
      </c>
      <c r="F158" s="29" t="s">
        <v>3886</v>
      </c>
      <c r="G158" s="53" t="s">
        <v>5225</v>
      </c>
      <c r="H158" s="353" t="s">
        <v>2012</v>
      </c>
      <c r="I158" s="353" t="s">
        <v>2054</v>
      </c>
      <c r="J158" s="353" t="s">
        <v>3890</v>
      </c>
      <c r="K158" s="22" t="s">
        <v>5226</v>
      </c>
      <c r="L158" s="353" t="s">
        <v>1826</v>
      </c>
      <c r="M158" s="353" t="s">
        <v>111</v>
      </c>
      <c r="N158" s="353" t="s">
        <v>1818</v>
      </c>
      <c r="O158" s="151" t="s">
        <v>1819</v>
      </c>
      <c r="P158" s="22" t="s">
        <v>1880</v>
      </c>
      <c r="Q158" s="221" t="s">
        <v>3248</v>
      </c>
      <c r="R158" s="350" t="s">
        <v>3248</v>
      </c>
      <c r="S158" s="24" t="s">
        <v>5223</v>
      </c>
      <c r="T158" s="90" t="s">
        <v>5227</v>
      </c>
      <c r="U158" s="353" t="s">
        <v>2359</v>
      </c>
      <c r="V158" s="353">
        <v>1</v>
      </c>
      <c r="W158" s="24" t="s">
        <v>4385</v>
      </c>
      <c r="X158" s="24" t="s">
        <v>4120</v>
      </c>
      <c r="Y158" s="30"/>
      <c r="Z158" s="30">
        <v>11</v>
      </c>
      <c r="AA158" s="30">
        <v>11</v>
      </c>
      <c r="AB158" s="35" t="s">
        <v>1104</v>
      </c>
      <c r="AC158" s="202" t="s">
        <v>19</v>
      </c>
      <c r="AD158" s="35" t="s">
        <v>1880</v>
      </c>
      <c r="AE158" s="350"/>
    </row>
    <row r="159" spans="1:31" s="11" customFormat="1" ht="26.25" customHeight="1" x14ac:dyDescent="0.15">
      <c r="A159" s="8">
        <v>157</v>
      </c>
      <c r="B159" s="218" t="s">
        <v>5197</v>
      </c>
      <c r="C159" s="353" t="s">
        <v>111</v>
      </c>
      <c r="D159" s="353" t="s">
        <v>111</v>
      </c>
      <c r="E159" s="218" t="s">
        <v>5703</v>
      </c>
      <c r="F159" s="29" t="s">
        <v>5228</v>
      </c>
      <c r="G159" s="53" t="s">
        <v>5229</v>
      </c>
      <c r="H159" s="349" t="s">
        <v>2420</v>
      </c>
      <c r="I159" s="349" t="s">
        <v>2533</v>
      </c>
      <c r="J159" s="349" t="s">
        <v>4610</v>
      </c>
      <c r="K159" s="22" t="s">
        <v>1138</v>
      </c>
      <c r="L159" s="351" t="s">
        <v>1826</v>
      </c>
      <c r="M159" s="353" t="s">
        <v>111</v>
      </c>
      <c r="N159" s="353" t="s">
        <v>3990</v>
      </c>
      <c r="O159" s="205" t="s">
        <v>5100</v>
      </c>
      <c r="P159" s="22" t="s">
        <v>1880</v>
      </c>
      <c r="Q159" s="350" t="s">
        <v>2348</v>
      </c>
      <c r="R159" s="350" t="s">
        <v>2348</v>
      </c>
      <c r="S159" s="24" t="s">
        <v>5223</v>
      </c>
      <c r="T159" s="90" t="s">
        <v>5230</v>
      </c>
      <c r="U159" s="353" t="s">
        <v>2359</v>
      </c>
      <c r="V159" s="353">
        <v>2</v>
      </c>
      <c r="W159" s="24" t="s">
        <v>1880</v>
      </c>
      <c r="X159" s="24" t="s">
        <v>1880</v>
      </c>
      <c r="Y159" s="30">
        <v>18.5</v>
      </c>
      <c r="Z159" s="30"/>
      <c r="AA159" s="30">
        <v>18.5</v>
      </c>
      <c r="AB159" s="35" t="s">
        <v>1104</v>
      </c>
      <c r="AC159" s="202" t="s">
        <v>19</v>
      </c>
      <c r="AD159" s="35" t="s">
        <v>1880</v>
      </c>
      <c r="AE159" s="350"/>
    </row>
    <row r="160" spans="1:31" s="11" customFormat="1" ht="26.25" customHeight="1" x14ac:dyDescent="0.15">
      <c r="A160" s="8">
        <v>158</v>
      </c>
      <c r="B160" s="218" t="s">
        <v>5198</v>
      </c>
      <c r="C160" s="218" t="s">
        <v>5231</v>
      </c>
      <c r="D160" s="353" t="s">
        <v>111</v>
      </c>
      <c r="E160" s="353" t="s">
        <v>111</v>
      </c>
      <c r="F160" s="29" t="s">
        <v>5232</v>
      </c>
      <c r="G160" s="53" t="s">
        <v>5233</v>
      </c>
      <c r="H160" s="352" t="s">
        <v>3649</v>
      </c>
      <c r="I160" s="352" t="s">
        <v>4701</v>
      </c>
      <c r="J160" s="361" t="s">
        <v>5300</v>
      </c>
      <c r="K160" s="361" t="s">
        <v>5298</v>
      </c>
      <c r="L160" s="353" t="s">
        <v>1826</v>
      </c>
      <c r="M160" s="353" t="s">
        <v>111</v>
      </c>
      <c r="N160" s="353" t="s">
        <v>1818</v>
      </c>
      <c r="O160" s="54" t="s">
        <v>5234</v>
      </c>
      <c r="P160" s="22" t="s">
        <v>1880</v>
      </c>
      <c r="Q160" s="350" t="s">
        <v>1831</v>
      </c>
      <c r="R160" s="350" t="s">
        <v>1831</v>
      </c>
      <c r="S160" s="24" t="s">
        <v>5223</v>
      </c>
      <c r="T160" s="90" t="s">
        <v>5235</v>
      </c>
      <c r="U160" s="351" t="s">
        <v>2359</v>
      </c>
      <c r="V160" s="351">
        <v>1</v>
      </c>
      <c r="W160" s="211" t="s">
        <v>2512</v>
      </c>
      <c r="X160" s="211" t="s">
        <v>1880</v>
      </c>
      <c r="Y160" s="30"/>
      <c r="Z160" s="30">
        <v>10</v>
      </c>
      <c r="AA160" s="30">
        <v>10</v>
      </c>
      <c r="AB160" s="35" t="s">
        <v>1104</v>
      </c>
      <c r="AC160" s="133" t="s">
        <v>5253</v>
      </c>
      <c r="AD160" s="35" t="s">
        <v>1880</v>
      </c>
      <c r="AE160" s="350"/>
    </row>
    <row r="161" spans="1:31" s="11" customFormat="1" ht="26.25" customHeight="1" x14ac:dyDescent="0.15">
      <c r="A161" s="8">
        <v>159</v>
      </c>
      <c r="B161" s="218" t="s">
        <v>5199</v>
      </c>
      <c r="C161" s="353" t="s">
        <v>111</v>
      </c>
      <c r="D161" s="82" t="s">
        <v>5269</v>
      </c>
      <c r="E161" s="353" t="s">
        <v>111</v>
      </c>
      <c r="F161" s="151" t="s">
        <v>3288</v>
      </c>
      <c r="G161" s="53" t="s">
        <v>5237</v>
      </c>
      <c r="H161" s="353" t="s">
        <v>1147</v>
      </c>
      <c r="I161" s="353" t="s">
        <v>3215</v>
      </c>
      <c r="J161" s="21" t="s">
        <v>3290</v>
      </c>
      <c r="K161" s="353" t="s">
        <v>1138</v>
      </c>
      <c r="L161" s="353" t="s">
        <v>1826</v>
      </c>
      <c r="M161" s="353" t="s">
        <v>111</v>
      </c>
      <c r="N161" s="351" t="s">
        <v>25</v>
      </c>
      <c r="O161" s="76" t="s">
        <v>5297</v>
      </c>
      <c r="P161" s="22" t="s">
        <v>1880</v>
      </c>
      <c r="Q161" s="352" t="s">
        <v>1811</v>
      </c>
      <c r="R161" s="352" t="s">
        <v>5029</v>
      </c>
      <c r="S161" s="24" t="s">
        <v>5223</v>
      </c>
      <c r="T161" s="90" t="s">
        <v>5236</v>
      </c>
      <c r="U161" s="353" t="s">
        <v>2359</v>
      </c>
      <c r="V161" s="353">
        <v>1</v>
      </c>
      <c r="W161" s="24" t="s">
        <v>1880</v>
      </c>
      <c r="X161" s="24" t="s">
        <v>1880</v>
      </c>
      <c r="Y161" s="30">
        <v>3</v>
      </c>
      <c r="Z161" s="30"/>
      <c r="AA161" s="30">
        <v>3</v>
      </c>
      <c r="AB161" s="35" t="s">
        <v>1104</v>
      </c>
      <c r="AC161" s="202" t="s">
        <v>19</v>
      </c>
      <c r="AD161" s="35" t="s">
        <v>1880</v>
      </c>
      <c r="AE161" s="54"/>
    </row>
    <row r="162" spans="1:31" s="11" customFormat="1" ht="26.25" customHeight="1" x14ac:dyDescent="0.15">
      <c r="A162" s="8">
        <v>160</v>
      </c>
      <c r="B162" s="218" t="s">
        <v>5200</v>
      </c>
      <c r="C162" s="353" t="s">
        <v>111</v>
      </c>
      <c r="D162" s="82" t="s">
        <v>5270</v>
      </c>
      <c r="E162" s="353" t="s">
        <v>111</v>
      </c>
      <c r="F162" s="151" t="s">
        <v>3294</v>
      </c>
      <c r="G162" s="53" t="s">
        <v>5238</v>
      </c>
      <c r="H162" s="353" t="s">
        <v>1147</v>
      </c>
      <c r="I162" s="353" t="s">
        <v>3215</v>
      </c>
      <c r="J162" s="84" t="s">
        <v>3341</v>
      </c>
      <c r="K162" s="353" t="s">
        <v>1138</v>
      </c>
      <c r="L162" s="353" t="s">
        <v>1826</v>
      </c>
      <c r="M162" s="353" t="s">
        <v>111</v>
      </c>
      <c r="N162" s="353" t="s">
        <v>25</v>
      </c>
      <c r="O162" s="76" t="s">
        <v>5297</v>
      </c>
      <c r="P162" s="22" t="s">
        <v>1880</v>
      </c>
      <c r="Q162" s="352" t="s">
        <v>1811</v>
      </c>
      <c r="R162" s="352" t="s">
        <v>5029</v>
      </c>
      <c r="S162" s="24" t="s">
        <v>5223</v>
      </c>
      <c r="T162" s="90" t="s">
        <v>5236</v>
      </c>
      <c r="U162" s="353" t="s">
        <v>2359</v>
      </c>
      <c r="V162" s="353">
        <v>1</v>
      </c>
      <c r="W162" s="24" t="s">
        <v>1880</v>
      </c>
      <c r="X162" s="24" t="s">
        <v>1880</v>
      </c>
      <c r="Y162" s="30">
        <v>3</v>
      </c>
      <c r="Z162" s="30"/>
      <c r="AA162" s="30">
        <v>3</v>
      </c>
      <c r="AB162" s="35" t="s">
        <v>1104</v>
      </c>
      <c r="AC162" s="202" t="s">
        <v>19</v>
      </c>
      <c r="AD162" s="35" t="s">
        <v>1880</v>
      </c>
      <c r="AE162" s="54"/>
    </row>
    <row r="163" spans="1:31" s="11" customFormat="1" ht="26.25" customHeight="1" x14ac:dyDescent="0.15">
      <c r="A163" s="8">
        <v>161</v>
      </c>
      <c r="B163" s="218" t="s">
        <v>5201</v>
      </c>
      <c r="C163" s="353" t="s">
        <v>111</v>
      </c>
      <c r="D163" s="82" t="s">
        <v>5271</v>
      </c>
      <c r="E163" s="353" t="s">
        <v>111</v>
      </c>
      <c r="F163" s="54" t="s">
        <v>3294</v>
      </c>
      <c r="G163" s="53" t="s">
        <v>5238</v>
      </c>
      <c r="H163" s="353" t="s">
        <v>1147</v>
      </c>
      <c r="I163" s="353" t="s">
        <v>3215</v>
      </c>
      <c r="J163" s="84" t="s">
        <v>3339</v>
      </c>
      <c r="K163" s="353" t="s">
        <v>1138</v>
      </c>
      <c r="L163" s="353" t="s">
        <v>1826</v>
      </c>
      <c r="M163" s="353" t="s">
        <v>111</v>
      </c>
      <c r="N163" s="353" t="s">
        <v>25</v>
      </c>
      <c r="O163" s="76" t="s">
        <v>5297</v>
      </c>
      <c r="P163" s="22" t="s">
        <v>1880</v>
      </c>
      <c r="Q163" s="352" t="s">
        <v>1811</v>
      </c>
      <c r="R163" s="352" t="s">
        <v>5029</v>
      </c>
      <c r="S163" s="24" t="s">
        <v>5223</v>
      </c>
      <c r="T163" s="90" t="s">
        <v>5236</v>
      </c>
      <c r="U163" s="353" t="s">
        <v>2359</v>
      </c>
      <c r="V163" s="353">
        <v>1</v>
      </c>
      <c r="W163" s="24" t="s">
        <v>1880</v>
      </c>
      <c r="X163" s="24" t="s">
        <v>1880</v>
      </c>
      <c r="Y163" s="30">
        <v>3</v>
      </c>
      <c r="Z163" s="30"/>
      <c r="AA163" s="30">
        <v>3</v>
      </c>
      <c r="AB163" s="35" t="s">
        <v>1104</v>
      </c>
      <c r="AC163" s="202" t="s">
        <v>19</v>
      </c>
      <c r="AD163" s="35" t="s">
        <v>1880</v>
      </c>
      <c r="AE163" s="54"/>
    </row>
    <row r="164" spans="1:31" s="11" customFormat="1" ht="26.25" customHeight="1" x14ac:dyDescent="0.15">
      <c r="A164" s="8">
        <v>162</v>
      </c>
      <c r="B164" s="218" t="s">
        <v>5202</v>
      </c>
      <c r="C164" s="353" t="s">
        <v>111</v>
      </c>
      <c r="D164" s="82" t="s">
        <v>5272</v>
      </c>
      <c r="E164" s="353" t="s">
        <v>111</v>
      </c>
      <c r="F164" s="54" t="s">
        <v>3294</v>
      </c>
      <c r="G164" s="53" t="s">
        <v>5238</v>
      </c>
      <c r="H164" s="353" t="s">
        <v>1147</v>
      </c>
      <c r="I164" s="353" t="s">
        <v>3215</v>
      </c>
      <c r="J164" s="84" t="s">
        <v>3340</v>
      </c>
      <c r="K164" s="353" t="s">
        <v>1138</v>
      </c>
      <c r="L164" s="353" t="s">
        <v>1826</v>
      </c>
      <c r="M164" s="353" t="s">
        <v>111</v>
      </c>
      <c r="N164" s="353" t="s">
        <v>25</v>
      </c>
      <c r="O164" s="76" t="s">
        <v>5297</v>
      </c>
      <c r="P164" s="22" t="s">
        <v>1880</v>
      </c>
      <c r="Q164" s="352" t="s">
        <v>1811</v>
      </c>
      <c r="R164" s="352" t="s">
        <v>5029</v>
      </c>
      <c r="S164" s="24" t="s">
        <v>5223</v>
      </c>
      <c r="T164" s="90" t="s">
        <v>5236</v>
      </c>
      <c r="U164" s="353" t="s">
        <v>2359</v>
      </c>
      <c r="V164" s="353">
        <v>1</v>
      </c>
      <c r="W164" s="24" t="s">
        <v>1880</v>
      </c>
      <c r="X164" s="24" t="s">
        <v>1880</v>
      </c>
      <c r="Y164" s="30">
        <v>3</v>
      </c>
      <c r="Z164" s="30"/>
      <c r="AA164" s="30">
        <v>3</v>
      </c>
      <c r="AB164" s="35" t="s">
        <v>1104</v>
      </c>
      <c r="AC164" s="202" t="s">
        <v>19</v>
      </c>
      <c r="AD164" s="35" t="s">
        <v>1880</v>
      </c>
      <c r="AE164" s="54"/>
    </row>
    <row r="165" spans="1:31" s="11" customFormat="1" ht="26.25" customHeight="1" x14ac:dyDescent="0.15">
      <c r="A165" s="8">
        <v>163</v>
      </c>
      <c r="B165" s="218" t="s">
        <v>5203</v>
      </c>
      <c r="C165" s="353" t="s">
        <v>111</v>
      </c>
      <c r="D165" s="82" t="s">
        <v>5273</v>
      </c>
      <c r="E165" s="353" t="s">
        <v>111</v>
      </c>
      <c r="F165" s="54" t="s">
        <v>3294</v>
      </c>
      <c r="G165" s="53" t="s">
        <v>5238</v>
      </c>
      <c r="H165" s="353" t="s">
        <v>1147</v>
      </c>
      <c r="I165" s="353" t="s">
        <v>3215</v>
      </c>
      <c r="J165" s="84" t="s">
        <v>3297</v>
      </c>
      <c r="K165" s="353" t="s">
        <v>3332</v>
      </c>
      <c r="L165" s="353" t="s">
        <v>1826</v>
      </c>
      <c r="M165" s="353" t="s">
        <v>111</v>
      </c>
      <c r="N165" s="353" t="s">
        <v>25</v>
      </c>
      <c r="O165" s="76" t="s">
        <v>5297</v>
      </c>
      <c r="P165" s="22" t="s">
        <v>1880</v>
      </c>
      <c r="Q165" s="352" t="s">
        <v>1811</v>
      </c>
      <c r="R165" s="352" t="s">
        <v>5029</v>
      </c>
      <c r="S165" s="24" t="s">
        <v>5223</v>
      </c>
      <c r="T165" s="90" t="s">
        <v>5236</v>
      </c>
      <c r="U165" s="353" t="s">
        <v>2359</v>
      </c>
      <c r="V165" s="353">
        <v>1</v>
      </c>
      <c r="W165" s="24" t="s">
        <v>1880</v>
      </c>
      <c r="X165" s="24" t="s">
        <v>1880</v>
      </c>
      <c r="Y165" s="30">
        <v>3</v>
      </c>
      <c r="Z165" s="30"/>
      <c r="AA165" s="30">
        <v>3</v>
      </c>
      <c r="AB165" s="35" t="s">
        <v>1104</v>
      </c>
      <c r="AC165" s="202" t="s">
        <v>19</v>
      </c>
      <c r="AD165" s="35" t="s">
        <v>1880</v>
      </c>
      <c r="AE165" s="54"/>
    </row>
    <row r="166" spans="1:31" s="11" customFormat="1" ht="26.25" customHeight="1" x14ac:dyDescent="0.15">
      <c r="A166" s="8">
        <v>164</v>
      </c>
      <c r="B166" s="218" t="s">
        <v>5204</v>
      </c>
      <c r="C166" s="353" t="s">
        <v>111</v>
      </c>
      <c r="D166" s="82" t="s">
        <v>5274</v>
      </c>
      <c r="E166" s="353" t="s">
        <v>111</v>
      </c>
      <c r="F166" s="54" t="s">
        <v>3300</v>
      </c>
      <c r="G166" s="53" t="s">
        <v>5239</v>
      </c>
      <c r="H166" s="353" t="s">
        <v>1147</v>
      </c>
      <c r="I166" s="353" t="s">
        <v>3215</v>
      </c>
      <c r="J166" s="21" t="s">
        <v>3302</v>
      </c>
      <c r="K166" s="353" t="s">
        <v>3333</v>
      </c>
      <c r="L166" s="353" t="s">
        <v>1826</v>
      </c>
      <c r="M166" s="353" t="s">
        <v>111</v>
      </c>
      <c r="N166" s="353" t="s">
        <v>25</v>
      </c>
      <c r="O166" s="76" t="s">
        <v>5297</v>
      </c>
      <c r="P166" s="22" t="s">
        <v>1880</v>
      </c>
      <c r="Q166" s="352" t="s">
        <v>1811</v>
      </c>
      <c r="R166" s="352" t="s">
        <v>5029</v>
      </c>
      <c r="S166" s="24" t="s">
        <v>5223</v>
      </c>
      <c r="T166" s="90" t="s">
        <v>5236</v>
      </c>
      <c r="U166" s="353" t="s">
        <v>2359</v>
      </c>
      <c r="V166" s="353">
        <v>1</v>
      </c>
      <c r="W166" s="24" t="s">
        <v>1880</v>
      </c>
      <c r="X166" s="24" t="s">
        <v>1880</v>
      </c>
      <c r="Y166" s="30">
        <v>3</v>
      </c>
      <c r="Z166" s="30"/>
      <c r="AA166" s="30">
        <v>3</v>
      </c>
      <c r="AB166" s="35" t="s">
        <v>1104</v>
      </c>
      <c r="AC166" s="202" t="s">
        <v>19</v>
      </c>
      <c r="AD166" s="35" t="s">
        <v>1880</v>
      </c>
      <c r="AE166" s="54"/>
    </row>
    <row r="167" spans="1:31" s="11" customFormat="1" ht="26.25" customHeight="1" x14ac:dyDescent="0.15">
      <c r="A167" s="8">
        <v>165</v>
      </c>
      <c r="B167" s="218" t="s">
        <v>5205</v>
      </c>
      <c r="C167" s="353" t="s">
        <v>111</v>
      </c>
      <c r="D167" s="82" t="s">
        <v>5275</v>
      </c>
      <c r="E167" s="353" t="s">
        <v>111</v>
      </c>
      <c r="F167" s="54" t="s">
        <v>3303</v>
      </c>
      <c r="G167" s="53" t="s">
        <v>5240</v>
      </c>
      <c r="H167" s="353" t="s">
        <v>1147</v>
      </c>
      <c r="I167" s="353" t="s">
        <v>3215</v>
      </c>
      <c r="J167" s="21" t="s">
        <v>3216</v>
      </c>
      <c r="K167" s="353" t="s">
        <v>1138</v>
      </c>
      <c r="L167" s="353" t="s">
        <v>1826</v>
      </c>
      <c r="M167" s="353" t="s">
        <v>111</v>
      </c>
      <c r="N167" s="353" t="s">
        <v>25</v>
      </c>
      <c r="O167" s="76" t="s">
        <v>5297</v>
      </c>
      <c r="P167" s="22" t="s">
        <v>1880</v>
      </c>
      <c r="Q167" s="352" t="s">
        <v>1811</v>
      </c>
      <c r="R167" s="352" t="s">
        <v>5029</v>
      </c>
      <c r="S167" s="24" t="s">
        <v>5223</v>
      </c>
      <c r="T167" s="90" t="s">
        <v>5236</v>
      </c>
      <c r="U167" s="353" t="s">
        <v>2359</v>
      </c>
      <c r="V167" s="353">
        <v>1</v>
      </c>
      <c r="W167" s="24" t="s">
        <v>1880</v>
      </c>
      <c r="X167" s="24" t="s">
        <v>1880</v>
      </c>
      <c r="Y167" s="30">
        <v>3</v>
      </c>
      <c r="Z167" s="30"/>
      <c r="AA167" s="30">
        <v>3</v>
      </c>
      <c r="AB167" s="35" t="s">
        <v>1104</v>
      </c>
      <c r="AC167" s="202" t="s">
        <v>19</v>
      </c>
      <c r="AD167" s="35" t="s">
        <v>1880</v>
      </c>
      <c r="AE167" s="54"/>
    </row>
    <row r="168" spans="1:31" s="11" customFormat="1" ht="26.25" customHeight="1" x14ac:dyDescent="0.15">
      <c r="A168" s="8">
        <v>166</v>
      </c>
      <c r="B168" s="218" t="s">
        <v>5206</v>
      </c>
      <c r="C168" s="353" t="s">
        <v>111</v>
      </c>
      <c r="D168" s="82" t="s">
        <v>5276</v>
      </c>
      <c r="E168" s="353" t="s">
        <v>111</v>
      </c>
      <c r="F168" s="54" t="s">
        <v>3305</v>
      </c>
      <c r="G168" s="53" t="s">
        <v>5241</v>
      </c>
      <c r="H168" s="353" t="s">
        <v>1147</v>
      </c>
      <c r="I168" s="353" t="s">
        <v>3215</v>
      </c>
      <c r="J168" s="21" t="s">
        <v>3307</v>
      </c>
      <c r="K168" s="353" t="s">
        <v>1138</v>
      </c>
      <c r="L168" s="353" t="s">
        <v>1826</v>
      </c>
      <c r="M168" s="353" t="s">
        <v>111</v>
      </c>
      <c r="N168" s="353" t="s">
        <v>25</v>
      </c>
      <c r="O168" s="76" t="s">
        <v>5297</v>
      </c>
      <c r="P168" s="22" t="s">
        <v>1880</v>
      </c>
      <c r="Q168" s="352" t="s">
        <v>1811</v>
      </c>
      <c r="R168" s="352" t="s">
        <v>5029</v>
      </c>
      <c r="S168" s="24" t="s">
        <v>5223</v>
      </c>
      <c r="T168" s="90" t="s">
        <v>5236</v>
      </c>
      <c r="U168" s="353" t="s">
        <v>2359</v>
      </c>
      <c r="V168" s="353">
        <v>1</v>
      </c>
      <c r="W168" s="24" t="s">
        <v>1880</v>
      </c>
      <c r="X168" s="24" t="s">
        <v>1880</v>
      </c>
      <c r="Y168" s="30">
        <v>3</v>
      </c>
      <c r="Z168" s="30"/>
      <c r="AA168" s="30">
        <v>3</v>
      </c>
      <c r="AB168" s="35" t="s">
        <v>1104</v>
      </c>
      <c r="AC168" s="202" t="s">
        <v>19</v>
      </c>
      <c r="AD168" s="35" t="s">
        <v>1880</v>
      </c>
      <c r="AE168" s="54"/>
    </row>
    <row r="169" spans="1:31" s="11" customFormat="1" ht="26.25" customHeight="1" x14ac:dyDescent="0.15">
      <c r="A169" s="8">
        <v>167</v>
      </c>
      <c r="B169" s="218" t="s">
        <v>5207</v>
      </c>
      <c r="C169" s="353" t="s">
        <v>111</v>
      </c>
      <c r="D169" s="82" t="s">
        <v>5277</v>
      </c>
      <c r="E169" s="353" t="s">
        <v>111</v>
      </c>
      <c r="F169" s="54" t="s">
        <v>3308</v>
      </c>
      <c r="G169" s="53" t="s">
        <v>5242</v>
      </c>
      <c r="H169" s="353" t="s">
        <v>1147</v>
      </c>
      <c r="I169" s="353" t="s">
        <v>3215</v>
      </c>
      <c r="J169" s="21" t="s">
        <v>3232</v>
      </c>
      <c r="K169" s="353" t="s">
        <v>1138</v>
      </c>
      <c r="L169" s="353" t="s">
        <v>1826</v>
      </c>
      <c r="M169" s="353" t="s">
        <v>111</v>
      </c>
      <c r="N169" s="353" t="s">
        <v>25</v>
      </c>
      <c r="O169" s="76" t="s">
        <v>5297</v>
      </c>
      <c r="P169" s="22" t="s">
        <v>1880</v>
      </c>
      <c r="Q169" s="352" t="s">
        <v>1811</v>
      </c>
      <c r="R169" s="352" t="s">
        <v>5029</v>
      </c>
      <c r="S169" s="24" t="s">
        <v>5223</v>
      </c>
      <c r="T169" s="90" t="s">
        <v>5236</v>
      </c>
      <c r="U169" s="353" t="s">
        <v>2359</v>
      </c>
      <c r="V169" s="353">
        <v>1</v>
      </c>
      <c r="W169" s="24" t="s">
        <v>1880</v>
      </c>
      <c r="X169" s="24" t="s">
        <v>1880</v>
      </c>
      <c r="Y169" s="30">
        <v>3</v>
      </c>
      <c r="Z169" s="30"/>
      <c r="AA169" s="30">
        <v>3</v>
      </c>
      <c r="AB169" s="35" t="s">
        <v>1104</v>
      </c>
      <c r="AC169" s="202" t="s">
        <v>19</v>
      </c>
      <c r="AD169" s="35" t="s">
        <v>1880</v>
      </c>
      <c r="AE169" s="54"/>
    </row>
    <row r="170" spans="1:31" s="11" customFormat="1" ht="26.25" customHeight="1" x14ac:dyDescent="0.15">
      <c r="A170" s="8">
        <v>168</v>
      </c>
      <c r="B170" s="218" t="s">
        <v>5208</v>
      </c>
      <c r="C170" s="353" t="s">
        <v>111</v>
      </c>
      <c r="D170" s="82" t="s">
        <v>5278</v>
      </c>
      <c r="E170" s="353" t="s">
        <v>111</v>
      </c>
      <c r="F170" s="54" t="s">
        <v>3310</v>
      </c>
      <c r="G170" s="53" t="s">
        <v>5243</v>
      </c>
      <c r="H170" s="353" t="s">
        <v>1147</v>
      </c>
      <c r="I170" s="353" t="s">
        <v>3215</v>
      </c>
      <c r="J170" s="21" t="s">
        <v>3312</v>
      </c>
      <c r="K170" s="353" t="s">
        <v>3334</v>
      </c>
      <c r="L170" s="353" t="s">
        <v>1826</v>
      </c>
      <c r="M170" s="353" t="s">
        <v>111</v>
      </c>
      <c r="N170" s="353" t="s">
        <v>25</v>
      </c>
      <c r="O170" s="76" t="s">
        <v>5297</v>
      </c>
      <c r="P170" s="22" t="s">
        <v>1880</v>
      </c>
      <c r="Q170" s="352" t="s">
        <v>1811</v>
      </c>
      <c r="R170" s="352" t="s">
        <v>5029</v>
      </c>
      <c r="S170" s="24" t="s">
        <v>5223</v>
      </c>
      <c r="T170" s="90" t="s">
        <v>5236</v>
      </c>
      <c r="U170" s="353" t="s">
        <v>2359</v>
      </c>
      <c r="V170" s="353">
        <v>1</v>
      </c>
      <c r="W170" s="24" t="s">
        <v>1880</v>
      </c>
      <c r="X170" s="24" t="s">
        <v>1880</v>
      </c>
      <c r="Y170" s="30">
        <v>3</v>
      </c>
      <c r="Z170" s="30"/>
      <c r="AA170" s="30">
        <v>3</v>
      </c>
      <c r="AB170" s="35" t="s">
        <v>1104</v>
      </c>
      <c r="AC170" s="202" t="s">
        <v>19</v>
      </c>
      <c r="AD170" s="35" t="s">
        <v>1880</v>
      </c>
      <c r="AE170" s="54"/>
    </row>
    <row r="171" spans="1:31" s="11" customFormat="1" ht="26.25" customHeight="1" x14ac:dyDescent="0.15">
      <c r="A171" s="8">
        <v>169</v>
      </c>
      <c r="B171" s="218" t="s">
        <v>5209</v>
      </c>
      <c r="C171" s="353" t="s">
        <v>111</v>
      </c>
      <c r="D171" s="82" t="s">
        <v>5279</v>
      </c>
      <c r="E171" s="353" t="s">
        <v>111</v>
      </c>
      <c r="F171" s="54" t="s">
        <v>3313</v>
      </c>
      <c r="G171" s="53" t="s">
        <v>5244</v>
      </c>
      <c r="H171" s="353" t="s">
        <v>1147</v>
      </c>
      <c r="I171" s="353" t="s">
        <v>3215</v>
      </c>
      <c r="J171" s="21" t="s">
        <v>3315</v>
      </c>
      <c r="K171" s="353" t="s">
        <v>1138</v>
      </c>
      <c r="L171" s="353" t="s">
        <v>1826</v>
      </c>
      <c r="M171" s="353" t="s">
        <v>111</v>
      </c>
      <c r="N171" s="353" t="s">
        <v>25</v>
      </c>
      <c r="O171" s="76" t="s">
        <v>5297</v>
      </c>
      <c r="P171" s="22" t="s">
        <v>1880</v>
      </c>
      <c r="Q171" s="352" t="s">
        <v>1811</v>
      </c>
      <c r="R171" s="352" t="s">
        <v>5029</v>
      </c>
      <c r="S171" s="24" t="s">
        <v>5223</v>
      </c>
      <c r="T171" s="90" t="s">
        <v>5236</v>
      </c>
      <c r="U171" s="353" t="s">
        <v>2359</v>
      </c>
      <c r="V171" s="353">
        <v>1</v>
      </c>
      <c r="W171" s="24" t="s">
        <v>1880</v>
      </c>
      <c r="X171" s="24" t="s">
        <v>1880</v>
      </c>
      <c r="Y171" s="30">
        <v>3</v>
      </c>
      <c r="Z171" s="30"/>
      <c r="AA171" s="30">
        <v>3</v>
      </c>
      <c r="AB171" s="35" t="s">
        <v>1104</v>
      </c>
      <c r="AC171" s="202" t="s">
        <v>19</v>
      </c>
      <c r="AD171" s="35" t="s">
        <v>1880</v>
      </c>
      <c r="AE171" s="54"/>
    </row>
    <row r="172" spans="1:31" s="11" customFormat="1" ht="26.25" customHeight="1" x14ac:dyDescent="0.15">
      <c r="A172" s="8">
        <v>170</v>
      </c>
      <c r="B172" s="218" t="s">
        <v>5210</v>
      </c>
      <c r="C172" s="353" t="s">
        <v>111</v>
      </c>
      <c r="D172" s="82" t="s">
        <v>5280</v>
      </c>
      <c r="E172" s="353" t="s">
        <v>111</v>
      </c>
      <c r="F172" s="54" t="s">
        <v>3316</v>
      </c>
      <c r="G172" s="53" t="s">
        <v>5245</v>
      </c>
      <c r="H172" s="353" t="s">
        <v>1147</v>
      </c>
      <c r="I172" s="353" t="s">
        <v>3215</v>
      </c>
      <c r="J172" s="21" t="s">
        <v>3318</v>
      </c>
      <c r="K172" s="353" t="s">
        <v>3335</v>
      </c>
      <c r="L172" s="353" t="s">
        <v>1826</v>
      </c>
      <c r="M172" s="353" t="s">
        <v>111</v>
      </c>
      <c r="N172" s="353" t="s">
        <v>25</v>
      </c>
      <c r="O172" s="76" t="s">
        <v>5297</v>
      </c>
      <c r="P172" s="22" t="s">
        <v>1880</v>
      </c>
      <c r="Q172" s="352" t="s">
        <v>1811</v>
      </c>
      <c r="R172" s="352" t="s">
        <v>5029</v>
      </c>
      <c r="S172" s="24" t="s">
        <v>5223</v>
      </c>
      <c r="T172" s="90" t="s">
        <v>5236</v>
      </c>
      <c r="U172" s="353" t="s">
        <v>2359</v>
      </c>
      <c r="V172" s="353">
        <v>1</v>
      </c>
      <c r="W172" s="24" t="s">
        <v>1880</v>
      </c>
      <c r="X172" s="24" t="s">
        <v>1880</v>
      </c>
      <c r="Y172" s="30">
        <v>3</v>
      </c>
      <c r="Z172" s="30"/>
      <c r="AA172" s="30">
        <v>3</v>
      </c>
      <c r="AB172" s="35" t="s">
        <v>1104</v>
      </c>
      <c r="AC172" s="202" t="s">
        <v>19</v>
      </c>
      <c r="AD172" s="35" t="s">
        <v>1880</v>
      </c>
      <c r="AE172" s="54"/>
    </row>
    <row r="173" spans="1:31" s="11" customFormat="1" ht="26.25" customHeight="1" x14ac:dyDescent="0.15">
      <c r="A173" s="8">
        <v>171</v>
      </c>
      <c r="B173" s="218" t="s">
        <v>5211</v>
      </c>
      <c r="C173" s="353" t="s">
        <v>111</v>
      </c>
      <c r="D173" s="82" t="s">
        <v>5281</v>
      </c>
      <c r="E173" s="353" t="s">
        <v>111</v>
      </c>
      <c r="F173" s="54" t="s">
        <v>3319</v>
      </c>
      <c r="G173" s="53" t="s">
        <v>5246</v>
      </c>
      <c r="H173" s="353" t="s">
        <v>1147</v>
      </c>
      <c r="I173" s="353" t="s">
        <v>3215</v>
      </c>
      <c r="J173" s="21" t="s">
        <v>3230</v>
      </c>
      <c r="K173" s="353" t="s">
        <v>1138</v>
      </c>
      <c r="L173" s="353" t="s">
        <v>1826</v>
      </c>
      <c r="M173" s="353" t="s">
        <v>111</v>
      </c>
      <c r="N173" s="353" t="s">
        <v>25</v>
      </c>
      <c r="O173" s="76" t="s">
        <v>5297</v>
      </c>
      <c r="P173" s="22" t="s">
        <v>1880</v>
      </c>
      <c r="Q173" s="352" t="s">
        <v>1811</v>
      </c>
      <c r="R173" s="352" t="s">
        <v>5029</v>
      </c>
      <c r="S173" s="24" t="s">
        <v>5223</v>
      </c>
      <c r="T173" s="90" t="s">
        <v>5236</v>
      </c>
      <c r="U173" s="353" t="s">
        <v>2359</v>
      </c>
      <c r="V173" s="353">
        <v>1</v>
      </c>
      <c r="W173" s="24" t="s">
        <v>1880</v>
      </c>
      <c r="X173" s="24" t="s">
        <v>1880</v>
      </c>
      <c r="Y173" s="30">
        <v>3</v>
      </c>
      <c r="Z173" s="30"/>
      <c r="AA173" s="30">
        <v>3</v>
      </c>
      <c r="AB173" s="35" t="s">
        <v>1104</v>
      </c>
      <c r="AC173" s="202" t="s">
        <v>19</v>
      </c>
      <c r="AD173" s="35" t="s">
        <v>1880</v>
      </c>
      <c r="AE173" s="54"/>
    </row>
    <row r="174" spans="1:31" s="11" customFormat="1" ht="26.25" customHeight="1" x14ac:dyDescent="0.15">
      <c r="A174" s="8">
        <v>172</v>
      </c>
      <c r="B174" s="218" t="s">
        <v>5212</v>
      </c>
      <c r="C174" s="353" t="s">
        <v>111</v>
      </c>
      <c r="D174" s="82" t="s">
        <v>5282</v>
      </c>
      <c r="E174" s="353" t="s">
        <v>111</v>
      </c>
      <c r="F174" s="54" t="s">
        <v>3321</v>
      </c>
      <c r="G174" s="53" t="s">
        <v>5247</v>
      </c>
      <c r="H174" s="353" t="s">
        <v>1147</v>
      </c>
      <c r="I174" s="353" t="s">
        <v>3215</v>
      </c>
      <c r="J174" s="21" t="s">
        <v>3323</v>
      </c>
      <c r="K174" s="353" t="s">
        <v>1138</v>
      </c>
      <c r="L174" s="353" t="s">
        <v>1826</v>
      </c>
      <c r="M174" s="353" t="s">
        <v>111</v>
      </c>
      <c r="N174" s="353" t="s">
        <v>25</v>
      </c>
      <c r="O174" s="76" t="s">
        <v>5297</v>
      </c>
      <c r="P174" s="22" t="s">
        <v>1880</v>
      </c>
      <c r="Q174" s="352" t="s">
        <v>1811</v>
      </c>
      <c r="R174" s="352" t="s">
        <v>5029</v>
      </c>
      <c r="S174" s="24" t="s">
        <v>5223</v>
      </c>
      <c r="T174" s="90" t="s">
        <v>5236</v>
      </c>
      <c r="U174" s="353" t="s">
        <v>2359</v>
      </c>
      <c r="V174" s="353">
        <v>1</v>
      </c>
      <c r="W174" s="24" t="s">
        <v>1880</v>
      </c>
      <c r="X174" s="24" t="s">
        <v>1880</v>
      </c>
      <c r="Y174" s="30">
        <v>3</v>
      </c>
      <c r="Z174" s="30"/>
      <c r="AA174" s="30">
        <v>3</v>
      </c>
      <c r="AB174" s="35" t="s">
        <v>1104</v>
      </c>
      <c r="AC174" s="202" t="s">
        <v>19</v>
      </c>
      <c r="AD174" s="35" t="s">
        <v>1880</v>
      </c>
      <c r="AE174" s="54"/>
    </row>
    <row r="175" spans="1:31" s="11" customFormat="1" ht="26.25" customHeight="1" x14ac:dyDescent="0.15">
      <c r="A175" s="8">
        <v>173</v>
      </c>
      <c r="B175" s="218" t="s">
        <v>5213</v>
      </c>
      <c r="C175" s="353" t="s">
        <v>111</v>
      </c>
      <c r="D175" s="82" t="s">
        <v>5283</v>
      </c>
      <c r="E175" s="353" t="s">
        <v>111</v>
      </c>
      <c r="F175" s="54" t="s">
        <v>3221</v>
      </c>
      <c r="G175" s="53" t="s">
        <v>5248</v>
      </c>
      <c r="H175" s="353" t="s">
        <v>1147</v>
      </c>
      <c r="I175" s="353" t="s">
        <v>3215</v>
      </c>
      <c r="J175" s="21" t="s">
        <v>3222</v>
      </c>
      <c r="K175" s="353" t="s">
        <v>1138</v>
      </c>
      <c r="L175" s="353" t="s">
        <v>1826</v>
      </c>
      <c r="M175" s="353" t="s">
        <v>111</v>
      </c>
      <c r="N175" s="353" t="s">
        <v>25</v>
      </c>
      <c r="O175" s="76" t="s">
        <v>5297</v>
      </c>
      <c r="P175" s="22" t="s">
        <v>1880</v>
      </c>
      <c r="Q175" s="352" t="s">
        <v>1811</v>
      </c>
      <c r="R175" s="352" t="s">
        <v>5029</v>
      </c>
      <c r="S175" s="24" t="s">
        <v>5223</v>
      </c>
      <c r="T175" s="90" t="s">
        <v>5236</v>
      </c>
      <c r="U175" s="353" t="s">
        <v>2359</v>
      </c>
      <c r="V175" s="353">
        <v>1</v>
      </c>
      <c r="W175" s="24" t="s">
        <v>1880</v>
      </c>
      <c r="X175" s="24" t="s">
        <v>1880</v>
      </c>
      <c r="Y175" s="30">
        <v>3</v>
      </c>
      <c r="Z175" s="30"/>
      <c r="AA175" s="30">
        <v>3</v>
      </c>
      <c r="AB175" s="35" t="s">
        <v>1104</v>
      </c>
      <c r="AC175" s="202" t="s">
        <v>19</v>
      </c>
      <c r="AD175" s="35" t="s">
        <v>1880</v>
      </c>
      <c r="AE175" s="54"/>
    </row>
    <row r="176" spans="1:31" s="11" customFormat="1" ht="26.25" customHeight="1" x14ac:dyDescent="0.15">
      <c r="A176" s="8">
        <v>174</v>
      </c>
      <c r="B176" s="218" t="s">
        <v>5214</v>
      </c>
      <c r="C176" s="353" t="s">
        <v>111</v>
      </c>
      <c r="D176" s="82" t="s">
        <v>5284</v>
      </c>
      <c r="E176" s="353" t="s">
        <v>111</v>
      </c>
      <c r="F176" s="54" t="s">
        <v>3224</v>
      </c>
      <c r="G176" s="53" t="s">
        <v>5249</v>
      </c>
      <c r="H176" s="353" t="s">
        <v>1147</v>
      </c>
      <c r="I176" s="353" t="s">
        <v>3215</v>
      </c>
      <c r="J176" s="21" t="s">
        <v>3225</v>
      </c>
      <c r="K176" s="353" t="s">
        <v>1138</v>
      </c>
      <c r="L176" s="353" t="s">
        <v>1826</v>
      </c>
      <c r="M176" s="353" t="s">
        <v>111</v>
      </c>
      <c r="N176" s="353" t="s">
        <v>25</v>
      </c>
      <c r="O176" s="76" t="s">
        <v>5297</v>
      </c>
      <c r="P176" s="22" t="s">
        <v>1880</v>
      </c>
      <c r="Q176" s="352" t="s">
        <v>1811</v>
      </c>
      <c r="R176" s="352" t="s">
        <v>5029</v>
      </c>
      <c r="S176" s="24" t="s">
        <v>5223</v>
      </c>
      <c r="T176" s="90" t="s">
        <v>5236</v>
      </c>
      <c r="U176" s="353" t="s">
        <v>2359</v>
      </c>
      <c r="V176" s="353">
        <v>1</v>
      </c>
      <c r="W176" s="24" t="s">
        <v>1880</v>
      </c>
      <c r="X176" s="24" t="s">
        <v>1880</v>
      </c>
      <c r="Y176" s="30">
        <v>3</v>
      </c>
      <c r="Z176" s="30"/>
      <c r="AA176" s="30">
        <v>3</v>
      </c>
      <c r="AB176" s="35" t="s">
        <v>1104</v>
      </c>
      <c r="AC176" s="202" t="s">
        <v>19</v>
      </c>
      <c r="AD176" s="35" t="s">
        <v>1880</v>
      </c>
      <c r="AE176" s="54"/>
    </row>
    <row r="177" spans="1:31" s="11" customFormat="1" ht="26.25" customHeight="1" x14ac:dyDescent="0.15">
      <c r="A177" s="8">
        <v>175</v>
      </c>
      <c r="B177" s="218" t="s">
        <v>5215</v>
      </c>
      <c r="C177" s="353" t="s">
        <v>111</v>
      </c>
      <c r="D177" s="82" t="s">
        <v>5285</v>
      </c>
      <c r="E177" s="353" t="s">
        <v>111</v>
      </c>
      <c r="F177" s="54" t="s">
        <v>3326</v>
      </c>
      <c r="G177" s="53" t="s">
        <v>5250</v>
      </c>
      <c r="H177" s="353" t="s">
        <v>1147</v>
      </c>
      <c r="I177" s="353" t="s">
        <v>3215</v>
      </c>
      <c r="J177" s="21" t="s">
        <v>3328</v>
      </c>
      <c r="K177" s="353" t="s">
        <v>1138</v>
      </c>
      <c r="L177" s="353" t="s">
        <v>1826</v>
      </c>
      <c r="M177" s="353" t="s">
        <v>111</v>
      </c>
      <c r="N177" s="353" t="s">
        <v>25</v>
      </c>
      <c r="O177" s="76" t="s">
        <v>5297</v>
      </c>
      <c r="P177" s="22" t="s">
        <v>1880</v>
      </c>
      <c r="Q177" s="352" t="s">
        <v>1811</v>
      </c>
      <c r="R177" s="352" t="s">
        <v>5029</v>
      </c>
      <c r="S177" s="24" t="s">
        <v>5223</v>
      </c>
      <c r="T177" s="90" t="s">
        <v>5236</v>
      </c>
      <c r="U177" s="353" t="s">
        <v>2359</v>
      </c>
      <c r="V177" s="353">
        <v>1</v>
      </c>
      <c r="W177" s="24" t="s">
        <v>1880</v>
      </c>
      <c r="X177" s="24" t="s">
        <v>1880</v>
      </c>
      <c r="Y177" s="30">
        <v>3</v>
      </c>
      <c r="Z177" s="30"/>
      <c r="AA177" s="30">
        <v>3</v>
      </c>
      <c r="AB177" s="35" t="s">
        <v>1104</v>
      </c>
      <c r="AC177" s="202" t="s">
        <v>19</v>
      </c>
      <c r="AD177" s="35" t="s">
        <v>1880</v>
      </c>
      <c r="AE177" s="54"/>
    </row>
    <row r="178" spans="1:31" s="11" customFormat="1" ht="26.25" customHeight="1" x14ac:dyDescent="0.15">
      <c r="A178" s="8">
        <v>176</v>
      </c>
      <c r="B178" s="218" t="s">
        <v>5216</v>
      </c>
      <c r="C178" s="353" t="s">
        <v>111</v>
      </c>
      <c r="D178" s="82" t="s">
        <v>5286</v>
      </c>
      <c r="E178" s="353" t="s">
        <v>111</v>
      </c>
      <c r="F178" s="54" t="s">
        <v>3329</v>
      </c>
      <c r="G178" s="53" t="s">
        <v>5251</v>
      </c>
      <c r="H178" s="353" t="s">
        <v>1147</v>
      </c>
      <c r="I178" s="353" t="s">
        <v>3215</v>
      </c>
      <c r="J178" s="21" t="s">
        <v>3331</v>
      </c>
      <c r="K178" s="352" t="s">
        <v>3236</v>
      </c>
      <c r="L178" s="353" t="s">
        <v>1826</v>
      </c>
      <c r="M178" s="353" t="s">
        <v>111</v>
      </c>
      <c r="N178" s="353" t="s">
        <v>25</v>
      </c>
      <c r="O178" s="76" t="s">
        <v>5297</v>
      </c>
      <c r="P178" s="22" t="s">
        <v>1880</v>
      </c>
      <c r="Q178" s="352" t="s">
        <v>1811</v>
      </c>
      <c r="R178" s="352" t="s">
        <v>5029</v>
      </c>
      <c r="S178" s="24" t="s">
        <v>5223</v>
      </c>
      <c r="T178" s="90" t="s">
        <v>5236</v>
      </c>
      <c r="U178" s="353" t="s">
        <v>2359</v>
      </c>
      <c r="V178" s="353">
        <v>1</v>
      </c>
      <c r="W178" s="24" t="s">
        <v>1880</v>
      </c>
      <c r="X178" s="24" t="s">
        <v>1880</v>
      </c>
      <c r="Y178" s="30">
        <v>3</v>
      </c>
      <c r="Z178" s="30"/>
      <c r="AA178" s="30">
        <v>3</v>
      </c>
      <c r="AB178" s="35" t="s">
        <v>1104</v>
      </c>
      <c r="AC178" s="202" t="s">
        <v>19</v>
      </c>
      <c r="AD178" s="35" t="s">
        <v>1880</v>
      </c>
      <c r="AE178" s="54"/>
    </row>
    <row r="179" spans="1:31" s="11" customFormat="1" ht="26.25" customHeight="1" x14ac:dyDescent="0.15">
      <c r="A179" s="8">
        <v>177</v>
      </c>
      <c r="B179" s="218" t="s">
        <v>5217</v>
      </c>
      <c r="C179" s="353" t="s">
        <v>111</v>
      </c>
      <c r="D179" s="82" t="s">
        <v>5287</v>
      </c>
      <c r="E179" s="353" t="s">
        <v>111</v>
      </c>
      <c r="F179" s="29" t="s">
        <v>4257</v>
      </c>
      <c r="G179" s="53" t="s">
        <v>5252</v>
      </c>
      <c r="H179" s="353" t="s">
        <v>1147</v>
      </c>
      <c r="I179" s="353" t="s">
        <v>3215</v>
      </c>
      <c r="J179" s="37" t="s">
        <v>4259</v>
      </c>
      <c r="K179" s="22" t="s">
        <v>1138</v>
      </c>
      <c r="L179" s="353" t="s">
        <v>1826</v>
      </c>
      <c r="M179" s="353" t="s">
        <v>111</v>
      </c>
      <c r="N179" s="353" t="s">
        <v>25</v>
      </c>
      <c r="O179" s="76" t="s">
        <v>5297</v>
      </c>
      <c r="P179" s="22" t="s">
        <v>1880</v>
      </c>
      <c r="Q179" s="352" t="s">
        <v>1811</v>
      </c>
      <c r="R179" s="352" t="s">
        <v>5029</v>
      </c>
      <c r="S179" s="24" t="s">
        <v>5223</v>
      </c>
      <c r="T179" s="90" t="s">
        <v>5236</v>
      </c>
      <c r="U179" s="353" t="s">
        <v>2359</v>
      </c>
      <c r="V179" s="353">
        <v>1</v>
      </c>
      <c r="W179" s="24" t="s">
        <v>1880</v>
      </c>
      <c r="X179" s="24" t="s">
        <v>1880</v>
      </c>
      <c r="Y179" s="30">
        <v>3</v>
      </c>
      <c r="Z179" s="30"/>
      <c r="AA179" s="30">
        <v>3</v>
      </c>
      <c r="AB179" s="35" t="s">
        <v>1104</v>
      </c>
      <c r="AC179" s="202" t="s">
        <v>19</v>
      </c>
      <c r="AD179" s="35" t="s">
        <v>1880</v>
      </c>
      <c r="AE179" s="54"/>
    </row>
    <row r="180" spans="1:31" s="364" customFormat="1" ht="26.25" customHeight="1" x14ac:dyDescent="0.15">
      <c r="A180" s="8">
        <v>178</v>
      </c>
      <c r="B180" s="218" t="s">
        <v>5262</v>
      </c>
      <c r="C180" s="82" t="s">
        <v>111</v>
      </c>
      <c r="D180" s="82" t="s">
        <v>5268</v>
      </c>
      <c r="E180" s="82" t="s">
        <v>111</v>
      </c>
      <c r="F180" s="76" t="s">
        <v>3300</v>
      </c>
      <c r="G180" s="99" t="s">
        <v>3937</v>
      </c>
      <c r="H180" s="82" t="s">
        <v>1147</v>
      </c>
      <c r="I180" s="82" t="s">
        <v>3215</v>
      </c>
      <c r="J180" s="44" t="s">
        <v>3302</v>
      </c>
      <c r="K180" s="82" t="s">
        <v>3333</v>
      </c>
      <c r="L180" s="82" t="s">
        <v>1826</v>
      </c>
      <c r="M180" s="82" t="s">
        <v>111</v>
      </c>
      <c r="N180" s="82" t="s">
        <v>1818</v>
      </c>
      <c r="O180" s="205" t="s">
        <v>3917</v>
      </c>
      <c r="P180" s="84" t="s">
        <v>1880</v>
      </c>
      <c r="Q180" s="71" t="s">
        <v>5029</v>
      </c>
      <c r="R180" s="71" t="s">
        <v>5029</v>
      </c>
      <c r="S180" s="366" t="s">
        <v>5303</v>
      </c>
      <c r="T180" s="271" t="s">
        <v>5291</v>
      </c>
      <c r="U180" s="82" t="s">
        <v>5291</v>
      </c>
      <c r="V180" s="82" t="s">
        <v>5291</v>
      </c>
      <c r="W180" s="211" t="s">
        <v>1880</v>
      </c>
      <c r="X180" s="211" t="s">
        <v>1880</v>
      </c>
      <c r="Y180" s="96">
        <v>0.79</v>
      </c>
      <c r="Z180" s="96"/>
      <c r="AA180" s="96">
        <v>0.79</v>
      </c>
      <c r="AB180" s="133" t="s">
        <v>1104</v>
      </c>
      <c r="AC180" s="133" t="s">
        <v>19</v>
      </c>
      <c r="AD180" s="133" t="s">
        <v>1880</v>
      </c>
      <c r="AE180" s="365"/>
    </row>
    <row r="181" spans="1:31" s="11" customFormat="1" ht="26.25" customHeight="1" x14ac:dyDescent="0.15">
      <c r="A181" s="8">
        <v>179</v>
      </c>
      <c r="B181" s="218" t="s">
        <v>5256</v>
      </c>
      <c r="C181" s="354" t="s">
        <v>111</v>
      </c>
      <c r="D181" s="359" t="s">
        <v>5290</v>
      </c>
      <c r="E181" s="354" t="s">
        <v>111</v>
      </c>
      <c r="F181" s="29" t="s">
        <v>5257</v>
      </c>
      <c r="G181" s="53" t="s">
        <v>5258</v>
      </c>
      <c r="H181" s="354" t="s">
        <v>1881</v>
      </c>
      <c r="I181" s="354" t="s">
        <v>2437</v>
      </c>
      <c r="J181" s="354" t="s">
        <v>1879</v>
      </c>
      <c r="K181" s="22" t="s">
        <v>1138</v>
      </c>
      <c r="L181" s="354" t="s">
        <v>1826</v>
      </c>
      <c r="M181" s="354" t="s">
        <v>111</v>
      </c>
      <c r="N181" s="354" t="s">
        <v>1818</v>
      </c>
      <c r="O181" s="151" t="s">
        <v>1819</v>
      </c>
      <c r="P181" s="22" t="s">
        <v>1880</v>
      </c>
      <c r="Q181" s="221" t="s">
        <v>3248</v>
      </c>
      <c r="R181" s="350" t="s">
        <v>3248</v>
      </c>
      <c r="S181" s="24" t="s">
        <v>5259</v>
      </c>
      <c r="T181" s="90" t="s">
        <v>5194</v>
      </c>
      <c r="U181" s="354" t="s">
        <v>2359</v>
      </c>
      <c r="V181" s="354">
        <v>1</v>
      </c>
      <c r="W181" s="366" t="s">
        <v>5307</v>
      </c>
      <c r="X181" s="211" t="s">
        <v>1880</v>
      </c>
      <c r="Y181" s="30"/>
      <c r="Z181" s="30">
        <v>5</v>
      </c>
      <c r="AA181" s="30">
        <v>5</v>
      </c>
      <c r="AB181" s="35" t="s">
        <v>1104</v>
      </c>
      <c r="AC181" s="202" t="s">
        <v>19</v>
      </c>
      <c r="AD181" s="35" t="s">
        <v>1880</v>
      </c>
      <c r="AE181" s="350"/>
    </row>
    <row r="182" spans="1:31" s="11" customFormat="1" ht="26.25" customHeight="1" x14ac:dyDescent="0.15">
      <c r="A182" s="8">
        <v>180</v>
      </c>
      <c r="B182" s="218" t="s">
        <v>5263</v>
      </c>
      <c r="C182" s="82" t="s">
        <v>111</v>
      </c>
      <c r="D182" s="82" t="s">
        <v>5296</v>
      </c>
      <c r="E182" s="356" t="s">
        <v>111</v>
      </c>
      <c r="F182" s="29" t="s">
        <v>5264</v>
      </c>
      <c r="G182" s="53" t="s">
        <v>5265</v>
      </c>
      <c r="H182" s="356" t="s">
        <v>4990</v>
      </c>
      <c r="I182" s="356" t="s">
        <v>3215</v>
      </c>
      <c r="J182" s="356" t="s">
        <v>4991</v>
      </c>
      <c r="K182" s="356" t="s">
        <v>4992</v>
      </c>
      <c r="L182" s="356" t="s">
        <v>1826</v>
      </c>
      <c r="M182" s="356" t="s">
        <v>111</v>
      </c>
      <c r="N182" s="356" t="s">
        <v>1818</v>
      </c>
      <c r="O182" s="360" t="s">
        <v>4644</v>
      </c>
      <c r="P182" s="22" t="s">
        <v>1880</v>
      </c>
      <c r="Q182" s="313" t="s">
        <v>3591</v>
      </c>
      <c r="R182" s="313" t="s">
        <v>3591</v>
      </c>
      <c r="S182" s="24" t="s">
        <v>5266</v>
      </c>
      <c r="T182" s="90" t="s">
        <v>5267</v>
      </c>
      <c r="U182" s="24" t="s">
        <v>1800</v>
      </c>
      <c r="V182" s="10">
        <v>1</v>
      </c>
      <c r="W182" s="24" t="s">
        <v>1880</v>
      </c>
      <c r="X182" s="24" t="s">
        <v>1880</v>
      </c>
      <c r="Y182" s="30">
        <v>1.73</v>
      </c>
      <c r="Z182" s="30"/>
      <c r="AA182" s="30">
        <v>1.73</v>
      </c>
      <c r="AB182" s="35" t="s">
        <v>1104</v>
      </c>
      <c r="AC182" s="202" t="s">
        <v>19</v>
      </c>
      <c r="AD182" s="35" t="s">
        <v>1880</v>
      </c>
      <c r="AE182" s="313"/>
    </row>
    <row r="183" spans="1:31" s="11" customFormat="1" ht="26.25" customHeight="1" x14ac:dyDescent="0.15">
      <c r="A183" s="8">
        <v>181</v>
      </c>
      <c r="B183" s="218" t="s">
        <v>5288</v>
      </c>
      <c r="C183" s="82" t="s">
        <v>111</v>
      </c>
      <c r="D183" s="82" t="s">
        <v>5301</v>
      </c>
      <c r="E183" s="358" t="s">
        <v>111</v>
      </c>
      <c r="F183" s="29" t="s">
        <v>3939</v>
      </c>
      <c r="G183" s="29" t="s">
        <v>5321</v>
      </c>
      <c r="H183" s="1" t="s">
        <v>1504</v>
      </c>
      <c r="I183" s="1" t="s">
        <v>177</v>
      </c>
      <c r="J183" s="1" t="s">
        <v>1506</v>
      </c>
      <c r="K183" s="358" t="s">
        <v>1138</v>
      </c>
      <c r="L183" s="358" t="s">
        <v>1826</v>
      </c>
      <c r="M183" s="358" t="s">
        <v>111</v>
      </c>
      <c r="N183" s="358" t="s">
        <v>1818</v>
      </c>
      <c r="O183" s="151" t="s">
        <v>3917</v>
      </c>
      <c r="P183" s="22" t="s">
        <v>1880</v>
      </c>
      <c r="Q183" s="357" t="s">
        <v>3591</v>
      </c>
      <c r="R183" s="357" t="s">
        <v>3591</v>
      </c>
      <c r="S183" s="211" t="s">
        <v>5322</v>
      </c>
      <c r="T183" s="271" t="s">
        <v>5323</v>
      </c>
      <c r="U183" s="371" t="s">
        <v>2359</v>
      </c>
      <c r="V183" s="371">
        <v>1</v>
      </c>
      <c r="W183" s="24" t="s">
        <v>1880</v>
      </c>
      <c r="X183" s="24" t="s">
        <v>1880</v>
      </c>
      <c r="Y183" s="30">
        <v>4.28</v>
      </c>
      <c r="Z183" s="30"/>
      <c r="AA183" s="30">
        <v>4.28</v>
      </c>
      <c r="AB183" s="35" t="s">
        <v>1104</v>
      </c>
      <c r="AC183" s="202" t="s">
        <v>19</v>
      </c>
      <c r="AD183" s="35" t="s">
        <v>1880</v>
      </c>
      <c r="AE183" s="362" t="s">
        <v>5305</v>
      </c>
    </row>
    <row r="184" spans="1:31" s="11" customFormat="1" ht="26.25" customHeight="1" x14ac:dyDescent="0.15">
      <c r="A184" s="8">
        <v>182</v>
      </c>
      <c r="B184" s="218" t="s">
        <v>5311</v>
      </c>
      <c r="C184" s="369" t="s">
        <v>111</v>
      </c>
      <c r="D184" s="402" t="s">
        <v>111</v>
      </c>
      <c r="E184" s="369" t="s">
        <v>111</v>
      </c>
      <c r="F184" s="29" t="s">
        <v>3614</v>
      </c>
      <c r="G184" s="98" t="s">
        <v>5335</v>
      </c>
      <c r="H184" s="1" t="s">
        <v>1449</v>
      </c>
      <c r="I184" s="1" t="s">
        <v>177</v>
      </c>
      <c r="J184" s="1" t="s">
        <v>5312</v>
      </c>
      <c r="K184" s="369" t="s">
        <v>3635</v>
      </c>
      <c r="L184" s="369" t="s">
        <v>1826</v>
      </c>
      <c r="M184" s="369" t="s">
        <v>111</v>
      </c>
      <c r="N184" s="369" t="s">
        <v>1818</v>
      </c>
      <c r="O184" s="151" t="s">
        <v>3917</v>
      </c>
      <c r="P184" s="22" t="s">
        <v>1880</v>
      </c>
      <c r="Q184" s="368" t="s">
        <v>1831</v>
      </c>
      <c r="R184" s="368" t="s">
        <v>1831</v>
      </c>
      <c r="S184" s="211" t="s">
        <v>5336</v>
      </c>
      <c r="T184" s="271" t="s">
        <v>5337</v>
      </c>
      <c r="U184" s="374" t="s">
        <v>2359</v>
      </c>
      <c r="V184" s="374">
        <v>1</v>
      </c>
      <c r="W184" s="24" t="s">
        <v>1880</v>
      </c>
      <c r="X184" s="24" t="s">
        <v>1880</v>
      </c>
      <c r="Y184" s="30">
        <v>1.25</v>
      </c>
      <c r="Z184" s="30"/>
      <c r="AA184" s="30">
        <v>1.25</v>
      </c>
      <c r="AB184" s="35" t="s">
        <v>1104</v>
      </c>
      <c r="AC184" s="202" t="s">
        <v>19</v>
      </c>
      <c r="AD184" s="35" t="s">
        <v>1880</v>
      </c>
      <c r="AE184" s="368" t="s">
        <v>5313</v>
      </c>
    </row>
    <row r="185" spans="1:31" s="11" customFormat="1" ht="26.25" customHeight="1" x14ac:dyDescent="0.15">
      <c r="A185" s="8">
        <v>183</v>
      </c>
      <c r="B185" s="218" t="s">
        <v>5324</v>
      </c>
      <c r="C185" s="370" t="s">
        <v>5314</v>
      </c>
      <c r="D185" s="370" t="s">
        <v>1880</v>
      </c>
      <c r="E185" s="370" t="s">
        <v>111</v>
      </c>
      <c r="F185" s="29" t="s">
        <v>2417</v>
      </c>
      <c r="G185" s="53" t="s">
        <v>5315</v>
      </c>
      <c r="H185" s="1" t="s">
        <v>1457</v>
      </c>
      <c r="I185" s="1" t="s">
        <v>225</v>
      </c>
      <c r="J185" s="1" t="s">
        <v>5316</v>
      </c>
      <c r="K185" s="369" t="s">
        <v>1138</v>
      </c>
      <c r="L185" s="370" t="s">
        <v>2142</v>
      </c>
      <c r="M185" s="370" t="s">
        <v>111</v>
      </c>
      <c r="N185" s="22" t="s">
        <v>2422</v>
      </c>
      <c r="O185" s="222" t="s">
        <v>5317</v>
      </c>
      <c r="P185" s="22" t="s">
        <v>1880</v>
      </c>
      <c r="Q185" s="368" t="s">
        <v>2348</v>
      </c>
      <c r="R185" s="368" t="s">
        <v>2348</v>
      </c>
      <c r="S185" s="24" t="s">
        <v>5318</v>
      </c>
      <c r="T185" s="90" t="s">
        <v>5319</v>
      </c>
      <c r="U185" s="24" t="s">
        <v>2359</v>
      </c>
      <c r="V185" s="10">
        <v>3</v>
      </c>
      <c r="W185" s="24" t="s">
        <v>1880</v>
      </c>
      <c r="X185" s="24" t="s">
        <v>1880</v>
      </c>
      <c r="Y185" s="30">
        <v>5.3879999999999999</v>
      </c>
      <c r="Z185" s="30"/>
      <c r="AA185" s="30">
        <v>5.3879999999999999</v>
      </c>
      <c r="AB185" s="35" t="s">
        <v>1104</v>
      </c>
      <c r="AC185" s="133" t="s">
        <v>5320</v>
      </c>
      <c r="AD185" s="35" t="s">
        <v>1880</v>
      </c>
      <c r="AE185" s="368"/>
    </row>
    <row r="186" spans="1:31" s="11" customFormat="1" ht="26.25" customHeight="1" x14ac:dyDescent="0.15">
      <c r="A186" s="8">
        <v>184</v>
      </c>
      <c r="B186" s="218" t="s">
        <v>5325</v>
      </c>
      <c r="C186" s="373" t="s">
        <v>111</v>
      </c>
      <c r="D186" s="373" t="s">
        <v>111</v>
      </c>
      <c r="E186" s="373" t="s">
        <v>111</v>
      </c>
      <c r="F186" s="29" t="s">
        <v>2417</v>
      </c>
      <c r="G186" s="53" t="s">
        <v>5315</v>
      </c>
      <c r="H186" s="1" t="s">
        <v>1457</v>
      </c>
      <c r="I186" s="1" t="s">
        <v>225</v>
      </c>
      <c r="J186" s="1" t="s">
        <v>5316</v>
      </c>
      <c r="K186" s="373" t="s">
        <v>1138</v>
      </c>
      <c r="L186" s="373" t="s">
        <v>2142</v>
      </c>
      <c r="M186" s="373" t="s">
        <v>111</v>
      </c>
      <c r="N186" s="373" t="s">
        <v>5326</v>
      </c>
      <c r="O186" s="222" t="s">
        <v>5327</v>
      </c>
      <c r="P186" s="22" t="s">
        <v>1880</v>
      </c>
      <c r="Q186" s="372" t="s">
        <v>2348</v>
      </c>
      <c r="R186" s="372" t="s">
        <v>2348</v>
      </c>
      <c r="S186" s="24" t="s">
        <v>5318</v>
      </c>
      <c r="T186" s="90" t="s">
        <v>5319</v>
      </c>
      <c r="U186" s="24" t="s">
        <v>2359</v>
      </c>
      <c r="V186" s="10">
        <v>3</v>
      </c>
      <c r="W186" s="24" t="s">
        <v>1880</v>
      </c>
      <c r="X186" s="24" t="s">
        <v>1880</v>
      </c>
      <c r="Y186" s="30">
        <v>3.5920000000000001</v>
      </c>
      <c r="Z186" s="30"/>
      <c r="AA186" s="30">
        <v>3.5920000000000001</v>
      </c>
      <c r="AB186" s="35" t="s">
        <v>1104</v>
      </c>
      <c r="AC186" s="133" t="s">
        <v>5320</v>
      </c>
      <c r="AD186" s="35" t="s">
        <v>1880</v>
      </c>
      <c r="AE186" s="368"/>
    </row>
    <row r="187" spans="1:31" s="11" customFormat="1" ht="36.75" customHeight="1" x14ac:dyDescent="0.15">
      <c r="A187" s="8">
        <v>185</v>
      </c>
      <c r="B187" s="218" t="s">
        <v>5338</v>
      </c>
      <c r="C187" s="376" t="s">
        <v>111</v>
      </c>
      <c r="D187" s="376" t="s">
        <v>111</v>
      </c>
      <c r="E187" s="218" t="s">
        <v>5956</v>
      </c>
      <c r="F187" s="29" t="s">
        <v>4488</v>
      </c>
      <c r="G187" s="53" t="s">
        <v>5339</v>
      </c>
      <c r="H187" s="1" t="s">
        <v>23</v>
      </c>
      <c r="I187" s="1" t="s">
        <v>298</v>
      </c>
      <c r="J187" s="1" t="s">
        <v>5340</v>
      </c>
      <c r="K187" s="375" t="s">
        <v>5341</v>
      </c>
      <c r="L187" s="376" t="s">
        <v>2142</v>
      </c>
      <c r="M187" s="376" t="s">
        <v>111</v>
      </c>
      <c r="N187" s="330" t="s">
        <v>3990</v>
      </c>
      <c r="O187" s="222" t="s">
        <v>5344</v>
      </c>
      <c r="P187" s="22" t="s">
        <v>1880</v>
      </c>
      <c r="Q187" s="375" t="s">
        <v>1152</v>
      </c>
      <c r="R187" s="375" t="s">
        <v>1152</v>
      </c>
      <c r="S187" s="24" t="s">
        <v>5342</v>
      </c>
      <c r="T187" s="90" t="s">
        <v>5343</v>
      </c>
      <c r="U187" s="24" t="s">
        <v>1800</v>
      </c>
      <c r="V187" s="10">
        <v>1</v>
      </c>
      <c r="W187" s="24" t="s">
        <v>1880</v>
      </c>
      <c r="X187" s="24" t="s">
        <v>1880</v>
      </c>
      <c r="Y187" s="30">
        <v>54.901899999999998</v>
      </c>
      <c r="Z187" s="30"/>
      <c r="AA187" s="30">
        <v>54.901899999999998</v>
      </c>
      <c r="AB187" s="35" t="s">
        <v>1104</v>
      </c>
      <c r="AC187" s="133" t="s">
        <v>5345</v>
      </c>
      <c r="AD187" s="35" t="s">
        <v>1880</v>
      </c>
      <c r="AE187" s="375" t="s">
        <v>6605</v>
      </c>
    </row>
    <row r="188" spans="1:31" s="11" customFormat="1" ht="38.25" customHeight="1" x14ac:dyDescent="0.15">
      <c r="A188" s="8">
        <v>186</v>
      </c>
      <c r="B188" s="218" t="s">
        <v>5355</v>
      </c>
      <c r="C188" s="379" t="s">
        <v>5357</v>
      </c>
      <c r="D188" s="379" t="s">
        <v>111</v>
      </c>
      <c r="E188" s="218" t="s">
        <v>5955</v>
      </c>
      <c r="F188" s="29" t="s">
        <v>2463</v>
      </c>
      <c r="G188" s="29" t="s">
        <v>2464</v>
      </c>
      <c r="H188" s="378" t="s">
        <v>4195</v>
      </c>
      <c r="I188" s="378" t="s">
        <v>5359</v>
      </c>
      <c r="J188" s="378" t="s">
        <v>5360</v>
      </c>
      <c r="K188" s="379" t="s">
        <v>1138</v>
      </c>
      <c r="L188" s="379" t="s">
        <v>2142</v>
      </c>
      <c r="M188" s="379" t="s">
        <v>111</v>
      </c>
      <c r="N188" s="378" t="s">
        <v>4676</v>
      </c>
      <c r="O188" s="76" t="s">
        <v>1886</v>
      </c>
      <c r="P188" s="22" t="s">
        <v>1880</v>
      </c>
      <c r="Q188" s="71" t="s">
        <v>1152</v>
      </c>
      <c r="R188" s="378" t="s">
        <v>1152</v>
      </c>
      <c r="S188" s="24" t="s">
        <v>5361</v>
      </c>
      <c r="T188" s="90" t="s">
        <v>5336</v>
      </c>
      <c r="U188" s="24" t="s">
        <v>1800</v>
      </c>
      <c r="V188" s="10">
        <v>1</v>
      </c>
      <c r="W188" s="24" t="s">
        <v>5362</v>
      </c>
      <c r="X188" s="24" t="s">
        <v>1880</v>
      </c>
      <c r="Y188" s="30">
        <v>19.2</v>
      </c>
      <c r="Z188" s="30"/>
      <c r="AA188" s="30">
        <v>19.2</v>
      </c>
      <c r="AB188" s="35" t="s">
        <v>1104</v>
      </c>
      <c r="AC188" s="35" t="s">
        <v>5194</v>
      </c>
      <c r="AD188" s="35" t="s">
        <v>1880</v>
      </c>
      <c r="AE188" s="378"/>
    </row>
    <row r="189" spans="1:31" s="11" customFormat="1" ht="26.25" customHeight="1" x14ac:dyDescent="0.15">
      <c r="A189" s="8">
        <v>187</v>
      </c>
      <c r="B189" s="218" t="s">
        <v>5356</v>
      </c>
      <c r="C189" s="379" t="s">
        <v>5358</v>
      </c>
      <c r="D189" s="379" t="s">
        <v>111</v>
      </c>
      <c r="E189" s="379" t="s">
        <v>111</v>
      </c>
      <c r="F189" s="29" t="s">
        <v>2463</v>
      </c>
      <c r="G189" s="29" t="s">
        <v>2464</v>
      </c>
      <c r="H189" s="378" t="s">
        <v>4195</v>
      </c>
      <c r="I189" s="378" t="s">
        <v>5359</v>
      </c>
      <c r="J189" s="378" t="s">
        <v>5360</v>
      </c>
      <c r="K189" s="379" t="s">
        <v>1138</v>
      </c>
      <c r="L189" s="379" t="s">
        <v>2142</v>
      </c>
      <c r="M189" s="379" t="s">
        <v>111</v>
      </c>
      <c r="N189" s="378" t="s">
        <v>445</v>
      </c>
      <c r="O189" s="76" t="s">
        <v>4723</v>
      </c>
      <c r="P189" s="22" t="s">
        <v>1880</v>
      </c>
      <c r="Q189" s="71" t="s">
        <v>1152</v>
      </c>
      <c r="R189" s="378" t="s">
        <v>1152</v>
      </c>
      <c r="S189" s="24" t="s">
        <v>5361</v>
      </c>
      <c r="T189" s="90" t="s">
        <v>5336</v>
      </c>
      <c r="U189" s="24" t="s">
        <v>1800</v>
      </c>
      <c r="V189" s="10">
        <v>1</v>
      </c>
      <c r="W189" s="24" t="s">
        <v>1880</v>
      </c>
      <c r="X189" s="24" t="s">
        <v>1880</v>
      </c>
      <c r="Y189" s="30">
        <v>16</v>
      </c>
      <c r="Z189" s="30"/>
      <c r="AA189" s="30">
        <v>16</v>
      </c>
      <c r="AB189" s="35" t="s">
        <v>1104</v>
      </c>
      <c r="AC189" s="35" t="s">
        <v>5194</v>
      </c>
      <c r="AD189" s="35" t="s">
        <v>1880</v>
      </c>
      <c r="AE189" s="378"/>
    </row>
    <row r="190" spans="1:31" s="11" customFormat="1" ht="45" x14ac:dyDescent="0.15">
      <c r="A190" s="8">
        <v>188</v>
      </c>
      <c r="B190" s="218" t="s">
        <v>5364</v>
      </c>
      <c r="C190" s="383" t="s">
        <v>111</v>
      </c>
      <c r="D190" s="383" t="s">
        <v>111</v>
      </c>
      <c r="E190" s="383" t="s">
        <v>111</v>
      </c>
      <c r="F190" s="29" t="s">
        <v>4177</v>
      </c>
      <c r="G190" s="53" t="s">
        <v>5365</v>
      </c>
      <c r="H190" s="382" t="s">
        <v>4691</v>
      </c>
      <c r="I190" s="382" t="s">
        <v>4750</v>
      </c>
      <c r="J190" s="382" t="s">
        <v>5366</v>
      </c>
      <c r="K190" s="382" t="s">
        <v>4317</v>
      </c>
      <c r="L190" s="383" t="s">
        <v>1826</v>
      </c>
      <c r="M190" s="383" t="s">
        <v>111</v>
      </c>
      <c r="N190" s="383" t="s">
        <v>1818</v>
      </c>
      <c r="O190" s="151" t="s">
        <v>1819</v>
      </c>
      <c r="P190" s="22" t="s">
        <v>1880</v>
      </c>
      <c r="Q190" s="71" t="s">
        <v>3248</v>
      </c>
      <c r="R190" s="382" t="s">
        <v>3248</v>
      </c>
      <c r="S190" s="24" t="s">
        <v>5367</v>
      </c>
      <c r="T190" s="90" t="s">
        <v>5368</v>
      </c>
      <c r="U190" s="24" t="s">
        <v>1800</v>
      </c>
      <c r="V190" s="10">
        <v>1</v>
      </c>
      <c r="W190" s="24" t="s">
        <v>4385</v>
      </c>
      <c r="X190" s="24" t="s">
        <v>4120</v>
      </c>
      <c r="Y190" s="30"/>
      <c r="Z190" s="30">
        <v>8.9</v>
      </c>
      <c r="AA190" s="30">
        <v>8.9</v>
      </c>
      <c r="AB190" s="35" t="s">
        <v>1104</v>
      </c>
      <c r="AC190" s="202" t="s">
        <v>19</v>
      </c>
      <c r="AD190" s="35" t="s">
        <v>1880</v>
      </c>
      <c r="AE190" s="382"/>
    </row>
    <row r="191" spans="1:31" s="11" customFormat="1" ht="26.25" customHeight="1" x14ac:dyDescent="0.15">
      <c r="A191" s="8">
        <v>189</v>
      </c>
      <c r="B191" s="218" t="s">
        <v>5369</v>
      </c>
      <c r="C191" s="394" t="s">
        <v>111</v>
      </c>
      <c r="D191" s="377" t="s">
        <v>111</v>
      </c>
      <c r="E191" s="394" t="s">
        <v>111</v>
      </c>
      <c r="F191" s="151" t="s">
        <v>5382</v>
      </c>
      <c r="G191" s="99" t="s">
        <v>3937</v>
      </c>
      <c r="H191" s="393" t="s">
        <v>4712</v>
      </c>
      <c r="I191" s="393" t="s">
        <v>5383</v>
      </c>
      <c r="J191" s="393" t="s">
        <v>5384</v>
      </c>
      <c r="K191" s="393" t="s">
        <v>2181</v>
      </c>
      <c r="L191" s="394" t="s">
        <v>1826</v>
      </c>
      <c r="M191" s="394" t="s">
        <v>111</v>
      </c>
      <c r="N191" s="394" t="s">
        <v>1818</v>
      </c>
      <c r="O191" s="151" t="s">
        <v>1796</v>
      </c>
      <c r="P191" s="22" t="s">
        <v>1880</v>
      </c>
      <c r="Q191" s="71" t="s">
        <v>1152</v>
      </c>
      <c r="R191" s="382" t="s">
        <v>1152</v>
      </c>
      <c r="S191" s="22" t="s">
        <v>1880</v>
      </c>
      <c r="T191" s="22" t="s">
        <v>1880</v>
      </c>
      <c r="U191" s="22" t="s">
        <v>1880</v>
      </c>
      <c r="V191" s="22" t="s">
        <v>1880</v>
      </c>
      <c r="W191" s="22" t="s">
        <v>1880</v>
      </c>
      <c r="X191" s="22" t="s">
        <v>1880</v>
      </c>
      <c r="Y191" s="30">
        <v>2.7</v>
      </c>
      <c r="Z191" s="30"/>
      <c r="AA191" s="30">
        <v>2.7</v>
      </c>
      <c r="AB191" s="35" t="s">
        <v>1104</v>
      </c>
      <c r="AC191" s="202" t="s">
        <v>19</v>
      </c>
      <c r="AD191" s="35" t="s">
        <v>1880</v>
      </c>
      <c r="AE191" s="382"/>
    </row>
    <row r="192" spans="1:31" s="11" customFormat="1" ht="26.25" customHeight="1" x14ac:dyDescent="0.15">
      <c r="A192" s="8">
        <v>190</v>
      </c>
      <c r="B192" s="218" t="s">
        <v>5370</v>
      </c>
      <c r="C192" s="397" t="s">
        <v>111</v>
      </c>
      <c r="D192" s="397" t="s">
        <v>111</v>
      </c>
      <c r="E192" s="397" t="s">
        <v>111</v>
      </c>
      <c r="F192" s="54" t="s">
        <v>4133</v>
      </c>
      <c r="G192" s="98" t="s">
        <v>5502</v>
      </c>
      <c r="H192" s="397" t="s">
        <v>2135</v>
      </c>
      <c r="I192" s="397" t="s">
        <v>2533</v>
      </c>
      <c r="J192" s="21" t="s">
        <v>4134</v>
      </c>
      <c r="K192" s="396" t="s">
        <v>4135</v>
      </c>
      <c r="L192" s="397" t="s">
        <v>1826</v>
      </c>
      <c r="M192" s="397" t="s">
        <v>111</v>
      </c>
      <c r="N192" s="397" t="s">
        <v>1818</v>
      </c>
      <c r="O192" s="151" t="s">
        <v>1819</v>
      </c>
      <c r="P192" s="22" t="s">
        <v>1880</v>
      </c>
      <c r="Q192" s="384" t="s">
        <v>1831</v>
      </c>
      <c r="R192" s="384" t="s">
        <v>1831</v>
      </c>
      <c r="S192" s="24" t="s">
        <v>5505</v>
      </c>
      <c r="T192" s="90">
        <v>2020.1</v>
      </c>
      <c r="U192" s="422" t="s">
        <v>2359</v>
      </c>
      <c r="V192" s="422">
        <v>1</v>
      </c>
      <c r="W192" s="24" t="s">
        <v>4385</v>
      </c>
      <c r="X192" s="90" t="s">
        <v>4120</v>
      </c>
      <c r="Y192" s="30"/>
      <c r="Z192" s="30">
        <v>8</v>
      </c>
      <c r="AA192" s="30">
        <v>8</v>
      </c>
      <c r="AB192" s="35" t="s">
        <v>1104</v>
      </c>
      <c r="AC192" s="202" t="s">
        <v>19</v>
      </c>
      <c r="AD192" s="35" t="s">
        <v>1880</v>
      </c>
      <c r="AE192" s="396" t="s">
        <v>5387</v>
      </c>
    </row>
    <row r="193" spans="1:31" s="11" customFormat="1" ht="26.25" customHeight="1" x14ac:dyDescent="0.15">
      <c r="A193" s="8">
        <v>191</v>
      </c>
      <c r="B193" s="218" t="s">
        <v>5371</v>
      </c>
      <c r="C193" s="397" t="s">
        <v>111</v>
      </c>
      <c r="D193" s="397" t="s">
        <v>111</v>
      </c>
      <c r="E193" s="397" t="s">
        <v>111</v>
      </c>
      <c r="F193" s="54" t="s">
        <v>4141</v>
      </c>
      <c r="G193" s="98" t="s">
        <v>5503</v>
      </c>
      <c r="H193" s="397" t="s">
        <v>2135</v>
      </c>
      <c r="I193" s="397" t="s">
        <v>2533</v>
      </c>
      <c r="J193" s="21" t="s">
        <v>4143</v>
      </c>
      <c r="K193" s="396" t="s">
        <v>4144</v>
      </c>
      <c r="L193" s="397" t="s">
        <v>1826</v>
      </c>
      <c r="M193" s="397" t="s">
        <v>111</v>
      </c>
      <c r="N193" s="397" t="s">
        <v>1818</v>
      </c>
      <c r="O193" s="151" t="s">
        <v>1819</v>
      </c>
      <c r="P193" s="22" t="s">
        <v>1880</v>
      </c>
      <c r="Q193" s="396" t="s">
        <v>1831</v>
      </c>
      <c r="R193" s="396" t="s">
        <v>1831</v>
      </c>
      <c r="S193" s="24" t="s">
        <v>5505</v>
      </c>
      <c r="T193" s="90">
        <v>2020.1</v>
      </c>
      <c r="U193" s="422" t="s">
        <v>2359</v>
      </c>
      <c r="V193" s="422">
        <v>1</v>
      </c>
      <c r="W193" s="24" t="s">
        <v>4385</v>
      </c>
      <c r="X193" s="90" t="s">
        <v>4120</v>
      </c>
      <c r="Y193" s="30"/>
      <c r="Z193" s="30">
        <v>8</v>
      </c>
      <c r="AA193" s="30">
        <v>8</v>
      </c>
      <c r="AB193" s="35" t="s">
        <v>1104</v>
      </c>
      <c r="AC193" s="202" t="s">
        <v>19</v>
      </c>
      <c r="AD193" s="35" t="s">
        <v>1880</v>
      </c>
      <c r="AE193" s="396" t="s">
        <v>5387</v>
      </c>
    </row>
    <row r="194" spans="1:31" s="11" customFormat="1" ht="26.25" customHeight="1" x14ac:dyDescent="0.15">
      <c r="A194" s="8">
        <v>192</v>
      </c>
      <c r="B194" s="218" t="s">
        <v>5372</v>
      </c>
      <c r="C194" s="397" t="s">
        <v>111</v>
      </c>
      <c r="D194" s="397" t="s">
        <v>111</v>
      </c>
      <c r="E194" s="397" t="s">
        <v>111</v>
      </c>
      <c r="F194" s="54" t="s">
        <v>5389</v>
      </c>
      <c r="G194" s="98" t="s">
        <v>5504</v>
      </c>
      <c r="H194" s="397" t="s">
        <v>2135</v>
      </c>
      <c r="I194" s="397" t="s">
        <v>2533</v>
      </c>
      <c r="J194" s="21" t="s">
        <v>5390</v>
      </c>
      <c r="K194" s="385" t="s">
        <v>1138</v>
      </c>
      <c r="L194" s="385" t="s">
        <v>2142</v>
      </c>
      <c r="M194" s="397" t="s">
        <v>111</v>
      </c>
      <c r="N194" s="385" t="s">
        <v>2422</v>
      </c>
      <c r="O194" s="151" t="s">
        <v>1819</v>
      </c>
      <c r="P194" s="22" t="s">
        <v>1880</v>
      </c>
      <c r="Q194" s="396" t="s">
        <v>1831</v>
      </c>
      <c r="R194" s="396" t="s">
        <v>1831</v>
      </c>
      <c r="S194" s="24" t="s">
        <v>5505</v>
      </c>
      <c r="T194" s="90">
        <v>2020.1</v>
      </c>
      <c r="U194" s="422" t="s">
        <v>2359</v>
      </c>
      <c r="V194" s="422">
        <v>1</v>
      </c>
      <c r="W194" s="398" t="s">
        <v>4385</v>
      </c>
      <c r="X194" s="399" t="s">
        <v>4120</v>
      </c>
      <c r="Y194" s="30"/>
      <c r="Z194" s="30">
        <v>8</v>
      </c>
      <c r="AA194" s="30">
        <v>8</v>
      </c>
      <c r="AB194" s="35" t="s">
        <v>1104</v>
      </c>
      <c r="AC194" s="202" t="s">
        <v>19</v>
      </c>
      <c r="AD194" s="35" t="s">
        <v>1880</v>
      </c>
      <c r="AE194" s="396" t="s">
        <v>5387</v>
      </c>
    </row>
    <row r="195" spans="1:31" s="11" customFormat="1" ht="26.25" customHeight="1" x14ac:dyDescent="0.15">
      <c r="A195" s="8">
        <v>193</v>
      </c>
      <c r="B195" s="218" t="s">
        <v>5373</v>
      </c>
      <c r="C195" s="387" t="s">
        <v>111</v>
      </c>
      <c r="D195" s="387" t="s">
        <v>111</v>
      </c>
      <c r="E195" s="387" t="s">
        <v>111</v>
      </c>
      <c r="F195" s="29" t="s">
        <v>2470</v>
      </c>
      <c r="G195" s="53" t="s">
        <v>5377</v>
      </c>
      <c r="H195" s="386" t="s">
        <v>5374</v>
      </c>
      <c r="I195" s="386" t="s">
        <v>1124</v>
      </c>
      <c r="J195" s="386" t="s">
        <v>5375</v>
      </c>
      <c r="K195" s="386" t="s">
        <v>2472</v>
      </c>
      <c r="L195" s="387" t="s">
        <v>1826</v>
      </c>
      <c r="M195" s="387" t="s">
        <v>111</v>
      </c>
      <c r="N195" s="387" t="s">
        <v>1818</v>
      </c>
      <c r="O195" s="151" t="s">
        <v>2423</v>
      </c>
      <c r="P195" s="22" t="s">
        <v>1880</v>
      </c>
      <c r="Q195" s="71" t="s">
        <v>3591</v>
      </c>
      <c r="R195" s="384" t="s">
        <v>3591</v>
      </c>
      <c r="S195" s="211" t="s">
        <v>5385</v>
      </c>
      <c r="T195" s="271" t="s">
        <v>5386</v>
      </c>
      <c r="U195" s="395" t="s">
        <v>2359</v>
      </c>
      <c r="V195" s="395">
        <v>1</v>
      </c>
      <c r="W195" s="24" t="s">
        <v>5322</v>
      </c>
      <c r="X195" s="24" t="s">
        <v>5376</v>
      </c>
      <c r="Y195" s="30"/>
      <c r="Z195" s="30">
        <v>24</v>
      </c>
      <c r="AA195" s="30">
        <v>24</v>
      </c>
      <c r="AB195" s="35" t="s">
        <v>1104</v>
      </c>
      <c r="AC195" s="202" t="s">
        <v>19</v>
      </c>
      <c r="AD195" s="35" t="s">
        <v>1880</v>
      </c>
      <c r="AE195" s="384" t="s">
        <v>5388</v>
      </c>
    </row>
    <row r="196" spans="1:31" s="11" customFormat="1" ht="26.25" customHeight="1" x14ac:dyDescent="0.15">
      <c r="A196" s="8">
        <v>194</v>
      </c>
      <c r="B196" s="218" t="s">
        <v>5378</v>
      </c>
      <c r="C196" s="388" t="s">
        <v>111</v>
      </c>
      <c r="D196" s="388" t="s">
        <v>111</v>
      </c>
      <c r="E196" s="388" t="s">
        <v>111</v>
      </c>
      <c r="F196" s="29" t="s">
        <v>4559</v>
      </c>
      <c r="G196" s="53" t="s">
        <v>4566</v>
      </c>
      <c r="H196" s="389" t="s">
        <v>4195</v>
      </c>
      <c r="I196" s="389" t="s">
        <v>4945</v>
      </c>
      <c r="J196" s="389" t="s">
        <v>4946</v>
      </c>
      <c r="K196" s="389" t="s">
        <v>4561</v>
      </c>
      <c r="L196" s="390" t="s">
        <v>1826</v>
      </c>
      <c r="M196" s="390">
        <v>49.5</v>
      </c>
      <c r="N196" s="390" t="s">
        <v>1818</v>
      </c>
      <c r="O196" s="151" t="s">
        <v>1819</v>
      </c>
      <c r="P196" s="22" t="s">
        <v>1880</v>
      </c>
      <c r="Q196" s="71" t="s">
        <v>1152</v>
      </c>
      <c r="R196" s="389" t="s">
        <v>1152</v>
      </c>
      <c r="S196" s="24" t="s">
        <v>5379</v>
      </c>
      <c r="T196" s="90" t="s">
        <v>4221</v>
      </c>
      <c r="U196" s="390" t="s">
        <v>2359</v>
      </c>
      <c r="V196" s="390">
        <v>1</v>
      </c>
      <c r="W196" s="24" t="s">
        <v>5380</v>
      </c>
      <c r="X196" s="24" t="s">
        <v>5381</v>
      </c>
      <c r="Y196" s="30"/>
      <c r="Z196" s="30">
        <v>9</v>
      </c>
      <c r="AA196" s="30">
        <v>9</v>
      </c>
      <c r="AB196" s="35" t="s">
        <v>1104</v>
      </c>
      <c r="AC196" s="202" t="s">
        <v>1880</v>
      </c>
      <c r="AD196" s="35" t="s">
        <v>1880</v>
      </c>
      <c r="AE196" s="382"/>
    </row>
    <row r="197" spans="1:31" s="11" customFormat="1" ht="26.25" customHeight="1" x14ac:dyDescent="0.15">
      <c r="A197" s="8">
        <v>195</v>
      </c>
      <c r="B197" s="218" t="s">
        <v>5391</v>
      </c>
      <c r="C197" s="400" t="s">
        <v>5392</v>
      </c>
      <c r="D197" s="401" t="s">
        <v>111</v>
      </c>
      <c r="E197" s="401" t="s">
        <v>111</v>
      </c>
      <c r="F197" s="29" t="s">
        <v>5393</v>
      </c>
      <c r="G197" s="53" t="s">
        <v>5394</v>
      </c>
      <c r="H197" s="400" t="s">
        <v>4712</v>
      </c>
      <c r="I197" s="400" t="s">
        <v>4196</v>
      </c>
      <c r="J197" s="400" t="s">
        <v>5395</v>
      </c>
      <c r="K197" s="400" t="s">
        <v>1138</v>
      </c>
      <c r="L197" s="401" t="s">
        <v>1826</v>
      </c>
      <c r="M197" s="401" t="s">
        <v>111</v>
      </c>
      <c r="N197" s="401" t="s">
        <v>1818</v>
      </c>
      <c r="O197" s="54" t="s">
        <v>5094</v>
      </c>
      <c r="P197" s="22" t="s">
        <v>1880</v>
      </c>
      <c r="Q197" s="400" t="s">
        <v>1811</v>
      </c>
      <c r="R197" s="400" t="s">
        <v>3248</v>
      </c>
      <c r="S197" s="24" t="s">
        <v>5396</v>
      </c>
      <c r="T197" s="90" t="s">
        <v>5342</v>
      </c>
      <c r="U197" s="401" t="s">
        <v>2359</v>
      </c>
      <c r="V197" s="401">
        <v>1</v>
      </c>
      <c r="W197" s="24" t="s">
        <v>5397</v>
      </c>
      <c r="X197" s="24" t="s">
        <v>4120</v>
      </c>
      <c r="Y197" s="30">
        <v>11.6</v>
      </c>
      <c r="Z197" s="30"/>
      <c r="AA197" s="30">
        <v>11.6</v>
      </c>
      <c r="AB197" s="35" t="s">
        <v>1104</v>
      </c>
      <c r="AC197" s="400" t="s">
        <v>5186</v>
      </c>
      <c r="AD197" s="35" t="s">
        <v>1880</v>
      </c>
      <c r="AE197" s="400"/>
    </row>
    <row r="198" spans="1:31" s="11" customFormat="1" ht="36" customHeight="1" x14ac:dyDescent="0.15">
      <c r="A198" s="8">
        <v>196</v>
      </c>
      <c r="B198" s="218" t="s">
        <v>5398</v>
      </c>
      <c r="C198" s="403" t="s">
        <v>5402</v>
      </c>
      <c r="D198" s="404" t="s">
        <v>111</v>
      </c>
      <c r="E198" s="404" t="s">
        <v>111</v>
      </c>
      <c r="F198" s="29" t="s">
        <v>1145</v>
      </c>
      <c r="G198" s="53" t="s">
        <v>5404</v>
      </c>
      <c r="H198" s="403" t="s">
        <v>4195</v>
      </c>
      <c r="I198" s="403" t="s">
        <v>4728</v>
      </c>
      <c r="J198" s="403" t="s">
        <v>5399</v>
      </c>
      <c r="K198" s="403" t="s">
        <v>1149</v>
      </c>
      <c r="L198" s="404" t="s">
        <v>1826</v>
      </c>
      <c r="M198" s="404">
        <v>49.5</v>
      </c>
      <c r="N198" s="404" t="s">
        <v>1150</v>
      </c>
      <c r="O198" s="54" t="s">
        <v>5400</v>
      </c>
      <c r="P198" s="22" t="s">
        <v>1880</v>
      </c>
      <c r="Q198" s="71" t="s">
        <v>1151</v>
      </c>
      <c r="R198" s="403" t="s">
        <v>1152</v>
      </c>
      <c r="S198" s="24" t="s">
        <v>5401</v>
      </c>
      <c r="T198" s="90" t="s">
        <v>5386</v>
      </c>
      <c r="U198" s="404" t="s">
        <v>2359</v>
      </c>
      <c r="V198" s="404">
        <v>1</v>
      </c>
      <c r="W198" s="22" t="s">
        <v>1880</v>
      </c>
      <c r="X198" s="22" t="s">
        <v>1880</v>
      </c>
      <c r="Y198" s="30">
        <v>9.4</v>
      </c>
      <c r="Z198" s="30"/>
      <c r="AA198" s="30">
        <v>9.4</v>
      </c>
      <c r="AB198" s="35" t="s">
        <v>1104</v>
      </c>
      <c r="AC198" s="35" t="s">
        <v>4756</v>
      </c>
      <c r="AD198" s="35" t="s">
        <v>1880</v>
      </c>
      <c r="AE198" s="403"/>
    </row>
    <row r="199" spans="1:31" s="11" customFormat="1" ht="48.75" customHeight="1" x14ac:dyDescent="0.15">
      <c r="A199" s="8">
        <v>197</v>
      </c>
      <c r="B199" s="218" t="s">
        <v>5403</v>
      </c>
      <c r="C199" s="403" t="s">
        <v>5407</v>
      </c>
      <c r="D199" s="404" t="s">
        <v>111</v>
      </c>
      <c r="E199" s="404" t="s">
        <v>111</v>
      </c>
      <c r="F199" s="29" t="s">
        <v>3979</v>
      </c>
      <c r="G199" s="53" t="s">
        <v>5405</v>
      </c>
      <c r="H199" s="403" t="s">
        <v>4195</v>
      </c>
      <c r="I199" s="403" t="s">
        <v>4728</v>
      </c>
      <c r="J199" s="403" t="s">
        <v>5406</v>
      </c>
      <c r="K199" s="403" t="s">
        <v>3984</v>
      </c>
      <c r="L199" s="404" t="s">
        <v>2142</v>
      </c>
      <c r="M199" s="404" t="s">
        <v>111</v>
      </c>
      <c r="N199" s="404" t="s">
        <v>1150</v>
      </c>
      <c r="O199" s="54" t="s">
        <v>5425</v>
      </c>
      <c r="P199" s="22" t="s">
        <v>1880</v>
      </c>
      <c r="Q199" s="71" t="s">
        <v>1151</v>
      </c>
      <c r="R199" s="403" t="s">
        <v>1152</v>
      </c>
      <c r="S199" s="24" t="s">
        <v>5401</v>
      </c>
      <c r="T199" s="90" t="s">
        <v>5386</v>
      </c>
      <c r="U199" s="404" t="s">
        <v>2359</v>
      </c>
      <c r="V199" s="404">
        <v>1</v>
      </c>
      <c r="W199" s="22" t="s">
        <v>1880</v>
      </c>
      <c r="X199" s="22" t="s">
        <v>1880</v>
      </c>
      <c r="Y199" s="30">
        <v>9.4</v>
      </c>
      <c r="Z199" s="30"/>
      <c r="AA199" s="30">
        <v>9.4</v>
      </c>
      <c r="AB199" s="35" t="s">
        <v>1104</v>
      </c>
      <c r="AC199" s="35" t="s">
        <v>5194</v>
      </c>
      <c r="AD199" s="35" t="s">
        <v>1880</v>
      </c>
      <c r="AE199" s="403"/>
    </row>
    <row r="200" spans="1:31" s="11" customFormat="1" ht="36" customHeight="1" x14ac:dyDescent="0.15">
      <c r="A200" s="8">
        <v>198</v>
      </c>
      <c r="B200" s="218" t="s">
        <v>5408</v>
      </c>
      <c r="C200" s="404" t="s">
        <v>111</v>
      </c>
      <c r="D200" s="404" t="s">
        <v>111</v>
      </c>
      <c r="E200" s="404" t="s">
        <v>111</v>
      </c>
      <c r="F200" s="29" t="s">
        <v>5409</v>
      </c>
      <c r="G200" s="53" t="s">
        <v>5410</v>
      </c>
      <c r="H200" s="404" t="s">
        <v>1147</v>
      </c>
      <c r="I200" s="404" t="s">
        <v>2054</v>
      </c>
      <c r="J200" s="21" t="s">
        <v>3735</v>
      </c>
      <c r="K200" s="403" t="s">
        <v>3736</v>
      </c>
      <c r="L200" s="404" t="s">
        <v>1826</v>
      </c>
      <c r="M200" s="404" t="s">
        <v>111</v>
      </c>
      <c r="N200" s="404" t="s">
        <v>1818</v>
      </c>
      <c r="O200" s="151" t="s">
        <v>4644</v>
      </c>
      <c r="P200" s="22" t="s">
        <v>1880</v>
      </c>
      <c r="Q200" s="403" t="s">
        <v>1151</v>
      </c>
      <c r="R200" s="403" t="s">
        <v>1151</v>
      </c>
      <c r="S200" s="24" t="s">
        <v>5401</v>
      </c>
      <c r="T200" s="90" t="s">
        <v>5343</v>
      </c>
      <c r="U200" s="404" t="s">
        <v>2359</v>
      </c>
      <c r="V200" s="404">
        <v>1</v>
      </c>
      <c r="W200" s="22" t="s">
        <v>1880</v>
      </c>
      <c r="X200" s="22" t="s">
        <v>1880</v>
      </c>
      <c r="Y200" s="30">
        <v>0.6</v>
      </c>
      <c r="Z200" s="30"/>
      <c r="AA200" s="30">
        <v>0.6</v>
      </c>
      <c r="AB200" s="35" t="s">
        <v>1104</v>
      </c>
      <c r="AC200" s="202" t="s">
        <v>1880</v>
      </c>
      <c r="AD200" s="35" t="s">
        <v>1880</v>
      </c>
      <c r="AE200" s="403"/>
    </row>
    <row r="201" spans="1:31" s="11" customFormat="1" ht="39.75" customHeight="1" x14ac:dyDescent="0.15">
      <c r="A201" s="8">
        <v>199</v>
      </c>
      <c r="B201" s="218" t="s">
        <v>5411</v>
      </c>
      <c r="C201" s="405" t="s">
        <v>5412</v>
      </c>
      <c r="D201" s="406" t="s">
        <v>111</v>
      </c>
      <c r="E201" s="406" t="s">
        <v>111</v>
      </c>
      <c r="F201" s="29" t="s">
        <v>3498</v>
      </c>
      <c r="G201" s="53" t="s">
        <v>5413</v>
      </c>
      <c r="H201" s="406" t="s">
        <v>1147</v>
      </c>
      <c r="I201" s="406" t="s">
        <v>1146</v>
      </c>
      <c r="J201" s="21" t="s">
        <v>3505</v>
      </c>
      <c r="K201" s="405" t="s">
        <v>3506</v>
      </c>
      <c r="L201" s="406" t="s">
        <v>1826</v>
      </c>
      <c r="M201" s="406">
        <v>51</v>
      </c>
      <c r="N201" s="406" t="s">
        <v>1150</v>
      </c>
      <c r="O201" s="54" t="s">
        <v>5400</v>
      </c>
      <c r="P201" s="22" t="s">
        <v>1880</v>
      </c>
      <c r="Q201" s="71" t="s">
        <v>1151</v>
      </c>
      <c r="R201" s="405" t="s">
        <v>1152</v>
      </c>
      <c r="S201" s="24" t="s">
        <v>5414</v>
      </c>
      <c r="T201" s="90" t="s">
        <v>5386</v>
      </c>
      <c r="U201" s="415" t="s">
        <v>2359</v>
      </c>
      <c r="V201" s="415">
        <v>1</v>
      </c>
      <c r="W201" s="22" t="s">
        <v>1880</v>
      </c>
      <c r="X201" s="22" t="s">
        <v>1880</v>
      </c>
      <c r="Y201" s="30">
        <v>9.4</v>
      </c>
      <c r="Z201" s="30"/>
      <c r="AA201" s="30">
        <v>9.4</v>
      </c>
      <c r="AB201" s="35" t="s">
        <v>1104</v>
      </c>
      <c r="AC201" s="35" t="s">
        <v>4756</v>
      </c>
      <c r="AD201" s="35" t="s">
        <v>1880</v>
      </c>
      <c r="AE201" s="403"/>
    </row>
    <row r="202" spans="1:31" s="11" customFormat="1" ht="26.25" customHeight="1" x14ac:dyDescent="0.15">
      <c r="A202" s="8">
        <v>200</v>
      </c>
      <c r="B202" s="218" t="s">
        <v>5415</v>
      </c>
      <c r="C202" s="71" t="s">
        <v>5417</v>
      </c>
      <c r="D202" s="711" t="s">
        <v>9462</v>
      </c>
      <c r="E202" s="218" t="s">
        <v>6597</v>
      </c>
      <c r="F202" s="29" t="s">
        <v>2463</v>
      </c>
      <c r="G202" s="53" t="s">
        <v>5421</v>
      </c>
      <c r="H202" s="407" t="s">
        <v>4195</v>
      </c>
      <c r="I202" s="407" t="s">
        <v>5419</v>
      </c>
      <c r="J202" s="407" t="s">
        <v>5420</v>
      </c>
      <c r="K202" s="408" t="s">
        <v>1138</v>
      </c>
      <c r="L202" s="408" t="s">
        <v>1826</v>
      </c>
      <c r="M202" s="408" t="s">
        <v>111</v>
      </c>
      <c r="N202" s="407" t="s">
        <v>1131</v>
      </c>
      <c r="O202" s="54" t="s">
        <v>5423</v>
      </c>
      <c r="P202" s="22" t="s">
        <v>1880</v>
      </c>
      <c r="Q202" s="71" t="s">
        <v>1152</v>
      </c>
      <c r="R202" s="407" t="s">
        <v>1152</v>
      </c>
      <c r="S202" s="24" t="s">
        <v>5414</v>
      </c>
      <c r="T202" s="90" t="s">
        <v>5396</v>
      </c>
      <c r="U202" s="24" t="s">
        <v>1800</v>
      </c>
      <c r="V202" s="10">
        <v>1</v>
      </c>
      <c r="W202" s="24" t="s">
        <v>5362</v>
      </c>
      <c r="X202" s="22" t="s">
        <v>1880</v>
      </c>
      <c r="Y202" s="30">
        <v>43</v>
      </c>
      <c r="Z202" s="30"/>
      <c r="AA202" s="30">
        <v>43</v>
      </c>
      <c r="AB202" s="35" t="s">
        <v>1104</v>
      </c>
      <c r="AC202" s="35" t="s">
        <v>5424</v>
      </c>
      <c r="AD202" s="35" t="s">
        <v>1880</v>
      </c>
      <c r="AE202" s="407"/>
    </row>
    <row r="203" spans="1:31" s="11" customFormat="1" ht="26.25" customHeight="1" x14ac:dyDescent="0.15">
      <c r="A203" s="8">
        <v>201</v>
      </c>
      <c r="B203" s="218" t="s">
        <v>5416</v>
      </c>
      <c r="C203" s="71" t="s">
        <v>5418</v>
      </c>
      <c r="D203" s="408" t="s">
        <v>111</v>
      </c>
      <c r="E203" s="218" t="s">
        <v>6700</v>
      </c>
      <c r="F203" s="29" t="s">
        <v>2463</v>
      </c>
      <c r="G203" s="53" t="s">
        <v>5422</v>
      </c>
      <c r="H203" s="407" t="s">
        <v>4195</v>
      </c>
      <c r="I203" s="407" t="s">
        <v>5419</v>
      </c>
      <c r="J203" s="407" t="s">
        <v>5420</v>
      </c>
      <c r="K203" s="408" t="s">
        <v>1138</v>
      </c>
      <c r="L203" s="408" t="s">
        <v>1826</v>
      </c>
      <c r="M203" s="408" t="s">
        <v>111</v>
      </c>
      <c r="N203" s="408" t="s">
        <v>1150</v>
      </c>
      <c r="O203" s="54" t="s">
        <v>5400</v>
      </c>
      <c r="P203" s="22" t="s">
        <v>1880</v>
      </c>
      <c r="Q203" s="71" t="s">
        <v>1152</v>
      </c>
      <c r="R203" s="407" t="s">
        <v>1152</v>
      </c>
      <c r="S203" s="24" t="s">
        <v>5414</v>
      </c>
      <c r="T203" s="90" t="s">
        <v>5396</v>
      </c>
      <c r="U203" s="24" t="s">
        <v>1800</v>
      </c>
      <c r="V203" s="10">
        <v>1</v>
      </c>
      <c r="W203" s="22" t="s">
        <v>1880</v>
      </c>
      <c r="X203" s="22" t="s">
        <v>1880</v>
      </c>
      <c r="Y203" s="30">
        <v>12</v>
      </c>
      <c r="Z203" s="30"/>
      <c r="AA203" s="30">
        <v>12</v>
      </c>
      <c r="AB203" s="35" t="s">
        <v>1104</v>
      </c>
      <c r="AC203" s="35" t="s">
        <v>5424</v>
      </c>
      <c r="AD203" s="35" t="s">
        <v>1880</v>
      </c>
      <c r="AE203" s="407"/>
    </row>
    <row r="204" spans="1:31" s="11" customFormat="1" ht="26.25" customHeight="1" x14ac:dyDescent="0.15">
      <c r="A204" s="8">
        <v>202</v>
      </c>
      <c r="B204" s="218" t="s">
        <v>5427</v>
      </c>
      <c r="C204" s="409" t="s">
        <v>5428</v>
      </c>
      <c r="D204" s="410" t="s">
        <v>111</v>
      </c>
      <c r="E204" s="410" t="s">
        <v>111</v>
      </c>
      <c r="F204" s="29" t="s">
        <v>5429</v>
      </c>
      <c r="G204" s="53" t="s">
        <v>5467</v>
      </c>
      <c r="H204" s="409" t="s">
        <v>4712</v>
      </c>
      <c r="I204" s="409" t="s">
        <v>4196</v>
      </c>
      <c r="J204" s="409" t="s">
        <v>5430</v>
      </c>
      <c r="K204" s="410" t="s">
        <v>1138</v>
      </c>
      <c r="L204" s="409" t="s">
        <v>5431</v>
      </c>
      <c r="M204" s="410" t="s">
        <v>111</v>
      </c>
      <c r="N204" s="28" t="s">
        <v>25</v>
      </c>
      <c r="O204" s="54" t="s">
        <v>2224</v>
      </c>
      <c r="P204" s="22" t="s">
        <v>1880</v>
      </c>
      <c r="Q204" s="403" t="s">
        <v>1811</v>
      </c>
      <c r="R204" s="403" t="s">
        <v>3248</v>
      </c>
      <c r="S204" s="24" t="s">
        <v>5468</v>
      </c>
      <c r="T204" s="90" t="s">
        <v>5469</v>
      </c>
      <c r="U204" s="415" t="s">
        <v>2359</v>
      </c>
      <c r="V204" s="415">
        <v>1</v>
      </c>
      <c r="W204" s="24" t="s">
        <v>4385</v>
      </c>
      <c r="X204" s="22" t="s">
        <v>4120</v>
      </c>
      <c r="Y204" s="30">
        <v>12.8</v>
      </c>
      <c r="Z204" s="30"/>
      <c r="AA204" s="30">
        <v>12.8</v>
      </c>
      <c r="AB204" s="35" t="s">
        <v>1104</v>
      </c>
      <c r="AC204" s="35" t="s">
        <v>5432</v>
      </c>
      <c r="AD204" s="35" t="s">
        <v>1880</v>
      </c>
      <c r="AE204" s="403" t="s">
        <v>5433</v>
      </c>
    </row>
    <row r="205" spans="1:31" s="11" customFormat="1" ht="26.25" customHeight="1" x14ac:dyDescent="0.15">
      <c r="A205" s="8">
        <v>203</v>
      </c>
      <c r="B205" s="218" t="s">
        <v>5438</v>
      </c>
      <c r="C205" s="412" t="s">
        <v>111</v>
      </c>
      <c r="D205" s="412" t="s">
        <v>111</v>
      </c>
      <c r="E205" s="412" t="s">
        <v>111</v>
      </c>
      <c r="F205" s="29" t="s">
        <v>3694</v>
      </c>
      <c r="G205" s="53" t="s">
        <v>5442</v>
      </c>
      <c r="H205" s="411" t="s">
        <v>4208</v>
      </c>
      <c r="I205" s="411" t="s">
        <v>5419</v>
      </c>
      <c r="J205" s="411" t="s">
        <v>5443</v>
      </c>
      <c r="K205" s="411" t="s">
        <v>4059</v>
      </c>
      <c r="L205" s="411" t="s">
        <v>5431</v>
      </c>
      <c r="M205" s="412" t="s">
        <v>111</v>
      </c>
      <c r="N205" s="28" t="s">
        <v>25</v>
      </c>
      <c r="O205" s="151" t="s">
        <v>1819</v>
      </c>
      <c r="P205" s="22" t="s">
        <v>1880</v>
      </c>
      <c r="Q205" s="411" t="s">
        <v>2348</v>
      </c>
      <c r="R205" s="411" t="s">
        <v>2348</v>
      </c>
      <c r="S205" s="24" t="s">
        <v>5444</v>
      </c>
      <c r="T205" s="90" t="s">
        <v>5445</v>
      </c>
      <c r="U205" s="412" t="s">
        <v>2359</v>
      </c>
      <c r="V205" s="412">
        <v>1</v>
      </c>
      <c r="W205" s="24" t="s">
        <v>4385</v>
      </c>
      <c r="X205" s="24" t="s">
        <v>4120</v>
      </c>
      <c r="Y205" s="30"/>
      <c r="Z205" s="30">
        <v>8</v>
      </c>
      <c r="AA205" s="30">
        <v>8</v>
      </c>
      <c r="AB205" s="35" t="s">
        <v>1104</v>
      </c>
      <c r="AC205" s="202" t="s">
        <v>1880</v>
      </c>
      <c r="AD205" s="35" t="s">
        <v>1880</v>
      </c>
      <c r="AE205" s="411" t="s">
        <v>5446</v>
      </c>
    </row>
    <row r="206" spans="1:31" s="11" customFormat="1" ht="38.25" customHeight="1" x14ac:dyDescent="0.15">
      <c r="A206" s="8">
        <v>204</v>
      </c>
      <c r="B206" s="218" t="s">
        <v>5439</v>
      </c>
      <c r="C206" s="411" t="s">
        <v>5451</v>
      </c>
      <c r="D206" s="412" t="s">
        <v>111</v>
      </c>
      <c r="E206" s="412" t="s">
        <v>111</v>
      </c>
      <c r="F206" s="29" t="s">
        <v>2395</v>
      </c>
      <c r="G206" s="53" t="s">
        <v>5447</v>
      </c>
      <c r="H206" s="411" t="s">
        <v>5448</v>
      </c>
      <c r="I206" s="411" t="s">
        <v>1124</v>
      </c>
      <c r="J206" s="411" t="s">
        <v>5449</v>
      </c>
      <c r="K206" s="411" t="s">
        <v>2393</v>
      </c>
      <c r="L206" s="411" t="s">
        <v>5431</v>
      </c>
      <c r="M206" s="412" t="s">
        <v>111</v>
      </c>
      <c r="N206" s="411" t="s">
        <v>1131</v>
      </c>
      <c r="O206" s="54" t="s">
        <v>5317</v>
      </c>
      <c r="P206" s="22" t="s">
        <v>1880</v>
      </c>
      <c r="Q206" s="411" t="s">
        <v>2348</v>
      </c>
      <c r="R206" s="411" t="s">
        <v>2348</v>
      </c>
      <c r="S206" s="24" t="s">
        <v>5444</v>
      </c>
      <c r="T206" s="90" t="s">
        <v>5450</v>
      </c>
      <c r="U206" s="24" t="s">
        <v>1800</v>
      </c>
      <c r="V206" s="10">
        <v>1</v>
      </c>
      <c r="W206" s="22" t="s">
        <v>1880</v>
      </c>
      <c r="X206" s="22" t="s">
        <v>1880</v>
      </c>
      <c r="Y206" s="30">
        <v>9</v>
      </c>
      <c r="Z206" s="30"/>
      <c r="AA206" s="30">
        <v>9</v>
      </c>
      <c r="AB206" s="35" t="s">
        <v>1104</v>
      </c>
      <c r="AC206" s="202" t="s">
        <v>1880</v>
      </c>
      <c r="AD206" s="35" t="s">
        <v>1880</v>
      </c>
      <c r="AE206" s="411"/>
    </row>
    <row r="207" spans="1:31" s="11" customFormat="1" ht="39.75" customHeight="1" x14ac:dyDescent="0.15">
      <c r="A207" s="8">
        <v>205</v>
      </c>
      <c r="B207" s="218" t="s">
        <v>5440</v>
      </c>
      <c r="C207" s="411" t="s">
        <v>5452</v>
      </c>
      <c r="D207" s="412" t="s">
        <v>111</v>
      </c>
      <c r="E207" s="412" t="s">
        <v>111</v>
      </c>
      <c r="F207" s="29" t="s">
        <v>2395</v>
      </c>
      <c r="G207" s="53" t="s">
        <v>5453</v>
      </c>
      <c r="H207" s="411" t="s">
        <v>5448</v>
      </c>
      <c r="I207" s="411" t="s">
        <v>1124</v>
      </c>
      <c r="J207" s="411" t="s">
        <v>5454</v>
      </c>
      <c r="K207" s="411" t="s">
        <v>4217</v>
      </c>
      <c r="L207" s="411" t="s">
        <v>5431</v>
      </c>
      <c r="M207" s="412" t="s">
        <v>111</v>
      </c>
      <c r="N207" s="411" t="s">
        <v>1131</v>
      </c>
      <c r="O207" s="54" t="s">
        <v>5317</v>
      </c>
      <c r="P207" s="22" t="s">
        <v>1880</v>
      </c>
      <c r="Q207" s="411" t="s">
        <v>2348</v>
      </c>
      <c r="R207" s="411" t="s">
        <v>2348</v>
      </c>
      <c r="S207" s="24" t="s">
        <v>5444</v>
      </c>
      <c r="T207" s="90" t="s">
        <v>5450</v>
      </c>
      <c r="U207" s="24" t="s">
        <v>1800</v>
      </c>
      <c r="V207" s="10">
        <v>1</v>
      </c>
      <c r="W207" s="22" t="s">
        <v>1880</v>
      </c>
      <c r="X207" s="22" t="s">
        <v>1880</v>
      </c>
      <c r="Y207" s="30">
        <v>9</v>
      </c>
      <c r="Z207" s="30"/>
      <c r="AA207" s="30">
        <v>9</v>
      </c>
      <c r="AB207" s="35" t="s">
        <v>1104</v>
      </c>
      <c r="AC207" s="202" t="s">
        <v>1880</v>
      </c>
      <c r="AD207" s="35" t="s">
        <v>1880</v>
      </c>
      <c r="AE207" s="411"/>
    </row>
    <row r="208" spans="1:31" s="11" customFormat="1" ht="26.25" customHeight="1" x14ac:dyDescent="0.15">
      <c r="A208" s="8">
        <v>206</v>
      </c>
      <c r="B208" s="218" t="s">
        <v>5441</v>
      </c>
      <c r="C208" s="412" t="s">
        <v>111</v>
      </c>
      <c r="D208" s="430" t="s">
        <v>5534</v>
      </c>
      <c r="E208" s="412" t="s">
        <v>111</v>
      </c>
      <c r="F208" s="29" t="s">
        <v>5455</v>
      </c>
      <c r="G208" s="53" t="s">
        <v>5470</v>
      </c>
      <c r="H208" s="411" t="s">
        <v>5456</v>
      </c>
      <c r="I208" s="411" t="s">
        <v>5419</v>
      </c>
      <c r="J208" s="411" t="s">
        <v>5457</v>
      </c>
      <c r="K208" s="412" t="s">
        <v>1138</v>
      </c>
      <c r="L208" s="411" t="s">
        <v>5431</v>
      </c>
      <c r="M208" s="412" t="s">
        <v>111</v>
      </c>
      <c r="N208" s="411" t="s">
        <v>1131</v>
      </c>
      <c r="O208" s="151" t="s">
        <v>4854</v>
      </c>
      <c r="P208" s="22" t="s">
        <v>1880</v>
      </c>
      <c r="Q208" s="411" t="s">
        <v>3591</v>
      </c>
      <c r="R208" s="411" t="s">
        <v>3591</v>
      </c>
      <c r="S208" s="24" t="s">
        <v>5471</v>
      </c>
      <c r="T208" s="90">
        <v>2019.12</v>
      </c>
      <c r="U208" s="416" t="s">
        <v>2359</v>
      </c>
      <c r="V208" s="416">
        <v>2</v>
      </c>
      <c r="W208" s="22" t="s">
        <v>1880</v>
      </c>
      <c r="X208" s="22" t="s">
        <v>1880</v>
      </c>
      <c r="Y208" s="30">
        <v>1.548</v>
      </c>
      <c r="Z208" s="30"/>
      <c r="AA208" s="30">
        <v>1.548</v>
      </c>
      <c r="AB208" s="35" t="s">
        <v>1104</v>
      </c>
      <c r="AC208" s="202" t="s">
        <v>1880</v>
      </c>
      <c r="AD208" s="35" t="s">
        <v>1880</v>
      </c>
      <c r="AE208" s="411"/>
    </row>
    <row r="209" spans="1:31" s="11" customFormat="1" ht="26.25" customHeight="1" x14ac:dyDescent="0.15">
      <c r="A209" s="8">
        <v>207</v>
      </c>
      <c r="B209" s="218" t="s">
        <v>5466</v>
      </c>
      <c r="C209" s="414" t="s">
        <v>111</v>
      </c>
      <c r="D209" s="430" t="s">
        <v>111</v>
      </c>
      <c r="E209" s="414" t="s">
        <v>111</v>
      </c>
      <c r="F209" s="29" t="s">
        <v>2133</v>
      </c>
      <c r="G209" s="53" t="s">
        <v>5460</v>
      </c>
      <c r="H209" s="413" t="s">
        <v>3649</v>
      </c>
      <c r="I209" s="413" t="s">
        <v>5461</v>
      </c>
      <c r="J209" s="413" t="s">
        <v>4355</v>
      </c>
      <c r="K209" s="413" t="s">
        <v>2156</v>
      </c>
      <c r="L209" s="413" t="s">
        <v>5431</v>
      </c>
      <c r="M209" s="414" t="s">
        <v>111</v>
      </c>
      <c r="N209" s="413" t="s">
        <v>1131</v>
      </c>
      <c r="O209" s="151" t="s">
        <v>1819</v>
      </c>
      <c r="P209" s="22" t="s">
        <v>1880</v>
      </c>
      <c r="Q209" s="411" t="s">
        <v>1831</v>
      </c>
      <c r="R209" s="411" t="s">
        <v>1831</v>
      </c>
      <c r="S209" s="24" t="s">
        <v>5462</v>
      </c>
      <c r="T209" s="90" t="s">
        <v>5463</v>
      </c>
      <c r="U209" s="414" t="s">
        <v>2359</v>
      </c>
      <c r="V209" s="414">
        <v>1</v>
      </c>
      <c r="W209" s="24" t="s">
        <v>5464</v>
      </c>
      <c r="X209" s="24" t="s">
        <v>5465</v>
      </c>
      <c r="Y209" s="30"/>
      <c r="Z209" s="30">
        <v>10</v>
      </c>
      <c r="AA209" s="30">
        <v>10</v>
      </c>
      <c r="AB209" s="35" t="s">
        <v>1104</v>
      </c>
      <c r="AC209" s="202" t="s">
        <v>1880</v>
      </c>
      <c r="AD209" s="35" t="s">
        <v>1880</v>
      </c>
      <c r="AE209" s="411"/>
    </row>
    <row r="210" spans="1:31" s="11" customFormat="1" ht="26.25" customHeight="1" x14ac:dyDescent="0.15">
      <c r="A210" s="8"/>
      <c r="B210" s="8"/>
      <c r="C210" s="356"/>
      <c r="D210" s="356"/>
      <c r="E210" s="356"/>
      <c r="F210" s="29"/>
      <c r="G210" s="53"/>
      <c r="H210" s="356"/>
      <c r="I210" s="356"/>
      <c r="J210" s="356"/>
      <c r="K210" s="356"/>
      <c r="L210" s="356"/>
      <c r="M210" s="356"/>
      <c r="N210" s="356"/>
      <c r="O210" s="151"/>
      <c r="P210" s="22"/>
      <c r="Q210" s="355"/>
      <c r="R210" s="355"/>
      <c r="S210" s="24"/>
      <c r="T210" s="90"/>
      <c r="U210" s="24"/>
      <c r="V210" s="10"/>
      <c r="W210" s="24"/>
      <c r="X210" s="24"/>
      <c r="Y210" s="30"/>
      <c r="Z210" s="30"/>
      <c r="AA210" s="30"/>
      <c r="AB210" s="35"/>
      <c r="AC210" s="35"/>
      <c r="AD210" s="35"/>
      <c r="AE210" s="355"/>
    </row>
    <row r="211" spans="1:31" s="11" customFormat="1" ht="26.25" customHeight="1" x14ac:dyDescent="0.15">
      <c r="A211" s="8"/>
      <c r="B211" s="36"/>
      <c r="C211" s="26"/>
      <c r="D211" s="26"/>
      <c r="E211" s="26"/>
      <c r="F211" s="29"/>
      <c r="G211" s="53"/>
      <c r="H211" s="20"/>
      <c r="I211" s="1"/>
      <c r="J211" s="37"/>
      <c r="K211" s="22"/>
      <c r="L211" s="22"/>
      <c r="M211" s="22"/>
      <c r="N211" s="9"/>
      <c r="O211" s="54"/>
      <c r="P211" s="22"/>
      <c r="Q211" s="9"/>
      <c r="R211" s="9"/>
      <c r="S211" s="24"/>
      <c r="T211" s="90"/>
      <c r="U211" s="146" t="s">
        <v>3144</v>
      </c>
      <c r="V211" s="146"/>
      <c r="W211" s="146"/>
      <c r="X211" s="146"/>
      <c r="Y211" s="148">
        <f>SUM(Y3:Y210)</f>
        <v>1193.5414840000001</v>
      </c>
      <c r="Z211" s="148">
        <f>SUM(Z3:Z210)</f>
        <v>1167.5200000000004</v>
      </c>
      <c r="AA211" s="148">
        <f>SUM(AA3:AA210)</f>
        <v>2361.0614840000003</v>
      </c>
      <c r="AB211" s="35"/>
      <c r="AC211" s="35"/>
      <c r="AD211" s="35"/>
      <c r="AE211" s="9"/>
    </row>
    <row r="212" spans="1:31" x14ac:dyDescent="0.15">
      <c r="C212" t="s">
        <v>4680</v>
      </c>
    </row>
  </sheetData>
  <autoFilter ref="A2:AE212" xr:uid="{00000000-0009-0000-0000-000003000000}"/>
  <mergeCells count="4">
    <mergeCell ref="A1:AD1"/>
    <mergeCell ref="AE31:AE32"/>
    <mergeCell ref="AE25:AE26"/>
    <mergeCell ref="AE27:AE28"/>
  </mergeCells>
  <phoneticPr fontId="22"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42"/>
  <sheetViews>
    <sheetView zoomScaleNormal="100" workbookViewId="0">
      <pane xSplit="2" ySplit="2" topLeftCell="C146" activePane="bottomRight" state="frozen"/>
      <selection pane="topRight" activeCell="C1" sqref="C1"/>
      <selection pane="bottomLeft" activeCell="A3" sqref="A3"/>
      <selection pane="bottomRight" activeCell="H153" sqref="H153:K153"/>
    </sheetView>
  </sheetViews>
  <sheetFormatPr defaultRowHeight="27.95" customHeight="1" x14ac:dyDescent="0.15"/>
  <cols>
    <col min="1" max="1" width="7.625" customWidth="1"/>
    <col min="2" max="2" width="15.75" style="38" customWidth="1"/>
    <col min="3" max="3" width="13.625" style="38" customWidth="1"/>
    <col min="4" max="4" width="13.75" style="38" customWidth="1"/>
    <col min="5" max="5" width="18.875" style="38" customWidth="1"/>
    <col min="6" max="6" width="26.125" style="57" customWidth="1"/>
    <col min="7" max="7" width="27.125" style="57" customWidth="1"/>
    <col min="8" max="9" width="9" style="38"/>
    <col min="10" max="10" width="13.375" style="38" customWidth="1"/>
    <col min="11" max="11" width="20.375" style="38" customWidth="1"/>
    <col min="12" max="13" width="9" style="38" customWidth="1"/>
    <col min="14" max="14" width="15.125" style="38" customWidth="1"/>
    <col min="15" max="15" width="26.125" style="57" customWidth="1"/>
    <col min="16" max="19" width="9" style="38" customWidth="1"/>
    <col min="20" max="20" width="9" style="51" customWidth="1"/>
    <col min="21" max="21" width="12.75" style="38" customWidth="1"/>
    <col min="22" max="24" width="9" style="38" customWidth="1"/>
    <col min="25" max="25" width="13.875" style="135" customWidth="1"/>
    <col min="26" max="27" width="11.75" style="135" customWidth="1"/>
    <col min="28" max="28" width="9" style="38" customWidth="1"/>
    <col min="29" max="29" width="11.125" style="38" customWidth="1"/>
    <col min="30" max="30" width="9" style="38" customWidth="1"/>
    <col min="31" max="31" width="29.875" customWidth="1"/>
  </cols>
  <sheetData>
    <row r="1" spans="1:31" s="3" customFormat="1" ht="33" customHeight="1" x14ac:dyDescent="0.15">
      <c r="A1" s="1953" t="s">
        <v>2311</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1" s="4" customFormat="1" ht="27.95" customHeight="1" x14ac:dyDescent="0.15">
      <c r="A2" s="25" t="s">
        <v>0</v>
      </c>
      <c r="B2" s="25" t="s">
        <v>1</v>
      </c>
      <c r="C2" s="25" t="s">
        <v>2</v>
      </c>
      <c r="D2" s="25" t="s">
        <v>3</v>
      </c>
      <c r="E2" s="25" t="s">
        <v>958</v>
      </c>
      <c r="F2" s="25" t="s">
        <v>4</v>
      </c>
      <c r="G2" s="25" t="s">
        <v>5</v>
      </c>
      <c r="H2" s="25" t="s">
        <v>4232</v>
      </c>
      <c r="I2" s="25" t="s">
        <v>6</v>
      </c>
      <c r="J2" s="25" t="s">
        <v>419</v>
      </c>
      <c r="K2" s="25" t="s">
        <v>420</v>
      </c>
      <c r="L2" s="25" t="s">
        <v>1825</v>
      </c>
      <c r="M2" s="25" t="s">
        <v>1857</v>
      </c>
      <c r="N2" s="25" t="s">
        <v>10</v>
      </c>
      <c r="O2" s="25" t="s">
        <v>8</v>
      </c>
      <c r="P2" s="25" t="s">
        <v>9</v>
      </c>
      <c r="Q2" s="25" t="s">
        <v>3342</v>
      </c>
      <c r="R2" s="25" t="s">
        <v>3343</v>
      </c>
      <c r="S2" s="25" t="s">
        <v>2126</v>
      </c>
      <c r="T2" s="49" t="s">
        <v>2127</v>
      </c>
      <c r="U2" s="32" t="s">
        <v>2128</v>
      </c>
      <c r="V2" s="32" t="s">
        <v>2129</v>
      </c>
      <c r="W2" s="25" t="s">
        <v>2130</v>
      </c>
      <c r="X2" s="25" t="s">
        <v>2131</v>
      </c>
      <c r="Y2" s="134" t="s">
        <v>429</v>
      </c>
      <c r="Z2" s="134" t="s">
        <v>2183</v>
      </c>
      <c r="AA2" s="134" t="s">
        <v>431</v>
      </c>
      <c r="AB2" s="25" t="s">
        <v>2124</v>
      </c>
      <c r="AC2" s="25" t="s">
        <v>2123</v>
      </c>
      <c r="AD2" s="25" t="s">
        <v>2125</v>
      </c>
      <c r="AE2" s="25" t="s">
        <v>3252</v>
      </c>
    </row>
    <row r="3" spans="1:31" s="11" customFormat="1" ht="26.25" customHeight="1" x14ac:dyDescent="0.15">
      <c r="A3" s="8">
        <v>1</v>
      </c>
      <c r="B3" s="36" t="s">
        <v>3419</v>
      </c>
      <c r="C3" s="26" t="s">
        <v>19</v>
      </c>
      <c r="D3" s="26" t="s">
        <v>19</v>
      </c>
      <c r="E3" s="26" t="s">
        <v>19</v>
      </c>
      <c r="F3" s="149" t="s">
        <v>845</v>
      </c>
      <c r="G3" s="53" t="s">
        <v>127</v>
      </c>
      <c r="H3" s="18" t="s">
        <v>1829</v>
      </c>
      <c r="I3" s="142" t="s">
        <v>849</v>
      </c>
      <c r="J3" s="21" t="s">
        <v>852</v>
      </c>
      <c r="K3" s="22" t="s">
        <v>855</v>
      </c>
      <c r="L3" s="22" t="s">
        <v>1826</v>
      </c>
      <c r="M3" s="22" t="s">
        <v>2309</v>
      </c>
      <c r="N3" s="9" t="s">
        <v>102</v>
      </c>
      <c r="O3" s="54" t="s">
        <v>851</v>
      </c>
      <c r="P3" s="22" t="s">
        <v>2309</v>
      </c>
      <c r="Q3" s="9" t="s">
        <v>854</v>
      </c>
      <c r="R3" s="9" t="s">
        <v>854</v>
      </c>
      <c r="S3" s="24" t="s">
        <v>111</v>
      </c>
      <c r="T3" s="90" t="s">
        <v>111</v>
      </c>
      <c r="U3" s="24" t="s">
        <v>111</v>
      </c>
      <c r="V3" s="24" t="s">
        <v>2310</v>
      </c>
      <c r="W3" s="24" t="s">
        <v>3420</v>
      </c>
      <c r="X3" s="24" t="s">
        <v>3421</v>
      </c>
      <c r="Y3" s="30"/>
      <c r="Z3" s="30">
        <v>12</v>
      </c>
      <c r="AA3" s="30">
        <f>Y3+Z3</f>
        <v>12</v>
      </c>
      <c r="AB3" s="35" t="s">
        <v>2043</v>
      </c>
      <c r="AC3" s="202" t="s">
        <v>2538</v>
      </c>
      <c r="AD3" s="35" t="s">
        <v>2309</v>
      </c>
      <c r="AE3" s="9"/>
    </row>
    <row r="4" spans="1:31" s="11" customFormat="1" ht="26.25" customHeight="1" x14ac:dyDescent="0.15">
      <c r="A4" s="8">
        <v>2</v>
      </c>
      <c r="B4" s="36" t="s">
        <v>3422</v>
      </c>
      <c r="C4" s="26" t="s">
        <v>19</v>
      </c>
      <c r="D4" s="26" t="s">
        <v>19</v>
      </c>
      <c r="E4" s="26" t="s">
        <v>19</v>
      </c>
      <c r="F4" s="29" t="s">
        <v>846</v>
      </c>
      <c r="G4" s="53" t="s">
        <v>19</v>
      </c>
      <c r="H4" s="20" t="s">
        <v>2032</v>
      </c>
      <c r="I4" s="102" t="s">
        <v>819</v>
      </c>
      <c r="J4" s="37" t="s">
        <v>1130</v>
      </c>
      <c r="K4" s="37" t="s">
        <v>850</v>
      </c>
      <c r="L4" s="22" t="s">
        <v>1826</v>
      </c>
      <c r="M4" s="22" t="s">
        <v>2309</v>
      </c>
      <c r="N4" s="9" t="s">
        <v>102</v>
      </c>
      <c r="O4" s="54" t="s">
        <v>851</v>
      </c>
      <c r="P4" s="22" t="s">
        <v>2309</v>
      </c>
      <c r="Q4" s="9" t="s">
        <v>446</v>
      </c>
      <c r="R4" s="9" t="s">
        <v>446</v>
      </c>
      <c r="S4" s="24" t="s">
        <v>111</v>
      </c>
      <c r="T4" s="90" t="s">
        <v>111</v>
      </c>
      <c r="U4" s="24" t="s">
        <v>111</v>
      </c>
      <c r="V4" s="24" t="s">
        <v>111</v>
      </c>
      <c r="W4" s="24" t="s">
        <v>3420</v>
      </c>
      <c r="X4" s="24" t="s">
        <v>3421</v>
      </c>
      <c r="Y4" s="30"/>
      <c r="Z4" s="30">
        <v>10</v>
      </c>
      <c r="AA4" s="30">
        <f t="shared" ref="AA4:AA19" si="0">Y4+Z4</f>
        <v>10</v>
      </c>
      <c r="AB4" s="35" t="s">
        <v>2043</v>
      </c>
      <c r="AC4" s="202" t="s">
        <v>2538</v>
      </c>
      <c r="AD4" s="35" t="s">
        <v>2309</v>
      </c>
      <c r="AE4" s="9"/>
    </row>
    <row r="5" spans="1:31" s="11" customFormat="1" ht="26.25" customHeight="1" x14ac:dyDescent="0.15">
      <c r="A5" s="8">
        <v>3</v>
      </c>
      <c r="B5" s="36" t="s">
        <v>3423</v>
      </c>
      <c r="C5" s="26" t="s">
        <v>19</v>
      </c>
      <c r="D5" s="26" t="s">
        <v>19</v>
      </c>
      <c r="E5" s="26" t="s">
        <v>19</v>
      </c>
      <c r="F5" s="29" t="s">
        <v>848</v>
      </c>
      <c r="G5" s="53" t="s">
        <v>19</v>
      </c>
      <c r="H5" s="20" t="s">
        <v>2032</v>
      </c>
      <c r="I5" s="102" t="s">
        <v>819</v>
      </c>
      <c r="J5" s="37" t="s">
        <v>1129</v>
      </c>
      <c r="K5" s="22" t="s">
        <v>856</v>
      </c>
      <c r="L5" s="22" t="s">
        <v>1826</v>
      </c>
      <c r="M5" s="22" t="s">
        <v>2309</v>
      </c>
      <c r="N5" s="9" t="s">
        <v>102</v>
      </c>
      <c r="O5" s="54" t="s">
        <v>851</v>
      </c>
      <c r="P5" s="22" t="s">
        <v>2309</v>
      </c>
      <c r="Q5" s="9" t="s">
        <v>446</v>
      </c>
      <c r="R5" s="9" t="s">
        <v>446</v>
      </c>
      <c r="S5" s="24" t="s">
        <v>111</v>
      </c>
      <c r="T5" s="90" t="s">
        <v>111</v>
      </c>
      <c r="U5" s="24" t="s">
        <v>111</v>
      </c>
      <c r="V5" s="24" t="s">
        <v>111</v>
      </c>
      <c r="W5" s="24" t="s">
        <v>3420</v>
      </c>
      <c r="X5" s="24" t="s">
        <v>3421</v>
      </c>
      <c r="Y5" s="30"/>
      <c r="Z5" s="30">
        <v>10</v>
      </c>
      <c r="AA5" s="30">
        <f t="shared" si="0"/>
        <v>10</v>
      </c>
      <c r="AB5" s="35" t="s">
        <v>2043</v>
      </c>
      <c r="AC5" s="202" t="s">
        <v>2538</v>
      </c>
      <c r="AD5" s="35" t="s">
        <v>2309</v>
      </c>
      <c r="AE5" s="9"/>
    </row>
    <row r="6" spans="1:31" s="11" customFormat="1" ht="26.25" customHeight="1" x14ac:dyDescent="0.15">
      <c r="A6" s="8">
        <v>4</v>
      </c>
      <c r="B6" s="36" t="s">
        <v>1128</v>
      </c>
      <c r="C6" s="26" t="s">
        <v>19</v>
      </c>
      <c r="D6" s="26" t="s">
        <v>19</v>
      </c>
      <c r="E6" s="26" t="s">
        <v>19</v>
      </c>
      <c r="F6" s="29" t="s">
        <v>268</v>
      </c>
      <c r="G6" s="53" t="s">
        <v>19</v>
      </c>
      <c r="H6" s="20" t="s">
        <v>2032</v>
      </c>
      <c r="I6" s="20" t="s">
        <v>270</v>
      </c>
      <c r="J6" s="21" t="s">
        <v>610</v>
      </c>
      <c r="K6" s="21" t="s">
        <v>609</v>
      </c>
      <c r="L6" s="22" t="s">
        <v>1826</v>
      </c>
      <c r="M6" s="22" t="s">
        <v>2309</v>
      </c>
      <c r="N6" s="22" t="s">
        <v>102</v>
      </c>
      <c r="O6" s="47" t="s">
        <v>116</v>
      </c>
      <c r="P6" s="22" t="s">
        <v>2309</v>
      </c>
      <c r="Q6" s="21" t="s">
        <v>226</v>
      </c>
      <c r="R6" s="21" t="s">
        <v>226</v>
      </c>
      <c r="S6" s="24" t="s">
        <v>111</v>
      </c>
      <c r="T6" s="90" t="s">
        <v>111</v>
      </c>
      <c r="U6" s="24" t="s">
        <v>111</v>
      </c>
      <c r="V6" s="24" t="s">
        <v>111</v>
      </c>
      <c r="W6" s="24" t="s">
        <v>955</v>
      </c>
      <c r="X6" s="24" t="s">
        <v>956</v>
      </c>
      <c r="Y6" s="30"/>
      <c r="Z6" s="30">
        <v>7</v>
      </c>
      <c r="AA6" s="30">
        <f t="shared" si="0"/>
        <v>7</v>
      </c>
      <c r="AB6" s="35" t="s">
        <v>2043</v>
      </c>
      <c r="AC6" s="202" t="s">
        <v>2538</v>
      </c>
      <c r="AD6" s="35" t="s">
        <v>2309</v>
      </c>
      <c r="AE6" s="9"/>
    </row>
    <row r="7" spans="1:31" s="11" customFormat="1" ht="26.25" customHeight="1" x14ac:dyDescent="0.15">
      <c r="A7" s="8">
        <v>5</v>
      </c>
      <c r="B7" s="8" t="s">
        <v>1120</v>
      </c>
      <c r="C7" s="26" t="s">
        <v>19</v>
      </c>
      <c r="D7" s="26" t="s">
        <v>19</v>
      </c>
      <c r="E7" s="26" t="s">
        <v>19</v>
      </c>
      <c r="F7" s="52" t="s">
        <v>1121</v>
      </c>
      <c r="G7" s="53" t="s">
        <v>1123</v>
      </c>
      <c r="H7" s="20" t="s">
        <v>2112</v>
      </c>
      <c r="I7" s="20" t="s">
        <v>1124</v>
      </c>
      <c r="J7" s="22" t="s">
        <v>1125</v>
      </c>
      <c r="K7" s="22" t="s">
        <v>1126</v>
      </c>
      <c r="L7" s="22" t="s">
        <v>1826</v>
      </c>
      <c r="M7" s="22" t="s">
        <v>2309</v>
      </c>
      <c r="N7" s="9" t="s">
        <v>102</v>
      </c>
      <c r="O7" s="54" t="s">
        <v>1122</v>
      </c>
      <c r="P7" s="22" t="s">
        <v>2309</v>
      </c>
      <c r="Q7" s="9" t="s">
        <v>446</v>
      </c>
      <c r="R7" s="9" t="s">
        <v>446</v>
      </c>
      <c r="S7" s="34" t="s">
        <v>3424</v>
      </c>
      <c r="T7" s="50" t="s">
        <v>3425</v>
      </c>
      <c r="U7" s="10" t="s">
        <v>110</v>
      </c>
      <c r="V7" s="10">
        <v>1</v>
      </c>
      <c r="W7" s="24" t="s">
        <v>3420</v>
      </c>
      <c r="X7" s="24" t="s">
        <v>3426</v>
      </c>
      <c r="Y7" s="30"/>
      <c r="Z7" s="30">
        <v>45</v>
      </c>
      <c r="AA7" s="30">
        <f t="shared" si="0"/>
        <v>45</v>
      </c>
      <c r="AB7" s="35" t="s">
        <v>2043</v>
      </c>
      <c r="AC7" s="35" t="s">
        <v>2539</v>
      </c>
      <c r="AD7" s="35" t="s">
        <v>2309</v>
      </c>
      <c r="AE7" s="9"/>
    </row>
    <row r="8" spans="1:31" s="11" customFormat="1" ht="33.75" x14ac:dyDescent="0.15">
      <c r="A8" s="8">
        <v>6</v>
      </c>
      <c r="B8" s="8" t="s">
        <v>2008</v>
      </c>
      <c r="C8" s="26" t="s">
        <v>1139</v>
      </c>
      <c r="D8" s="26" t="s">
        <v>1132</v>
      </c>
      <c r="E8" s="26" t="s">
        <v>4958</v>
      </c>
      <c r="F8" s="52" t="s">
        <v>1135</v>
      </c>
      <c r="G8" s="53" t="s">
        <v>1858</v>
      </c>
      <c r="H8" s="18" t="s">
        <v>1829</v>
      </c>
      <c r="I8" s="20" t="s">
        <v>1136</v>
      </c>
      <c r="J8" s="22" t="s">
        <v>1137</v>
      </c>
      <c r="K8" s="22" t="s">
        <v>1138</v>
      </c>
      <c r="L8" s="22" t="s">
        <v>1826</v>
      </c>
      <c r="M8" s="22" t="s">
        <v>1859</v>
      </c>
      <c r="N8" s="9" t="s">
        <v>1131</v>
      </c>
      <c r="O8" s="54" t="s">
        <v>2332</v>
      </c>
      <c r="P8" s="22" t="s">
        <v>2309</v>
      </c>
      <c r="Q8" s="9" t="s">
        <v>1133</v>
      </c>
      <c r="R8" s="9" t="s">
        <v>1133</v>
      </c>
      <c r="S8" s="34" t="s">
        <v>1134</v>
      </c>
      <c r="T8" s="50" t="s">
        <v>1134</v>
      </c>
      <c r="U8" s="10" t="s">
        <v>110</v>
      </c>
      <c r="V8" s="10">
        <v>2</v>
      </c>
      <c r="W8" s="24" t="s">
        <v>2512</v>
      </c>
      <c r="X8" s="24"/>
      <c r="Y8" s="30">
        <v>67.156000000000006</v>
      </c>
      <c r="Z8" s="30"/>
      <c r="AA8" s="30">
        <f t="shared" si="0"/>
        <v>67.156000000000006</v>
      </c>
      <c r="AB8" s="35" t="s">
        <v>1103</v>
      </c>
      <c r="AC8" s="35" t="s">
        <v>2538</v>
      </c>
      <c r="AD8" s="35" t="s">
        <v>2309</v>
      </c>
      <c r="AE8" s="9"/>
    </row>
    <row r="9" spans="1:31" s="11" customFormat="1" ht="33.75" x14ac:dyDescent="0.15">
      <c r="A9" s="8">
        <v>7</v>
      </c>
      <c r="B9" s="8" t="s">
        <v>1142</v>
      </c>
      <c r="C9" s="26" t="s">
        <v>1143</v>
      </c>
      <c r="D9" s="26" t="s">
        <v>19</v>
      </c>
      <c r="E9" s="26" t="s">
        <v>19</v>
      </c>
      <c r="F9" s="52" t="s">
        <v>1145</v>
      </c>
      <c r="G9" s="53" t="s">
        <v>1144</v>
      </c>
      <c r="H9" s="20" t="s">
        <v>1147</v>
      </c>
      <c r="I9" s="20" t="s">
        <v>1146</v>
      </c>
      <c r="J9" s="22" t="s">
        <v>1148</v>
      </c>
      <c r="K9" s="22" t="s">
        <v>1149</v>
      </c>
      <c r="L9" s="22" t="s">
        <v>1826</v>
      </c>
      <c r="M9" s="22" t="s">
        <v>1860</v>
      </c>
      <c r="N9" s="9" t="s">
        <v>1150</v>
      </c>
      <c r="O9" s="58" t="s">
        <v>1852</v>
      </c>
      <c r="P9" s="22" t="s">
        <v>2309</v>
      </c>
      <c r="Q9" s="9" t="s">
        <v>1151</v>
      </c>
      <c r="R9" s="9" t="s">
        <v>1152</v>
      </c>
      <c r="S9" s="34" t="s">
        <v>1153</v>
      </c>
      <c r="T9" s="50" t="s">
        <v>1154</v>
      </c>
      <c r="U9" s="10" t="s">
        <v>110</v>
      </c>
      <c r="V9" s="10">
        <v>1</v>
      </c>
      <c r="W9" s="24" t="s">
        <v>111</v>
      </c>
      <c r="X9" s="24" t="s">
        <v>111</v>
      </c>
      <c r="Y9" s="30">
        <v>8</v>
      </c>
      <c r="Z9" s="30"/>
      <c r="AA9" s="30">
        <f t="shared" si="0"/>
        <v>8</v>
      </c>
      <c r="AB9" s="35" t="s">
        <v>2043</v>
      </c>
      <c r="AC9" s="35" t="s">
        <v>2538</v>
      </c>
      <c r="AD9" s="59">
        <v>2</v>
      </c>
      <c r="AE9" s="9"/>
    </row>
    <row r="10" spans="1:31" s="11" customFormat="1" ht="26.25" customHeight="1" x14ac:dyDescent="0.15">
      <c r="A10" s="8">
        <v>8</v>
      </c>
      <c r="B10" s="8" t="s">
        <v>1791</v>
      </c>
      <c r="C10" s="26" t="s">
        <v>19</v>
      </c>
      <c r="D10" s="26" t="s">
        <v>19</v>
      </c>
      <c r="E10" s="26" t="s">
        <v>19</v>
      </c>
      <c r="F10" s="52" t="s">
        <v>1775</v>
      </c>
      <c r="G10" s="53" t="s">
        <v>1776</v>
      </c>
      <c r="H10" s="20" t="s">
        <v>2113</v>
      </c>
      <c r="I10" s="20" t="s">
        <v>1779</v>
      </c>
      <c r="J10" s="22" t="s">
        <v>1778</v>
      </c>
      <c r="K10" s="22" t="s">
        <v>1777</v>
      </c>
      <c r="L10" s="22" t="s">
        <v>1826</v>
      </c>
      <c r="M10" s="22" t="s">
        <v>2309</v>
      </c>
      <c r="N10" s="9" t="s">
        <v>102</v>
      </c>
      <c r="O10" s="54" t="s">
        <v>1122</v>
      </c>
      <c r="P10" s="22" t="s">
        <v>2309</v>
      </c>
      <c r="Q10" s="9" t="s">
        <v>854</v>
      </c>
      <c r="R10" s="9" t="s">
        <v>854</v>
      </c>
      <c r="S10" s="34" t="s">
        <v>1780</v>
      </c>
      <c r="T10" s="50">
        <v>2017</v>
      </c>
      <c r="U10" s="10" t="s">
        <v>110</v>
      </c>
      <c r="V10" s="10">
        <v>1</v>
      </c>
      <c r="W10" s="24" t="s">
        <v>1781</v>
      </c>
      <c r="X10" s="24" t="s">
        <v>1782</v>
      </c>
      <c r="Y10" s="30"/>
      <c r="Z10" s="30">
        <v>20</v>
      </c>
      <c r="AA10" s="30">
        <f t="shared" si="0"/>
        <v>20</v>
      </c>
      <c r="AB10" s="35" t="s">
        <v>2043</v>
      </c>
      <c r="AC10" s="202" t="s">
        <v>2538</v>
      </c>
      <c r="AD10" s="35" t="s">
        <v>2309</v>
      </c>
      <c r="AE10" s="9"/>
    </row>
    <row r="11" spans="1:31" s="11" customFormat="1" ht="75" customHeight="1" x14ac:dyDescent="0.15">
      <c r="A11" s="8">
        <v>9</v>
      </c>
      <c r="B11" s="8" t="s">
        <v>2089</v>
      </c>
      <c r="C11" s="26" t="s">
        <v>1783</v>
      </c>
      <c r="D11" s="26" t="s">
        <v>19</v>
      </c>
      <c r="E11" s="26" t="s">
        <v>5116</v>
      </c>
      <c r="F11" s="52" t="s">
        <v>1786</v>
      </c>
      <c r="G11" s="53" t="s">
        <v>1787</v>
      </c>
      <c r="H11" s="18" t="s">
        <v>1433</v>
      </c>
      <c r="I11" s="18" t="s">
        <v>1789</v>
      </c>
      <c r="J11" s="28" t="s">
        <v>1788</v>
      </c>
      <c r="K11" s="22" t="s">
        <v>1790</v>
      </c>
      <c r="L11" s="22" t="s">
        <v>1826</v>
      </c>
      <c r="M11" s="22" t="s">
        <v>1861</v>
      </c>
      <c r="N11" s="9" t="s">
        <v>102</v>
      </c>
      <c r="O11" s="54" t="s">
        <v>1784</v>
      </c>
      <c r="P11" s="22" t="s">
        <v>2309</v>
      </c>
      <c r="Q11" s="9" t="s">
        <v>1785</v>
      </c>
      <c r="R11" s="9" t="s">
        <v>1785</v>
      </c>
      <c r="S11" s="34" t="s">
        <v>1780</v>
      </c>
      <c r="T11" s="50">
        <v>2017</v>
      </c>
      <c r="U11" s="10" t="s">
        <v>110</v>
      </c>
      <c r="V11" s="10">
        <v>1</v>
      </c>
      <c r="W11" s="24" t="s">
        <v>5293</v>
      </c>
      <c r="X11" s="24"/>
      <c r="Y11" s="30">
        <v>43.92</v>
      </c>
      <c r="Z11" s="30"/>
      <c r="AA11" s="30">
        <f t="shared" si="0"/>
        <v>43.92</v>
      </c>
      <c r="AB11" s="35" t="s">
        <v>3242</v>
      </c>
      <c r="AC11" s="35" t="s">
        <v>3512</v>
      </c>
      <c r="AD11" s="35" t="s">
        <v>2309</v>
      </c>
      <c r="AE11" s="9"/>
    </row>
    <row r="12" spans="1:31" s="11" customFormat="1" ht="33.75" x14ac:dyDescent="0.15">
      <c r="A12" s="8">
        <v>10</v>
      </c>
      <c r="B12" s="8" t="s">
        <v>1801</v>
      </c>
      <c r="C12" s="26" t="s">
        <v>19</v>
      </c>
      <c r="D12" s="26" t="s">
        <v>1822</v>
      </c>
      <c r="E12" s="26" t="s">
        <v>19</v>
      </c>
      <c r="F12" s="52" t="s">
        <v>1792</v>
      </c>
      <c r="G12" s="53" t="s">
        <v>1793</v>
      </c>
      <c r="H12" s="20" t="s">
        <v>1881</v>
      </c>
      <c r="I12" s="20" t="s">
        <v>1146</v>
      </c>
      <c r="J12" s="22" t="s">
        <v>1794</v>
      </c>
      <c r="K12" s="22" t="s">
        <v>1795</v>
      </c>
      <c r="L12" s="22" t="s">
        <v>1826</v>
      </c>
      <c r="M12" s="22" t="s">
        <v>1862</v>
      </c>
      <c r="N12" s="9" t="s">
        <v>102</v>
      </c>
      <c r="O12" s="54" t="s">
        <v>1796</v>
      </c>
      <c r="P12" s="22" t="s">
        <v>2309</v>
      </c>
      <c r="Q12" s="9" t="s">
        <v>1797</v>
      </c>
      <c r="R12" s="9" t="s">
        <v>1797</v>
      </c>
      <c r="S12" s="34" t="s">
        <v>1798</v>
      </c>
      <c r="T12" s="50" t="s">
        <v>1799</v>
      </c>
      <c r="U12" s="10" t="s">
        <v>1800</v>
      </c>
      <c r="V12" s="10">
        <v>1</v>
      </c>
      <c r="W12" s="24" t="s">
        <v>111</v>
      </c>
      <c r="X12" s="24" t="s">
        <v>111</v>
      </c>
      <c r="Y12" s="30">
        <v>0.86</v>
      </c>
      <c r="Z12" s="30"/>
      <c r="AA12" s="30">
        <f t="shared" si="0"/>
        <v>0.86</v>
      </c>
      <c r="AB12" s="35" t="s">
        <v>2043</v>
      </c>
      <c r="AC12" s="35" t="s">
        <v>2538</v>
      </c>
      <c r="AD12" s="35" t="s">
        <v>2309</v>
      </c>
      <c r="AE12" s="9"/>
    </row>
    <row r="13" spans="1:31" s="11" customFormat="1" ht="26.25" customHeight="1" x14ac:dyDescent="0.15">
      <c r="A13" s="8">
        <v>11</v>
      </c>
      <c r="B13" s="8" t="s">
        <v>1802</v>
      </c>
      <c r="C13" s="26" t="s">
        <v>19</v>
      </c>
      <c r="D13" s="26" t="s">
        <v>19</v>
      </c>
      <c r="E13" s="26" t="s">
        <v>19</v>
      </c>
      <c r="F13" s="54" t="s">
        <v>412</v>
      </c>
      <c r="G13" s="53" t="s">
        <v>1809</v>
      </c>
      <c r="H13" s="42" t="s">
        <v>507</v>
      </c>
      <c r="I13" s="42" t="s">
        <v>506</v>
      </c>
      <c r="J13" s="27" t="s">
        <v>1661</v>
      </c>
      <c r="K13" s="9" t="s">
        <v>491</v>
      </c>
      <c r="L13" s="22" t="s">
        <v>1826</v>
      </c>
      <c r="M13" s="22" t="s">
        <v>2309</v>
      </c>
      <c r="N13" s="9" t="s">
        <v>1818</v>
      </c>
      <c r="O13" s="54" t="s">
        <v>1819</v>
      </c>
      <c r="P13" s="22" t="s">
        <v>2309</v>
      </c>
      <c r="Q13" s="9" t="s">
        <v>1811</v>
      </c>
      <c r="R13" s="9" t="s">
        <v>1811</v>
      </c>
      <c r="S13" s="34" t="s">
        <v>1812</v>
      </c>
      <c r="T13" s="50" t="s">
        <v>1813</v>
      </c>
      <c r="U13" s="10" t="s">
        <v>1800</v>
      </c>
      <c r="V13" s="10">
        <v>1</v>
      </c>
      <c r="W13" s="24" t="s">
        <v>3420</v>
      </c>
      <c r="X13" s="24" t="s">
        <v>3421</v>
      </c>
      <c r="Y13" s="30"/>
      <c r="Z13" s="30">
        <v>15</v>
      </c>
      <c r="AA13" s="30">
        <f t="shared" si="0"/>
        <v>15</v>
      </c>
      <c r="AB13" s="35" t="s">
        <v>2043</v>
      </c>
      <c r="AC13" s="202" t="s">
        <v>2538</v>
      </c>
      <c r="AD13" s="35" t="s">
        <v>2309</v>
      </c>
      <c r="AE13" s="9"/>
    </row>
    <row r="14" spans="1:31" s="11" customFormat="1" ht="26.25" customHeight="1" x14ac:dyDescent="0.15">
      <c r="A14" s="8">
        <v>12</v>
      </c>
      <c r="B14" s="8" t="s">
        <v>1803</v>
      </c>
      <c r="C14" s="26" t="s">
        <v>19</v>
      </c>
      <c r="D14" s="26" t="s">
        <v>19</v>
      </c>
      <c r="E14" s="26" t="s">
        <v>19</v>
      </c>
      <c r="F14" s="54" t="s">
        <v>412</v>
      </c>
      <c r="G14" s="53" t="s">
        <v>1810</v>
      </c>
      <c r="H14" s="42" t="s">
        <v>507</v>
      </c>
      <c r="I14" s="42" t="s">
        <v>506</v>
      </c>
      <c r="J14" s="9" t="s">
        <v>1808</v>
      </c>
      <c r="K14" s="9" t="s">
        <v>491</v>
      </c>
      <c r="L14" s="22" t="s">
        <v>1826</v>
      </c>
      <c r="M14" s="22" t="s">
        <v>2309</v>
      </c>
      <c r="N14" s="9" t="s">
        <v>102</v>
      </c>
      <c r="O14" s="54" t="s">
        <v>851</v>
      </c>
      <c r="P14" s="22" t="s">
        <v>2309</v>
      </c>
      <c r="Q14" s="9" t="s">
        <v>1811</v>
      </c>
      <c r="R14" s="9" t="s">
        <v>1811</v>
      </c>
      <c r="S14" s="34" t="s">
        <v>1812</v>
      </c>
      <c r="T14" s="50" t="s">
        <v>1813</v>
      </c>
      <c r="U14" s="10" t="s">
        <v>1800</v>
      </c>
      <c r="V14" s="10">
        <v>1</v>
      </c>
      <c r="W14" s="24" t="s">
        <v>3420</v>
      </c>
      <c r="X14" s="24" t="s">
        <v>3421</v>
      </c>
      <c r="Y14" s="30"/>
      <c r="Z14" s="30">
        <v>15</v>
      </c>
      <c r="AA14" s="30">
        <f t="shared" si="0"/>
        <v>15</v>
      </c>
      <c r="AB14" s="35" t="s">
        <v>2043</v>
      </c>
      <c r="AC14" s="202" t="s">
        <v>2538</v>
      </c>
      <c r="AD14" s="35" t="s">
        <v>2309</v>
      </c>
      <c r="AE14" s="9"/>
    </row>
    <row r="15" spans="1:31" s="11" customFormat="1" ht="26.25" customHeight="1" x14ac:dyDescent="0.15">
      <c r="A15" s="8">
        <v>13</v>
      </c>
      <c r="B15" s="8" t="s">
        <v>1804</v>
      </c>
      <c r="C15" s="26" t="s">
        <v>19</v>
      </c>
      <c r="D15" s="26" t="s">
        <v>19</v>
      </c>
      <c r="E15" s="26" t="s">
        <v>19</v>
      </c>
      <c r="F15" s="55" t="s">
        <v>442</v>
      </c>
      <c r="G15" s="56" t="s">
        <v>1814</v>
      </c>
      <c r="H15" s="42" t="s">
        <v>507</v>
      </c>
      <c r="I15" s="42" t="s">
        <v>506</v>
      </c>
      <c r="J15" s="27" t="s">
        <v>514</v>
      </c>
      <c r="K15" s="19" t="s">
        <v>1820</v>
      </c>
      <c r="L15" s="22" t="s">
        <v>1826</v>
      </c>
      <c r="M15" s="22" t="s">
        <v>2309</v>
      </c>
      <c r="N15" s="9" t="s">
        <v>102</v>
      </c>
      <c r="O15" s="54" t="s">
        <v>851</v>
      </c>
      <c r="P15" s="22" t="s">
        <v>2309</v>
      </c>
      <c r="Q15" s="9" t="s">
        <v>1811</v>
      </c>
      <c r="R15" s="9" t="s">
        <v>1811</v>
      </c>
      <c r="S15" s="34" t="s">
        <v>1812</v>
      </c>
      <c r="T15" s="50" t="s">
        <v>1813</v>
      </c>
      <c r="U15" s="10" t="s">
        <v>1800</v>
      </c>
      <c r="V15" s="10">
        <v>1</v>
      </c>
      <c r="W15" s="24" t="s">
        <v>3420</v>
      </c>
      <c r="X15" s="24" t="s">
        <v>3421</v>
      </c>
      <c r="Y15" s="30"/>
      <c r="Z15" s="30">
        <v>15</v>
      </c>
      <c r="AA15" s="30">
        <f t="shared" si="0"/>
        <v>15</v>
      </c>
      <c r="AB15" s="35" t="s">
        <v>2043</v>
      </c>
      <c r="AC15" s="202" t="s">
        <v>2538</v>
      </c>
      <c r="AD15" s="35" t="s">
        <v>2309</v>
      </c>
      <c r="AE15" s="9"/>
    </row>
    <row r="16" spans="1:31" s="11" customFormat="1" ht="26.25" customHeight="1" x14ac:dyDescent="0.15">
      <c r="A16" s="8">
        <v>14</v>
      </c>
      <c r="B16" s="8" t="s">
        <v>1805</v>
      </c>
      <c r="C16" s="26" t="s">
        <v>19</v>
      </c>
      <c r="D16" s="26" t="s">
        <v>19</v>
      </c>
      <c r="E16" s="26" t="s">
        <v>19</v>
      </c>
      <c r="F16" s="54" t="s">
        <v>438</v>
      </c>
      <c r="G16" s="56" t="s">
        <v>1815</v>
      </c>
      <c r="H16" s="42" t="s">
        <v>507</v>
      </c>
      <c r="I16" s="42" t="s">
        <v>506</v>
      </c>
      <c r="J16" s="9" t="s">
        <v>1821</v>
      </c>
      <c r="K16" s="9" t="s">
        <v>528</v>
      </c>
      <c r="L16" s="22" t="s">
        <v>1826</v>
      </c>
      <c r="M16" s="22" t="s">
        <v>2309</v>
      </c>
      <c r="N16" s="9" t="s">
        <v>102</v>
      </c>
      <c r="O16" s="54" t="s">
        <v>851</v>
      </c>
      <c r="P16" s="22" t="s">
        <v>2309</v>
      </c>
      <c r="Q16" s="9" t="s">
        <v>1811</v>
      </c>
      <c r="R16" s="9" t="s">
        <v>1811</v>
      </c>
      <c r="S16" s="34" t="s">
        <v>1812</v>
      </c>
      <c r="T16" s="50" t="s">
        <v>1813</v>
      </c>
      <c r="U16" s="10" t="s">
        <v>1800</v>
      </c>
      <c r="V16" s="10">
        <v>1</v>
      </c>
      <c r="W16" s="24" t="s">
        <v>3420</v>
      </c>
      <c r="X16" s="24" t="s">
        <v>3421</v>
      </c>
      <c r="Y16" s="30"/>
      <c r="Z16" s="30">
        <v>15</v>
      </c>
      <c r="AA16" s="30">
        <f t="shared" si="0"/>
        <v>15</v>
      </c>
      <c r="AB16" s="35" t="s">
        <v>2043</v>
      </c>
      <c r="AC16" s="202" t="s">
        <v>2538</v>
      </c>
      <c r="AD16" s="35" t="s">
        <v>2309</v>
      </c>
      <c r="AE16" s="9"/>
    </row>
    <row r="17" spans="1:31" s="11" customFormat="1" ht="26.25" customHeight="1" x14ac:dyDescent="0.15">
      <c r="A17" s="8">
        <v>15</v>
      </c>
      <c r="B17" s="8" t="s">
        <v>1806</v>
      </c>
      <c r="C17" s="26" t="s">
        <v>19</v>
      </c>
      <c r="D17" s="26" t="s">
        <v>19</v>
      </c>
      <c r="E17" s="26" t="s">
        <v>19</v>
      </c>
      <c r="F17" s="54" t="s">
        <v>436</v>
      </c>
      <c r="G17" s="56" t="s">
        <v>1816</v>
      </c>
      <c r="H17" s="42" t="s">
        <v>507</v>
      </c>
      <c r="I17" s="42" t="s">
        <v>506</v>
      </c>
      <c r="J17" s="9" t="s">
        <v>531</v>
      </c>
      <c r="K17" s="9" t="s">
        <v>960</v>
      </c>
      <c r="L17" s="22" t="s">
        <v>1826</v>
      </c>
      <c r="M17" s="22" t="s">
        <v>2309</v>
      </c>
      <c r="N17" s="9" t="s">
        <v>102</v>
      </c>
      <c r="O17" s="54" t="s">
        <v>851</v>
      </c>
      <c r="P17" s="22" t="s">
        <v>2309</v>
      </c>
      <c r="Q17" s="9" t="s">
        <v>1811</v>
      </c>
      <c r="R17" s="9" t="s">
        <v>1811</v>
      </c>
      <c r="S17" s="34" t="s">
        <v>1812</v>
      </c>
      <c r="T17" s="50" t="s">
        <v>1813</v>
      </c>
      <c r="U17" s="10" t="s">
        <v>1800</v>
      </c>
      <c r="V17" s="10">
        <v>1</v>
      </c>
      <c r="W17" s="24" t="s">
        <v>3420</v>
      </c>
      <c r="X17" s="24" t="s">
        <v>3421</v>
      </c>
      <c r="Y17" s="30"/>
      <c r="Z17" s="30">
        <v>15</v>
      </c>
      <c r="AA17" s="30">
        <f t="shared" si="0"/>
        <v>15</v>
      </c>
      <c r="AB17" s="35" t="s">
        <v>2043</v>
      </c>
      <c r="AC17" s="202" t="s">
        <v>2538</v>
      </c>
      <c r="AD17" s="35" t="s">
        <v>2309</v>
      </c>
      <c r="AE17" s="9"/>
    </row>
    <row r="18" spans="1:31" s="11" customFormat="1" ht="26.25" customHeight="1" x14ac:dyDescent="0.15">
      <c r="A18" s="8">
        <v>16</v>
      </c>
      <c r="B18" s="8" t="s">
        <v>1807</v>
      </c>
      <c r="C18" s="26" t="s">
        <v>19</v>
      </c>
      <c r="D18" s="26" t="s">
        <v>19</v>
      </c>
      <c r="E18" s="26" t="s">
        <v>19</v>
      </c>
      <c r="F18" s="54" t="s">
        <v>440</v>
      </c>
      <c r="G18" s="56" t="s">
        <v>1817</v>
      </c>
      <c r="H18" s="42" t="s">
        <v>507</v>
      </c>
      <c r="I18" s="42" t="s">
        <v>506</v>
      </c>
      <c r="J18" s="9" t="s">
        <v>533</v>
      </c>
      <c r="K18" s="9" t="s">
        <v>491</v>
      </c>
      <c r="L18" s="22" t="s">
        <v>1826</v>
      </c>
      <c r="M18" s="22" t="s">
        <v>2309</v>
      </c>
      <c r="N18" s="9" t="s">
        <v>102</v>
      </c>
      <c r="O18" s="54" t="s">
        <v>851</v>
      </c>
      <c r="P18" s="22" t="s">
        <v>2309</v>
      </c>
      <c r="Q18" s="9" t="s">
        <v>1811</v>
      </c>
      <c r="R18" s="9" t="s">
        <v>1811</v>
      </c>
      <c r="S18" s="34" t="s">
        <v>1812</v>
      </c>
      <c r="T18" s="50" t="s">
        <v>1813</v>
      </c>
      <c r="U18" s="10" t="s">
        <v>1800</v>
      </c>
      <c r="V18" s="10">
        <v>1</v>
      </c>
      <c r="W18" s="24" t="s">
        <v>3420</v>
      </c>
      <c r="X18" s="24" t="s">
        <v>3421</v>
      </c>
      <c r="Y18" s="30"/>
      <c r="Z18" s="30">
        <v>15</v>
      </c>
      <c r="AA18" s="30">
        <f t="shared" si="0"/>
        <v>15</v>
      </c>
      <c r="AB18" s="35" t="s">
        <v>2043</v>
      </c>
      <c r="AC18" s="202" t="s">
        <v>2538</v>
      </c>
      <c r="AD18" s="35" t="s">
        <v>2309</v>
      </c>
      <c r="AE18" s="9"/>
    </row>
    <row r="19" spans="1:31" s="11" customFormat="1" ht="33.75" x14ac:dyDescent="0.15">
      <c r="A19" s="8">
        <v>17</v>
      </c>
      <c r="B19" s="8" t="s">
        <v>2088</v>
      </c>
      <c r="C19" s="26" t="s">
        <v>1827</v>
      </c>
      <c r="D19" s="26" t="s">
        <v>19</v>
      </c>
      <c r="E19" s="26" t="s">
        <v>1903</v>
      </c>
      <c r="F19" s="54" t="s">
        <v>1835</v>
      </c>
      <c r="G19" s="56" t="s">
        <v>3427</v>
      </c>
      <c r="H19" s="18" t="s">
        <v>1829</v>
      </c>
      <c r="I19" s="18" t="s">
        <v>1828</v>
      </c>
      <c r="J19" s="28" t="s">
        <v>1830</v>
      </c>
      <c r="K19" s="9" t="s">
        <v>491</v>
      </c>
      <c r="L19" s="22" t="s">
        <v>1826</v>
      </c>
      <c r="M19" s="22" t="s">
        <v>1834</v>
      </c>
      <c r="N19" s="9" t="s">
        <v>102</v>
      </c>
      <c r="O19" s="47" t="s">
        <v>1877</v>
      </c>
      <c r="P19" s="22" t="s">
        <v>2309</v>
      </c>
      <c r="Q19" s="9" t="s">
        <v>1831</v>
      </c>
      <c r="R19" s="9" t="s">
        <v>1831</v>
      </c>
      <c r="S19" s="34" t="s">
        <v>1832</v>
      </c>
      <c r="T19" s="50" t="s">
        <v>1833</v>
      </c>
      <c r="U19" s="10" t="s">
        <v>1800</v>
      </c>
      <c r="V19" s="10">
        <v>1</v>
      </c>
      <c r="W19" s="24" t="s">
        <v>1875</v>
      </c>
      <c r="X19" s="24" t="s">
        <v>1876</v>
      </c>
      <c r="Y19" s="30">
        <v>11.75</v>
      </c>
      <c r="Z19" s="30"/>
      <c r="AA19" s="30">
        <f t="shared" si="0"/>
        <v>11.75</v>
      </c>
      <c r="AB19" s="35" t="s">
        <v>2043</v>
      </c>
      <c r="AC19" s="35" t="s">
        <v>2538</v>
      </c>
      <c r="AD19" s="35" t="s">
        <v>2309</v>
      </c>
      <c r="AE19" s="9"/>
    </row>
    <row r="20" spans="1:31" s="11" customFormat="1" ht="26.25" customHeight="1" x14ac:dyDescent="0.15">
      <c r="A20" s="8">
        <v>18</v>
      </c>
      <c r="B20" s="8" t="s">
        <v>1846</v>
      </c>
      <c r="C20" s="26" t="s">
        <v>127</v>
      </c>
      <c r="D20" s="26" t="s">
        <v>19</v>
      </c>
      <c r="E20" s="26" t="s">
        <v>19</v>
      </c>
      <c r="F20" s="54" t="s">
        <v>1836</v>
      </c>
      <c r="G20" s="56" t="s">
        <v>3428</v>
      </c>
      <c r="H20" s="20" t="s">
        <v>1838</v>
      </c>
      <c r="I20" s="20" t="s">
        <v>1837</v>
      </c>
      <c r="J20" s="9" t="s">
        <v>1839</v>
      </c>
      <c r="K20" s="9" t="s">
        <v>1840</v>
      </c>
      <c r="L20" s="22" t="s">
        <v>1826</v>
      </c>
      <c r="M20" s="22" t="s">
        <v>2309</v>
      </c>
      <c r="N20" s="9" t="s">
        <v>102</v>
      </c>
      <c r="O20" s="54" t="s">
        <v>851</v>
      </c>
      <c r="P20" s="22" t="s">
        <v>2309</v>
      </c>
      <c r="Q20" s="9" t="s">
        <v>1841</v>
      </c>
      <c r="R20" s="9" t="s">
        <v>1841</v>
      </c>
      <c r="S20" s="34" t="s">
        <v>1844</v>
      </c>
      <c r="T20" s="50" t="s">
        <v>1845</v>
      </c>
      <c r="U20" s="10" t="s">
        <v>110</v>
      </c>
      <c r="V20" s="10">
        <v>1</v>
      </c>
      <c r="W20" s="34" t="s">
        <v>1842</v>
      </c>
      <c r="X20" s="34" t="s">
        <v>1843</v>
      </c>
      <c r="Y20" s="30"/>
      <c r="Z20" s="30">
        <v>9.8000000000000007</v>
      </c>
      <c r="AA20" s="30">
        <v>9.8000000000000007</v>
      </c>
      <c r="AB20" s="35" t="s">
        <v>2043</v>
      </c>
      <c r="AC20" s="202" t="s">
        <v>2538</v>
      </c>
      <c r="AD20" s="35" t="s">
        <v>2309</v>
      </c>
      <c r="AE20" s="9"/>
    </row>
    <row r="21" spans="1:31" s="11" customFormat="1" ht="33.75" x14ac:dyDescent="0.15">
      <c r="A21" s="8">
        <v>19</v>
      </c>
      <c r="B21" s="8" t="s">
        <v>2087</v>
      </c>
      <c r="C21" s="26" t="s">
        <v>1901</v>
      </c>
      <c r="D21" s="26" t="s">
        <v>19</v>
      </c>
      <c r="E21" s="26" t="s">
        <v>19</v>
      </c>
      <c r="F21" s="54" t="s">
        <v>1848</v>
      </c>
      <c r="G21" s="56" t="s">
        <v>1847</v>
      </c>
      <c r="H21" s="20" t="s">
        <v>1147</v>
      </c>
      <c r="I21" s="20" t="s">
        <v>1849</v>
      </c>
      <c r="J21" s="9" t="s">
        <v>1850</v>
      </c>
      <c r="K21" s="9" t="s">
        <v>1851</v>
      </c>
      <c r="L21" s="22" t="s">
        <v>1826</v>
      </c>
      <c r="M21" s="9" t="s">
        <v>1860</v>
      </c>
      <c r="N21" s="9" t="s">
        <v>1150</v>
      </c>
      <c r="O21" s="54" t="s">
        <v>1853</v>
      </c>
      <c r="P21" s="22" t="s">
        <v>2309</v>
      </c>
      <c r="Q21" s="9" t="s">
        <v>1854</v>
      </c>
      <c r="R21" s="9" t="s">
        <v>1855</v>
      </c>
      <c r="S21" s="34" t="s">
        <v>1844</v>
      </c>
      <c r="T21" s="50" t="s">
        <v>1856</v>
      </c>
      <c r="U21" s="10" t="s">
        <v>110</v>
      </c>
      <c r="V21" s="10">
        <v>1</v>
      </c>
      <c r="W21" s="24" t="s">
        <v>111</v>
      </c>
      <c r="X21" s="24" t="s">
        <v>111</v>
      </c>
      <c r="Y21" s="30">
        <v>9</v>
      </c>
      <c r="Z21" s="30"/>
      <c r="AA21" s="30">
        <v>9</v>
      </c>
      <c r="AB21" s="35" t="s">
        <v>2043</v>
      </c>
      <c r="AC21" s="35" t="s">
        <v>2538</v>
      </c>
      <c r="AD21" s="59">
        <v>3</v>
      </c>
      <c r="AE21" s="9"/>
    </row>
    <row r="22" spans="1:31" s="11" customFormat="1" ht="26.25" customHeight="1" x14ac:dyDescent="0.15">
      <c r="A22" s="8">
        <v>20</v>
      </c>
      <c r="B22" s="8" t="s">
        <v>1863</v>
      </c>
      <c r="C22" s="26" t="s">
        <v>19</v>
      </c>
      <c r="D22" s="26" t="s">
        <v>19</v>
      </c>
      <c r="E22" s="26" t="s">
        <v>19</v>
      </c>
      <c r="F22" s="54" t="s">
        <v>1874</v>
      </c>
      <c r="G22" s="56" t="s">
        <v>1873</v>
      </c>
      <c r="H22" s="20" t="s">
        <v>1864</v>
      </c>
      <c r="I22" s="20" t="s">
        <v>1866</v>
      </c>
      <c r="J22" s="9" t="s">
        <v>1865</v>
      </c>
      <c r="K22" s="9" t="s">
        <v>1867</v>
      </c>
      <c r="L22" s="22" t="s">
        <v>1826</v>
      </c>
      <c r="M22" s="22" t="s">
        <v>2309</v>
      </c>
      <c r="N22" s="9" t="s">
        <v>102</v>
      </c>
      <c r="O22" s="54" t="s">
        <v>851</v>
      </c>
      <c r="P22" s="22" t="s">
        <v>2309</v>
      </c>
      <c r="Q22" s="9" t="s">
        <v>1868</v>
      </c>
      <c r="R22" s="9" t="s">
        <v>1868</v>
      </c>
      <c r="S22" s="9" t="s">
        <v>1869</v>
      </c>
      <c r="T22" s="50" t="s">
        <v>1872</v>
      </c>
      <c r="U22" s="10" t="s">
        <v>1800</v>
      </c>
      <c r="V22" s="10">
        <v>1</v>
      </c>
      <c r="W22" s="24" t="s">
        <v>1870</v>
      </c>
      <c r="X22" s="24" t="s">
        <v>1871</v>
      </c>
      <c r="Y22" s="30"/>
      <c r="Z22" s="30">
        <v>9</v>
      </c>
      <c r="AA22" s="30">
        <v>9</v>
      </c>
      <c r="AB22" s="35" t="s">
        <v>2043</v>
      </c>
      <c r="AC22" s="202" t="s">
        <v>2538</v>
      </c>
      <c r="AD22" s="35" t="s">
        <v>2309</v>
      </c>
      <c r="AE22" s="9"/>
    </row>
    <row r="23" spans="1:31" s="11" customFormat="1" ht="26.25" customHeight="1" x14ac:dyDescent="0.15">
      <c r="A23" s="8">
        <v>21</v>
      </c>
      <c r="B23" s="8" t="s">
        <v>2086</v>
      </c>
      <c r="C23" s="26" t="s">
        <v>1902</v>
      </c>
      <c r="D23" s="26" t="s">
        <v>19</v>
      </c>
      <c r="E23" s="26" t="s">
        <v>19</v>
      </c>
      <c r="F23" s="76" t="s">
        <v>1878</v>
      </c>
      <c r="G23" s="56" t="s">
        <v>1909</v>
      </c>
      <c r="H23" s="20" t="s">
        <v>1881</v>
      </c>
      <c r="I23" s="40" t="s">
        <v>2437</v>
      </c>
      <c r="J23" s="9" t="s">
        <v>1879</v>
      </c>
      <c r="K23" s="9" t="s">
        <v>1867</v>
      </c>
      <c r="L23" s="22" t="s">
        <v>1826</v>
      </c>
      <c r="M23" s="22" t="s">
        <v>2309</v>
      </c>
      <c r="N23" s="9" t="s">
        <v>102</v>
      </c>
      <c r="O23" s="54" t="s">
        <v>851</v>
      </c>
      <c r="P23" s="22" t="s">
        <v>2309</v>
      </c>
      <c r="Q23" s="9" t="s">
        <v>1882</v>
      </c>
      <c r="R23" s="9" t="s">
        <v>1882</v>
      </c>
      <c r="S23" s="34" t="s">
        <v>1908</v>
      </c>
      <c r="T23" s="50" t="s">
        <v>1907</v>
      </c>
      <c r="U23" s="10" t="s">
        <v>110</v>
      </c>
      <c r="V23" s="10">
        <v>1</v>
      </c>
      <c r="W23" s="24" t="s">
        <v>1883</v>
      </c>
      <c r="X23" s="24" t="s">
        <v>1884</v>
      </c>
      <c r="Y23" s="30"/>
      <c r="Z23" s="30">
        <v>9</v>
      </c>
      <c r="AA23" s="30">
        <v>9</v>
      </c>
      <c r="AB23" s="35" t="s">
        <v>2043</v>
      </c>
      <c r="AC23" s="202" t="s">
        <v>2538</v>
      </c>
      <c r="AD23" s="35" t="s">
        <v>2309</v>
      </c>
      <c r="AE23" s="9"/>
    </row>
    <row r="24" spans="1:31" s="11" customFormat="1" ht="26.25" customHeight="1" x14ac:dyDescent="0.15">
      <c r="A24" s="8">
        <v>22</v>
      </c>
      <c r="B24" s="8" t="s">
        <v>2084</v>
      </c>
      <c r="C24" s="26" t="s">
        <v>2025</v>
      </c>
      <c r="D24" s="26" t="s">
        <v>19</v>
      </c>
      <c r="E24" s="26" t="s">
        <v>19</v>
      </c>
      <c r="F24" s="54" t="s">
        <v>2010</v>
      </c>
      <c r="G24" s="56" t="s">
        <v>2009</v>
      </c>
      <c r="H24" s="20" t="s">
        <v>2012</v>
      </c>
      <c r="I24" s="20" t="s">
        <v>2011</v>
      </c>
      <c r="J24" s="9" t="s">
        <v>2022</v>
      </c>
      <c r="K24" s="9" t="s">
        <v>2013</v>
      </c>
      <c r="L24" s="22" t="s">
        <v>1826</v>
      </c>
      <c r="M24" s="22" t="s">
        <v>2309</v>
      </c>
      <c r="N24" s="9" t="s">
        <v>102</v>
      </c>
      <c r="O24" s="54" t="s">
        <v>851</v>
      </c>
      <c r="P24" s="22" t="s">
        <v>2309</v>
      </c>
      <c r="Q24" s="9" t="s">
        <v>1882</v>
      </c>
      <c r="R24" s="9" t="s">
        <v>1882</v>
      </c>
      <c r="S24" s="34" t="s">
        <v>2014</v>
      </c>
      <c r="T24" s="50">
        <v>2017.5</v>
      </c>
      <c r="U24" s="10" t="s">
        <v>110</v>
      </c>
      <c r="V24" s="10">
        <v>2</v>
      </c>
      <c r="W24" s="24" t="s">
        <v>2015</v>
      </c>
      <c r="X24" s="24" t="s">
        <v>2016</v>
      </c>
      <c r="Y24" s="30"/>
      <c r="Z24" s="30">
        <v>3</v>
      </c>
      <c r="AA24" s="30">
        <v>3</v>
      </c>
      <c r="AB24" s="35" t="s">
        <v>2043</v>
      </c>
      <c r="AC24" s="202" t="s">
        <v>2538</v>
      </c>
      <c r="AD24" s="35" t="s">
        <v>2309</v>
      </c>
      <c r="AE24" s="9"/>
    </row>
    <row r="25" spans="1:31" s="11" customFormat="1" ht="26.25" customHeight="1" x14ac:dyDescent="0.15">
      <c r="A25" s="8">
        <v>23</v>
      </c>
      <c r="B25" s="8" t="s">
        <v>2021</v>
      </c>
      <c r="C25" s="26" t="s">
        <v>2025</v>
      </c>
      <c r="D25" s="26" t="s">
        <v>19</v>
      </c>
      <c r="E25" s="26" t="s">
        <v>19</v>
      </c>
      <c r="F25" s="54" t="s">
        <v>2018</v>
      </c>
      <c r="G25" s="56" t="s">
        <v>2017</v>
      </c>
      <c r="H25" s="20" t="s">
        <v>2012</v>
      </c>
      <c r="I25" s="20" t="s">
        <v>2011</v>
      </c>
      <c r="J25" s="9" t="s">
        <v>2023</v>
      </c>
      <c r="K25" s="9" t="s">
        <v>2013</v>
      </c>
      <c r="L25" s="22" t="s">
        <v>1826</v>
      </c>
      <c r="M25" s="22" t="s">
        <v>2309</v>
      </c>
      <c r="N25" s="9" t="s">
        <v>102</v>
      </c>
      <c r="O25" s="54" t="s">
        <v>851</v>
      </c>
      <c r="P25" s="22" t="s">
        <v>2309</v>
      </c>
      <c r="Q25" s="9" t="s">
        <v>1882</v>
      </c>
      <c r="R25" s="9" t="s">
        <v>1882</v>
      </c>
      <c r="S25" s="34" t="s">
        <v>2014</v>
      </c>
      <c r="T25" s="50">
        <v>2017.5</v>
      </c>
      <c r="U25" s="10" t="s">
        <v>110</v>
      </c>
      <c r="V25" s="10">
        <v>2</v>
      </c>
      <c r="W25" s="24" t="s">
        <v>2015</v>
      </c>
      <c r="X25" s="24" t="s">
        <v>2016</v>
      </c>
      <c r="Y25" s="30"/>
      <c r="Z25" s="30">
        <v>3</v>
      </c>
      <c r="AA25" s="30">
        <v>3</v>
      </c>
      <c r="AB25" s="35" t="s">
        <v>2043</v>
      </c>
      <c r="AC25" s="202" t="s">
        <v>2538</v>
      </c>
      <c r="AD25" s="35" t="s">
        <v>2309</v>
      </c>
      <c r="AE25" s="9"/>
    </row>
    <row r="26" spans="1:31" s="11" customFormat="1" ht="26.25" customHeight="1" x14ac:dyDescent="0.15">
      <c r="A26" s="8">
        <v>24</v>
      </c>
      <c r="B26" s="8" t="s">
        <v>2085</v>
      </c>
      <c r="C26" s="26" t="s">
        <v>2025</v>
      </c>
      <c r="D26" s="26" t="s">
        <v>19</v>
      </c>
      <c r="E26" s="26" t="s">
        <v>19</v>
      </c>
      <c r="F26" s="54" t="s">
        <v>2020</v>
      </c>
      <c r="G26" s="56" t="s">
        <v>2019</v>
      </c>
      <c r="H26" s="20" t="s">
        <v>2012</v>
      </c>
      <c r="I26" s="20" t="s">
        <v>2011</v>
      </c>
      <c r="J26" s="9" t="s">
        <v>2024</v>
      </c>
      <c r="K26" s="9" t="s">
        <v>2013</v>
      </c>
      <c r="L26" s="22" t="s">
        <v>1826</v>
      </c>
      <c r="M26" s="22" t="s">
        <v>2309</v>
      </c>
      <c r="N26" s="9" t="s">
        <v>102</v>
      </c>
      <c r="O26" s="54" t="s">
        <v>851</v>
      </c>
      <c r="P26" s="22" t="s">
        <v>2309</v>
      </c>
      <c r="Q26" s="9" t="s">
        <v>1882</v>
      </c>
      <c r="R26" s="9" t="s">
        <v>1882</v>
      </c>
      <c r="S26" s="34" t="s">
        <v>2014</v>
      </c>
      <c r="T26" s="50">
        <v>2017.5</v>
      </c>
      <c r="U26" s="10" t="s">
        <v>110</v>
      </c>
      <c r="V26" s="10">
        <v>2</v>
      </c>
      <c r="W26" s="24" t="s">
        <v>2015</v>
      </c>
      <c r="X26" s="24" t="s">
        <v>2016</v>
      </c>
      <c r="Y26" s="30"/>
      <c r="Z26" s="30">
        <v>3</v>
      </c>
      <c r="AA26" s="30">
        <v>3</v>
      </c>
      <c r="AB26" s="35" t="s">
        <v>2043</v>
      </c>
      <c r="AC26" s="202" t="s">
        <v>2538</v>
      </c>
      <c r="AD26" s="35" t="s">
        <v>2309</v>
      </c>
      <c r="AE26" s="9"/>
    </row>
    <row r="27" spans="1:31" s="11" customFormat="1" ht="26.25" customHeight="1" x14ac:dyDescent="0.15">
      <c r="A27" s="8">
        <v>25</v>
      </c>
      <c r="B27" s="8" t="s">
        <v>2026</v>
      </c>
      <c r="C27" s="26" t="s">
        <v>19</v>
      </c>
      <c r="D27" s="26" t="s">
        <v>19</v>
      </c>
      <c r="E27" s="26" t="s">
        <v>19</v>
      </c>
      <c r="F27" s="54" t="s">
        <v>2028</v>
      </c>
      <c r="G27" s="56" t="s">
        <v>2029</v>
      </c>
      <c r="H27" s="20" t="s">
        <v>2032</v>
      </c>
      <c r="I27" s="20" t="s">
        <v>2031</v>
      </c>
      <c r="J27" s="9" t="s">
        <v>2039</v>
      </c>
      <c r="K27" s="9" t="s">
        <v>2038</v>
      </c>
      <c r="L27" s="22" t="s">
        <v>1826</v>
      </c>
      <c r="M27" s="22" t="s">
        <v>2309</v>
      </c>
      <c r="N27" s="9" t="s">
        <v>102</v>
      </c>
      <c r="O27" s="54" t="s">
        <v>851</v>
      </c>
      <c r="P27" s="22" t="s">
        <v>2309</v>
      </c>
      <c r="Q27" s="9" t="s">
        <v>2033</v>
      </c>
      <c r="R27" s="9" t="s">
        <v>2033</v>
      </c>
      <c r="S27" s="34" t="s">
        <v>2034</v>
      </c>
      <c r="T27" s="50" t="s">
        <v>2042</v>
      </c>
      <c r="U27" s="10" t="s">
        <v>110</v>
      </c>
      <c r="V27" s="10">
        <v>1</v>
      </c>
      <c r="W27" s="24" t="s">
        <v>2035</v>
      </c>
      <c r="X27" s="24" t="s">
        <v>2036</v>
      </c>
      <c r="Y27" s="30"/>
      <c r="Z27" s="30">
        <v>7</v>
      </c>
      <c r="AA27" s="30">
        <v>7</v>
      </c>
      <c r="AB27" s="35" t="s">
        <v>2043</v>
      </c>
      <c r="AC27" s="202" t="s">
        <v>2538</v>
      </c>
      <c r="AD27" s="35" t="s">
        <v>2309</v>
      </c>
      <c r="AE27" s="9"/>
    </row>
    <row r="28" spans="1:31" s="11" customFormat="1" ht="26.25" customHeight="1" x14ac:dyDescent="0.15">
      <c r="A28" s="8">
        <v>26</v>
      </c>
      <c r="B28" s="8" t="s">
        <v>2027</v>
      </c>
      <c r="C28" s="26" t="s">
        <v>19</v>
      </c>
      <c r="D28" s="26" t="s">
        <v>19</v>
      </c>
      <c r="E28" s="26" t="s">
        <v>19</v>
      </c>
      <c r="F28" s="54" t="s">
        <v>2037</v>
      </c>
      <c r="G28" s="56" t="s">
        <v>2030</v>
      </c>
      <c r="H28" s="20" t="s">
        <v>2032</v>
      </c>
      <c r="I28" s="20" t="s">
        <v>2031</v>
      </c>
      <c r="J28" s="9" t="s">
        <v>2041</v>
      </c>
      <c r="K28" s="9" t="s">
        <v>2040</v>
      </c>
      <c r="L28" s="22" t="s">
        <v>1826</v>
      </c>
      <c r="M28" s="22" t="s">
        <v>2309</v>
      </c>
      <c r="N28" s="9" t="s">
        <v>102</v>
      </c>
      <c r="O28" s="54" t="s">
        <v>851</v>
      </c>
      <c r="P28" s="22" t="s">
        <v>2309</v>
      </c>
      <c r="Q28" s="9" t="s">
        <v>2033</v>
      </c>
      <c r="R28" s="9" t="s">
        <v>2033</v>
      </c>
      <c r="S28" s="34" t="s">
        <v>2034</v>
      </c>
      <c r="T28" s="50" t="s">
        <v>2042</v>
      </c>
      <c r="U28" s="10" t="s">
        <v>110</v>
      </c>
      <c r="V28" s="10">
        <v>1</v>
      </c>
      <c r="W28" s="24" t="s">
        <v>2035</v>
      </c>
      <c r="X28" s="24" t="s">
        <v>2036</v>
      </c>
      <c r="Y28" s="30"/>
      <c r="Z28" s="30">
        <v>7</v>
      </c>
      <c r="AA28" s="30">
        <v>7</v>
      </c>
      <c r="AB28" s="35" t="s">
        <v>2043</v>
      </c>
      <c r="AC28" s="202" t="s">
        <v>2538</v>
      </c>
      <c r="AD28" s="35" t="s">
        <v>2309</v>
      </c>
      <c r="AE28" s="9"/>
    </row>
    <row r="29" spans="1:31" s="11" customFormat="1" ht="26.25" customHeight="1" x14ac:dyDescent="0.15">
      <c r="A29" s="8">
        <v>27</v>
      </c>
      <c r="B29" s="8" t="s">
        <v>2044</v>
      </c>
      <c r="C29" s="18" t="s">
        <v>2045</v>
      </c>
      <c r="D29" s="26" t="s">
        <v>19</v>
      </c>
      <c r="E29" s="26" t="s">
        <v>19</v>
      </c>
      <c r="F29" s="54" t="s">
        <v>2047</v>
      </c>
      <c r="G29" s="56" t="s">
        <v>2052</v>
      </c>
      <c r="H29" s="20" t="s">
        <v>1147</v>
      </c>
      <c r="I29" s="20" t="s">
        <v>2054</v>
      </c>
      <c r="J29" s="9" t="s">
        <v>2051</v>
      </c>
      <c r="K29" s="9" t="s">
        <v>2058</v>
      </c>
      <c r="L29" s="22" t="s">
        <v>1826</v>
      </c>
      <c r="M29" s="22" t="s">
        <v>2309</v>
      </c>
      <c r="N29" s="9" t="s">
        <v>1150</v>
      </c>
      <c r="O29" s="58" t="s">
        <v>1852</v>
      </c>
      <c r="P29" s="22" t="s">
        <v>2309</v>
      </c>
      <c r="Q29" s="9" t="s">
        <v>2055</v>
      </c>
      <c r="R29" s="9" t="s">
        <v>2056</v>
      </c>
      <c r="S29" s="34" t="s">
        <v>2057</v>
      </c>
      <c r="T29" s="50">
        <v>2018.2</v>
      </c>
      <c r="U29" s="10" t="s">
        <v>1800</v>
      </c>
      <c r="V29" s="10">
        <v>1</v>
      </c>
      <c r="W29" s="24" t="s">
        <v>111</v>
      </c>
      <c r="X29" s="24" t="s">
        <v>111</v>
      </c>
      <c r="Y29" s="30">
        <v>13.2</v>
      </c>
      <c r="Z29" s="30"/>
      <c r="AA29" s="30">
        <v>13.2</v>
      </c>
      <c r="AB29" s="35" t="s">
        <v>1104</v>
      </c>
      <c r="AC29" s="35" t="s">
        <v>2538</v>
      </c>
      <c r="AD29" s="35" t="s">
        <v>2309</v>
      </c>
      <c r="AE29" s="9"/>
    </row>
    <row r="30" spans="1:31" s="11" customFormat="1" ht="26.25" customHeight="1" x14ac:dyDescent="0.15">
      <c r="A30" s="8">
        <v>28</v>
      </c>
      <c r="B30" s="8" t="s">
        <v>2063</v>
      </c>
      <c r="C30" s="18" t="s">
        <v>2064</v>
      </c>
      <c r="D30" s="26" t="s">
        <v>19</v>
      </c>
      <c r="E30" s="26" t="s">
        <v>19</v>
      </c>
      <c r="F30" s="52" t="s">
        <v>2048</v>
      </c>
      <c r="G30" s="53" t="s">
        <v>2053</v>
      </c>
      <c r="H30" s="20" t="s">
        <v>1147</v>
      </c>
      <c r="I30" s="20" t="s">
        <v>2054</v>
      </c>
      <c r="J30" s="9" t="s">
        <v>2059</v>
      </c>
      <c r="K30" s="9" t="s">
        <v>2060</v>
      </c>
      <c r="L30" s="22" t="s">
        <v>1826</v>
      </c>
      <c r="M30" s="22" t="s">
        <v>2309</v>
      </c>
      <c r="N30" s="9" t="s">
        <v>1150</v>
      </c>
      <c r="O30" s="58" t="s">
        <v>1852</v>
      </c>
      <c r="P30" s="22" t="s">
        <v>2309</v>
      </c>
      <c r="Q30" s="9" t="s">
        <v>2055</v>
      </c>
      <c r="R30" s="9" t="s">
        <v>2056</v>
      </c>
      <c r="S30" s="34" t="s">
        <v>2057</v>
      </c>
      <c r="T30" s="50">
        <v>2018.2</v>
      </c>
      <c r="U30" s="10" t="s">
        <v>1800</v>
      </c>
      <c r="V30" s="10">
        <v>1</v>
      </c>
      <c r="W30" s="24" t="s">
        <v>111</v>
      </c>
      <c r="X30" s="24" t="s">
        <v>111</v>
      </c>
      <c r="Y30" s="30">
        <v>13.2</v>
      </c>
      <c r="Z30" s="30"/>
      <c r="AA30" s="30">
        <v>13.2</v>
      </c>
      <c r="AB30" s="35" t="s">
        <v>1104</v>
      </c>
      <c r="AC30" s="35" t="s">
        <v>3507</v>
      </c>
      <c r="AD30" s="35" t="s">
        <v>2309</v>
      </c>
      <c r="AE30" s="9"/>
    </row>
    <row r="31" spans="1:31" s="11" customFormat="1" ht="26.25" customHeight="1" x14ac:dyDescent="0.15">
      <c r="A31" s="8">
        <v>29</v>
      </c>
      <c r="B31" s="8" t="s">
        <v>2081</v>
      </c>
      <c r="C31" s="18" t="s">
        <v>2046</v>
      </c>
      <c r="D31" s="26" t="s">
        <v>19</v>
      </c>
      <c r="E31" s="26" t="s">
        <v>2108</v>
      </c>
      <c r="F31" s="52" t="s">
        <v>2050</v>
      </c>
      <c r="G31" s="53" t="s">
        <v>2049</v>
      </c>
      <c r="H31" s="20" t="s">
        <v>1147</v>
      </c>
      <c r="I31" s="20" t="s">
        <v>2054</v>
      </c>
      <c r="J31" s="22" t="s">
        <v>2061</v>
      </c>
      <c r="K31" s="22" t="s">
        <v>2062</v>
      </c>
      <c r="L31" s="22" t="s">
        <v>1826</v>
      </c>
      <c r="M31" s="22" t="s">
        <v>2309</v>
      </c>
      <c r="N31" s="9" t="s">
        <v>1150</v>
      </c>
      <c r="O31" s="58" t="s">
        <v>1852</v>
      </c>
      <c r="P31" s="22" t="s">
        <v>2309</v>
      </c>
      <c r="Q31" s="9" t="s">
        <v>2055</v>
      </c>
      <c r="R31" s="9" t="s">
        <v>2056</v>
      </c>
      <c r="S31" s="34" t="s">
        <v>2057</v>
      </c>
      <c r="T31" s="50">
        <v>2018.2</v>
      </c>
      <c r="U31" s="10" t="s">
        <v>1800</v>
      </c>
      <c r="V31" s="10">
        <v>1</v>
      </c>
      <c r="W31" s="24" t="s">
        <v>111</v>
      </c>
      <c r="X31" s="24" t="s">
        <v>111</v>
      </c>
      <c r="Y31" s="30">
        <v>13.2</v>
      </c>
      <c r="Z31" s="30"/>
      <c r="AA31" s="30">
        <v>13.2</v>
      </c>
      <c r="AB31" s="35" t="s">
        <v>1104</v>
      </c>
      <c r="AC31" s="35" t="s">
        <v>2538</v>
      </c>
      <c r="AD31" s="35" t="s">
        <v>2309</v>
      </c>
      <c r="AE31" s="9"/>
    </row>
    <row r="32" spans="1:31" s="11" customFormat="1" ht="26.25" customHeight="1" x14ac:dyDescent="0.15">
      <c r="A32" s="8">
        <v>30</v>
      </c>
      <c r="B32" s="8" t="s">
        <v>2083</v>
      </c>
      <c r="C32" s="18" t="s">
        <v>2069</v>
      </c>
      <c r="D32" s="26" t="s">
        <v>19</v>
      </c>
      <c r="E32" s="26" t="s">
        <v>19</v>
      </c>
      <c r="F32" s="52" t="s">
        <v>2066</v>
      </c>
      <c r="G32" s="53" t="s">
        <v>2070</v>
      </c>
      <c r="H32" s="20" t="s">
        <v>1147</v>
      </c>
      <c r="I32" s="20" t="s">
        <v>2067</v>
      </c>
      <c r="J32" s="22" t="s">
        <v>2078</v>
      </c>
      <c r="K32" s="22" t="s">
        <v>2068</v>
      </c>
      <c r="L32" s="22" t="s">
        <v>1826</v>
      </c>
      <c r="M32" s="22" t="s">
        <v>2309</v>
      </c>
      <c r="N32" s="9" t="s">
        <v>2080</v>
      </c>
      <c r="O32" s="54" t="s">
        <v>1928</v>
      </c>
      <c r="P32" s="22" t="s">
        <v>2309</v>
      </c>
      <c r="Q32" s="9" t="s">
        <v>2071</v>
      </c>
      <c r="R32" s="9" t="s">
        <v>2072</v>
      </c>
      <c r="S32" s="34" t="s">
        <v>2074</v>
      </c>
      <c r="T32" s="50" t="s">
        <v>2075</v>
      </c>
      <c r="U32" s="10" t="s">
        <v>110</v>
      </c>
      <c r="V32" s="10">
        <v>1</v>
      </c>
      <c r="W32" s="34" t="s">
        <v>2073</v>
      </c>
      <c r="X32" s="24" t="s">
        <v>2360</v>
      </c>
      <c r="Y32" s="136">
        <v>60.11</v>
      </c>
      <c r="Z32" s="136"/>
      <c r="AA32" s="136">
        <v>60.11</v>
      </c>
      <c r="AB32" s="35" t="s">
        <v>1104</v>
      </c>
      <c r="AC32" s="35" t="s">
        <v>2538</v>
      </c>
      <c r="AD32" s="35" t="s">
        <v>2309</v>
      </c>
      <c r="AE32" s="9"/>
    </row>
    <row r="33" spans="1:31" s="11" customFormat="1" ht="26.25" customHeight="1" x14ac:dyDescent="0.15">
      <c r="A33" s="8">
        <v>31</v>
      </c>
      <c r="B33" s="8" t="s">
        <v>2082</v>
      </c>
      <c r="C33" s="18" t="s">
        <v>2076</v>
      </c>
      <c r="D33" s="26" t="s">
        <v>19</v>
      </c>
      <c r="E33" s="26" t="s">
        <v>19</v>
      </c>
      <c r="F33" s="52" t="s">
        <v>2066</v>
      </c>
      <c r="G33" s="53" t="s">
        <v>2070</v>
      </c>
      <c r="H33" s="20" t="s">
        <v>1147</v>
      </c>
      <c r="I33" s="20" t="s">
        <v>2067</v>
      </c>
      <c r="J33" s="22" t="s">
        <v>2079</v>
      </c>
      <c r="K33" s="22" t="s">
        <v>2077</v>
      </c>
      <c r="L33" s="22" t="s">
        <v>1826</v>
      </c>
      <c r="M33" s="22" t="s">
        <v>2309</v>
      </c>
      <c r="N33" s="9" t="s">
        <v>102</v>
      </c>
      <c r="O33" s="54" t="s">
        <v>1928</v>
      </c>
      <c r="P33" s="22" t="s">
        <v>2309</v>
      </c>
      <c r="Q33" s="9" t="s">
        <v>2071</v>
      </c>
      <c r="R33" s="9" t="s">
        <v>2072</v>
      </c>
      <c r="S33" s="34" t="s">
        <v>2074</v>
      </c>
      <c r="T33" s="50" t="s">
        <v>2075</v>
      </c>
      <c r="U33" s="10" t="s">
        <v>110</v>
      </c>
      <c r="V33" s="10">
        <v>1</v>
      </c>
      <c r="W33" s="34" t="s">
        <v>2073</v>
      </c>
      <c r="X33" s="24" t="s">
        <v>2360</v>
      </c>
      <c r="Y33" s="136">
        <v>60.11</v>
      </c>
      <c r="Z33" s="136"/>
      <c r="AA33" s="136">
        <v>60.11</v>
      </c>
      <c r="AB33" s="35" t="s">
        <v>1104</v>
      </c>
      <c r="AC33" s="35" t="s">
        <v>2538</v>
      </c>
      <c r="AD33" s="35" t="s">
        <v>2309</v>
      </c>
      <c r="AE33" s="9"/>
    </row>
    <row r="34" spans="1:31" s="11" customFormat="1" ht="26.25" customHeight="1" x14ac:dyDescent="0.15">
      <c r="A34" s="8">
        <v>32</v>
      </c>
      <c r="B34" s="8" t="s">
        <v>2065</v>
      </c>
      <c r="C34" s="26" t="s">
        <v>19</v>
      </c>
      <c r="D34" s="26" t="s">
        <v>19</v>
      </c>
      <c r="E34" s="26" t="s">
        <v>19</v>
      </c>
      <c r="F34" s="52" t="s">
        <v>2066</v>
      </c>
      <c r="G34" s="53" t="s">
        <v>2070</v>
      </c>
      <c r="H34" s="20" t="s">
        <v>1147</v>
      </c>
      <c r="I34" s="20" t="s">
        <v>2067</v>
      </c>
      <c r="J34" s="22" t="s">
        <v>2078</v>
      </c>
      <c r="K34" s="22" t="s">
        <v>2068</v>
      </c>
      <c r="L34" s="22" t="s">
        <v>1826</v>
      </c>
      <c r="M34" s="22" t="s">
        <v>2309</v>
      </c>
      <c r="N34" s="9" t="s">
        <v>1150</v>
      </c>
      <c r="O34" s="47" t="s">
        <v>640</v>
      </c>
      <c r="P34" s="22" t="s">
        <v>2309</v>
      </c>
      <c r="Q34" s="9" t="s">
        <v>2071</v>
      </c>
      <c r="R34" s="9" t="s">
        <v>2072</v>
      </c>
      <c r="S34" s="34" t="s">
        <v>2074</v>
      </c>
      <c r="T34" s="50" t="s">
        <v>2075</v>
      </c>
      <c r="U34" s="10" t="s">
        <v>110</v>
      </c>
      <c r="V34" s="10">
        <v>1</v>
      </c>
      <c r="W34" s="24" t="s">
        <v>111</v>
      </c>
      <c r="X34" s="24" t="s">
        <v>111</v>
      </c>
      <c r="Y34" s="136">
        <v>30.000001000000001</v>
      </c>
      <c r="Z34" s="136"/>
      <c r="AA34" s="136">
        <v>30.000001000000001</v>
      </c>
      <c r="AB34" s="35" t="s">
        <v>1104</v>
      </c>
      <c r="AC34" s="35" t="s">
        <v>2538</v>
      </c>
      <c r="AD34" s="35" t="s">
        <v>2309</v>
      </c>
      <c r="AE34" s="9"/>
    </row>
    <row r="35" spans="1:31" s="11" customFormat="1" ht="56.25" x14ac:dyDescent="0.15">
      <c r="A35" s="8">
        <v>33</v>
      </c>
      <c r="B35" s="8" t="s">
        <v>2161</v>
      </c>
      <c r="C35" s="26" t="s">
        <v>2159</v>
      </c>
      <c r="D35" s="26" t="s">
        <v>19</v>
      </c>
      <c r="E35" s="26" t="s">
        <v>19</v>
      </c>
      <c r="F35" s="52" t="s">
        <v>2166</v>
      </c>
      <c r="G35" s="53" t="s">
        <v>2167</v>
      </c>
      <c r="H35" s="20" t="s">
        <v>1147</v>
      </c>
      <c r="I35" s="20" t="s">
        <v>2118</v>
      </c>
      <c r="J35" s="22" t="s">
        <v>2051</v>
      </c>
      <c r="K35" s="22" t="s">
        <v>2169</v>
      </c>
      <c r="L35" s="22" t="s">
        <v>1826</v>
      </c>
      <c r="M35" s="22" t="s">
        <v>2309</v>
      </c>
      <c r="N35" s="9" t="s">
        <v>2120</v>
      </c>
      <c r="O35" s="54" t="s">
        <v>2168</v>
      </c>
      <c r="P35" s="22" t="s">
        <v>2309</v>
      </c>
      <c r="Q35" s="9" t="s">
        <v>1152</v>
      </c>
      <c r="R35" s="9" t="s">
        <v>1152</v>
      </c>
      <c r="S35" s="34" t="s">
        <v>2121</v>
      </c>
      <c r="T35" s="50" t="s">
        <v>2122</v>
      </c>
      <c r="U35" s="10" t="s">
        <v>1800</v>
      </c>
      <c r="V35" s="10">
        <v>1</v>
      </c>
      <c r="W35" s="24" t="s">
        <v>111</v>
      </c>
      <c r="X35" s="24" t="s">
        <v>111</v>
      </c>
      <c r="Y35" s="136">
        <v>2.4145300000000001</v>
      </c>
      <c r="Z35" s="30"/>
      <c r="AA35" s="136">
        <v>2.4145300000000001</v>
      </c>
      <c r="AB35" s="35" t="s">
        <v>1104</v>
      </c>
      <c r="AC35" s="35" t="s">
        <v>2538</v>
      </c>
      <c r="AD35" s="35" t="s">
        <v>2309</v>
      </c>
      <c r="AE35" s="1954" t="s">
        <v>5255</v>
      </c>
    </row>
    <row r="36" spans="1:31" s="11" customFormat="1" ht="56.25" x14ac:dyDescent="0.15">
      <c r="A36" s="8">
        <v>34</v>
      </c>
      <c r="B36" s="8" t="s">
        <v>2162</v>
      </c>
      <c r="C36" s="26" t="s">
        <v>2160</v>
      </c>
      <c r="D36" s="26" t="s">
        <v>19</v>
      </c>
      <c r="E36" s="26" t="s">
        <v>19</v>
      </c>
      <c r="F36" s="52" t="s">
        <v>2164</v>
      </c>
      <c r="G36" s="53" t="s">
        <v>2165</v>
      </c>
      <c r="H36" s="20" t="s">
        <v>1147</v>
      </c>
      <c r="I36" s="20" t="s">
        <v>2118</v>
      </c>
      <c r="J36" s="22" t="s">
        <v>2119</v>
      </c>
      <c r="K36" s="22" t="s">
        <v>2170</v>
      </c>
      <c r="L36" s="22" t="s">
        <v>1826</v>
      </c>
      <c r="M36" s="22" t="s">
        <v>2309</v>
      </c>
      <c r="N36" s="9" t="s">
        <v>2120</v>
      </c>
      <c r="O36" s="54" t="s">
        <v>2120</v>
      </c>
      <c r="P36" s="22" t="s">
        <v>2309</v>
      </c>
      <c r="Q36" s="9" t="s">
        <v>1152</v>
      </c>
      <c r="R36" s="9" t="s">
        <v>1152</v>
      </c>
      <c r="S36" s="34" t="s">
        <v>2121</v>
      </c>
      <c r="T36" s="50" t="s">
        <v>2122</v>
      </c>
      <c r="U36" s="10" t="s">
        <v>1800</v>
      </c>
      <c r="V36" s="10">
        <v>1</v>
      </c>
      <c r="W36" s="24" t="s">
        <v>111</v>
      </c>
      <c r="X36" s="24" t="s">
        <v>111</v>
      </c>
      <c r="Y36" s="136">
        <v>2.4145300000000001</v>
      </c>
      <c r="Z36" s="30"/>
      <c r="AA36" s="136">
        <v>2.4145300000000001</v>
      </c>
      <c r="AB36" s="35" t="s">
        <v>1104</v>
      </c>
      <c r="AC36" s="35" t="s">
        <v>2538</v>
      </c>
      <c r="AD36" s="35" t="s">
        <v>2309</v>
      </c>
      <c r="AE36" s="1955"/>
    </row>
    <row r="37" spans="1:31" s="11" customFormat="1" ht="45" x14ac:dyDescent="0.15">
      <c r="A37" s="8">
        <v>35</v>
      </c>
      <c r="B37" s="8" t="s">
        <v>2132</v>
      </c>
      <c r="C37" s="60" t="s">
        <v>19</v>
      </c>
      <c r="D37" s="26" t="s">
        <v>19</v>
      </c>
      <c r="E37" s="26" t="s">
        <v>19</v>
      </c>
      <c r="F37" s="52" t="s">
        <v>2133</v>
      </c>
      <c r="G37" s="53" t="s">
        <v>2174</v>
      </c>
      <c r="H37" s="20" t="s">
        <v>2135</v>
      </c>
      <c r="I37" s="20" t="s">
        <v>2134</v>
      </c>
      <c r="J37" s="22" t="s">
        <v>2171</v>
      </c>
      <c r="K37" s="22" t="s">
        <v>2156</v>
      </c>
      <c r="L37" s="22" t="s">
        <v>1826</v>
      </c>
      <c r="M37" s="22" t="s">
        <v>2309</v>
      </c>
      <c r="N37" s="9" t="s">
        <v>2172</v>
      </c>
      <c r="O37" s="54" t="s">
        <v>2173</v>
      </c>
      <c r="P37" s="22" t="s">
        <v>2309</v>
      </c>
      <c r="Q37" s="9" t="s">
        <v>854</v>
      </c>
      <c r="R37" s="9" t="s">
        <v>854</v>
      </c>
      <c r="S37" s="34" t="s">
        <v>2121</v>
      </c>
      <c r="T37" s="50" t="s">
        <v>2136</v>
      </c>
      <c r="U37" s="10" t="s">
        <v>110</v>
      </c>
      <c r="V37" s="10">
        <v>1</v>
      </c>
      <c r="W37" s="24" t="s">
        <v>3429</v>
      </c>
      <c r="X37" s="24" t="s">
        <v>3430</v>
      </c>
      <c r="Y37" s="30"/>
      <c r="Z37" s="30">
        <v>10</v>
      </c>
      <c r="AA37" s="30">
        <v>10</v>
      </c>
      <c r="AB37" s="35" t="s">
        <v>1104</v>
      </c>
      <c r="AC37" s="202" t="s">
        <v>2538</v>
      </c>
      <c r="AD37" s="35" t="s">
        <v>2309</v>
      </c>
      <c r="AE37" s="9"/>
    </row>
    <row r="38" spans="1:31" s="11" customFormat="1" ht="27.95" customHeight="1" x14ac:dyDescent="0.15">
      <c r="A38" s="8">
        <v>36</v>
      </c>
      <c r="B38" s="8" t="s">
        <v>2139</v>
      </c>
      <c r="C38" s="60" t="s">
        <v>2179</v>
      </c>
      <c r="D38" s="26" t="s">
        <v>19</v>
      </c>
      <c r="E38" s="8" t="s">
        <v>4957</v>
      </c>
      <c r="F38" s="52" t="s">
        <v>2177</v>
      </c>
      <c r="G38" s="53" t="s">
        <v>2178</v>
      </c>
      <c r="H38" s="20" t="s">
        <v>1147</v>
      </c>
      <c r="I38" s="20" t="s">
        <v>2138</v>
      </c>
      <c r="J38" s="9" t="s">
        <v>3485</v>
      </c>
      <c r="K38" s="22" t="s">
        <v>2141</v>
      </c>
      <c r="L38" s="22" t="s">
        <v>2142</v>
      </c>
      <c r="M38" s="22" t="s">
        <v>2309</v>
      </c>
      <c r="N38" s="9" t="s">
        <v>2175</v>
      </c>
      <c r="O38" s="47" t="s">
        <v>2176</v>
      </c>
      <c r="P38" s="22" t="s">
        <v>2309</v>
      </c>
      <c r="Q38" s="9" t="s">
        <v>2182</v>
      </c>
      <c r="R38" s="9" t="s">
        <v>1152</v>
      </c>
      <c r="S38" s="34" t="s">
        <v>2121</v>
      </c>
      <c r="T38" s="50" t="s">
        <v>2145</v>
      </c>
      <c r="U38" s="10" t="s">
        <v>1800</v>
      </c>
      <c r="V38" s="10">
        <v>1</v>
      </c>
      <c r="W38" s="24" t="s">
        <v>111</v>
      </c>
      <c r="X38" s="24" t="s">
        <v>111</v>
      </c>
      <c r="Y38" s="30">
        <v>20.324999999999999</v>
      </c>
      <c r="Z38" s="30"/>
      <c r="AA38" s="30">
        <v>20.324999999999999</v>
      </c>
      <c r="AB38" s="35" t="s">
        <v>1104</v>
      </c>
      <c r="AC38" s="35" t="s">
        <v>3510</v>
      </c>
      <c r="AD38" s="35" t="s">
        <v>2309</v>
      </c>
      <c r="AE38" s="9"/>
    </row>
    <row r="39" spans="1:31" s="11" customFormat="1" ht="27.95" customHeight="1" x14ac:dyDescent="0.15">
      <c r="A39" s="8">
        <v>37</v>
      </c>
      <c r="B39" s="8" t="s">
        <v>2140</v>
      </c>
      <c r="C39" s="60" t="s">
        <v>2163</v>
      </c>
      <c r="D39" s="26" t="s">
        <v>19</v>
      </c>
      <c r="E39" s="26" t="s">
        <v>19</v>
      </c>
      <c r="F39" s="52" t="s">
        <v>2177</v>
      </c>
      <c r="G39" s="53" t="s">
        <v>2137</v>
      </c>
      <c r="H39" s="20" t="s">
        <v>1147</v>
      </c>
      <c r="I39" s="20" t="s">
        <v>2138</v>
      </c>
      <c r="J39" s="9" t="s">
        <v>3486</v>
      </c>
      <c r="K39" s="22" t="s">
        <v>2180</v>
      </c>
      <c r="L39" s="22" t="s">
        <v>2142</v>
      </c>
      <c r="M39" s="22" t="s">
        <v>2309</v>
      </c>
      <c r="N39" s="9" t="s">
        <v>2143</v>
      </c>
      <c r="O39" s="47" t="s">
        <v>2144</v>
      </c>
      <c r="P39" s="22" t="s">
        <v>2309</v>
      </c>
      <c r="Q39" s="9" t="s">
        <v>2182</v>
      </c>
      <c r="R39" s="9" t="s">
        <v>1152</v>
      </c>
      <c r="S39" s="34" t="s">
        <v>2121</v>
      </c>
      <c r="T39" s="50" t="s">
        <v>2145</v>
      </c>
      <c r="U39" s="10" t="s">
        <v>1800</v>
      </c>
      <c r="V39" s="10">
        <v>1</v>
      </c>
      <c r="W39" s="24" t="s">
        <v>111</v>
      </c>
      <c r="X39" s="24" t="s">
        <v>111</v>
      </c>
      <c r="Y39" s="30">
        <v>20.324999999999999</v>
      </c>
      <c r="Z39" s="30"/>
      <c r="AA39" s="30">
        <v>20.324999999999999</v>
      </c>
      <c r="AB39" s="35" t="s">
        <v>1104</v>
      </c>
      <c r="AC39" s="35" t="s">
        <v>3510</v>
      </c>
      <c r="AD39" s="35" t="s">
        <v>2309</v>
      </c>
      <c r="AE39" s="9"/>
    </row>
    <row r="40" spans="1:31" s="11" customFormat="1" ht="27.95" customHeight="1" x14ac:dyDescent="0.15">
      <c r="A40" s="8">
        <v>38</v>
      </c>
      <c r="B40" s="8" t="s">
        <v>2146</v>
      </c>
      <c r="C40" s="60" t="s">
        <v>19</v>
      </c>
      <c r="D40" s="26" t="s">
        <v>19</v>
      </c>
      <c r="E40" s="26" t="s">
        <v>19</v>
      </c>
      <c r="F40" s="52" t="s">
        <v>2148</v>
      </c>
      <c r="G40" s="53" t="s">
        <v>2149</v>
      </c>
      <c r="H40" s="20" t="s">
        <v>2012</v>
      </c>
      <c r="I40" s="20" t="s">
        <v>2151</v>
      </c>
      <c r="J40" s="22" t="s">
        <v>2157</v>
      </c>
      <c r="K40" s="22" t="s">
        <v>2181</v>
      </c>
      <c r="L40" s="22" t="s">
        <v>1826</v>
      </c>
      <c r="M40" s="22" t="s">
        <v>2309</v>
      </c>
      <c r="N40" s="9" t="s">
        <v>102</v>
      </c>
      <c r="O40" s="54" t="s">
        <v>851</v>
      </c>
      <c r="P40" s="22" t="s">
        <v>2309</v>
      </c>
      <c r="Q40" s="9" t="s">
        <v>1152</v>
      </c>
      <c r="R40" s="9" t="s">
        <v>1152</v>
      </c>
      <c r="S40" s="34" t="s">
        <v>2121</v>
      </c>
      <c r="T40" s="50" t="s">
        <v>2153</v>
      </c>
      <c r="U40" s="10" t="s">
        <v>1800</v>
      </c>
      <c r="V40" s="10">
        <v>1</v>
      </c>
      <c r="W40" s="24" t="s">
        <v>2154</v>
      </c>
      <c r="X40" s="24" t="s">
        <v>2155</v>
      </c>
      <c r="Y40" s="30"/>
      <c r="Z40" s="30">
        <v>10</v>
      </c>
      <c r="AA40" s="30">
        <v>10</v>
      </c>
      <c r="AB40" s="35" t="s">
        <v>1104</v>
      </c>
      <c r="AC40" s="202" t="s">
        <v>2538</v>
      </c>
      <c r="AD40" s="35" t="s">
        <v>2309</v>
      </c>
      <c r="AE40" s="9"/>
    </row>
    <row r="41" spans="1:31" s="11" customFormat="1" ht="27.95" customHeight="1" x14ac:dyDescent="0.15">
      <c r="A41" s="8">
        <v>39</v>
      </c>
      <c r="B41" s="8" t="s">
        <v>2147</v>
      </c>
      <c r="C41" s="60" t="s">
        <v>19</v>
      </c>
      <c r="D41" s="26" t="s">
        <v>19</v>
      </c>
      <c r="E41" s="26" t="s">
        <v>19</v>
      </c>
      <c r="F41" s="52" t="s">
        <v>2150</v>
      </c>
      <c r="G41" s="53" t="s">
        <v>2149</v>
      </c>
      <c r="H41" s="20" t="s">
        <v>1147</v>
      </c>
      <c r="I41" s="20" t="s">
        <v>2151</v>
      </c>
      <c r="J41" s="22" t="s">
        <v>2152</v>
      </c>
      <c r="K41" s="22" t="s">
        <v>2158</v>
      </c>
      <c r="L41" s="22" t="s">
        <v>1826</v>
      </c>
      <c r="M41" s="22" t="s">
        <v>2309</v>
      </c>
      <c r="N41" s="9" t="s">
        <v>102</v>
      </c>
      <c r="O41" s="54" t="s">
        <v>851</v>
      </c>
      <c r="P41" s="22" t="s">
        <v>2309</v>
      </c>
      <c r="Q41" s="9" t="s">
        <v>1152</v>
      </c>
      <c r="R41" s="9" t="s">
        <v>1152</v>
      </c>
      <c r="S41" s="34" t="s">
        <v>2121</v>
      </c>
      <c r="T41" s="50" t="s">
        <v>2153</v>
      </c>
      <c r="U41" s="10" t="s">
        <v>1800</v>
      </c>
      <c r="V41" s="10">
        <v>1</v>
      </c>
      <c r="W41" s="24" t="s">
        <v>2154</v>
      </c>
      <c r="X41" s="24" t="s">
        <v>2155</v>
      </c>
      <c r="Y41" s="30"/>
      <c r="Z41" s="30">
        <v>10</v>
      </c>
      <c r="AA41" s="30">
        <v>10</v>
      </c>
      <c r="AB41" s="35" t="s">
        <v>1104</v>
      </c>
      <c r="AC41" s="202" t="s">
        <v>2538</v>
      </c>
      <c r="AD41" s="35" t="s">
        <v>2309</v>
      </c>
      <c r="AE41" s="9"/>
    </row>
    <row r="42" spans="1:31" s="11" customFormat="1" ht="27.95" customHeight="1" x14ac:dyDescent="0.15">
      <c r="A42" s="8">
        <v>40</v>
      </c>
      <c r="B42" s="8" t="s">
        <v>2381</v>
      </c>
      <c r="C42" s="60" t="s">
        <v>19</v>
      </c>
      <c r="D42" s="26" t="s">
        <v>19</v>
      </c>
      <c r="E42" s="26" t="s">
        <v>19</v>
      </c>
      <c r="F42" s="52" t="s">
        <v>2356</v>
      </c>
      <c r="G42" s="67" t="s">
        <v>2384</v>
      </c>
      <c r="H42" s="20" t="s">
        <v>2113</v>
      </c>
      <c r="I42" s="20" t="s">
        <v>1146</v>
      </c>
      <c r="J42" s="22" t="s">
        <v>2324</v>
      </c>
      <c r="K42" s="22" t="s">
        <v>2385</v>
      </c>
      <c r="L42" s="22" t="s">
        <v>1826</v>
      </c>
      <c r="M42" s="22" t="s">
        <v>2357</v>
      </c>
      <c r="N42" s="9" t="s">
        <v>102</v>
      </c>
      <c r="O42" s="76" t="s">
        <v>2326</v>
      </c>
      <c r="P42" s="22" t="s">
        <v>1880</v>
      </c>
      <c r="Q42" s="9" t="s">
        <v>2323</v>
      </c>
      <c r="R42" s="9" t="s">
        <v>2323</v>
      </c>
      <c r="S42" s="85" t="s">
        <v>2383</v>
      </c>
      <c r="T42" s="86" t="s">
        <v>2358</v>
      </c>
      <c r="U42" s="87" t="s">
        <v>2359</v>
      </c>
      <c r="V42" s="87">
        <v>2</v>
      </c>
      <c r="W42" s="85" t="s">
        <v>2322</v>
      </c>
      <c r="X42" s="86" t="s">
        <v>2325</v>
      </c>
      <c r="Y42" s="30"/>
      <c r="Z42" s="30">
        <v>21.5</v>
      </c>
      <c r="AA42" s="30">
        <v>21.5</v>
      </c>
      <c r="AB42" s="35" t="s">
        <v>1104</v>
      </c>
      <c r="AC42" s="202" t="s">
        <v>2538</v>
      </c>
      <c r="AD42" s="35" t="s">
        <v>1880</v>
      </c>
      <c r="AE42" s="9"/>
    </row>
    <row r="43" spans="1:31" s="11" customFormat="1" ht="27.95" customHeight="1" x14ac:dyDescent="0.15">
      <c r="A43" s="8">
        <v>41</v>
      </c>
      <c r="B43" s="8" t="s">
        <v>2350</v>
      </c>
      <c r="C43" s="60" t="s">
        <v>19</v>
      </c>
      <c r="D43" s="26" t="s">
        <v>19</v>
      </c>
      <c r="E43" s="26" t="s">
        <v>19</v>
      </c>
      <c r="F43" s="52" t="s">
        <v>2334</v>
      </c>
      <c r="G43" s="67" t="s">
        <v>2335</v>
      </c>
      <c r="H43" s="83" t="s">
        <v>1147</v>
      </c>
      <c r="I43" s="83" t="s">
        <v>2352</v>
      </c>
      <c r="J43" s="84" t="s">
        <v>2529</v>
      </c>
      <c r="K43" s="71" t="s">
        <v>3484</v>
      </c>
      <c r="L43" s="22" t="s">
        <v>2142</v>
      </c>
      <c r="M43" s="22" t="s">
        <v>1880</v>
      </c>
      <c r="N43" s="71" t="s">
        <v>2336</v>
      </c>
      <c r="O43" s="88" t="s">
        <v>2336</v>
      </c>
      <c r="P43" s="22" t="s">
        <v>1880</v>
      </c>
      <c r="Q43" s="9" t="s">
        <v>1152</v>
      </c>
      <c r="R43" s="9" t="s">
        <v>2337</v>
      </c>
      <c r="S43" s="85" t="s">
        <v>2383</v>
      </c>
      <c r="T43" s="86" t="s">
        <v>2338</v>
      </c>
      <c r="U43" s="10" t="s">
        <v>1800</v>
      </c>
      <c r="V43" s="87">
        <v>1</v>
      </c>
      <c r="W43" s="24" t="s">
        <v>111</v>
      </c>
      <c r="X43" s="24" t="s">
        <v>111</v>
      </c>
      <c r="Y43" s="30">
        <v>29.505600000000001</v>
      </c>
      <c r="Z43" s="30"/>
      <c r="AA43" s="30">
        <v>29.505600000000001</v>
      </c>
      <c r="AB43" s="35" t="s">
        <v>1104</v>
      </c>
      <c r="AC43" s="35" t="s">
        <v>2538</v>
      </c>
      <c r="AD43" s="35" t="s">
        <v>1880</v>
      </c>
      <c r="AE43" s="9" t="s">
        <v>3261</v>
      </c>
    </row>
    <row r="44" spans="1:31" s="11" customFormat="1" ht="33.75" x14ac:dyDescent="0.15">
      <c r="A44" s="8">
        <v>42</v>
      </c>
      <c r="B44" s="8" t="s">
        <v>2351</v>
      </c>
      <c r="C44" s="60" t="s">
        <v>19</v>
      </c>
      <c r="D44" s="26" t="s">
        <v>3431</v>
      </c>
      <c r="E44" s="26" t="s">
        <v>19</v>
      </c>
      <c r="F44" s="52" t="s">
        <v>2387</v>
      </c>
      <c r="G44" s="67" t="s">
        <v>3432</v>
      </c>
      <c r="H44" s="83" t="s">
        <v>2328</v>
      </c>
      <c r="I44" s="83" t="s">
        <v>2327</v>
      </c>
      <c r="J44" s="84" t="s">
        <v>2329</v>
      </c>
      <c r="K44" s="84" t="s">
        <v>2388</v>
      </c>
      <c r="L44" s="22" t="s">
        <v>1826</v>
      </c>
      <c r="M44" s="22" t="s">
        <v>1880</v>
      </c>
      <c r="N44" s="9" t="s">
        <v>2386</v>
      </c>
      <c r="O44" s="88" t="s">
        <v>2390</v>
      </c>
      <c r="P44" s="22" t="s">
        <v>1880</v>
      </c>
      <c r="Q44" s="9" t="s">
        <v>2330</v>
      </c>
      <c r="R44" s="9" t="s">
        <v>2330</v>
      </c>
      <c r="S44" s="85" t="s">
        <v>2383</v>
      </c>
      <c r="T44" s="86" t="s">
        <v>2331</v>
      </c>
      <c r="U44" s="10" t="s">
        <v>110</v>
      </c>
      <c r="V44" s="10">
        <v>1</v>
      </c>
      <c r="W44" s="24" t="s">
        <v>111</v>
      </c>
      <c r="X44" s="24" t="s">
        <v>111</v>
      </c>
      <c r="Y44" s="30">
        <v>49.5</v>
      </c>
      <c r="Z44" s="30"/>
      <c r="AA44" s="30">
        <v>49.5</v>
      </c>
      <c r="AB44" s="35" t="s">
        <v>1104</v>
      </c>
      <c r="AC44" s="35" t="s">
        <v>2538</v>
      </c>
      <c r="AD44" s="35" t="s">
        <v>1880</v>
      </c>
      <c r="AE44" s="9"/>
    </row>
    <row r="45" spans="1:31" s="11" customFormat="1" ht="27.95" customHeight="1" x14ac:dyDescent="0.15">
      <c r="A45" s="8">
        <v>43</v>
      </c>
      <c r="B45" s="8" t="s">
        <v>2346</v>
      </c>
      <c r="C45" s="60" t="s">
        <v>2345</v>
      </c>
      <c r="D45" s="26" t="s">
        <v>19</v>
      </c>
      <c r="E45" s="26" t="s">
        <v>19</v>
      </c>
      <c r="F45" s="52" t="s">
        <v>2339</v>
      </c>
      <c r="G45" s="67" t="s">
        <v>2391</v>
      </c>
      <c r="H45" s="83" t="s">
        <v>1147</v>
      </c>
      <c r="I45" s="83" t="s">
        <v>2067</v>
      </c>
      <c r="J45" s="84" t="s">
        <v>2340</v>
      </c>
      <c r="K45" s="84" t="s">
        <v>2341</v>
      </c>
      <c r="L45" s="22" t="s">
        <v>1826</v>
      </c>
      <c r="M45" s="22" t="s">
        <v>1880</v>
      </c>
      <c r="N45" s="9" t="s">
        <v>1150</v>
      </c>
      <c r="O45" s="88" t="s">
        <v>2389</v>
      </c>
      <c r="P45" s="22" t="s">
        <v>1880</v>
      </c>
      <c r="Q45" s="9" t="s">
        <v>2343</v>
      </c>
      <c r="R45" s="9" t="s">
        <v>2343</v>
      </c>
      <c r="S45" s="85" t="s">
        <v>2383</v>
      </c>
      <c r="T45" s="86" t="s">
        <v>2344</v>
      </c>
      <c r="U45" s="10" t="s">
        <v>1800</v>
      </c>
      <c r="V45" s="87">
        <v>1</v>
      </c>
      <c r="W45" s="24" t="s">
        <v>111</v>
      </c>
      <c r="X45" s="24" t="s">
        <v>111</v>
      </c>
      <c r="Y45" s="136">
        <v>2.9247860000000001</v>
      </c>
      <c r="Z45" s="30"/>
      <c r="AA45" s="136">
        <v>2.9247860000000001</v>
      </c>
      <c r="AB45" s="35" t="s">
        <v>1104</v>
      </c>
      <c r="AC45" s="35" t="s">
        <v>2538</v>
      </c>
      <c r="AD45" s="35" t="s">
        <v>1880</v>
      </c>
      <c r="AE45" s="9" t="s">
        <v>3260</v>
      </c>
    </row>
    <row r="46" spans="1:31" s="11" customFormat="1" ht="22.5" x14ac:dyDescent="0.15">
      <c r="A46" s="8">
        <v>44</v>
      </c>
      <c r="B46" s="8" t="s">
        <v>2382</v>
      </c>
      <c r="C46" s="60" t="s">
        <v>19</v>
      </c>
      <c r="D46" s="26" t="s">
        <v>19</v>
      </c>
      <c r="E46" s="26" t="s">
        <v>19</v>
      </c>
      <c r="F46" s="52" t="s">
        <v>2395</v>
      </c>
      <c r="G46" s="67" t="s">
        <v>2394</v>
      </c>
      <c r="H46" s="83" t="s">
        <v>2347</v>
      </c>
      <c r="I46" s="83" t="s">
        <v>2327</v>
      </c>
      <c r="J46" s="84" t="s">
        <v>2392</v>
      </c>
      <c r="K46" s="84" t="s">
        <v>2393</v>
      </c>
      <c r="L46" s="22" t="s">
        <v>1826</v>
      </c>
      <c r="M46" s="22" t="s">
        <v>1880</v>
      </c>
      <c r="N46" s="9" t="s">
        <v>2386</v>
      </c>
      <c r="O46" s="54" t="s">
        <v>1819</v>
      </c>
      <c r="P46" s="22" t="s">
        <v>1880</v>
      </c>
      <c r="Q46" s="9" t="s">
        <v>2348</v>
      </c>
      <c r="R46" s="9" t="s">
        <v>2348</v>
      </c>
      <c r="S46" s="85" t="s">
        <v>2383</v>
      </c>
      <c r="T46" s="86" t="s">
        <v>2349</v>
      </c>
      <c r="U46" s="10" t="s">
        <v>110</v>
      </c>
      <c r="V46" s="10">
        <v>1</v>
      </c>
      <c r="W46" s="91">
        <v>2017.1</v>
      </c>
      <c r="X46" s="91">
        <v>2018.1</v>
      </c>
      <c r="Y46" s="30"/>
      <c r="Z46" s="30">
        <v>16</v>
      </c>
      <c r="AA46" s="30">
        <v>16</v>
      </c>
      <c r="AB46" s="35" t="s">
        <v>1104</v>
      </c>
      <c r="AC46" s="202" t="s">
        <v>2538</v>
      </c>
      <c r="AD46" s="35" t="s">
        <v>1880</v>
      </c>
      <c r="AE46" s="9"/>
    </row>
    <row r="47" spans="1:31" s="11" customFormat="1" ht="27.75" customHeight="1" x14ac:dyDescent="0.15">
      <c r="A47" s="8">
        <v>45</v>
      </c>
      <c r="B47" s="8" t="s">
        <v>2416</v>
      </c>
      <c r="C47" s="26" t="s">
        <v>2411</v>
      </c>
      <c r="D47" s="26" t="s">
        <v>19</v>
      </c>
      <c r="E47" s="26" t="s">
        <v>19</v>
      </c>
      <c r="F47" s="52" t="s">
        <v>2397</v>
      </c>
      <c r="G47" s="67" t="s">
        <v>2398</v>
      </c>
      <c r="H47" s="83" t="s">
        <v>1881</v>
      </c>
      <c r="I47" s="83" t="s">
        <v>2399</v>
      </c>
      <c r="J47" s="84" t="s">
        <v>2400</v>
      </c>
      <c r="K47" s="84" t="s">
        <v>2401</v>
      </c>
      <c r="L47" s="22" t="s">
        <v>1826</v>
      </c>
      <c r="M47" s="22" t="s">
        <v>1880</v>
      </c>
      <c r="N47" s="9" t="s">
        <v>1818</v>
      </c>
      <c r="O47" s="54" t="s">
        <v>1819</v>
      </c>
      <c r="P47" s="22" t="s">
        <v>1880</v>
      </c>
      <c r="Q47" s="9" t="s">
        <v>2510</v>
      </c>
      <c r="R47" s="9" t="s">
        <v>2509</v>
      </c>
      <c r="S47" s="85" t="s">
        <v>2402</v>
      </c>
      <c r="T47" s="86" t="s">
        <v>2403</v>
      </c>
      <c r="U47" s="10" t="s">
        <v>110</v>
      </c>
      <c r="V47" s="10">
        <v>3</v>
      </c>
      <c r="W47" s="91" t="s">
        <v>2404</v>
      </c>
      <c r="X47" s="91" t="s">
        <v>2405</v>
      </c>
      <c r="Y47" s="30"/>
      <c r="Z47" s="30">
        <v>10</v>
      </c>
      <c r="AA47" s="30">
        <v>10</v>
      </c>
      <c r="AB47" s="35" t="s">
        <v>1104</v>
      </c>
      <c r="AC47" s="202" t="s">
        <v>2538</v>
      </c>
      <c r="AD47" s="35" t="s">
        <v>1880</v>
      </c>
      <c r="AE47" s="9"/>
    </row>
    <row r="48" spans="1:31" s="11" customFormat="1" ht="27.95" customHeight="1" x14ac:dyDescent="0.15">
      <c r="A48" s="8">
        <v>46</v>
      </c>
      <c r="B48" s="8" t="s">
        <v>2414</v>
      </c>
      <c r="C48" s="26" t="s">
        <v>2412</v>
      </c>
      <c r="D48" s="26" t="s">
        <v>19</v>
      </c>
      <c r="E48" s="26" t="s">
        <v>19</v>
      </c>
      <c r="F48" s="52" t="s">
        <v>1775</v>
      </c>
      <c r="G48" s="67" t="s">
        <v>2406</v>
      </c>
      <c r="H48" s="83" t="s">
        <v>2113</v>
      </c>
      <c r="I48" s="83" t="s">
        <v>2407</v>
      </c>
      <c r="J48" s="84" t="s">
        <v>2408</v>
      </c>
      <c r="K48" s="84" t="s">
        <v>2409</v>
      </c>
      <c r="L48" s="22" t="s">
        <v>1826</v>
      </c>
      <c r="M48" s="22" t="s">
        <v>1880</v>
      </c>
      <c r="N48" s="9" t="s">
        <v>2410</v>
      </c>
      <c r="O48" s="54" t="s">
        <v>2413</v>
      </c>
      <c r="P48" s="22" t="s">
        <v>1880</v>
      </c>
      <c r="Q48" s="9" t="s">
        <v>2415</v>
      </c>
      <c r="R48" s="9" t="s">
        <v>2415</v>
      </c>
      <c r="S48" s="85" t="s">
        <v>2402</v>
      </c>
      <c r="T48" s="86" t="s">
        <v>2403</v>
      </c>
      <c r="U48" s="10" t="s">
        <v>110</v>
      </c>
      <c r="V48" s="10">
        <v>2</v>
      </c>
      <c r="W48" s="24" t="s">
        <v>111</v>
      </c>
      <c r="X48" s="24" t="s">
        <v>111</v>
      </c>
      <c r="Y48" s="136">
        <v>8.6058120000000002</v>
      </c>
      <c r="Z48" s="30"/>
      <c r="AA48" s="136">
        <v>8.6058120000000002</v>
      </c>
      <c r="AB48" s="35" t="s">
        <v>1104</v>
      </c>
      <c r="AC48" s="35" t="s">
        <v>3513</v>
      </c>
      <c r="AD48" s="35" t="s">
        <v>1880</v>
      </c>
      <c r="AE48" s="9" t="s">
        <v>3850</v>
      </c>
    </row>
    <row r="49" spans="1:31" s="11" customFormat="1" ht="27.95" customHeight="1" x14ac:dyDescent="0.15">
      <c r="A49" s="8">
        <v>47</v>
      </c>
      <c r="B49" s="8" t="s">
        <v>3849</v>
      </c>
      <c r="C49" s="26" t="s">
        <v>19</v>
      </c>
      <c r="D49" s="26" t="s">
        <v>19</v>
      </c>
      <c r="E49" s="26" t="s">
        <v>19</v>
      </c>
      <c r="F49" s="52" t="s">
        <v>1775</v>
      </c>
      <c r="G49" s="67" t="s">
        <v>3851</v>
      </c>
      <c r="H49" s="83" t="s">
        <v>2113</v>
      </c>
      <c r="I49" s="83" t="s">
        <v>1779</v>
      </c>
      <c r="J49" s="84" t="s">
        <v>1778</v>
      </c>
      <c r="K49" s="84" t="s">
        <v>1777</v>
      </c>
      <c r="L49" s="22" t="s">
        <v>1826</v>
      </c>
      <c r="M49" s="22" t="s">
        <v>1880</v>
      </c>
      <c r="N49" s="9" t="s">
        <v>1150</v>
      </c>
      <c r="O49" s="54" t="s">
        <v>2413</v>
      </c>
      <c r="P49" s="22" t="s">
        <v>1880</v>
      </c>
      <c r="Q49" s="9" t="s">
        <v>1831</v>
      </c>
      <c r="R49" s="9" t="s">
        <v>1831</v>
      </c>
      <c r="S49" s="100"/>
      <c r="T49" s="101"/>
      <c r="U49" s="15"/>
      <c r="V49" s="15"/>
      <c r="W49" s="24" t="s">
        <v>111</v>
      </c>
      <c r="X49" s="24" t="s">
        <v>111</v>
      </c>
      <c r="Y49" s="136">
        <v>0</v>
      </c>
      <c r="Z49" s="30"/>
      <c r="AA49" s="136">
        <v>0</v>
      </c>
      <c r="AB49" s="35" t="s">
        <v>1104</v>
      </c>
      <c r="AC49" s="35" t="s">
        <v>127</v>
      </c>
      <c r="AD49" s="35" t="s">
        <v>1880</v>
      </c>
      <c r="AE49" s="71" t="s">
        <v>3852</v>
      </c>
    </row>
    <row r="50" spans="1:31" s="11" customFormat="1" ht="27.95" customHeight="1" x14ac:dyDescent="0.15">
      <c r="A50" s="8">
        <v>48</v>
      </c>
      <c r="B50" s="8" t="s">
        <v>2396</v>
      </c>
      <c r="C50" s="26" t="s">
        <v>19</v>
      </c>
      <c r="D50" s="26" t="s">
        <v>19</v>
      </c>
      <c r="E50" s="26" t="s">
        <v>19</v>
      </c>
      <c r="F50" s="52" t="s">
        <v>2417</v>
      </c>
      <c r="G50" s="67" t="s">
        <v>2418</v>
      </c>
      <c r="H50" s="83" t="s">
        <v>2420</v>
      </c>
      <c r="I50" s="83" t="s">
        <v>2419</v>
      </c>
      <c r="J50" s="84" t="s">
        <v>2421</v>
      </c>
      <c r="K50" s="71" t="s">
        <v>1138</v>
      </c>
      <c r="L50" s="22" t="s">
        <v>2142</v>
      </c>
      <c r="M50" s="22" t="s">
        <v>1880</v>
      </c>
      <c r="N50" s="9" t="s">
        <v>2422</v>
      </c>
      <c r="O50" s="54" t="s">
        <v>2423</v>
      </c>
      <c r="P50" s="22" t="s">
        <v>1880</v>
      </c>
      <c r="Q50" s="9" t="s">
        <v>2424</v>
      </c>
      <c r="R50" s="9" t="s">
        <v>2424</v>
      </c>
      <c r="S50" s="85" t="s">
        <v>2402</v>
      </c>
      <c r="T50" s="86" t="s">
        <v>2427</v>
      </c>
      <c r="U50" s="10" t="s">
        <v>110</v>
      </c>
      <c r="V50" s="10">
        <v>3</v>
      </c>
      <c r="W50" s="91" t="s">
        <v>2425</v>
      </c>
      <c r="X50" s="91" t="s">
        <v>2426</v>
      </c>
      <c r="Y50" s="30"/>
      <c r="Z50" s="30">
        <v>37.799999999999997</v>
      </c>
      <c r="AA50" s="30">
        <v>37.799999999999997</v>
      </c>
      <c r="AB50" s="35" t="s">
        <v>1104</v>
      </c>
      <c r="AC50" s="202" t="s">
        <v>2538</v>
      </c>
      <c r="AD50" s="35" t="s">
        <v>1880</v>
      </c>
      <c r="AE50" s="9"/>
    </row>
    <row r="51" spans="1:31" s="11" customFormat="1" ht="33.75" x14ac:dyDescent="0.15">
      <c r="A51" s="8">
        <v>49</v>
      </c>
      <c r="B51" s="8" t="s">
        <v>2434</v>
      </c>
      <c r="C51" s="26" t="s">
        <v>2433</v>
      </c>
      <c r="D51" s="26" t="s">
        <v>19</v>
      </c>
      <c r="E51" s="8" t="s">
        <v>3883</v>
      </c>
      <c r="F51" s="97" t="s">
        <v>2417</v>
      </c>
      <c r="G51" s="67" t="s">
        <v>2428</v>
      </c>
      <c r="H51" s="83" t="s">
        <v>2420</v>
      </c>
      <c r="I51" s="83" t="s">
        <v>2419</v>
      </c>
      <c r="J51" s="84" t="s">
        <v>2421</v>
      </c>
      <c r="K51" s="71" t="s">
        <v>1138</v>
      </c>
      <c r="L51" s="22" t="s">
        <v>2142</v>
      </c>
      <c r="M51" s="22" t="s">
        <v>1880</v>
      </c>
      <c r="N51" s="372" t="s">
        <v>2429</v>
      </c>
      <c r="O51" s="54" t="s">
        <v>2430</v>
      </c>
      <c r="P51" s="22" t="s">
        <v>1880</v>
      </c>
      <c r="Q51" s="9" t="s">
        <v>2424</v>
      </c>
      <c r="R51" s="9" t="s">
        <v>2424</v>
      </c>
      <c r="S51" s="85" t="s">
        <v>2402</v>
      </c>
      <c r="T51" s="86" t="s">
        <v>2432</v>
      </c>
      <c r="U51" s="10" t="s">
        <v>110</v>
      </c>
      <c r="V51" s="10">
        <v>3</v>
      </c>
      <c r="W51" s="24" t="s">
        <v>111</v>
      </c>
      <c r="X51" s="24" t="s">
        <v>111</v>
      </c>
      <c r="Y51" s="136">
        <v>19.333333</v>
      </c>
      <c r="Z51" s="30"/>
      <c r="AA51" s="136">
        <v>19.333333</v>
      </c>
      <c r="AB51" s="35" t="s">
        <v>1104</v>
      </c>
      <c r="AC51" s="35" t="s">
        <v>3514</v>
      </c>
      <c r="AD51" s="35">
        <v>0.8</v>
      </c>
      <c r="AE51" s="241" t="s">
        <v>4773</v>
      </c>
    </row>
    <row r="52" spans="1:31" s="11" customFormat="1" ht="33.75" x14ac:dyDescent="0.15">
      <c r="A52" s="8">
        <v>50</v>
      </c>
      <c r="B52" s="8" t="s">
        <v>2438</v>
      </c>
      <c r="C52" s="26" t="s">
        <v>2443</v>
      </c>
      <c r="D52" s="26" t="s">
        <v>19</v>
      </c>
      <c r="E52" s="26" t="s">
        <v>19</v>
      </c>
      <c r="F52" s="52" t="s">
        <v>2435</v>
      </c>
      <c r="G52" s="67" t="s">
        <v>2436</v>
      </c>
      <c r="H52" s="83" t="s">
        <v>2012</v>
      </c>
      <c r="I52" s="20" t="s">
        <v>2511</v>
      </c>
      <c r="J52" s="22" t="s">
        <v>3392</v>
      </c>
      <c r="K52" s="71" t="s">
        <v>1138</v>
      </c>
      <c r="L52" s="22" t="s">
        <v>2142</v>
      </c>
      <c r="M52" s="22" t="s">
        <v>1880</v>
      </c>
      <c r="N52" s="9" t="s">
        <v>45</v>
      </c>
      <c r="O52" s="54" t="s">
        <v>2440</v>
      </c>
      <c r="P52" s="22" t="s">
        <v>1880</v>
      </c>
      <c r="Q52" s="9" t="s">
        <v>2499</v>
      </c>
      <c r="R52" s="9" t="s">
        <v>2527</v>
      </c>
      <c r="S52" s="85" t="s">
        <v>2402</v>
      </c>
      <c r="T52" s="86" t="s">
        <v>2453</v>
      </c>
      <c r="U52" s="10" t="s">
        <v>110</v>
      </c>
      <c r="V52" s="10">
        <v>1</v>
      </c>
      <c r="W52" s="24" t="s">
        <v>2512</v>
      </c>
      <c r="X52" s="24" t="s">
        <v>111</v>
      </c>
      <c r="Y52" s="95">
        <v>15.75</v>
      </c>
      <c r="Z52" s="30"/>
      <c r="AA52" s="95">
        <v>15.75</v>
      </c>
      <c r="AB52" s="35" t="s">
        <v>1104</v>
      </c>
      <c r="AC52" s="35" t="s">
        <v>3493</v>
      </c>
      <c r="AD52" s="35" t="s">
        <v>1880</v>
      </c>
      <c r="AE52" s="9"/>
    </row>
    <row r="53" spans="1:31" s="11" customFormat="1" ht="33.75" x14ac:dyDescent="0.15">
      <c r="A53" s="8">
        <v>51</v>
      </c>
      <c r="B53" s="8" t="s">
        <v>2439</v>
      </c>
      <c r="C53" s="26" t="s">
        <v>2444</v>
      </c>
      <c r="D53" s="26" t="s">
        <v>19</v>
      </c>
      <c r="E53" s="8" t="s">
        <v>3256</v>
      </c>
      <c r="F53" s="52" t="s">
        <v>2435</v>
      </c>
      <c r="G53" s="67" t="s">
        <v>2436</v>
      </c>
      <c r="H53" s="83" t="s">
        <v>2012</v>
      </c>
      <c r="I53" s="20" t="s">
        <v>2437</v>
      </c>
      <c r="J53" s="22" t="s">
        <v>2523</v>
      </c>
      <c r="K53" s="71" t="s">
        <v>1138</v>
      </c>
      <c r="L53" s="22" t="s">
        <v>2142</v>
      </c>
      <c r="M53" s="22" t="s">
        <v>1880</v>
      </c>
      <c r="N53" s="9" t="s">
        <v>2441</v>
      </c>
      <c r="O53" s="54" t="s">
        <v>2442</v>
      </c>
      <c r="P53" s="22" t="s">
        <v>1880</v>
      </c>
      <c r="Q53" s="9" t="s">
        <v>2499</v>
      </c>
      <c r="R53" s="9" t="s">
        <v>2527</v>
      </c>
      <c r="S53" s="85" t="s">
        <v>2402</v>
      </c>
      <c r="T53" s="86" t="s">
        <v>2453</v>
      </c>
      <c r="U53" s="10" t="s">
        <v>110</v>
      </c>
      <c r="V53" s="10">
        <v>1</v>
      </c>
      <c r="W53" s="24" t="s">
        <v>111</v>
      </c>
      <c r="X53" s="24" t="s">
        <v>111</v>
      </c>
      <c r="Y53" s="95">
        <v>8.1999999999999993</v>
      </c>
      <c r="Z53" s="30"/>
      <c r="AA53" s="95">
        <v>8.1999999999999993</v>
      </c>
      <c r="AB53" s="35" t="s">
        <v>1104</v>
      </c>
      <c r="AC53" s="35" t="s">
        <v>3138</v>
      </c>
      <c r="AD53" s="35" t="s">
        <v>1880</v>
      </c>
      <c r="AE53" s="9"/>
    </row>
    <row r="54" spans="1:31" s="11" customFormat="1" ht="27.95" customHeight="1" x14ac:dyDescent="0.15">
      <c r="A54" s="8">
        <v>52</v>
      </c>
      <c r="B54" s="8" t="s">
        <v>2456</v>
      </c>
      <c r="C54" s="26" t="s">
        <v>2455</v>
      </c>
      <c r="D54" s="26" t="s">
        <v>19</v>
      </c>
      <c r="E54" s="26" t="s">
        <v>19</v>
      </c>
      <c r="F54" s="52" t="s">
        <v>3243</v>
      </c>
      <c r="G54" s="67" t="s">
        <v>2449</v>
      </c>
      <c r="H54" s="83" t="s">
        <v>1147</v>
      </c>
      <c r="I54" s="20" t="s">
        <v>2437</v>
      </c>
      <c r="J54" s="22" t="s">
        <v>3490</v>
      </c>
      <c r="K54" s="22" t="s">
        <v>2457</v>
      </c>
      <c r="L54" s="22" t="s">
        <v>2142</v>
      </c>
      <c r="M54" s="22" t="s">
        <v>2450</v>
      </c>
      <c r="N54" s="9" t="s">
        <v>2410</v>
      </c>
      <c r="O54" s="54" t="s">
        <v>2451</v>
      </c>
      <c r="P54" s="22" t="s">
        <v>1880</v>
      </c>
      <c r="Q54" s="9" t="s">
        <v>2452</v>
      </c>
      <c r="R54" s="9" t="s">
        <v>2452</v>
      </c>
      <c r="S54" s="85" t="s">
        <v>2402</v>
      </c>
      <c r="T54" s="86" t="s">
        <v>2454</v>
      </c>
      <c r="U54" s="10" t="s">
        <v>110</v>
      </c>
      <c r="V54" s="10">
        <v>2</v>
      </c>
      <c r="W54" s="24" t="s">
        <v>111</v>
      </c>
      <c r="X54" s="24" t="s">
        <v>111</v>
      </c>
      <c r="Y54" s="136">
        <v>22.803419999999999</v>
      </c>
      <c r="Z54" s="136"/>
      <c r="AA54" s="136">
        <v>22.803419999999999</v>
      </c>
      <c r="AB54" s="35" t="s">
        <v>1104</v>
      </c>
      <c r="AC54" s="35" t="s">
        <v>3492</v>
      </c>
      <c r="AD54" s="35" t="s">
        <v>1880</v>
      </c>
      <c r="AE54" s="9" t="s">
        <v>3253</v>
      </c>
    </row>
    <row r="55" spans="1:31" s="11" customFormat="1" ht="33.75" x14ac:dyDescent="0.15">
      <c r="A55" s="8">
        <v>53</v>
      </c>
      <c r="B55" s="8" t="s">
        <v>2458</v>
      </c>
      <c r="C55" s="26" t="s">
        <v>2462</v>
      </c>
      <c r="D55" s="26" t="s">
        <v>127</v>
      </c>
      <c r="E55" s="26" t="s">
        <v>127</v>
      </c>
      <c r="F55" s="97" t="s">
        <v>2463</v>
      </c>
      <c r="G55" s="67" t="s">
        <v>2464</v>
      </c>
      <c r="H55" s="83" t="s">
        <v>1147</v>
      </c>
      <c r="I55" s="20" t="s">
        <v>2465</v>
      </c>
      <c r="J55" s="22" t="s">
        <v>3491</v>
      </c>
      <c r="K55" s="22" t="s">
        <v>2466</v>
      </c>
      <c r="L55" s="22" t="s">
        <v>2142</v>
      </c>
      <c r="M55" s="22" t="s">
        <v>1880</v>
      </c>
      <c r="N55" s="9" t="s">
        <v>2459</v>
      </c>
      <c r="O55" s="54" t="s">
        <v>2460</v>
      </c>
      <c r="P55" s="22" t="s">
        <v>1880</v>
      </c>
      <c r="Q55" s="9" t="s">
        <v>2452</v>
      </c>
      <c r="R55" s="9" t="s">
        <v>2452</v>
      </c>
      <c r="S55" s="85" t="s">
        <v>2402</v>
      </c>
      <c r="T55" s="86" t="s">
        <v>2469</v>
      </c>
      <c r="U55" s="10" t="s">
        <v>1800</v>
      </c>
      <c r="V55" s="10">
        <v>1</v>
      </c>
      <c r="W55" s="24" t="s">
        <v>5294</v>
      </c>
      <c r="X55" s="24" t="s">
        <v>111</v>
      </c>
      <c r="Y55" s="30">
        <v>18.2</v>
      </c>
      <c r="Z55" s="30"/>
      <c r="AA55" s="30">
        <v>18.2</v>
      </c>
      <c r="AB55" s="35" t="s">
        <v>1104</v>
      </c>
      <c r="AC55" s="35" t="s">
        <v>3511</v>
      </c>
      <c r="AD55" s="35" t="s">
        <v>1880</v>
      </c>
      <c r="AE55" s="9"/>
    </row>
    <row r="56" spans="1:31" s="11" customFormat="1" ht="27.95" customHeight="1" x14ac:dyDescent="0.15">
      <c r="A56" s="8">
        <v>54</v>
      </c>
      <c r="B56" s="8" t="s">
        <v>2467</v>
      </c>
      <c r="C56" s="26" t="s">
        <v>2468</v>
      </c>
      <c r="D56" s="26" t="s">
        <v>127</v>
      </c>
      <c r="E56" s="26" t="s">
        <v>127</v>
      </c>
      <c r="F56" s="132" t="s">
        <v>2463</v>
      </c>
      <c r="G56" s="67" t="s">
        <v>2464</v>
      </c>
      <c r="H56" s="83" t="s">
        <v>1147</v>
      </c>
      <c r="I56" s="20" t="s">
        <v>2465</v>
      </c>
      <c r="J56" s="22" t="s">
        <v>3491</v>
      </c>
      <c r="K56" s="22" t="s">
        <v>2466</v>
      </c>
      <c r="L56" s="22" t="s">
        <v>2142</v>
      </c>
      <c r="M56" s="22" t="s">
        <v>1880</v>
      </c>
      <c r="N56" s="9" t="s">
        <v>2461</v>
      </c>
      <c r="O56" s="54" t="s">
        <v>2144</v>
      </c>
      <c r="P56" s="22" t="s">
        <v>1880</v>
      </c>
      <c r="Q56" s="9" t="s">
        <v>2452</v>
      </c>
      <c r="R56" s="9" t="s">
        <v>2452</v>
      </c>
      <c r="S56" s="85" t="s">
        <v>2402</v>
      </c>
      <c r="T56" s="86" t="s">
        <v>2469</v>
      </c>
      <c r="U56" s="10" t="s">
        <v>1800</v>
      </c>
      <c r="V56" s="10">
        <v>1</v>
      </c>
      <c r="W56" s="24" t="s">
        <v>111</v>
      </c>
      <c r="X56" s="24" t="s">
        <v>111</v>
      </c>
      <c r="Y56" s="96">
        <v>28</v>
      </c>
      <c r="Z56" s="30"/>
      <c r="AA56" s="96">
        <v>28</v>
      </c>
      <c r="AB56" s="35" t="s">
        <v>1104</v>
      </c>
      <c r="AC56" s="35" t="s">
        <v>3511</v>
      </c>
      <c r="AD56" s="35" t="s">
        <v>1880</v>
      </c>
      <c r="AE56" s="9"/>
    </row>
    <row r="57" spans="1:31" s="11" customFormat="1" ht="27.95" customHeight="1" x14ac:dyDescent="0.15">
      <c r="A57" s="8">
        <v>55</v>
      </c>
      <c r="B57" s="8" t="s">
        <v>2445</v>
      </c>
      <c r="C57" s="26" t="s">
        <v>127</v>
      </c>
      <c r="D57" s="26" t="s">
        <v>2480</v>
      </c>
      <c r="E57" s="26" t="s">
        <v>127</v>
      </c>
      <c r="F57" s="52" t="s">
        <v>2470</v>
      </c>
      <c r="G57" s="53" t="s">
        <v>2471</v>
      </c>
      <c r="H57" s="20" t="s">
        <v>2475</v>
      </c>
      <c r="I57" s="20" t="s">
        <v>2474</v>
      </c>
      <c r="J57" s="22" t="s">
        <v>2473</v>
      </c>
      <c r="K57" s="22" t="s">
        <v>2472</v>
      </c>
      <c r="L57" s="22" t="s">
        <v>1826</v>
      </c>
      <c r="M57" s="22" t="s">
        <v>1880</v>
      </c>
      <c r="N57" s="9" t="s">
        <v>2476</v>
      </c>
      <c r="O57" s="89" t="s">
        <v>2477</v>
      </c>
      <c r="P57" s="22" t="s">
        <v>1880</v>
      </c>
      <c r="Q57" s="9" t="s">
        <v>2478</v>
      </c>
      <c r="R57" s="9" t="s">
        <v>2478</v>
      </c>
      <c r="S57" s="85" t="s">
        <v>2402</v>
      </c>
      <c r="T57" s="50" t="s">
        <v>2479</v>
      </c>
      <c r="U57" s="10" t="s">
        <v>110</v>
      </c>
      <c r="V57" s="10">
        <v>1</v>
      </c>
      <c r="W57" s="24" t="s">
        <v>111</v>
      </c>
      <c r="X57" s="24" t="s">
        <v>111</v>
      </c>
      <c r="Y57" s="30">
        <v>3.1</v>
      </c>
      <c r="Z57" s="30"/>
      <c r="AA57" s="30">
        <v>3.1</v>
      </c>
      <c r="AB57" s="35" t="s">
        <v>1104</v>
      </c>
      <c r="AC57" s="35" t="s">
        <v>2538</v>
      </c>
      <c r="AD57" s="35" t="s">
        <v>1880</v>
      </c>
      <c r="AE57" s="9"/>
    </row>
    <row r="58" spans="1:31" s="11" customFormat="1" ht="27.95" customHeight="1" x14ac:dyDescent="0.15">
      <c r="A58" s="8">
        <v>56</v>
      </c>
      <c r="B58" s="8" t="s">
        <v>2446</v>
      </c>
      <c r="C58" s="26" t="s">
        <v>127</v>
      </c>
      <c r="D58" s="26" t="s">
        <v>127</v>
      </c>
      <c r="E58" s="26" t="s">
        <v>127</v>
      </c>
      <c r="F58" s="52" t="s">
        <v>2481</v>
      </c>
      <c r="G58" s="53" t="s">
        <v>2482</v>
      </c>
      <c r="H58" s="20" t="s">
        <v>1147</v>
      </c>
      <c r="I58" s="20" t="s">
        <v>2483</v>
      </c>
      <c r="J58" s="22" t="s">
        <v>2484</v>
      </c>
      <c r="K58" s="22" t="s">
        <v>2485</v>
      </c>
      <c r="L58" s="22" t="s">
        <v>1826</v>
      </c>
      <c r="M58" s="22" t="s">
        <v>1880</v>
      </c>
      <c r="N58" s="9" t="s">
        <v>2476</v>
      </c>
      <c r="O58" s="54" t="s">
        <v>2486</v>
      </c>
      <c r="P58" s="22" t="s">
        <v>1880</v>
      </c>
      <c r="Q58" s="9" t="s">
        <v>2487</v>
      </c>
      <c r="R58" s="9" t="s">
        <v>2488</v>
      </c>
      <c r="S58" s="85" t="s">
        <v>2402</v>
      </c>
      <c r="T58" s="50" t="s">
        <v>2489</v>
      </c>
      <c r="U58" s="10" t="s">
        <v>110</v>
      </c>
      <c r="V58" s="10">
        <v>1</v>
      </c>
      <c r="W58" s="90" t="s">
        <v>2490</v>
      </c>
      <c r="X58" s="90" t="s">
        <v>2491</v>
      </c>
      <c r="Y58" s="30"/>
      <c r="Z58" s="30">
        <v>16</v>
      </c>
      <c r="AA58" s="30">
        <v>16</v>
      </c>
      <c r="AB58" s="35" t="s">
        <v>1104</v>
      </c>
      <c r="AC58" s="202" t="s">
        <v>2538</v>
      </c>
      <c r="AD58" s="35" t="s">
        <v>1880</v>
      </c>
      <c r="AE58" s="9"/>
    </row>
    <row r="59" spans="1:31" s="11" customFormat="1" ht="27.95" customHeight="1" x14ac:dyDescent="0.15">
      <c r="A59" s="8">
        <v>57</v>
      </c>
      <c r="B59" s="8" t="s">
        <v>2447</v>
      </c>
      <c r="C59" s="26" t="s">
        <v>127</v>
      </c>
      <c r="D59" s="26" t="s">
        <v>127</v>
      </c>
      <c r="E59" s="26" t="s">
        <v>127</v>
      </c>
      <c r="F59" s="52" t="s">
        <v>2492</v>
      </c>
      <c r="G59" s="53" t="s">
        <v>2493</v>
      </c>
      <c r="H59" s="20" t="s">
        <v>1147</v>
      </c>
      <c r="I59" s="20" t="s">
        <v>2483</v>
      </c>
      <c r="J59" s="22" t="s">
        <v>2494</v>
      </c>
      <c r="K59" s="22" t="s">
        <v>2495</v>
      </c>
      <c r="L59" s="22" t="s">
        <v>1826</v>
      </c>
      <c r="M59" s="22" t="s">
        <v>1880</v>
      </c>
      <c r="N59" s="9" t="s">
        <v>2476</v>
      </c>
      <c r="O59" s="54" t="s">
        <v>2486</v>
      </c>
      <c r="P59" s="22" t="s">
        <v>1880</v>
      </c>
      <c r="Q59" s="9" t="s">
        <v>2487</v>
      </c>
      <c r="R59" s="9" t="s">
        <v>2488</v>
      </c>
      <c r="S59" s="85" t="s">
        <v>2402</v>
      </c>
      <c r="T59" s="50" t="s">
        <v>2496</v>
      </c>
      <c r="U59" s="10" t="s">
        <v>110</v>
      </c>
      <c r="V59" s="10">
        <v>1</v>
      </c>
      <c r="W59" s="90" t="s">
        <v>2490</v>
      </c>
      <c r="X59" s="90" t="s">
        <v>2491</v>
      </c>
      <c r="Y59" s="30"/>
      <c r="Z59" s="30">
        <v>16</v>
      </c>
      <c r="AA59" s="30">
        <v>16</v>
      </c>
      <c r="AB59" s="35" t="s">
        <v>1104</v>
      </c>
      <c r="AC59" s="202" t="s">
        <v>2538</v>
      </c>
      <c r="AD59" s="35" t="s">
        <v>1880</v>
      </c>
      <c r="AE59" s="9"/>
    </row>
    <row r="60" spans="1:31" s="11" customFormat="1" ht="27.95" customHeight="1" x14ac:dyDescent="0.15">
      <c r="A60" s="8">
        <v>58</v>
      </c>
      <c r="B60" s="8" t="s">
        <v>2448</v>
      </c>
      <c r="C60" s="26" t="s">
        <v>127</v>
      </c>
      <c r="D60" s="26" t="s">
        <v>127</v>
      </c>
      <c r="E60" s="26" t="s">
        <v>127</v>
      </c>
      <c r="F60" s="52" t="s">
        <v>2492</v>
      </c>
      <c r="G60" s="53" t="s">
        <v>2497</v>
      </c>
      <c r="H60" s="20" t="s">
        <v>1147</v>
      </c>
      <c r="I60" s="20" t="s">
        <v>2483</v>
      </c>
      <c r="J60" s="22" t="s">
        <v>2498</v>
      </c>
      <c r="K60" s="71" t="s">
        <v>1138</v>
      </c>
      <c r="L60" s="22" t="s">
        <v>1826</v>
      </c>
      <c r="M60" s="22" t="s">
        <v>1880</v>
      </c>
      <c r="N60" s="9" t="s">
        <v>2476</v>
      </c>
      <c r="O60" s="54" t="s">
        <v>2486</v>
      </c>
      <c r="P60" s="22" t="s">
        <v>1880</v>
      </c>
      <c r="Q60" s="9" t="s">
        <v>2487</v>
      </c>
      <c r="R60" s="9" t="s">
        <v>2488</v>
      </c>
      <c r="S60" s="85" t="s">
        <v>2402</v>
      </c>
      <c r="T60" s="50" t="s">
        <v>2496</v>
      </c>
      <c r="U60" s="10" t="s">
        <v>110</v>
      </c>
      <c r="V60" s="10">
        <v>1</v>
      </c>
      <c r="W60" s="90" t="s">
        <v>2490</v>
      </c>
      <c r="X60" s="90" t="s">
        <v>2491</v>
      </c>
      <c r="Y60" s="30"/>
      <c r="Z60" s="30">
        <v>16</v>
      </c>
      <c r="AA60" s="30">
        <v>16</v>
      </c>
      <c r="AB60" s="35" t="s">
        <v>1104</v>
      </c>
      <c r="AC60" s="202" t="s">
        <v>2538</v>
      </c>
      <c r="AD60" s="35" t="s">
        <v>1880</v>
      </c>
      <c r="AE60" s="9"/>
    </row>
    <row r="61" spans="1:31" s="11" customFormat="1" ht="27.95" customHeight="1" x14ac:dyDescent="0.15">
      <c r="A61" s="8">
        <v>59</v>
      </c>
      <c r="B61" s="8" t="s">
        <v>2500</v>
      </c>
      <c r="C61" s="26" t="s">
        <v>2507</v>
      </c>
      <c r="D61" s="26" t="s">
        <v>127</v>
      </c>
      <c r="E61" s="26" t="s">
        <v>127</v>
      </c>
      <c r="F61" s="97" t="s">
        <v>2501</v>
      </c>
      <c r="G61" s="53" t="s">
        <v>2502</v>
      </c>
      <c r="H61" s="20" t="s">
        <v>1147</v>
      </c>
      <c r="I61" s="20" t="s">
        <v>2508</v>
      </c>
      <c r="J61" s="22" t="s">
        <v>2503</v>
      </c>
      <c r="K61" s="22" t="s">
        <v>2504</v>
      </c>
      <c r="L61" s="22" t="s">
        <v>2142</v>
      </c>
      <c r="M61" s="22" t="s">
        <v>1880</v>
      </c>
      <c r="N61" s="9" t="s">
        <v>1150</v>
      </c>
      <c r="O61" s="54" t="s">
        <v>2144</v>
      </c>
      <c r="P61" s="22" t="s">
        <v>1880</v>
      </c>
      <c r="Q61" s="9" t="s">
        <v>2526</v>
      </c>
      <c r="R61" s="9" t="s">
        <v>1152</v>
      </c>
      <c r="S61" s="34" t="s">
        <v>2505</v>
      </c>
      <c r="T61" s="50" t="s">
        <v>2506</v>
      </c>
      <c r="U61" s="10" t="s">
        <v>110</v>
      </c>
      <c r="V61" s="10">
        <v>1</v>
      </c>
      <c r="W61" s="24" t="s">
        <v>111</v>
      </c>
      <c r="X61" s="24" t="s">
        <v>111</v>
      </c>
      <c r="Y61" s="30">
        <v>24.5</v>
      </c>
      <c r="Z61" s="30"/>
      <c r="AA61" s="30">
        <v>24.5</v>
      </c>
      <c r="AB61" s="35" t="s">
        <v>1104</v>
      </c>
      <c r="AC61" s="35" t="s">
        <v>3511</v>
      </c>
      <c r="AD61" s="35" t="s">
        <v>1880</v>
      </c>
      <c r="AE61" s="9"/>
    </row>
    <row r="62" spans="1:31" s="11" customFormat="1" ht="27.95" customHeight="1" x14ac:dyDescent="0.15">
      <c r="A62" s="8">
        <v>60</v>
      </c>
      <c r="B62" s="8" t="s">
        <v>2513</v>
      </c>
      <c r="C62" s="26" t="s">
        <v>19</v>
      </c>
      <c r="D62" s="26" t="s">
        <v>19</v>
      </c>
      <c r="E62" s="26" t="s">
        <v>19</v>
      </c>
      <c r="F62" s="97" t="s">
        <v>2524</v>
      </c>
      <c r="G62" s="98" t="s">
        <v>2516</v>
      </c>
      <c r="H62" s="83" t="s">
        <v>23</v>
      </c>
      <c r="I62" s="20" t="s">
        <v>2514</v>
      </c>
      <c r="J62" s="84" t="s">
        <v>2530</v>
      </c>
      <c r="K62" s="71" t="s">
        <v>3484</v>
      </c>
      <c r="L62" s="84" t="s">
        <v>2517</v>
      </c>
      <c r="M62" s="22" t="s">
        <v>1880</v>
      </c>
      <c r="N62" s="71" t="s">
        <v>2518</v>
      </c>
      <c r="O62" s="89" t="s">
        <v>2519</v>
      </c>
      <c r="P62" s="71" t="s">
        <v>2515</v>
      </c>
      <c r="Q62" s="9" t="s">
        <v>2525</v>
      </c>
      <c r="R62" s="9" t="s">
        <v>1152</v>
      </c>
      <c r="S62" s="85" t="s">
        <v>2520</v>
      </c>
      <c r="T62" s="86" t="s">
        <v>2521</v>
      </c>
      <c r="U62" s="87" t="s">
        <v>2522</v>
      </c>
      <c r="V62" s="87">
        <v>1</v>
      </c>
      <c r="W62" s="24" t="s">
        <v>111</v>
      </c>
      <c r="X62" s="24" t="s">
        <v>111</v>
      </c>
      <c r="Y62" s="30">
        <v>2</v>
      </c>
      <c r="Z62" s="30"/>
      <c r="AA62" s="30">
        <v>2</v>
      </c>
      <c r="AB62" s="35" t="s">
        <v>1104</v>
      </c>
      <c r="AC62" s="35" t="s">
        <v>1880</v>
      </c>
      <c r="AD62" s="35" t="s">
        <v>1880</v>
      </c>
      <c r="AE62" s="9"/>
    </row>
    <row r="63" spans="1:31" s="11" customFormat="1" ht="27.95" customHeight="1" x14ac:dyDescent="0.15">
      <c r="A63" s="8">
        <v>61</v>
      </c>
      <c r="B63" s="8" t="s">
        <v>3111</v>
      </c>
      <c r="C63" s="26" t="s">
        <v>19</v>
      </c>
      <c r="D63" s="26" t="s">
        <v>19</v>
      </c>
      <c r="E63" s="26" t="s">
        <v>19</v>
      </c>
      <c r="F63" s="52" t="s">
        <v>2532</v>
      </c>
      <c r="G63" s="99" t="s">
        <v>2531</v>
      </c>
      <c r="H63" s="20" t="s">
        <v>2135</v>
      </c>
      <c r="I63" s="20" t="s">
        <v>2533</v>
      </c>
      <c r="J63" s="22" t="s">
        <v>2534</v>
      </c>
      <c r="K63" s="22" t="s">
        <v>2535</v>
      </c>
      <c r="L63" s="22" t="s">
        <v>1826</v>
      </c>
      <c r="M63" s="22" t="s">
        <v>1880</v>
      </c>
      <c r="N63" s="9" t="s">
        <v>1818</v>
      </c>
      <c r="O63" s="54" t="s">
        <v>1819</v>
      </c>
      <c r="P63" s="71" t="s">
        <v>19</v>
      </c>
      <c r="Q63" s="9" t="s">
        <v>1831</v>
      </c>
      <c r="R63" s="9" t="s">
        <v>1831</v>
      </c>
      <c r="S63" s="100"/>
      <c r="T63" s="101"/>
      <c r="U63" s="15"/>
      <c r="V63" s="15"/>
      <c r="W63" s="90" t="s">
        <v>2536</v>
      </c>
      <c r="X63" s="90" t="s">
        <v>2537</v>
      </c>
      <c r="Y63" s="30"/>
      <c r="Z63" s="30">
        <v>8</v>
      </c>
      <c r="AA63" s="30">
        <v>8</v>
      </c>
      <c r="AB63" s="35" t="s">
        <v>1104</v>
      </c>
      <c r="AC63" s="202" t="s">
        <v>1880</v>
      </c>
      <c r="AD63" s="35" t="s">
        <v>1880</v>
      </c>
      <c r="AE63" s="9"/>
    </row>
    <row r="64" spans="1:31" s="11" customFormat="1" ht="27.95" customHeight="1" x14ac:dyDescent="0.15">
      <c r="A64" s="8">
        <v>62</v>
      </c>
      <c r="B64" s="8" t="s">
        <v>3121</v>
      </c>
      <c r="C64" s="26" t="s">
        <v>3112</v>
      </c>
      <c r="D64" s="26" t="s">
        <v>19</v>
      </c>
      <c r="E64" s="26" t="s">
        <v>19</v>
      </c>
      <c r="F64" s="52" t="s">
        <v>3113</v>
      </c>
      <c r="G64" s="53" t="s">
        <v>3115</v>
      </c>
      <c r="H64" s="20" t="s">
        <v>2032</v>
      </c>
      <c r="I64" s="20" t="s">
        <v>2031</v>
      </c>
      <c r="J64" s="22" t="s">
        <v>2039</v>
      </c>
      <c r="K64" s="22" t="s">
        <v>3141</v>
      </c>
      <c r="L64" s="22" t="s">
        <v>1826</v>
      </c>
      <c r="M64" s="22" t="s">
        <v>1880</v>
      </c>
      <c r="N64" s="9" t="s">
        <v>1150</v>
      </c>
      <c r="O64" s="89" t="s">
        <v>3142</v>
      </c>
      <c r="P64" s="22" t="s">
        <v>1880</v>
      </c>
      <c r="Q64" s="9" t="s">
        <v>1785</v>
      </c>
      <c r="R64" s="9" t="s">
        <v>1785</v>
      </c>
      <c r="S64" s="34" t="s">
        <v>3129</v>
      </c>
      <c r="T64" s="34" t="s">
        <v>3129</v>
      </c>
      <c r="U64" s="10" t="s">
        <v>110</v>
      </c>
      <c r="V64" s="10">
        <v>1</v>
      </c>
      <c r="W64" s="24" t="s">
        <v>111</v>
      </c>
      <c r="X64" s="24" t="s">
        <v>111</v>
      </c>
      <c r="Y64" s="30">
        <v>5</v>
      </c>
      <c r="Z64" s="30"/>
      <c r="AA64" s="30">
        <v>5</v>
      </c>
      <c r="AB64" s="35" t="s">
        <v>1104</v>
      </c>
      <c r="AC64" s="35" t="s">
        <v>1880</v>
      </c>
      <c r="AD64" s="35" t="s">
        <v>1880</v>
      </c>
      <c r="AE64" s="9"/>
    </row>
    <row r="65" spans="1:31" s="11" customFormat="1" ht="27.95" customHeight="1" x14ac:dyDescent="0.15">
      <c r="A65" s="8">
        <v>63</v>
      </c>
      <c r="B65" s="8" t="s">
        <v>3122</v>
      </c>
      <c r="C65" s="26" t="s">
        <v>3112</v>
      </c>
      <c r="D65" s="26" t="s">
        <v>19</v>
      </c>
      <c r="E65" s="26" t="s">
        <v>19</v>
      </c>
      <c r="F65" s="52" t="s">
        <v>3113</v>
      </c>
      <c r="G65" s="53" t="s">
        <v>3115</v>
      </c>
      <c r="H65" s="20" t="s">
        <v>2032</v>
      </c>
      <c r="I65" s="20" t="s">
        <v>2031</v>
      </c>
      <c r="J65" s="22" t="s">
        <v>2039</v>
      </c>
      <c r="K65" s="22" t="s">
        <v>3141</v>
      </c>
      <c r="L65" s="22" t="s">
        <v>1826</v>
      </c>
      <c r="M65" s="22" t="s">
        <v>1880</v>
      </c>
      <c r="N65" s="9" t="s">
        <v>1150</v>
      </c>
      <c r="O65" s="89" t="s">
        <v>3143</v>
      </c>
      <c r="P65" s="22" t="s">
        <v>1880</v>
      </c>
      <c r="Q65" s="9" t="s">
        <v>1785</v>
      </c>
      <c r="R65" s="9" t="s">
        <v>1785</v>
      </c>
      <c r="S65" s="34" t="s">
        <v>3129</v>
      </c>
      <c r="T65" s="34" t="s">
        <v>3129</v>
      </c>
      <c r="U65" s="10" t="s">
        <v>110</v>
      </c>
      <c r="V65" s="10">
        <v>1</v>
      </c>
      <c r="W65" s="24" t="s">
        <v>111</v>
      </c>
      <c r="X65" s="24" t="s">
        <v>111</v>
      </c>
      <c r="Y65" s="30">
        <v>10</v>
      </c>
      <c r="Z65" s="30"/>
      <c r="AA65" s="30">
        <v>10</v>
      </c>
      <c r="AB65" s="35" t="s">
        <v>1104</v>
      </c>
      <c r="AC65" s="35" t="s">
        <v>1880</v>
      </c>
      <c r="AD65" s="35" t="s">
        <v>1880</v>
      </c>
      <c r="AE65" s="9"/>
    </row>
    <row r="66" spans="1:31" s="11" customFormat="1" ht="27.95" customHeight="1" x14ac:dyDescent="0.15">
      <c r="A66" s="8">
        <v>64</v>
      </c>
      <c r="B66" s="8" t="s">
        <v>3123</v>
      </c>
      <c r="C66" s="26" t="s">
        <v>3112</v>
      </c>
      <c r="D66" s="26" t="s">
        <v>19</v>
      </c>
      <c r="E66" s="26" t="s">
        <v>19</v>
      </c>
      <c r="F66" s="52" t="s">
        <v>2028</v>
      </c>
      <c r="G66" s="53" t="s">
        <v>3116</v>
      </c>
      <c r="H66" s="20" t="s">
        <v>2032</v>
      </c>
      <c r="I66" s="20" t="s">
        <v>2031</v>
      </c>
      <c r="J66" s="22" t="s">
        <v>3119</v>
      </c>
      <c r="K66" s="22" t="s">
        <v>3139</v>
      </c>
      <c r="L66" s="22" t="s">
        <v>1826</v>
      </c>
      <c r="M66" s="22" t="s">
        <v>1880</v>
      </c>
      <c r="N66" s="9" t="s">
        <v>1150</v>
      </c>
      <c r="O66" s="89" t="s">
        <v>3142</v>
      </c>
      <c r="P66" s="22" t="s">
        <v>1880</v>
      </c>
      <c r="Q66" s="9" t="s">
        <v>1785</v>
      </c>
      <c r="R66" s="9" t="s">
        <v>1785</v>
      </c>
      <c r="S66" s="34" t="s">
        <v>3129</v>
      </c>
      <c r="T66" s="34" t="s">
        <v>3129</v>
      </c>
      <c r="U66" s="10" t="s">
        <v>110</v>
      </c>
      <c r="V66" s="10">
        <v>1</v>
      </c>
      <c r="W66" s="24" t="s">
        <v>111</v>
      </c>
      <c r="X66" s="24" t="s">
        <v>111</v>
      </c>
      <c r="Y66" s="30">
        <v>5</v>
      </c>
      <c r="Z66" s="30"/>
      <c r="AA66" s="30">
        <v>5</v>
      </c>
      <c r="AB66" s="35" t="s">
        <v>1104</v>
      </c>
      <c r="AC66" s="35" t="s">
        <v>1880</v>
      </c>
      <c r="AD66" s="35" t="s">
        <v>1880</v>
      </c>
      <c r="AE66" s="9"/>
    </row>
    <row r="67" spans="1:31" s="11" customFormat="1" ht="27.95" customHeight="1" x14ac:dyDescent="0.15">
      <c r="A67" s="8">
        <v>65</v>
      </c>
      <c r="B67" s="8" t="s">
        <v>3124</v>
      </c>
      <c r="C67" s="26" t="s">
        <v>3112</v>
      </c>
      <c r="D67" s="26" t="s">
        <v>19</v>
      </c>
      <c r="E67" s="26" t="s">
        <v>19</v>
      </c>
      <c r="F67" s="52" t="s">
        <v>2028</v>
      </c>
      <c r="G67" s="53" t="s">
        <v>3116</v>
      </c>
      <c r="H67" s="20" t="s">
        <v>2032</v>
      </c>
      <c r="I67" s="20" t="s">
        <v>2031</v>
      </c>
      <c r="J67" s="22" t="s">
        <v>3119</v>
      </c>
      <c r="K67" s="22" t="s">
        <v>3139</v>
      </c>
      <c r="L67" s="22" t="s">
        <v>1826</v>
      </c>
      <c r="M67" s="22" t="s">
        <v>1880</v>
      </c>
      <c r="N67" s="9" t="s">
        <v>1150</v>
      </c>
      <c r="O67" s="89" t="s">
        <v>3143</v>
      </c>
      <c r="P67" s="22" t="s">
        <v>1880</v>
      </c>
      <c r="Q67" s="9" t="s">
        <v>1785</v>
      </c>
      <c r="R67" s="9" t="s">
        <v>1785</v>
      </c>
      <c r="S67" s="34" t="s">
        <v>3129</v>
      </c>
      <c r="T67" s="34" t="s">
        <v>3129</v>
      </c>
      <c r="U67" s="10" t="s">
        <v>110</v>
      </c>
      <c r="V67" s="10">
        <v>1</v>
      </c>
      <c r="W67" s="24" t="s">
        <v>111</v>
      </c>
      <c r="X67" s="24" t="s">
        <v>111</v>
      </c>
      <c r="Y67" s="30">
        <v>10</v>
      </c>
      <c r="Z67" s="30"/>
      <c r="AA67" s="30">
        <v>10</v>
      </c>
      <c r="AB67" s="35" t="s">
        <v>1104</v>
      </c>
      <c r="AC67" s="35" t="s">
        <v>1880</v>
      </c>
      <c r="AD67" s="35" t="s">
        <v>1880</v>
      </c>
      <c r="AE67" s="9"/>
    </row>
    <row r="68" spans="1:31" s="11" customFormat="1" ht="27.95" customHeight="1" x14ac:dyDescent="0.15">
      <c r="A68" s="8">
        <v>66</v>
      </c>
      <c r="B68" s="8" t="s">
        <v>3125</v>
      </c>
      <c r="C68" s="26" t="s">
        <v>3112</v>
      </c>
      <c r="D68" s="26" t="s">
        <v>19</v>
      </c>
      <c r="E68" s="26" t="s">
        <v>19</v>
      </c>
      <c r="F68" s="52" t="s">
        <v>2037</v>
      </c>
      <c r="G68" s="53" t="s">
        <v>3117</v>
      </c>
      <c r="H68" s="20" t="s">
        <v>2032</v>
      </c>
      <c r="I68" s="20" t="s">
        <v>2031</v>
      </c>
      <c r="J68" s="22" t="s">
        <v>2041</v>
      </c>
      <c r="K68" s="22" t="s">
        <v>3140</v>
      </c>
      <c r="L68" s="22" t="s">
        <v>1826</v>
      </c>
      <c r="M68" s="22" t="s">
        <v>1880</v>
      </c>
      <c r="N68" s="9" t="s">
        <v>1150</v>
      </c>
      <c r="O68" s="89" t="s">
        <v>3142</v>
      </c>
      <c r="P68" s="71" t="s">
        <v>19</v>
      </c>
      <c r="Q68" s="9" t="s">
        <v>1785</v>
      </c>
      <c r="R68" s="9" t="s">
        <v>1785</v>
      </c>
      <c r="S68" s="34" t="s">
        <v>3129</v>
      </c>
      <c r="T68" s="34" t="s">
        <v>3129</v>
      </c>
      <c r="U68" s="87" t="s">
        <v>2522</v>
      </c>
      <c r="V68" s="10">
        <v>1</v>
      </c>
      <c r="W68" s="24" t="s">
        <v>111</v>
      </c>
      <c r="X68" s="24" t="s">
        <v>111</v>
      </c>
      <c r="Y68" s="30">
        <v>5</v>
      </c>
      <c r="Z68" s="30"/>
      <c r="AA68" s="30">
        <v>5</v>
      </c>
      <c r="AB68" s="35" t="s">
        <v>1104</v>
      </c>
      <c r="AC68" s="35" t="s">
        <v>1880</v>
      </c>
      <c r="AD68" s="35" t="s">
        <v>1880</v>
      </c>
      <c r="AE68" s="9"/>
    </row>
    <row r="69" spans="1:31" s="11" customFormat="1" ht="27.95" customHeight="1" x14ac:dyDescent="0.15">
      <c r="A69" s="8">
        <v>67</v>
      </c>
      <c r="B69" s="8" t="s">
        <v>3126</v>
      </c>
      <c r="C69" s="26" t="s">
        <v>3112</v>
      </c>
      <c r="D69" s="26" t="s">
        <v>19</v>
      </c>
      <c r="E69" s="26" t="s">
        <v>19</v>
      </c>
      <c r="F69" s="52" t="s">
        <v>2037</v>
      </c>
      <c r="G69" s="53" t="s">
        <v>3117</v>
      </c>
      <c r="H69" s="20" t="s">
        <v>2032</v>
      </c>
      <c r="I69" s="20" t="s">
        <v>2031</v>
      </c>
      <c r="J69" s="22" t="s">
        <v>2041</v>
      </c>
      <c r="K69" s="22" t="s">
        <v>3140</v>
      </c>
      <c r="L69" s="22" t="s">
        <v>1826</v>
      </c>
      <c r="M69" s="22" t="s">
        <v>1880</v>
      </c>
      <c r="N69" s="9" t="s">
        <v>1150</v>
      </c>
      <c r="O69" s="89" t="s">
        <v>3143</v>
      </c>
      <c r="P69" s="71" t="s">
        <v>19</v>
      </c>
      <c r="Q69" s="9" t="s">
        <v>1785</v>
      </c>
      <c r="R69" s="9" t="s">
        <v>1785</v>
      </c>
      <c r="S69" s="34" t="s">
        <v>3129</v>
      </c>
      <c r="T69" s="34" t="s">
        <v>3129</v>
      </c>
      <c r="U69" s="10" t="s">
        <v>110</v>
      </c>
      <c r="V69" s="10">
        <v>1</v>
      </c>
      <c r="W69" s="24" t="s">
        <v>111</v>
      </c>
      <c r="X69" s="24" t="s">
        <v>111</v>
      </c>
      <c r="Y69" s="30">
        <v>10</v>
      </c>
      <c r="Z69" s="30"/>
      <c r="AA69" s="30">
        <v>10</v>
      </c>
      <c r="AB69" s="35" t="s">
        <v>1104</v>
      </c>
      <c r="AC69" s="35" t="s">
        <v>1880</v>
      </c>
      <c r="AD69" s="35" t="s">
        <v>1880</v>
      </c>
      <c r="AE69" s="9"/>
    </row>
    <row r="70" spans="1:31" s="11" customFormat="1" ht="27.95" customHeight="1" x14ac:dyDescent="0.15">
      <c r="A70" s="8">
        <v>68</v>
      </c>
      <c r="B70" s="8" t="s">
        <v>3127</v>
      </c>
      <c r="C70" s="26" t="s">
        <v>3112</v>
      </c>
      <c r="D70" s="26" t="s">
        <v>19</v>
      </c>
      <c r="E70" s="26" t="s">
        <v>19</v>
      </c>
      <c r="F70" s="54" t="s">
        <v>3114</v>
      </c>
      <c r="G70" s="54" t="s">
        <v>3118</v>
      </c>
      <c r="H70" s="20" t="s">
        <v>2032</v>
      </c>
      <c r="I70" s="20" t="s">
        <v>2031</v>
      </c>
      <c r="J70" s="9" t="s">
        <v>3120</v>
      </c>
      <c r="K70" s="9" t="s">
        <v>1138</v>
      </c>
      <c r="L70" s="22" t="s">
        <v>1826</v>
      </c>
      <c r="M70" s="22" t="s">
        <v>1880</v>
      </c>
      <c r="N70" s="9" t="s">
        <v>1150</v>
      </c>
      <c r="O70" s="89" t="s">
        <v>3142</v>
      </c>
      <c r="P70" s="71" t="s">
        <v>19</v>
      </c>
      <c r="Q70" s="9" t="s">
        <v>1785</v>
      </c>
      <c r="R70" s="9" t="s">
        <v>1785</v>
      </c>
      <c r="S70" s="34" t="s">
        <v>3129</v>
      </c>
      <c r="T70" s="34" t="s">
        <v>3129</v>
      </c>
      <c r="U70" s="10" t="s">
        <v>110</v>
      </c>
      <c r="V70" s="10">
        <v>1</v>
      </c>
      <c r="W70" s="24" t="s">
        <v>111</v>
      </c>
      <c r="X70" s="24" t="s">
        <v>111</v>
      </c>
      <c r="Y70" s="30">
        <v>5</v>
      </c>
      <c r="Z70" s="30"/>
      <c r="AA70" s="30">
        <v>5</v>
      </c>
      <c r="AB70" s="35" t="s">
        <v>1104</v>
      </c>
      <c r="AC70" s="35" t="s">
        <v>1880</v>
      </c>
      <c r="AD70" s="35" t="s">
        <v>1880</v>
      </c>
      <c r="AE70" s="9"/>
    </row>
    <row r="71" spans="1:31" s="11" customFormat="1" ht="27.95" customHeight="1" x14ac:dyDescent="0.15">
      <c r="A71" s="8">
        <v>69</v>
      </c>
      <c r="B71" s="8" t="s">
        <v>3128</v>
      </c>
      <c r="C71" s="26" t="s">
        <v>3112</v>
      </c>
      <c r="D71" s="26" t="s">
        <v>19</v>
      </c>
      <c r="E71" s="26" t="s">
        <v>19</v>
      </c>
      <c r="F71" s="54" t="s">
        <v>3114</v>
      </c>
      <c r="G71" s="54" t="s">
        <v>3118</v>
      </c>
      <c r="H71" s="20" t="s">
        <v>2032</v>
      </c>
      <c r="I71" s="20" t="s">
        <v>2031</v>
      </c>
      <c r="J71" s="9" t="s">
        <v>3120</v>
      </c>
      <c r="K71" s="9" t="s">
        <v>1138</v>
      </c>
      <c r="L71" s="22" t="s">
        <v>1826</v>
      </c>
      <c r="M71" s="22" t="s">
        <v>1880</v>
      </c>
      <c r="N71" s="9" t="s">
        <v>1150</v>
      </c>
      <c r="O71" s="89" t="s">
        <v>3143</v>
      </c>
      <c r="P71" s="71" t="s">
        <v>19</v>
      </c>
      <c r="Q71" s="9" t="s">
        <v>1785</v>
      </c>
      <c r="R71" s="9" t="s">
        <v>1785</v>
      </c>
      <c r="S71" s="34" t="s">
        <v>3129</v>
      </c>
      <c r="T71" s="34" t="s">
        <v>3129</v>
      </c>
      <c r="U71" s="87" t="s">
        <v>2522</v>
      </c>
      <c r="V71" s="10">
        <v>1</v>
      </c>
      <c r="W71" s="24" t="s">
        <v>111</v>
      </c>
      <c r="X71" s="24" t="s">
        <v>111</v>
      </c>
      <c r="Y71" s="30">
        <v>10</v>
      </c>
      <c r="Z71" s="30"/>
      <c r="AA71" s="30">
        <v>10</v>
      </c>
      <c r="AB71" s="35" t="s">
        <v>1104</v>
      </c>
      <c r="AC71" s="35" t="s">
        <v>1880</v>
      </c>
      <c r="AD71" s="35" t="s">
        <v>1880</v>
      </c>
      <c r="AE71" s="9"/>
    </row>
    <row r="72" spans="1:31" s="46" customFormat="1" ht="27.95" customHeight="1" x14ac:dyDescent="0.15">
      <c r="A72" s="8">
        <v>70</v>
      </c>
      <c r="B72" s="40" t="s">
        <v>3130</v>
      </c>
      <c r="C72" s="26" t="s">
        <v>3137</v>
      </c>
      <c r="D72" s="26" t="s">
        <v>19</v>
      </c>
      <c r="E72" s="26" t="s">
        <v>19</v>
      </c>
      <c r="F72" s="76" t="s">
        <v>3131</v>
      </c>
      <c r="G72" s="54" t="s">
        <v>3132</v>
      </c>
      <c r="H72" s="40" t="s">
        <v>1147</v>
      </c>
      <c r="I72" s="82" t="s">
        <v>3136</v>
      </c>
      <c r="J72" s="22" t="s">
        <v>3489</v>
      </c>
      <c r="K72" s="22" t="s">
        <v>3135</v>
      </c>
      <c r="L72" s="40" t="s">
        <v>2142</v>
      </c>
      <c r="M72" s="40" t="s">
        <v>1861</v>
      </c>
      <c r="N72" s="82" t="s">
        <v>1150</v>
      </c>
      <c r="O72" s="89" t="s">
        <v>2144</v>
      </c>
      <c r="P72" s="71" t="s">
        <v>19</v>
      </c>
      <c r="Q72" s="40" t="s">
        <v>1152</v>
      </c>
      <c r="R72" s="82" t="s">
        <v>1152</v>
      </c>
      <c r="S72" s="40" t="s">
        <v>3133</v>
      </c>
      <c r="T72" s="130" t="s">
        <v>3134</v>
      </c>
      <c r="U72" s="40" t="s">
        <v>1800</v>
      </c>
      <c r="V72" s="10">
        <v>1</v>
      </c>
      <c r="W72" s="24" t="s">
        <v>111</v>
      </c>
      <c r="X72" s="24" t="s">
        <v>111</v>
      </c>
      <c r="Y72" s="30">
        <v>25</v>
      </c>
      <c r="Z72" s="150"/>
      <c r="AA72" s="30">
        <v>25</v>
      </c>
      <c r="AB72" s="35" t="s">
        <v>1104</v>
      </c>
      <c r="AC72" s="35" t="s">
        <v>3191</v>
      </c>
      <c r="AD72" s="35" t="s">
        <v>1880</v>
      </c>
      <c r="AE72" s="40"/>
    </row>
    <row r="73" spans="1:31" s="46" customFormat="1" ht="27.95" customHeight="1" x14ac:dyDescent="0.15">
      <c r="A73" s="8">
        <v>71</v>
      </c>
      <c r="B73" s="40" t="s">
        <v>3181</v>
      </c>
      <c r="C73" s="2" t="s">
        <v>3198</v>
      </c>
      <c r="D73" s="26" t="s">
        <v>19</v>
      </c>
      <c r="E73" s="26" t="s">
        <v>19</v>
      </c>
      <c r="F73" s="151" t="s">
        <v>3184</v>
      </c>
      <c r="G73" s="54" t="s">
        <v>3185</v>
      </c>
      <c r="H73" s="40" t="s">
        <v>1147</v>
      </c>
      <c r="I73" s="40" t="s">
        <v>2054</v>
      </c>
      <c r="J73" s="40" t="s">
        <v>3186</v>
      </c>
      <c r="K73" s="40" t="s">
        <v>1138</v>
      </c>
      <c r="L73" s="40" t="s">
        <v>2142</v>
      </c>
      <c r="M73" s="22" t="s">
        <v>1880</v>
      </c>
      <c r="N73" s="40" t="s">
        <v>1150</v>
      </c>
      <c r="O73" s="89" t="s">
        <v>3192</v>
      </c>
      <c r="P73" s="71" t="s">
        <v>19</v>
      </c>
      <c r="Q73" s="82" t="s">
        <v>1151</v>
      </c>
      <c r="R73" s="82" t="s">
        <v>1152</v>
      </c>
      <c r="S73" s="40" t="s">
        <v>3191</v>
      </c>
      <c r="T73" s="130" t="s">
        <v>3191</v>
      </c>
      <c r="U73" s="40" t="s">
        <v>2359</v>
      </c>
      <c r="V73" s="10">
        <v>1</v>
      </c>
      <c r="W73" s="24" t="s">
        <v>111</v>
      </c>
      <c r="X73" s="24" t="s">
        <v>111</v>
      </c>
      <c r="Y73" s="30">
        <v>13.2</v>
      </c>
      <c r="Z73" s="150"/>
      <c r="AA73" s="30">
        <v>13.2</v>
      </c>
      <c r="AB73" s="35" t="s">
        <v>1104</v>
      </c>
      <c r="AC73" s="35" t="s">
        <v>3533</v>
      </c>
      <c r="AD73" s="133">
        <v>2</v>
      </c>
      <c r="AE73" s="40"/>
    </row>
    <row r="74" spans="1:31" s="46" customFormat="1" ht="27.95" customHeight="1" x14ac:dyDescent="0.15">
      <c r="A74" s="8">
        <v>72</v>
      </c>
      <c r="B74" s="40" t="s">
        <v>3182</v>
      </c>
      <c r="C74" s="2" t="s">
        <v>3197</v>
      </c>
      <c r="D74" s="26" t="s">
        <v>19</v>
      </c>
      <c r="E74" s="26" t="s">
        <v>19</v>
      </c>
      <c r="F74" s="151" t="s">
        <v>3187</v>
      </c>
      <c r="G74" s="54" t="s">
        <v>3188</v>
      </c>
      <c r="H74" s="40" t="s">
        <v>1147</v>
      </c>
      <c r="I74" s="40" t="s">
        <v>2054</v>
      </c>
      <c r="J74" s="40" t="s">
        <v>3193</v>
      </c>
      <c r="K74" s="40" t="s">
        <v>3194</v>
      </c>
      <c r="L74" s="40" t="s">
        <v>1826</v>
      </c>
      <c r="M74" s="22" t="s">
        <v>1880</v>
      </c>
      <c r="N74" s="40" t="s">
        <v>1150</v>
      </c>
      <c r="O74" s="89" t="s">
        <v>1852</v>
      </c>
      <c r="P74" s="71" t="s">
        <v>19</v>
      </c>
      <c r="Q74" s="82" t="s">
        <v>1151</v>
      </c>
      <c r="R74" s="82" t="s">
        <v>1152</v>
      </c>
      <c r="S74" s="40" t="s">
        <v>3191</v>
      </c>
      <c r="T74" s="130" t="s">
        <v>3191</v>
      </c>
      <c r="U74" s="40" t="s">
        <v>2359</v>
      </c>
      <c r="V74" s="10">
        <v>1</v>
      </c>
      <c r="W74" s="24" t="s">
        <v>111</v>
      </c>
      <c r="X74" s="24" t="s">
        <v>111</v>
      </c>
      <c r="Y74" s="30">
        <v>13.2</v>
      </c>
      <c r="Z74" s="150"/>
      <c r="AA74" s="30">
        <v>13.2</v>
      </c>
      <c r="AB74" s="35" t="s">
        <v>1104</v>
      </c>
      <c r="AC74" s="35" t="s">
        <v>1880</v>
      </c>
      <c r="AD74" s="133">
        <v>5</v>
      </c>
      <c r="AE74" s="40"/>
    </row>
    <row r="75" spans="1:31" s="46" customFormat="1" ht="27.95" customHeight="1" x14ac:dyDescent="0.15">
      <c r="A75" s="8">
        <v>73</v>
      </c>
      <c r="B75" s="40" t="s">
        <v>3183</v>
      </c>
      <c r="C75" s="2" t="s">
        <v>3199</v>
      </c>
      <c r="D75" s="26" t="s">
        <v>19</v>
      </c>
      <c r="E75" s="26" t="s">
        <v>19</v>
      </c>
      <c r="F75" s="151" t="s">
        <v>3189</v>
      </c>
      <c r="G75" s="54" t="s">
        <v>3190</v>
      </c>
      <c r="H75" s="40" t="s">
        <v>1147</v>
      </c>
      <c r="I75" s="40" t="s">
        <v>2054</v>
      </c>
      <c r="J75" s="40" t="s">
        <v>3195</v>
      </c>
      <c r="K75" s="82" t="s">
        <v>3200</v>
      </c>
      <c r="L75" s="40" t="s">
        <v>2142</v>
      </c>
      <c r="M75" s="22" t="s">
        <v>1880</v>
      </c>
      <c r="N75" s="40" t="s">
        <v>1150</v>
      </c>
      <c r="O75" s="89" t="s">
        <v>3192</v>
      </c>
      <c r="P75" s="71" t="s">
        <v>19</v>
      </c>
      <c r="Q75" s="82" t="s">
        <v>1151</v>
      </c>
      <c r="R75" s="82" t="s">
        <v>1152</v>
      </c>
      <c r="S75" s="40" t="s">
        <v>3191</v>
      </c>
      <c r="T75" s="130" t="s">
        <v>3191</v>
      </c>
      <c r="U75" s="40" t="s">
        <v>2359</v>
      </c>
      <c r="V75" s="10">
        <v>1</v>
      </c>
      <c r="W75" s="24" t="s">
        <v>111</v>
      </c>
      <c r="X75" s="24" t="s">
        <v>111</v>
      </c>
      <c r="Y75" s="30">
        <v>13.2</v>
      </c>
      <c r="Z75" s="150"/>
      <c r="AA75" s="30">
        <v>13.2</v>
      </c>
      <c r="AB75" s="35" t="s">
        <v>1104</v>
      </c>
      <c r="AC75" s="35" t="s">
        <v>1880</v>
      </c>
      <c r="AD75" s="133" t="s">
        <v>1880</v>
      </c>
      <c r="AE75" s="40"/>
    </row>
    <row r="76" spans="1:31" s="46" customFormat="1" ht="27.95" customHeight="1" x14ac:dyDescent="0.15">
      <c r="A76" s="8">
        <v>74</v>
      </c>
      <c r="B76" s="40" t="s">
        <v>3201</v>
      </c>
      <c r="C76" s="26" t="s">
        <v>19</v>
      </c>
      <c r="D76" s="26" t="s">
        <v>19</v>
      </c>
      <c r="E76" s="26" t="s">
        <v>19</v>
      </c>
      <c r="F76" s="151" t="s">
        <v>1269</v>
      </c>
      <c r="G76" s="54" t="s">
        <v>3212</v>
      </c>
      <c r="H76" s="81" t="s">
        <v>94</v>
      </c>
      <c r="I76" s="81" t="s">
        <v>3215</v>
      </c>
      <c r="J76" s="44" t="s">
        <v>1707</v>
      </c>
      <c r="K76" s="40" t="s">
        <v>3235</v>
      </c>
      <c r="L76" s="40" t="s">
        <v>1826</v>
      </c>
      <c r="M76" s="22" t="s">
        <v>1880</v>
      </c>
      <c r="N76" s="110" t="s">
        <v>102</v>
      </c>
      <c r="O76" s="151" t="s">
        <v>1819</v>
      </c>
      <c r="P76" s="71" t="s">
        <v>19</v>
      </c>
      <c r="Q76" s="82" t="s">
        <v>1811</v>
      </c>
      <c r="R76" s="82" t="s">
        <v>1152</v>
      </c>
      <c r="S76" s="40" t="s">
        <v>3213</v>
      </c>
      <c r="T76" s="130" t="s">
        <v>3214</v>
      </c>
      <c r="U76" s="40" t="s">
        <v>1800</v>
      </c>
      <c r="V76" s="10">
        <v>1</v>
      </c>
      <c r="W76" s="90" t="s">
        <v>3237</v>
      </c>
      <c r="X76" s="90" t="s">
        <v>3238</v>
      </c>
      <c r="Y76" s="150"/>
      <c r="Z76" s="30">
        <v>15</v>
      </c>
      <c r="AA76" s="30">
        <v>15</v>
      </c>
      <c r="AB76" s="35" t="s">
        <v>1104</v>
      </c>
      <c r="AC76" s="202" t="s">
        <v>1880</v>
      </c>
      <c r="AD76" s="133" t="s">
        <v>1880</v>
      </c>
      <c r="AE76" s="9" t="s">
        <v>3508</v>
      </c>
    </row>
    <row r="77" spans="1:31" s="46" customFormat="1" ht="27.95" customHeight="1" x14ac:dyDescent="0.15">
      <c r="A77" s="8">
        <v>75</v>
      </c>
      <c r="B77" s="40" t="s">
        <v>3202</v>
      </c>
      <c r="C77" s="26" t="s">
        <v>19</v>
      </c>
      <c r="D77" s="26" t="s">
        <v>19</v>
      </c>
      <c r="E77" s="26" t="s">
        <v>19</v>
      </c>
      <c r="F77" s="151" t="s">
        <v>1934</v>
      </c>
      <c r="G77" s="54" t="s">
        <v>3217</v>
      </c>
      <c r="H77" s="81" t="s">
        <v>94</v>
      </c>
      <c r="I77" s="81" t="s">
        <v>3215</v>
      </c>
      <c r="J77" s="40" t="s">
        <v>3216</v>
      </c>
      <c r="K77" s="40" t="s">
        <v>1138</v>
      </c>
      <c r="L77" s="40" t="s">
        <v>1826</v>
      </c>
      <c r="M77" s="22" t="s">
        <v>1880</v>
      </c>
      <c r="N77" s="110" t="s">
        <v>102</v>
      </c>
      <c r="O77" s="151" t="s">
        <v>1819</v>
      </c>
      <c r="P77" s="71" t="s">
        <v>19</v>
      </c>
      <c r="Q77" s="82" t="s">
        <v>1811</v>
      </c>
      <c r="R77" s="82" t="s">
        <v>1152</v>
      </c>
      <c r="S77" s="40" t="s">
        <v>3213</v>
      </c>
      <c r="T77" s="130" t="s">
        <v>3214</v>
      </c>
      <c r="U77" s="40" t="s">
        <v>1800</v>
      </c>
      <c r="V77" s="10">
        <v>1</v>
      </c>
      <c r="W77" s="90" t="s">
        <v>3237</v>
      </c>
      <c r="X77" s="90" t="s">
        <v>3238</v>
      </c>
      <c r="Y77" s="150"/>
      <c r="Z77" s="30">
        <v>15</v>
      </c>
      <c r="AA77" s="30">
        <v>15</v>
      </c>
      <c r="AB77" s="35" t="s">
        <v>1104</v>
      </c>
      <c r="AC77" s="202" t="s">
        <v>1880</v>
      </c>
      <c r="AD77" s="133" t="s">
        <v>1880</v>
      </c>
      <c r="AE77" s="9" t="s">
        <v>3508</v>
      </c>
    </row>
    <row r="78" spans="1:31" s="46" customFormat="1" ht="27.95" customHeight="1" x14ac:dyDescent="0.15">
      <c r="A78" s="8">
        <v>76</v>
      </c>
      <c r="B78" s="40" t="s">
        <v>3203</v>
      </c>
      <c r="C78" s="26" t="s">
        <v>19</v>
      </c>
      <c r="D78" s="26" t="s">
        <v>19</v>
      </c>
      <c r="E78" s="26" t="s">
        <v>19</v>
      </c>
      <c r="F78" s="151" t="s">
        <v>1281</v>
      </c>
      <c r="G78" s="54" t="s">
        <v>3218</v>
      </c>
      <c r="H78" s="81" t="s">
        <v>94</v>
      </c>
      <c r="I78" s="81" t="s">
        <v>3215</v>
      </c>
      <c r="J78" s="40" t="s">
        <v>1713</v>
      </c>
      <c r="K78" s="40" t="s">
        <v>1138</v>
      </c>
      <c r="L78" s="40" t="s">
        <v>1826</v>
      </c>
      <c r="M78" s="22" t="s">
        <v>1880</v>
      </c>
      <c r="N78" s="110" t="s">
        <v>102</v>
      </c>
      <c r="O78" s="151" t="s">
        <v>1819</v>
      </c>
      <c r="P78" s="71" t="s">
        <v>19</v>
      </c>
      <c r="Q78" s="82" t="s">
        <v>1811</v>
      </c>
      <c r="R78" s="82" t="s">
        <v>1152</v>
      </c>
      <c r="S78" s="40" t="s">
        <v>3213</v>
      </c>
      <c r="T78" s="130" t="s">
        <v>3214</v>
      </c>
      <c r="U78" s="40" t="s">
        <v>1800</v>
      </c>
      <c r="V78" s="10">
        <v>1</v>
      </c>
      <c r="W78" s="90" t="s">
        <v>3239</v>
      </c>
      <c r="X78" s="90" t="s">
        <v>3240</v>
      </c>
      <c r="Y78" s="150"/>
      <c r="Z78" s="30">
        <v>15</v>
      </c>
      <c r="AA78" s="30">
        <v>15</v>
      </c>
      <c r="AB78" s="35" t="s">
        <v>1104</v>
      </c>
      <c r="AC78" s="202" t="s">
        <v>1880</v>
      </c>
      <c r="AD78" s="133" t="s">
        <v>1880</v>
      </c>
      <c r="AE78" s="9" t="s">
        <v>3508</v>
      </c>
    </row>
    <row r="79" spans="1:31" s="46" customFormat="1" ht="27.95" customHeight="1" x14ac:dyDescent="0.15">
      <c r="A79" s="8">
        <v>77</v>
      </c>
      <c r="B79" s="40" t="s">
        <v>3204</v>
      </c>
      <c r="C79" s="26" t="s">
        <v>19</v>
      </c>
      <c r="D79" s="26" t="s">
        <v>19</v>
      </c>
      <c r="E79" s="26" t="s">
        <v>19</v>
      </c>
      <c r="F79" s="151" t="s">
        <v>3219</v>
      </c>
      <c r="G79" s="54" t="s">
        <v>3220</v>
      </c>
      <c r="H79" s="81" t="s">
        <v>94</v>
      </c>
      <c r="I79" s="81" t="s">
        <v>3215</v>
      </c>
      <c r="J79" s="40" t="s">
        <v>1708</v>
      </c>
      <c r="K79" s="89" t="s">
        <v>3236</v>
      </c>
      <c r="L79" s="40" t="s">
        <v>1826</v>
      </c>
      <c r="M79" s="22" t="s">
        <v>1880</v>
      </c>
      <c r="N79" s="110" t="s">
        <v>102</v>
      </c>
      <c r="O79" s="151" t="s">
        <v>1819</v>
      </c>
      <c r="P79" s="71" t="s">
        <v>19</v>
      </c>
      <c r="Q79" s="82" t="s">
        <v>1811</v>
      </c>
      <c r="R79" s="82" t="s">
        <v>1152</v>
      </c>
      <c r="S79" s="40" t="s">
        <v>3213</v>
      </c>
      <c r="T79" s="130" t="s">
        <v>3214</v>
      </c>
      <c r="U79" s="40" t="s">
        <v>1800</v>
      </c>
      <c r="V79" s="10">
        <v>1</v>
      </c>
      <c r="W79" s="90" t="s">
        <v>3239</v>
      </c>
      <c r="X79" s="90" t="s">
        <v>3240</v>
      </c>
      <c r="Y79" s="150"/>
      <c r="Z79" s="30">
        <v>15</v>
      </c>
      <c r="AA79" s="30">
        <v>15</v>
      </c>
      <c r="AB79" s="35" t="s">
        <v>1104</v>
      </c>
      <c r="AC79" s="202" t="s">
        <v>1880</v>
      </c>
      <c r="AD79" s="133" t="s">
        <v>1880</v>
      </c>
      <c r="AE79" s="9" t="s">
        <v>3508</v>
      </c>
    </row>
    <row r="80" spans="1:31" s="46" customFormat="1" ht="27.95" customHeight="1" x14ac:dyDescent="0.15">
      <c r="A80" s="8">
        <v>78</v>
      </c>
      <c r="B80" s="40" t="s">
        <v>3205</v>
      </c>
      <c r="C80" s="26" t="s">
        <v>19</v>
      </c>
      <c r="D80" s="26" t="s">
        <v>19</v>
      </c>
      <c r="E80" s="26" t="s">
        <v>19</v>
      </c>
      <c r="F80" s="151" t="s">
        <v>3221</v>
      </c>
      <c r="G80" s="54" t="s">
        <v>3223</v>
      </c>
      <c r="H80" s="81" t="s">
        <v>94</v>
      </c>
      <c r="I80" s="81" t="s">
        <v>3215</v>
      </c>
      <c r="J80" s="40" t="s">
        <v>3222</v>
      </c>
      <c r="K80" s="40" t="s">
        <v>1138</v>
      </c>
      <c r="L80" s="40" t="s">
        <v>1826</v>
      </c>
      <c r="M80" s="22" t="s">
        <v>1880</v>
      </c>
      <c r="N80" s="110" t="s">
        <v>102</v>
      </c>
      <c r="O80" s="151" t="s">
        <v>1819</v>
      </c>
      <c r="P80" s="71" t="s">
        <v>19</v>
      </c>
      <c r="Q80" s="82" t="s">
        <v>1811</v>
      </c>
      <c r="R80" s="82" t="s">
        <v>1152</v>
      </c>
      <c r="S80" s="40" t="s">
        <v>3213</v>
      </c>
      <c r="T80" s="130" t="s">
        <v>3214</v>
      </c>
      <c r="U80" s="40" t="s">
        <v>1800</v>
      </c>
      <c r="V80" s="10">
        <v>1</v>
      </c>
      <c r="W80" s="90" t="s">
        <v>3239</v>
      </c>
      <c r="X80" s="90" t="s">
        <v>3240</v>
      </c>
      <c r="Y80" s="150"/>
      <c r="Z80" s="30">
        <v>15</v>
      </c>
      <c r="AA80" s="30">
        <v>15</v>
      </c>
      <c r="AB80" s="35" t="s">
        <v>1104</v>
      </c>
      <c r="AC80" s="202" t="s">
        <v>1880</v>
      </c>
      <c r="AD80" s="133" t="s">
        <v>1880</v>
      </c>
      <c r="AE80" s="9" t="s">
        <v>3508</v>
      </c>
    </row>
    <row r="81" spans="1:31" s="46" customFormat="1" ht="27.95" customHeight="1" x14ac:dyDescent="0.15">
      <c r="A81" s="8">
        <v>79</v>
      </c>
      <c r="B81" s="40" t="s">
        <v>3206</v>
      </c>
      <c r="C81" s="26" t="s">
        <v>19</v>
      </c>
      <c r="D81" s="26" t="s">
        <v>19</v>
      </c>
      <c r="E81" s="26" t="s">
        <v>19</v>
      </c>
      <c r="F81" s="151" t="s">
        <v>3224</v>
      </c>
      <c r="G81" s="54" t="s">
        <v>3227</v>
      </c>
      <c r="H81" s="81" t="s">
        <v>94</v>
      </c>
      <c r="I81" s="81" t="s">
        <v>3215</v>
      </c>
      <c r="J81" s="40" t="s">
        <v>3225</v>
      </c>
      <c r="K81" s="40" t="s">
        <v>1138</v>
      </c>
      <c r="L81" s="40" t="s">
        <v>1826</v>
      </c>
      <c r="M81" s="22" t="s">
        <v>1880</v>
      </c>
      <c r="N81" s="110" t="s">
        <v>102</v>
      </c>
      <c r="O81" s="151" t="s">
        <v>1819</v>
      </c>
      <c r="P81" s="71" t="s">
        <v>19</v>
      </c>
      <c r="Q81" s="82" t="s">
        <v>1811</v>
      </c>
      <c r="R81" s="82" t="s">
        <v>1152</v>
      </c>
      <c r="S81" s="40" t="s">
        <v>3213</v>
      </c>
      <c r="T81" s="130" t="s">
        <v>3214</v>
      </c>
      <c r="U81" s="40" t="s">
        <v>1800</v>
      </c>
      <c r="V81" s="10">
        <v>1</v>
      </c>
      <c r="W81" s="90" t="s">
        <v>3239</v>
      </c>
      <c r="X81" s="90" t="s">
        <v>3240</v>
      </c>
      <c r="Y81" s="150"/>
      <c r="Z81" s="30">
        <v>15</v>
      </c>
      <c r="AA81" s="30">
        <v>15</v>
      </c>
      <c r="AB81" s="35" t="s">
        <v>1104</v>
      </c>
      <c r="AC81" s="202" t="s">
        <v>1880</v>
      </c>
      <c r="AD81" s="133" t="s">
        <v>1880</v>
      </c>
      <c r="AE81" s="9" t="s">
        <v>3508</v>
      </c>
    </row>
    <row r="82" spans="1:31" s="46" customFormat="1" ht="27.95" customHeight="1" x14ac:dyDescent="0.15">
      <c r="A82" s="8">
        <v>80</v>
      </c>
      <c r="B82" s="40" t="s">
        <v>3207</v>
      </c>
      <c r="C82" s="26" t="s">
        <v>19</v>
      </c>
      <c r="D82" s="26" t="s">
        <v>19</v>
      </c>
      <c r="E82" s="26" t="s">
        <v>19</v>
      </c>
      <c r="F82" s="151" t="s">
        <v>1275</v>
      </c>
      <c r="G82" s="54" t="s">
        <v>3226</v>
      </c>
      <c r="H82" s="81" t="s">
        <v>94</v>
      </c>
      <c r="I82" s="81" t="s">
        <v>3215</v>
      </c>
      <c r="J82" s="40" t="s">
        <v>1710</v>
      </c>
      <c r="K82" s="40" t="s">
        <v>1138</v>
      </c>
      <c r="L82" s="40" t="s">
        <v>1826</v>
      </c>
      <c r="M82" s="22" t="s">
        <v>1880</v>
      </c>
      <c r="N82" s="110" t="s">
        <v>102</v>
      </c>
      <c r="O82" s="151" t="s">
        <v>1819</v>
      </c>
      <c r="P82" s="71" t="s">
        <v>19</v>
      </c>
      <c r="Q82" s="82" t="s">
        <v>1811</v>
      </c>
      <c r="R82" s="82" t="s">
        <v>1152</v>
      </c>
      <c r="S82" s="40" t="s">
        <v>3213</v>
      </c>
      <c r="T82" s="130" t="s">
        <v>3214</v>
      </c>
      <c r="U82" s="40" t="s">
        <v>1800</v>
      </c>
      <c r="V82" s="10">
        <v>1</v>
      </c>
      <c r="W82" s="90" t="s">
        <v>3239</v>
      </c>
      <c r="X82" s="90" t="s">
        <v>3240</v>
      </c>
      <c r="Y82" s="150"/>
      <c r="Z82" s="30">
        <v>15</v>
      </c>
      <c r="AA82" s="30">
        <v>15</v>
      </c>
      <c r="AB82" s="35" t="s">
        <v>1104</v>
      </c>
      <c r="AC82" s="202" t="s">
        <v>1880</v>
      </c>
      <c r="AD82" s="133" t="s">
        <v>1880</v>
      </c>
      <c r="AE82" s="9" t="s">
        <v>3508</v>
      </c>
    </row>
    <row r="83" spans="1:31" s="46" customFormat="1" ht="27.95" customHeight="1" x14ac:dyDescent="0.15">
      <c r="A83" s="8">
        <v>81</v>
      </c>
      <c r="B83" s="40" t="s">
        <v>3208</v>
      </c>
      <c r="C83" s="26" t="s">
        <v>19</v>
      </c>
      <c r="D83" s="26" t="s">
        <v>19</v>
      </c>
      <c r="E83" s="26" t="s">
        <v>19</v>
      </c>
      <c r="F83" s="151" t="s">
        <v>1277</v>
      </c>
      <c r="G83" s="54" t="s">
        <v>3228</v>
      </c>
      <c r="H83" s="81" t="s">
        <v>94</v>
      </c>
      <c r="I83" s="81" t="s">
        <v>3215</v>
      </c>
      <c r="J83" s="44" t="s">
        <v>3147</v>
      </c>
      <c r="K83" s="40" t="s">
        <v>1138</v>
      </c>
      <c r="L83" s="40" t="s">
        <v>1826</v>
      </c>
      <c r="M83" s="22" t="s">
        <v>1880</v>
      </c>
      <c r="N83" s="110" t="s">
        <v>102</v>
      </c>
      <c r="O83" s="151" t="s">
        <v>1819</v>
      </c>
      <c r="P83" s="71" t="s">
        <v>19</v>
      </c>
      <c r="Q83" s="82" t="s">
        <v>1811</v>
      </c>
      <c r="R83" s="82" t="s">
        <v>1152</v>
      </c>
      <c r="S83" s="40" t="s">
        <v>3213</v>
      </c>
      <c r="T83" s="130" t="s">
        <v>3214</v>
      </c>
      <c r="U83" s="40" t="s">
        <v>1800</v>
      </c>
      <c r="V83" s="10">
        <v>1</v>
      </c>
      <c r="W83" s="90" t="s">
        <v>3239</v>
      </c>
      <c r="X83" s="90" t="s">
        <v>3240</v>
      </c>
      <c r="Y83" s="150"/>
      <c r="Z83" s="30">
        <v>15</v>
      </c>
      <c r="AA83" s="30">
        <v>15</v>
      </c>
      <c r="AB83" s="35" t="s">
        <v>1104</v>
      </c>
      <c r="AC83" s="202" t="s">
        <v>1880</v>
      </c>
      <c r="AD83" s="133" t="s">
        <v>1880</v>
      </c>
      <c r="AE83" s="9" t="s">
        <v>3508</v>
      </c>
    </row>
    <row r="84" spans="1:31" s="46" customFormat="1" ht="27.95" customHeight="1" x14ac:dyDescent="0.15">
      <c r="A84" s="8">
        <v>82</v>
      </c>
      <c r="B84" s="40" t="s">
        <v>3209</v>
      </c>
      <c r="C84" s="26" t="s">
        <v>19</v>
      </c>
      <c r="D84" s="26" t="s">
        <v>19</v>
      </c>
      <c r="E84" s="26" t="s">
        <v>19</v>
      </c>
      <c r="F84" s="151" t="s">
        <v>1935</v>
      </c>
      <c r="G84" s="54" t="s">
        <v>3229</v>
      </c>
      <c r="H84" s="81" t="s">
        <v>94</v>
      </c>
      <c r="I84" s="81" t="s">
        <v>3215</v>
      </c>
      <c r="J84" s="40" t="s">
        <v>1918</v>
      </c>
      <c r="K84" s="40" t="s">
        <v>1138</v>
      </c>
      <c r="L84" s="40" t="s">
        <v>1826</v>
      </c>
      <c r="M84" s="22" t="s">
        <v>1880</v>
      </c>
      <c r="N84" s="110" t="s">
        <v>102</v>
      </c>
      <c r="O84" s="151" t="s">
        <v>1819</v>
      </c>
      <c r="P84" s="71" t="s">
        <v>19</v>
      </c>
      <c r="Q84" s="82" t="s">
        <v>1811</v>
      </c>
      <c r="R84" s="82" t="s">
        <v>1152</v>
      </c>
      <c r="S84" s="40" t="s">
        <v>3213</v>
      </c>
      <c r="T84" s="130" t="s">
        <v>3241</v>
      </c>
      <c r="U84" s="40" t="s">
        <v>1800</v>
      </c>
      <c r="V84" s="10">
        <v>1</v>
      </c>
      <c r="W84" s="90" t="s">
        <v>3237</v>
      </c>
      <c r="X84" s="90" t="s">
        <v>3238</v>
      </c>
      <c r="Y84" s="150"/>
      <c r="Z84" s="30">
        <v>15</v>
      </c>
      <c r="AA84" s="30">
        <v>15</v>
      </c>
      <c r="AB84" s="35" t="s">
        <v>1104</v>
      </c>
      <c r="AC84" s="202" t="s">
        <v>1880</v>
      </c>
      <c r="AD84" s="133" t="s">
        <v>1880</v>
      </c>
      <c r="AE84" s="9" t="s">
        <v>3508</v>
      </c>
    </row>
    <row r="85" spans="1:31" s="46" customFormat="1" ht="27.95" customHeight="1" x14ac:dyDescent="0.15">
      <c r="A85" s="8">
        <v>83</v>
      </c>
      <c r="B85" s="40" t="s">
        <v>3210</v>
      </c>
      <c r="C85" s="26" t="s">
        <v>19</v>
      </c>
      <c r="D85" s="26" t="s">
        <v>19</v>
      </c>
      <c r="E85" s="26" t="s">
        <v>19</v>
      </c>
      <c r="F85" s="151" t="s">
        <v>1289</v>
      </c>
      <c r="G85" s="54" t="s">
        <v>3231</v>
      </c>
      <c r="H85" s="81" t="s">
        <v>94</v>
      </c>
      <c r="I85" s="81" t="s">
        <v>3215</v>
      </c>
      <c r="J85" s="40" t="s">
        <v>3230</v>
      </c>
      <c r="K85" s="40" t="s">
        <v>1138</v>
      </c>
      <c r="L85" s="40" t="s">
        <v>1826</v>
      </c>
      <c r="M85" s="22" t="s">
        <v>1880</v>
      </c>
      <c r="N85" s="110" t="s">
        <v>102</v>
      </c>
      <c r="O85" s="151" t="s">
        <v>1819</v>
      </c>
      <c r="P85" s="71" t="s">
        <v>19</v>
      </c>
      <c r="Q85" s="82" t="s">
        <v>1811</v>
      </c>
      <c r="R85" s="82" t="s">
        <v>1152</v>
      </c>
      <c r="S85" s="40" t="s">
        <v>3213</v>
      </c>
      <c r="T85" s="130" t="s">
        <v>3241</v>
      </c>
      <c r="U85" s="40" t="s">
        <v>1800</v>
      </c>
      <c r="V85" s="10">
        <v>1</v>
      </c>
      <c r="W85" s="90" t="s">
        <v>3239</v>
      </c>
      <c r="X85" s="90" t="s">
        <v>3240</v>
      </c>
      <c r="Y85" s="150"/>
      <c r="Z85" s="30">
        <v>15</v>
      </c>
      <c r="AA85" s="30">
        <v>15</v>
      </c>
      <c r="AB85" s="35" t="s">
        <v>1104</v>
      </c>
      <c r="AC85" s="202" t="s">
        <v>1880</v>
      </c>
      <c r="AD85" s="133" t="s">
        <v>1880</v>
      </c>
      <c r="AE85" s="9" t="s">
        <v>3508</v>
      </c>
    </row>
    <row r="86" spans="1:31" s="46" customFormat="1" ht="27.95" customHeight="1" x14ac:dyDescent="0.15">
      <c r="A86" s="8">
        <v>84</v>
      </c>
      <c r="B86" s="40" t="s">
        <v>3211</v>
      </c>
      <c r="C86" s="26" t="s">
        <v>19</v>
      </c>
      <c r="D86" s="26" t="s">
        <v>19</v>
      </c>
      <c r="E86" s="26" t="s">
        <v>19</v>
      </c>
      <c r="F86" s="151" t="s">
        <v>1931</v>
      </c>
      <c r="G86" s="54" t="s">
        <v>3233</v>
      </c>
      <c r="H86" s="81" t="s">
        <v>94</v>
      </c>
      <c r="I86" s="81" t="s">
        <v>3215</v>
      </c>
      <c r="J86" s="40" t="s">
        <v>3232</v>
      </c>
      <c r="K86" s="40" t="s">
        <v>1138</v>
      </c>
      <c r="L86" s="40" t="s">
        <v>1826</v>
      </c>
      <c r="M86" s="22" t="s">
        <v>1880</v>
      </c>
      <c r="N86" s="110" t="s">
        <v>102</v>
      </c>
      <c r="O86" s="151" t="s">
        <v>1819</v>
      </c>
      <c r="P86" s="71" t="s">
        <v>19</v>
      </c>
      <c r="Q86" s="82" t="s">
        <v>1811</v>
      </c>
      <c r="R86" s="82" t="s">
        <v>1152</v>
      </c>
      <c r="S86" s="40" t="s">
        <v>3213</v>
      </c>
      <c r="T86" s="130" t="s">
        <v>3214</v>
      </c>
      <c r="U86" s="40" t="s">
        <v>1800</v>
      </c>
      <c r="V86" s="10">
        <v>1</v>
      </c>
      <c r="W86" s="90" t="s">
        <v>3239</v>
      </c>
      <c r="X86" s="90" t="s">
        <v>3240</v>
      </c>
      <c r="Y86" s="150"/>
      <c r="Z86" s="30">
        <v>15</v>
      </c>
      <c r="AA86" s="30">
        <v>15</v>
      </c>
      <c r="AB86" s="35" t="s">
        <v>1104</v>
      </c>
      <c r="AC86" s="202" t="s">
        <v>1880</v>
      </c>
      <c r="AD86" s="133" t="s">
        <v>1880</v>
      </c>
      <c r="AE86" s="9" t="s">
        <v>3508</v>
      </c>
    </row>
    <row r="87" spans="1:31" s="46" customFormat="1" ht="27.95" customHeight="1" x14ac:dyDescent="0.15">
      <c r="A87" s="8">
        <v>85</v>
      </c>
      <c r="B87" s="40" t="s">
        <v>3571</v>
      </c>
      <c r="C87" s="26" t="s">
        <v>19</v>
      </c>
      <c r="D87" s="26" t="s">
        <v>19</v>
      </c>
      <c r="E87" s="26" t="s">
        <v>19</v>
      </c>
      <c r="F87" s="151" t="s">
        <v>1361</v>
      </c>
      <c r="G87" s="54" t="s">
        <v>3234</v>
      </c>
      <c r="H87" s="81" t="s">
        <v>94</v>
      </c>
      <c r="I87" s="81" t="s">
        <v>3215</v>
      </c>
      <c r="J87" s="84" t="s">
        <v>3341</v>
      </c>
      <c r="K87" s="40" t="s">
        <v>1138</v>
      </c>
      <c r="L87" s="40" t="s">
        <v>1826</v>
      </c>
      <c r="M87" s="22" t="s">
        <v>1880</v>
      </c>
      <c r="N87" s="110" t="s">
        <v>102</v>
      </c>
      <c r="O87" s="151" t="s">
        <v>1819</v>
      </c>
      <c r="P87" s="71" t="s">
        <v>19</v>
      </c>
      <c r="Q87" s="82" t="s">
        <v>1811</v>
      </c>
      <c r="R87" s="82" t="s">
        <v>1152</v>
      </c>
      <c r="S87" s="40" t="s">
        <v>3213</v>
      </c>
      <c r="T87" s="130" t="s">
        <v>3214</v>
      </c>
      <c r="U87" s="40" t="s">
        <v>1800</v>
      </c>
      <c r="V87" s="10">
        <v>1</v>
      </c>
      <c r="W87" s="90" t="s">
        <v>3237</v>
      </c>
      <c r="X87" s="90" t="s">
        <v>3238</v>
      </c>
      <c r="Y87" s="150"/>
      <c r="Z87" s="30">
        <v>15</v>
      </c>
      <c r="AA87" s="30">
        <v>15</v>
      </c>
      <c r="AB87" s="35" t="s">
        <v>1104</v>
      </c>
      <c r="AC87" s="202" t="s">
        <v>1880</v>
      </c>
      <c r="AD87" s="133" t="s">
        <v>1880</v>
      </c>
      <c r="AE87" s="9" t="s">
        <v>3508</v>
      </c>
    </row>
    <row r="88" spans="1:31" s="46" customFormat="1" ht="27.95" customHeight="1" x14ac:dyDescent="0.15">
      <c r="A88" s="8">
        <v>86</v>
      </c>
      <c r="B88" s="40" t="s">
        <v>3572</v>
      </c>
      <c r="C88" s="26" t="s">
        <v>19</v>
      </c>
      <c r="D88" s="26" t="s">
        <v>19</v>
      </c>
      <c r="E88" s="26" t="s">
        <v>19</v>
      </c>
      <c r="F88" s="151" t="s">
        <v>1361</v>
      </c>
      <c r="G88" s="54" t="s">
        <v>3234</v>
      </c>
      <c r="H88" s="81" t="s">
        <v>94</v>
      </c>
      <c r="I88" s="81" t="s">
        <v>3215</v>
      </c>
      <c r="J88" s="84" t="s">
        <v>3339</v>
      </c>
      <c r="K88" s="40" t="s">
        <v>1138</v>
      </c>
      <c r="L88" s="40" t="s">
        <v>1826</v>
      </c>
      <c r="M88" s="22" t="s">
        <v>1880</v>
      </c>
      <c r="N88" s="110" t="s">
        <v>102</v>
      </c>
      <c r="O88" s="151" t="s">
        <v>1819</v>
      </c>
      <c r="P88" s="71" t="s">
        <v>19</v>
      </c>
      <c r="Q88" s="82" t="s">
        <v>1811</v>
      </c>
      <c r="R88" s="82" t="s">
        <v>1152</v>
      </c>
      <c r="S88" s="40" t="s">
        <v>3213</v>
      </c>
      <c r="T88" s="130" t="s">
        <v>3214</v>
      </c>
      <c r="U88" s="40" t="s">
        <v>1800</v>
      </c>
      <c r="V88" s="10">
        <v>1</v>
      </c>
      <c r="W88" s="90" t="s">
        <v>3237</v>
      </c>
      <c r="X88" s="90" t="s">
        <v>3238</v>
      </c>
      <c r="Y88" s="150"/>
      <c r="Z88" s="30">
        <v>15</v>
      </c>
      <c r="AA88" s="30">
        <v>15</v>
      </c>
      <c r="AB88" s="35" t="s">
        <v>1104</v>
      </c>
      <c r="AC88" s="202" t="s">
        <v>1880</v>
      </c>
      <c r="AD88" s="133" t="s">
        <v>1880</v>
      </c>
      <c r="AE88" s="9" t="s">
        <v>3508</v>
      </c>
    </row>
    <row r="89" spans="1:31" s="46" customFormat="1" ht="27.95" customHeight="1" x14ac:dyDescent="0.15">
      <c r="A89" s="8">
        <v>87</v>
      </c>
      <c r="B89" s="40" t="s">
        <v>3573</v>
      </c>
      <c r="C89" s="26" t="s">
        <v>19</v>
      </c>
      <c r="D89" s="26" t="s">
        <v>19</v>
      </c>
      <c r="E89" s="26" t="s">
        <v>19</v>
      </c>
      <c r="F89" s="151" t="s">
        <v>1361</v>
      </c>
      <c r="G89" s="54" t="s">
        <v>3234</v>
      </c>
      <c r="H89" s="81" t="s">
        <v>94</v>
      </c>
      <c r="I89" s="81" t="s">
        <v>3215</v>
      </c>
      <c r="J89" s="84" t="s">
        <v>3340</v>
      </c>
      <c r="K89" s="40" t="s">
        <v>1138</v>
      </c>
      <c r="L89" s="40" t="s">
        <v>1826</v>
      </c>
      <c r="M89" s="22" t="s">
        <v>1880</v>
      </c>
      <c r="N89" s="110" t="s">
        <v>102</v>
      </c>
      <c r="O89" s="151" t="s">
        <v>1819</v>
      </c>
      <c r="P89" s="71" t="s">
        <v>19</v>
      </c>
      <c r="Q89" s="82" t="s">
        <v>1811</v>
      </c>
      <c r="R89" s="82" t="s">
        <v>1152</v>
      </c>
      <c r="S89" s="40" t="s">
        <v>3213</v>
      </c>
      <c r="T89" s="130" t="s">
        <v>3214</v>
      </c>
      <c r="U89" s="40" t="s">
        <v>1800</v>
      </c>
      <c r="V89" s="10">
        <v>1</v>
      </c>
      <c r="W89" s="90" t="s">
        <v>3237</v>
      </c>
      <c r="X89" s="90" t="s">
        <v>3238</v>
      </c>
      <c r="Y89" s="150"/>
      <c r="Z89" s="30">
        <v>15</v>
      </c>
      <c r="AA89" s="30">
        <v>15</v>
      </c>
      <c r="AB89" s="35" t="s">
        <v>1104</v>
      </c>
      <c r="AC89" s="202" t="s">
        <v>1880</v>
      </c>
      <c r="AD89" s="133" t="s">
        <v>1880</v>
      </c>
      <c r="AE89" s="9" t="s">
        <v>3508</v>
      </c>
    </row>
    <row r="90" spans="1:31" s="46" customFormat="1" ht="45" x14ac:dyDescent="0.15">
      <c r="A90" s="8">
        <v>88</v>
      </c>
      <c r="B90" s="40" t="s">
        <v>3254</v>
      </c>
      <c r="C90" s="40" t="s">
        <v>3251</v>
      </c>
      <c r="D90" s="26" t="s">
        <v>19</v>
      </c>
      <c r="E90" s="26" t="s">
        <v>4182</v>
      </c>
      <c r="F90" s="151" t="s">
        <v>3245</v>
      </c>
      <c r="G90" s="54" t="s">
        <v>3246</v>
      </c>
      <c r="H90" s="40" t="s">
        <v>1881</v>
      </c>
      <c r="I90" s="82" t="s">
        <v>1146</v>
      </c>
      <c r="J90" s="40" t="s">
        <v>3247</v>
      </c>
      <c r="K90" s="40" t="s">
        <v>1138</v>
      </c>
      <c r="L90" s="40" t="s">
        <v>1826</v>
      </c>
      <c r="M90" s="22" t="s">
        <v>1880</v>
      </c>
      <c r="N90" s="110" t="s">
        <v>1818</v>
      </c>
      <c r="O90" s="89" t="s">
        <v>3258</v>
      </c>
      <c r="P90" s="71" t="s">
        <v>19</v>
      </c>
      <c r="Q90" s="40" t="s">
        <v>1151</v>
      </c>
      <c r="R90" s="40" t="s">
        <v>3248</v>
      </c>
      <c r="S90" s="40" t="s">
        <v>3249</v>
      </c>
      <c r="T90" s="130" t="s">
        <v>3250</v>
      </c>
      <c r="U90" s="40" t="s">
        <v>2359</v>
      </c>
      <c r="V90" s="40">
        <v>1</v>
      </c>
      <c r="W90" s="211" t="s">
        <v>4163</v>
      </c>
      <c r="X90" s="24" t="s">
        <v>111</v>
      </c>
      <c r="Y90" s="150">
        <v>298.5</v>
      </c>
      <c r="Z90" s="150"/>
      <c r="AA90" s="150">
        <v>298.5</v>
      </c>
      <c r="AB90" s="40" t="s">
        <v>1104</v>
      </c>
      <c r="AC90" s="133" t="s">
        <v>3259</v>
      </c>
      <c r="AD90" s="133" t="s">
        <v>1880</v>
      </c>
      <c r="AE90" s="40"/>
    </row>
    <row r="91" spans="1:31" s="46" customFormat="1" ht="33.75" x14ac:dyDescent="0.15">
      <c r="A91" s="8">
        <v>89</v>
      </c>
      <c r="B91" s="40" t="s">
        <v>3255</v>
      </c>
      <c r="C91" s="40" t="s">
        <v>3251</v>
      </c>
      <c r="D91" s="26" t="s">
        <v>19</v>
      </c>
      <c r="E91" s="26" t="s">
        <v>19</v>
      </c>
      <c r="F91" s="151" t="s">
        <v>3245</v>
      </c>
      <c r="G91" s="54" t="s">
        <v>3246</v>
      </c>
      <c r="H91" s="40" t="s">
        <v>1881</v>
      </c>
      <c r="I91" s="82" t="s">
        <v>1146</v>
      </c>
      <c r="J91" s="40" t="s">
        <v>3247</v>
      </c>
      <c r="K91" s="40" t="s">
        <v>1138</v>
      </c>
      <c r="L91" s="40" t="s">
        <v>1826</v>
      </c>
      <c r="M91" s="22" t="s">
        <v>1880</v>
      </c>
      <c r="N91" s="40" t="s">
        <v>3257</v>
      </c>
      <c r="O91" s="152" t="s">
        <v>4043</v>
      </c>
      <c r="P91" s="71" t="s">
        <v>19</v>
      </c>
      <c r="Q91" s="40" t="s">
        <v>1151</v>
      </c>
      <c r="R91" s="40" t="s">
        <v>3248</v>
      </c>
      <c r="S91" s="40" t="s">
        <v>3249</v>
      </c>
      <c r="T91" s="130" t="s">
        <v>3250</v>
      </c>
      <c r="U91" s="40" t="s">
        <v>2359</v>
      </c>
      <c r="V91" s="40">
        <v>1</v>
      </c>
      <c r="W91" s="24" t="s">
        <v>111</v>
      </c>
      <c r="X91" s="24" t="s">
        <v>111</v>
      </c>
      <c r="Y91" s="150">
        <v>339.5</v>
      </c>
      <c r="Z91" s="150"/>
      <c r="AA91" s="150">
        <v>339.5</v>
      </c>
      <c r="AB91" s="40" t="s">
        <v>1104</v>
      </c>
      <c r="AC91" s="133" t="s">
        <v>3259</v>
      </c>
      <c r="AD91" s="133" t="s">
        <v>1880</v>
      </c>
      <c r="AE91" s="40"/>
    </row>
    <row r="92" spans="1:31" s="46" customFormat="1" ht="33.75" x14ac:dyDescent="0.15">
      <c r="A92" s="8">
        <v>90</v>
      </c>
      <c r="B92" s="40" t="s">
        <v>3265</v>
      </c>
      <c r="C92" s="40" t="s">
        <v>111</v>
      </c>
      <c r="D92" s="40" t="s">
        <v>111</v>
      </c>
      <c r="E92" s="40" t="s">
        <v>111</v>
      </c>
      <c r="F92" s="54" t="s">
        <v>1253</v>
      </c>
      <c r="G92" s="47" t="s">
        <v>3272</v>
      </c>
      <c r="H92" s="1" t="s">
        <v>1449</v>
      </c>
      <c r="I92" s="142" t="s">
        <v>177</v>
      </c>
      <c r="J92" s="21" t="s">
        <v>3263</v>
      </c>
      <c r="K92" s="21" t="s">
        <v>1733</v>
      </c>
      <c r="L92" s="40" t="s">
        <v>1826</v>
      </c>
      <c r="M92" s="40" t="s">
        <v>111</v>
      </c>
      <c r="N92" s="9" t="s">
        <v>1818</v>
      </c>
      <c r="O92" s="89" t="s">
        <v>1819</v>
      </c>
      <c r="P92" s="40" t="s">
        <v>111</v>
      </c>
      <c r="Q92" s="40" t="s">
        <v>1659</v>
      </c>
      <c r="R92" s="40" t="s">
        <v>1659</v>
      </c>
      <c r="S92" s="40" t="s">
        <v>3268</v>
      </c>
      <c r="T92" s="90" t="s">
        <v>3346</v>
      </c>
      <c r="U92" s="40" t="s">
        <v>2359</v>
      </c>
      <c r="V92" s="40">
        <v>1</v>
      </c>
      <c r="W92" s="40" t="s">
        <v>3269</v>
      </c>
      <c r="X92" s="40" t="s">
        <v>3270</v>
      </c>
      <c r="Y92" s="150"/>
      <c r="Z92" s="150">
        <v>10</v>
      </c>
      <c r="AA92" s="150">
        <v>10</v>
      </c>
      <c r="AB92" s="35" t="s">
        <v>1104</v>
      </c>
      <c r="AC92" s="202" t="s">
        <v>1880</v>
      </c>
      <c r="AD92" s="133" t="s">
        <v>1880</v>
      </c>
      <c r="AE92" s="40"/>
    </row>
    <row r="93" spans="1:31" s="46" customFormat="1" ht="33.75" x14ac:dyDescent="0.15">
      <c r="A93" s="8">
        <v>91</v>
      </c>
      <c r="B93" s="40" t="s">
        <v>3266</v>
      </c>
      <c r="C93" s="40" t="s">
        <v>111</v>
      </c>
      <c r="D93" s="40" t="s">
        <v>111</v>
      </c>
      <c r="E93" s="40" t="s">
        <v>111</v>
      </c>
      <c r="F93" s="54" t="s">
        <v>1253</v>
      </c>
      <c r="G93" s="47" t="s">
        <v>3272</v>
      </c>
      <c r="H93" s="1" t="s">
        <v>1449</v>
      </c>
      <c r="I93" s="142" t="s">
        <v>177</v>
      </c>
      <c r="J93" s="21" t="s">
        <v>3264</v>
      </c>
      <c r="K93" s="21" t="s">
        <v>1732</v>
      </c>
      <c r="L93" s="40" t="s">
        <v>1826</v>
      </c>
      <c r="M93" s="40" t="s">
        <v>111</v>
      </c>
      <c r="N93" s="9" t="s">
        <v>102</v>
      </c>
      <c r="O93" s="89" t="s">
        <v>851</v>
      </c>
      <c r="P93" s="40" t="s">
        <v>111</v>
      </c>
      <c r="Q93" s="40" t="s">
        <v>1659</v>
      </c>
      <c r="R93" s="40" t="s">
        <v>1659</v>
      </c>
      <c r="S93" s="40" t="s">
        <v>3268</v>
      </c>
      <c r="T93" s="90" t="s">
        <v>3346</v>
      </c>
      <c r="U93" s="40" t="s">
        <v>2359</v>
      </c>
      <c r="V93" s="40">
        <v>1</v>
      </c>
      <c r="W93" s="40" t="s">
        <v>3269</v>
      </c>
      <c r="X93" s="40" t="s">
        <v>3270</v>
      </c>
      <c r="Y93" s="150"/>
      <c r="Z93" s="150">
        <v>10</v>
      </c>
      <c r="AA93" s="150">
        <v>10</v>
      </c>
      <c r="AB93" s="40" t="s">
        <v>1104</v>
      </c>
      <c r="AC93" s="202" t="s">
        <v>1880</v>
      </c>
      <c r="AD93" s="133" t="s">
        <v>1880</v>
      </c>
      <c r="AE93" s="40"/>
    </row>
    <row r="94" spans="1:31" s="46" customFormat="1" ht="33.75" x14ac:dyDescent="0.15">
      <c r="A94" s="8">
        <v>92</v>
      </c>
      <c r="B94" s="40" t="s">
        <v>3267</v>
      </c>
      <c r="C94" s="40" t="s">
        <v>111</v>
      </c>
      <c r="D94" s="40" t="s">
        <v>111</v>
      </c>
      <c r="E94" s="40" t="s">
        <v>111</v>
      </c>
      <c r="F94" s="54" t="s">
        <v>3271</v>
      </c>
      <c r="G94" s="47" t="s">
        <v>3272</v>
      </c>
      <c r="H94" s="1" t="s">
        <v>1449</v>
      </c>
      <c r="I94" s="142" t="s">
        <v>177</v>
      </c>
      <c r="J94" s="21" t="s">
        <v>3273</v>
      </c>
      <c r="K94" s="21" t="s">
        <v>1734</v>
      </c>
      <c r="L94" s="40" t="s">
        <v>1826</v>
      </c>
      <c r="M94" s="40" t="s">
        <v>111</v>
      </c>
      <c r="N94" s="9" t="s">
        <v>102</v>
      </c>
      <c r="O94" s="89" t="s">
        <v>851</v>
      </c>
      <c r="P94" s="40" t="s">
        <v>111</v>
      </c>
      <c r="Q94" s="40" t="s">
        <v>1659</v>
      </c>
      <c r="R94" s="40" t="s">
        <v>1659</v>
      </c>
      <c r="S94" s="40" t="s">
        <v>3268</v>
      </c>
      <c r="T94" s="90" t="s">
        <v>3346</v>
      </c>
      <c r="U94" s="40" t="s">
        <v>2359</v>
      </c>
      <c r="V94" s="40">
        <v>1</v>
      </c>
      <c r="W94" s="40" t="s">
        <v>3269</v>
      </c>
      <c r="X94" s="40" t="s">
        <v>3270</v>
      </c>
      <c r="Y94" s="150"/>
      <c r="Z94" s="150">
        <v>10</v>
      </c>
      <c r="AA94" s="150">
        <v>10</v>
      </c>
      <c r="AB94" s="40" t="s">
        <v>1104</v>
      </c>
      <c r="AC94" s="202" t="s">
        <v>1880</v>
      </c>
      <c r="AD94" s="133" t="s">
        <v>1880</v>
      </c>
      <c r="AE94" s="40"/>
    </row>
    <row r="95" spans="1:31" s="46" customFormat="1" ht="27.95" customHeight="1" x14ac:dyDescent="0.15">
      <c r="A95" s="8">
        <v>93</v>
      </c>
      <c r="B95" s="40" t="s">
        <v>3274</v>
      </c>
      <c r="C95" s="40" t="s">
        <v>111</v>
      </c>
      <c r="D95" s="40" t="s">
        <v>111</v>
      </c>
      <c r="E95" s="40" t="s">
        <v>111</v>
      </c>
      <c r="F95" s="151" t="s">
        <v>3288</v>
      </c>
      <c r="G95" s="47" t="s">
        <v>3289</v>
      </c>
      <c r="H95" s="40" t="s">
        <v>1147</v>
      </c>
      <c r="I95" s="40" t="s">
        <v>3215</v>
      </c>
      <c r="J95" s="21" t="s">
        <v>3290</v>
      </c>
      <c r="K95" s="40" t="s">
        <v>1138</v>
      </c>
      <c r="L95" s="40" t="s">
        <v>1826</v>
      </c>
      <c r="M95" s="40" t="s">
        <v>111</v>
      </c>
      <c r="N95" s="40" t="s">
        <v>1818</v>
      </c>
      <c r="O95" s="151" t="s">
        <v>1819</v>
      </c>
      <c r="P95" s="40" t="s">
        <v>111</v>
      </c>
      <c r="Q95" s="40" t="s">
        <v>1811</v>
      </c>
      <c r="R95" s="40" t="s">
        <v>1152</v>
      </c>
      <c r="S95" s="40" t="s">
        <v>3291</v>
      </c>
      <c r="T95" s="130" t="s">
        <v>3292</v>
      </c>
      <c r="U95" s="40" t="s">
        <v>2359</v>
      </c>
      <c r="V95" s="40">
        <v>1</v>
      </c>
      <c r="W95" s="40" t="s">
        <v>3240</v>
      </c>
      <c r="X95" s="40" t="s">
        <v>3293</v>
      </c>
      <c r="Y95" s="150"/>
      <c r="Z95" s="150">
        <v>12.6</v>
      </c>
      <c r="AA95" s="150">
        <v>12.6</v>
      </c>
      <c r="AB95" s="40" t="s">
        <v>1104</v>
      </c>
      <c r="AC95" s="202" t="s">
        <v>1880</v>
      </c>
      <c r="AD95" s="133" t="s">
        <v>1880</v>
      </c>
      <c r="AE95" s="40"/>
    </row>
    <row r="96" spans="1:31" s="46" customFormat="1" ht="27.95" customHeight="1" x14ac:dyDescent="0.15">
      <c r="A96" s="8">
        <v>94</v>
      </c>
      <c r="B96" s="40" t="s">
        <v>3296</v>
      </c>
      <c r="C96" s="40" t="s">
        <v>111</v>
      </c>
      <c r="D96" s="40" t="s">
        <v>111</v>
      </c>
      <c r="E96" s="40" t="s">
        <v>111</v>
      </c>
      <c r="F96" s="151" t="s">
        <v>3294</v>
      </c>
      <c r="G96" s="47" t="s">
        <v>3299</v>
      </c>
      <c r="H96" s="40" t="s">
        <v>1147</v>
      </c>
      <c r="I96" s="40" t="s">
        <v>3215</v>
      </c>
      <c r="J96" s="84" t="s">
        <v>3341</v>
      </c>
      <c r="K96" s="40" t="s">
        <v>1138</v>
      </c>
      <c r="L96" s="40" t="s">
        <v>1826</v>
      </c>
      <c r="M96" s="40" t="s">
        <v>111</v>
      </c>
      <c r="N96" s="40" t="s">
        <v>1818</v>
      </c>
      <c r="O96" s="151" t="s">
        <v>1819</v>
      </c>
      <c r="P96" s="40" t="s">
        <v>111</v>
      </c>
      <c r="Q96" s="40" t="s">
        <v>1811</v>
      </c>
      <c r="R96" s="40" t="s">
        <v>1152</v>
      </c>
      <c r="S96" s="40" t="s">
        <v>3291</v>
      </c>
      <c r="T96" s="130" t="s">
        <v>3292</v>
      </c>
      <c r="U96" s="40" t="s">
        <v>2359</v>
      </c>
      <c r="V96" s="40">
        <v>1</v>
      </c>
      <c r="W96" s="40" t="s">
        <v>3238</v>
      </c>
      <c r="X96" s="40" t="s">
        <v>3295</v>
      </c>
      <c r="Y96" s="150"/>
      <c r="Z96" s="150">
        <v>12.6</v>
      </c>
      <c r="AA96" s="150">
        <v>12.6</v>
      </c>
      <c r="AB96" s="40" t="s">
        <v>1104</v>
      </c>
      <c r="AC96" s="202" t="s">
        <v>1880</v>
      </c>
      <c r="AD96" s="133" t="s">
        <v>1880</v>
      </c>
      <c r="AE96" s="40"/>
    </row>
    <row r="97" spans="1:31" s="46" customFormat="1" ht="27.95" customHeight="1" x14ac:dyDescent="0.15">
      <c r="A97" s="8">
        <v>95</v>
      </c>
      <c r="B97" s="40" t="s">
        <v>3337</v>
      </c>
      <c r="C97" s="40" t="s">
        <v>111</v>
      </c>
      <c r="D97" s="40" t="s">
        <v>111</v>
      </c>
      <c r="E97" s="40" t="s">
        <v>111</v>
      </c>
      <c r="F97" s="54" t="s">
        <v>3294</v>
      </c>
      <c r="G97" s="47" t="s">
        <v>3299</v>
      </c>
      <c r="H97" s="40" t="s">
        <v>1147</v>
      </c>
      <c r="I97" s="40" t="s">
        <v>3215</v>
      </c>
      <c r="J97" s="84" t="s">
        <v>3339</v>
      </c>
      <c r="K97" s="40" t="s">
        <v>1138</v>
      </c>
      <c r="L97" s="40" t="s">
        <v>1826</v>
      </c>
      <c r="M97" s="40" t="s">
        <v>111</v>
      </c>
      <c r="N97" s="40" t="s">
        <v>1818</v>
      </c>
      <c r="O97" s="151" t="s">
        <v>1819</v>
      </c>
      <c r="P97" s="40" t="s">
        <v>111</v>
      </c>
      <c r="Q97" s="40" t="s">
        <v>1811</v>
      </c>
      <c r="R97" s="40" t="s">
        <v>1152</v>
      </c>
      <c r="S97" s="40" t="s">
        <v>3291</v>
      </c>
      <c r="T97" s="130" t="s">
        <v>3292</v>
      </c>
      <c r="U97" s="40" t="s">
        <v>2359</v>
      </c>
      <c r="V97" s="40">
        <v>1</v>
      </c>
      <c r="W97" s="40" t="s">
        <v>3238</v>
      </c>
      <c r="X97" s="40" t="s">
        <v>3295</v>
      </c>
      <c r="Y97" s="150"/>
      <c r="Z97" s="150">
        <v>12.6</v>
      </c>
      <c r="AA97" s="150">
        <v>12.6</v>
      </c>
      <c r="AB97" s="40" t="s">
        <v>1104</v>
      </c>
      <c r="AC97" s="202" t="s">
        <v>1880</v>
      </c>
      <c r="AD97" s="133" t="s">
        <v>1880</v>
      </c>
      <c r="AE97" s="40"/>
    </row>
    <row r="98" spans="1:31" s="46" customFormat="1" ht="27.95" customHeight="1" x14ac:dyDescent="0.15">
      <c r="A98" s="8">
        <v>96</v>
      </c>
      <c r="B98" s="40" t="s">
        <v>3338</v>
      </c>
      <c r="C98" s="40" t="s">
        <v>111</v>
      </c>
      <c r="D98" s="40" t="s">
        <v>111</v>
      </c>
      <c r="E98" s="40" t="s">
        <v>111</v>
      </c>
      <c r="F98" s="54" t="s">
        <v>3294</v>
      </c>
      <c r="G98" s="47" t="s">
        <v>3299</v>
      </c>
      <c r="H98" s="40" t="s">
        <v>1147</v>
      </c>
      <c r="I98" s="40" t="s">
        <v>3215</v>
      </c>
      <c r="J98" s="84" t="s">
        <v>3340</v>
      </c>
      <c r="K98" s="40" t="s">
        <v>1138</v>
      </c>
      <c r="L98" s="40" t="s">
        <v>1826</v>
      </c>
      <c r="M98" s="40" t="s">
        <v>111</v>
      </c>
      <c r="N98" s="40" t="s">
        <v>1818</v>
      </c>
      <c r="O98" s="151" t="s">
        <v>1819</v>
      </c>
      <c r="P98" s="40" t="s">
        <v>111</v>
      </c>
      <c r="Q98" s="40" t="s">
        <v>1811</v>
      </c>
      <c r="R98" s="40" t="s">
        <v>1152</v>
      </c>
      <c r="S98" s="40" t="s">
        <v>3291</v>
      </c>
      <c r="T98" s="130" t="s">
        <v>3292</v>
      </c>
      <c r="U98" s="40" t="s">
        <v>2359</v>
      </c>
      <c r="V98" s="40">
        <v>1</v>
      </c>
      <c r="W98" s="40" t="s">
        <v>3238</v>
      </c>
      <c r="X98" s="40" t="s">
        <v>3295</v>
      </c>
      <c r="Y98" s="150"/>
      <c r="Z98" s="150">
        <v>12.6</v>
      </c>
      <c r="AA98" s="150">
        <v>12.6</v>
      </c>
      <c r="AB98" s="40" t="s">
        <v>1104</v>
      </c>
      <c r="AC98" s="202" t="s">
        <v>1880</v>
      </c>
      <c r="AD98" s="133" t="s">
        <v>1880</v>
      </c>
      <c r="AE98" s="40"/>
    </row>
    <row r="99" spans="1:31" s="46" customFormat="1" ht="27.95" customHeight="1" x14ac:dyDescent="0.15">
      <c r="A99" s="8">
        <v>97</v>
      </c>
      <c r="B99" s="40" t="s">
        <v>3336</v>
      </c>
      <c r="C99" s="40" t="s">
        <v>111</v>
      </c>
      <c r="D99" s="40" t="s">
        <v>111</v>
      </c>
      <c r="E99" s="40" t="s">
        <v>111</v>
      </c>
      <c r="F99" s="54" t="s">
        <v>3294</v>
      </c>
      <c r="G99" s="47" t="s">
        <v>3298</v>
      </c>
      <c r="H99" s="40" t="s">
        <v>1147</v>
      </c>
      <c r="I99" s="40" t="s">
        <v>3215</v>
      </c>
      <c r="J99" s="84" t="s">
        <v>3297</v>
      </c>
      <c r="K99" s="40" t="s">
        <v>3332</v>
      </c>
      <c r="L99" s="40" t="s">
        <v>1826</v>
      </c>
      <c r="M99" s="40" t="s">
        <v>111</v>
      </c>
      <c r="N99" s="40" t="s">
        <v>1818</v>
      </c>
      <c r="O99" s="151" t="s">
        <v>1819</v>
      </c>
      <c r="P99" s="40" t="s">
        <v>111</v>
      </c>
      <c r="Q99" s="40" t="s">
        <v>1811</v>
      </c>
      <c r="R99" s="40" t="s">
        <v>1152</v>
      </c>
      <c r="S99" s="40" t="s">
        <v>3291</v>
      </c>
      <c r="T99" s="130" t="s">
        <v>3292</v>
      </c>
      <c r="U99" s="40" t="s">
        <v>2359</v>
      </c>
      <c r="V99" s="40">
        <v>1</v>
      </c>
      <c r="W99" s="40" t="s">
        <v>3240</v>
      </c>
      <c r="X99" s="40" t="s">
        <v>3293</v>
      </c>
      <c r="Y99" s="150"/>
      <c r="Z99" s="150">
        <v>12.6</v>
      </c>
      <c r="AA99" s="150">
        <v>12.6</v>
      </c>
      <c r="AB99" s="40" t="s">
        <v>1104</v>
      </c>
      <c r="AC99" s="202" t="s">
        <v>1880</v>
      </c>
      <c r="AD99" s="133" t="s">
        <v>1880</v>
      </c>
      <c r="AE99" s="40"/>
    </row>
    <row r="100" spans="1:31" s="46" customFormat="1" ht="27.95" customHeight="1" x14ac:dyDescent="0.15">
      <c r="A100" s="8">
        <v>98</v>
      </c>
      <c r="B100" s="40" t="s">
        <v>3275</v>
      </c>
      <c r="C100" s="40" t="s">
        <v>111</v>
      </c>
      <c r="D100" s="40" t="s">
        <v>111</v>
      </c>
      <c r="E100" s="40" t="s">
        <v>111</v>
      </c>
      <c r="F100" s="54" t="s">
        <v>3300</v>
      </c>
      <c r="G100" s="54" t="s">
        <v>3301</v>
      </c>
      <c r="H100" s="40" t="s">
        <v>1147</v>
      </c>
      <c r="I100" s="40" t="s">
        <v>3215</v>
      </c>
      <c r="J100" s="21" t="s">
        <v>3302</v>
      </c>
      <c r="K100" s="40" t="s">
        <v>3333</v>
      </c>
      <c r="L100" s="40" t="s">
        <v>1826</v>
      </c>
      <c r="M100" s="40" t="s">
        <v>111</v>
      </c>
      <c r="N100" s="40" t="s">
        <v>1818</v>
      </c>
      <c r="O100" s="151" t="s">
        <v>1819</v>
      </c>
      <c r="P100" s="40" t="s">
        <v>111</v>
      </c>
      <c r="Q100" s="40" t="s">
        <v>1811</v>
      </c>
      <c r="R100" s="40" t="s">
        <v>1152</v>
      </c>
      <c r="S100" s="40" t="s">
        <v>3291</v>
      </c>
      <c r="T100" s="130" t="s">
        <v>3292</v>
      </c>
      <c r="U100" s="40" t="s">
        <v>2359</v>
      </c>
      <c r="V100" s="40">
        <v>1</v>
      </c>
      <c r="W100" s="40" t="s">
        <v>3240</v>
      </c>
      <c r="X100" s="40" t="s">
        <v>3293</v>
      </c>
      <c r="Y100" s="150"/>
      <c r="Z100" s="150">
        <v>12.6</v>
      </c>
      <c r="AA100" s="150">
        <v>12.6</v>
      </c>
      <c r="AB100" s="40" t="s">
        <v>1104</v>
      </c>
      <c r="AC100" s="202" t="s">
        <v>1880</v>
      </c>
      <c r="AD100" s="133" t="s">
        <v>1880</v>
      </c>
      <c r="AE100" s="40"/>
    </row>
    <row r="101" spans="1:31" s="46" customFormat="1" ht="27.95" customHeight="1" x14ac:dyDescent="0.15">
      <c r="A101" s="8">
        <v>99</v>
      </c>
      <c r="B101" s="40" t="s">
        <v>3276</v>
      </c>
      <c r="C101" s="40" t="s">
        <v>111</v>
      </c>
      <c r="D101" s="40" t="s">
        <v>111</v>
      </c>
      <c r="E101" s="40" t="s">
        <v>111</v>
      </c>
      <c r="F101" s="54" t="s">
        <v>3303</v>
      </c>
      <c r="G101" s="54" t="s">
        <v>3304</v>
      </c>
      <c r="H101" s="40" t="s">
        <v>1147</v>
      </c>
      <c r="I101" s="40" t="s">
        <v>3215</v>
      </c>
      <c r="J101" s="21" t="s">
        <v>3216</v>
      </c>
      <c r="K101" s="40" t="s">
        <v>1138</v>
      </c>
      <c r="L101" s="40" t="s">
        <v>1826</v>
      </c>
      <c r="M101" s="40" t="s">
        <v>111</v>
      </c>
      <c r="N101" s="40" t="s">
        <v>1818</v>
      </c>
      <c r="O101" s="151" t="s">
        <v>1819</v>
      </c>
      <c r="P101" s="40" t="s">
        <v>111</v>
      </c>
      <c r="Q101" s="40" t="s">
        <v>1811</v>
      </c>
      <c r="R101" s="40" t="s">
        <v>1152</v>
      </c>
      <c r="S101" s="40" t="s">
        <v>3291</v>
      </c>
      <c r="T101" s="130" t="s">
        <v>3292</v>
      </c>
      <c r="U101" s="40" t="s">
        <v>2359</v>
      </c>
      <c r="V101" s="40">
        <v>1</v>
      </c>
      <c r="W101" s="40" t="s">
        <v>3238</v>
      </c>
      <c r="X101" s="40" t="s">
        <v>3295</v>
      </c>
      <c r="Y101" s="150"/>
      <c r="Z101" s="150">
        <v>12.6</v>
      </c>
      <c r="AA101" s="150">
        <v>12.6</v>
      </c>
      <c r="AB101" s="40" t="s">
        <v>1104</v>
      </c>
      <c r="AC101" s="202" t="s">
        <v>1880</v>
      </c>
      <c r="AD101" s="133" t="s">
        <v>1880</v>
      </c>
      <c r="AE101" s="40"/>
    </row>
    <row r="102" spans="1:31" s="46" customFormat="1" ht="27.95" customHeight="1" x14ac:dyDescent="0.15">
      <c r="A102" s="8">
        <v>100</v>
      </c>
      <c r="B102" s="40" t="s">
        <v>3277</v>
      </c>
      <c r="C102" s="40" t="s">
        <v>111</v>
      </c>
      <c r="D102" s="40" t="s">
        <v>111</v>
      </c>
      <c r="E102" s="40" t="s">
        <v>111</v>
      </c>
      <c r="F102" s="54" t="s">
        <v>3305</v>
      </c>
      <c r="G102" s="47" t="s">
        <v>3306</v>
      </c>
      <c r="H102" s="40" t="s">
        <v>1147</v>
      </c>
      <c r="I102" s="40" t="s">
        <v>3215</v>
      </c>
      <c r="J102" s="21" t="s">
        <v>3307</v>
      </c>
      <c r="K102" s="40" t="s">
        <v>1138</v>
      </c>
      <c r="L102" s="40" t="s">
        <v>1826</v>
      </c>
      <c r="M102" s="40" t="s">
        <v>111</v>
      </c>
      <c r="N102" s="40" t="s">
        <v>1818</v>
      </c>
      <c r="O102" s="151" t="s">
        <v>1819</v>
      </c>
      <c r="P102" s="40" t="s">
        <v>111</v>
      </c>
      <c r="Q102" s="40" t="s">
        <v>1811</v>
      </c>
      <c r="R102" s="40" t="s">
        <v>1152</v>
      </c>
      <c r="S102" s="40" t="s">
        <v>3291</v>
      </c>
      <c r="T102" s="130" t="s">
        <v>3292</v>
      </c>
      <c r="U102" s="40" t="s">
        <v>2359</v>
      </c>
      <c r="V102" s="40">
        <v>1</v>
      </c>
      <c r="W102" s="40" t="s">
        <v>3240</v>
      </c>
      <c r="X102" s="40" t="s">
        <v>3293</v>
      </c>
      <c r="Y102" s="150"/>
      <c r="Z102" s="150">
        <v>12.6</v>
      </c>
      <c r="AA102" s="150">
        <v>12.6</v>
      </c>
      <c r="AB102" s="40" t="s">
        <v>1104</v>
      </c>
      <c r="AC102" s="202" t="s">
        <v>1880</v>
      </c>
      <c r="AD102" s="133" t="s">
        <v>1880</v>
      </c>
      <c r="AE102" s="40"/>
    </row>
    <row r="103" spans="1:31" s="46" customFormat="1" ht="27.95" customHeight="1" x14ac:dyDescent="0.15">
      <c r="A103" s="8">
        <v>101</v>
      </c>
      <c r="B103" s="40" t="s">
        <v>3278</v>
      </c>
      <c r="C103" s="40" t="s">
        <v>111</v>
      </c>
      <c r="D103" s="40" t="s">
        <v>111</v>
      </c>
      <c r="E103" s="40" t="s">
        <v>111</v>
      </c>
      <c r="F103" s="54" t="s">
        <v>3308</v>
      </c>
      <c r="G103" s="47" t="s">
        <v>3309</v>
      </c>
      <c r="H103" s="40" t="s">
        <v>1147</v>
      </c>
      <c r="I103" s="40" t="s">
        <v>3215</v>
      </c>
      <c r="J103" s="21" t="s">
        <v>3232</v>
      </c>
      <c r="K103" s="40" t="s">
        <v>1138</v>
      </c>
      <c r="L103" s="40" t="s">
        <v>1826</v>
      </c>
      <c r="M103" s="40" t="s">
        <v>111</v>
      </c>
      <c r="N103" s="40" t="s">
        <v>1818</v>
      </c>
      <c r="O103" s="151" t="s">
        <v>1819</v>
      </c>
      <c r="P103" s="40" t="s">
        <v>111</v>
      </c>
      <c r="Q103" s="40" t="s">
        <v>1811</v>
      </c>
      <c r="R103" s="40" t="s">
        <v>1152</v>
      </c>
      <c r="S103" s="40" t="s">
        <v>3291</v>
      </c>
      <c r="T103" s="130" t="s">
        <v>3292</v>
      </c>
      <c r="U103" s="40" t="s">
        <v>2359</v>
      </c>
      <c r="V103" s="40">
        <v>1</v>
      </c>
      <c r="W103" s="40" t="s">
        <v>3240</v>
      </c>
      <c r="X103" s="40" t="s">
        <v>3293</v>
      </c>
      <c r="Y103" s="150"/>
      <c r="Z103" s="150">
        <v>12.6</v>
      </c>
      <c r="AA103" s="150">
        <v>12.6</v>
      </c>
      <c r="AB103" s="40" t="s">
        <v>1104</v>
      </c>
      <c r="AC103" s="202" t="s">
        <v>1880</v>
      </c>
      <c r="AD103" s="133" t="s">
        <v>1880</v>
      </c>
      <c r="AE103" s="40"/>
    </row>
    <row r="104" spans="1:31" s="46" customFormat="1" ht="27.95" customHeight="1" x14ac:dyDescent="0.15">
      <c r="A104" s="8">
        <v>102</v>
      </c>
      <c r="B104" s="40" t="s">
        <v>3279</v>
      </c>
      <c r="C104" s="40" t="s">
        <v>111</v>
      </c>
      <c r="D104" s="40" t="s">
        <v>111</v>
      </c>
      <c r="E104" s="40" t="s">
        <v>111</v>
      </c>
      <c r="F104" s="54" t="s">
        <v>3310</v>
      </c>
      <c r="G104" s="54" t="s">
        <v>3311</v>
      </c>
      <c r="H104" s="40" t="s">
        <v>1147</v>
      </c>
      <c r="I104" s="40" t="s">
        <v>3215</v>
      </c>
      <c r="J104" s="21" t="s">
        <v>3312</v>
      </c>
      <c r="K104" s="40" t="s">
        <v>3334</v>
      </c>
      <c r="L104" s="40" t="s">
        <v>1826</v>
      </c>
      <c r="M104" s="40" t="s">
        <v>111</v>
      </c>
      <c r="N104" s="40" t="s">
        <v>1818</v>
      </c>
      <c r="O104" s="151" t="s">
        <v>1819</v>
      </c>
      <c r="P104" s="40" t="s">
        <v>111</v>
      </c>
      <c r="Q104" s="40" t="s">
        <v>1811</v>
      </c>
      <c r="R104" s="40" t="s">
        <v>1152</v>
      </c>
      <c r="S104" s="40" t="s">
        <v>3291</v>
      </c>
      <c r="T104" s="130" t="s">
        <v>3292</v>
      </c>
      <c r="U104" s="40" t="s">
        <v>2359</v>
      </c>
      <c r="V104" s="40">
        <v>1</v>
      </c>
      <c r="W104" s="40" t="s">
        <v>3240</v>
      </c>
      <c r="X104" s="40" t="s">
        <v>3293</v>
      </c>
      <c r="Y104" s="150"/>
      <c r="Z104" s="150">
        <v>12.6</v>
      </c>
      <c r="AA104" s="150">
        <v>12.6</v>
      </c>
      <c r="AB104" s="40" t="s">
        <v>1104</v>
      </c>
      <c r="AC104" s="202" t="s">
        <v>1880</v>
      </c>
      <c r="AD104" s="133" t="s">
        <v>1880</v>
      </c>
      <c r="AE104" s="40"/>
    </row>
    <row r="105" spans="1:31" s="46" customFormat="1" ht="27.95" customHeight="1" x14ac:dyDescent="0.15">
      <c r="A105" s="8">
        <v>103</v>
      </c>
      <c r="B105" s="40" t="s">
        <v>3280</v>
      </c>
      <c r="C105" s="40" t="s">
        <v>111</v>
      </c>
      <c r="D105" s="40" t="s">
        <v>111</v>
      </c>
      <c r="E105" s="40" t="s">
        <v>111</v>
      </c>
      <c r="F105" s="54" t="s">
        <v>3313</v>
      </c>
      <c r="G105" s="54" t="s">
        <v>3314</v>
      </c>
      <c r="H105" s="40" t="s">
        <v>1147</v>
      </c>
      <c r="I105" s="40" t="s">
        <v>3215</v>
      </c>
      <c r="J105" s="21" t="s">
        <v>3315</v>
      </c>
      <c r="K105" s="40" t="s">
        <v>1138</v>
      </c>
      <c r="L105" s="40" t="s">
        <v>1826</v>
      </c>
      <c r="M105" s="40" t="s">
        <v>111</v>
      </c>
      <c r="N105" s="40" t="s">
        <v>1818</v>
      </c>
      <c r="O105" s="151" t="s">
        <v>1819</v>
      </c>
      <c r="P105" s="40" t="s">
        <v>111</v>
      </c>
      <c r="Q105" s="40" t="s">
        <v>1811</v>
      </c>
      <c r="R105" s="40" t="s">
        <v>1152</v>
      </c>
      <c r="S105" s="40" t="s">
        <v>3291</v>
      </c>
      <c r="T105" s="130" t="s">
        <v>3292</v>
      </c>
      <c r="U105" s="40" t="s">
        <v>2359</v>
      </c>
      <c r="V105" s="40">
        <v>1</v>
      </c>
      <c r="W105" s="40" t="s">
        <v>3240</v>
      </c>
      <c r="X105" s="40" t="s">
        <v>3293</v>
      </c>
      <c r="Y105" s="150"/>
      <c r="Z105" s="150">
        <v>12.6</v>
      </c>
      <c r="AA105" s="150">
        <v>12.6</v>
      </c>
      <c r="AB105" s="40" t="s">
        <v>1104</v>
      </c>
      <c r="AC105" s="202" t="s">
        <v>1880</v>
      </c>
      <c r="AD105" s="133" t="s">
        <v>1880</v>
      </c>
      <c r="AE105" s="40"/>
    </row>
    <row r="106" spans="1:31" s="46" customFormat="1" ht="27.95" customHeight="1" x14ac:dyDescent="0.15">
      <c r="A106" s="8">
        <v>104</v>
      </c>
      <c r="B106" s="40" t="s">
        <v>3281</v>
      </c>
      <c r="C106" s="40" t="s">
        <v>111</v>
      </c>
      <c r="D106" s="40" t="s">
        <v>111</v>
      </c>
      <c r="E106" s="40" t="s">
        <v>111</v>
      </c>
      <c r="F106" s="54" t="s">
        <v>3316</v>
      </c>
      <c r="G106" s="54" t="s">
        <v>3317</v>
      </c>
      <c r="H106" s="40" t="s">
        <v>1147</v>
      </c>
      <c r="I106" s="40" t="s">
        <v>3215</v>
      </c>
      <c r="J106" s="21" t="s">
        <v>3318</v>
      </c>
      <c r="K106" s="40" t="s">
        <v>3335</v>
      </c>
      <c r="L106" s="40" t="s">
        <v>1826</v>
      </c>
      <c r="M106" s="40" t="s">
        <v>111</v>
      </c>
      <c r="N106" s="40" t="s">
        <v>1818</v>
      </c>
      <c r="O106" s="151" t="s">
        <v>1819</v>
      </c>
      <c r="P106" s="40" t="s">
        <v>111</v>
      </c>
      <c r="Q106" s="40" t="s">
        <v>1811</v>
      </c>
      <c r="R106" s="40" t="s">
        <v>1152</v>
      </c>
      <c r="S106" s="40" t="s">
        <v>3291</v>
      </c>
      <c r="T106" s="130" t="s">
        <v>3292</v>
      </c>
      <c r="U106" s="40" t="s">
        <v>2359</v>
      </c>
      <c r="V106" s="40">
        <v>1</v>
      </c>
      <c r="W106" s="40" t="s">
        <v>3238</v>
      </c>
      <c r="X106" s="40" t="s">
        <v>3295</v>
      </c>
      <c r="Y106" s="150"/>
      <c r="Z106" s="150">
        <v>12.6</v>
      </c>
      <c r="AA106" s="150">
        <v>12.6</v>
      </c>
      <c r="AB106" s="40" t="s">
        <v>1104</v>
      </c>
      <c r="AC106" s="202" t="s">
        <v>1880</v>
      </c>
      <c r="AD106" s="133" t="s">
        <v>1880</v>
      </c>
      <c r="AE106" s="40"/>
    </row>
    <row r="107" spans="1:31" s="46" customFormat="1" ht="27.95" customHeight="1" x14ac:dyDescent="0.15">
      <c r="A107" s="8">
        <v>105</v>
      </c>
      <c r="B107" s="40" t="s">
        <v>3282</v>
      </c>
      <c r="C107" s="40" t="s">
        <v>111</v>
      </c>
      <c r="D107" s="40" t="s">
        <v>111</v>
      </c>
      <c r="E107" s="40" t="s">
        <v>111</v>
      </c>
      <c r="F107" s="54" t="s">
        <v>3319</v>
      </c>
      <c r="G107" s="54" t="s">
        <v>3320</v>
      </c>
      <c r="H107" s="40" t="s">
        <v>1147</v>
      </c>
      <c r="I107" s="40" t="s">
        <v>3215</v>
      </c>
      <c r="J107" s="21" t="s">
        <v>3230</v>
      </c>
      <c r="K107" s="40" t="s">
        <v>1138</v>
      </c>
      <c r="L107" s="40" t="s">
        <v>1826</v>
      </c>
      <c r="M107" s="40" t="s">
        <v>111</v>
      </c>
      <c r="N107" s="40" t="s">
        <v>1818</v>
      </c>
      <c r="O107" s="151" t="s">
        <v>1819</v>
      </c>
      <c r="P107" s="40" t="s">
        <v>111</v>
      </c>
      <c r="Q107" s="40" t="s">
        <v>1811</v>
      </c>
      <c r="R107" s="40" t="s">
        <v>1152</v>
      </c>
      <c r="S107" s="40" t="s">
        <v>3291</v>
      </c>
      <c r="T107" s="130" t="s">
        <v>3292</v>
      </c>
      <c r="U107" s="40" t="s">
        <v>2359</v>
      </c>
      <c r="V107" s="40">
        <v>1</v>
      </c>
      <c r="W107" s="40" t="s">
        <v>3240</v>
      </c>
      <c r="X107" s="40" t="s">
        <v>3293</v>
      </c>
      <c r="Y107" s="150"/>
      <c r="Z107" s="150">
        <v>12.6</v>
      </c>
      <c r="AA107" s="150">
        <v>12.6</v>
      </c>
      <c r="AB107" s="40" t="s">
        <v>1104</v>
      </c>
      <c r="AC107" s="202" t="s">
        <v>1880</v>
      </c>
      <c r="AD107" s="133" t="s">
        <v>1880</v>
      </c>
      <c r="AE107" s="40"/>
    </row>
    <row r="108" spans="1:31" s="46" customFormat="1" ht="27.95" customHeight="1" x14ac:dyDescent="0.15">
      <c r="A108" s="8">
        <v>106</v>
      </c>
      <c r="B108" s="40" t="s">
        <v>3283</v>
      </c>
      <c r="C108" s="40" t="s">
        <v>111</v>
      </c>
      <c r="D108" s="40" t="s">
        <v>111</v>
      </c>
      <c r="E108" s="40" t="s">
        <v>111</v>
      </c>
      <c r="F108" s="54" t="s">
        <v>3321</v>
      </c>
      <c r="G108" s="54" t="s">
        <v>3322</v>
      </c>
      <c r="H108" s="40" t="s">
        <v>1147</v>
      </c>
      <c r="I108" s="40" t="s">
        <v>3215</v>
      </c>
      <c r="J108" s="21" t="s">
        <v>3323</v>
      </c>
      <c r="K108" s="40" t="s">
        <v>1138</v>
      </c>
      <c r="L108" s="40" t="s">
        <v>1826</v>
      </c>
      <c r="M108" s="40" t="s">
        <v>111</v>
      </c>
      <c r="N108" s="40" t="s">
        <v>1818</v>
      </c>
      <c r="O108" s="151" t="s">
        <v>1819</v>
      </c>
      <c r="P108" s="40" t="s">
        <v>111</v>
      </c>
      <c r="Q108" s="40" t="s">
        <v>1811</v>
      </c>
      <c r="R108" s="40" t="s">
        <v>1152</v>
      </c>
      <c r="S108" s="40" t="s">
        <v>3291</v>
      </c>
      <c r="T108" s="130" t="s">
        <v>3292</v>
      </c>
      <c r="U108" s="40" t="s">
        <v>2359</v>
      </c>
      <c r="V108" s="40">
        <v>1</v>
      </c>
      <c r="W108" s="40" t="s">
        <v>3240</v>
      </c>
      <c r="X108" s="40" t="s">
        <v>3293</v>
      </c>
      <c r="Y108" s="150"/>
      <c r="Z108" s="150">
        <v>12.6</v>
      </c>
      <c r="AA108" s="150">
        <v>12.6</v>
      </c>
      <c r="AB108" s="40" t="s">
        <v>1104</v>
      </c>
      <c r="AC108" s="202" t="s">
        <v>1880</v>
      </c>
      <c r="AD108" s="133" t="s">
        <v>1880</v>
      </c>
      <c r="AE108" s="40"/>
    </row>
    <row r="109" spans="1:31" s="46" customFormat="1" ht="27.95" customHeight="1" x14ac:dyDescent="0.15">
      <c r="A109" s="8">
        <v>107</v>
      </c>
      <c r="B109" s="40" t="s">
        <v>3284</v>
      </c>
      <c r="C109" s="40" t="s">
        <v>111</v>
      </c>
      <c r="D109" s="40" t="s">
        <v>111</v>
      </c>
      <c r="E109" s="40" t="s">
        <v>111</v>
      </c>
      <c r="F109" s="54" t="s">
        <v>3221</v>
      </c>
      <c r="G109" s="54" t="s">
        <v>3324</v>
      </c>
      <c r="H109" s="40" t="s">
        <v>1147</v>
      </c>
      <c r="I109" s="40" t="s">
        <v>3215</v>
      </c>
      <c r="J109" s="21" t="s">
        <v>3222</v>
      </c>
      <c r="K109" s="40" t="s">
        <v>1138</v>
      </c>
      <c r="L109" s="40" t="s">
        <v>1826</v>
      </c>
      <c r="M109" s="40" t="s">
        <v>111</v>
      </c>
      <c r="N109" s="40" t="s">
        <v>1818</v>
      </c>
      <c r="O109" s="151" t="s">
        <v>1819</v>
      </c>
      <c r="P109" s="40" t="s">
        <v>111</v>
      </c>
      <c r="Q109" s="40" t="s">
        <v>1811</v>
      </c>
      <c r="R109" s="40" t="s">
        <v>1152</v>
      </c>
      <c r="S109" s="40" t="s">
        <v>3291</v>
      </c>
      <c r="T109" s="130" t="s">
        <v>3292</v>
      </c>
      <c r="U109" s="40" t="s">
        <v>2359</v>
      </c>
      <c r="V109" s="40">
        <v>1</v>
      </c>
      <c r="W109" s="40" t="s">
        <v>3240</v>
      </c>
      <c r="X109" s="40" t="s">
        <v>3293</v>
      </c>
      <c r="Y109" s="150"/>
      <c r="Z109" s="150">
        <v>12.6</v>
      </c>
      <c r="AA109" s="150">
        <v>12.6</v>
      </c>
      <c r="AB109" s="40" t="s">
        <v>1104</v>
      </c>
      <c r="AC109" s="202" t="s">
        <v>1880</v>
      </c>
      <c r="AD109" s="133" t="s">
        <v>1880</v>
      </c>
      <c r="AE109" s="40"/>
    </row>
    <row r="110" spans="1:31" s="46" customFormat="1" ht="27.95" customHeight="1" x14ac:dyDescent="0.15">
      <c r="A110" s="8">
        <v>108</v>
      </c>
      <c r="B110" s="40" t="s">
        <v>3285</v>
      </c>
      <c r="C110" s="40" t="s">
        <v>111</v>
      </c>
      <c r="D110" s="40" t="s">
        <v>111</v>
      </c>
      <c r="E110" s="40" t="s">
        <v>111</v>
      </c>
      <c r="F110" s="54" t="s">
        <v>3224</v>
      </c>
      <c r="G110" s="54" t="s">
        <v>3325</v>
      </c>
      <c r="H110" s="40" t="s">
        <v>1147</v>
      </c>
      <c r="I110" s="40" t="s">
        <v>3215</v>
      </c>
      <c r="J110" s="21" t="s">
        <v>3225</v>
      </c>
      <c r="K110" s="40" t="s">
        <v>1138</v>
      </c>
      <c r="L110" s="40" t="s">
        <v>1826</v>
      </c>
      <c r="M110" s="40" t="s">
        <v>111</v>
      </c>
      <c r="N110" s="40" t="s">
        <v>1818</v>
      </c>
      <c r="O110" s="151" t="s">
        <v>1819</v>
      </c>
      <c r="P110" s="40" t="s">
        <v>111</v>
      </c>
      <c r="Q110" s="40" t="s">
        <v>1811</v>
      </c>
      <c r="R110" s="40" t="s">
        <v>1152</v>
      </c>
      <c r="S110" s="40" t="s">
        <v>3291</v>
      </c>
      <c r="T110" s="130" t="s">
        <v>3292</v>
      </c>
      <c r="U110" s="40" t="s">
        <v>2359</v>
      </c>
      <c r="V110" s="40">
        <v>1</v>
      </c>
      <c r="W110" s="40" t="s">
        <v>3240</v>
      </c>
      <c r="X110" s="40" t="s">
        <v>3293</v>
      </c>
      <c r="Y110" s="150"/>
      <c r="Z110" s="150">
        <v>12.6</v>
      </c>
      <c r="AA110" s="150">
        <v>12.6</v>
      </c>
      <c r="AB110" s="40" t="s">
        <v>1104</v>
      </c>
      <c r="AC110" s="202" t="s">
        <v>1880</v>
      </c>
      <c r="AD110" s="133" t="s">
        <v>1880</v>
      </c>
      <c r="AE110" s="40"/>
    </row>
    <row r="111" spans="1:31" s="46" customFormat="1" ht="27.95" customHeight="1" x14ac:dyDescent="0.15">
      <c r="A111" s="8">
        <v>109</v>
      </c>
      <c r="B111" s="40" t="s">
        <v>3286</v>
      </c>
      <c r="C111" s="40" t="s">
        <v>111</v>
      </c>
      <c r="D111" s="40" t="s">
        <v>111</v>
      </c>
      <c r="E111" s="40" t="s">
        <v>111</v>
      </c>
      <c r="F111" s="54" t="s">
        <v>3326</v>
      </c>
      <c r="G111" s="54" t="s">
        <v>3327</v>
      </c>
      <c r="H111" s="40" t="s">
        <v>1147</v>
      </c>
      <c r="I111" s="40" t="s">
        <v>3215</v>
      </c>
      <c r="J111" s="21" t="s">
        <v>3328</v>
      </c>
      <c r="K111" s="40" t="s">
        <v>1138</v>
      </c>
      <c r="L111" s="40" t="s">
        <v>1826</v>
      </c>
      <c r="M111" s="40" t="s">
        <v>111</v>
      </c>
      <c r="N111" s="40" t="s">
        <v>1818</v>
      </c>
      <c r="O111" s="151" t="s">
        <v>1819</v>
      </c>
      <c r="P111" s="40" t="s">
        <v>111</v>
      </c>
      <c r="Q111" s="40" t="s">
        <v>1811</v>
      </c>
      <c r="R111" s="40" t="s">
        <v>1152</v>
      </c>
      <c r="S111" s="40" t="s">
        <v>3291</v>
      </c>
      <c r="T111" s="130" t="s">
        <v>3292</v>
      </c>
      <c r="U111" s="40" t="s">
        <v>2359</v>
      </c>
      <c r="V111" s="40">
        <v>1</v>
      </c>
      <c r="W111" s="40" t="s">
        <v>3238</v>
      </c>
      <c r="X111" s="40" t="s">
        <v>3295</v>
      </c>
      <c r="Y111" s="150"/>
      <c r="Z111" s="150">
        <v>12.6</v>
      </c>
      <c r="AA111" s="150">
        <v>12.6</v>
      </c>
      <c r="AB111" s="40" t="s">
        <v>1104</v>
      </c>
      <c r="AC111" s="202" t="s">
        <v>1880</v>
      </c>
      <c r="AD111" s="133" t="s">
        <v>1880</v>
      </c>
      <c r="AE111" s="40"/>
    </row>
    <row r="112" spans="1:31" s="46" customFormat="1" ht="27.95" customHeight="1" x14ac:dyDescent="0.15">
      <c r="A112" s="8">
        <v>110</v>
      </c>
      <c r="B112" s="40" t="s">
        <v>3287</v>
      </c>
      <c r="C112" s="40" t="s">
        <v>111</v>
      </c>
      <c r="D112" s="40" t="s">
        <v>111</v>
      </c>
      <c r="E112" s="40" t="s">
        <v>111</v>
      </c>
      <c r="F112" s="54" t="s">
        <v>3329</v>
      </c>
      <c r="G112" s="54" t="s">
        <v>3330</v>
      </c>
      <c r="H112" s="40" t="s">
        <v>1147</v>
      </c>
      <c r="I112" s="40" t="s">
        <v>3215</v>
      </c>
      <c r="J112" s="21" t="s">
        <v>3331</v>
      </c>
      <c r="K112" s="9" t="s">
        <v>3236</v>
      </c>
      <c r="L112" s="40" t="s">
        <v>1826</v>
      </c>
      <c r="M112" s="40" t="s">
        <v>111</v>
      </c>
      <c r="N112" s="40" t="s">
        <v>1818</v>
      </c>
      <c r="O112" s="151" t="s">
        <v>1819</v>
      </c>
      <c r="P112" s="40" t="s">
        <v>111</v>
      </c>
      <c r="Q112" s="40" t="s">
        <v>1811</v>
      </c>
      <c r="R112" s="40" t="s">
        <v>1152</v>
      </c>
      <c r="S112" s="40" t="s">
        <v>3291</v>
      </c>
      <c r="T112" s="130" t="s">
        <v>3292</v>
      </c>
      <c r="U112" s="40" t="s">
        <v>2359</v>
      </c>
      <c r="V112" s="40">
        <v>1</v>
      </c>
      <c r="W112" s="40" t="s">
        <v>3240</v>
      </c>
      <c r="X112" s="40" t="s">
        <v>3293</v>
      </c>
      <c r="Y112" s="150"/>
      <c r="Z112" s="150">
        <v>12.6</v>
      </c>
      <c r="AA112" s="150">
        <v>12.6</v>
      </c>
      <c r="AB112" s="40" t="s">
        <v>1104</v>
      </c>
      <c r="AC112" s="202" t="s">
        <v>1880</v>
      </c>
      <c r="AD112" s="133" t="s">
        <v>1880</v>
      </c>
      <c r="AE112" s="40"/>
    </row>
    <row r="113" spans="1:31" s="46" customFormat="1" ht="27.95" customHeight="1" x14ac:dyDescent="0.15">
      <c r="A113" s="8">
        <v>111</v>
      </c>
      <c r="B113" s="40" t="s">
        <v>3349</v>
      </c>
      <c r="C113" s="40" t="s">
        <v>111</v>
      </c>
      <c r="D113" s="40" t="s">
        <v>111</v>
      </c>
      <c r="E113" s="40" t="s">
        <v>111</v>
      </c>
      <c r="F113" s="151" t="s">
        <v>1792</v>
      </c>
      <c r="G113" s="54" t="s">
        <v>3344</v>
      </c>
      <c r="H113" s="40" t="s">
        <v>1881</v>
      </c>
      <c r="I113" s="40" t="s">
        <v>1146</v>
      </c>
      <c r="J113" s="21" t="s">
        <v>1794</v>
      </c>
      <c r="K113" s="40" t="s">
        <v>1795</v>
      </c>
      <c r="L113" s="40" t="s">
        <v>1826</v>
      </c>
      <c r="M113" s="40" t="s">
        <v>1860</v>
      </c>
      <c r="N113" s="40" t="s">
        <v>1818</v>
      </c>
      <c r="O113" s="151" t="s">
        <v>2423</v>
      </c>
      <c r="P113" s="40" t="s">
        <v>111</v>
      </c>
      <c r="Q113" s="153" t="s">
        <v>1151</v>
      </c>
      <c r="R113" s="40" t="s">
        <v>1152</v>
      </c>
      <c r="S113" s="40" t="s">
        <v>3345</v>
      </c>
      <c r="T113" s="130" t="s">
        <v>3346</v>
      </c>
      <c r="U113" s="40" t="s">
        <v>2359</v>
      </c>
      <c r="V113" s="40">
        <v>2</v>
      </c>
      <c r="W113" s="40" t="s">
        <v>3347</v>
      </c>
      <c r="X113" s="40" t="s">
        <v>3348</v>
      </c>
      <c r="Y113" s="150"/>
      <c r="Z113" s="150">
        <v>30</v>
      </c>
      <c r="AA113" s="150">
        <v>30</v>
      </c>
      <c r="AB113" s="40" t="s">
        <v>1104</v>
      </c>
      <c r="AC113" s="202" t="s">
        <v>1880</v>
      </c>
      <c r="AD113" s="133" t="s">
        <v>1880</v>
      </c>
      <c r="AE113" s="40"/>
    </row>
    <row r="114" spans="1:31" s="46" customFormat="1" ht="27.95" customHeight="1" x14ac:dyDescent="0.15">
      <c r="A114" s="8">
        <v>112</v>
      </c>
      <c r="B114" s="40" t="s">
        <v>3496</v>
      </c>
      <c r="C114" s="40" t="s">
        <v>111</v>
      </c>
      <c r="D114" s="40" t="s">
        <v>111</v>
      </c>
      <c r="E114" s="40" t="s">
        <v>111</v>
      </c>
      <c r="F114" s="151" t="s">
        <v>1145</v>
      </c>
      <c r="G114" s="54" t="s">
        <v>3499</v>
      </c>
      <c r="H114" s="40" t="s">
        <v>1147</v>
      </c>
      <c r="I114" s="40" t="s">
        <v>1146</v>
      </c>
      <c r="J114" s="21" t="s">
        <v>1148</v>
      </c>
      <c r="K114" s="40" t="s">
        <v>1149</v>
      </c>
      <c r="L114" s="40" t="s">
        <v>1826</v>
      </c>
      <c r="M114" s="40" t="s">
        <v>1860</v>
      </c>
      <c r="N114" s="40" t="s">
        <v>1818</v>
      </c>
      <c r="O114" s="151" t="s">
        <v>2423</v>
      </c>
      <c r="P114" s="40" t="s">
        <v>111</v>
      </c>
      <c r="Q114" s="153" t="s">
        <v>1151</v>
      </c>
      <c r="R114" s="40" t="s">
        <v>1152</v>
      </c>
      <c r="S114" s="40" t="s">
        <v>3500</v>
      </c>
      <c r="T114" s="130" t="s">
        <v>3346</v>
      </c>
      <c r="U114" s="40" t="s">
        <v>2359</v>
      </c>
      <c r="V114" s="40">
        <v>2</v>
      </c>
      <c r="W114" s="40" t="s">
        <v>3501</v>
      </c>
      <c r="X114" s="40" t="s">
        <v>3502</v>
      </c>
      <c r="Y114" s="150"/>
      <c r="Z114" s="150">
        <v>30</v>
      </c>
      <c r="AA114" s="150">
        <v>30</v>
      </c>
      <c r="AB114" s="40" t="s">
        <v>1104</v>
      </c>
      <c r="AC114" s="202" t="s">
        <v>1880</v>
      </c>
      <c r="AD114" s="133" t="s">
        <v>1880</v>
      </c>
      <c r="AE114" s="40"/>
    </row>
    <row r="115" spans="1:31" s="46" customFormat="1" ht="27.95" customHeight="1" x14ac:dyDescent="0.15">
      <c r="A115" s="8">
        <v>113</v>
      </c>
      <c r="B115" s="40" t="s">
        <v>3497</v>
      </c>
      <c r="C115" s="40" t="s">
        <v>111</v>
      </c>
      <c r="D115" s="40" t="s">
        <v>111</v>
      </c>
      <c r="E115" s="40" t="s">
        <v>111</v>
      </c>
      <c r="F115" s="151" t="s">
        <v>3498</v>
      </c>
      <c r="G115" s="54" t="s">
        <v>3503</v>
      </c>
      <c r="H115" s="40" t="s">
        <v>1147</v>
      </c>
      <c r="I115" s="40" t="s">
        <v>1146</v>
      </c>
      <c r="J115" s="21" t="s">
        <v>3505</v>
      </c>
      <c r="K115" s="40" t="s">
        <v>3506</v>
      </c>
      <c r="L115" s="40" t="s">
        <v>1826</v>
      </c>
      <c r="M115" s="40" t="s">
        <v>3504</v>
      </c>
      <c r="N115" s="40" t="s">
        <v>1818</v>
      </c>
      <c r="O115" s="151" t="s">
        <v>2423</v>
      </c>
      <c r="P115" s="40" t="s">
        <v>111</v>
      </c>
      <c r="Q115" s="153" t="s">
        <v>1151</v>
      </c>
      <c r="R115" s="40" t="s">
        <v>1152</v>
      </c>
      <c r="S115" s="40" t="s">
        <v>3500</v>
      </c>
      <c r="T115" s="130" t="s">
        <v>3346</v>
      </c>
      <c r="U115" s="40" t="s">
        <v>2359</v>
      </c>
      <c r="V115" s="40">
        <v>2</v>
      </c>
      <c r="W115" s="40" t="s">
        <v>3501</v>
      </c>
      <c r="X115" s="40" t="s">
        <v>3502</v>
      </c>
      <c r="Y115" s="150"/>
      <c r="Z115" s="150">
        <v>30</v>
      </c>
      <c r="AA115" s="150">
        <v>30</v>
      </c>
      <c r="AB115" s="40" t="s">
        <v>1104</v>
      </c>
      <c r="AC115" s="202" t="s">
        <v>1880</v>
      </c>
      <c r="AD115" s="133" t="s">
        <v>1880</v>
      </c>
      <c r="AE115" s="40"/>
    </row>
    <row r="116" spans="1:31" s="46" customFormat="1" ht="27.95" customHeight="1" x14ac:dyDescent="0.15">
      <c r="A116" s="8">
        <v>114</v>
      </c>
      <c r="B116" s="40" t="s">
        <v>3515</v>
      </c>
      <c r="C116" s="9" t="s">
        <v>3519</v>
      </c>
      <c r="D116" s="40" t="s">
        <v>111</v>
      </c>
      <c r="E116" s="40" t="s">
        <v>111</v>
      </c>
      <c r="F116" s="151" t="s">
        <v>2481</v>
      </c>
      <c r="G116" s="54" t="s">
        <v>3517</v>
      </c>
      <c r="H116" s="40" t="s">
        <v>1147</v>
      </c>
      <c r="I116" s="40" t="s">
        <v>1789</v>
      </c>
      <c r="J116" s="9" t="s">
        <v>3521</v>
      </c>
      <c r="K116" s="40" t="s">
        <v>2485</v>
      </c>
      <c r="L116" s="40" t="s">
        <v>1826</v>
      </c>
      <c r="M116" s="40" t="s">
        <v>111</v>
      </c>
      <c r="N116" s="28" t="s">
        <v>445</v>
      </c>
      <c r="O116" s="54" t="s">
        <v>3523</v>
      </c>
      <c r="P116" s="40" t="s">
        <v>111</v>
      </c>
      <c r="Q116" s="40" t="s">
        <v>1811</v>
      </c>
      <c r="R116" s="40" t="s">
        <v>2072</v>
      </c>
      <c r="S116" s="40" t="s">
        <v>3524</v>
      </c>
      <c r="T116" s="130" t="s">
        <v>3346</v>
      </c>
      <c r="U116" s="40" t="s">
        <v>1800</v>
      </c>
      <c r="V116" s="10">
        <v>1</v>
      </c>
      <c r="W116" s="24" t="s">
        <v>111</v>
      </c>
      <c r="X116" s="24" t="s">
        <v>111</v>
      </c>
      <c r="Y116" s="150">
        <v>5.25</v>
      </c>
      <c r="Z116" s="150"/>
      <c r="AA116" s="150">
        <v>5.25</v>
      </c>
      <c r="AB116" s="40" t="s">
        <v>1104</v>
      </c>
      <c r="AC116" s="71" t="s">
        <v>3525</v>
      </c>
      <c r="AD116" s="133" t="s">
        <v>1880</v>
      </c>
      <c r="AE116" s="40"/>
    </row>
    <row r="117" spans="1:31" s="46" customFormat="1" ht="27.95" customHeight="1" x14ac:dyDescent="0.15">
      <c r="A117" s="8">
        <v>115</v>
      </c>
      <c r="B117" s="40" t="s">
        <v>3516</v>
      </c>
      <c r="C117" s="9" t="s">
        <v>3520</v>
      </c>
      <c r="D117" s="40" t="s">
        <v>111</v>
      </c>
      <c r="E117" s="40" t="s">
        <v>111</v>
      </c>
      <c r="F117" s="151" t="s">
        <v>2492</v>
      </c>
      <c r="G117" s="54" t="s">
        <v>3518</v>
      </c>
      <c r="H117" s="40" t="s">
        <v>1147</v>
      </c>
      <c r="I117" s="40" t="s">
        <v>1789</v>
      </c>
      <c r="J117" s="9" t="s">
        <v>3522</v>
      </c>
      <c r="K117" s="40" t="s">
        <v>2495</v>
      </c>
      <c r="L117" s="40" t="s">
        <v>1826</v>
      </c>
      <c r="M117" s="40" t="s">
        <v>111</v>
      </c>
      <c r="N117" s="28" t="s">
        <v>445</v>
      </c>
      <c r="O117" s="54" t="s">
        <v>3523</v>
      </c>
      <c r="P117" s="40" t="s">
        <v>111</v>
      </c>
      <c r="Q117" s="40" t="s">
        <v>1811</v>
      </c>
      <c r="R117" s="40" t="s">
        <v>2072</v>
      </c>
      <c r="S117" s="40" t="s">
        <v>3524</v>
      </c>
      <c r="T117" s="130" t="s">
        <v>3346</v>
      </c>
      <c r="U117" s="40" t="s">
        <v>1800</v>
      </c>
      <c r="V117" s="10">
        <v>1</v>
      </c>
      <c r="W117" s="24" t="s">
        <v>111</v>
      </c>
      <c r="X117" s="24" t="s">
        <v>111</v>
      </c>
      <c r="Y117" s="150">
        <v>5.25</v>
      </c>
      <c r="Z117" s="150"/>
      <c r="AA117" s="150">
        <v>5.25</v>
      </c>
      <c r="AB117" s="40" t="s">
        <v>1104</v>
      </c>
      <c r="AC117" s="71" t="s">
        <v>3525</v>
      </c>
      <c r="AD117" s="133" t="s">
        <v>1880</v>
      </c>
      <c r="AE117" s="40"/>
    </row>
    <row r="118" spans="1:31" s="46" customFormat="1" ht="27.95" customHeight="1" x14ac:dyDescent="0.15">
      <c r="A118" s="8">
        <v>116</v>
      </c>
      <c r="B118" s="40" t="s">
        <v>3527</v>
      </c>
      <c r="C118" s="9" t="s">
        <v>3570</v>
      </c>
      <c r="D118" s="40" t="s">
        <v>111</v>
      </c>
      <c r="E118" s="40" t="s">
        <v>111</v>
      </c>
      <c r="F118" s="151" t="s">
        <v>3528</v>
      </c>
      <c r="G118" s="54" t="s">
        <v>3529</v>
      </c>
      <c r="H118" s="40" t="s">
        <v>1881</v>
      </c>
      <c r="I118" s="40" t="s">
        <v>1146</v>
      </c>
      <c r="J118" s="21" t="s">
        <v>3530</v>
      </c>
      <c r="K118" s="40" t="s">
        <v>3531</v>
      </c>
      <c r="L118" s="40" t="s">
        <v>1826</v>
      </c>
      <c r="M118" s="40" t="s">
        <v>3532</v>
      </c>
      <c r="N118" s="40" t="s">
        <v>1818</v>
      </c>
      <c r="O118" s="151" t="s">
        <v>2423</v>
      </c>
      <c r="P118" s="40" t="s">
        <v>111</v>
      </c>
      <c r="Q118" s="82" t="s">
        <v>1151</v>
      </c>
      <c r="R118" s="40" t="s">
        <v>1152</v>
      </c>
      <c r="S118" s="40" t="s">
        <v>3533</v>
      </c>
      <c r="T118" s="130" t="s">
        <v>3534</v>
      </c>
      <c r="U118" s="40" t="s">
        <v>2359</v>
      </c>
      <c r="V118" s="40">
        <v>2</v>
      </c>
      <c r="W118" s="40" t="s">
        <v>3501</v>
      </c>
      <c r="X118" s="40" t="s">
        <v>3502</v>
      </c>
      <c r="Y118" s="150"/>
      <c r="Z118" s="150">
        <v>30</v>
      </c>
      <c r="AA118" s="150">
        <v>30</v>
      </c>
      <c r="AB118" s="40" t="s">
        <v>1104</v>
      </c>
      <c r="AC118" s="202" t="s">
        <v>1880</v>
      </c>
      <c r="AD118" s="133" t="s">
        <v>1880</v>
      </c>
      <c r="AE118" s="40"/>
    </row>
    <row r="119" spans="1:31" s="46" customFormat="1" ht="27.95" customHeight="1" x14ac:dyDescent="0.15">
      <c r="A119" s="8">
        <v>117</v>
      </c>
      <c r="B119" s="40" t="s">
        <v>3558</v>
      </c>
      <c r="C119" s="40" t="s">
        <v>1880</v>
      </c>
      <c r="D119" s="40" t="s">
        <v>111</v>
      </c>
      <c r="E119" s="40" t="s">
        <v>111</v>
      </c>
      <c r="F119" s="151" t="s">
        <v>3539</v>
      </c>
      <c r="G119" s="151" t="s">
        <v>3541</v>
      </c>
      <c r="H119" s="40" t="s">
        <v>1147</v>
      </c>
      <c r="I119" s="40" t="s">
        <v>2533</v>
      </c>
      <c r="J119" s="21" t="s">
        <v>3540</v>
      </c>
      <c r="K119" s="40" t="s">
        <v>1138</v>
      </c>
      <c r="L119" s="40" t="s">
        <v>1826</v>
      </c>
      <c r="M119" s="40" t="s">
        <v>111</v>
      </c>
      <c r="N119" s="40" t="s">
        <v>1818</v>
      </c>
      <c r="O119" s="151" t="s">
        <v>1819</v>
      </c>
      <c r="P119" s="40" t="s">
        <v>111</v>
      </c>
      <c r="Q119" s="40" t="s">
        <v>1151</v>
      </c>
      <c r="R119" s="40" t="s">
        <v>1152</v>
      </c>
      <c r="S119" s="40" t="s">
        <v>3542</v>
      </c>
      <c r="T119" s="130" t="s">
        <v>2349</v>
      </c>
      <c r="U119" s="40" t="s">
        <v>2359</v>
      </c>
      <c r="V119" s="40">
        <v>1</v>
      </c>
      <c r="W119" s="40" t="s">
        <v>1842</v>
      </c>
      <c r="X119" s="40" t="s">
        <v>1843</v>
      </c>
      <c r="Y119" s="150"/>
      <c r="Z119" s="150">
        <v>12</v>
      </c>
      <c r="AA119" s="150">
        <v>12</v>
      </c>
      <c r="AB119" s="40" t="s">
        <v>1104</v>
      </c>
      <c r="AC119" s="202" t="s">
        <v>1880</v>
      </c>
      <c r="AD119" s="133" t="s">
        <v>1880</v>
      </c>
      <c r="AE119" s="40"/>
    </row>
    <row r="120" spans="1:31" s="46" customFormat="1" ht="27.95" customHeight="1" x14ac:dyDescent="0.15">
      <c r="A120" s="8">
        <v>118</v>
      </c>
      <c r="B120" s="40" t="s">
        <v>3559</v>
      </c>
      <c r="C120" s="40" t="s">
        <v>111</v>
      </c>
      <c r="D120" s="40" t="s">
        <v>111</v>
      </c>
      <c r="E120" s="40" t="s">
        <v>111</v>
      </c>
      <c r="F120" s="54" t="s">
        <v>3543</v>
      </c>
      <c r="G120" s="151" t="s">
        <v>3546</v>
      </c>
      <c r="H120" s="40" t="s">
        <v>1147</v>
      </c>
      <c r="I120" s="40" t="s">
        <v>2533</v>
      </c>
      <c r="J120" s="21" t="s">
        <v>3544</v>
      </c>
      <c r="K120" s="40" t="s">
        <v>3545</v>
      </c>
      <c r="L120" s="40" t="s">
        <v>1826</v>
      </c>
      <c r="M120" s="40" t="s">
        <v>111</v>
      </c>
      <c r="N120" s="40" t="s">
        <v>1818</v>
      </c>
      <c r="O120" s="151" t="s">
        <v>1819</v>
      </c>
      <c r="P120" s="40" t="s">
        <v>111</v>
      </c>
      <c r="Q120" s="40" t="s">
        <v>1151</v>
      </c>
      <c r="R120" s="40" t="s">
        <v>1152</v>
      </c>
      <c r="S120" s="40" t="s">
        <v>3542</v>
      </c>
      <c r="T120" s="130" t="s">
        <v>2349</v>
      </c>
      <c r="U120" s="40" t="s">
        <v>2359</v>
      </c>
      <c r="V120" s="40">
        <v>1</v>
      </c>
      <c r="W120" s="40" t="s">
        <v>1842</v>
      </c>
      <c r="X120" s="40" t="s">
        <v>1843</v>
      </c>
      <c r="Y120" s="150"/>
      <c r="Z120" s="150">
        <v>12</v>
      </c>
      <c r="AA120" s="150">
        <v>12</v>
      </c>
      <c r="AB120" s="40" t="s">
        <v>1104</v>
      </c>
      <c r="AC120" s="202" t="s">
        <v>1880</v>
      </c>
      <c r="AD120" s="133" t="s">
        <v>1880</v>
      </c>
      <c r="AE120" s="40"/>
    </row>
    <row r="121" spans="1:31" s="46" customFormat="1" ht="27.95" customHeight="1" x14ac:dyDescent="0.15">
      <c r="A121" s="8">
        <v>119</v>
      </c>
      <c r="B121" s="40" t="s">
        <v>3560</v>
      </c>
      <c r="C121" s="40" t="s">
        <v>111</v>
      </c>
      <c r="D121" s="40" t="s">
        <v>111</v>
      </c>
      <c r="E121" s="40" t="s">
        <v>111</v>
      </c>
      <c r="F121" s="151" t="s">
        <v>3547</v>
      </c>
      <c r="G121" s="54" t="s">
        <v>3548</v>
      </c>
      <c r="H121" s="40" t="s">
        <v>1147</v>
      </c>
      <c r="I121" s="40" t="s">
        <v>2533</v>
      </c>
      <c r="J121" s="21" t="s">
        <v>3549</v>
      </c>
      <c r="K121" s="40" t="s">
        <v>3550</v>
      </c>
      <c r="L121" s="40" t="s">
        <v>1826</v>
      </c>
      <c r="M121" s="40" t="s">
        <v>111</v>
      </c>
      <c r="N121" s="40" t="s">
        <v>1150</v>
      </c>
      <c r="O121" s="54" t="s">
        <v>3523</v>
      </c>
      <c r="P121" s="40" t="s">
        <v>111</v>
      </c>
      <c r="Q121" s="82" t="s">
        <v>1151</v>
      </c>
      <c r="R121" s="82" t="s">
        <v>1152</v>
      </c>
      <c r="S121" s="40" t="s">
        <v>3542</v>
      </c>
      <c r="T121" s="130" t="s">
        <v>3346</v>
      </c>
      <c r="U121" s="40" t="s">
        <v>2359</v>
      </c>
      <c r="V121" s="40">
        <v>1</v>
      </c>
      <c r="W121" s="24" t="s">
        <v>111</v>
      </c>
      <c r="X121" s="24" t="s">
        <v>111</v>
      </c>
      <c r="Y121" s="150">
        <v>9</v>
      </c>
      <c r="Z121" s="150"/>
      <c r="AA121" s="150">
        <v>9</v>
      </c>
      <c r="AB121" s="40" t="s">
        <v>1104</v>
      </c>
      <c r="AC121" s="133" t="s">
        <v>3601</v>
      </c>
      <c r="AD121" s="133" t="s">
        <v>1880</v>
      </c>
      <c r="AE121" s="40"/>
    </row>
    <row r="122" spans="1:31" s="46" customFormat="1" ht="27.95" customHeight="1" x14ac:dyDescent="0.15">
      <c r="A122" s="8">
        <v>120</v>
      </c>
      <c r="B122" s="40" t="s">
        <v>3561</v>
      </c>
      <c r="C122" s="40" t="s">
        <v>3566</v>
      </c>
      <c r="D122" s="40" t="s">
        <v>111</v>
      </c>
      <c r="E122" s="40" t="s">
        <v>111</v>
      </c>
      <c r="F122" s="54" t="s">
        <v>3543</v>
      </c>
      <c r="G122" s="54" t="s">
        <v>3551</v>
      </c>
      <c r="H122" s="40" t="s">
        <v>1147</v>
      </c>
      <c r="I122" s="40" t="s">
        <v>2533</v>
      </c>
      <c r="J122" s="21" t="s">
        <v>3544</v>
      </c>
      <c r="K122" s="40" t="s">
        <v>3545</v>
      </c>
      <c r="L122" s="40" t="s">
        <v>1826</v>
      </c>
      <c r="M122" s="40" t="s">
        <v>111</v>
      </c>
      <c r="N122" s="40" t="s">
        <v>1150</v>
      </c>
      <c r="O122" s="54" t="s">
        <v>3523</v>
      </c>
      <c r="P122" s="40" t="s">
        <v>111</v>
      </c>
      <c r="Q122" s="82" t="s">
        <v>1151</v>
      </c>
      <c r="R122" s="82" t="s">
        <v>1152</v>
      </c>
      <c r="S122" s="40" t="s">
        <v>3542</v>
      </c>
      <c r="T122" s="130" t="s">
        <v>3346</v>
      </c>
      <c r="U122" s="40" t="s">
        <v>2359</v>
      </c>
      <c r="V122" s="40">
        <v>1</v>
      </c>
      <c r="W122" s="24" t="s">
        <v>111</v>
      </c>
      <c r="X122" s="24" t="s">
        <v>111</v>
      </c>
      <c r="Y122" s="150">
        <v>9</v>
      </c>
      <c r="Z122" s="150"/>
      <c r="AA122" s="150">
        <v>9</v>
      </c>
      <c r="AB122" s="40" t="s">
        <v>1104</v>
      </c>
      <c r="AC122" s="202" t="s">
        <v>1880</v>
      </c>
      <c r="AD122" s="133" t="s">
        <v>1880</v>
      </c>
      <c r="AE122" s="40"/>
    </row>
    <row r="123" spans="1:31" s="46" customFormat="1" ht="27.95" customHeight="1" x14ac:dyDescent="0.15">
      <c r="A123" s="8">
        <v>121</v>
      </c>
      <c r="B123" s="40" t="s">
        <v>3562</v>
      </c>
      <c r="C123" s="82" t="s">
        <v>3565</v>
      </c>
      <c r="D123" s="40" t="s">
        <v>111</v>
      </c>
      <c r="E123" s="40" t="s">
        <v>111</v>
      </c>
      <c r="F123" s="151" t="s">
        <v>3552</v>
      </c>
      <c r="G123" s="54" t="s">
        <v>3553</v>
      </c>
      <c r="H123" s="40" t="s">
        <v>1881</v>
      </c>
      <c r="I123" s="40" t="s">
        <v>1146</v>
      </c>
      <c r="J123" s="21" t="s">
        <v>3554</v>
      </c>
      <c r="K123" s="40" t="s">
        <v>3555</v>
      </c>
      <c r="L123" s="40" t="s">
        <v>2142</v>
      </c>
      <c r="M123" s="40" t="s">
        <v>3556</v>
      </c>
      <c r="N123" s="40" t="s">
        <v>2422</v>
      </c>
      <c r="O123" s="151" t="s">
        <v>2423</v>
      </c>
      <c r="P123" s="40" t="s">
        <v>111</v>
      </c>
      <c r="Q123" s="40" t="s">
        <v>1151</v>
      </c>
      <c r="R123" s="40" t="s">
        <v>1152</v>
      </c>
      <c r="S123" s="40" t="s">
        <v>3542</v>
      </c>
      <c r="T123" s="130" t="s">
        <v>3346</v>
      </c>
      <c r="U123" s="40" t="s">
        <v>2359</v>
      </c>
      <c r="V123" s="40">
        <v>2</v>
      </c>
      <c r="W123" s="40" t="s">
        <v>3501</v>
      </c>
      <c r="X123" s="40" t="s">
        <v>3502</v>
      </c>
      <c r="Y123" s="150"/>
      <c r="Z123" s="150">
        <v>30</v>
      </c>
      <c r="AA123" s="150">
        <v>30</v>
      </c>
      <c r="AB123" s="40" t="s">
        <v>1104</v>
      </c>
      <c r="AC123" s="202" t="s">
        <v>1880</v>
      </c>
      <c r="AD123" s="133" t="s">
        <v>1880</v>
      </c>
      <c r="AE123" s="40"/>
    </row>
    <row r="124" spans="1:31" s="46" customFormat="1" ht="27.95" customHeight="1" x14ac:dyDescent="0.15">
      <c r="A124" s="8">
        <v>122</v>
      </c>
      <c r="B124" s="40" t="s">
        <v>3563</v>
      </c>
      <c r="C124" s="40" t="s">
        <v>3567</v>
      </c>
      <c r="D124" s="40" t="s">
        <v>111</v>
      </c>
      <c r="E124" s="40" t="s">
        <v>111</v>
      </c>
      <c r="F124" s="151" t="s">
        <v>2356</v>
      </c>
      <c r="G124" s="54" t="s">
        <v>3557</v>
      </c>
      <c r="H124" s="40" t="s">
        <v>2113</v>
      </c>
      <c r="I124" s="40" t="s">
        <v>1146</v>
      </c>
      <c r="J124" s="21" t="s">
        <v>2324</v>
      </c>
      <c r="K124" s="40" t="s">
        <v>2385</v>
      </c>
      <c r="L124" s="40" t="s">
        <v>1826</v>
      </c>
      <c r="M124" s="40" t="s">
        <v>1860</v>
      </c>
      <c r="N124" s="40" t="s">
        <v>1150</v>
      </c>
      <c r="O124" s="54" t="s">
        <v>3564</v>
      </c>
      <c r="P124" s="40" t="s">
        <v>111</v>
      </c>
      <c r="Q124" s="82" t="s">
        <v>1831</v>
      </c>
      <c r="R124" s="82" t="s">
        <v>1831</v>
      </c>
      <c r="S124" s="40" t="s">
        <v>3542</v>
      </c>
      <c r="T124" s="130" t="s">
        <v>3346</v>
      </c>
      <c r="U124" s="40" t="s">
        <v>2359</v>
      </c>
      <c r="V124" s="40">
        <v>2</v>
      </c>
      <c r="W124" s="24" t="s">
        <v>111</v>
      </c>
      <c r="X124" s="24" t="s">
        <v>111</v>
      </c>
      <c r="Y124" s="150">
        <v>4.9000000000000004</v>
      </c>
      <c r="Z124" s="150"/>
      <c r="AA124" s="150">
        <v>4.9000000000000004</v>
      </c>
      <c r="AB124" s="40" t="s">
        <v>1104</v>
      </c>
      <c r="AC124" s="202" t="s">
        <v>1880</v>
      </c>
      <c r="AD124" s="133" t="s">
        <v>1880</v>
      </c>
      <c r="AE124" s="40"/>
    </row>
    <row r="125" spans="1:31" s="46" customFormat="1" ht="27.95" customHeight="1" x14ac:dyDescent="0.15">
      <c r="A125" s="8">
        <v>123</v>
      </c>
      <c r="B125" s="40" t="s">
        <v>3576</v>
      </c>
      <c r="C125" s="40" t="s">
        <v>3577</v>
      </c>
      <c r="D125" s="40" t="s">
        <v>111</v>
      </c>
      <c r="E125" s="40" t="s">
        <v>111</v>
      </c>
      <c r="F125" s="151" t="s">
        <v>3578</v>
      </c>
      <c r="G125" s="54" t="s">
        <v>3579</v>
      </c>
      <c r="H125" s="40" t="s">
        <v>1147</v>
      </c>
      <c r="I125" s="40" t="s">
        <v>2067</v>
      </c>
      <c r="J125" s="21" t="s">
        <v>3580</v>
      </c>
      <c r="K125" s="40" t="s">
        <v>750</v>
      </c>
      <c r="L125" s="40" t="s">
        <v>1826</v>
      </c>
      <c r="M125" s="40" t="s">
        <v>111</v>
      </c>
      <c r="N125" s="40" t="s">
        <v>1150</v>
      </c>
      <c r="O125" s="54" t="s">
        <v>2389</v>
      </c>
      <c r="P125" s="40" t="s">
        <v>111</v>
      </c>
      <c r="Q125" s="82" t="s">
        <v>2072</v>
      </c>
      <c r="R125" s="82" t="s">
        <v>2072</v>
      </c>
      <c r="S125" s="40" t="s">
        <v>3581</v>
      </c>
      <c r="T125" s="130" t="s">
        <v>3582</v>
      </c>
      <c r="U125" s="40" t="s">
        <v>1800</v>
      </c>
      <c r="V125" s="10">
        <v>1</v>
      </c>
      <c r="W125" s="24" t="s">
        <v>111</v>
      </c>
      <c r="X125" s="24" t="s">
        <v>111</v>
      </c>
      <c r="Y125" s="150">
        <v>2.95</v>
      </c>
      <c r="Z125" s="150"/>
      <c r="AA125" s="150">
        <v>2.95</v>
      </c>
      <c r="AB125" s="40" t="s">
        <v>1104</v>
      </c>
      <c r="AC125" s="71" t="s">
        <v>3583</v>
      </c>
      <c r="AD125" s="133" t="s">
        <v>1880</v>
      </c>
      <c r="AE125" s="40"/>
    </row>
    <row r="126" spans="1:31" s="46" customFormat="1" ht="27.95" customHeight="1" x14ac:dyDescent="0.15">
      <c r="A126" s="8">
        <v>124</v>
      </c>
      <c r="B126" s="40" t="s">
        <v>3596</v>
      </c>
      <c r="C126" s="40" t="s">
        <v>111</v>
      </c>
      <c r="D126" s="40" t="s">
        <v>111</v>
      </c>
      <c r="E126" s="40" t="s">
        <v>111</v>
      </c>
      <c r="F126" s="151" t="s">
        <v>3587</v>
      </c>
      <c r="G126" s="54" t="s">
        <v>3588</v>
      </c>
      <c r="H126" s="40" t="s">
        <v>3589</v>
      </c>
      <c r="I126" s="40" t="s">
        <v>2352</v>
      </c>
      <c r="J126" s="44" t="s">
        <v>3590</v>
      </c>
      <c r="K126" s="82" t="s">
        <v>3595</v>
      </c>
      <c r="L126" s="40" t="s">
        <v>1826</v>
      </c>
      <c r="M126" s="40" t="s">
        <v>111</v>
      </c>
      <c r="N126" s="82" t="s">
        <v>1818</v>
      </c>
      <c r="O126" s="205" t="s">
        <v>3594</v>
      </c>
      <c r="P126" s="40" t="s">
        <v>111</v>
      </c>
      <c r="Q126" s="40" t="s">
        <v>3591</v>
      </c>
      <c r="R126" s="40" t="s">
        <v>3591</v>
      </c>
      <c r="S126" s="40" t="s">
        <v>3592</v>
      </c>
      <c r="T126" s="130" t="s">
        <v>3593</v>
      </c>
      <c r="U126" s="40" t="s">
        <v>2359</v>
      </c>
      <c r="V126" s="40">
        <v>2</v>
      </c>
      <c r="W126" s="24" t="s">
        <v>111</v>
      </c>
      <c r="X126" s="24" t="s">
        <v>111</v>
      </c>
      <c r="Y126" s="150">
        <v>49.96</v>
      </c>
      <c r="Z126" s="150"/>
      <c r="AA126" s="150">
        <v>49.96</v>
      </c>
      <c r="AB126" s="40" t="s">
        <v>1104</v>
      </c>
      <c r="AC126" s="202" t="s">
        <v>1880</v>
      </c>
      <c r="AD126" s="133" t="s">
        <v>1880</v>
      </c>
      <c r="AE126" s="151" t="s">
        <v>5972</v>
      </c>
    </row>
    <row r="127" spans="1:31" s="46" customFormat="1" ht="27.95" customHeight="1" x14ac:dyDescent="0.15">
      <c r="A127" s="8">
        <v>125</v>
      </c>
      <c r="B127" s="40" t="s">
        <v>3602</v>
      </c>
      <c r="C127" s="40" t="s">
        <v>111</v>
      </c>
      <c r="D127" s="40" t="s">
        <v>111</v>
      </c>
      <c r="E127" s="40" t="s">
        <v>111</v>
      </c>
      <c r="F127" s="151" t="s">
        <v>3611</v>
      </c>
      <c r="G127" s="54" t="s">
        <v>3618</v>
      </c>
      <c r="H127" s="40" t="s">
        <v>2135</v>
      </c>
      <c r="I127" s="40" t="s">
        <v>2533</v>
      </c>
      <c r="J127" s="9" t="s">
        <v>1010</v>
      </c>
      <c r="K127" s="2" t="s">
        <v>1011</v>
      </c>
      <c r="L127" s="40" t="s">
        <v>1826</v>
      </c>
      <c r="M127" s="40" t="s">
        <v>111</v>
      </c>
      <c r="N127" s="22" t="s">
        <v>454</v>
      </c>
      <c r="O127" s="54" t="s">
        <v>1819</v>
      </c>
      <c r="P127" s="40" t="s">
        <v>111</v>
      </c>
      <c r="Q127" s="40" t="s">
        <v>1831</v>
      </c>
      <c r="R127" s="40" t="s">
        <v>1831</v>
      </c>
      <c r="S127" s="40" t="s">
        <v>3653</v>
      </c>
      <c r="T127" s="130" t="s">
        <v>3524</v>
      </c>
      <c r="U127" s="40" t="s">
        <v>2359</v>
      </c>
      <c r="V127" s="40">
        <v>1</v>
      </c>
      <c r="W127" s="40" t="s">
        <v>1842</v>
      </c>
      <c r="X127" s="40" t="s">
        <v>1843</v>
      </c>
      <c r="Y127" s="150"/>
      <c r="Z127" s="150">
        <v>8</v>
      </c>
      <c r="AA127" s="150">
        <v>8</v>
      </c>
      <c r="AB127" s="40" t="s">
        <v>1104</v>
      </c>
      <c r="AC127" s="202" t="s">
        <v>1880</v>
      </c>
      <c r="AD127" s="133" t="s">
        <v>1880</v>
      </c>
      <c r="AE127" s="40"/>
    </row>
    <row r="128" spans="1:31" s="46" customFormat="1" ht="45" x14ac:dyDescent="0.15">
      <c r="A128" s="8">
        <v>126</v>
      </c>
      <c r="B128" s="40" t="s">
        <v>3643</v>
      </c>
      <c r="C128" s="40" t="s">
        <v>111</v>
      </c>
      <c r="D128" s="40" t="s">
        <v>111</v>
      </c>
      <c r="E128" s="40" t="s">
        <v>111</v>
      </c>
      <c r="F128" s="151" t="s">
        <v>3612</v>
      </c>
      <c r="G128" s="54" t="s">
        <v>3619</v>
      </c>
      <c r="H128" s="40" t="s">
        <v>2135</v>
      </c>
      <c r="I128" s="40" t="s">
        <v>2533</v>
      </c>
      <c r="J128" s="21" t="s">
        <v>3667</v>
      </c>
      <c r="K128" s="9" t="s">
        <v>3668</v>
      </c>
      <c r="L128" s="40" t="s">
        <v>1826</v>
      </c>
      <c r="M128" s="40" t="s">
        <v>111</v>
      </c>
      <c r="N128" s="22" t="s">
        <v>454</v>
      </c>
      <c r="O128" s="54" t="s">
        <v>851</v>
      </c>
      <c r="P128" s="40" t="s">
        <v>111</v>
      </c>
      <c r="Q128" s="40" t="s">
        <v>1831</v>
      </c>
      <c r="R128" s="40" t="s">
        <v>1831</v>
      </c>
      <c r="S128" s="40" t="s">
        <v>3653</v>
      </c>
      <c r="T128" s="130" t="s">
        <v>3524</v>
      </c>
      <c r="U128" s="40" t="s">
        <v>2359</v>
      </c>
      <c r="V128" s="40">
        <v>1</v>
      </c>
      <c r="W128" s="40" t="s">
        <v>1842</v>
      </c>
      <c r="X128" s="40" t="s">
        <v>1843</v>
      </c>
      <c r="Y128" s="150"/>
      <c r="Z128" s="150">
        <v>8</v>
      </c>
      <c r="AA128" s="150">
        <v>8</v>
      </c>
      <c r="AB128" s="40" t="s">
        <v>1104</v>
      </c>
      <c r="AC128" s="202" t="s">
        <v>1880</v>
      </c>
      <c r="AD128" s="133" t="s">
        <v>1880</v>
      </c>
      <c r="AE128" s="40"/>
    </row>
    <row r="129" spans="1:31" s="46" customFormat="1" ht="27.95" customHeight="1" x14ac:dyDescent="0.15">
      <c r="A129" s="8">
        <v>127</v>
      </c>
      <c r="B129" s="40" t="s">
        <v>3603</v>
      </c>
      <c r="C129" s="40" t="s">
        <v>111</v>
      </c>
      <c r="D129" s="40" t="s">
        <v>111</v>
      </c>
      <c r="E129" s="40" t="s">
        <v>111</v>
      </c>
      <c r="F129" s="54" t="s">
        <v>3613</v>
      </c>
      <c r="G129" s="54" t="s">
        <v>3620</v>
      </c>
      <c r="H129" s="40" t="s">
        <v>2135</v>
      </c>
      <c r="I129" s="40" t="s">
        <v>2533</v>
      </c>
      <c r="J129" s="21" t="s">
        <v>3636</v>
      </c>
      <c r="K129" s="40" t="s">
        <v>3637</v>
      </c>
      <c r="L129" s="40" t="s">
        <v>2142</v>
      </c>
      <c r="M129" s="40" t="s">
        <v>111</v>
      </c>
      <c r="N129" s="22" t="s">
        <v>575</v>
      </c>
      <c r="O129" s="54" t="s">
        <v>851</v>
      </c>
      <c r="P129" s="40" t="s">
        <v>111</v>
      </c>
      <c r="Q129" s="40" t="s">
        <v>1831</v>
      </c>
      <c r="R129" s="40" t="s">
        <v>1831</v>
      </c>
      <c r="S129" s="40" t="s">
        <v>3653</v>
      </c>
      <c r="T129" s="130" t="s">
        <v>3638</v>
      </c>
      <c r="U129" s="40" t="s">
        <v>2359</v>
      </c>
      <c r="V129" s="40">
        <v>1</v>
      </c>
      <c r="W129" s="40" t="s">
        <v>1842</v>
      </c>
      <c r="X129" s="40" t="s">
        <v>1843</v>
      </c>
      <c r="Y129" s="150"/>
      <c r="Z129" s="150">
        <v>8</v>
      </c>
      <c r="AA129" s="150">
        <v>8</v>
      </c>
      <c r="AB129" s="40" t="s">
        <v>1104</v>
      </c>
      <c r="AC129" s="202" t="s">
        <v>1880</v>
      </c>
      <c r="AD129" s="133" t="s">
        <v>1880</v>
      </c>
      <c r="AE129" s="40"/>
    </row>
    <row r="130" spans="1:31" s="46" customFormat="1" ht="27.95" customHeight="1" x14ac:dyDescent="0.15">
      <c r="A130" s="8">
        <v>128</v>
      </c>
      <c r="B130" s="40" t="s">
        <v>3604</v>
      </c>
      <c r="C130" s="40" t="s">
        <v>111</v>
      </c>
      <c r="D130" s="40" t="s">
        <v>111</v>
      </c>
      <c r="E130" s="40" t="s">
        <v>111</v>
      </c>
      <c r="F130" s="151" t="s">
        <v>3614</v>
      </c>
      <c r="G130" s="54" t="s">
        <v>3621</v>
      </c>
      <c r="H130" s="40" t="s">
        <v>2135</v>
      </c>
      <c r="I130" s="40" t="s">
        <v>2533</v>
      </c>
      <c r="J130" s="21" t="s">
        <v>3634</v>
      </c>
      <c r="K130" s="40" t="s">
        <v>3635</v>
      </c>
      <c r="L130" s="40" t="s">
        <v>1826</v>
      </c>
      <c r="M130" s="40" t="s">
        <v>111</v>
      </c>
      <c r="N130" s="22" t="s">
        <v>454</v>
      </c>
      <c r="O130" s="54" t="s">
        <v>851</v>
      </c>
      <c r="P130" s="40" t="s">
        <v>111</v>
      </c>
      <c r="Q130" s="40" t="s">
        <v>1831</v>
      </c>
      <c r="R130" s="40" t="s">
        <v>1831</v>
      </c>
      <c r="S130" s="40" t="s">
        <v>3653</v>
      </c>
      <c r="T130" s="130" t="s">
        <v>3638</v>
      </c>
      <c r="U130" s="40" t="s">
        <v>2359</v>
      </c>
      <c r="V130" s="40">
        <v>1</v>
      </c>
      <c r="W130" s="40" t="s">
        <v>1842</v>
      </c>
      <c r="X130" s="40" t="s">
        <v>1843</v>
      </c>
      <c r="Y130" s="150"/>
      <c r="Z130" s="150">
        <v>8</v>
      </c>
      <c r="AA130" s="150">
        <v>8</v>
      </c>
      <c r="AB130" s="40" t="s">
        <v>1104</v>
      </c>
      <c r="AC130" s="202" t="s">
        <v>1880</v>
      </c>
      <c r="AD130" s="133" t="s">
        <v>1880</v>
      </c>
      <c r="AE130" s="40"/>
    </row>
    <row r="131" spans="1:31" s="46" customFormat="1" ht="27.95" customHeight="1" x14ac:dyDescent="0.15">
      <c r="A131" s="8">
        <v>129</v>
      </c>
      <c r="B131" s="40" t="s">
        <v>3605</v>
      </c>
      <c r="C131" s="40" t="s">
        <v>111</v>
      </c>
      <c r="D131" s="40" t="s">
        <v>111</v>
      </c>
      <c r="E131" s="40" t="s">
        <v>111</v>
      </c>
      <c r="F131" s="151" t="s">
        <v>3615</v>
      </c>
      <c r="G131" s="54" t="s">
        <v>3622</v>
      </c>
      <c r="H131" s="40" t="s">
        <v>2135</v>
      </c>
      <c r="I131" s="40" t="s">
        <v>2533</v>
      </c>
      <c r="J131" s="44" t="s">
        <v>3644</v>
      </c>
      <c r="K131" s="71" t="s">
        <v>3633</v>
      </c>
      <c r="L131" s="40" t="s">
        <v>1826</v>
      </c>
      <c r="M131" s="40" t="s">
        <v>111</v>
      </c>
      <c r="N131" s="22" t="s">
        <v>454</v>
      </c>
      <c r="O131" s="54" t="s">
        <v>851</v>
      </c>
      <c r="P131" s="40" t="s">
        <v>111</v>
      </c>
      <c r="Q131" s="40" t="s">
        <v>1831</v>
      </c>
      <c r="R131" s="40" t="s">
        <v>1831</v>
      </c>
      <c r="S131" s="40" t="s">
        <v>3653</v>
      </c>
      <c r="T131" s="130" t="s">
        <v>3638</v>
      </c>
      <c r="U131" s="40" t="s">
        <v>2359</v>
      </c>
      <c r="V131" s="40">
        <v>1</v>
      </c>
      <c r="W131" s="40" t="s">
        <v>1842</v>
      </c>
      <c r="X131" s="40" t="s">
        <v>1843</v>
      </c>
      <c r="Y131" s="150"/>
      <c r="Z131" s="150">
        <v>8</v>
      </c>
      <c r="AA131" s="150">
        <v>8</v>
      </c>
      <c r="AB131" s="40" t="s">
        <v>1104</v>
      </c>
      <c r="AC131" s="202" t="s">
        <v>1880</v>
      </c>
      <c r="AD131" s="133" t="s">
        <v>1880</v>
      </c>
      <c r="AE131" s="40"/>
    </row>
    <row r="132" spans="1:31" s="46" customFormat="1" ht="27.95" customHeight="1" x14ac:dyDescent="0.15">
      <c r="A132" s="8">
        <v>130</v>
      </c>
      <c r="B132" s="40" t="s">
        <v>3606</v>
      </c>
      <c r="C132" s="40" t="s">
        <v>111</v>
      </c>
      <c r="D132" s="40" t="s">
        <v>111</v>
      </c>
      <c r="E132" s="40" t="s">
        <v>111</v>
      </c>
      <c r="F132" s="151" t="s">
        <v>3614</v>
      </c>
      <c r="G132" s="54" t="s">
        <v>3623</v>
      </c>
      <c r="H132" s="40" t="s">
        <v>2135</v>
      </c>
      <c r="I132" s="40" t="s">
        <v>2533</v>
      </c>
      <c r="J132" s="21" t="s">
        <v>3631</v>
      </c>
      <c r="K132" s="40" t="s">
        <v>3632</v>
      </c>
      <c r="L132" s="40" t="s">
        <v>2142</v>
      </c>
      <c r="M132" s="40" t="s">
        <v>111</v>
      </c>
      <c r="N132" s="22" t="s">
        <v>575</v>
      </c>
      <c r="O132" s="54" t="s">
        <v>851</v>
      </c>
      <c r="P132" s="40" t="s">
        <v>111</v>
      </c>
      <c r="Q132" s="40" t="s">
        <v>1831</v>
      </c>
      <c r="R132" s="40" t="s">
        <v>1831</v>
      </c>
      <c r="S132" s="40" t="s">
        <v>3653</v>
      </c>
      <c r="T132" s="130" t="s">
        <v>3638</v>
      </c>
      <c r="U132" s="40" t="s">
        <v>2359</v>
      </c>
      <c r="V132" s="40">
        <v>1</v>
      </c>
      <c r="W132" s="40" t="s">
        <v>1842</v>
      </c>
      <c r="X132" s="40" t="s">
        <v>1843</v>
      </c>
      <c r="Y132" s="150"/>
      <c r="Z132" s="150">
        <v>8</v>
      </c>
      <c r="AA132" s="150">
        <v>8</v>
      </c>
      <c r="AB132" s="40" t="s">
        <v>1104</v>
      </c>
      <c r="AC132" s="202" t="s">
        <v>1880</v>
      </c>
      <c r="AD132" s="133" t="s">
        <v>1880</v>
      </c>
      <c r="AE132" s="40"/>
    </row>
    <row r="133" spans="1:31" s="46" customFormat="1" ht="27.95" customHeight="1" x14ac:dyDescent="0.15">
      <c r="A133" s="8">
        <v>131</v>
      </c>
      <c r="B133" s="40" t="s">
        <v>3607</v>
      </c>
      <c r="C133" s="40" t="s">
        <v>111</v>
      </c>
      <c r="D133" s="40" t="s">
        <v>111</v>
      </c>
      <c r="E133" s="40" t="s">
        <v>111</v>
      </c>
      <c r="F133" s="151" t="s">
        <v>3614</v>
      </c>
      <c r="G133" s="54" t="s">
        <v>3624</v>
      </c>
      <c r="H133" s="40" t="s">
        <v>2135</v>
      </c>
      <c r="I133" s="40" t="s">
        <v>2533</v>
      </c>
      <c r="J133" s="21" t="s">
        <v>3630</v>
      </c>
      <c r="K133" s="2" t="s">
        <v>1018</v>
      </c>
      <c r="L133" s="40" t="s">
        <v>2142</v>
      </c>
      <c r="M133" s="40" t="s">
        <v>111</v>
      </c>
      <c r="N133" s="22" t="s">
        <v>575</v>
      </c>
      <c r="O133" s="54" t="s">
        <v>851</v>
      </c>
      <c r="P133" s="40" t="s">
        <v>111</v>
      </c>
      <c r="Q133" s="40" t="s">
        <v>1831</v>
      </c>
      <c r="R133" s="40" t="s">
        <v>1831</v>
      </c>
      <c r="S133" s="40" t="s">
        <v>3653</v>
      </c>
      <c r="T133" s="130" t="s">
        <v>3638</v>
      </c>
      <c r="U133" s="40" t="s">
        <v>2359</v>
      </c>
      <c r="V133" s="40">
        <v>1</v>
      </c>
      <c r="W133" s="40" t="s">
        <v>1842</v>
      </c>
      <c r="X133" s="40" t="s">
        <v>1843</v>
      </c>
      <c r="Y133" s="150"/>
      <c r="Z133" s="150">
        <v>8</v>
      </c>
      <c r="AA133" s="150">
        <v>8</v>
      </c>
      <c r="AB133" s="40" t="s">
        <v>1104</v>
      </c>
      <c r="AC133" s="202" t="s">
        <v>1880</v>
      </c>
      <c r="AD133" s="133" t="s">
        <v>1880</v>
      </c>
      <c r="AE133" s="40"/>
    </row>
    <row r="134" spans="1:31" s="46" customFormat="1" ht="27.95" customHeight="1" x14ac:dyDescent="0.15">
      <c r="A134" s="8">
        <v>132</v>
      </c>
      <c r="B134" s="40" t="s">
        <v>3608</v>
      </c>
      <c r="C134" s="40" t="s">
        <v>111</v>
      </c>
      <c r="D134" s="40" t="s">
        <v>111</v>
      </c>
      <c r="E134" s="40" t="s">
        <v>111</v>
      </c>
      <c r="F134" s="151" t="s">
        <v>3616</v>
      </c>
      <c r="G134" s="54" t="s">
        <v>3625</v>
      </c>
      <c r="H134" s="40" t="s">
        <v>2135</v>
      </c>
      <c r="I134" s="40" t="s">
        <v>2533</v>
      </c>
      <c r="J134" s="21" t="s">
        <v>3629</v>
      </c>
      <c r="K134" s="82" t="s">
        <v>3645</v>
      </c>
      <c r="L134" s="40" t="s">
        <v>2142</v>
      </c>
      <c r="M134" s="40" t="s">
        <v>111</v>
      </c>
      <c r="N134" s="22" t="s">
        <v>575</v>
      </c>
      <c r="O134" s="54" t="s">
        <v>851</v>
      </c>
      <c r="P134" s="40" t="s">
        <v>111</v>
      </c>
      <c r="Q134" s="40" t="s">
        <v>1831</v>
      </c>
      <c r="R134" s="40" t="s">
        <v>1831</v>
      </c>
      <c r="S134" s="40" t="s">
        <v>3653</v>
      </c>
      <c r="T134" s="130" t="s">
        <v>3638</v>
      </c>
      <c r="U134" s="40" t="s">
        <v>2359</v>
      </c>
      <c r="V134" s="40">
        <v>1</v>
      </c>
      <c r="W134" s="40" t="s">
        <v>1842</v>
      </c>
      <c r="X134" s="40" t="s">
        <v>1843</v>
      </c>
      <c r="Y134" s="150"/>
      <c r="Z134" s="150">
        <v>8</v>
      </c>
      <c r="AA134" s="150">
        <v>8</v>
      </c>
      <c r="AB134" s="40" t="s">
        <v>1104</v>
      </c>
      <c r="AC134" s="202" t="s">
        <v>1880</v>
      </c>
      <c r="AD134" s="133" t="s">
        <v>1880</v>
      </c>
      <c r="AE134" s="40"/>
    </row>
    <row r="135" spans="1:31" s="46" customFormat="1" ht="27.95" customHeight="1" x14ac:dyDescent="0.15">
      <c r="A135" s="8">
        <v>133</v>
      </c>
      <c r="B135" s="40" t="s">
        <v>3609</v>
      </c>
      <c r="C135" s="40" t="s">
        <v>111</v>
      </c>
      <c r="D135" s="40" t="s">
        <v>111</v>
      </c>
      <c r="E135" s="40" t="s">
        <v>111</v>
      </c>
      <c r="F135" s="54" t="s">
        <v>3617</v>
      </c>
      <c r="G135" s="54" t="s">
        <v>3626</v>
      </c>
      <c r="H135" s="40" t="s">
        <v>2135</v>
      </c>
      <c r="I135" s="40" t="s">
        <v>2533</v>
      </c>
      <c r="J135" s="40" t="s">
        <v>3627</v>
      </c>
      <c r="K135" s="40" t="s">
        <v>3628</v>
      </c>
      <c r="L135" s="40" t="s">
        <v>1826</v>
      </c>
      <c r="M135" s="40" t="s">
        <v>111</v>
      </c>
      <c r="N135" s="22" t="s">
        <v>454</v>
      </c>
      <c r="O135" s="54" t="s">
        <v>851</v>
      </c>
      <c r="P135" s="40" t="s">
        <v>111</v>
      </c>
      <c r="Q135" s="40" t="s">
        <v>1831</v>
      </c>
      <c r="R135" s="40" t="s">
        <v>1831</v>
      </c>
      <c r="S135" s="40" t="s">
        <v>3653</v>
      </c>
      <c r="T135" s="130" t="s">
        <v>3638</v>
      </c>
      <c r="U135" s="40" t="s">
        <v>2359</v>
      </c>
      <c r="V135" s="40">
        <v>1</v>
      </c>
      <c r="W135" s="40" t="s">
        <v>1842</v>
      </c>
      <c r="X135" s="40" t="s">
        <v>1843</v>
      </c>
      <c r="Y135" s="150"/>
      <c r="Z135" s="150">
        <v>8</v>
      </c>
      <c r="AA135" s="150">
        <v>8</v>
      </c>
      <c r="AB135" s="40" t="s">
        <v>1104</v>
      </c>
      <c r="AC135" s="202" t="s">
        <v>1880</v>
      </c>
      <c r="AD135" s="133" t="s">
        <v>1880</v>
      </c>
      <c r="AE135" s="40"/>
    </row>
    <row r="136" spans="1:31" s="46" customFormat="1" ht="27.95" customHeight="1" x14ac:dyDescent="0.15">
      <c r="A136" s="8">
        <v>134</v>
      </c>
      <c r="B136" s="40" t="s">
        <v>3610</v>
      </c>
      <c r="C136" s="40" t="s">
        <v>111</v>
      </c>
      <c r="D136" s="40" t="s">
        <v>4348</v>
      </c>
      <c r="E136" s="40" t="s">
        <v>111</v>
      </c>
      <c r="F136" s="151" t="s">
        <v>3639</v>
      </c>
      <c r="G136" s="54" t="s">
        <v>3640</v>
      </c>
      <c r="H136" s="40" t="s">
        <v>3641</v>
      </c>
      <c r="I136" s="40" t="s">
        <v>1789</v>
      </c>
      <c r="J136" s="82" t="s">
        <v>3657</v>
      </c>
      <c r="K136" s="82" t="s">
        <v>3658</v>
      </c>
      <c r="L136" s="40" t="s">
        <v>1826</v>
      </c>
      <c r="M136" s="40" t="s">
        <v>3659</v>
      </c>
      <c r="N136" s="22" t="s">
        <v>454</v>
      </c>
      <c r="O136" s="151" t="s">
        <v>1796</v>
      </c>
      <c r="P136" s="40" t="s">
        <v>111</v>
      </c>
      <c r="Q136" s="40" t="s">
        <v>1785</v>
      </c>
      <c r="R136" s="40" t="s">
        <v>1785</v>
      </c>
      <c r="S136" s="40" t="s">
        <v>3654</v>
      </c>
      <c r="T136" s="130" t="s">
        <v>3642</v>
      </c>
      <c r="U136" s="40" t="s">
        <v>2359</v>
      </c>
      <c r="V136" s="40">
        <v>1</v>
      </c>
      <c r="W136" s="24" t="s">
        <v>111</v>
      </c>
      <c r="X136" s="24" t="s">
        <v>111</v>
      </c>
      <c r="Y136" s="217">
        <v>3.109915</v>
      </c>
      <c r="Z136" s="150"/>
      <c r="AA136" s="217">
        <v>3.109915</v>
      </c>
      <c r="AB136" s="40" t="s">
        <v>1104</v>
      </c>
      <c r="AC136" s="202" t="s">
        <v>1880</v>
      </c>
      <c r="AD136" s="133" t="s">
        <v>1880</v>
      </c>
      <c r="AE136" s="9" t="s">
        <v>5614</v>
      </c>
    </row>
    <row r="137" spans="1:31" s="46" customFormat="1" ht="27.95" customHeight="1" x14ac:dyDescent="0.15">
      <c r="A137" s="8">
        <v>135</v>
      </c>
      <c r="B137" s="40" t="s">
        <v>3660</v>
      </c>
      <c r="C137" s="40" t="s">
        <v>3646</v>
      </c>
      <c r="D137" s="40" t="s">
        <v>111</v>
      </c>
      <c r="E137" s="40" t="s">
        <v>111</v>
      </c>
      <c r="F137" s="151" t="s">
        <v>3647</v>
      </c>
      <c r="G137" s="54" t="s">
        <v>3648</v>
      </c>
      <c r="H137" s="9" t="s">
        <v>3649</v>
      </c>
      <c r="I137" s="9" t="s">
        <v>1124</v>
      </c>
      <c r="J137" s="9" t="s">
        <v>3650</v>
      </c>
      <c r="K137" s="40" t="s">
        <v>3651</v>
      </c>
      <c r="L137" s="40" t="s">
        <v>1826</v>
      </c>
      <c r="M137" s="40" t="s">
        <v>111</v>
      </c>
      <c r="N137" s="9" t="s">
        <v>1131</v>
      </c>
      <c r="O137" s="54" t="s">
        <v>2224</v>
      </c>
      <c r="P137" s="40" t="s">
        <v>111</v>
      </c>
      <c r="Q137" s="40" t="s">
        <v>3652</v>
      </c>
      <c r="R137" s="40" t="s">
        <v>3652</v>
      </c>
      <c r="S137" s="40" t="s">
        <v>3654</v>
      </c>
      <c r="T137" s="130" t="s">
        <v>3655</v>
      </c>
      <c r="U137" s="40" t="s">
        <v>2359</v>
      </c>
      <c r="V137" s="40">
        <v>2</v>
      </c>
      <c r="W137" s="24" t="s">
        <v>2512</v>
      </c>
      <c r="X137" s="24" t="s">
        <v>111</v>
      </c>
      <c r="Y137" s="150">
        <v>20.5</v>
      </c>
      <c r="Z137" s="150">
        <v>0</v>
      </c>
      <c r="AA137" s="150">
        <v>20.5</v>
      </c>
      <c r="AB137" s="40" t="s">
        <v>1104</v>
      </c>
      <c r="AC137" s="40" t="s">
        <v>3656</v>
      </c>
      <c r="AD137" s="133" t="s">
        <v>1880</v>
      </c>
      <c r="AE137" s="40"/>
    </row>
    <row r="138" spans="1:31" s="46" customFormat="1" ht="33.75" x14ac:dyDescent="0.15">
      <c r="A138" s="8">
        <v>136</v>
      </c>
      <c r="B138" s="40" t="s">
        <v>3662</v>
      </c>
      <c r="C138" s="40" t="s">
        <v>3673</v>
      </c>
      <c r="D138" s="40" t="s">
        <v>111</v>
      </c>
      <c r="E138" s="40" t="s">
        <v>111</v>
      </c>
      <c r="F138" s="151" t="s">
        <v>3663</v>
      </c>
      <c r="G138" s="54" t="s">
        <v>3661</v>
      </c>
      <c r="H138" s="9" t="s">
        <v>1147</v>
      </c>
      <c r="I138" s="9" t="s">
        <v>2352</v>
      </c>
      <c r="J138" s="9" t="s">
        <v>3664</v>
      </c>
      <c r="K138" s="71" t="s">
        <v>3484</v>
      </c>
      <c r="L138" s="40" t="s">
        <v>2142</v>
      </c>
      <c r="M138" s="40" t="s">
        <v>2450</v>
      </c>
      <c r="N138" s="22" t="s">
        <v>575</v>
      </c>
      <c r="O138" s="54" t="s">
        <v>3666</v>
      </c>
      <c r="P138" s="40" t="s">
        <v>111</v>
      </c>
      <c r="Q138" s="40" t="s">
        <v>1152</v>
      </c>
      <c r="R138" s="40" t="s">
        <v>1152</v>
      </c>
      <c r="S138" s="40" t="s">
        <v>3654</v>
      </c>
      <c r="T138" s="130" t="s">
        <v>3665</v>
      </c>
      <c r="U138" s="40" t="s">
        <v>1800</v>
      </c>
      <c r="V138" s="10">
        <v>1</v>
      </c>
      <c r="W138" s="24" t="s">
        <v>111</v>
      </c>
      <c r="X138" s="24" t="s">
        <v>111</v>
      </c>
      <c r="Y138" s="150">
        <v>16</v>
      </c>
      <c r="Z138" s="40"/>
      <c r="AA138" s="150">
        <v>16</v>
      </c>
      <c r="AB138" s="40" t="s">
        <v>1104</v>
      </c>
      <c r="AC138" s="133" t="s">
        <v>1880</v>
      </c>
      <c r="AD138" s="133" t="s">
        <v>1880</v>
      </c>
      <c r="AE138" s="40"/>
    </row>
    <row r="139" spans="1:31" s="11" customFormat="1" ht="27.95" customHeight="1" x14ac:dyDescent="0.15">
      <c r="A139" s="8">
        <v>137</v>
      </c>
      <c r="B139" s="8" t="s">
        <v>3669</v>
      </c>
      <c r="C139" s="82" t="s">
        <v>3672</v>
      </c>
      <c r="D139" s="26" t="s">
        <v>19</v>
      </c>
      <c r="E139" s="26" t="s">
        <v>19</v>
      </c>
      <c r="F139" s="52" t="s">
        <v>3670</v>
      </c>
      <c r="G139" s="98" t="s">
        <v>3867</v>
      </c>
      <c r="H139" s="9" t="s">
        <v>1147</v>
      </c>
      <c r="I139" s="9" t="s">
        <v>2352</v>
      </c>
      <c r="J139" s="9" t="s">
        <v>3664</v>
      </c>
      <c r="K139" s="71" t="s">
        <v>3484</v>
      </c>
      <c r="L139" s="40" t="s">
        <v>2142</v>
      </c>
      <c r="M139" s="40" t="s">
        <v>2450</v>
      </c>
      <c r="N139" s="22" t="s">
        <v>575</v>
      </c>
      <c r="O139" s="76" t="s">
        <v>3671</v>
      </c>
      <c r="P139" s="71" t="s">
        <v>19</v>
      </c>
      <c r="Q139" s="71" t="s">
        <v>1152</v>
      </c>
      <c r="R139" s="9" t="s">
        <v>1152</v>
      </c>
      <c r="S139" s="85" t="s">
        <v>3681</v>
      </c>
      <c r="T139" s="86" t="s">
        <v>3868</v>
      </c>
      <c r="U139" s="40" t="s">
        <v>2359</v>
      </c>
      <c r="V139" s="40">
        <v>1</v>
      </c>
      <c r="W139" s="24" t="s">
        <v>111</v>
      </c>
      <c r="X139" s="24" t="s">
        <v>111</v>
      </c>
      <c r="Y139" s="30">
        <v>9.5356000000000005</v>
      </c>
      <c r="Z139" s="9"/>
      <c r="AA139" s="30">
        <v>9.5356000000000005</v>
      </c>
      <c r="AB139" s="35" t="s">
        <v>1104</v>
      </c>
      <c r="AC139" s="133" t="s">
        <v>1880</v>
      </c>
      <c r="AD139" s="35" t="s">
        <v>1880</v>
      </c>
      <c r="AE139" s="9"/>
    </row>
    <row r="140" spans="1:31" s="46" customFormat="1" ht="27.95" customHeight="1" x14ac:dyDescent="0.15">
      <c r="A140" s="8">
        <v>138</v>
      </c>
      <c r="B140" s="8" t="s">
        <v>3676</v>
      </c>
      <c r="C140" s="40" t="s">
        <v>111</v>
      </c>
      <c r="D140" s="40" t="s">
        <v>111</v>
      </c>
      <c r="E140" s="40" t="s">
        <v>111</v>
      </c>
      <c r="F140" s="151" t="s">
        <v>3547</v>
      </c>
      <c r="G140" s="151" t="s">
        <v>3677</v>
      </c>
      <c r="H140" s="40" t="s">
        <v>1147</v>
      </c>
      <c r="I140" s="40" t="s">
        <v>2533</v>
      </c>
      <c r="J140" s="40" t="s">
        <v>3549</v>
      </c>
      <c r="K140" s="40" t="s">
        <v>3550</v>
      </c>
      <c r="L140" s="40" t="s">
        <v>1826</v>
      </c>
      <c r="M140" s="40" t="s">
        <v>111</v>
      </c>
      <c r="N140" s="40" t="s">
        <v>1818</v>
      </c>
      <c r="O140" s="151" t="s">
        <v>1819</v>
      </c>
      <c r="P140" s="71" t="s">
        <v>19</v>
      </c>
      <c r="Q140" s="40" t="s">
        <v>1151</v>
      </c>
      <c r="R140" s="40" t="s">
        <v>1152</v>
      </c>
      <c r="S140" s="40" t="s">
        <v>3270</v>
      </c>
      <c r="T140" s="130" t="s">
        <v>2349</v>
      </c>
      <c r="U140" s="40" t="s">
        <v>2359</v>
      </c>
      <c r="V140" s="40">
        <v>1</v>
      </c>
      <c r="W140" s="40" t="s">
        <v>1842</v>
      </c>
      <c r="X140" s="40" t="s">
        <v>1843</v>
      </c>
      <c r="Y140" s="150"/>
      <c r="Z140" s="150">
        <v>12</v>
      </c>
      <c r="AA140" s="150">
        <v>12</v>
      </c>
      <c r="AB140" s="35" t="s">
        <v>1104</v>
      </c>
      <c r="AC140" s="202" t="s">
        <v>1880</v>
      </c>
      <c r="AD140" s="35" t="s">
        <v>1880</v>
      </c>
      <c r="AE140" s="40"/>
    </row>
    <row r="141" spans="1:31" s="46" customFormat="1" ht="27.95" customHeight="1" x14ac:dyDescent="0.15">
      <c r="A141" s="8">
        <v>139</v>
      </c>
      <c r="B141" s="8" t="s">
        <v>3678</v>
      </c>
      <c r="C141" s="40" t="s">
        <v>111</v>
      </c>
      <c r="D141" s="40" t="s">
        <v>111</v>
      </c>
      <c r="E141" s="40" t="s">
        <v>111</v>
      </c>
      <c r="F141" s="151" t="s">
        <v>3221</v>
      </c>
      <c r="G141" s="54" t="s">
        <v>3679</v>
      </c>
      <c r="H141" s="40" t="s">
        <v>1147</v>
      </c>
      <c r="I141" s="40" t="s">
        <v>3215</v>
      </c>
      <c r="J141" s="40" t="s">
        <v>3222</v>
      </c>
      <c r="K141" s="40" t="s">
        <v>1138</v>
      </c>
      <c r="L141" s="40" t="s">
        <v>1826</v>
      </c>
      <c r="M141" s="40" t="s">
        <v>111</v>
      </c>
      <c r="N141" s="40" t="s">
        <v>1150</v>
      </c>
      <c r="O141" s="54" t="s">
        <v>3682</v>
      </c>
      <c r="P141" s="71" t="s">
        <v>19</v>
      </c>
      <c r="Q141" s="82" t="s">
        <v>4681</v>
      </c>
      <c r="R141" s="40" t="s">
        <v>1152</v>
      </c>
      <c r="S141" s="40" t="s">
        <v>3680</v>
      </c>
      <c r="T141" s="130" t="s">
        <v>3681</v>
      </c>
      <c r="U141" s="40" t="s">
        <v>1800</v>
      </c>
      <c r="V141" s="10">
        <v>1</v>
      </c>
      <c r="W141" s="24" t="s">
        <v>111</v>
      </c>
      <c r="X141" s="24" t="s">
        <v>111</v>
      </c>
      <c r="Y141" s="150">
        <v>2.1</v>
      </c>
      <c r="Z141" s="150"/>
      <c r="AA141" s="150">
        <v>2.1</v>
      </c>
      <c r="AB141" s="35" t="s">
        <v>1104</v>
      </c>
      <c r="AC141" s="133" t="s">
        <v>1880</v>
      </c>
      <c r="AD141" s="35" t="s">
        <v>1880</v>
      </c>
      <c r="AE141" s="40"/>
    </row>
    <row r="142" spans="1:31" s="46" customFormat="1" ht="27.95" customHeight="1" x14ac:dyDescent="0.15">
      <c r="A142" s="8">
        <v>140</v>
      </c>
      <c r="B142" s="8" t="s">
        <v>3683</v>
      </c>
      <c r="C142" s="40" t="s">
        <v>111</v>
      </c>
      <c r="D142" s="40" t="s">
        <v>111</v>
      </c>
      <c r="E142" s="40" t="s">
        <v>111</v>
      </c>
      <c r="F142" s="151" t="s">
        <v>3688</v>
      </c>
      <c r="G142" s="151" t="s">
        <v>3684</v>
      </c>
      <c r="H142" s="40" t="s">
        <v>2032</v>
      </c>
      <c r="I142" s="40" t="s">
        <v>3685</v>
      </c>
      <c r="J142" s="44" t="s">
        <v>3690</v>
      </c>
      <c r="K142" s="71" t="s">
        <v>3691</v>
      </c>
      <c r="L142" s="40" t="s">
        <v>1826</v>
      </c>
      <c r="M142" s="40" t="s">
        <v>111</v>
      </c>
      <c r="N142" s="40" t="s">
        <v>1818</v>
      </c>
      <c r="O142" s="205" t="s">
        <v>3689</v>
      </c>
      <c r="P142" s="71" t="s">
        <v>19</v>
      </c>
      <c r="Q142" s="40" t="s">
        <v>1785</v>
      </c>
      <c r="R142" s="40" t="s">
        <v>1785</v>
      </c>
      <c r="S142" s="40" t="s">
        <v>3686</v>
      </c>
      <c r="T142" s="130" t="s">
        <v>3687</v>
      </c>
      <c r="U142" s="40" t="s">
        <v>2359</v>
      </c>
      <c r="V142" s="40">
        <v>2</v>
      </c>
      <c r="W142" s="40">
        <v>2018.8</v>
      </c>
      <c r="X142" s="40">
        <v>2019.12</v>
      </c>
      <c r="Y142" s="150"/>
      <c r="Z142" s="150">
        <v>12.65</v>
      </c>
      <c r="AA142" s="150">
        <v>12.65</v>
      </c>
      <c r="AB142" s="35" t="s">
        <v>1104</v>
      </c>
      <c r="AC142" s="133" t="s">
        <v>1880</v>
      </c>
      <c r="AD142" s="35" t="s">
        <v>1880</v>
      </c>
      <c r="AE142" s="40"/>
    </row>
    <row r="143" spans="1:31" s="46" customFormat="1" ht="27.95" customHeight="1" x14ac:dyDescent="0.15">
      <c r="A143" s="8">
        <v>141</v>
      </c>
      <c r="B143" s="8" t="s">
        <v>3692</v>
      </c>
      <c r="C143" s="40" t="s">
        <v>3693</v>
      </c>
      <c r="D143" s="40" t="s">
        <v>111</v>
      </c>
      <c r="E143" s="40" t="s">
        <v>111</v>
      </c>
      <c r="F143" s="151" t="s">
        <v>3694</v>
      </c>
      <c r="G143" s="99" t="s">
        <v>2531</v>
      </c>
      <c r="H143" s="40" t="s">
        <v>2420</v>
      </c>
      <c r="I143" s="40" t="s">
        <v>1789</v>
      </c>
      <c r="J143" s="40" t="s">
        <v>3695</v>
      </c>
      <c r="K143" s="40" t="s">
        <v>3696</v>
      </c>
      <c r="L143" s="40" t="s">
        <v>1826</v>
      </c>
      <c r="M143" s="40" t="s">
        <v>111</v>
      </c>
      <c r="N143" s="40" t="s">
        <v>1818</v>
      </c>
      <c r="O143" s="151" t="s">
        <v>1796</v>
      </c>
      <c r="P143" s="71" t="s">
        <v>19</v>
      </c>
      <c r="Q143" s="40" t="s">
        <v>2348</v>
      </c>
      <c r="R143" s="40" t="s">
        <v>2348</v>
      </c>
      <c r="S143" s="206"/>
      <c r="T143" s="207"/>
      <c r="U143" s="206"/>
      <c r="V143" s="206"/>
      <c r="W143" s="24" t="s">
        <v>111</v>
      </c>
      <c r="X143" s="24" t="s">
        <v>111</v>
      </c>
      <c r="Y143" s="150">
        <v>1.9239999999999999</v>
      </c>
      <c r="Z143" s="150"/>
      <c r="AA143" s="150">
        <v>1.9239999999999999</v>
      </c>
      <c r="AB143" s="35" t="s">
        <v>1104</v>
      </c>
      <c r="AC143" s="133" t="s">
        <v>1880</v>
      </c>
      <c r="AD143" s="35" t="s">
        <v>1880</v>
      </c>
      <c r="AE143" s="40"/>
    </row>
    <row r="144" spans="1:31" s="46" customFormat="1" ht="27.95" customHeight="1" x14ac:dyDescent="0.15">
      <c r="A144" s="8">
        <v>142</v>
      </c>
      <c r="B144" s="8" t="s">
        <v>3781</v>
      </c>
      <c r="C144" s="82" t="s">
        <v>3778</v>
      </c>
      <c r="D144" s="40" t="s">
        <v>111</v>
      </c>
      <c r="E144" s="40" t="s">
        <v>111</v>
      </c>
      <c r="F144" s="151" t="s">
        <v>3697</v>
      </c>
      <c r="G144" s="54" t="s">
        <v>3698</v>
      </c>
      <c r="H144" s="40" t="s">
        <v>3699</v>
      </c>
      <c r="I144" s="40" t="s">
        <v>2151</v>
      </c>
      <c r="J144" s="9" t="s">
        <v>3784</v>
      </c>
      <c r="K144" s="40" t="s">
        <v>3783</v>
      </c>
      <c r="L144" s="40" t="s">
        <v>1826</v>
      </c>
      <c r="M144" s="40" t="s">
        <v>111</v>
      </c>
      <c r="N144" s="40" t="s">
        <v>1818</v>
      </c>
      <c r="O144" s="54" t="s">
        <v>3782</v>
      </c>
      <c r="P144" s="71" t="s">
        <v>19</v>
      </c>
      <c r="Q144" s="40" t="s">
        <v>2348</v>
      </c>
      <c r="R144" s="40" t="s">
        <v>2348</v>
      </c>
      <c r="S144" s="40" t="s">
        <v>3701</v>
      </c>
      <c r="T144" s="130" t="s">
        <v>3702</v>
      </c>
      <c r="U144" s="40" t="s">
        <v>3700</v>
      </c>
      <c r="V144" s="40">
        <v>1</v>
      </c>
      <c r="W144" s="24" t="s">
        <v>111</v>
      </c>
      <c r="X144" s="24" t="s">
        <v>111</v>
      </c>
      <c r="Y144" s="150">
        <v>35.479999999999997</v>
      </c>
      <c r="Z144" s="150"/>
      <c r="AA144" s="150">
        <v>35.479999999999997</v>
      </c>
      <c r="AB144" s="35" t="s">
        <v>1104</v>
      </c>
      <c r="AC144" s="133" t="s">
        <v>3780</v>
      </c>
      <c r="AD144" s="35" t="s">
        <v>1880</v>
      </c>
      <c r="AE144" s="40"/>
    </row>
    <row r="145" spans="1:31" s="46" customFormat="1" ht="27.95" customHeight="1" x14ac:dyDescent="0.15">
      <c r="A145" s="8">
        <v>143</v>
      </c>
      <c r="B145" s="8" t="s">
        <v>3703</v>
      </c>
      <c r="C145" s="40" t="s">
        <v>111</v>
      </c>
      <c r="D145" s="40" t="s">
        <v>111</v>
      </c>
      <c r="E145" s="40" t="s">
        <v>111</v>
      </c>
      <c r="F145" s="151" t="s">
        <v>2532</v>
      </c>
      <c r="G145" s="54" t="s">
        <v>3704</v>
      </c>
      <c r="H145" s="40" t="s">
        <v>3705</v>
      </c>
      <c r="I145" s="40" t="s">
        <v>3706</v>
      </c>
      <c r="J145" s="44" t="s">
        <v>2534</v>
      </c>
      <c r="K145" s="40" t="s">
        <v>3707</v>
      </c>
      <c r="L145" s="40" t="s">
        <v>1826</v>
      </c>
      <c r="M145" s="40" t="s">
        <v>111</v>
      </c>
      <c r="N145" s="40" t="s">
        <v>1818</v>
      </c>
      <c r="O145" s="151" t="s">
        <v>3708</v>
      </c>
      <c r="P145" s="71" t="s">
        <v>19</v>
      </c>
      <c r="Q145" s="40" t="s">
        <v>3709</v>
      </c>
      <c r="R145" s="40" t="s">
        <v>3709</v>
      </c>
      <c r="S145" s="40" t="s">
        <v>3701</v>
      </c>
      <c r="T145" s="130" t="s">
        <v>3710</v>
      </c>
      <c r="U145" s="40" t="s">
        <v>3711</v>
      </c>
      <c r="V145" s="40">
        <v>1</v>
      </c>
      <c r="W145" s="40" t="s">
        <v>3712</v>
      </c>
      <c r="X145" s="40" t="s">
        <v>3713</v>
      </c>
      <c r="Y145" s="150"/>
      <c r="Z145" s="150">
        <v>8</v>
      </c>
      <c r="AA145" s="150">
        <v>8</v>
      </c>
      <c r="AB145" s="35" t="s">
        <v>1104</v>
      </c>
      <c r="AC145" s="202" t="s">
        <v>1880</v>
      </c>
      <c r="AD145" s="35" t="s">
        <v>1880</v>
      </c>
      <c r="AE145" s="40"/>
    </row>
    <row r="146" spans="1:31" s="46" customFormat="1" ht="27.95" customHeight="1" x14ac:dyDescent="0.15">
      <c r="A146" s="8">
        <v>144</v>
      </c>
      <c r="B146" s="8" t="s">
        <v>3714</v>
      </c>
      <c r="C146" s="40" t="s">
        <v>111</v>
      </c>
      <c r="D146" s="26" t="s">
        <v>4341</v>
      </c>
      <c r="E146" s="40" t="s">
        <v>111</v>
      </c>
      <c r="F146" s="151" t="s">
        <v>4790</v>
      </c>
      <c r="G146" s="151" t="s">
        <v>3715</v>
      </c>
      <c r="H146" s="40" t="s">
        <v>3716</v>
      </c>
      <c r="I146" s="40" t="s">
        <v>3717</v>
      </c>
      <c r="J146" s="40" t="s">
        <v>3718</v>
      </c>
      <c r="K146" s="40" t="s">
        <v>3719</v>
      </c>
      <c r="L146" s="40" t="s">
        <v>1826</v>
      </c>
      <c r="M146" s="40" t="s">
        <v>111</v>
      </c>
      <c r="N146" s="40" t="s">
        <v>1818</v>
      </c>
      <c r="O146" s="151" t="s">
        <v>3720</v>
      </c>
      <c r="P146" s="71" t="s">
        <v>19</v>
      </c>
      <c r="Q146" s="40" t="s">
        <v>3721</v>
      </c>
      <c r="R146" s="40" t="s">
        <v>3721</v>
      </c>
      <c r="S146" s="40" t="s">
        <v>3701</v>
      </c>
      <c r="T146" s="130" t="s">
        <v>3722</v>
      </c>
      <c r="U146" s="40" t="s">
        <v>3711</v>
      </c>
      <c r="V146" s="40">
        <v>1</v>
      </c>
      <c r="W146" s="24" t="s">
        <v>111</v>
      </c>
      <c r="X146" s="24" t="s">
        <v>111</v>
      </c>
      <c r="Y146" s="217">
        <v>1.0715520000000001</v>
      </c>
      <c r="Z146" s="150"/>
      <c r="AA146" s="217">
        <v>1.0715520000000001</v>
      </c>
      <c r="AB146" s="35" t="s">
        <v>1104</v>
      </c>
      <c r="AC146" s="202" t="s">
        <v>1880</v>
      </c>
      <c r="AD146" s="35" t="s">
        <v>1880</v>
      </c>
      <c r="AE146" s="309" t="s">
        <v>5101</v>
      </c>
    </row>
    <row r="147" spans="1:31" s="46" customFormat="1" ht="27.95" customHeight="1" x14ac:dyDescent="0.15">
      <c r="A147" s="8">
        <v>145</v>
      </c>
      <c r="B147" s="8" t="s">
        <v>3723</v>
      </c>
      <c r="C147" s="40" t="s">
        <v>111</v>
      </c>
      <c r="D147" s="26" t="s">
        <v>4343</v>
      </c>
      <c r="E147" s="40" t="s">
        <v>111</v>
      </c>
      <c r="F147" s="54" t="s">
        <v>2037</v>
      </c>
      <c r="G147" s="151" t="s">
        <v>3724</v>
      </c>
      <c r="H147" s="40" t="s">
        <v>3716</v>
      </c>
      <c r="I147" s="40" t="s">
        <v>3717</v>
      </c>
      <c r="J147" s="40" t="s">
        <v>3725</v>
      </c>
      <c r="K147" s="40" t="s">
        <v>3726</v>
      </c>
      <c r="L147" s="40" t="s">
        <v>1826</v>
      </c>
      <c r="M147" s="40" t="s">
        <v>111</v>
      </c>
      <c r="N147" s="40" t="s">
        <v>1818</v>
      </c>
      <c r="O147" s="151" t="s">
        <v>3720</v>
      </c>
      <c r="P147" s="71" t="s">
        <v>19</v>
      </c>
      <c r="Q147" s="40" t="s">
        <v>3721</v>
      </c>
      <c r="R147" s="40" t="s">
        <v>3721</v>
      </c>
      <c r="S147" s="40" t="s">
        <v>3701</v>
      </c>
      <c r="T147" s="130" t="s">
        <v>3722</v>
      </c>
      <c r="U147" s="40" t="s">
        <v>3711</v>
      </c>
      <c r="V147" s="40">
        <v>1</v>
      </c>
      <c r="W147" s="24" t="s">
        <v>111</v>
      </c>
      <c r="X147" s="24" t="s">
        <v>111</v>
      </c>
      <c r="Y147" s="217">
        <v>2.2989660000000001</v>
      </c>
      <c r="Z147" s="150"/>
      <c r="AA147" s="217">
        <v>2.2989660000000001</v>
      </c>
      <c r="AB147" s="35" t="s">
        <v>1104</v>
      </c>
      <c r="AC147" s="202" t="s">
        <v>1880</v>
      </c>
      <c r="AD147" s="35" t="s">
        <v>1880</v>
      </c>
      <c r="AE147" s="309" t="s">
        <v>5102</v>
      </c>
    </row>
    <row r="148" spans="1:31" s="46" customFormat="1" ht="27.95" customHeight="1" x14ac:dyDescent="0.15">
      <c r="A148" s="8">
        <v>146</v>
      </c>
      <c r="B148" s="8" t="s">
        <v>3727</v>
      </c>
      <c r="C148" s="40" t="s">
        <v>111</v>
      </c>
      <c r="D148" s="26" t="s">
        <v>4342</v>
      </c>
      <c r="E148" s="40" t="s">
        <v>111</v>
      </c>
      <c r="F148" s="54" t="s">
        <v>2028</v>
      </c>
      <c r="G148" s="151" t="s">
        <v>3728</v>
      </c>
      <c r="H148" s="40" t="s">
        <v>3716</v>
      </c>
      <c r="I148" s="40" t="s">
        <v>3717</v>
      </c>
      <c r="J148" s="40" t="s">
        <v>3729</v>
      </c>
      <c r="K148" s="40" t="s">
        <v>3730</v>
      </c>
      <c r="L148" s="40" t="s">
        <v>1826</v>
      </c>
      <c r="M148" s="40" t="s">
        <v>111</v>
      </c>
      <c r="N148" s="40" t="s">
        <v>1818</v>
      </c>
      <c r="O148" s="151" t="s">
        <v>3720</v>
      </c>
      <c r="P148" s="71" t="s">
        <v>19</v>
      </c>
      <c r="Q148" s="40" t="s">
        <v>3721</v>
      </c>
      <c r="R148" s="40" t="s">
        <v>3721</v>
      </c>
      <c r="S148" s="40" t="s">
        <v>3701</v>
      </c>
      <c r="T148" s="130" t="s">
        <v>3722</v>
      </c>
      <c r="U148" s="40" t="s">
        <v>3711</v>
      </c>
      <c r="V148" s="40">
        <v>1</v>
      </c>
      <c r="W148" s="24" t="s">
        <v>111</v>
      </c>
      <c r="X148" s="24" t="s">
        <v>111</v>
      </c>
      <c r="Y148" s="217">
        <v>3.857586</v>
      </c>
      <c r="Z148" s="150"/>
      <c r="AA148" s="217">
        <v>3.857586</v>
      </c>
      <c r="AB148" s="35" t="s">
        <v>1104</v>
      </c>
      <c r="AC148" s="202" t="s">
        <v>1880</v>
      </c>
      <c r="AD148" s="35" t="s">
        <v>1880</v>
      </c>
      <c r="AE148" s="309" t="s">
        <v>5103</v>
      </c>
    </row>
    <row r="149" spans="1:31" s="46" customFormat="1" ht="27.95" customHeight="1" x14ac:dyDescent="0.15">
      <c r="A149" s="8">
        <v>147</v>
      </c>
      <c r="B149" s="8" t="s">
        <v>3731</v>
      </c>
      <c r="C149" s="40" t="s">
        <v>111</v>
      </c>
      <c r="D149" s="40" t="s">
        <v>111</v>
      </c>
      <c r="E149" s="40" t="s">
        <v>111</v>
      </c>
      <c r="F149" s="151" t="s">
        <v>3187</v>
      </c>
      <c r="G149" s="54" t="s">
        <v>3732</v>
      </c>
      <c r="H149" s="40" t="s">
        <v>3733</v>
      </c>
      <c r="I149" s="40" t="s">
        <v>3734</v>
      </c>
      <c r="J149" s="44" t="s">
        <v>3735</v>
      </c>
      <c r="K149" s="44" t="s">
        <v>3736</v>
      </c>
      <c r="L149" s="40" t="s">
        <v>1826</v>
      </c>
      <c r="M149" s="40" t="s">
        <v>111</v>
      </c>
      <c r="N149" s="40" t="s">
        <v>1818</v>
      </c>
      <c r="O149" s="151" t="s">
        <v>3737</v>
      </c>
      <c r="P149" s="71" t="s">
        <v>19</v>
      </c>
      <c r="Q149" s="82" t="s">
        <v>3779</v>
      </c>
      <c r="R149" s="40" t="s">
        <v>3738</v>
      </c>
      <c r="S149" s="40" t="s">
        <v>3701</v>
      </c>
      <c r="T149" s="130" t="s">
        <v>3710</v>
      </c>
      <c r="U149" s="40" t="s">
        <v>3711</v>
      </c>
      <c r="V149" s="40">
        <v>1</v>
      </c>
      <c r="W149" s="40" t="s">
        <v>3739</v>
      </c>
      <c r="X149" s="40" t="s">
        <v>3713</v>
      </c>
      <c r="Y149" s="150"/>
      <c r="Z149" s="150">
        <v>6.4</v>
      </c>
      <c r="AA149" s="150">
        <v>6.4</v>
      </c>
      <c r="AB149" s="35" t="s">
        <v>1104</v>
      </c>
      <c r="AC149" s="202" t="s">
        <v>1880</v>
      </c>
      <c r="AD149" s="35" t="s">
        <v>1880</v>
      </c>
      <c r="AE149" s="40"/>
    </row>
    <row r="150" spans="1:31" s="46" customFormat="1" ht="27.95" customHeight="1" x14ac:dyDescent="0.15">
      <c r="A150" s="8">
        <v>148</v>
      </c>
      <c r="B150" s="8" t="s">
        <v>3740</v>
      </c>
      <c r="C150" s="40" t="s">
        <v>111</v>
      </c>
      <c r="D150" s="40" t="s">
        <v>111</v>
      </c>
      <c r="E150" s="40" t="s">
        <v>111</v>
      </c>
      <c r="F150" s="151" t="s">
        <v>3741</v>
      </c>
      <c r="G150" s="54" t="s">
        <v>3742</v>
      </c>
      <c r="H150" s="40" t="s">
        <v>3733</v>
      </c>
      <c r="I150" s="40" t="s">
        <v>3734</v>
      </c>
      <c r="J150" s="40" t="s">
        <v>3743</v>
      </c>
      <c r="K150" s="44" t="s">
        <v>2060</v>
      </c>
      <c r="L150" s="40" t="s">
        <v>1826</v>
      </c>
      <c r="M150" s="40" t="s">
        <v>111</v>
      </c>
      <c r="N150" s="40" t="s">
        <v>1818</v>
      </c>
      <c r="O150" s="151" t="s">
        <v>3737</v>
      </c>
      <c r="P150" s="71" t="s">
        <v>19</v>
      </c>
      <c r="Q150" s="82" t="s">
        <v>3779</v>
      </c>
      <c r="R150" s="40" t="s">
        <v>3738</v>
      </c>
      <c r="S150" s="40" t="s">
        <v>3701</v>
      </c>
      <c r="T150" s="130" t="s">
        <v>3710</v>
      </c>
      <c r="U150" s="40" t="s">
        <v>3711</v>
      </c>
      <c r="V150" s="40">
        <v>1</v>
      </c>
      <c r="W150" s="40" t="s">
        <v>3739</v>
      </c>
      <c r="X150" s="40" t="s">
        <v>3713</v>
      </c>
      <c r="Y150" s="150"/>
      <c r="Z150" s="150">
        <v>6.4</v>
      </c>
      <c r="AA150" s="150">
        <v>6.4</v>
      </c>
      <c r="AB150" s="35" t="s">
        <v>1104</v>
      </c>
      <c r="AC150" s="202" t="s">
        <v>1880</v>
      </c>
      <c r="AD150" s="35" t="s">
        <v>1880</v>
      </c>
      <c r="AE150" s="40"/>
    </row>
    <row r="151" spans="1:31" s="46" customFormat="1" ht="27.95" customHeight="1" x14ac:dyDescent="0.15">
      <c r="A151" s="8">
        <v>149</v>
      </c>
      <c r="B151" s="8" t="s">
        <v>3745</v>
      </c>
      <c r="C151" s="40" t="s">
        <v>111</v>
      </c>
      <c r="D151" s="40" t="s">
        <v>111</v>
      </c>
      <c r="E151" s="40" t="s">
        <v>111</v>
      </c>
      <c r="F151" s="151" t="s">
        <v>2048</v>
      </c>
      <c r="G151" s="54" t="s">
        <v>3746</v>
      </c>
      <c r="H151" s="40" t="s">
        <v>3733</v>
      </c>
      <c r="I151" s="40" t="s">
        <v>3734</v>
      </c>
      <c r="J151" s="40" t="s">
        <v>3747</v>
      </c>
      <c r="K151" s="44" t="s">
        <v>2060</v>
      </c>
      <c r="L151" s="40" t="s">
        <v>1826</v>
      </c>
      <c r="M151" s="40" t="s">
        <v>111</v>
      </c>
      <c r="N151" s="40" t="s">
        <v>1818</v>
      </c>
      <c r="O151" s="151" t="s">
        <v>3737</v>
      </c>
      <c r="P151" s="71" t="s">
        <v>19</v>
      </c>
      <c r="Q151" s="82" t="s">
        <v>3779</v>
      </c>
      <c r="R151" s="40" t="s">
        <v>3738</v>
      </c>
      <c r="S151" s="40" t="s">
        <v>3701</v>
      </c>
      <c r="T151" s="130" t="s">
        <v>3710</v>
      </c>
      <c r="U151" s="40" t="s">
        <v>3711</v>
      </c>
      <c r="V151" s="40">
        <v>1</v>
      </c>
      <c r="W151" s="40" t="s">
        <v>3739</v>
      </c>
      <c r="X151" s="40" t="s">
        <v>3713</v>
      </c>
      <c r="Y151" s="150"/>
      <c r="Z151" s="150">
        <v>6.4</v>
      </c>
      <c r="AA151" s="150">
        <v>6.4</v>
      </c>
      <c r="AB151" s="35" t="s">
        <v>1104</v>
      </c>
      <c r="AC151" s="202" t="s">
        <v>1880</v>
      </c>
      <c r="AD151" s="35" t="s">
        <v>1880</v>
      </c>
      <c r="AE151" s="40"/>
    </row>
    <row r="152" spans="1:31" s="46" customFormat="1" ht="46.5" customHeight="1" x14ac:dyDescent="0.15">
      <c r="A152" s="8">
        <v>150</v>
      </c>
      <c r="B152" s="8" t="s">
        <v>3748</v>
      </c>
      <c r="C152" s="40" t="s">
        <v>111</v>
      </c>
      <c r="D152" s="40" t="s">
        <v>111</v>
      </c>
      <c r="E152" s="40" t="s">
        <v>111</v>
      </c>
      <c r="F152" s="151" t="s">
        <v>3749</v>
      </c>
      <c r="G152" s="54" t="s">
        <v>3750</v>
      </c>
      <c r="H152" s="40" t="s">
        <v>3733</v>
      </c>
      <c r="I152" s="40" t="s">
        <v>3734</v>
      </c>
      <c r="J152" s="40" t="s">
        <v>3751</v>
      </c>
      <c r="K152" s="9" t="s">
        <v>3752</v>
      </c>
      <c r="L152" s="40" t="s">
        <v>1826</v>
      </c>
      <c r="M152" s="40" t="s">
        <v>111</v>
      </c>
      <c r="N152" s="40" t="s">
        <v>1818</v>
      </c>
      <c r="O152" s="151" t="s">
        <v>3737</v>
      </c>
      <c r="P152" s="71" t="s">
        <v>19</v>
      </c>
      <c r="Q152" s="82" t="s">
        <v>3779</v>
      </c>
      <c r="R152" s="40" t="s">
        <v>3738</v>
      </c>
      <c r="S152" s="40" t="s">
        <v>3701</v>
      </c>
      <c r="T152" s="130" t="s">
        <v>3710</v>
      </c>
      <c r="U152" s="40" t="s">
        <v>3711</v>
      </c>
      <c r="V152" s="40">
        <v>1</v>
      </c>
      <c r="W152" s="40" t="s">
        <v>3739</v>
      </c>
      <c r="X152" s="40" t="s">
        <v>3713</v>
      </c>
      <c r="Y152" s="150"/>
      <c r="Z152" s="150">
        <v>6.4</v>
      </c>
      <c r="AA152" s="150">
        <v>6.4</v>
      </c>
      <c r="AB152" s="35" t="s">
        <v>1104</v>
      </c>
      <c r="AC152" s="202" t="s">
        <v>1880</v>
      </c>
      <c r="AD152" s="35" t="s">
        <v>1880</v>
      </c>
      <c r="AE152" s="40"/>
    </row>
    <row r="153" spans="1:31" s="46" customFormat="1" ht="27.95" customHeight="1" x14ac:dyDescent="0.15">
      <c r="A153" s="8">
        <v>151</v>
      </c>
      <c r="B153" s="8" t="s">
        <v>3753</v>
      </c>
      <c r="C153" s="40" t="s">
        <v>111</v>
      </c>
      <c r="D153" s="40" t="s">
        <v>111</v>
      </c>
      <c r="E153" s="40" t="s">
        <v>111</v>
      </c>
      <c r="F153" s="151" t="s">
        <v>3754</v>
      </c>
      <c r="G153" s="54" t="s">
        <v>3755</v>
      </c>
      <c r="H153" s="40" t="s">
        <v>3733</v>
      </c>
      <c r="I153" s="40" t="s">
        <v>3734</v>
      </c>
      <c r="J153" s="40" t="s">
        <v>3756</v>
      </c>
      <c r="K153" s="9" t="s">
        <v>3744</v>
      </c>
      <c r="L153" s="40" t="s">
        <v>1826</v>
      </c>
      <c r="M153" s="40" t="s">
        <v>111</v>
      </c>
      <c r="N153" s="40" t="s">
        <v>1818</v>
      </c>
      <c r="O153" s="151" t="s">
        <v>3737</v>
      </c>
      <c r="P153" s="71" t="s">
        <v>19</v>
      </c>
      <c r="Q153" s="82" t="s">
        <v>3779</v>
      </c>
      <c r="R153" s="40" t="s">
        <v>3738</v>
      </c>
      <c r="S153" s="40" t="s">
        <v>3701</v>
      </c>
      <c r="T153" s="130" t="s">
        <v>3710</v>
      </c>
      <c r="U153" s="40" t="s">
        <v>3711</v>
      </c>
      <c r="V153" s="40">
        <v>1</v>
      </c>
      <c r="W153" s="40" t="s">
        <v>3739</v>
      </c>
      <c r="X153" s="40" t="s">
        <v>3713</v>
      </c>
      <c r="Y153" s="150"/>
      <c r="Z153" s="150">
        <v>6.4</v>
      </c>
      <c r="AA153" s="150">
        <v>6.4</v>
      </c>
      <c r="AB153" s="35" t="s">
        <v>1104</v>
      </c>
      <c r="AC153" s="202" t="s">
        <v>1880</v>
      </c>
      <c r="AD153" s="35" t="s">
        <v>1880</v>
      </c>
      <c r="AE153" s="40"/>
    </row>
    <row r="154" spans="1:31" s="46" customFormat="1" ht="36" customHeight="1" x14ac:dyDescent="0.15">
      <c r="A154" s="8">
        <v>152</v>
      </c>
      <c r="B154" s="8" t="s">
        <v>3757</v>
      </c>
      <c r="C154" s="40" t="s">
        <v>111</v>
      </c>
      <c r="D154" s="40" t="s">
        <v>111</v>
      </c>
      <c r="E154" s="40" t="s">
        <v>111</v>
      </c>
      <c r="F154" s="151" t="s">
        <v>3758</v>
      </c>
      <c r="G154" s="54" t="s">
        <v>3759</v>
      </c>
      <c r="H154" s="40" t="s">
        <v>3733</v>
      </c>
      <c r="I154" s="40" t="s">
        <v>3734</v>
      </c>
      <c r="J154" s="40" t="s">
        <v>3760</v>
      </c>
      <c r="K154" s="9" t="s">
        <v>3752</v>
      </c>
      <c r="L154" s="40" t="s">
        <v>1826</v>
      </c>
      <c r="M154" s="40" t="s">
        <v>111</v>
      </c>
      <c r="N154" s="40" t="s">
        <v>1818</v>
      </c>
      <c r="O154" s="151" t="s">
        <v>3737</v>
      </c>
      <c r="P154" s="71" t="s">
        <v>19</v>
      </c>
      <c r="Q154" s="82" t="s">
        <v>3779</v>
      </c>
      <c r="R154" s="40" t="s">
        <v>3738</v>
      </c>
      <c r="S154" s="40" t="s">
        <v>3701</v>
      </c>
      <c r="T154" s="130" t="s">
        <v>3710</v>
      </c>
      <c r="U154" s="40" t="s">
        <v>3711</v>
      </c>
      <c r="V154" s="40">
        <v>1</v>
      </c>
      <c r="W154" s="40" t="s">
        <v>3739</v>
      </c>
      <c r="X154" s="40" t="s">
        <v>3713</v>
      </c>
      <c r="Y154" s="150"/>
      <c r="Z154" s="150">
        <v>6.4</v>
      </c>
      <c r="AA154" s="150">
        <v>6.4</v>
      </c>
      <c r="AB154" s="35" t="s">
        <v>1104</v>
      </c>
      <c r="AC154" s="202" t="s">
        <v>1880</v>
      </c>
      <c r="AD154" s="35" t="s">
        <v>1880</v>
      </c>
      <c r="AE154" s="40"/>
    </row>
    <row r="155" spans="1:31" s="46" customFormat="1" ht="52.5" customHeight="1" x14ac:dyDescent="0.15">
      <c r="A155" s="8">
        <v>153</v>
      </c>
      <c r="B155" s="8" t="s">
        <v>3761</v>
      </c>
      <c r="C155" s="40" t="s">
        <v>111</v>
      </c>
      <c r="D155" s="40" t="s">
        <v>111</v>
      </c>
      <c r="E155" s="40" t="s">
        <v>111</v>
      </c>
      <c r="F155" s="151" t="s">
        <v>3762</v>
      </c>
      <c r="G155" s="54" t="s">
        <v>3763</v>
      </c>
      <c r="H155" s="40" t="s">
        <v>3733</v>
      </c>
      <c r="I155" s="40" t="s">
        <v>3734</v>
      </c>
      <c r="J155" s="40" t="s">
        <v>3764</v>
      </c>
      <c r="K155" s="9" t="s">
        <v>3752</v>
      </c>
      <c r="L155" s="40" t="s">
        <v>1826</v>
      </c>
      <c r="M155" s="40" t="s">
        <v>111</v>
      </c>
      <c r="N155" s="40" t="s">
        <v>1818</v>
      </c>
      <c r="O155" s="151" t="s">
        <v>3737</v>
      </c>
      <c r="P155" s="71" t="s">
        <v>19</v>
      </c>
      <c r="Q155" s="82" t="s">
        <v>3779</v>
      </c>
      <c r="R155" s="40" t="s">
        <v>3738</v>
      </c>
      <c r="S155" s="40" t="s">
        <v>3701</v>
      </c>
      <c r="T155" s="130" t="s">
        <v>3710</v>
      </c>
      <c r="U155" s="40" t="s">
        <v>3711</v>
      </c>
      <c r="V155" s="40">
        <v>1</v>
      </c>
      <c r="W155" s="40" t="s">
        <v>3739</v>
      </c>
      <c r="X155" s="40" t="s">
        <v>3713</v>
      </c>
      <c r="Y155" s="150"/>
      <c r="Z155" s="150">
        <v>6.4</v>
      </c>
      <c r="AA155" s="150">
        <v>6.4</v>
      </c>
      <c r="AB155" s="35" t="s">
        <v>1104</v>
      </c>
      <c r="AC155" s="202" t="s">
        <v>1880</v>
      </c>
      <c r="AD155" s="35" t="s">
        <v>1880</v>
      </c>
      <c r="AE155" s="40"/>
    </row>
    <row r="156" spans="1:31" s="46" customFormat="1" ht="37.5" customHeight="1" x14ac:dyDescent="0.15">
      <c r="A156" s="8">
        <v>154</v>
      </c>
      <c r="B156" s="8" t="s">
        <v>3765</v>
      </c>
      <c r="C156" s="40" t="s">
        <v>111</v>
      </c>
      <c r="D156" s="40" t="s">
        <v>111</v>
      </c>
      <c r="E156" s="40" t="s">
        <v>111</v>
      </c>
      <c r="F156" s="151" t="s">
        <v>3766</v>
      </c>
      <c r="G156" s="54" t="s">
        <v>3767</v>
      </c>
      <c r="H156" s="40" t="s">
        <v>3733</v>
      </c>
      <c r="I156" s="40" t="s">
        <v>3734</v>
      </c>
      <c r="J156" s="40" t="s">
        <v>3768</v>
      </c>
      <c r="K156" s="9" t="s">
        <v>3752</v>
      </c>
      <c r="L156" s="40" t="s">
        <v>1826</v>
      </c>
      <c r="M156" s="40" t="s">
        <v>111</v>
      </c>
      <c r="N156" s="40" t="s">
        <v>1818</v>
      </c>
      <c r="O156" s="151" t="s">
        <v>3737</v>
      </c>
      <c r="P156" s="71" t="s">
        <v>19</v>
      </c>
      <c r="Q156" s="82" t="s">
        <v>3779</v>
      </c>
      <c r="R156" s="40" t="s">
        <v>3738</v>
      </c>
      <c r="S156" s="40" t="s">
        <v>3701</v>
      </c>
      <c r="T156" s="130" t="s">
        <v>3710</v>
      </c>
      <c r="U156" s="40" t="s">
        <v>3711</v>
      </c>
      <c r="V156" s="40">
        <v>1</v>
      </c>
      <c r="W156" s="40" t="s">
        <v>3739</v>
      </c>
      <c r="X156" s="40" t="s">
        <v>3713</v>
      </c>
      <c r="Y156" s="150"/>
      <c r="Z156" s="150">
        <v>6.4</v>
      </c>
      <c r="AA156" s="150">
        <v>6.4</v>
      </c>
      <c r="AB156" s="35" t="s">
        <v>1104</v>
      </c>
      <c r="AC156" s="202" t="s">
        <v>1880</v>
      </c>
      <c r="AD156" s="35" t="s">
        <v>1880</v>
      </c>
      <c r="AE156" s="40"/>
    </row>
    <row r="157" spans="1:31" s="46" customFormat="1" ht="27.95" customHeight="1" x14ac:dyDescent="0.15">
      <c r="A157" s="8">
        <v>155</v>
      </c>
      <c r="B157" s="8" t="s">
        <v>3769</v>
      </c>
      <c r="C157" s="40" t="s">
        <v>111</v>
      </c>
      <c r="D157" s="40" t="s">
        <v>111</v>
      </c>
      <c r="E157" s="40" t="s">
        <v>111</v>
      </c>
      <c r="F157" s="151" t="s">
        <v>3770</v>
      </c>
      <c r="G157" s="54" t="s">
        <v>3771</v>
      </c>
      <c r="H157" s="40" t="s">
        <v>3733</v>
      </c>
      <c r="I157" s="40" t="s">
        <v>3734</v>
      </c>
      <c r="J157" s="40" t="s">
        <v>3772</v>
      </c>
      <c r="K157" s="9" t="s">
        <v>3773</v>
      </c>
      <c r="L157" s="40" t="s">
        <v>1826</v>
      </c>
      <c r="M157" s="40" t="s">
        <v>111</v>
      </c>
      <c r="N157" s="40" t="s">
        <v>1818</v>
      </c>
      <c r="O157" s="151" t="s">
        <v>3737</v>
      </c>
      <c r="P157" s="71" t="s">
        <v>19</v>
      </c>
      <c r="Q157" s="82" t="s">
        <v>3779</v>
      </c>
      <c r="R157" s="40" t="s">
        <v>3738</v>
      </c>
      <c r="S157" s="40" t="s">
        <v>3701</v>
      </c>
      <c r="T157" s="130" t="s">
        <v>3710</v>
      </c>
      <c r="U157" s="40" t="s">
        <v>3711</v>
      </c>
      <c r="V157" s="40">
        <v>1</v>
      </c>
      <c r="W157" s="40" t="s">
        <v>3739</v>
      </c>
      <c r="X157" s="40" t="s">
        <v>3713</v>
      </c>
      <c r="Y157" s="150"/>
      <c r="Z157" s="150">
        <v>6.4</v>
      </c>
      <c r="AA157" s="150">
        <v>6.4</v>
      </c>
      <c r="AB157" s="35" t="s">
        <v>1104</v>
      </c>
      <c r="AC157" s="202" t="s">
        <v>1880</v>
      </c>
      <c r="AD157" s="35" t="s">
        <v>1880</v>
      </c>
      <c r="AE157" s="40"/>
    </row>
    <row r="158" spans="1:31" s="46" customFormat="1" ht="27.95" customHeight="1" x14ac:dyDescent="0.15">
      <c r="A158" s="8">
        <v>156</v>
      </c>
      <c r="B158" s="8" t="s">
        <v>3774</v>
      </c>
      <c r="C158" s="40" t="s">
        <v>111</v>
      </c>
      <c r="D158" s="40" t="s">
        <v>111</v>
      </c>
      <c r="E158" s="40" t="s">
        <v>111</v>
      </c>
      <c r="F158" s="151" t="s">
        <v>3775</v>
      </c>
      <c r="G158" s="54" t="s">
        <v>3776</v>
      </c>
      <c r="H158" s="40" t="s">
        <v>3733</v>
      </c>
      <c r="I158" s="40" t="s">
        <v>3734</v>
      </c>
      <c r="J158" s="40" t="s">
        <v>3777</v>
      </c>
      <c r="K158" s="9" t="s">
        <v>3773</v>
      </c>
      <c r="L158" s="40" t="s">
        <v>1826</v>
      </c>
      <c r="M158" s="40" t="s">
        <v>111</v>
      </c>
      <c r="N158" s="40" t="s">
        <v>1818</v>
      </c>
      <c r="O158" s="151" t="s">
        <v>3737</v>
      </c>
      <c r="P158" s="71" t="s">
        <v>19</v>
      </c>
      <c r="Q158" s="82" t="s">
        <v>3779</v>
      </c>
      <c r="R158" s="40" t="s">
        <v>3738</v>
      </c>
      <c r="S158" s="40" t="s">
        <v>3701</v>
      </c>
      <c r="T158" s="130" t="s">
        <v>3710</v>
      </c>
      <c r="U158" s="40" t="s">
        <v>3711</v>
      </c>
      <c r="V158" s="40">
        <v>1</v>
      </c>
      <c r="W158" s="40" t="s">
        <v>3739</v>
      </c>
      <c r="X158" s="40" t="s">
        <v>3713</v>
      </c>
      <c r="Y158" s="150"/>
      <c r="Z158" s="150">
        <v>6.4</v>
      </c>
      <c r="AA158" s="150">
        <v>6.4</v>
      </c>
      <c r="AB158" s="35" t="s">
        <v>1104</v>
      </c>
      <c r="AC158" s="202" t="s">
        <v>1880</v>
      </c>
      <c r="AD158" s="35" t="s">
        <v>1880</v>
      </c>
      <c r="AE158" s="40"/>
    </row>
    <row r="159" spans="1:31" s="46" customFormat="1" ht="27.95" customHeight="1" x14ac:dyDescent="0.15">
      <c r="A159" s="8">
        <v>157</v>
      </c>
      <c r="B159" s="8" t="s">
        <v>3811</v>
      </c>
      <c r="C159" s="40" t="s">
        <v>3793</v>
      </c>
      <c r="D159" s="40" t="s">
        <v>111</v>
      </c>
      <c r="E159" s="40" t="s">
        <v>111</v>
      </c>
      <c r="F159" s="151" t="s">
        <v>412</v>
      </c>
      <c r="G159" s="54" t="s">
        <v>3788</v>
      </c>
      <c r="H159" s="40" t="s">
        <v>3789</v>
      </c>
      <c r="I159" s="40" t="s">
        <v>3790</v>
      </c>
      <c r="J159" s="40" t="s">
        <v>3791</v>
      </c>
      <c r="K159" s="40" t="s">
        <v>3792</v>
      </c>
      <c r="L159" s="40" t="s">
        <v>1826</v>
      </c>
      <c r="M159" s="40" t="s">
        <v>111</v>
      </c>
      <c r="N159" s="71" t="s">
        <v>686</v>
      </c>
      <c r="O159" s="76" t="s">
        <v>3794</v>
      </c>
      <c r="P159" s="71" t="s">
        <v>19</v>
      </c>
      <c r="Q159" s="40" t="s">
        <v>3795</v>
      </c>
      <c r="R159" s="40" t="s">
        <v>3796</v>
      </c>
      <c r="S159" s="40" t="s">
        <v>3797</v>
      </c>
      <c r="T159" s="130" t="s">
        <v>3798</v>
      </c>
      <c r="U159" s="40" t="s">
        <v>1800</v>
      </c>
      <c r="V159" s="10">
        <v>1</v>
      </c>
      <c r="W159" s="24" t="s">
        <v>111</v>
      </c>
      <c r="X159" s="24" t="s">
        <v>111</v>
      </c>
      <c r="Y159" s="150">
        <v>2.8736999999999999</v>
      </c>
      <c r="Z159" s="150"/>
      <c r="AA159" s="150">
        <v>2.8736999999999999</v>
      </c>
      <c r="AB159" s="35" t="s">
        <v>1104</v>
      </c>
      <c r="AC159" s="202" t="s">
        <v>1880</v>
      </c>
      <c r="AD159" s="35" t="s">
        <v>1880</v>
      </c>
      <c r="AE159" s="1954" t="s">
        <v>5426</v>
      </c>
    </row>
    <row r="160" spans="1:31" s="46" customFormat="1" ht="27.95" customHeight="1" x14ac:dyDescent="0.15">
      <c r="A160" s="8">
        <v>158</v>
      </c>
      <c r="B160" s="8" t="s">
        <v>3810</v>
      </c>
      <c r="C160" s="40" t="s">
        <v>3799</v>
      </c>
      <c r="D160" s="40" t="s">
        <v>111</v>
      </c>
      <c r="E160" s="40" t="s">
        <v>111</v>
      </c>
      <c r="F160" s="151" t="s">
        <v>412</v>
      </c>
      <c r="G160" s="54" t="s">
        <v>3800</v>
      </c>
      <c r="H160" s="40" t="s">
        <v>3789</v>
      </c>
      <c r="I160" s="40" t="s">
        <v>3790</v>
      </c>
      <c r="J160" s="40" t="s">
        <v>3801</v>
      </c>
      <c r="K160" s="40" t="s">
        <v>3792</v>
      </c>
      <c r="L160" s="40" t="s">
        <v>1826</v>
      </c>
      <c r="M160" s="40" t="s">
        <v>111</v>
      </c>
      <c r="N160" s="71" t="s">
        <v>686</v>
      </c>
      <c r="O160" s="76" t="s">
        <v>3794</v>
      </c>
      <c r="P160" s="71" t="s">
        <v>19</v>
      </c>
      <c r="Q160" s="40" t="s">
        <v>3795</v>
      </c>
      <c r="R160" s="40" t="s">
        <v>3796</v>
      </c>
      <c r="S160" s="40" t="s">
        <v>3797</v>
      </c>
      <c r="T160" s="130" t="s">
        <v>3798</v>
      </c>
      <c r="U160" s="40" t="s">
        <v>1800</v>
      </c>
      <c r="V160" s="10">
        <v>1</v>
      </c>
      <c r="W160" s="24" t="s">
        <v>111</v>
      </c>
      <c r="X160" s="24" t="s">
        <v>111</v>
      </c>
      <c r="Y160" s="150">
        <v>2.8736999999999999</v>
      </c>
      <c r="Z160" s="150"/>
      <c r="AA160" s="150">
        <v>2.8736999999999999</v>
      </c>
      <c r="AB160" s="35" t="s">
        <v>1104</v>
      </c>
      <c r="AC160" s="202" t="s">
        <v>1880</v>
      </c>
      <c r="AD160" s="35" t="s">
        <v>1880</v>
      </c>
      <c r="AE160" s="1956"/>
    </row>
    <row r="161" spans="1:31" s="46" customFormat="1" ht="27.95" customHeight="1" x14ac:dyDescent="0.15">
      <c r="A161" s="8">
        <v>159</v>
      </c>
      <c r="B161" s="8" t="s">
        <v>3809</v>
      </c>
      <c r="C161" s="40" t="s">
        <v>3802</v>
      </c>
      <c r="D161" s="40" t="s">
        <v>111</v>
      </c>
      <c r="E161" s="40" t="s">
        <v>111</v>
      </c>
      <c r="F161" s="151" t="s">
        <v>438</v>
      </c>
      <c r="G161" s="54" t="s">
        <v>3803</v>
      </c>
      <c r="H161" s="40" t="s">
        <v>3789</v>
      </c>
      <c r="I161" s="40" t="s">
        <v>3790</v>
      </c>
      <c r="J161" s="40" t="s">
        <v>3804</v>
      </c>
      <c r="K161" s="40" t="s">
        <v>3805</v>
      </c>
      <c r="L161" s="40" t="s">
        <v>1826</v>
      </c>
      <c r="M161" s="40" t="s">
        <v>111</v>
      </c>
      <c r="N161" s="71" t="s">
        <v>686</v>
      </c>
      <c r="O161" s="76" t="s">
        <v>4868</v>
      </c>
      <c r="P161" s="71" t="s">
        <v>19</v>
      </c>
      <c r="Q161" s="40" t="s">
        <v>3795</v>
      </c>
      <c r="R161" s="40" t="s">
        <v>3796</v>
      </c>
      <c r="S161" s="40" t="s">
        <v>3797</v>
      </c>
      <c r="T161" s="130" t="s">
        <v>3798</v>
      </c>
      <c r="U161" s="40" t="s">
        <v>1800</v>
      </c>
      <c r="V161" s="10">
        <v>1</v>
      </c>
      <c r="W161" s="24" t="s">
        <v>111</v>
      </c>
      <c r="X161" s="24" t="s">
        <v>111</v>
      </c>
      <c r="Y161" s="150">
        <v>2.8736999999999999</v>
      </c>
      <c r="Z161" s="150"/>
      <c r="AA161" s="150">
        <v>2.8736999999999999</v>
      </c>
      <c r="AB161" s="35" t="s">
        <v>1104</v>
      </c>
      <c r="AC161" s="202" t="s">
        <v>1880</v>
      </c>
      <c r="AD161" s="35" t="s">
        <v>1880</v>
      </c>
      <c r="AE161" s="1955"/>
    </row>
    <row r="162" spans="1:31" s="46" customFormat="1" ht="27.95" customHeight="1" x14ac:dyDescent="0.15">
      <c r="A162" s="8">
        <v>160</v>
      </c>
      <c r="B162" s="8" t="s">
        <v>3785</v>
      </c>
      <c r="C162" s="40" t="s">
        <v>111</v>
      </c>
      <c r="D162" s="40" t="s">
        <v>111</v>
      </c>
      <c r="E162" s="40" t="s">
        <v>111</v>
      </c>
      <c r="F162" s="151" t="s">
        <v>3816</v>
      </c>
      <c r="G162" s="151" t="s">
        <v>3806</v>
      </c>
      <c r="H162" s="102" t="s">
        <v>1508</v>
      </c>
      <c r="I162" s="1" t="s">
        <v>2826</v>
      </c>
      <c r="J162" s="1" t="s">
        <v>3807</v>
      </c>
      <c r="K162" s="40" t="s">
        <v>3792</v>
      </c>
      <c r="L162" s="40" t="s">
        <v>1826</v>
      </c>
      <c r="M162" s="40" t="s">
        <v>111</v>
      </c>
      <c r="N162" s="40" t="s">
        <v>3808</v>
      </c>
      <c r="O162" s="151" t="s">
        <v>3812</v>
      </c>
      <c r="P162" s="71" t="s">
        <v>19</v>
      </c>
      <c r="Q162" s="40" t="s">
        <v>3813</v>
      </c>
      <c r="R162" s="40" t="s">
        <v>3813</v>
      </c>
      <c r="S162" s="40" t="s">
        <v>3797</v>
      </c>
      <c r="T162" s="130" t="s">
        <v>3814</v>
      </c>
      <c r="U162" s="40" t="s">
        <v>1800</v>
      </c>
      <c r="V162" s="10">
        <v>1</v>
      </c>
      <c r="W162" s="40" t="s">
        <v>3814</v>
      </c>
      <c r="X162" s="40" t="s">
        <v>3815</v>
      </c>
      <c r="Y162" s="150"/>
      <c r="Z162" s="150">
        <v>6</v>
      </c>
      <c r="AA162" s="150">
        <v>6</v>
      </c>
      <c r="AB162" s="35" t="s">
        <v>1104</v>
      </c>
      <c r="AC162" s="202" t="s">
        <v>1880</v>
      </c>
      <c r="AD162" s="35" t="s">
        <v>1880</v>
      </c>
      <c r="AE162" s="40"/>
    </row>
    <row r="163" spans="1:31" s="46" customFormat="1" ht="27.95" customHeight="1" x14ac:dyDescent="0.15">
      <c r="A163" s="8">
        <v>161</v>
      </c>
      <c r="B163" s="8" t="s">
        <v>3786</v>
      </c>
      <c r="C163" s="40" t="s">
        <v>111</v>
      </c>
      <c r="D163" s="40" t="s">
        <v>111</v>
      </c>
      <c r="E163" s="40" t="s">
        <v>111</v>
      </c>
      <c r="F163" s="151" t="s">
        <v>3817</v>
      </c>
      <c r="G163" s="151" t="s">
        <v>3818</v>
      </c>
      <c r="H163" s="40" t="s">
        <v>3819</v>
      </c>
      <c r="I163" s="40" t="s">
        <v>3820</v>
      </c>
      <c r="J163" s="40" t="s">
        <v>3821</v>
      </c>
      <c r="K163" s="40" t="s">
        <v>3822</v>
      </c>
      <c r="L163" s="40" t="s">
        <v>1826</v>
      </c>
      <c r="M163" s="40" t="s">
        <v>111</v>
      </c>
      <c r="N163" s="82" t="s">
        <v>3823</v>
      </c>
      <c r="O163" s="205" t="s">
        <v>2519</v>
      </c>
      <c r="P163" s="71" t="s">
        <v>19</v>
      </c>
      <c r="Q163" s="40" t="s">
        <v>1785</v>
      </c>
      <c r="R163" s="40" t="s">
        <v>1785</v>
      </c>
      <c r="S163" s="40" t="s">
        <v>3853</v>
      </c>
      <c r="T163" s="130" t="s">
        <v>3824</v>
      </c>
      <c r="U163" s="40" t="s">
        <v>3825</v>
      </c>
      <c r="V163" s="40">
        <v>1</v>
      </c>
      <c r="W163" s="24" t="s">
        <v>111</v>
      </c>
      <c r="X163" s="24" t="s">
        <v>111</v>
      </c>
      <c r="Y163" s="150">
        <v>2.5</v>
      </c>
      <c r="Z163" s="150"/>
      <c r="AA163" s="150">
        <v>2.5</v>
      </c>
      <c r="AB163" s="35" t="s">
        <v>1104</v>
      </c>
      <c r="AC163" s="202" t="s">
        <v>1880</v>
      </c>
      <c r="AD163" s="35" t="s">
        <v>1880</v>
      </c>
      <c r="AE163" s="40"/>
    </row>
    <row r="164" spans="1:31" s="46" customFormat="1" ht="27.95" customHeight="1" x14ac:dyDescent="0.15">
      <c r="A164" s="8">
        <v>162</v>
      </c>
      <c r="B164" s="8" t="s">
        <v>3787</v>
      </c>
      <c r="C164" s="40" t="s">
        <v>111</v>
      </c>
      <c r="D164" s="40" t="s">
        <v>111</v>
      </c>
      <c r="E164" s="40" t="s">
        <v>111</v>
      </c>
      <c r="F164" s="151" t="s">
        <v>3826</v>
      </c>
      <c r="G164" s="151" t="s">
        <v>3827</v>
      </c>
      <c r="H164" s="40" t="s">
        <v>3828</v>
      </c>
      <c r="I164" s="40" t="s">
        <v>3830</v>
      </c>
      <c r="J164" s="40" t="s">
        <v>3829</v>
      </c>
      <c r="K164" s="40" t="s">
        <v>3831</v>
      </c>
      <c r="L164" s="40" t="s">
        <v>1826</v>
      </c>
      <c r="M164" s="40" t="s">
        <v>111</v>
      </c>
      <c r="N164" s="82" t="s">
        <v>1818</v>
      </c>
      <c r="O164" s="205" t="s">
        <v>2519</v>
      </c>
      <c r="P164" s="71" t="s">
        <v>19</v>
      </c>
      <c r="Q164" s="82" t="s">
        <v>3832</v>
      </c>
      <c r="R164" s="82" t="s">
        <v>3832</v>
      </c>
      <c r="S164" s="40" t="s">
        <v>3853</v>
      </c>
      <c r="T164" s="130" t="s">
        <v>3833</v>
      </c>
      <c r="U164" s="40" t="s">
        <v>2359</v>
      </c>
      <c r="V164" s="40">
        <v>1</v>
      </c>
      <c r="W164" s="24" t="s">
        <v>111</v>
      </c>
      <c r="X164" s="24" t="s">
        <v>111</v>
      </c>
      <c r="Y164" s="150">
        <v>1.5</v>
      </c>
      <c r="Z164" s="150"/>
      <c r="AA164" s="150">
        <v>1.5</v>
      </c>
      <c r="AB164" s="35" t="s">
        <v>1104</v>
      </c>
      <c r="AC164" s="202" t="s">
        <v>1880</v>
      </c>
      <c r="AD164" s="35" t="s">
        <v>1880</v>
      </c>
      <c r="AE164" s="151" t="s">
        <v>4761</v>
      </c>
    </row>
    <row r="165" spans="1:31" s="46" customFormat="1" ht="27.95" customHeight="1" x14ac:dyDescent="0.15">
      <c r="A165" s="8">
        <v>163</v>
      </c>
      <c r="B165" s="8" t="s">
        <v>3834</v>
      </c>
      <c r="C165" s="40" t="s">
        <v>111</v>
      </c>
      <c r="D165" s="40" t="s">
        <v>111</v>
      </c>
      <c r="E165" s="40" t="s">
        <v>111</v>
      </c>
      <c r="F165" s="54" t="s">
        <v>3836</v>
      </c>
      <c r="G165" s="54" t="s">
        <v>3837</v>
      </c>
      <c r="H165" s="40" t="s">
        <v>3838</v>
      </c>
      <c r="I165" s="40" t="s">
        <v>3882</v>
      </c>
      <c r="J165" s="40" t="s">
        <v>3839</v>
      </c>
      <c r="K165" s="40" t="s">
        <v>3840</v>
      </c>
      <c r="L165" s="40" t="s">
        <v>1826</v>
      </c>
      <c r="M165" s="40" t="s">
        <v>111</v>
      </c>
      <c r="N165" s="40" t="s">
        <v>3841</v>
      </c>
      <c r="O165" s="151" t="s">
        <v>3842</v>
      </c>
      <c r="P165" s="71" t="s">
        <v>19</v>
      </c>
      <c r="Q165" s="82" t="s">
        <v>3843</v>
      </c>
      <c r="R165" s="82" t="s">
        <v>3843</v>
      </c>
      <c r="S165" s="40" t="s">
        <v>3853</v>
      </c>
      <c r="T165" s="130" t="s">
        <v>3844</v>
      </c>
      <c r="U165" s="40" t="s">
        <v>2359</v>
      </c>
      <c r="V165" s="40">
        <v>1</v>
      </c>
      <c r="W165" s="40" t="s">
        <v>3845</v>
      </c>
      <c r="X165" s="40" t="s">
        <v>3846</v>
      </c>
      <c r="Y165" s="150"/>
      <c r="Z165" s="150">
        <v>8</v>
      </c>
      <c r="AA165" s="150">
        <v>8</v>
      </c>
      <c r="AB165" s="35" t="s">
        <v>1104</v>
      </c>
      <c r="AC165" s="202" t="s">
        <v>1880</v>
      </c>
      <c r="AD165" s="35" t="s">
        <v>1880</v>
      </c>
      <c r="AE165" s="40"/>
    </row>
    <row r="166" spans="1:31" s="46" customFormat="1" ht="27.95" customHeight="1" x14ac:dyDescent="0.15">
      <c r="A166" s="8">
        <v>164</v>
      </c>
      <c r="B166" s="8" t="s">
        <v>3835</v>
      </c>
      <c r="C166" s="40" t="s">
        <v>111</v>
      </c>
      <c r="D166" s="40" t="s">
        <v>111</v>
      </c>
      <c r="E166" s="40" t="s">
        <v>111</v>
      </c>
      <c r="F166" s="54" t="s">
        <v>3836</v>
      </c>
      <c r="G166" s="54" t="s">
        <v>3837</v>
      </c>
      <c r="H166" s="40" t="s">
        <v>3838</v>
      </c>
      <c r="I166" s="40" t="s">
        <v>3882</v>
      </c>
      <c r="J166" s="40" t="s">
        <v>3839</v>
      </c>
      <c r="K166" s="40" t="s">
        <v>3840</v>
      </c>
      <c r="L166" s="40" t="s">
        <v>1826</v>
      </c>
      <c r="M166" s="40" t="s">
        <v>111</v>
      </c>
      <c r="N166" s="40" t="s">
        <v>3841</v>
      </c>
      <c r="O166" s="151" t="s">
        <v>3842</v>
      </c>
      <c r="P166" s="71" t="s">
        <v>19</v>
      </c>
      <c r="Q166" s="82" t="s">
        <v>3843</v>
      </c>
      <c r="R166" s="82" t="s">
        <v>3843</v>
      </c>
      <c r="S166" s="40" t="s">
        <v>3853</v>
      </c>
      <c r="T166" s="130" t="s">
        <v>3846</v>
      </c>
      <c r="U166" s="40" t="s">
        <v>2359</v>
      </c>
      <c r="V166" s="40">
        <v>1</v>
      </c>
      <c r="W166" s="40" t="s">
        <v>3847</v>
      </c>
      <c r="X166" s="40" t="s">
        <v>3848</v>
      </c>
      <c r="Y166" s="150"/>
      <c r="Z166" s="150">
        <v>8</v>
      </c>
      <c r="AA166" s="150">
        <v>8</v>
      </c>
      <c r="AB166" s="35" t="s">
        <v>1104</v>
      </c>
      <c r="AC166" s="202" t="s">
        <v>1880</v>
      </c>
      <c r="AD166" s="35" t="s">
        <v>1880</v>
      </c>
      <c r="AE166" s="40"/>
    </row>
    <row r="167" spans="1:31" s="46" customFormat="1" ht="27.95" customHeight="1" x14ac:dyDescent="0.15">
      <c r="A167" s="8">
        <v>165</v>
      </c>
      <c r="B167" s="8" t="s">
        <v>3854</v>
      </c>
      <c r="C167" s="40" t="s">
        <v>111</v>
      </c>
      <c r="D167" s="40" t="s">
        <v>111</v>
      </c>
      <c r="E167" s="40" t="s">
        <v>111</v>
      </c>
      <c r="F167" s="151" t="s">
        <v>1878</v>
      </c>
      <c r="G167" s="54" t="s">
        <v>3855</v>
      </c>
      <c r="H167" s="40" t="s">
        <v>3856</v>
      </c>
      <c r="I167" s="40" t="s">
        <v>3857</v>
      </c>
      <c r="J167" s="40" t="s">
        <v>3858</v>
      </c>
      <c r="K167" s="40" t="s">
        <v>3859</v>
      </c>
      <c r="L167" s="40" t="s">
        <v>3860</v>
      </c>
      <c r="M167" s="40" t="s">
        <v>111</v>
      </c>
      <c r="N167" s="40" t="s">
        <v>1818</v>
      </c>
      <c r="O167" s="151" t="s">
        <v>1819</v>
      </c>
      <c r="P167" s="71" t="s">
        <v>19</v>
      </c>
      <c r="Q167" s="82" t="s">
        <v>3861</v>
      </c>
      <c r="R167" s="82" t="s">
        <v>3861</v>
      </c>
      <c r="S167" s="40" t="s">
        <v>3862</v>
      </c>
      <c r="T167" s="130" t="s">
        <v>3863</v>
      </c>
      <c r="U167" s="40" t="s">
        <v>3864</v>
      </c>
      <c r="V167" s="40">
        <v>1</v>
      </c>
      <c r="W167" s="40" t="s">
        <v>3865</v>
      </c>
      <c r="X167" s="40" t="s">
        <v>3866</v>
      </c>
      <c r="Y167" s="150"/>
      <c r="Z167" s="150">
        <v>8.1999999999999993</v>
      </c>
      <c r="AA167" s="150">
        <v>8.1999999999999993</v>
      </c>
      <c r="AB167" s="35" t="s">
        <v>1104</v>
      </c>
      <c r="AC167" s="202" t="s">
        <v>1880</v>
      </c>
      <c r="AD167" s="35" t="s">
        <v>1880</v>
      </c>
      <c r="AE167" s="40"/>
    </row>
    <row r="168" spans="1:31" s="46" customFormat="1" ht="27.95" customHeight="1" x14ac:dyDescent="0.15">
      <c r="A168" s="8">
        <v>166</v>
      </c>
      <c r="B168" s="8" t="s">
        <v>3878</v>
      </c>
      <c r="C168" s="82" t="s">
        <v>3880</v>
      </c>
      <c r="D168" s="40" t="s">
        <v>111</v>
      </c>
      <c r="E168" s="40" t="s">
        <v>111</v>
      </c>
      <c r="F168" s="54" t="s">
        <v>3869</v>
      </c>
      <c r="G168" s="151" t="s">
        <v>3870</v>
      </c>
      <c r="H168" s="40" t="s">
        <v>3871</v>
      </c>
      <c r="I168" s="40" t="s">
        <v>3872</v>
      </c>
      <c r="J168" s="82" t="s">
        <v>3881</v>
      </c>
      <c r="K168" s="82" t="s">
        <v>3873</v>
      </c>
      <c r="L168" s="40" t="s">
        <v>1826</v>
      </c>
      <c r="M168" s="40" t="s">
        <v>111</v>
      </c>
      <c r="N168" s="82" t="s">
        <v>3874</v>
      </c>
      <c r="O168" s="205" t="s">
        <v>3874</v>
      </c>
      <c r="P168" s="71" t="s">
        <v>19</v>
      </c>
      <c r="Q168" s="82" t="s">
        <v>3879</v>
      </c>
      <c r="R168" s="40" t="s">
        <v>3875</v>
      </c>
      <c r="S168" s="40" t="s">
        <v>3876</v>
      </c>
      <c r="T168" s="130" t="s">
        <v>3877</v>
      </c>
      <c r="U168" s="40" t="s">
        <v>2359</v>
      </c>
      <c r="V168" s="40">
        <v>1</v>
      </c>
      <c r="W168" s="24" t="s">
        <v>111</v>
      </c>
      <c r="X168" s="24" t="s">
        <v>111</v>
      </c>
      <c r="Y168" s="217">
        <v>91.906980000000004</v>
      </c>
      <c r="Z168" s="150"/>
      <c r="AA168" s="217">
        <v>91.906980000000004</v>
      </c>
      <c r="AB168" s="35" t="s">
        <v>1104</v>
      </c>
      <c r="AC168" s="133" t="s">
        <v>5082</v>
      </c>
      <c r="AD168" s="35" t="s">
        <v>1880</v>
      </c>
      <c r="AE168" s="40"/>
    </row>
    <row r="169" spans="1:31" s="46" customFormat="1" ht="27.95" customHeight="1" x14ac:dyDescent="0.15">
      <c r="A169" s="8">
        <v>167</v>
      </c>
      <c r="B169" s="8" t="s">
        <v>3885</v>
      </c>
      <c r="C169" s="40" t="s">
        <v>111</v>
      </c>
      <c r="D169" s="40" t="s">
        <v>111</v>
      </c>
      <c r="E169" s="40" t="s">
        <v>4368</v>
      </c>
      <c r="F169" s="151" t="s">
        <v>3886</v>
      </c>
      <c r="G169" s="54" t="s">
        <v>3887</v>
      </c>
      <c r="H169" s="40" t="s">
        <v>3888</v>
      </c>
      <c r="I169" s="40" t="s">
        <v>3889</v>
      </c>
      <c r="J169" s="40" t="s">
        <v>3890</v>
      </c>
      <c r="K169" s="40" t="s">
        <v>1622</v>
      </c>
      <c r="L169" s="40" t="s">
        <v>1826</v>
      </c>
      <c r="M169" s="40" t="s">
        <v>111</v>
      </c>
      <c r="N169" s="40" t="s">
        <v>1818</v>
      </c>
      <c r="O169" s="151" t="s">
        <v>3891</v>
      </c>
      <c r="P169" s="71" t="s">
        <v>19</v>
      </c>
      <c r="Q169" s="40" t="s">
        <v>3248</v>
      </c>
      <c r="R169" s="40" t="s">
        <v>3892</v>
      </c>
      <c r="S169" s="82" t="s">
        <v>3908</v>
      </c>
      <c r="T169" s="130" t="s">
        <v>3893</v>
      </c>
      <c r="U169" s="40" t="s">
        <v>3896</v>
      </c>
      <c r="V169" s="40">
        <v>1</v>
      </c>
      <c r="W169" s="40" t="s">
        <v>3894</v>
      </c>
      <c r="X169" s="40" t="s">
        <v>3895</v>
      </c>
      <c r="Y169" s="150"/>
      <c r="Z169" s="150">
        <v>23</v>
      </c>
      <c r="AA169" s="150">
        <v>23</v>
      </c>
      <c r="AB169" s="35" t="s">
        <v>1104</v>
      </c>
      <c r="AC169" s="202" t="s">
        <v>1880</v>
      </c>
      <c r="AD169" s="35" t="s">
        <v>1880</v>
      </c>
      <c r="AE169" s="40"/>
    </row>
    <row r="170" spans="1:31" s="46" customFormat="1" ht="56.25" customHeight="1" x14ac:dyDescent="0.15">
      <c r="A170" s="8">
        <v>168</v>
      </c>
      <c r="B170" s="8" t="s">
        <v>4231</v>
      </c>
      <c r="C170" s="40" t="s">
        <v>3897</v>
      </c>
      <c r="D170" s="40" t="s">
        <v>111</v>
      </c>
      <c r="E170" s="8" t="s">
        <v>5115</v>
      </c>
      <c r="F170" s="151" t="s">
        <v>3898</v>
      </c>
      <c r="G170" s="54" t="s">
        <v>3899</v>
      </c>
      <c r="H170" s="40" t="s">
        <v>3900</v>
      </c>
      <c r="I170" s="40" t="s">
        <v>3901</v>
      </c>
      <c r="J170" s="40" t="s">
        <v>3902</v>
      </c>
      <c r="K170" s="40" t="s">
        <v>3903</v>
      </c>
      <c r="L170" s="40" t="s">
        <v>1826</v>
      </c>
      <c r="M170" s="40" t="s">
        <v>111</v>
      </c>
      <c r="N170" s="28" t="s">
        <v>25</v>
      </c>
      <c r="O170" s="54" t="s">
        <v>2192</v>
      </c>
      <c r="P170" s="71" t="s">
        <v>19</v>
      </c>
      <c r="Q170" s="40" t="s">
        <v>3904</v>
      </c>
      <c r="R170" s="40" t="s">
        <v>3904</v>
      </c>
      <c r="S170" s="82" t="s">
        <v>3908</v>
      </c>
      <c r="T170" s="130" t="s">
        <v>3905</v>
      </c>
      <c r="U170" s="40" t="s">
        <v>3906</v>
      </c>
      <c r="V170" s="40">
        <v>1</v>
      </c>
      <c r="W170" s="211" t="s">
        <v>2512</v>
      </c>
      <c r="X170" s="24" t="s">
        <v>111</v>
      </c>
      <c r="Y170" s="150">
        <v>55.7</v>
      </c>
      <c r="Z170" s="150"/>
      <c r="AA170" s="150">
        <v>55.7</v>
      </c>
      <c r="AB170" s="35" t="s">
        <v>1104</v>
      </c>
      <c r="AC170" s="133" t="s">
        <v>3907</v>
      </c>
      <c r="AD170" s="35" t="s">
        <v>1880</v>
      </c>
      <c r="AE170" s="40"/>
    </row>
    <row r="171" spans="1:31" s="46" customFormat="1" ht="27.95" customHeight="1" x14ac:dyDescent="0.15">
      <c r="A171" s="8">
        <v>169</v>
      </c>
      <c r="B171" s="8" t="s">
        <v>3909</v>
      </c>
      <c r="C171" s="40" t="s">
        <v>111</v>
      </c>
      <c r="D171" s="40" t="s">
        <v>3935</v>
      </c>
      <c r="E171" s="40" t="s">
        <v>111</v>
      </c>
      <c r="F171" s="151" t="s">
        <v>3910</v>
      </c>
      <c r="G171" s="151" t="s">
        <v>3911</v>
      </c>
      <c r="H171" s="40" t="s">
        <v>3912</v>
      </c>
      <c r="I171" s="40" t="s">
        <v>3913</v>
      </c>
      <c r="J171" s="40" t="s">
        <v>3914</v>
      </c>
      <c r="K171" s="9" t="s">
        <v>3915</v>
      </c>
      <c r="L171" s="40" t="s">
        <v>1826</v>
      </c>
      <c r="M171" s="40" t="s">
        <v>111</v>
      </c>
      <c r="N171" s="40" t="s">
        <v>3916</v>
      </c>
      <c r="O171" s="151" t="s">
        <v>3917</v>
      </c>
      <c r="P171" s="71" t="s">
        <v>19</v>
      </c>
      <c r="Q171" s="40" t="s">
        <v>1785</v>
      </c>
      <c r="R171" s="40" t="s">
        <v>1785</v>
      </c>
      <c r="S171" s="40" t="s">
        <v>3933</v>
      </c>
      <c r="T171" s="130" t="s">
        <v>3918</v>
      </c>
      <c r="U171" s="40" t="s">
        <v>2359</v>
      </c>
      <c r="V171" s="40">
        <v>1</v>
      </c>
      <c r="W171" s="24" t="s">
        <v>111</v>
      </c>
      <c r="X171" s="24" t="s">
        <v>111</v>
      </c>
      <c r="Y171" s="150">
        <v>3.6</v>
      </c>
      <c r="Z171" s="150"/>
      <c r="AA171" s="150">
        <v>3.6</v>
      </c>
      <c r="AB171" s="35" t="s">
        <v>1104</v>
      </c>
      <c r="AC171" s="202" t="s">
        <v>1880</v>
      </c>
      <c r="AD171" s="35" t="s">
        <v>1880</v>
      </c>
      <c r="AE171" s="40"/>
    </row>
    <row r="172" spans="1:31" s="46" customFormat="1" ht="27.95" customHeight="1" x14ac:dyDescent="0.15">
      <c r="A172" s="8">
        <v>170</v>
      </c>
      <c r="B172" s="8" t="s">
        <v>3919</v>
      </c>
      <c r="C172" s="40" t="s">
        <v>111</v>
      </c>
      <c r="D172" s="40" t="s">
        <v>111</v>
      </c>
      <c r="E172" s="40" t="s">
        <v>111</v>
      </c>
      <c r="F172" s="151" t="s">
        <v>3920</v>
      </c>
      <c r="G172" s="54" t="s">
        <v>3921</v>
      </c>
      <c r="H172" s="40" t="s">
        <v>3922</v>
      </c>
      <c r="I172" s="40" t="s">
        <v>3923</v>
      </c>
      <c r="J172" s="40" t="s">
        <v>3924</v>
      </c>
      <c r="K172" s="40" t="s">
        <v>3925</v>
      </c>
      <c r="L172" s="40" t="s">
        <v>1826</v>
      </c>
      <c r="M172" s="40" t="s">
        <v>3926</v>
      </c>
      <c r="N172" s="40" t="s">
        <v>1818</v>
      </c>
      <c r="O172" s="151" t="s">
        <v>3927</v>
      </c>
      <c r="P172" s="71" t="s">
        <v>19</v>
      </c>
      <c r="Q172" s="153" t="s">
        <v>3934</v>
      </c>
      <c r="R172" s="40" t="s">
        <v>3928</v>
      </c>
      <c r="S172" s="40" t="s">
        <v>3933</v>
      </c>
      <c r="T172" s="130" t="s">
        <v>3929</v>
      </c>
      <c r="U172" s="40" t="s">
        <v>3930</v>
      </c>
      <c r="V172" s="40">
        <v>1</v>
      </c>
      <c r="W172" s="40" t="s">
        <v>3931</v>
      </c>
      <c r="X172" s="40" t="s">
        <v>3932</v>
      </c>
      <c r="Y172" s="150"/>
      <c r="Z172" s="150">
        <v>10</v>
      </c>
      <c r="AA172" s="150">
        <v>10</v>
      </c>
      <c r="AB172" s="35" t="s">
        <v>1104</v>
      </c>
      <c r="AC172" s="202" t="s">
        <v>1880</v>
      </c>
      <c r="AD172" s="35" t="s">
        <v>1880</v>
      </c>
      <c r="AE172" s="40"/>
    </row>
    <row r="173" spans="1:31" s="46" customFormat="1" ht="27.95" customHeight="1" x14ac:dyDescent="0.15">
      <c r="A173" s="8">
        <v>171</v>
      </c>
      <c r="B173" s="8" t="s">
        <v>3936</v>
      </c>
      <c r="C173" s="40" t="s">
        <v>111</v>
      </c>
      <c r="D173" s="40" t="s">
        <v>111</v>
      </c>
      <c r="E173" s="40" t="s">
        <v>111</v>
      </c>
      <c r="F173" s="151" t="s">
        <v>3694</v>
      </c>
      <c r="G173" s="99" t="s">
        <v>3937</v>
      </c>
      <c r="H173" s="20" t="s">
        <v>1457</v>
      </c>
      <c r="I173" s="20" t="s">
        <v>151</v>
      </c>
      <c r="J173" s="9" t="s">
        <v>4057</v>
      </c>
      <c r="K173" s="40" t="s">
        <v>4059</v>
      </c>
      <c r="L173" s="40" t="s">
        <v>1826</v>
      </c>
      <c r="M173" s="40" t="s">
        <v>111</v>
      </c>
      <c r="N173" s="40" t="s">
        <v>1818</v>
      </c>
      <c r="O173" s="205" t="s">
        <v>3994</v>
      </c>
      <c r="P173" s="71" t="s">
        <v>19</v>
      </c>
      <c r="Q173" s="40" t="s">
        <v>3938</v>
      </c>
      <c r="R173" s="40" t="s">
        <v>3938</v>
      </c>
      <c r="S173" s="206"/>
      <c r="T173" s="207"/>
      <c r="U173" s="206"/>
      <c r="V173" s="206"/>
      <c r="W173" s="82" t="s">
        <v>3941</v>
      </c>
      <c r="X173" s="82" t="s">
        <v>3995</v>
      </c>
      <c r="Y173" s="150"/>
      <c r="Z173" s="208">
        <v>2.5</v>
      </c>
      <c r="AA173" s="150">
        <v>2.5</v>
      </c>
      <c r="AB173" s="35" t="s">
        <v>1104</v>
      </c>
      <c r="AC173" s="202" t="s">
        <v>1880</v>
      </c>
      <c r="AD173" s="35" t="s">
        <v>1880</v>
      </c>
      <c r="AE173" s="40"/>
    </row>
    <row r="174" spans="1:31" s="46" customFormat="1" ht="27.95" customHeight="1" x14ac:dyDescent="0.15">
      <c r="A174" s="8">
        <v>172</v>
      </c>
      <c r="B174" s="8" t="s">
        <v>4093</v>
      </c>
      <c r="C174" s="40" t="s">
        <v>4092</v>
      </c>
      <c r="D174" s="40" t="s">
        <v>111</v>
      </c>
      <c r="E174" s="40" t="s">
        <v>111</v>
      </c>
      <c r="F174" s="151" t="s">
        <v>3939</v>
      </c>
      <c r="G174" s="98" t="s">
        <v>3976</v>
      </c>
      <c r="H174" s="82" t="s">
        <v>1537</v>
      </c>
      <c r="I174" s="82" t="s">
        <v>993</v>
      </c>
      <c r="J174" s="82" t="s">
        <v>3946</v>
      </c>
      <c r="K174" s="82" t="s">
        <v>3945</v>
      </c>
      <c r="L174" s="40" t="s">
        <v>1826</v>
      </c>
      <c r="M174" s="40" t="s">
        <v>111</v>
      </c>
      <c r="N174" s="82" t="s">
        <v>1818</v>
      </c>
      <c r="O174" s="205" t="s">
        <v>2519</v>
      </c>
      <c r="P174" s="71" t="s">
        <v>19</v>
      </c>
      <c r="Q174" s="40" t="s">
        <v>3940</v>
      </c>
      <c r="R174" s="40" t="s">
        <v>3940</v>
      </c>
      <c r="S174" s="82" t="s">
        <v>3991</v>
      </c>
      <c r="T174" s="209" t="s">
        <v>3977</v>
      </c>
      <c r="U174" s="40" t="s">
        <v>1800</v>
      </c>
      <c r="V174" s="10">
        <v>1</v>
      </c>
      <c r="W174" s="24" t="s">
        <v>111</v>
      </c>
      <c r="X174" s="24" t="s">
        <v>111</v>
      </c>
      <c r="Y174" s="150">
        <v>5</v>
      </c>
      <c r="Z174" s="150"/>
      <c r="AA174" s="150">
        <v>5</v>
      </c>
      <c r="AB174" s="35" t="s">
        <v>1104</v>
      </c>
      <c r="AC174" s="202" t="s">
        <v>1880</v>
      </c>
      <c r="AD174" s="35" t="s">
        <v>1880</v>
      </c>
      <c r="AE174" s="40"/>
    </row>
    <row r="175" spans="1:31" s="46" customFormat="1" ht="27.95" customHeight="1" x14ac:dyDescent="0.15">
      <c r="A175" s="8">
        <v>173</v>
      </c>
      <c r="B175" s="8" t="s">
        <v>3942</v>
      </c>
      <c r="C175" s="40" t="s">
        <v>111</v>
      </c>
      <c r="D175" s="40" t="s">
        <v>4349</v>
      </c>
      <c r="E175" s="40" t="s">
        <v>111</v>
      </c>
      <c r="F175" s="151" t="s">
        <v>3271</v>
      </c>
      <c r="G175" s="99" t="s">
        <v>3937</v>
      </c>
      <c r="H175" s="40" t="s">
        <v>3947</v>
      </c>
      <c r="I175" s="40" t="s">
        <v>3948</v>
      </c>
      <c r="J175" s="21" t="s">
        <v>3263</v>
      </c>
      <c r="K175" s="21" t="s">
        <v>1733</v>
      </c>
      <c r="L175" s="40" t="s">
        <v>1826</v>
      </c>
      <c r="M175" s="40" t="s">
        <v>111</v>
      </c>
      <c r="N175" s="40" t="s">
        <v>3943</v>
      </c>
      <c r="O175" s="151" t="s">
        <v>3944</v>
      </c>
      <c r="P175" s="71" t="s">
        <v>19</v>
      </c>
      <c r="Q175" s="40" t="s">
        <v>1831</v>
      </c>
      <c r="R175" s="40" t="s">
        <v>1831</v>
      </c>
      <c r="S175" s="206"/>
      <c r="T175" s="207"/>
      <c r="U175" s="206"/>
      <c r="V175" s="206"/>
      <c r="W175" s="24" t="s">
        <v>111</v>
      </c>
      <c r="X175" s="24" t="s">
        <v>111</v>
      </c>
      <c r="Y175" s="150">
        <v>0.87</v>
      </c>
      <c r="Z175" s="150"/>
      <c r="AA175" s="150">
        <v>0.87</v>
      </c>
      <c r="AB175" s="35" t="s">
        <v>1104</v>
      </c>
      <c r="AC175" s="202" t="s">
        <v>1880</v>
      </c>
      <c r="AD175" s="35" t="s">
        <v>1880</v>
      </c>
      <c r="AE175" s="40"/>
    </row>
    <row r="176" spans="1:31" s="46" customFormat="1" ht="27.95" customHeight="1" x14ac:dyDescent="0.15">
      <c r="A176" s="8">
        <v>174</v>
      </c>
      <c r="B176" s="8" t="s">
        <v>3949</v>
      </c>
      <c r="C176" s="40" t="s">
        <v>3956</v>
      </c>
      <c r="D176" s="40" t="s">
        <v>111</v>
      </c>
      <c r="E176" s="40" t="s">
        <v>111</v>
      </c>
      <c r="F176" s="151" t="s">
        <v>3952</v>
      </c>
      <c r="G176" s="98" t="s">
        <v>3953</v>
      </c>
      <c r="H176" s="40" t="s">
        <v>3954</v>
      </c>
      <c r="I176" s="40" t="s">
        <v>3955</v>
      </c>
      <c r="J176" s="40" t="s">
        <v>3988</v>
      </c>
      <c r="K176" s="40" t="s">
        <v>3960</v>
      </c>
      <c r="L176" s="40" t="s">
        <v>1826</v>
      </c>
      <c r="M176" s="40" t="s">
        <v>111</v>
      </c>
      <c r="N176" s="40" t="s">
        <v>3990</v>
      </c>
      <c r="O176" s="54" t="s">
        <v>3993</v>
      </c>
      <c r="P176" s="71" t="s">
        <v>19</v>
      </c>
      <c r="Q176" s="40" t="s">
        <v>1811</v>
      </c>
      <c r="R176" s="40" t="s">
        <v>3957</v>
      </c>
      <c r="S176" s="40" t="s">
        <v>3992</v>
      </c>
      <c r="T176" s="130" t="s">
        <v>3958</v>
      </c>
      <c r="U176" s="40" t="s">
        <v>1800</v>
      </c>
      <c r="V176" s="10">
        <v>1</v>
      </c>
      <c r="W176" s="24" t="s">
        <v>111</v>
      </c>
      <c r="X176" s="24" t="s">
        <v>111</v>
      </c>
      <c r="Y176" s="217">
        <v>30.619591</v>
      </c>
      <c r="Z176" s="150"/>
      <c r="AA176" s="217">
        <v>30.619591</v>
      </c>
      <c r="AB176" s="35" t="s">
        <v>1104</v>
      </c>
      <c r="AC176" s="202" t="s">
        <v>1880</v>
      </c>
      <c r="AD176" s="35" t="s">
        <v>1880</v>
      </c>
      <c r="AE176" s="286" t="s">
        <v>4997</v>
      </c>
    </row>
    <row r="177" spans="1:31" s="46" customFormat="1" ht="27.95" customHeight="1" x14ac:dyDescent="0.15">
      <c r="A177" s="8">
        <v>175</v>
      </c>
      <c r="B177" s="8" t="s">
        <v>3950</v>
      </c>
      <c r="C177" s="40" t="s">
        <v>3956</v>
      </c>
      <c r="D177" s="40" t="s">
        <v>111</v>
      </c>
      <c r="E177" s="40" t="s">
        <v>111</v>
      </c>
      <c r="F177" s="151" t="s">
        <v>3952</v>
      </c>
      <c r="G177" s="98" t="s">
        <v>3959</v>
      </c>
      <c r="H177" s="40" t="s">
        <v>3954</v>
      </c>
      <c r="I177" s="40" t="s">
        <v>3955</v>
      </c>
      <c r="J177" s="40" t="s">
        <v>3989</v>
      </c>
      <c r="K177" s="40" t="s">
        <v>3960</v>
      </c>
      <c r="L177" s="40" t="s">
        <v>1826</v>
      </c>
      <c r="M177" s="40" t="s">
        <v>111</v>
      </c>
      <c r="N177" s="40" t="s">
        <v>3990</v>
      </c>
      <c r="O177" s="54" t="s">
        <v>3993</v>
      </c>
      <c r="P177" s="71" t="s">
        <v>19</v>
      </c>
      <c r="Q177" s="40" t="s">
        <v>1811</v>
      </c>
      <c r="R177" s="40" t="s">
        <v>3957</v>
      </c>
      <c r="S177" s="40" t="s">
        <v>3991</v>
      </c>
      <c r="T177" s="130" t="s">
        <v>3958</v>
      </c>
      <c r="U177" s="40" t="s">
        <v>1800</v>
      </c>
      <c r="V177" s="10">
        <v>1</v>
      </c>
      <c r="W177" s="24" t="s">
        <v>111</v>
      </c>
      <c r="X177" s="24" t="s">
        <v>111</v>
      </c>
      <c r="Y177" s="217">
        <v>12.620931000000001</v>
      </c>
      <c r="Z177" s="150"/>
      <c r="AA177" s="217">
        <v>12.620931000000001</v>
      </c>
      <c r="AB177" s="35" t="s">
        <v>1104</v>
      </c>
      <c r="AC177" s="202" t="s">
        <v>1880</v>
      </c>
      <c r="AD177" s="35" t="s">
        <v>1880</v>
      </c>
      <c r="AE177" s="286" t="s">
        <v>4998</v>
      </c>
    </row>
    <row r="178" spans="1:31" s="46" customFormat="1" ht="27.95" customHeight="1" x14ac:dyDescent="0.15">
      <c r="A178" s="8">
        <v>176</v>
      </c>
      <c r="B178" s="8" t="s">
        <v>3951</v>
      </c>
      <c r="C178" s="40" t="s">
        <v>111</v>
      </c>
      <c r="D178" s="40" t="s">
        <v>111</v>
      </c>
      <c r="E178" s="8" t="s">
        <v>4749</v>
      </c>
      <c r="F178" s="151" t="s">
        <v>442</v>
      </c>
      <c r="G178" s="98" t="s">
        <v>3961</v>
      </c>
      <c r="H178" s="40" t="s">
        <v>3954</v>
      </c>
      <c r="I178" s="40" t="s">
        <v>3955</v>
      </c>
      <c r="J178" s="40" t="s">
        <v>3962</v>
      </c>
      <c r="K178" s="40" t="s">
        <v>1820</v>
      </c>
      <c r="L178" s="40" t="s">
        <v>1826</v>
      </c>
      <c r="M178" s="40" t="s">
        <v>111</v>
      </c>
      <c r="N178" s="40" t="s">
        <v>3990</v>
      </c>
      <c r="O178" s="54" t="s">
        <v>3993</v>
      </c>
      <c r="P178" s="71" t="s">
        <v>19</v>
      </c>
      <c r="Q178" s="40" t="s">
        <v>1811</v>
      </c>
      <c r="R178" s="40" t="s">
        <v>3957</v>
      </c>
      <c r="S178" s="40" t="s">
        <v>3991</v>
      </c>
      <c r="T178" s="130" t="s">
        <v>3958</v>
      </c>
      <c r="U178" s="40" t="s">
        <v>1800</v>
      </c>
      <c r="V178" s="10">
        <v>1</v>
      </c>
      <c r="W178" s="24" t="s">
        <v>111</v>
      </c>
      <c r="X178" s="24" t="s">
        <v>111</v>
      </c>
      <c r="Y178" s="217">
        <v>36.778091000000003</v>
      </c>
      <c r="Z178" s="150"/>
      <c r="AA178" s="217">
        <v>36.778091000000003</v>
      </c>
      <c r="AB178" s="35" t="s">
        <v>1104</v>
      </c>
      <c r="AC178" s="202" t="s">
        <v>1880</v>
      </c>
      <c r="AD178" s="35" t="s">
        <v>1880</v>
      </c>
      <c r="AE178" s="286" t="s">
        <v>4999</v>
      </c>
    </row>
    <row r="179" spans="1:31" s="46" customFormat="1" ht="27.95" customHeight="1" x14ac:dyDescent="0.15">
      <c r="A179" s="8">
        <v>177</v>
      </c>
      <c r="B179" s="8" t="s">
        <v>3963</v>
      </c>
      <c r="C179" s="40" t="s">
        <v>111</v>
      </c>
      <c r="D179" s="40" t="s">
        <v>111</v>
      </c>
      <c r="E179" s="40" t="s">
        <v>111</v>
      </c>
      <c r="F179" s="151" t="s">
        <v>3964</v>
      </c>
      <c r="G179" s="98" t="s">
        <v>3965</v>
      </c>
      <c r="H179" s="40" t="s">
        <v>3954</v>
      </c>
      <c r="I179" s="40" t="s">
        <v>3966</v>
      </c>
      <c r="J179" s="40" t="s">
        <v>3967</v>
      </c>
      <c r="K179" s="40" t="s">
        <v>3968</v>
      </c>
      <c r="L179" s="40" t="s">
        <v>3969</v>
      </c>
      <c r="M179" s="40" t="s">
        <v>111</v>
      </c>
      <c r="N179" s="40" t="s">
        <v>2422</v>
      </c>
      <c r="O179" s="151" t="s">
        <v>3970</v>
      </c>
      <c r="P179" s="71" t="s">
        <v>19</v>
      </c>
      <c r="Q179" s="40" t="s">
        <v>3972</v>
      </c>
      <c r="R179" s="40" t="s">
        <v>3971</v>
      </c>
      <c r="S179" s="40" t="s">
        <v>3991</v>
      </c>
      <c r="T179" s="130" t="s">
        <v>3973</v>
      </c>
      <c r="U179" s="40" t="s">
        <v>2359</v>
      </c>
      <c r="V179" s="40">
        <v>1</v>
      </c>
      <c r="W179" s="40" t="s">
        <v>3974</v>
      </c>
      <c r="X179" s="40" t="s">
        <v>3975</v>
      </c>
      <c r="Y179" s="150"/>
      <c r="Z179" s="150">
        <v>30</v>
      </c>
      <c r="AA179" s="150">
        <v>30</v>
      </c>
      <c r="AB179" s="35" t="s">
        <v>1104</v>
      </c>
      <c r="AC179" s="202" t="s">
        <v>1880</v>
      </c>
      <c r="AD179" s="35" t="s">
        <v>1880</v>
      </c>
      <c r="AE179" s="40"/>
    </row>
    <row r="180" spans="1:31" s="46" customFormat="1" ht="27.95" customHeight="1" x14ac:dyDescent="0.15">
      <c r="A180" s="8">
        <v>178</v>
      </c>
      <c r="B180" s="8" t="s">
        <v>3978</v>
      </c>
      <c r="C180" s="40" t="s">
        <v>111</v>
      </c>
      <c r="D180" s="40" t="s">
        <v>111</v>
      </c>
      <c r="E180" s="40" t="s">
        <v>111</v>
      </c>
      <c r="F180" s="151" t="s">
        <v>3979</v>
      </c>
      <c r="G180" s="98" t="s">
        <v>3980</v>
      </c>
      <c r="H180" s="40" t="s">
        <v>3981</v>
      </c>
      <c r="I180" s="40" t="s">
        <v>3982</v>
      </c>
      <c r="J180" s="40" t="s">
        <v>3983</v>
      </c>
      <c r="K180" s="40" t="s">
        <v>3984</v>
      </c>
      <c r="L180" s="40" t="s">
        <v>2142</v>
      </c>
      <c r="M180" s="40" t="s">
        <v>111</v>
      </c>
      <c r="N180" s="40" t="s">
        <v>2422</v>
      </c>
      <c r="O180" s="151" t="s">
        <v>2423</v>
      </c>
      <c r="P180" s="71" t="s">
        <v>19</v>
      </c>
      <c r="Q180" s="40" t="s">
        <v>1151</v>
      </c>
      <c r="R180" s="40" t="s">
        <v>1152</v>
      </c>
      <c r="S180" s="40" t="s">
        <v>3991</v>
      </c>
      <c r="T180" s="130" t="s">
        <v>3985</v>
      </c>
      <c r="U180" s="40" t="s">
        <v>2359</v>
      </c>
      <c r="V180" s="40">
        <v>2</v>
      </c>
      <c r="W180" s="40" t="s">
        <v>3986</v>
      </c>
      <c r="X180" s="40" t="s">
        <v>3987</v>
      </c>
      <c r="Y180" s="150"/>
      <c r="Z180" s="150">
        <v>30</v>
      </c>
      <c r="AA180" s="150">
        <v>30</v>
      </c>
      <c r="AB180" s="35" t="s">
        <v>1104</v>
      </c>
      <c r="AC180" s="202" t="s">
        <v>1880</v>
      </c>
      <c r="AD180" s="35" t="s">
        <v>1880</v>
      </c>
      <c r="AE180" s="40"/>
    </row>
    <row r="181" spans="1:31" s="46" customFormat="1" ht="27.95" customHeight="1" x14ac:dyDescent="0.15">
      <c r="A181" s="8">
        <v>179</v>
      </c>
      <c r="B181" s="8" t="s">
        <v>3996</v>
      </c>
      <c r="C181" s="40" t="s">
        <v>111</v>
      </c>
      <c r="D181" s="40" t="s">
        <v>111</v>
      </c>
      <c r="E181" s="40" t="s">
        <v>111</v>
      </c>
      <c r="F181" s="54" t="s">
        <v>3998</v>
      </c>
      <c r="G181" s="98" t="s">
        <v>3999</v>
      </c>
      <c r="H181" s="1" t="s">
        <v>1449</v>
      </c>
      <c r="I181" s="142" t="s">
        <v>804</v>
      </c>
      <c r="J181" s="21" t="s">
        <v>4000</v>
      </c>
      <c r="K181" s="21" t="s">
        <v>4001</v>
      </c>
      <c r="L181" s="40" t="s">
        <v>4004</v>
      </c>
      <c r="M181" s="40" t="s">
        <v>111</v>
      </c>
      <c r="N181" s="40" t="s">
        <v>4005</v>
      </c>
      <c r="O181" s="151" t="s">
        <v>4006</v>
      </c>
      <c r="P181" s="71" t="s">
        <v>19</v>
      </c>
      <c r="Q181" s="40" t="s">
        <v>4007</v>
      </c>
      <c r="R181" s="40" t="s">
        <v>4007</v>
      </c>
      <c r="S181" s="40" t="s">
        <v>4008</v>
      </c>
      <c r="T181" s="130" t="s">
        <v>4009</v>
      </c>
      <c r="U181" s="40" t="s">
        <v>1800</v>
      </c>
      <c r="V181" s="10">
        <v>1</v>
      </c>
      <c r="W181" s="40" t="s">
        <v>4010</v>
      </c>
      <c r="X181" s="40" t="s">
        <v>4011</v>
      </c>
      <c r="Y181" s="150"/>
      <c r="Z181" s="150">
        <v>7</v>
      </c>
      <c r="AA181" s="150">
        <v>7</v>
      </c>
      <c r="AB181" s="35" t="s">
        <v>1104</v>
      </c>
      <c r="AC181" s="202" t="s">
        <v>1880</v>
      </c>
      <c r="AD181" s="35" t="s">
        <v>1880</v>
      </c>
      <c r="AE181" s="40"/>
    </row>
    <row r="182" spans="1:31" s="46" customFormat="1" ht="27.95" customHeight="1" x14ac:dyDescent="0.15">
      <c r="A182" s="8">
        <v>180</v>
      </c>
      <c r="B182" s="8" t="s">
        <v>3997</v>
      </c>
      <c r="C182" s="40" t="s">
        <v>111</v>
      </c>
      <c r="D182" s="40" t="s">
        <v>111</v>
      </c>
      <c r="E182" s="40" t="s">
        <v>111</v>
      </c>
      <c r="F182" s="54" t="s">
        <v>3998</v>
      </c>
      <c r="G182" s="98" t="s">
        <v>3999</v>
      </c>
      <c r="H182" s="1" t="s">
        <v>1449</v>
      </c>
      <c r="I182" s="142" t="s">
        <v>804</v>
      </c>
      <c r="J182" s="21" t="s">
        <v>4002</v>
      </c>
      <c r="K182" s="21" t="s">
        <v>4003</v>
      </c>
      <c r="L182" s="40" t="s">
        <v>4004</v>
      </c>
      <c r="M182" s="40" t="s">
        <v>111</v>
      </c>
      <c r="N182" s="40" t="s">
        <v>4005</v>
      </c>
      <c r="O182" s="151" t="s">
        <v>4006</v>
      </c>
      <c r="P182" s="71" t="s">
        <v>19</v>
      </c>
      <c r="Q182" s="40" t="s">
        <v>4007</v>
      </c>
      <c r="R182" s="40" t="s">
        <v>4007</v>
      </c>
      <c r="S182" s="40" t="s">
        <v>4008</v>
      </c>
      <c r="T182" s="130" t="s">
        <v>4009</v>
      </c>
      <c r="U182" s="40" t="s">
        <v>1800</v>
      </c>
      <c r="V182" s="10">
        <v>1</v>
      </c>
      <c r="W182" s="40" t="s">
        <v>4010</v>
      </c>
      <c r="X182" s="40" t="s">
        <v>4011</v>
      </c>
      <c r="Y182" s="150"/>
      <c r="Z182" s="150">
        <v>7</v>
      </c>
      <c r="AA182" s="150">
        <v>7</v>
      </c>
      <c r="AB182" s="35" t="s">
        <v>1104</v>
      </c>
      <c r="AC182" s="202" t="s">
        <v>1880</v>
      </c>
      <c r="AD182" s="35" t="s">
        <v>1880</v>
      </c>
      <c r="AE182" s="40"/>
    </row>
    <row r="183" spans="1:31" s="46" customFormat="1" ht="27.95" customHeight="1" x14ac:dyDescent="0.15">
      <c r="A183" s="8">
        <v>181</v>
      </c>
      <c r="B183" s="8" t="s">
        <v>4012</v>
      </c>
      <c r="C183" s="40" t="s">
        <v>111</v>
      </c>
      <c r="D183" s="40" t="s">
        <v>111</v>
      </c>
      <c r="E183" s="40" t="s">
        <v>111</v>
      </c>
      <c r="F183" s="54" t="s">
        <v>2010</v>
      </c>
      <c r="G183" s="54" t="s">
        <v>4015</v>
      </c>
      <c r="H183" s="1" t="s">
        <v>1460</v>
      </c>
      <c r="I183" s="142" t="s">
        <v>4016</v>
      </c>
      <c r="J183" s="21" t="s">
        <v>4017</v>
      </c>
      <c r="K183" s="40" t="s">
        <v>4018</v>
      </c>
      <c r="L183" s="40" t="s">
        <v>1826</v>
      </c>
      <c r="M183" s="40" t="s">
        <v>111</v>
      </c>
      <c r="N183" s="40" t="s">
        <v>1818</v>
      </c>
      <c r="O183" s="151" t="s">
        <v>4019</v>
      </c>
      <c r="P183" s="71" t="s">
        <v>19</v>
      </c>
      <c r="Q183" s="40" t="s">
        <v>4020</v>
      </c>
      <c r="R183" s="40" t="s">
        <v>4020</v>
      </c>
      <c r="S183" s="40" t="s">
        <v>4021</v>
      </c>
      <c r="T183" s="130" t="s">
        <v>4022</v>
      </c>
      <c r="U183" s="40" t="s">
        <v>4023</v>
      </c>
      <c r="V183" s="40">
        <v>2</v>
      </c>
      <c r="W183" s="40" t="s">
        <v>4024</v>
      </c>
      <c r="X183" s="40" t="s">
        <v>4025</v>
      </c>
      <c r="Y183" s="150"/>
      <c r="Z183" s="150">
        <v>3</v>
      </c>
      <c r="AA183" s="150">
        <v>3</v>
      </c>
      <c r="AB183" s="35" t="s">
        <v>1104</v>
      </c>
      <c r="AC183" s="202" t="s">
        <v>1880</v>
      </c>
      <c r="AD183" s="35" t="s">
        <v>1880</v>
      </c>
      <c r="AE183" s="40"/>
    </row>
    <row r="184" spans="1:31" s="46" customFormat="1" ht="27.95" customHeight="1" x14ac:dyDescent="0.15">
      <c r="A184" s="8">
        <v>182</v>
      </c>
      <c r="B184" s="8" t="s">
        <v>4013</v>
      </c>
      <c r="C184" s="40" t="s">
        <v>111</v>
      </c>
      <c r="D184" s="40" t="s">
        <v>111</v>
      </c>
      <c r="E184" s="40" t="s">
        <v>111</v>
      </c>
      <c r="F184" s="151" t="s">
        <v>2018</v>
      </c>
      <c r="G184" s="54" t="s">
        <v>4026</v>
      </c>
      <c r="H184" s="1" t="s">
        <v>1460</v>
      </c>
      <c r="I184" s="142" t="s">
        <v>4016</v>
      </c>
      <c r="J184" s="21" t="s">
        <v>4027</v>
      </c>
      <c r="K184" s="40" t="s">
        <v>4028</v>
      </c>
      <c r="L184" s="40" t="s">
        <v>1826</v>
      </c>
      <c r="M184" s="40" t="s">
        <v>111</v>
      </c>
      <c r="N184" s="40" t="s">
        <v>1818</v>
      </c>
      <c r="O184" s="151" t="s">
        <v>4019</v>
      </c>
      <c r="P184" s="71" t="s">
        <v>19</v>
      </c>
      <c r="Q184" s="40" t="s">
        <v>4020</v>
      </c>
      <c r="R184" s="40" t="s">
        <v>4020</v>
      </c>
      <c r="S184" s="40" t="s">
        <v>4021</v>
      </c>
      <c r="T184" s="130" t="s">
        <v>4022</v>
      </c>
      <c r="U184" s="40" t="s">
        <v>4023</v>
      </c>
      <c r="V184" s="40">
        <v>2</v>
      </c>
      <c r="W184" s="40" t="s">
        <v>4024</v>
      </c>
      <c r="X184" s="40" t="s">
        <v>4025</v>
      </c>
      <c r="Y184" s="150"/>
      <c r="Z184" s="150">
        <v>3</v>
      </c>
      <c r="AA184" s="150">
        <v>3</v>
      </c>
      <c r="AB184" s="35" t="s">
        <v>1104</v>
      </c>
      <c r="AC184" s="202" t="s">
        <v>1880</v>
      </c>
      <c r="AD184" s="35" t="s">
        <v>1880</v>
      </c>
      <c r="AE184" s="40"/>
    </row>
    <row r="185" spans="1:31" s="46" customFormat="1" ht="27.95" customHeight="1" x14ac:dyDescent="0.15">
      <c r="A185" s="8">
        <v>183</v>
      </c>
      <c r="B185" s="8" t="s">
        <v>4014</v>
      </c>
      <c r="C185" s="40" t="s">
        <v>111</v>
      </c>
      <c r="D185" s="40" t="s">
        <v>111</v>
      </c>
      <c r="E185" s="40" t="s">
        <v>111</v>
      </c>
      <c r="F185" s="54" t="s">
        <v>2020</v>
      </c>
      <c r="G185" s="54" t="s">
        <v>4029</v>
      </c>
      <c r="H185" s="1" t="s">
        <v>1460</v>
      </c>
      <c r="I185" s="142" t="s">
        <v>4016</v>
      </c>
      <c r="J185" s="21" t="s">
        <v>4030</v>
      </c>
      <c r="K185" s="40" t="s">
        <v>4031</v>
      </c>
      <c r="L185" s="40" t="s">
        <v>1826</v>
      </c>
      <c r="M185" s="40" t="s">
        <v>111</v>
      </c>
      <c r="N185" s="40" t="s">
        <v>1818</v>
      </c>
      <c r="O185" s="151" t="s">
        <v>4019</v>
      </c>
      <c r="P185" s="71" t="s">
        <v>19</v>
      </c>
      <c r="Q185" s="40" t="s">
        <v>4020</v>
      </c>
      <c r="R185" s="40" t="s">
        <v>4020</v>
      </c>
      <c r="S185" s="40" t="s">
        <v>4021</v>
      </c>
      <c r="T185" s="130" t="s">
        <v>4022</v>
      </c>
      <c r="U185" s="40" t="s">
        <v>4023</v>
      </c>
      <c r="V185" s="40">
        <v>2</v>
      </c>
      <c r="W185" s="40" t="s">
        <v>4024</v>
      </c>
      <c r="X185" s="40" t="s">
        <v>4025</v>
      </c>
      <c r="Y185" s="150"/>
      <c r="Z185" s="150">
        <v>3</v>
      </c>
      <c r="AA185" s="150">
        <v>3</v>
      </c>
      <c r="AB185" s="35" t="s">
        <v>1104</v>
      </c>
      <c r="AC185" s="202" t="s">
        <v>1880</v>
      </c>
      <c r="AD185" s="35" t="s">
        <v>1880</v>
      </c>
      <c r="AE185" s="40"/>
    </row>
    <row r="186" spans="1:31" s="46" customFormat="1" ht="27.95" customHeight="1" x14ac:dyDescent="0.15">
      <c r="A186" s="8">
        <v>184</v>
      </c>
      <c r="B186" s="8" t="s">
        <v>4032</v>
      </c>
      <c r="C186" s="40" t="s">
        <v>111</v>
      </c>
      <c r="D186" s="40" t="s">
        <v>111</v>
      </c>
      <c r="E186" s="40" t="s">
        <v>111</v>
      </c>
      <c r="F186" s="151" t="s">
        <v>4033</v>
      </c>
      <c r="G186" s="54" t="s">
        <v>4034</v>
      </c>
      <c r="H186" s="82" t="s">
        <v>4035</v>
      </c>
      <c r="I186" s="82" t="s">
        <v>4036</v>
      </c>
      <c r="J186" s="82" t="s">
        <v>4042</v>
      </c>
      <c r="K186" s="82" t="s">
        <v>4037</v>
      </c>
      <c r="L186" s="40" t="s">
        <v>4038</v>
      </c>
      <c r="M186" s="40" t="s">
        <v>111</v>
      </c>
      <c r="N186" s="40" t="s">
        <v>4039</v>
      </c>
      <c r="O186" s="54" t="s">
        <v>2192</v>
      </c>
      <c r="P186" s="71" t="s">
        <v>19</v>
      </c>
      <c r="Q186" s="82" t="s">
        <v>4040</v>
      </c>
      <c r="R186" s="82" t="s">
        <v>4040</v>
      </c>
      <c r="S186" s="40" t="s">
        <v>4041</v>
      </c>
      <c r="T186" s="209" t="s">
        <v>4072</v>
      </c>
      <c r="U186" s="82" t="s">
        <v>4073</v>
      </c>
      <c r="V186" s="82">
        <v>1</v>
      </c>
      <c r="W186" s="211" t="s">
        <v>2512</v>
      </c>
      <c r="X186" s="24" t="s">
        <v>111</v>
      </c>
      <c r="Y186" s="150">
        <v>46.847999999999999</v>
      </c>
      <c r="Z186" s="150"/>
      <c r="AA186" s="150">
        <v>46.847999999999999</v>
      </c>
      <c r="AB186" s="35" t="s">
        <v>1104</v>
      </c>
      <c r="AC186" s="202" t="s">
        <v>1880</v>
      </c>
      <c r="AD186" s="35" t="s">
        <v>1880</v>
      </c>
      <c r="AE186" s="40"/>
    </row>
    <row r="187" spans="1:31" s="46" customFormat="1" ht="35.25" customHeight="1" x14ac:dyDescent="0.15">
      <c r="A187" s="8">
        <v>185</v>
      </c>
      <c r="B187" s="8" t="s">
        <v>4044</v>
      </c>
      <c r="C187" s="40" t="s">
        <v>111</v>
      </c>
      <c r="D187" s="40" t="s">
        <v>111</v>
      </c>
      <c r="E187" s="40" t="s">
        <v>111</v>
      </c>
      <c r="F187" s="151" t="s">
        <v>4045</v>
      </c>
      <c r="G187" s="54" t="s">
        <v>4046</v>
      </c>
      <c r="H187" s="82" t="s">
        <v>1147</v>
      </c>
      <c r="I187" s="82" t="s">
        <v>1146</v>
      </c>
      <c r="J187" s="82" t="s">
        <v>1850</v>
      </c>
      <c r="K187" s="40" t="s">
        <v>4047</v>
      </c>
      <c r="L187" s="40" t="s">
        <v>1826</v>
      </c>
      <c r="M187" s="40" t="s">
        <v>111</v>
      </c>
      <c r="N187" s="40" t="s">
        <v>4048</v>
      </c>
      <c r="O187" s="151" t="s">
        <v>4049</v>
      </c>
      <c r="P187" s="71" t="s">
        <v>19</v>
      </c>
      <c r="Q187" s="40" t="s">
        <v>4050</v>
      </c>
      <c r="R187" s="40" t="s">
        <v>4051</v>
      </c>
      <c r="S187" s="40" t="s">
        <v>4056</v>
      </c>
      <c r="T187" s="130" t="s">
        <v>4052</v>
      </c>
      <c r="U187" s="40" t="s">
        <v>4053</v>
      </c>
      <c r="V187" s="40">
        <v>2</v>
      </c>
      <c r="W187" s="40" t="s">
        <v>4054</v>
      </c>
      <c r="X187" s="40" t="s">
        <v>4055</v>
      </c>
      <c r="Y187" s="150"/>
      <c r="Z187" s="150">
        <v>30</v>
      </c>
      <c r="AA187" s="150">
        <v>30</v>
      </c>
      <c r="AB187" s="35" t="s">
        <v>1104</v>
      </c>
      <c r="AC187" s="202" t="s">
        <v>1880</v>
      </c>
      <c r="AD187" s="35" t="s">
        <v>1880</v>
      </c>
      <c r="AE187" s="40"/>
    </row>
    <row r="188" spans="1:31" s="46" customFormat="1" ht="27.95" customHeight="1" x14ac:dyDescent="0.15">
      <c r="A188" s="8">
        <v>186</v>
      </c>
      <c r="B188" s="8" t="s">
        <v>4071</v>
      </c>
      <c r="C188" s="40" t="s">
        <v>4070</v>
      </c>
      <c r="D188" s="40" t="s">
        <v>111</v>
      </c>
      <c r="E188" s="40" t="s">
        <v>111</v>
      </c>
      <c r="F188" s="151" t="s">
        <v>4060</v>
      </c>
      <c r="G188" s="54" t="s">
        <v>4069</v>
      </c>
      <c r="H188" s="40" t="s">
        <v>4061</v>
      </c>
      <c r="I188" s="40" t="s">
        <v>4062</v>
      </c>
      <c r="J188" s="40" t="s">
        <v>4063</v>
      </c>
      <c r="K188" s="54" t="s">
        <v>4064</v>
      </c>
      <c r="L188" s="40" t="s">
        <v>1826</v>
      </c>
      <c r="M188" s="40" t="s">
        <v>111</v>
      </c>
      <c r="N188" s="40" t="s">
        <v>1818</v>
      </c>
      <c r="O188" s="242" t="s">
        <v>4774</v>
      </c>
      <c r="P188" s="71" t="s">
        <v>19</v>
      </c>
      <c r="Q188" s="40" t="s">
        <v>4065</v>
      </c>
      <c r="R188" s="40" t="s">
        <v>4065</v>
      </c>
      <c r="S188" s="40" t="s">
        <v>4066</v>
      </c>
      <c r="T188" s="130" t="s">
        <v>4067</v>
      </c>
      <c r="U188" s="40" t="s">
        <v>4068</v>
      </c>
      <c r="V188" s="40">
        <v>1</v>
      </c>
      <c r="W188" s="211" t="s">
        <v>111</v>
      </c>
      <c r="X188" s="211" t="s">
        <v>111</v>
      </c>
      <c r="Y188" s="217">
        <v>34.679310000000001</v>
      </c>
      <c r="Z188" s="150"/>
      <c r="AA188" s="217">
        <v>34.679310000000001</v>
      </c>
      <c r="AB188" s="35" t="s">
        <v>1104</v>
      </c>
      <c r="AC188" s="202" t="s">
        <v>1880</v>
      </c>
      <c r="AD188" s="35" t="s">
        <v>1880</v>
      </c>
      <c r="AE188" s="242" t="s">
        <v>4851</v>
      </c>
    </row>
    <row r="189" spans="1:31" s="46" customFormat="1" ht="27.95" customHeight="1" x14ac:dyDescent="0.15">
      <c r="A189" s="8">
        <v>187</v>
      </c>
      <c r="B189" s="8" t="s">
        <v>4078</v>
      </c>
      <c r="C189" s="40" t="s">
        <v>4079</v>
      </c>
      <c r="D189" s="40" t="s">
        <v>111</v>
      </c>
      <c r="E189" s="40" t="s">
        <v>111</v>
      </c>
      <c r="F189" s="151" t="s">
        <v>4074</v>
      </c>
      <c r="G189" s="54" t="s">
        <v>4075</v>
      </c>
      <c r="H189" s="40" t="s">
        <v>2113</v>
      </c>
      <c r="I189" s="40" t="s">
        <v>1779</v>
      </c>
      <c r="J189" s="40" t="s">
        <v>4076</v>
      </c>
      <c r="K189" s="40" t="s">
        <v>4077</v>
      </c>
      <c r="L189" s="40" t="s">
        <v>1826</v>
      </c>
      <c r="M189" s="40" t="s">
        <v>111</v>
      </c>
      <c r="N189" s="40" t="s">
        <v>4080</v>
      </c>
      <c r="O189" s="76" t="s">
        <v>4081</v>
      </c>
      <c r="P189" s="71" t="s">
        <v>19</v>
      </c>
      <c r="Q189" s="40" t="s">
        <v>4082</v>
      </c>
      <c r="R189" s="40" t="s">
        <v>4082</v>
      </c>
      <c r="S189" s="40" t="s">
        <v>4083</v>
      </c>
      <c r="T189" s="130" t="s">
        <v>4084</v>
      </c>
      <c r="U189" s="40" t="s">
        <v>2359</v>
      </c>
      <c r="V189" s="40">
        <v>1</v>
      </c>
      <c r="W189" s="211" t="s">
        <v>111</v>
      </c>
      <c r="X189" s="211" t="s">
        <v>111</v>
      </c>
      <c r="Y189" s="150">
        <v>8.68</v>
      </c>
      <c r="Z189" s="150"/>
      <c r="AA189" s="150">
        <v>8.68</v>
      </c>
      <c r="AB189" s="35" t="s">
        <v>1104</v>
      </c>
      <c r="AC189" s="202" t="s">
        <v>1880</v>
      </c>
      <c r="AD189" s="35" t="s">
        <v>1880</v>
      </c>
      <c r="AE189" s="40"/>
    </row>
    <row r="190" spans="1:31" s="46" customFormat="1" ht="27.95" customHeight="1" x14ac:dyDescent="0.15">
      <c r="A190" s="8">
        <v>188</v>
      </c>
      <c r="B190" s="8" t="s">
        <v>4091</v>
      </c>
      <c r="C190" s="40" t="s">
        <v>4090</v>
      </c>
      <c r="D190" s="40" t="s">
        <v>111</v>
      </c>
      <c r="E190" s="40" t="s">
        <v>111</v>
      </c>
      <c r="F190" s="151" t="s">
        <v>4085</v>
      </c>
      <c r="G190" s="54" t="s">
        <v>4086</v>
      </c>
      <c r="H190" s="40" t="s">
        <v>2113</v>
      </c>
      <c r="I190" s="40" t="s">
        <v>2533</v>
      </c>
      <c r="J190" s="40" t="s">
        <v>2874</v>
      </c>
      <c r="K190" s="40" t="s">
        <v>4087</v>
      </c>
      <c r="L190" s="40" t="s">
        <v>2142</v>
      </c>
      <c r="M190" s="40" t="s">
        <v>111</v>
      </c>
      <c r="N190" s="40" t="s">
        <v>1150</v>
      </c>
      <c r="O190" s="76" t="s">
        <v>4081</v>
      </c>
      <c r="P190" s="71" t="s">
        <v>19</v>
      </c>
      <c r="Q190" s="40" t="s">
        <v>1831</v>
      </c>
      <c r="R190" s="40" t="s">
        <v>1831</v>
      </c>
      <c r="S190" s="40" t="s">
        <v>4088</v>
      </c>
      <c r="T190" s="130" t="s">
        <v>4089</v>
      </c>
      <c r="U190" s="40" t="s">
        <v>2359</v>
      </c>
      <c r="V190" s="40">
        <v>1</v>
      </c>
      <c r="W190" s="211" t="s">
        <v>111</v>
      </c>
      <c r="X190" s="211" t="s">
        <v>111</v>
      </c>
      <c r="Y190" s="150">
        <v>10.5</v>
      </c>
      <c r="Z190" s="150"/>
      <c r="AA190" s="150">
        <v>10.5</v>
      </c>
      <c r="AB190" s="35" t="s">
        <v>1104</v>
      </c>
      <c r="AC190" s="202" t="s">
        <v>1880</v>
      </c>
      <c r="AD190" s="35" t="s">
        <v>1880</v>
      </c>
      <c r="AE190" s="40"/>
    </row>
    <row r="191" spans="1:31" s="46" customFormat="1" ht="27.95" customHeight="1" x14ac:dyDescent="0.15">
      <c r="A191" s="8">
        <v>189</v>
      </c>
      <c r="B191" s="8" t="s">
        <v>4094</v>
      </c>
      <c r="C191" s="40" t="s">
        <v>4100</v>
      </c>
      <c r="D191" s="40" t="s">
        <v>111</v>
      </c>
      <c r="E191" s="40" t="s">
        <v>111</v>
      </c>
      <c r="F191" s="151" t="s">
        <v>4096</v>
      </c>
      <c r="G191" s="54" t="s">
        <v>4097</v>
      </c>
      <c r="H191" s="40" t="s">
        <v>2135</v>
      </c>
      <c r="I191" s="40" t="s">
        <v>2533</v>
      </c>
      <c r="J191" s="40" t="s">
        <v>1655</v>
      </c>
      <c r="K191" s="40" t="s">
        <v>4098</v>
      </c>
      <c r="L191" s="40" t="s">
        <v>2142</v>
      </c>
      <c r="M191" s="40" t="s">
        <v>111</v>
      </c>
      <c r="N191" s="40" t="s">
        <v>2422</v>
      </c>
      <c r="O191" s="76" t="s">
        <v>4099</v>
      </c>
      <c r="P191" s="71" t="s">
        <v>19</v>
      </c>
      <c r="Q191" s="40" t="s">
        <v>4101</v>
      </c>
      <c r="R191" s="40" t="s">
        <v>4101</v>
      </c>
      <c r="S191" s="40" t="s">
        <v>4102</v>
      </c>
      <c r="T191" s="130" t="s">
        <v>4103</v>
      </c>
      <c r="U191" s="40" t="s">
        <v>4104</v>
      </c>
      <c r="V191" s="40">
        <v>2</v>
      </c>
      <c r="W191" s="211" t="s">
        <v>111</v>
      </c>
      <c r="X191" s="211" t="s">
        <v>111</v>
      </c>
      <c r="Y191" s="150">
        <v>9.8000000000000007</v>
      </c>
      <c r="Z191" s="150"/>
      <c r="AA191" s="150">
        <v>9.8000000000000007</v>
      </c>
      <c r="AB191" s="35" t="s">
        <v>1104</v>
      </c>
      <c r="AC191" s="202" t="s">
        <v>1880</v>
      </c>
      <c r="AD191" s="35" t="s">
        <v>1880</v>
      </c>
      <c r="AE191" s="40"/>
    </row>
    <row r="192" spans="1:31" s="46" customFormat="1" ht="27.95" customHeight="1" x14ac:dyDescent="0.15">
      <c r="A192" s="8">
        <v>190</v>
      </c>
      <c r="B192" s="8" t="s">
        <v>4095</v>
      </c>
      <c r="C192" s="40" t="s">
        <v>111</v>
      </c>
      <c r="D192" s="40" t="s">
        <v>111</v>
      </c>
      <c r="E192" s="40" t="s">
        <v>111</v>
      </c>
      <c r="F192" s="151" t="s">
        <v>4096</v>
      </c>
      <c r="G192" s="54" t="s">
        <v>4105</v>
      </c>
      <c r="H192" s="40" t="s">
        <v>2135</v>
      </c>
      <c r="I192" s="40" t="s">
        <v>2533</v>
      </c>
      <c r="J192" s="40" t="s">
        <v>1655</v>
      </c>
      <c r="K192" s="40" t="s">
        <v>4098</v>
      </c>
      <c r="L192" s="40" t="s">
        <v>2142</v>
      </c>
      <c r="M192" s="40" t="s">
        <v>111</v>
      </c>
      <c r="N192" s="40" t="s">
        <v>2422</v>
      </c>
      <c r="O192" s="151" t="s">
        <v>1819</v>
      </c>
      <c r="P192" s="71" t="s">
        <v>19</v>
      </c>
      <c r="Q192" s="40" t="s">
        <v>4101</v>
      </c>
      <c r="R192" s="40" t="s">
        <v>4101</v>
      </c>
      <c r="S192" s="40" t="s">
        <v>4102</v>
      </c>
      <c r="T192" s="130" t="s">
        <v>4103</v>
      </c>
      <c r="U192" s="40" t="s">
        <v>4104</v>
      </c>
      <c r="V192" s="40">
        <v>3</v>
      </c>
      <c r="W192" s="40" t="s">
        <v>4106</v>
      </c>
      <c r="X192" s="40" t="s">
        <v>4107</v>
      </c>
      <c r="Y192" s="150"/>
      <c r="Z192" s="150">
        <v>8.8000000000000007</v>
      </c>
      <c r="AA192" s="150">
        <v>8.8000000000000007</v>
      </c>
      <c r="AB192" s="35" t="s">
        <v>1104</v>
      </c>
      <c r="AC192" s="202" t="s">
        <v>1880</v>
      </c>
      <c r="AD192" s="35" t="s">
        <v>1880</v>
      </c>
      <c r="AE192" s="40"/>
    </row>
    <row r="193" spans="1:31" s="46" customFormat="1" ht="30" customHeight="1" x14ac:dyDescent="0.15">
      <c r="A193" s="8">
        <v>191</v>
      </c>
      <c r="B193" s="8" t="s">
        <v>4108</v>
      </c>
      <c r="C193" s="40" t="s">
        <v>111</v>
      </c>
      <c r="D193" s="40" t="s">
        <v>111</v>
      </c>
      <c r="E193" s="1353" t="s">
        <v>5824</v>
      </c>
      <c r="F193" s="151" t="s">
        <v>4109</v>
      </c>
      <c r="G193" s="54" t="s">
        <v>4110</v>
      </c>
      <c r="H193" s="40" t="s">
        <v>2420</v>
      </c>
      <c r="I193" s="40" t="s">
        <v>4111</v>
      </c>
      <c r="J193" s="40" t="s">
        <v>4121</v>
      </c>
      <c r="K193" s="40" t="s">
        <v>4112</v>
      </c>
      <c r="L193" s="40" t="s">
        <v>2142</v>
      </c>
      <c r="M193" s="40" t="s">
        <v>111</v>
      </c>
      <c r="N193" s="40" t="s">
        <v>4113</v>
      </c>
      <c r="O193" s="151" t="s">
        <v>4114</v>
      </c>
      <c r="P193" s="71" t="s">
        <v>19</v>
      </c>
      <c r="Q193" s="40" t="s">
        <v>4115</v>
      </c>
      <c r="R193" s="40" t="s">
        <v>4115</v>
      </c>
      <c r="S193" s="40" t="s">
        <v>4116</v>
      </c>
      <c r="T193" s="130" t="s">
        <v>4117</v>
      </c>
      <c r="U193" s="40" t="s">
        <v>4118</v>
      </c>
      <c r="V193" s="40">
        <v>2</v>
      </c>
      <c r="W193" s="40" t="s">
        <v>4119</v>
      </c>
      <c r="X193" s="40" t="s">
        <v>4120</v>
      </c>
      <c r="Y193" s="150"/>
      <c r="Z193" s="150">
        <v>16</v>
      </c>
      <c r="AA193" s="150">
        <v>16</v>
      </c>
      <c r="AB193" s="35" t="s">
        <v>1104</v>
      </c>
      <c r="AC193" s="202" t="s">
        <v>1880</v>
      </c>
      <c r="AD193" s="35" t="s">
        <v>1880</v>
      </c>
      <c r="AE193" s="40"/>
    </row>
    <row r="194" spans="1:31" s="46" customFormat="1" ht="27.95" customHeight="1" x14ac:dyDescent="0.15">
      <c r="A194" s="8">
        <v>192</v>
      </c>
      <c r="B194" s="8" t="s">
        <v>4122</v>
      </c>
      <c r="C194" s="40" t="s">
        <v>111</v>
      </c>
      <c r="D194" s="40" t="s">
        <v>111</v>
      </c>
      <c r="E194" s="40" t="s">
        <v>111</v>
      </c>
      <c r="F194" s="151" t="s">
        <v>4085</v>
      </c>
      <c r="G194" s="54" t="s">
        <v>4123</v>
      </c>
      <c r="H194" s="40" t="s">
        <v>2113</v>
      </c>
      <c r="I194" s="40" t="s">
        <v>2533</v>
      </c>
      <c r="J194" s="40" t="s">
        <v>2874</v>
      </c>
      <c r="K194" s="40" t="s">
        <v>4087</v>
      </c>
      <c r="L194" s="40" t="s">
        <v>2142</v>
      </c>
      <c r="M194" s="40" t="s">
        <v>111</v>
      </c>
      <c r="N194" s="40" t="s">
        <v>2422</v>
      </c>
      <c r="O194" s="205" t="s">
        <v>4124</v>
      </c>
      <c r="P194" s="71" t="s">
        <v>19</v>
      </c>
      <c r="Q194" s="40" t="s">
        <v>4125</v>
      </c>
      <c r="R194" s="40" t="s">
        <v>4125</v>
      </c>
      <c r="S194" s="40" t="s">
        <v>4145</v>
      </c>
      <c r="T194" s="130" t="s">
        <v>4126</v>
      </c>
      <c r="U194" s="40" t="s">
        <v>4127</v>
      </c>
      <c r="V194" s="40">
        <v>1</v>
      </c>
      <c r="W194" s="40" t="s">
        <v>4128</v>
      </c>
      <c r="X194" s="40" t="s">
        <v>4129</v>
      </c>
      <c r="Y194" s="150"/>
      <c r="Z194" s="150">
        <v>6.5</v>
      </c>
      <c r="AA194" s="150">
        <v>6.5</v>
      </c>
      <c r="AB194" s="35" t="s">
        <v>1104</v>
      </c>
      <c r="AC194" s="202" t="s">
        <v>1880</v>
      </c>
      <c r="AD194" s="35" t="s">
        <v>1880</v>
      </c>
      <c r="AE194" s="40"/>
    </row>
    <row r="195" spans="1:31" s="46" customFormat="1" ht="27.95" customHeight="1" x14ac:dyDescent="0.15">
      <c r="A195" s="8">
        <v>193</v>
      </c>
      <c r="B195" s="8" t="s">
        <v>4130</v>
      </c>
      <c r="C195" s="40" t="s">
        <v>111</v>
      </c>
      <c r="D195" s="40" t="s">
        <v>111</v>
      </c>
      <c r="E195" s="40" t="s">
        <v>111</v>
      </c>
      <c r="F195" s="54" t="s">
        <v>4133</v>
      </c>
      <c r="G195" s="54" t="s">
        <v>4132</v>
      </c>
      <c r="H195" s="40" t="s">
        <v>2135</v>
      </c>
      <c r="I195" s="40" t="s">
        <v>2533</v>
      </c>
      <c r="J195" s="21" t="s">
        <v>4134</v>
      </c>
      <c r="K195" s="40" t="s">
        <v>4135</v>
      </c>
      <c r="L195" s="40" t="s">
        <v>4136</v>
      </c>
      <c r="M195" s="40" t="s">
        <v>111</v>
      </c>
      <c r="N195" s="40" t="s">
        <v>1818</v>
      </c>
      <c r="O195" s="151" t="s">
        <v>1819</v>
      </c>
      <c r="P195" s="71" t="s">
        <v>19</v>
      </c>
      <c r="Q195" s="40" t="s">
        <v>1831</v>
      </c>
      <c r="R195" s="40" t="s">
        <v>1831</v>
      </c>
      <c r="S195" s="40" t="s">
        <v>4145</v>
      </c>
      <c r="T195" s="130" t="s">
        <v>4137</v>
      </c>
      <c r="U195" s="40" t="s">
        <v>4138</v>
      </c>
      <c r="V195" s="40">
        <v>1</v>
      </c>
      <c r="W195" s="40" t="s">
        <v>4139</v>
      </c>
      <c r="X195" s="40" t="s">
        <v>4140</v>
      </c>
      <c r="Y195" s="150"/>
      <c r="Z195" s="150">
        <v>10</v>
      </c>
      <c r="AA195" s="150">
        <v>10</v>
      </c>
      <c r="AB195" s="35" t="s">
        <v>1104</v>
      </c>
      <c r="AC195" s="202" t="s">
        <v>1880</v>
      </c>
      <c r="AD195" s="35" t="s">
        <v>1880</v>
      </c>
      <c r="AE195" s="40"/>
    </row>
    <row r="196" spans="1:31" s="46" customFormat="1" ht="27.95" customHeight="1" x14ac:dyDescent="0.15">
      <c r="A196" s="8">
        <v>194</v>
      </c>
      <c r="B196" s="8" t="s">
        <v>4131</v>
      </c>
      <c r="C196" s="40" t="s">
        <v>111</v>
      </c>
      <c r="D196" s="40" t="s">
        <v>111</v>
      </c>
      <c r="E196" s="40" t="s">
        <v>111</v>
      </c>
      <c r="F196" s="54" t="s">
        <v>4141</v>
      </c>
      <c r="G196" s="54" t="s">
        <v>4142</v>
      </c>
      <c r="H196" s="40" t="s">
        <v>2135</v>
      </c>
      <c r="I196" s="40" t="s">
        <v>2533</v>
      </c>
      <c r="J196" s="21" t="s">
        <v>4143</v>
      </c>
      <c r="K196" s="40" t="s">
        <v>4144</v>
      </c>
      <c r="L196" s="40" t="s">
        <v>4136</v>
      </c>
      <c r="M196" s="40" t="s">
        <v>111</v>
      </c>
      <c r="N196" s="40" t="s">
        <v>1818</v>
      </c>
      <c r="O196" s="151" t="s">
        <v>1819</v>
      </c>
      <c r="P196" s="71" t="s">
        <v>19</v>
      </c>
      <c r="Q196" s="40" t="s">
        <v>1831</v>
      </c>
      <c r="R196" s="40" t="s">
        <v>1831</v>
      </c>
      <c r="S196" s="40" t="s">
        <v>4145</v>
      </c>
      <c r="T196" s="130" t="s">
        <v>4137</v>
      </c>
      <c r="U196" s="40" t="s">
        <v>4138</v>
      </c>
      <c r="V196" s="40">
        <v>1</v>
      </c>
      <c r="W196" s="40" t="s">
        <v>4139</v>
      </c>
      <c r="X196" s="40" t="s">
        <v>4140</v>
      </c>
      <c r="Y196" s="150"/>
      <c r="Z196" s="150">
        <v>10</v>
      </c>
      <c r="AA196" s="150">
        <v>10</v>
      </c>
      <c r="AB196" s="35" t="s">
        <v>1104</v>
      </c>
      <c r="AC196" s="202" t="s">
        <v>1880</v>
      </c>
      <c r="AD196" s="35" t="s">
        <v>1880</v>
      </c>
      <c r="AE196" s="40"/>
    </row>
    <row r="197" spans="1:31" s="46" customFormat="1" ht="27.95" customHeight="1" x14ac:dyDescent="0.15">
      <c r="A197" s="8">
        <v>195</v>
      </c>
      <c r="B197" s="8" t="s">
        <v>4148</v>
      </c>
      <c r="C197" s="40" t="s">
        <v>111</v>
      </c>
      <c r="D197" s="40" t="s">
        <v>4339</v>
      </c>
      <c r="E197" s="40" t="s">
        <v>111</v>
      </c>
      <c r="F197" s="151" t="s">
        <v>4151</v>
      </c>
      <c r="G197" s="76" t="s">
        <v>4290</v>
      </c>
      <c r="H197" s="40" t="s">
        <v>2113</v>
      </c>
      <c r="I197" s="40" t="s">
        <v>2533</v>
      </c>
      <c r="J197" s="40" t="s">
        <v>2874</v>
      </c>
      <c r="K197" s="40" t="s">
        <v>4087</v>
      </c>
      <c r="L197" s="40" t="s">
        <v>2142</v>
      </c>
      <c r="M197" s="40" t="s">
        <v>111</v>
      </c>
      <c r="N197" s="40" t="s">
        <v>4152</v>
      </c>
      <c r="O197" s="76" t="s">
        <v>4153</v>
      </c>
      <c r="P197" s="71" t="s">
        <v>19</v>
      </c>
      <c r="Q197" s="40" t="s">
        <v>1831</v>
      </c>
      <c r="R197" s="40" t="s">
        <v>1831</v>
      </c>
      <c r="S197" s="40" t="s">
        <v>4145</v>
      </c>
      <c r="T197" s="209" t="s">
        <v>4291</v>
      </c>
      <c r="U197" s="40" t="s">
        <v>2359</v>
      </c>
      <c r="V197" s="40">
        <v>1</v>
      </c>
      <c r="W197" s="211" t="s">
        <v>111</v>
      </c>
      <c r="X197" s="211" t="s">
        <v>111</v>
      </c>
      <c r="Y197" s="150">
        <v>4.9000000000000004</v>
      </c>
      <c r="Z197" s="150"/>
      <c r="AA197" s="150">
        <v>4.9000000000000004</v>
      </c>
      <c r="AB197" s="35" t="s">
        <v>1104</v>
      </c>
      <c r="AC197" s="202" t="s">
        <v>1880</v>
      </c>
      <c r="AD197" s="35" t="s">
        <v>1880</v>
      </c>
      <c r="AE197" s="9" t="s">
        <v>4334</v>
      </c>
    </row>
    <row r="198" spans="1:31" s="46" customFormat="1" ht="27.95" customHeight="1" x14ac:dyDescent="0.15">
      <c r="A198" s="8">
        <v>196</v>
      </c>
      <c r="B198" s="8" t="s">
        <v>4149</v>
      </c>
      <c r="C198" s="40" t="s">
        <v>111</v>
      </c>
      <c r="D198" s="40" t="s">
        <v>111</v>
      </c>
      <c r="E198" s="8" t="s">
        <v>5260</v>
      </c>
      <c r="F198" s="151" t="s">
        <v>3869</v>
      </c>
      <c r="G198" s="54" t="s">
        <v>4154</v>
      </c>
      <c r="H198" s="40" t="s">
        <v>1147</v>
      </c>
      <c r="I198" s="40" t="s">
        <v>2067</v>
      </c>
      <c r="J198" s="82" t="s">
        <v>3881</v>
      </c>
      <c r="K198" s="82" t="s">
        <v>1138</v>
      </c>
      <c r="L198" s="40" t="s">
        <v>4155</v>
      </c>
      <c r="M198" s="40" t="s">
        <v>111</v>
      </c>
      <c r="N198" s="40" t="s">
        <v>4156</v>
      </c>
      <c r="O198" s="54" t="s">
        <v>2192</v>
      </c>
      <c r="P198" s="71" t="s">
        <v>19</v>
      </c>
      <c r="Q198" s="82" t="s">
        <v>1811</v>
      </c>
      <c r="R198" s="40" t="s">
        <v>4158</v>
      </c>
      <c r="S198" s="40" t="s">
        <v>4172</v>
      </c>
      <c r="T198" s="130" t="s">
        <v>4159</v>
      </c>
      <c r="U198" s="40" t="s">
        <v>2359</v>
      </c>
      <c r="V198" s="40">
        <v>1</v>
      </c>
      <c r="W198" s="211" t="s">
        <v>2512</v>
      </c>
      <c r="X198" s="211" t="s">
        <v>111</v>
      </c>
      <c r="Y198" s="150">
        <v>56.542900000000003</v>
      </c>
      <c r="Z198" s="150"/>
      <c r="AA198" s="150">
        <v>56.542900000000003</v>
      </c>
      <c r="AB198" s="35" t="s">
        <v>1104</v>
      </c>
      <c r="AC198" s="202" t="s">
        <v>1880</v>
      </c>
      <c r="AD198" s="35" t="s">
        <v>1880</v>
      </c>
      <c r="AE198" s="1954" t="s">
        <v>6578</v>
      </c>
    </row>
    <row r="199" spans="1:31" s="46" customFormat="1" ht="27.95" customHeight="1" x14ac:dyDescent="0.15">
      <c r="A199" s="8">
        <v>197</v>
      </c>
      <c r="B199" s="8" t="s">
        <v>4150</v>
      </c>
      <c r="C199" s="40" t="s">
        <v>111</v>
      </c>
      <c r="D199" s="40" t="s">
        <v>111</v>
      </c>
      <c r="E199" s="40" t="s">
        <v>111</v>
      </c>
      <c r="F199" s="151" t="s">
        <v>3869</v>
      </c>
      <c r="G199" s="54" t="s">
        <v>4154</v>
      </c>
      <c r="H199" s="40" t="s">
        <v>1147</v>
      </c>
      <c r="I199" s="40" t="s">
        <v>2067</v>
      </c>
      <c r="J199" s="82" t="s">
        <v>3881</v>
      </c>
      <c r="K199" s="82" t="s">
        <v>1138</v>
      </c>
      <c r="L199" s="40" t="s">
        <v>4155</v>
      </c>
      <c r="M199" s="40" t="s">
        <v>111</v>
      </c>
      <c r="N199" s="40" t="s">
        <v>4157</v>
      </c>
      <c r="O199" s="54" t="s">
        <v>3523</v>
      </c>
      <c r="P199" s="71" t="s">
        <v>19</v>
      </c>
      <c r="Q199" s="82" t="s">
        <v>1811</v>
      </c>
      <c r="R199" s="40" t="s">
        <v>4158</v>
      </c>
      <c r="S199" s="40" t="s">
        <v>4172</v>
      </c>
      <c r="T199" s="130" t="s">
        <v>4159</v>
      </c>
      <c r="U199" s="40" t="s">
        <v>2359</v>
      </c>
      <c r="V199" s="40">
        <v>1</v>
      </c>
      <c r="W199" s="211" t="s">
        <v>111</v>
      </c>
      <c r="X199" s="211" t="s">
        <v>111</v>
      </c>
      <c r="Y199" s="150">
        <v>23.866299999999999</v>
      </c>
      <c r="Z199" s="150"/>
      <c r="AA199" s="150">
        <v>23.866299999999999</v>
      </c>
      <c r="AB199" s="35" t="s">
        <v>1104</v>
      </c>
      <c r="AC199" s="202" t="s">
        <v>1880</v>
      </c>
      <c r="AD199" s="35" t="s">
        <v>1880</v>
      </c>
      <c r="AE199" s="1956"/>
    </row>
    <row r="200" spans="1:31" s="46" customFormat="1" ht="40.5" customHeight="1" x14ac:dyDescent="0.15">
      <c r="A200" s="8">
        <v>198</v>
      </c>
      <c r="B200" s="8" t="s">
        <v>4160</v>
      </c>
      <c r="C200" s="40" t="s">
        <v>4161</v>
      </c>
      <c r="D200" s="40" t="s">
        <v>111</v>
      </c>
      <c r="E200" s="8" t="s">
        <v>6754</v>
      </c>
      <c r="F200" s="151" t="s">
        <v>3869</v>
      </c>
      <c r="G200" s="54" t="s">
        <v>4154</v>
      </c>
      <c r="H200" s="40" t="s">
        <v>1147</v>
      </c>
      <c r="I200" s="40" t="s">
        <v>2067</v>
      </c>
      <c r="J200" s="82" t="s">
        <v>3881</v>
      </c>
      <c r="K200" s="82" t="s">
        <v>1138</v>
      </c>
      <c r="L200" s="40" t="s">
        <v>4155</v>
      </c>
      <c r="M200" s="40" t="s">
        <v>111</v>
      </c>
      <c r="N200" s="40" t="s">
        <v>3990</v>
      </c>
      <c r="O200" s="76" t="s">
        <v>4162</v>
      </c>
      <c r="P200" s="71" t="s">
        <v>19</v>
      </c>
      <c r="Q200" s="82" t="s">
        <v>1811</v>
      </c>
      <c r="R200" s="40" t="s">
        <v>4158</v>
      </c>
      <c r="S200" s="40" t="s">
        <v>4172</v>
      </c>
      <c r="T200" s="130" t="s">
        <v>4159</v>
      </c>
      <c r="U200" s="40" t="s">
        <v>2359</v>
      </c>
      <c r="V200" s="40">
        <v>1</v>
      </c>
      <c r="W200" s="211" t="s">
        <v>111</v>
      </c>
      <c r="X200" s="211" t="s">
        <v>111</v>
      </c>
      <c r="Y200" s="150">
        <v>78.710300000000004</v>
      </c>
      <c r="Z200" s="150"/>
      <c r="AA200" s="150">
        <v>78.710300000000004</v>
      </c>
      <c r="AB200" s="35" t="s">
        <v>1104</v>
      </c>
      <c r="AC200" s="133" t="s">
        <v>5082</v>
      </c>
      <c r="AD200" s="35" t="s">
        <v>1880</v>
      </c>
      <c r="AE200" s="1955"/>
    </row>
    <row r="201" spans="1:31" s="46" customFormat="1" ht="38.25" customHeight="1" x14ac:dyDescent="0.15">
      <c r="A201" s="8">
        <v>199</v>
      </c>
      <c r="B201" s="8" t="s">
        <v>4164</v>
      </c>
      <c r="C201" s="40" t="s">
        <v>111</v>
      </c>
      <c r="D201" s="40" t="s">
        <v>111</v>
      </c>
      <c r="E201" s="40" t="s">
        <v>111</v>
      </c>
      <c r="F201" s="151" t="s">
        <v>4165</v>
      </c>
      <c r="G201" s="54" t="s">
        <v>4166</v>
      </c>
      <c r="H201" s="40" t="s">
        <v>1147</v>
      </c>
      <c r="I201" s="40" t="s">
        <v>2327</v>
      </c>
      <c r="J201" s="82" t="s">
        <v>4167</v>
      </c>
      <c r="K201" s="40" t="s">
        <v>4168</v>
      </c>
      <c r="L201" s="40" t="s">
        <v>1826</v>
      </c>
      <c r="M201" s="40" t="s">
        <v>111</v>
      </c>
      <c r="N201" s="40" t="s">
        <v>4169</v>
      </c>
      <c r="O201" s="151" t="s">
        <v>4170</v>
      </c>
      <c r="P201" s="71" t="s">
        <v>19</v>
      </c>
      <c r="Q201" s="40" t="s">
        <v>4171</v>
      </c>
      <c r="R201" s="40" t="s">
        <v>4171</v>
      </c>
      <c r="S201" s="40" t="s">
        <v>4181</v>
      </c>
      <c r="T201" s="130" t="s">
        <v>4173</v>
      </c>
      <c r="U201" s="40" t="s">
        <v>4174</v>
      </c>
      <c r="V201" s="40">
        <v>1</v>
      </c>
      <c r="W201" s="211" t="s">
        <v>111</v>
      </c>
      <c r="X201" s="211" t="s">
        <v>111</v>
      </c>
      <c r="Y201" s="150">
        <v>11</v>
      </c>
      <c r="Z201" s="150"/>
      <c r="AA201" s="150">
        <v>11</v>
      </c>
      <c r="AB201" s="35" t="s">
        <v>1104</v>
      </c>
      <c r="AC201" s="35" t="s">
        <v>4890</v>
      </c>
      <c r="AD201" s="35" t="s">
        <v>1880</v>
      </c>
      <c r="AE201" s="9" t="s">
        <v>4180</v>
      </c>
    </row>
    <row r="202" spans="1:31" s="46" customFormat="1" ht="27.95" customHeight="1" x14ac:dyDescent="0.15">
      <c r="A202" s="8">
        <v>200</v>
      </c>
      <c r="B202" s="8" t="s">
        <v>4175</v>
      </c>
      <c r="C202" s="40" t="s">
        <v>4176</v>
      </c>
      <c r="D202" s="40" t="s">
        <v>111</v>
      </c>
      <c r="E202" s="8" t="s">
        <v>4584</v>
      </c>
      <c r="F202" s="151" t="s">
        <v>4177</v>
      </c>
      <c r="G202" s="54" t="s">
        <v>4515</v>
      </c>
      <c r="H202" s="40" t="s">
        <v>1881</v>
      </c>
      <c r="I202" s="40" t="s">
        <v>2533</v>
      </c>
      <c r="J202" s="21" t="s">
        <v>4204</v>
      </c>
      <c r="K202" s="54" t="s">
        <v>4205</v>
      </c>
      <c r="L202" s="40" t="s">
        <v>1826</v>
      </c>
      <c r="M202" s="40" t="s">
        <v>111</v>
      </c>
      <c r="N202" s="40" t="s">
        <v>1818</v>
      </c>
      <c r="O202" s="151" t="s">
        <v>4178</v>
      </c>
      <c r="P202" s="71" t="s">
        <v>19</v>
      </c>
      <c r="Q202" s="40" t="s">
        <v>4179</v>
      </c>
      <c r="R202" s="40" t="s">
        <v>4179</v>
      </c>
      <c r="S202" s="40" t="s">
        <v>4181</v>
      </c>
      <c r="T202" s="130" t="s">
        <v>4295</v>
      </c>
      <c r="U202" s="40" t="s">
        <v>1800</v>
      </c>
      <c r="V202" s="10">
        <v>1</v>
      </c>
      <c r="W202" s="211" t="s">
        <v>111</v>
      </c>
      <c r="X202" s="211" t="s">
        <v>111</v>
      </c>
      <c r="Y202" s="150">
        <v>14.040800000000001</v>
      </c>
      <c r="Z202" s="150"/>
      <c r="AA202" s="150">
        <v>14.040800000000001</v>
      </c>
      <c r="AB202" s="35" t="s">
        <v>1104</v>
      </c>
      <c r="AC202" s="202" t="s">
        <v>1880</v>
      </c>
      <c r="AD202" s="35" t="s">
        <v>1880</v>
      </c>
      <c r="AE202" s="40"/>
    </row>
    <row r="203" spans="1:31" s="46" customFormat="1" ht="27.95" customHeight="1" x14ac:dyDescent="0.15">
      <c r="A203" s="8">
        <v>201</v>
      </c>
      <c r="B203" s="8" t="s">
        <v>4184</v>
      </c>
      <c r="C203" s="40" t="s">
        <v>4183</v>
      </c>
      <c r="D203" s="40" t="s">
        <v>111</v>
      </c>
      <c r="E203" s="40" t="s">
        <v>111</v>
      </c>
      <c r="F203" s="151" t="s">
        <v>1775</v>
      </c>
      <c r="G203" s="54" t="s">
        <v>4185</v>
      </c>
      <c r="H203" s="40" t="s">
        <v>2113</v>
      </c>
      <c r="I203" s="40" t="s">
        <v>1779</v>
      </c>
      <c r="J203" s="40" t="s">
        <v>1778</v>
      </c>
      <c r="K203" s="40" t="s">
        <v>4186</v>
      </c>
      <c r="L203" s="40" t="s">
        <v>1826</v>
      </c>
      <c r="M203" s="40" t="s">
        <v>111</v>
      </c>
      <c r="N203" s="40" t="s">
        <v>1818</v>
      </c>
      <c r="O203" s="151" t="s">
        <v>4187</v>
      </c>
      <c r="P203" s="71" t="s">
        <v>19</v>
      </c>
      <c r="Q203" s="40" t="s">
        <v>4188</v>
      </c>
      <c r="R203" s="40" t="s">
        <v>4188</v>
      </c>
      <c r="S203" s="82" t="s">
        <v>4189</v>
      </c>
      <c r="T203" s="209" t="s">
        <v>4190</v>
      </c>
      <c r="U203" s="40" t="s">
        <v>2359</v>
      </c>
      <c r="V203" s="40">
        <v>1</v>
      </c>
      <c r="W203" s="40" t="s">
        <v>4191</v>
      </c>
      <c r="X203" s="40" t="s">
        <v>4192</v>
      </c>
      <c r="Y203" s="150"/>
      <c r="Z203" s="150">
        <v>8</v>
      </c>
      <c r="AA203" s="150">
        <v>8</v>
      </c>
      <c r="AB203" s="35" t="s">
        <v>1104</v>
      </c>
      <c r="AC203" s="202" t="s">
        <v>1880</v>
      </c>
      <c r="AD203" s="35" t="s">
        <v>1880</v>
      </c>
      <c r="AE203" s="40"/>
    </row>
    <row r="204" spans="1:31" s="46" customFormat="1" ht="27.95" customHeight="1" x14ac:dyDescent="0.15">
      <c r="A204" s="8">
        <v>202</v>
      </c>
      <c r="B204" s="8" t="s">
        <v>4194</v>
      </c>
      <c r="C204" s="40" t="s">
        <v>4193</v>
      </c>
      <c r="D204" s="40" t="s">
        <v>111</v>
      </c>
      <c r="E204" s="40" t="s">
        <v>111</v>
      </c>
      <c r="F204" s="151" t="s">
        <v>4199</v>
      </c>
      <c r="G204" s="54" t="s">
        <v>4200</v>
      </c>
      <c r="H204" s="9" t="s">
        <v>4195</v>
      </c>
      <c r="I204" s="9" t="s">
        <v>4196</v>
      </c>
      <c r="J204" s="9" t="s">
        <v>4197</v>
      </c>
      <c r="K204" s="40" t="s">
        <v>4198</v>
      </c>
      <c r="L204" s="40" t="s">
        <v>1826</v>
      </c>
      <c r="M204" s="40" t="s">
        <v>111</v>
      </c>
      <c r="N204" s="216" t="s">
        <v>4201</v>
      </c>
      <c r="O204" s="54" t="s">
        <v>3993</v>
      </c>
      <c r="P204" s="71" t="s">
        <v>19</v>
      </c>
      <c r="Q204" s="82" t="s">
        <v>1811</v>
      </c>
      <c r="R204" s="40" t="s">
        <v>4202</v>
      </c>
      <c r="S204" s="40" t="s">
        <v>4189</v>
      </c>
      <c r="T204" s="130" t="s">
        <v>4203</v>
      </c>
      <c r="U204" s="40" t="s">
        <v>1800</v>
      </c>
      <c r="V204" s="10">
        <v>1</v>
      </c>
      <c r="W204" s="211" t="s">
        <v>111</v>
      </c>
      <c r="X204" s="211" t="s">
        <v>111</v>
      </c>
      <c r="Y204" s="217">
        <v>51.839236999999997</v>
      </c>
      <c r="Z204" s="150"/>
      <c r="AA204" s="217">
        <v>51.839236999999997</v>
      </c>
      <c r="AB204" s="35" t="s">
        <v>1104</v>
      </c>
      <c r="AC204" s="202" t="s">
        <v>1880</v>
      </c>
      <c r="AD204" s="35" t="s">
        <v>1880</v>
      </c>
      <c r="AE204" s="40"/>
    </row>
    <row r="205" spans="1:31" s="46" customFormat="1" ht="27.95" customHeight="1" x14ac:dyDescent="0.15">
      <c r="A205" s="8">
        <v>203</v>
      </c>
      <c r="B205" s="8" t="s">
        <v>4206</v>
      </c>
      <c r="C205" s="40" t="s">
        <v>111</v>
      </c>
      <c r="D205" s="40" t="s">
        <v>111</v>
      </c>
      <c r="E205" s="40" t="s">
        <v>111</v>
      </c>
      <c r="F205" s="151" t="s">
        <v>4207</v>
      </c>
      <c r="G205" s="99" t="s">
        <v>4591</v>
      </c>
      <c r="H205" s="9" t="s">
        <v>4208</v>
      </c>
      <c r="I205" s="9" t="s">
        <v>3101</v>
      </c>
      <c r="J205" s="9" t="s">
        <v>4209</v>
      </c>
      <c r="K205" s="40" t="s">
        <v>4210</v>
      </c>
      <c r="L205" s="40" t="s">
        <v>4211</v>
      </c>
      <c r="M205" s="40" t="s">
        <v>111</v>
      </c>
      <c r="N205" s="40" t="s">
        <v>2422</v>
      </c>
      <c r="O205" s="205" t="s">
        <v>1819</v>
      </c>
      <c r="P205" s="71" t="s">
        <v>19</v>
      </c>
      <c r="Q205" s="40" t="s">
        <v>4212</v>
      </c>
      <c r="R205" s="40" t="s">
        <v>4212</v>
      </c>
      <c r="S205" s="24" t="s">
        <v>4615</v>
      </c>
      <c r="T205" s="90" t="s">
        <v>4594</v>
      </c>
      <c r="U205" s="24" t="s">
        <v>2359</v>
      </c>
      <c r="V205" s="24">
        <v>1</v>
      </c>
      <c r="W205" s="40" t="s">
        <v>4213</v>
      </c>
      <c r="X205" s="40" t="s">
        <v>4214</v>
      </c>
      <c r="Y205" s="150"/>
      <c r="Z205" s="150">
        <v>7</v>
      </c>
      <c r="AA205" s="150">
        <v>7</v>
      </c>
      <c r="AB205" s="35" t="s">
        <v>1104</v>
      </c>
      <c r="AC205" s="202" t="s">
        <v>1880</v>
      </c>
      <c r="AD205" s="35" t="s">
        <v>1880</v>
      </c>
      <c r="AE205" s="40"/>
    </row>
    <row r="206" spans="1:31" s="46" customFormat="1" ht="27.95" customHeight="1" x14ac:dyDescent="0.15">
      <c r="A206" s="8">
        <v>204</v>
      </c>
      <c r="B206" s="8" t="s">
        <v>4215</v>
      </c>
      <c r="C206" s="40" t="s">
        <v>111</v>
      </c>
      <c r="D206" s="40" t="s">
        <v>111</v>
      </c>
      <c r="E206" s="40" t="s">
        <v>111</v>
      </c>
      <c r="F206" s="54" t="s">
        <v>2395</v>
      </c>
      <c r="G206" s="76" t="s">
        <v>4263</v>
      </c>
      <c r="H206" s="40" t="s">
        <v>2347</v>
      </c>
      <c r="I206" s="40" t="s">
        <v>2327</v>
      </c>
      <c r="J206" s="21" t="s">
        <v>4216</v>
      </c>
      <c r="K206" s="54" t="s">
        <v>4217</v>
      </c>
      <c r="L206" s="40" t="s">
        <v>4218</v>
      </c>
      <c r="M206" s="40" t="s">
        <v>111</v>
      </c>
      <c r="N206" s="40" t="s">
        <v>1818</v>
      </c>
      <c r="O206" s="151" t="s">
        <v>1819</v>
      </c>
      <c r="P206" s="71" t="s">
        <v>19</v>
      </c>
      <c r="Q206" s="40" t="s">
        <v>4212</v>
      </c>
      <c r="R206" s="40" t="s">
        <v>4212</v>
      </c>
      <c r="S206" s="82" t="s">
        <v>4264</v>
      </c>
      <c r="T206" s="209" t="s">
        <v>4265</v>
      </c>
      <c r="U206" s="40" t="s">
        <v>2359</v>
      </c>
      <c r="V206" s="40">
        <v>1</v>
      </c>
      <c r="W206" s="40" t="s">
        <v>4219</v>
      </c>
      <c r="X206" s="40" t="s">
        <v>4221</v>
      </c>
      <c r="Y206" s="150"/>
      <c r="Z206" s="150">
        <v>25</v>
      </c>
      <c r="AA206" s="150">
        <v>25</v>
      </c>
      <c r="AB206" s="35" t="s">
        <v>1104</v>
      </c>
      <c r="AC206" s="202" t="s">
        <v>1880</v>
      </c>
      <c r="AD206" s="35" t="s">
        <v>1880</v>
      </c>
      <c r="AE206" s="40"/>
    </row>
    <row r="207" spans="1:31" s="46" customFormat="1" ht="27.95" customHeight="1" x14ac:dyDescent="0.15">
      <c r="A207" s="8">
        <v>205</v>
      </c>
      <c r="B207" s="8" t="s">
        <v>4220</v>
      </c>
      <c r="C207" s="40" t="s">
        <v>111</v>
      </c>
      <c r="D207" s="40" t="s">
        <v>111</v>
      </c>
      <c r="E207" s="40" t="s">
        <v>111</v>
      </c>
      <c r="F207" s="54" t="s">
        <v>2395</v>
      </c>
      <c r="G207" s="76" t="s">
        <v>4266</v>
      </c>
      <c r="H207" s="40" t="s">
        <v>2347</v>
      </c>
      <c r="I207" s="40" t="s">
        <v>2327</v>
      </c>
      <c r="J207" s="21" t="s">
        <v>2392</v>
      </c>
      <c r="K207" s="54" t="s">
        <v>2393</v>
      </c>
      <c r="L207" s="40" t="s">
        <v>4218</v>
      </c>
      <c r="M207" s="40" t="s">
        <v>111</v>
      </c>
      <c r="N207" s="40" t="s">
        <v>1818</v>
      </c>
      <c r="O207" s="151" t="s">
        <v>1819</v>
      </c>
      <c r="P207" s="71" t="s">
        <v>19</v>
      </c>
      <c r="Q207" s="40" t="s">
        <v>4212</v>
      </c>
      <c r="R207" s="40" t="s">
        <v>4212</v>
      </c>
      <c r="S207" s="82" t="s">
        <v>4264</v>
      </c>
      <c r="T207" s="209" t="s">
        <v>4265</v>
      </c>
      <c r="U207" s="40" t="s">
        <v>1800</v>
      </c>
      <c r="V207" s="10">
        <v>1</v>
      </c>
      <c r="W207" s="40" t="s">
        <v>4219</v>
      </c>
      <c r="X207" s="40" t="s">
        <v>4221</v>
      </c>
      <c r="Y207" s="150"/>
      <c r="Z207" s="150">
        <v>25</v>
      </c>
      <c r="AA207" s="150">
        <v>25</v>
      </c>
      <c r="AB207" s="35" t="s">
        <v>1104</v>
      </c>
      <c r="AC207" s="202" t="s">
        <v>1880</v>
      </c>
      <c r="AD207" s="35" t="s">
        <v>1880</v>
      </c>
      <c r="AE207" s="40"/>
    </row>
    <row r="208" spans="1:31" s="46" customFormat="1" ht="27.95" customHeight="1" x14ac:dyDescent="0.15">
      <c r="A208" s="8">
        <v>206</v>
      </c>
      <c r="B208" s="8" t="s">
        <v>4225</v>
      </c>
      <c r="C208" s="40" t="s">
        <v>4222</v>
      </c>
      <c r="D208" s="40" t="s">
        <v>111</v>
      </c>
      <c r="E208" s="40" t="s">
        <v>111</v>
      </c>
      <c r="F208" s="54" t="s">
        <v>2395</v>
      </c>
      <c r="G208" s="76" t="s">
        <v>4267</v>
      </c>
      <c r="H208" s="40" t="s">
        <v>2347</v>
      </c>
      <c r="I208" s="40" t="s">
        <v>2327</v>
      </c>
      <c r="J208" s="21" t="s">
        <v>4223</v>
      </c>
      <c r="K208" s="54" t="s">
        <v>4224</v>
      </c>
      <c r="L208" s="40" t="s">
        <v>4218</v>
      </c>
      <c r="M208" s="40" t="s">
        <v>111</v>
      </c>
      <c r="N208" s="40" t="s">
        <v>1818</v>
      </c>
      <c r="O208" s="151" t="s">
        <v>1796</v>
      </c>
      <c r="P208" s="71" t="s">
        <v>19</v>
      </c>
      <c r="Q208" s="40" t="s">
        <v>4212</v>
      </c>
      <c r="R208" s="40" t="s">
        <v>4212</v>
      </c>
      <c r="S208" s="82" t="s">
        <v>4264</v>
      </c>
      <c r="T208" s="209" t="s">
        <v>4265</v>
      </c>
      <c r="U208" s="40" t="s">
        <v>2359</v>
      </c>
      <c r="V208" s="40">
        <v>1</v>
      </c>
      <c r="W208" s="211" t="s">
        <v>111</v>
      </c>
      <c r="X208" s="211" t="s">
        <v>111</v>
      </c>
      <c r="Y208" s="150">
        <v>8.76</v>
      </c>
      <c r="Z208" s="150"/>
      <c r="AA208" s="150">
        <v>8.76</v>
      </c>
      <c r="AB208" s="35" t="s">
        <v>1104</v>
      </c>
      <c r="AC208" s="202" t="s">
        <v>1880</v>
      </c>
      <c r="AD208" s="35" t="s">
        <v>1880</v>
      </c>
      <c r="AE208" s="40"/>
    </row>
    <row r="209" spans="1:31" s="46" customFormat="1" ht="27.95" customHeight="1" x14ac:dyDescent="0.15">
      <c r="A209" s="8">
        <v>207</v>
      </c>
      <c r="B209" s="8" t="s">
        <v>4233</v>
      </c>
      <c r="C209" s="9" t="s">
        <v>4235</v>
      </c>
      <c r="D209" s="40" t="s">
        <v>111</v>
      </c>
      <c r="E209" s="40" t="s">
        <v>111</v>
      </c>
      <c r="F209" s="151" t="s">
        <v>4226</v>
      </c>
      <c r="G209" s="76" t="s">
        <v>4371</v>
      </c>
      <c r="H209" s="40" t="s">
        <v>2135</v>
      </c>
      <c r="I209" s="40" t="s">
        <v>2533</v>
      </c>
      <c r="J209" s="21" t="s">
        <v>3630</v>
      </c>
      <c r="K209" s="40" t="s">
        <v>4237</v>
      </c>
      <c r="L209" s="40" t="s">
        <v>2142</v>
      </c>
      <c r="M209" s="40" t="s">
        <v>111</v>
      </c>
      <c r="N209" s="40" t="s">
        <v>2422</v>
      </c>
      <c r="O209" s="151" t="s">
        <v>4402</v>
      </c>
      <c r="P209" s="71" t="s">
        <v>19</v>
      </c>
      <c r="Q209" s="40" t="s">
        <v>4227</v>
      </c>
      <c r="R209" s="40" t="s">
        <v>4227</v>
      </c>
      <c r="S209" s="82" t="s">
        <v>4363</v>
      </c>
      <c r="T209" s="82" t="s">
        <v>4363</v>
      </c>
      <c r="U209" s="40" t="s">
        <v>2359</v>
      </c>
      <c r="V209" s="40">
        <v>1</v>
      </c>
      <c r="W209" s="211" t="s">
        <v>111</v>
      </c>
      <c r="X209" s="211" t="s">
        <v>111</v>
      </c>
      <c r="Y209" s="150">
        <v>5</v>
      </c>
      <c r="Z209" s="150"/>
      <c r="AA209" s="150">
        <v>5</v>
      </c>
      <c r="AB209" s="35" t="s">
        <v>1104</v>
      </c>
      <c r="AC209" s="202" t="s">
        <v>1880</v>
      </c>
      <c r="AD209" s="35" t="s">
        <v>1880</v>
      </c>
      <c r="AE209" s="40"/>
    </row>
    <row r="210" spans="1:31" s="46" customFormat="1" ht="27.95" customHeight="1" x14ac:dyDescent="0.15">
      <c r="A210" s="8">
        <v>208</v>
      </c>
      <c r="B210" s="8" t="s">
        <v>4234</v>
      </c>
      <c r="C210" s="9" t="s">
        <v>4236</v>
      </c>
      <c r="D210" s="40" t="s">
        <v>111</v>
      </c>
      <c r="E210" s="40" t="s">
        <v>111</v>
      </c>
      <c r="F210" s="151" t="s">
        <v>3614</v>
      </c>
      <c r="G210" s="76" t="s">
        <v>4371</v>
      </c>
      <c r="H210" s="40" t="s">
        <v>2135</v>
      </c>
      <c r="I210" s="40" t="s">
        <v>2533</v>
      </c>
      <c r="J210" s="21" t="s">
        <v>3631</v>
      </c>
      <c r="K210" s="40" t="s">
        <v>3632</v>
      </c>
      <c r="L210" s="40" t="s">
        <v>2142</v>
      </c>
      <c r="M210" s="40" t="s">
        <v>111</v>
      </c>
      <c r="N210" s="40" t="s">
        <v>2422</v>
      </c>
      <c r="O210" s="151" t="s">
        <v>4402</v>
      </c>
      <c r="P210" s="71" t="s">
        <v>19</v>
      </c>
      <c r="Q210" s="40" t="s">
        <v>1831</v>
      </c>
      <c r="R210" s="40" t="s">
        <v>1831</v>
      </c>
      <c r="S210" s="82" t="s">
        <v>4363</v>
      </c>
      <c r="T210" s="82" t="s">
        <v>4363</v>
      </c>
      <c r="U210" s="40" t="s">
        <v>2359</v>
      </c>
      <c r="V210" s="40">
        <v>1</v>
      </c>
      <c r="W210" s="211" t="s">
        <v>111</v>
      </c>
      <c r="X210" s="211" t="s">
        <v>111</v>
      </c>
      <c r="Y210" s="150">
        <v>5</v>
      </c>
      <c r="Z210" s="150"/>
      <c r="AA210" s="150">
        <v>5</v>
      </c>
      <c r="AB210" s="35" t="s">
        <v>1104</v>
      </c>
      <c r="AC210" s="202" t="s">
        <v>1880</v>
      </c>
      <c r="AD210" s="35" t="s">
        <v>1880</v>
      </c>
      <c r="AE210" s="40"/>
    </row>
    <row r="211" spans="1:31" s="46" customFormat="1" ht="27.95" customHeight="1" x14ac:dyDescent="0.15">
      <c r="A211" s="8">
        <v>209</v>
      </c>
      <c r="B211" s="8" t="s">
        <v>4879</v>
      </c>
      <c r="C211" s="40" t="s">
        <v>4228</v>
      </c>
      <c r="D211" s="40" t="s">
        <v>111</v>
      </c>
      <c r="E211" s="40" t="s">
        <v>111</v>
      </c>
      <c r="F211" s="151" t="s">
        <v>4229</v>
      </c>
      <c r="G211" s="76" t="s">
        <v>4372</v>
      </c>
      <c r="H211" s="40" t="s">
        <v>2135</v>
      </c>
      <c r="I211" s="40" t="s">
        <v>2533</v>
      </c>
      <c r="J211" s="21" t="s">
        <v>3636</v>
      </c>
      <c r="K211" s="40" t="s">
        <v>4230</v>
      </c>
      <c r="L211" s="40" t="s">
        <v>2142</v>
      </c>
      <c r="M211" s="40" t="s">
        <v>111</v>
      </c>
      <c r="N211" s="40" t="s">
        <v>2422</v>
      </c>
      <c r="O211" s="151" t="s">
        <v>4403</v>
      </c>
      <c r="P211" s="71" t="s">
        <v>19</v>
      </c>
      <c r="Q211" s="40" t="s">
        <v>4227</v>
      </c>
      <c r="R211" s="40" t="s">
        <v>4227</v>
      </c>
      <c r="S211" s="82" t="s">
        <v>4363</v>
      </c>
      <c r="T211" s="82" t="s">
        <v>4363</v>
      </c>
      <c r="U211" s="40" t="s">
        <v>2359</v>
      </c>
      <c r="V211" s="40">
        <v>1</v>
      </c>
      <c r="W211" s="211" t="s">
        <v>111</v>
      </c>
      <c r="X211" s="211" t="s">
        <v>111</v>
      </c>
      <c r="Y211" s="150">
        <v>5</v>
      </c>
      <c r="Z211" s="150"/>
      <c r="AA211" s="150">
        <v>5</v>
      </c>
      <c r="AB211" s="35" t="s">
        <v>1104</v>
      </c>
      <c r="AC211" s="202" t="s">
        <v>1880</v>
      </c>
      <c r="AD211" s="35" t="s">
        <v>1880</v>
      </c>
      <c r="AE211" s="40"/>
    </row>
    <row r="212" spans="1:31" s="46" customFormat="1" ht="27.95" customHeight="1" x14ac:dyDescent="0.15">
      <c r="A212" s="8">
        <v>210</v>
      </c>
      <c r="B212" s="8" t="s">
        <v>4880</v>
      </c>
      <c r="C212" s="263" t="s">
        <v>4881</v>
      </c>
      <c r="D212" s="263" t="s">
        <v>111</v>
      </c>
      <c r="E212" s="263" t="s">
        <v>111</v>
      </c>
      <c r="F212" s="151" t="s">
        <v>3613</v>
      </c>
      <c r="G212" s="76" t="s">
        <v>4372</v>
      </c>
      <c r="H212" s="263" t="s">
        <v>2135</v>
      </c>
      <c r="I212" s="263" t="s">
        <v>2533</v>
      </c>
      <c r="J212" s="263" t="s">
        <v>3629</v>
      </c>
      <c r="K212" s="263" t="s">
        <v>3645</v>
      </c>
      <c r="L212" s="263" t="s">
        <v>2142</v>
      </c>
      <c r="M212" s="263" t="s">
        <v>111</v>
      </c>
      <c r="N212" s="263" t="s">
        <v>2422</v>
      </c>
      <c r="O212" s="151" t="s">
        <v>4882</v>
      </c>
      <c r="P212" s="71" t="s">
        <v>19</v>
      </c>
      <c r="Q212" s="263" t="s">
        <v>1831</v>
      </c>
      <c r="R212" s="263" t="s">
        <v>1831</v>
      </c>
      <c r="S212" s="82" t="s">
        <v>4363</v>
      </c>
      <c r="T212" s="82" t="s">
        <v>4363</v>
      </c>
      <c r="U212" s="263" t="s">
        <v>2359</v>
      </c>
      <c r="V212" s="263">
        <v>1</v>
      </c>
      <c r="W212" s="211" t="s">
        <v>111</v>
      </c>
      <c r="X212" s="211" t="s">
        <v>111</v>
      </c>
      <c r="Y212" s="150">
        <v>5</v>
      </c>
      <c r="Z212" s="150"/>
      <c r="AA212" s="150">
        <v>5</v>
      </c>
      <c r="AB212" s="35" t="s">
        <v>1104</v>
      </c>
      <c r="AC212" s="202" t="s">
        <v>1880</v>
      </c>
      <c r="AD212" s="35" t="s">
        <v>1880</v>
      </c>
      <c r="AE212" s="263"/>
    </row>
    <row r="213" spans="1:31" s="46" customFormat="1" ht="27.95" customHeight="1" x14ac:dyDescent="0.15">
      <c r="A213" s="8">
        <v>211</v>
      </c>
      <c r="B213" s="8" t="s">
        <v>4238</v>
      </c>
      <c r="C213" s="40" t="s">
        <v>111</v>
      </c>
      <c r="D213" s="40" t="s">
        <v>111</v>
      </c>
      <c r="E213" s="40" t="s">
        <v>111</v>
      </c>
      <c r="F213" s="151" t="s">
        <v>4254</v>
      </c>
      <c r="G213" s="215" t="s">
        <v>3937</v>
      </c>
      <c r="H213" s="40" t="s">
        <v>4250</v>
      </c>
      <c r="I213" s="40" t="s">
        <v>4251</v>
      </c>
      <c r="J213" s="40" t="s">
        <v>4261</v>
      </c>
      <c r="K213" s="40" t="s">
        <v>4262</v>
      </c>
      <c r="L213" s="40" t="s">
        <v>4252</v>
      </c>
      <c r="M213" s="40" t="s">
        <v>111</v>
      </c>
      <c r="N213" s="40" t="s">
        <v>1818</v>
      </c>
      <c r="O213" s="151" t="s">
        <v>3917</v>
      </c>
      <c r="P213" s="71" t="s">
        <v>19</v>
      </c>
      <c r="Q213" s="40" t="s">
        <v>1811</v>
      </c>
      <c r="R213" s="40" t="s">
        <v>4253</v>
      </c>
      <c r="S213" s="206"/>
      <c r="T213" s="207"/>
      <c r="U213" s="206"/>
      <c r="V213" s="206"/>
      <c r="W213" s="211" t="s">
        <v>111</v>
      </c>
      <c r="X213" s="211" t="s">
        <v>111</v>
      </c>
      <c r="Y213" s="150">
        <v>0.49</v>
      </c>
      <c r="Z213" s="150"/>
      <c r="AA213" s="150">
        <v>0.49</v>
      </c>
      <c r="AB213" s="35" t="s">
        <v>1104</v>
      </c>
      <c r="AC213" s="202" t="s">
        <v>1880</v>
      </c>
      <c r="AD213" s="35" t="s">
        <v>1880</v>
      </c>
      <c r="AE213" s="40"/>
    </row>
    <row r="214" spans="1:31" s="46" customFormat="1" ht="27.95" customHeight="1" x14ac:dyDescent="0.15">
      <c r="A214" s="8">
        <v>212</v>
      </c>
      <c r="B214" s="8" t="s">
        <v>4239</v>
      </c>
      <c r="C214" s="40" t="s">
        <v>111</v>
      </c>
      <c r="D214" s="40" t="s">
        <v>111</v>
      </c>
      <c r="E214" s="40" t="s">
        <v>111</v>
      </c>
      <c r="F214" s="151" t="s">
        <v>3224</v>
      </c>
      <c r="G214" s="215" t="s">
        <v>3937</v>
      </c>
      <c r="H214" s="40" t="s">
        <v>1147</v>
      </c>
      <c r="I214" s="40" t="s">
        <v>3215</v>
      </c>
      <c r="J214" s="21" t="s">
        <v>3225</v>
      </c>
      <c r="K214" s="40" t="s">
        <v>4258</v>
      </c>
      <c r="L214" s="40" t="s">
        <v>4252</v>
      </c>
      <c r="M214" s="40" t="s">
        <v>111</v>
      </c>
      <c r="N214" s="40" t="s">
        <v>1818</v>
      </c>
      <c r="O214" s="151" t="s">
        <v>3917</v>
      </c>
      <c r="P214" s="71" t="s">
        <v>19</v>
      </c>
      <c r="Q214" s="40" t="s">
        <v>1811</v>
      </c>
      <c r="R214" s="40" t="s">
        <v>4253</v>
      </c>
      <c r="S214" s="206"/>
      <c r="T214" s="207"/>
      <c r="U214" s="206"/>
      <c r="V214" s="206"/>
      <c r="W214" s="211" t="s">
        <v>111</v>
      </c>
      <c r="X214" s="211" t="s">
        <v>111</v>
      </c>
      <c r="Y214" s="150">
        <v>0.49</v>
      </c>
      <c r="Z214" s="150"/>
      <c r="AA214" s="150">
        <v>0.49</v>
      </c>
      <c r="AB214" s="35" t="s">
        <v>1104</v>
      </c>
      <c r="AC214" s="202" t="s">
        <v>1880</v>
      </c>
      <c r="AD214" s="35" t="s">
        <v>1880</v>
      </c>
      <c r="AE214" s="40"/>
    </row>
    <row r="215" spans="1:31" s="46" customFormat="1" ht="27.95" customHeight="1" x14ac:dyDescent="0.15">
      <c r="A215" s="8">
        <v>213</v>
      </c>
      <c r="B215" s="8" t="s">
        <v>4240</v>
      </c>
      <c r="C215" s="40" t="s">
        <v>111</v>
      </c>
      <c r="D215" s="40" t="s">
        <v>111</v>
      </c>
      <c r="E215" s="40" t="s">
        <v>111</v>
      </c>
      <c r="F215" s="151" t="s">
        <v>3308</v>
      </c>
      <c r="G215" s="215" t="s">
        <v>3937</v>
      </c>
      <c r="H215" s="40" t="s">
        <v>1147</v>
      </c>
      <c r="I215" s="40" t="s">
        <v>3215</v>
      </c>
      <c r="J215" s="21" t="s">
        <v>3232</v>
      </c>
      <c r="K215" s="40" t="s">
        <v>4258</v>
      </c>
      <c r="L215" s="40" t="s">
        <v>4252</v>
      </c>
      <c r="M215" s="40" t="s">
        <v>111</v>
      </c>
      <c r="N215" s="40" t="s">
        <v>1818</v>
      </c>
      <c r="O215" s="151" t="s">
        <v>3917</v>
      </c>
      <c r="P215" s="71" t="s">
        <v>19</v>
      </c>
      <c r="Q215" s="40" t="s">
        <v>1811</v>
      </c>
      <c r="R215" s="40" t="s">
        <v>4253</v>
      </c>
      <c r="S215" s="206"/>
      <c r="T215" s="207"/>
      <c r="U215" s="206"/>
      <c r="V215" s="206"/>
      <c r="W215" s="211" t="s">
        <v>111</v>
      </c>
      <c r="X215" s="211" t="s">
        <v>111</v>
      </c>
      <c r="Y215" s="150">
        <v>0.49</v>
      </c>
      <c r="Z215" s="150"/>
      <c r="AA215" s="150">
        <v>0.49</v>
      </c>
      <c r="AB215" s="35" t="s">
        <v>1104</v>
      </c>
      <c r="AC215" s="202" t="s">
        <v>1880</v>
      </c>
      <c r="AD215" s="35" t="s">
        <v>1880</v>
      </c>
      <c r="AE215" s="40"/>
    </row>
    <row r="216" spans="1:31" s="46" customFormat="1" ht="27.95" customHeight="1" x14ac:dyDescent="0.15">
      <c r="A216" s="8">
        <v>214</v>
      </c>
      <c r="B216" s="8" t="s">
        <v>4241</v>
      </c>
      <c r="C216" s="40" t="s">
        <v>111</v>
      </c>
      <c r="D216" s="40" t="s">
        <v>111</v>
      </c>
      <c r="E216" s="40" t="s">
        <v>111</v>
      </c>
      <c r="F216" s="151" t="s">
        <v>3288</v>
      </c>
      <c r="G216" s="215" t="s">
        <v>3937</v>
      </c>
      <c r="H216" s="40" t="s">
        <v>1147</v>
      </c>
      <c r="I216" s="40" t="s">
        <v>3215</v>
      </c>
      <c r="J216" s="21" t="s">
        <v>3290</v>
      </c>
      <c r="K216" s="40" t="s">
        <v>1138</v>
      </c>
      <c r="L216" s="40" t="s">
        <v>4252</v>
      </c>
      <c r="M216" s="40" t="s">
        <v>111</v>
      </c>
      <c r="N216" s="40" t="s">
        <v>1818</v>
      </c>
      <c r="O216" s="151" t="s">
        <v>3917</v>
      </c>
      <c r="P216" s="71" t="s">
        <v>19</v>
      </c>
      <c r="Q216" s="40" t="s">
        <v>1811</v>
      </c>
      <c r="R216" s="40" t="s">
        <v>4253</v>
      </c>
      <c r="S216" s="206"/>
      <c r="T216" s="207"/>
      <c r="U216" s="206"/>
      <c r="V216" s="206"/>
      <c r="W216" s="211" t="s">
        <v>111</v>
      </c>
      <c r="X216" s="211" t="s">
        <v>111</v>
      </c>
      <c r="Y216" s="150">
        <v>0.49</v>
      </c>
      <c r="Z216" s="150"/>
      <c r="AA216" s="150">
        <v>0.49</v>
      </c>
      <c r="AB216" s="35" t="s">
        <v>1104</v>
      </c>
      <c r="AC216" s="202" t="s">
        <v>1880</v>
      </c>
      <c r="AD216" s="35" t="s">
        <v>1880</v>
      </c>
      <c r="AE216" s="40"/>
    </row>
    <row r="217" spans="1:31" s="46" customFormat="1" ht="27.95" customHeight="1" x14ac:dyDescent="0.15">
      <c r="A217" s="8">
        <v>215</v>
      </c>
      <c r="B217" s="8" t="s">
        <v>4242</v>
      </c>
      <c r="C217" s="40" t="s">
        <v>111</v>
      </c>
      <c r="D217" s="40" t="s">
        <v>111</v>
      </c>
      <c r="E217" s="40" t="s">
        <v>111</v>
      </c>
      <c r="F217" s="151" t="s">
        <v>3221</v>
      </c>
      <c r="G217" s="215" t="s">
        <v>3937</v>
      </c>
      <c r="H217" s="81" t="s">
        <v>94</v>
      </c>
      <c r="I217" s="81" t="s">
        <v>3215</v>
      </c>
      <c r="J217" s="40" t="s">
        <v>3222</v>
      </c>
      <c r="K217" s="40" t="s">
        <v>1138</v>
      </c>
      <c r="L217" s="40" t="s">
        <v>4252</v>
      </c>
      <c r="M217" s="40" t="s">
        <v>111</v>
      </c>
      <c r="N217" s="40" t="s">
        <v>1818</v>
      </c>
      <c r="O217" s="151" t="s">
        <v>3917</v>
      </c>
      <c r="P217" s="71" t="s">
        <v>19</v>
      </c>
      <c r="Q217" s="40" t="s">
        <v>1811</v>
      </c>
      <c r="R217" s="40" t="s">
        <v>4253</v>
      </c>
      <c r="S217" s="206"/>
      <c r="T217" s="207"/>
      <c r="U217" s="206"/>
      <c r="V217" s="206"/>
      <c r="W217" s="211" t="s">
        <v>111</v>
      </c>
      <c r="X217" s="211" t="s">
        <v>111</v>
      </c>
      <c r="Y217" s="150">
        <v>0.49</v>
      </c>
      <c r="Z217" s="150"/>
      <c r="AA217" s="150">
        <v>0.49</v>
      </c>
      <c r="AB217" s="35" t="s">
        <v>1104</v>
      </c>
      <c r="AC217" s="202" t="s">
        <v>1880</v>
      </c>
      <c r="AD217" s="35" t="s">
        <v>1880</v>
      </c>
      <c r="AE217" s="40"/>
    </row>
    <row r="218" spans="1:31" s="46" customFormat="1" ht="27.95" customHeight="1" x14ac:dyDescent="0.15">
      <c r="A218" s="8">
        <v>216</v>
      </c>
      <c r="B218" s="8" t="s">
        <v>4243</v>
      </c>
      <c r="C218" s="40" t="s">
        <v>111</v>
      </c>
      <c r="D218" s="40" t="s">
        <v>111</v>
      </c>
      <c r="E218" s="40" t="s">
        <v>111</v>
      </c>
      <c r="F218" s="151" t="s">
        <v>3319</v>
      </c>
      <c r="G218" s="215" t="s">
        <v>3937</v>
      </c>
      <c r="H218" s="40" t="s">
        <v>1147</v>
      </c>
      <c r="I218" s="40" t="s">
        <v>3215</v>
      </c>
      <c r="J218" s="21" t="s">
        <v>3230</v>
      </c>
      <c r="K218" s="40" t="s">
        <v>1138</v>
      </c>
      <c r="L218" s="40" t="s">
        <v>4252</v>
      </c>
      <c r="M218" s="40" t="s">
        <v>111</v>
      </c>
      <c r="N218" s="40" t="s">
        <v>1818</v>
      </c>
      <c r="O218" s="151" t="s">
        <v>3917</v>
      </c>
      <c r="P218" s="71" t="s">
        <v>19</v>
      </c>
      <c r="Q218" s="40" t="s">
        <v>1811</v>
      </c>
      <c r="R218" s="40" t="s">
        <v>4253</v>
      </c>
      <c r="S218" s="206"/>
      <c r="T218" s="207"/>
      <c r="U218" s="206"/>
      <c r="V218" s="206"/>
      <c r="W218" s="211" t="s">
        <v>111</v>
      </c>
      <c r="X218" s="211" t="s">
        <v>111</v>
      </c>
      <c r="Y218" s="150">
        <v>0.49</v>
      </c>
      <c r="Z218" s="150"/>
      <c r="AA218" s="150">
        <v>0.49</v>
      </c>
      <c r="AB218" s="35" t="s">
        <v>1104</v>
      </c>
      <c r="AC218" s="202" t="s">
        <v>1880</v>
      </c>
      <c r="AD218" s="35" t="s">
        <v>1880</v>
      </c>
      <c r="AE218" s="40"/>
    </row>
    <row r="219" spans="1:31" s="46" customFormat="1" ht="27.95" customHeight="1" x14ac:dyDescent="0.15">
      <c r="A219" s="8">
        <v>217</v>
      </c>
      <c r="B219" s="8" t="s">
        <v>4244</v>
      </c>
      <c r="C219" s="40" t="s">
        <v>111</v>
      </c>
      <c r="D219" s="40" t="s">
        <v>111</v>
      </c>
      <c r="E219" s="40" t="s">
        <v>111</v>
      </c>
      <c r="F219" s="54" t="s">
        <v>3313</v>
      </c>
      <c r="G219" s="215" t="s">
        <v>3937</v>
      </c>
      <c r="H219" s="40" t="s">
        <v>1147</v>
      </c>
      <c r="I219" s="40" t="s">
        <v>3215</v>
      </c>
      <c r="J219" s="21" t="s">
        <v>3315</v>
      </c>
      <c r="K219" s="40" t="s">
        <v>1138</v>
      </c>
      <c r="L219" s="40" t="s">
        <v>4252</v>
      </c>
      <c r="M219" s="40" t="s">
        <v>111</v>
      </c>
      <c r="N219" s="40" t="s">
        <v>1818</v>
      </c>
      <c r="O219" s="151" t="s">
        <v>3917</v>
      </c>
      <c r="P219" s="71" t="s">
        <v>19</v>
      </c>
      <c r="Q219" s="40" t="s">
        <v>1811</v>
      </c>
      <c r="R219" s="40" t="s">
        <v>4253</v>
      </c>
      <c r="S219" s="206"/>
      <c r="T219" s="207"/>
      <c r="U219" s="206"/>
      <c r="V219" s="206"/>
      <c r="W219" s="211" t="s">
        <v>111</v>
      </c>
      <c r="X219" s="211" t="s">
        <v>111</v>
      </c>
      <c r="Y219" s="150">
        <v>0.49</v>
      </c>
      <c r="Z219" s="150"/>
      <c r="AA219" s="150">
        <v>0.49</v>
      </c>
      <c r="AB219" s="35" t="s">
        <v>1104</v>
      </c>
      <c r="AC219" s="202" t="s">
        <v>1880</v>
      </c>
      <c r="AD219" s="35" t="s">
        <v>1880</v>
      </c>
      <c r="AE219" s="40"/>
    </row>
    <row r="220" spans="1:31" s="46" customFormat="1" ht="27.95" customHeight="1" x14ac:dyDescent="0.15">
      <c r="A220" s="8">
        <v>218</v>
      </c>
      <c r="B220" s="8" t="s">
        <v>4245</v>
      </c>
      <c r="C220" s="40" t="s">
        <v>111</v>
      </c>
      <c r="D220" s="40" t="s">
        <v>111</v>
      </c>
      <c r="E220" s="40" t="s">
        <v>111</v>
      </c>
      <c r="F220" s="54" t="s">
        <v>3316</v>
      </c>
      <c r="G220" s="215" t="s">
        <v>3937</v>
      </c>
      <c r="H220" s="40" t="s">
        <v>1147</v>
      </c>
      <c r="I220" s="40" t="s">
        <v>3215</v>
      </c>
      <c r="J220" s="21" t="s">
        <v>3318</v>
      </c>
      <c r="K220" s="40" t="s">
        <v>3335</v>
      </c>
      <c r="L220" s="40" t="s">
        <v>4252</v>
      </c>
      <c r="M220" s="40" t="s">
        <v>111</v>
      </c>
      <c r="N220" s="40" t="s">
        <v>1818</v>
      </c>
      <c r="O220" s="151" t="s">
        <v>3917</v>
      </c>
      <c r="P220" s="71" t="s">
        <v>19</v>
      </c>
      <c r="Q220" s="40" t="s">
        <v>1811</v>
      </c>
      <c r="R220" s="40" t="s">
        <v>4253</v>
      </c>
      <c r="S220" s="206"/>
      <c r="T220" s="207"/>
      <c r="U220" s="206"/>
      <c r="V220" s="206"/>
      <c r="W220" s="211" t="s">
        <v>111</v>
      </c>
      <c r="X220" s="211" t="s">
        <v>111</v>
      </c>
      <c r="Y220" s="150">
        <v>0.49</v>
      </c>
      <c r="Z220" s="150"/>
      <c r="AA220" s="150">
        <v>0.49</v>
      </c>
      <c r="AB220" s="35" t="s">
        <v>1104</v>
      </c>
      <c r="AC220" s="202" t="s">
        <v>1880</v>
      </c>
      <c r="AD220" s="35" t="s">
        <v>1880</v>
      </c>
      <c r="AE220" s="40"/>
    </row>
    <row r="221" spans="1:31" s="46" customFormat="1" ht="27.95" customHeight="1" x14ac:dyDescent="0.15">
      <c r="A221" s="8">
        <v>219</v>
      </c>
      <c r="B221" s="8" t="s">
        <v>4246</v>
      </c>
      <c r="C221" s="40" t="s">
        <v>111</v>
      </c>
      <c r="D221" s="40" t="s">
        <v>111</v>
      </c>
      <c r="E221" s="40" t="s">
        <v>111</v>
      </c>
      <c r="F221" s="54" t="s">
        <v>3321</v>
      </c>
      <c r="G221" s="215" t="s">
        <v>3937</v>
      </c>
      <c r="H221" s="40" t="s">
        <v>1147</v>
      </c>
      <c r="I221" s="40" t="s">
        <v>3215</v>
      </c>
      <c r="J221" s="21" t="s">
        <v>3323</v>
      </c>
      <c r="K221" s="40" t="s">
        <v>1138</v>
      </c>
      <c r="L221" s="40" t="s">
        <v>4252</v>
      </c>
      <c r="M221" s="40" t="s">
        <v>111</v>
      </c>
      <c r="N221" s="40" t="s">
        <v>1818</v>
      </c>
      <c r="O221" s="151" t="s">
        <v>3917</v>
      </c>
      <c r="P221" s="71" t="s">
        <v>19</v>
      </c>
      <c r="Q221" s="40" t="s">
        <v>1811</v>
      </c>
      <c r="R221" s="40" t="s">
        <v>4253</v>
      </c>
      <c r="S221" s="206"/>
      <c r="T221" s="207"/>
      <c r="U221" s="206"/>
      <c r="V221" s="206"/>
      <c r="W221" s="211" t="s">
        <v>111</v>
      </c>
      <c r="X221" s="211" t="s">
        <v>111</v>
      </c>
      <c r="Y221" s="150">
        <v>0.49</v>
      </c>
      <c r="Z221" s="150"/>
      <c r="AA221" s="150">
        <v>0.49</v>
      </c>
      <c r="AB221" s="35" t="s">
        <v>1104</v>
      </c>
      <c r="AC221" s="202" t="s">
        <v>1880</v>
      </c>
      <c r="AD221" s="35" t="s">
        <v>1880</v>
      </c>
      <c r="AE221" s="40"/>
    </row>
    <row r="222" spans="1:31" s="46" customFormat="1" ht="27.95" customHeight="1" x14ac:dyDescent="0.15">
      <c r="A222" s="8">
        <v>220</v>
      </c>
      <c r="B222" s="8" t="s">
        <v>4247</v>
      </c>
      <c r="C222" s="40" t="s">
        <v>111</v>
      </c>
      <c r="D222" s="40" t="s">
        <v>111</v>
      </c>
      <c r="E222" s="40" t="s">
        <v>111</v>
      </c>
      <c r="F222" s="54" t="s">
        <v>3310</v>
      </c>
      <c r="G222" s="215" t="s">
        <v>3937</v>
      </c>
      <c r="H222" s="40" t="s">
        <v>1147</v>
      </c>
      <c r="I222" s="40" t="s">
        <v>3215</v>
      </c>
      <c r="J222" s="21" t="s">
        <v>3312</v>
      </c>
      <c r="K222" s="40" t="s">
        <v>3334</v>
      </c>
      <c r="L222" s="40" t="s">
        <v>4252</v>
      </c>
      <c r="M222" s="40" t="s">
        <v>111</v>
      </c>
      <c r="N222" s="40" t="s">
        <v>1818</v>
      </c>
      <c r="O222" s="151" t="s">
        <v>3917</v>
      </c>
      <c r="P222" s="71" t="s">
        <v>19</v>
      </c>
      <c r="Q222" s="40" t="s">
        <v>1811</v>
      </c>
      <c r="R222" s="40" t="s">
        <v>4253</v>
      </c>
      <c r="S222" s="206"/>
      <c r="T222" s="207"/>
      <c r="U222" s="206"/>
      <c r="V222" s="206"/>
      <c r="W222" s="211" t="s">
        <v>111</v>
      </c>
      <c r="X222" s="211" t="s">
        <v>111</v>
      </c>
      <c r="Y222" s="150">
        <v>0.49</v>
      </c>
      <c r="Z222" s="150"/>
      <c r="AA222" s="150">
        <v>0.49</v>
      </c>
      <c r="AB222" s="35" t="s">
        <v>1104</v>
      </c>
      <c r="AC222" s="202" t="s">
        <v>1880</v>
      </c>
      <c r="AD222" s="35" t="s">
        <v>1880</v>
      </c>
      <c r="AE222" s="40"/>
    </row>
    <row r="223" spans="1:31" s="46" customFormat="1" ht="27.95" customHeight="1" x14ac:dyDescent="0.15">
      <c r="A223" s="8">
        <v>221</v>
      </c>
      <c r="B223" s="8" t="s">
        <v>4248</v>
      </c>
      <c r="C223" s="40" t="s">
        <v>111</v>
      </c>
      <c r="D223" s="40" t="s">
        <v>111</v>
      </c>
      <c r="E223" s="40" t="s">
        <v>111</v>
      </c>
      <c r="F223" s="54" t="s">
        <v>3300</v>
      </c>
      <c r="G223" s="215" t="s">
        <v>3937</v>
      </c>
      <c r="H223" s="40" t="s">
        <v>1147</v>
      </c>
      <c r="I223" s="40" t="s">
        <v>3215</v>
      </c>
      <c r="J223" s="21" t="s">
        <v>3302</v>
      </c>
      <c r="K223" s="40" t="s">
        <v>3333</v>
      </c>
      <c r="L223" s="40" t="s">
        <v>4252</v>
      </c>
      <c r="M223" s="40" t="s">
        <v>111</v>
      </c>
      <c r="N223" s="40" t="s">
        <v>1818</v>
      </c>
      <c r="O223" s="151" t="s">
        <v>3917</v>
      </c>
      <c r="P223" s="71" t="s">
        <v>19</v>
      </c>
      <c r="Q223" s="40" t="s">
        <v>1811</v>
      </c>
      <c r="R223" s="40" t="s">
        <v>4253</v>
      </c>
      <c r="S223" s="206"/>
      <c r="T223" s="207"/>
      <c r="U223" s="206"/>
      <c r="V223" s="206"/>
      <c r="W223" s="211" t="s">
        <v>111</v>
      </c>
      <c r="X223" s="211" t="s">
        <v>111</v>
      </c>
      <c r="Y223" s="150">
        <v>0.49</v>
      </c>
      <c r="Z223" s="150"/>
      <c r="AA223" s="150">
        <v>0.49</v>
      </c>
      <c r="AB223" s="35" t="s">
        <v>1104</v>
      </c>
      <c r="AC223" s="202" t="s">
        <v>1880</v>
      </c>
      <c r="AD223" s="35" t="s">
        <v>1880</v>
      </c>
      <c r="AE223" s="40"/>
    </row>
    <row r="224" spans="1:31" s="46" customFormat="1" ht="27.95" customHeight="1" x14ac:dyDescent="0.15">
      <c r="A224" s="8">
        <v>222</v>
      </c>
      <c r="B224" s="8" t="s">
        <v>4249</v>
      </c>
      <c r="C224" s="40" t="s">
        <v>111</v>
      </c>
      <c r="D224" s="40" t="s">
        <v>111</v>
      </c>
      <c r="E224" s="40" t="s">
        <v>111</v>
      </c>
      <c r="F224" s="151" t="s">
        <v>3305</v>
      </c>
      <c r="G224" s="215" t="s">
        <v>3937</v>
      </c>
      <c r="H224" s="40" t="s">
        <v>1147</v>
      </c>
      <c r="I224" s="40" t="s">
        <v>3215</v>
      </c>
      <c r="J224" s="21" t="s">
        <v>3307</v>
      </c>
      <c r="K224" s="40" t="s">
        <v>1138</v>
      </c>
      <c r="L224" s="40" t="s">
        <v>4252</v>
      </c>
      <c r="M224" s="40" t="s">
        <v>111</v>
      </c>
      <c r="N224" s="40" t="s">
        <v>1818</v>
      </c>
      <c r="O224" s="151" t="s">
        <v>3917</v>
      </c>
      <c r="P224" s="71" t="s">
        <v>19</v>
      </c>
      <c r="Q224" s="40" t="s">
        <v>1811</v>
      </c>
      <c r="R224" s="40" t="s">
        <v>4253</v>
      </c>
      <c r="S224" s="206"/>
      <c r="T224" s="207"/>
      <c r="U224" s="206"/>
      <c r="V224" s="206"/>
      <c r="W224" s="211" t="s">
        <v>111</v>
      </c>
      <c r="X224" s="211" t="s">
        <v>111</v>
      </c>
      <c r="Y224" s="150">
        <v>0.49</v>
      </c>
      <c r="Z224" s="150"/>
      <c r="AA224" s="150">
        <v>0.49</v>
      </c>
      <c r="AB224" s="35" t="s">
        <v>1104</v>
      </c>
      <c r="AC224" s="202" t="s">
        <v>1880</v>
      </c>
      <c r="AD224" s="35" t="s">
        <v>1880</v>
      </c>
      <c r="AE224" s="40"/>
    </row>
    <row r="225" spans="1:31" s="46" customFormat="1" ht="27.95" customHeight="1" x14ac:dyDescent="0.15">
      <c r="A225" s="8">
        <v>223</v>
      </c>
      <c r="B225" s="8" t="s">
        <v>4255</v>
      </c>
      <c r="C225" s="40" t="s">
        <v>111</v>
      </c>
      <c r="D225" s="40" t="s">
        <v>111</v>
      </c>
      <c r="E225" s="40" t="s">
        <v>111</v>
      </c>
      <c r="F225" s="54" t="s">
        <v>4257</v>
      </c>
      <c r="G225" s="215" t="s">
        <v>3937</v>
      </c>
      <c r="H225" s="40" t="s">
        <v>4250</v>
      </c>
      <c r="I225" s="40" t="s">
        <v>4251</v>
      </c>
      <c r="J225" s="40" t="s">
        <v>4259</v>
      </c>
      <c r="K225" s="40" t="s">
        <v>4260</v>
      </c>
      <c r="L225" s="40" t="s">
        <v>4252</v>
      </c>
      <c r="M225" s="40" t="s">
        <v>111</v>
      </c>
      <c r="N225" s="40" t="s">
        <v>1818</v>
      </c>
      <c r="O225" s="151" t="s">
        <v>3917</v>
      </c>
      <c r="P225" s="71" t="s">
        <v>19</v>
      </c>
      <c r="Q225" s="40" t="s">
        <v>1811</v>
      </c>
      <c r="R225" s="40" t="s">
        <v>4253</v>
      </c>
      <c r="S225" s="206"/>
      <c r="T225" s="207"/>
      <c r="U225" s="206"/>
      <c r="V225" s="206"/>
      <c r="W225" s="211" t="s">
        <v>111</v>
      </c>
      <c r="X225" s="211" t="s">
        <v>111</v>
      </c>
      <c r="Y225" s="150">
        <v>0.49</v>
      </c>
      <c r="Z225" s="150"/>
      <c r="AA225" s="150">
        <v>0.49</v>
      </c>
      <c r="AB225" s="35" t="s">
        <v>1104</v>
      </c>
      <c r="AC225" s="202" t="s">
        <v>1880</v>
      </c>
      <c r="AD225" s="35" t="s">
        <v>1880</v>
      </c>
      <c r="AE225" s="40"/>
    </row>
    <row r="226" spans="1:31" s="46" customFormat="1" ht="27.95" customHeight="1" x14ac:dyDescent="0.15">
      <c r="A226" s="8">
        <v>224</v>
      </c>
      <c r="B226" s="8" t="s">
        <v>4256</v>
      </c>
      <c r="C226" s="40" t="s">
        <v>111</v>
      </c>
      <c r="D226" s="40" t="s">
        <v>111</v>
      </c>
      <c r="E226" s="40" t="s">
        <v>111</v>
      </c>
      <c r="F226" s="151" t="s">
        <v>3329</v>
      </c>
      <c r="G226" s="215" t="s">
        <v>3937</v>
      </c>
      <c r="H226" s="40" t="s">
        <v>1147</v>
      </c>
      <c r="I226" s="40" t="s">
        <v>3215</v>
      </c>
      <c r="J226" s="21" t="s">
        <v>3331</v>
      </c>
      <c r="K226" s="9" t="s">
        <v>3236</v>
      </c>
      <c r="L226" s="40" t="s">
        <v>4252</v>
      </c>
      <c r="M226" s="40" t="s">
        <v>111</v>
      </c>
      <c r="N226" s="40" t="s">
        <v>1818</v>
      </c>
      <c r="O226" s="151" t="s">
        <v>3917</v>
      </c>
      <c r="P226" s="71" t="s">
        <v>19</v>
      </c>
      <c r="Q226" s="40" t="s">
        <v>1811</v>
      </c>
      <c r="R226" s="40" t="s">
        <v>4253</v>
      </c>
      <c r="S226" s="206"/>
      <c r="T226" s="207"/>
      <c r="U226" s="206"/>
      <c r="V226" s="206"/>
      <c r="W226" s="211" t="s">
        <v>111</v>
      </c>
      <c r="X226" s="211" t="s">
        <v>111</v>
      </c>
      <c r="Y226" s="150">
        <v>0.49</v>
      </c>
      <c r="Z226" s="150"/>
      <c r="AA226" s="150">
        <v>0.49</v>
      </c>
      <c r="AB226" s="35" t="s">
        <v>1104</v>
      </c>
      <c r="AC226" s="202" t="s">
        <v>1880</v>
      </c>
      <c r="AD226" s="35" t="s">
        <v>1880</v>
      </c>
      <c r="AE226" s="40"/>
    </row>
    <row r="227" spans="1:31" s="46" customFormat="1" ht="27.95" customHeight="1" x14ac:dyDescent="0.15">
      <c r="A227" s="8">
        <v>225</v>
      </c>
      <c r="B227" s="8" t="s">
        <v>4269</v>
      </c>
      <c r="C227" s="40" t="s">
        <v>4275</v>
      </c>
      <c r="D227" s="40" t="s">
        <v>111</v>
      </c>
      <c r="E227" s="8" t="s">
        <v>4332</v>
      </c>
      <c r="F227" s="151" t="s">
        <v>4270</v>
      </c>
      <c r="G227" s="76" t="s">
        <v>4292</v>
      </c>
      <c r="H227" s="40" t="s">
        <v>2328</v>
      </c>
      <c r="I227" s="40" t="s">
        <v>2327</v>
      </c>
      <c r="J227" s="21" t="s">
        <v>4271</v>
      </c>
      <c r="K227" s="40" t="s">
        <v>4272</v>
      </c>
      <c r="L227" s="40" t="s">
        <v>1826</v>
      </c>
      <c r="M227" s="40" t="s">
        <v>111</v>
      </c>
      <c r="N227" s="40" t="s">
        <v>1818</v>
      </c>
      <c r="O227" s="151" t="s">
        <v>1796</v>
      </c>
      <c r="P227" s="71" t="s">
        <v>19</v>
      </c>
      <c r="Q227" s="40" t="s">
        <v>4273</v>
      </c>
      <c r="R227" s="40" t="s">
        <v>4273</v>
      </c>
      <c r="S227" s="82" t="s">
        <v>4335</v>
      </c>
      <c r="T227" s="209" t="s">
        <v>4293</v>
      </c>
      <c r="U227" s="40" t="s">
        <v>1800</v>
      </c>
      <c r="V227" s="10">
        <v>1</v>
      </c>
      <c r="W227" s="211" t="s">
        <v>111</v>
      </c>
      <c r="X227" s="211" t="s">
        <v>111</v>
      </c>
      <c r="Y227" s="150">
        <v>33.979999999999997</v>
      </c>
      <c r="Z227" s="150"/>
      <c r="AA227" s="150">
        <v>33.979999999999997</v>
      </c>
      <c r="AB227" s="35" t="s">
        <v>1104</v>
      </c>
      <c r="AC227" s="133" t="s">
        <v>4274</v>
      </c>
      <c r="AD227" s="35" t="s">
        <v>1880</v>
      </c>
      <c r="AE227" s="40"/>
    </row>
    <row r="228" spans="1:31" s="46" customFormat="1" ht="27.95" customHeight="1" x14ac:dyDescent="0.15">
      <c r="A228" s="8">
        <v>226</v>
      </c>
      <c r="B228" s="8" t="s">
        <v>4276</v>
      </c>
      <c r="C228" s="40" t="s">
        <v>111</v>
      </c>
      <c r="D228" s="40" t="s">
        <v>111</v>
      </c>
      <c r="E228" s="40" t="s">
        <v>111</v>
      </c>
      <c r="F228" s="151" t="s">
        <v>4278</v>
      </c>
      <c r="G228" s="76" t="s">
        <v>4294</v>
      </c>
      <c r="H228" s="40" t="s">
        <v>2012</v>
      </c>
      <c r="I228" s="40" t="s">
        <v>2533</v>
      </c>
      <c r="J228" s="40" t="s">
        <v>4284</v>
      </c>
      <c r="K228" s="40" t="s">
        <v>4279</v>
      </c>
      <c r="L228" s="40" t="s">
        <v>1826</v>
      </c>
      <c r="M228" s="40" t="s">
        <v>111</v>
      </c>
      <c r="N228" s="40" t="s">
        <v>1818</v>
      </c>
      <c r="O228" s="151" t="s">
        <v>4280</v>
      </c>
      <c r="P228" s="71" t="s">
        <v>19</v>
      </c>
      <c r="Q228" s="82" t="s">
        <v>3248</v>
      </c>
      <c r="R228" s="40" t="s">
        <v>4281</v>
      </c>
      <c r="S228" s="82" t="s">
        <v>4335</v>
      </c>
      <c r="T228" s="209" t="s">
        <v>4295</v>
      </c>
      <c r="U228" s="40" t="s">
        <v>2359</v>
      </c>
      <c r="V228" s="40">
        <v>1</v>
      </c>
      <c r="W228" s="40" t="s">
        <v>4282</v>
      </c>
      <c r="X228" s="40" t="s">
        <v>4283</v>
      </c>
      <c r="Y228" s="150"/>
      <c r="Z228" s="150">
        <v>8.9</v>
      </c>
      <c r="AA228" s="150">
        <v>8.9</v>
      </c>
      <c r="AB228" s="35" t="s">
        <v>1104</v>
      </c>
      <c r="AC228" s="202" t="s">
        <v>1880</v>
      </c>
      <c r="AD228" s="35" t="s">
        <v>1880</v>
      </c>
      <c r="AE228" s="40"/>
    </row>
    <row r="229" spans="1:31" s="46" customFormat="1" ht="27.95" customHeight="1" x14ac:dyDescent="0.15">
      <c r="A229" s="8">
        <v>227</v>
      </c>
      <c r="B229" s="8" t="s">
        <v>4277</v>
      </c>
      <c r="C229" s="40" t="s">
        <v>111</v>
      </c>
      <c r="D229" s="40" t="s">
        <v>111</v>
      </c>
      <c r="E229" s="40" t="s">
        <v>111</v>
      </c>
      <c r="F229" s="151" t="s">
        <v>4285</v>
      </c>
      <c r="G229" s="76" t="s">
        <v>4296</v>
      </c>
      <c r="H229" s="40" t="s">
        <v>2012</v>
      </c>
      <c r="I229" s="40" t="s">
        <v>2533</v>
      </c>
      <c r="J229" s="40" t="s">
        <v>4287</v>
      </c>
      <c r="K229" s="40" t="s">
        <v>4286</v>
      </c>
      <c r="L229" s="40" t="s">
        <v>1826</v>
      </c>
      <c r="M229" s="40" t="s">
        <v>111</v>
      </c>
      <c r="N229" s="40" t="s">
        <v>1818</v>
      </c>
      <c r="O229" s="151" t="s">
        <v>4280</v>
      </c>
      <c r="P229" s="71" t="s">
        <v>19</v>
      </c>
      <c r="Q229" s="82" t="s">
        <v>3248</v>
      </c>
      <c r="R229" s="40" t="s">
        <v>4281</v>
      </c>
      <c r="S229" s="82" t="s">
        <v>4335</v>
      </c>
      <c r="T229" s="209" t="s">
        <v>4295</v>
      </c>
      <c r="U229" s="40" t="s">
        <v>2359</v>
      </c>
      <c r="V229" s="206">
        <v>1</v>
      </c>
      <c r="W229" s="40" t="s">
        <v>4288</v>
      </c>
      <c r="X229" s="40" t="s">
        <v>4289</v>
      </c>
      <c r="Y229" s="150"/>
      <c r="Z229" s="150">
        <v>8.9</v>
      </c>
      <c r="AA229" s="150">
        <v>8.9</v>
      </c>
      <c r="AB229" s="35" t="s">
        <v>1104</v>
      </c>
      <c r="AC229" s="202" t="s">
        <v>1880</v>
      </c>
      <c r="AD229" s="35" t="s">
        <v>1880</v>
      </c>
      <c r="AE229" s="40"/>
    </row>
    <row r="230" spans="1:31" s="46" customFormat="1" ht="27.95" customHeight="1" x14ac:dyDescent="0.15">
      <c r="A230" s="8">
        <v>228</v>
      </c>
      <c r="B230" s="8" t="s">
        <v>4336</v>
      </c>
      <c r="C230" s="40" t="s">
        <v>4337</v>
      </c>
      <c r="D230" s="40" t="s">
        <v>111</v>
      </c>
      <c r="E230" s="40" t="s">
        <v>111</v>
      </c>
      <c r="F230" s="151" t="s">
        <v>4299</v>
      </c>
      <c r="G230" s="54" t="s">
        <v>4300</v>
      </c>
      <c r="H230" s="40" t="s">
        <v>2012</v>
      </c>
      <c r="I230" s="40" t="s">
        <v>1146</v>
      </c>
      <c r="J230" s="40" t="s">
        <v>4301</v>
      </c>
      <c r="K230" s="40" t="s">
        <v>4302</v>
      </c>
      <c r="L230" s="40" t="s">
        <v>1826</v>
      </c>
      <c r="M230" s="40" t="s">
        <v>111</v>
      </c>
      <c r="N230" s="40" t="s">
        <v>1818</v>
      </c>
      <c r="O230" s="151" t="s">
        <v>4303</v>
      </c>
      <c r="P230" s="71" t="s">
        <v>19</v>
      </c>
      <c r="Q230" s="82" t="s">
        <v>1151</v>
      </c>
      <c r="R230" s="40" t="s">
        <v>4304</v>
      </c>
      <c r="S230" s="82" t="s">
        <v>4335</v>
      </c>
      <c r="T230" s="130" t="s">
        <v>4295</v>
      </c>
      <c r="U230" s="40" t="s">
        <v>2359</v>
      </c>
      <c r="V230" s="40">
        <v>1</v>
      </c>
      <c r="W230" s="40" t="s">
        <v>4305</v>
      </c>
      <c r="X230" s="40" t="s">
        <v>4306</v>
      </c>
      <c r="Y230" s="150"/>
      <c r="Z230" s="150">
        <v>30</v>
      </c>
      <c r="AA230" s="150">
        <v>30</v>
      </c>
      <c r="AB230" s="35" t="s">
        <v>1104</v>
      </c>
      <c r="AC230" s="202" t="s">
        <v>1880</v>
      </c>
      <c r="AD230" s="35" t="s">
        <v>1880</v>
      </c>
      <c r="AE230" s="40"/>
    </row>
    <row r="231" spans="1:31" s="46" customFormat="1" ht="27.95" customHeight="1" x14ac:dyDescent="0.15">
      <c r="A231" s="8">
        <v>229</v>
      </c>
      <c r="B231" s="8" t="s">
        <v>4297</v>
      </c>
      <c r="C231" s="40" t="s">
        <v>111</v>
      </c>
      <c r="D231" s="40" t="s">
        <v>4340</v>
      </c>
      <c r="E231" s="40" t="s">
        <v>111</v>
      </c>
      <c r="F231" s="151" t="s">
        <v>4307</v>
      </c>
      <c r="G231" s="54" t="s">
        <v>4308</v>
      </c>
      <c r="H231" s="40" t="s">
        <v>1147</v>
      </c>
      <c r="I231" s="40" t="s">
        <v>2437</v>
      </c>
      <c r="J231" s="40" t="s">
        <v>3491</v>
      </c>
      <c r="K231" s="40" t="s">
        <v>2466</v>
      </c>
      <c r="L231" s="40" t="s">
        <v>4309</v>
      </c>
      <c r="M231" s="40" t="s">
        <v>111</v>
      </c>
      <c r="N231" s="40" t="s">
        <v>2422</v>
      </c>
      <c r="O231" s="151" t="s">
        <v>3917</v>
      </c>
      <c r="P231" s="71" t="s">
        <v>19</v>
      </c>
      <c r="Q231" s="40" t="s">
        <v>4304</v>
      </c>
      <c r="R231" s="40" t="s">
        <v>4304</v>
      </c>
      <c r="S231" s="82" t="s">
        <v>4338</v>
      </c>
      <c r="T231" s="130" t="s">
        <v>4310</v>
      </c>
      <c r="U231" s="40" t="s">
        <v>2359</v>
      </c>
      <c r="V231" s="40">
        <v>1</v>
      </c>
      <c r="W231" s="211" t="s">
        <v>111</v>
      </c>
      <c r="X231" s="211" t="s">
        <v>111</v>
      </c>
      <c r="Y231" s="150">
        <v>0.5</v>
      </c>
      <c r="Z231" s="150"/>
      <c r="AA231" s="150">
        <v>0.5</v>
      </c>
      <c r="AB231" s="35" t="s">
        <v>1104</v>
      </c>
      <c r="AC231" s="202" t="s">
        <v>1880</v>
      </c>
      <c r="AD231" s="35" t="s">
        <v>1880</v>
      </c>
      <c r="AE231" s="40"/>
    </row>
    <row r="232" spans="1:31" s="46" customFormat="1" ht="48.75" customHeight="1" x14ac:dyDescent="0.15">
      <c r="A232" s="8">
        <v>230</v>
      </c>
      <c r="B232" s="218" t="s">
        <v>4298</v>
      </c>
      <c r="C232" s="40" t="s">
        <v>111</v>
      </c>
      <c r="D232" s="40" t="s">
        <v>111</v>
      </c>
      <c r="E232" s="8" t="s">
        <v>4388</v>
      </c>
      <c r="F232" s="151" t="s">
        <v>4311</v>
      </c>
      <c r="G232" s="54" t="s">
        <v>4516</v>
      </c>
      <c r="H232" s="40" t="s">
        <v>2135</v>
      </c>
      <c r="I232" s="40" t="s">
        <v>2533</v>
      </c>
      <c r="J232" s="218" t="s">
        <v>4587</v>
      </c>
      <c r="K232" s="218" t="s">
        <v>4588</v>
      </c>
      <c r="L232" s="40" t="s">
        <v>4312</v>
      </c>
      <c r="M232" s="40" t="s">
        <v>111</v>
      </c>
      <c r="N232" s="40" t="s">
        <v>454</v>
      </c>
      <c r="O232" s="151" t="s">
        <v>4589</v>
      </c>
      <c r="P232" s="71" t="s">
        <v>19</v>
      </c>
      <c r="Q232" s="40" t="s">
        <v>4313</v>
      </c>
      <c r="R232" s="40" t="s">
        <v>4313</v>
      </c>
      <c r="S232" s="82" t="s">
        <v>4338</v>
      </c>
      <c r="T232" s="130" t="s">
        <v>4314</v>
      </c>
      <c r="U232" s="40" t="s">
        <v>2359</v>
      </c>
      <c r="V232" s="40">
        <v>1</v>
      </c>
      <c r="W232" s="211" t="s">
        <v>2512</v>
      </c>
      <c r="X232" s="24" t="s">
        <v>111</v>
      </c>
      <c r="Y232" s="217">
        <v>25.853621</v>
      </c>
      <c r="Z232" s="150"/>
      <c r="AA232" s="217">
        <v>25.853621</v>
      </c>
      <c r="AB232" s="35" t="s">
        <v>1104</v>
      </c>
      <c r="AC232" s="202" t="s">
        <v>1880</v>
      </c>
      <c r="AD232" s="35" t="s">
        <v>1880</v>
      </c>
      <c r="AE232" s="76" t="s">
        <v>4775</v>
      </c>
    </row>
    <row r="233" spans="1:31" s="46" customFormat="1" ht="41.25" customHeight="1" x14ac:dyDescent="0.15">
      <c r="A233" s="8">
        <v>231</v>
      </c>
      <c r="B233" s="8" t="s">
        <v>4315</v>
      </c>
      <c r="C233" s="18" t="s">
        <v>8810</v>
      </c>
      <c r="D233" s="40" t="s">
        <v>111</v>
      </c>
      <c r="E233" s="40" t="s">
        <v>111</v>
      </c>
      <c r="F233" s="151" t="s">
        <v>4316</v>
      </c>
      <c r="G233" s="54" t="s">
        <v>4517</v>
      </c>
      <c r="H233" s="40" t="s">
        <v>1881</v>
      </c>
      <c r="I233" s="40" t="s">
        <v>2533</v>
      </c>
      <c r="J233" s="21" t="s">
        <v>4204</v>
      </c>
      <c r="K233" s="54" t="s">
        <v>4317</v>
      </c>
      <c r="L233" s="40" t="s">
        <v>1826</v>
      </c>
      <c r="M233" s="40" t="s">
        <v>111</v>
      </c>
      <c r="N233" s="40" t="s">
        <v>4318</v>
      </c>
      <c r="O233" s="151" t="s">
        <v>4319</v>
      </c>
      <c r="P233" s="71" t="s">
        <v>19</v>
      </c>
      <c r="Q233" s="40" t="s">
        <v>4320</v>
      </c>
      <c r="R233" s="40" t="s">
        <v>4320</v>
      </c>
      <c r="S233" s="82" t="s">
        <v>4338</v>
      </c>
      <c r="T233" s="82" t="s">
        <v>4295</v>
      </c>
      <c r="U233" s="40" t="s">
        <v>2359</v>
      </c>
      <c r="V233" s="40">
        <v>1</v>
      </c>
      <c r="W233" s="40" t="s">
        <v>2536</v>
      </c>
      <c r="X233" s="40" t="s">
        <v>4321</v>
      </c>
      <c r="Y233" s="150"/>
      <c r="Z233" s="150">
        <v>17</v>
      </c>
      <c r="AA233" s="150">
        <v>17</v>
      </c>
      <c r="AB233" s="35" t="s">
        <v>1104</v>
      </c>
      <c r="AC233" s="202" t="s">
        <v>1880</v>
      </c>
      <c r="AD233" s="35" t="s">
        <v>1880</v>
      </c>
      <c r="AE233" s="40"/>
    </row>
    <row r="234" spans="1:31" s="46" customFormat="1" ht="27.95" customHeight="1" x14ac:dyDescent="0.15">
      <c r="A234" s="8">
        <v>232</v>
      </c>
      <c r="B234" s="8" t="s">
        <v>4322</v>
      </c>
      <c r="C234" s="40" t="s">
        <v>111</v>
      </c>
      <c r="D234" s="40" t="s">
        <v>111</v>
      </c>
      <c r="E234" s="40" t="s">
        <v>111</v>
      </c>
      <c r="F234" s="151" t="s">
        <v>4323</v>
      </c>
      <c r="G234" s="54" t="s">
        <v>4447</v>
      </c>
      <c r="H234" s="40" t="s">
        <v>2475</v>
      </c>
      <c r="I234" s="40" t="s">
        <v>2327</v>
      </c>
      <c r="J234" s="40" t="s">
        <v>2473</v>
      </c>
      <c r="K234" s="40" t="s">
        <v>2472</v>
      </c>
      <c r="L234" s="40" t="s">
        <v>1826</v>
      </c>
      <c r="M234" s="40" t="s">
        <v>111</v>
      </c>
      <c r="N234" s="40" t="s">
        <v>1818</v>
      </c>
      <c r="O234" s="205" t="s">
        <v>2519</v>
      </c>
      <c r="P234" s="71" t="s">
        <v>19</v>
      </c>
      <c r="Q234" s="40" t="s">
        <v>3591</v>
      </c>
      <c r="R234" s="40" t="s">
        <v>3591</v>
      </c>
      <c r="S234" s="82" t="s">
        <v>4448</v>
      </c>
      <c r="T234" s="40" t="s">
        <v>4295</v>
      </c>
      <c r="U234" s="40" t="s">
        <v>2359</v>
      </c>
      <c r="V234" s="40">
        <v>1</v>
      </c>
      <c r="W234" s="211" t="s">
        <v>111</v>
      </c>
      <c r="X234" s="211" t="s">
        <v>111</v>
      </c>
      <c r="Y234" s="150">
        <v>4.82</v>
      </c>
      <c r="Z234" s="150"/>
      <c r="AA234" s="150">
        <v>4.82</v>
      </c>
      <c r="AB234" s="35" t="s">
        <v>1104</v>
      </c>
      <c r="AC234" s="202" t="s">
        <v>1880</v>
      </c>
      <c r="AD234" s="35" t="s">
        <v>1880</v>
      </c>
      <c r="AE234" s="40"/>
    </row>
    <row r="235" spans="1:31" s="46" customFormat="1" ht="27.95" customHeight="1" x14ac:dyDescent="0.15">
      <c r="A235" s="8">
        <v>233</v>
      </c>
      <c r="B235" s="8" t="s">
        <v>4324</v>
      </c>
      <c r="C235" s="40" t="s">
        <v>111</v>
      </c>
      <c r="D235" s="40" t="s">
        <v>111</v>
      </c>
      <c r="E235" s="40" t="s">
        <v>111</v>
      </c>
      <c r="F235" s="151" t="s">
        <v>4327</v>
      </c>
      <c r="G235" s="54" t="s">
        <v>4344</v>
      </c>
      <c r="H235" s="40" t="s">
        <v>1147</v>
      </c>
      <c r="I235" s="40" t="s">
        <v>2533</v>
      </c>
      <c r="J235" s="40" t="s">
        <v>3549</v>
      </c>
      <c r="K235" s="40" t="s">
        <v>3550</v>
      </c>
      <c r="L235" s="40" t="s">
        <v>1826</v>
      </c>
      <c r="M235" s="40" t="s">
        <v>111</v>
      </c>
      <c r="N235" s="40" t="s">
        <v>1131</v>
      </c>
      <c r="O235" s="151" t="s">
        <v>4799</v>
      </c>
      <c r="P235" s="71" t="s">
        <v>19</v>
      </c>
      <c r="Q235" s="40" t="s">
        <v>1151</v>
      </c>
      <c r="R235" s="40" t="s">
        <v>4328</v>
      </c>
      <c r="S235" s="82" t="s">
        <v>4345</v>
      </c>
      <c r="T235" s="82" t="s">
        <v>4103</v>
      </c>
      <c r="U235" s="40" t="s">
        <v>2359</v>
      </c>
      <c r="V235" s="40">
        <v>1</v>
      </c>
      <c r="W235" s="211" t="s">
        <v>111</v>
      </c>
      <c r="X235" s="211" t="s">
        <v>111</v>
      </c>
      <c r="Y235" s="150">
        <v>3.1</v>
      </c>
      <c r="Z235" s="150"/>
      <c r="AA235" s="150">
        <v>3.1</v>
      </c>
      <c r="AB235" s="35" t="s">
        <v>1104</v>
      </c>
      <c r="AC235" s="202" t="s">
        <v>1880</v>
      </c>
      <c r="AD235" s="35" t="s">
        <v>1880</v>
      </c>
      <c r="AE235" s="54" t="s">
        <v>4852</v>
      </c>
    </row>
    <row r="236" spans="1:31" s="46" customFormat="1" ht="27.95" customHeight="1" x14ac:dyDescent="0.15">
      <c r="A236" s="8">
        <v>234</v>
      </c>
      <c r="B236" s="8" t="s">
        <v>4325</v>
      </c>
      <c r="C236" s="40" t="s">
        <v>111</v>
      </c>
      <c r="D236" s="40" t="s">
        <v>111</v>
      </c>
      <c r="E236" s="40" t="s">
        <v>111</v>
      </c>
      <c r="F236" s="54" t="s">
        <v>3543</v>
      </c>
      <c r="G236" s="54" t="s">
        <v>4346</v>
      </c>
      <c r="H236" s="40" t="s">
        <v>1147</v>
      </c>
      <c r="I236" s="40" t="s">
        <v>2533</v>
      </c>
      <c r="J236" s="40" t="s">
        <v>3544</v>
      </c>
      <c r="K236" s="40" t="s">
        <v>4329</v>
      </c>
      <c r="L236" s="40" t="s">
        <v>1826</v>
      </c>
      <c r="M236" s="40" t="s">
        <v>111</v>
      </c>
      <c r="N236" s="40" t="s">
        <v>1131</v>
      </c>
      <c r="O236" s="151" t="s">
        <v>4799</v>
      </c>
      <c r="P236" s="71" t="s">
        <v>19</v>
      </c>
      <c r="Q236" s="40" t="s">
        <v>1151</v>
      </c>
      <c r="R236" s="40" t="s">
        <v>4328</v>
      </c>
      <c r="S236" s="82" t="s">
        <v>4345</v>
      </c>
      <c r="T236" s="82" t="s">
        <v>4103</v>
      </c>
      <c r="U236" s="40" t="s">
        <v>2359</v>
      </c>
      <c r="V236" s="40">
        <v>1</v>
      </c>
      <c r="W236" s="211" t="s">
        <v>111</v>
      </c>
      <c r="X236" s="211" t="s">
        <v>111</v>
      </c>
      <c r="Y236" s="150">
        <v>3.1</v>
      </c>
      <c r="Z236" s="150"/>
      <c r="AA236" s="150">
        <v>3.1</v>
      </c>
      <c r="AB236" s="35" t="s">
        <v>1104</v>
      </c>
      <c r="AC236" s="202" t="s">
        <v>1880</v>
      </c>
      <c r="AD236" s="35" t="s">
        <v>1880</v>
      </c>
      <c r="AE236" s="54" t="s">
        <v>4852</v>
      </c>
    </row>
    <row r="237" spans="1:31" s="46" customFormat="1" ht="27.95" customHeight="1" x14ac:dyDescent="0.15">
      <c r="A237" s="8">
        <v>235</v>
      </c>
      <c r="B237" s="8" t="s">
        <v>4326</v>
      </c>
      <c r="C237" s="40" t="s">
        <v>111</v>
      </c>
      <c r="D237" s="40" t="s">
        <v>111</v>
      </c>
      <c r="E237" s="40" t="s">
        <v>111</v>
      </c>
      <c r="F237" s="151" t="s">
        <v>4333</v>
      </c>
      <c r="G237" s="54" t="s">
        <v>4347</v>
      </c>
      <c r="H237" s="40" t="s">
        <v>1147</v>
      </c>
      <c r="I237" s="40" t="s">
        <v>2533</v>
      </c>
      <c r="J237" s="21" t="s">
        <v>4330</v>
      </c>
      <c r="K237" s="40" t="s">
        <v>4331</v>
      </c>
      <c r="L237" s="40" t="s">
        <v>1826</v>
      </c>
      <c r="M237" s="40" t="s">
        <v>111</v>
      </c>
      <c r="N237" s="40" t="s">
        <v>1131</v>
      </c>
      <c r="O237" s="151" t="s">
        <v>4799</v>
      </c>
      <c r="P237" s="71" t="s">
        <v>19</v>
      </c>
      <c r="Q237" s="40" t="s">
        <v>1151</v>
      </c>
      <c r="R237" s="40" t="s">
        <v>4328</v>
      </c>
      <c r="S237" s="82" t="s">
        <v>4345</v>
      </c>
      <c r="T237" s="82" t="s">
        <v>4103</v>
      </c>
      <c r="U237" s="40" t="s">
        <v>2359</v>
      </c>
      <c r="V237" s="40">
        <v>1</v>
      </c>
      <c r="W237" s="211" t="s">
        <v>111</v>
      </c>
      <c r="X237" s="211" t="s">
        <v>111</v>
      </c>
      <c r="Y237" s="150">
        <v>3.1</v>
      </c>
      <c r="Z237" s="150"/>
      <c r="AA237" s="150">
        <v>3.1</v>
      </c>
      <c r="AB237" s="35" t="s">
        <v>1104</v>
      </c>
      <c r="AC237" s="202" t="s">
        <v>1880</v>
      </c>
      <c r="AD237" s="35" t="s">
        <v>1880</v>
      </c>
      <c r="AE237" s="54" t="s">
        <v>4852</v>
      </c>
    </row>
    <row r="238" spans="1:31" s="46" customFormat="1" ht="27.95" customHeight="1" x14ac:dyDescent="0.15">
      <c r="A238" s="8">
        <v>236</v>
      </c>
      <c r="B238" s="40"/>
      <c r="C238" s="40"/>
      <c r="D238" s="40"/>
      <c r="E238" s="40"/>
      <c r="F238" s="151"/>
      <c r="G238" s="54"/>
      <c r="H238" s="40"/>
      <c r="I238" s="40"/>
      <c r="J238" s="40"/>
      <c r="K238" s="40"/>
      <c r="L238" s="40"/>
      <c r="M238" s="40"/>
      <c r="N238" s="40"/>
      <c r="O238" s="40"/>
      <c r="P238" s="40"/>
      <c r="Q238" s="40"/>
      <c r="R238" s="40"/>
      <c r="S238" s="40"/>
      <c r="T238" s="130"/>
      <c r="U238" s="40"/>
      <c r="V238" s="40"/>
      <c r="W238" s="40"/>
      <c r="X238" s="40"/>
      <c r="Y238" s="150"/>
      <c r="Z238" s="150"/>
      <c r="AA238" s="150"/>
      <c r="AB238" s="40"/>
      <c r="AC238" s="40"/>
      <c r="AD238" s="40"/>
      <c r="AE238" s="40"/>
    </row>
    <row r="239" spans="1:31" s="154" customFormat="1" ht="27.95" customHeight="1" x14ac:dyDescent="0.15">
      <c r="A239" s="146"/>
      <c r="B239" s="146"/>
      <c r="C239" s="146"/>
      <c r="D239" s="146"/>
      <c r="E239" s="146"/>
      <c r="F239" s="173"/>
      <c r="G239" s="173"/>
      <c r="H239" s="146"/>
      <c r="I239" s="146"/>
      <c r="J239" s="146"/>
      <c r="K239" s="146"/>
      <c r="L239" s="146"/>
      <c r="M239" s="146"/>
      <c r="N239" s="146"/>
      <c r="O239" s="146"/>
      <c r="P239" s="146"/>
      <c r="Q239" s="146"/>
      <c r="R239" s="146"/>
      <c r="S239" s="146"/>
      <c r="T239" s="147"/>
      <c r="U239" s="146" t="s">
        <v>3144</v>
      </c>
      <c r="V239" s="146"/>
      <c r="W239" s="146"/>
      <c r="X239" s="146"/>
      <c r="Y239" s="148">
        <f>SUM(Y3:Y238)</f>
        <v>2264.3927919999978</v>
      </c>
      <c r="Z239" s="148">
        <f>SUM(Z3:Z238)</f>
        <v>1585.3500000000017</v>
      </c>
      <c r="AA239" s="148">
        <f>SUM(AA3:AA238)</f>
        <v>3849.7427919999982</v>
      </c>
      <c r="AB239" s="146"/>
      <c r="AC239" s="146"/>
      <c r="AD239" s="146"/>
      <c r="AE239" s="146"/>
    </row>
    <row r="242" spans="26:26" ht="27.95" customHeight="1" x14ac:dyDescent="0.15">
      <c r="Z242" s="219"/>
    </row>
  </sheetData>
  <autoFilter ref="A2:AE239" xr:uid="{00000000-0009-0000-0000-000004000000}"/>
  <mergeCells count="4">
    <mergeCell ref="A1:AD1"/>
    <mergeCell ref="AE35:AE36"/>
    <mergeCell ref="AE159:AE161"/>
    <mergeCell ref="AE198:AE200"/>
  </mergeCells>
  <phoneticPr fontId="22" type="noConversion"/>
  <pageMargins left="0.7" right="0.7" top="0.75" bottom="0.75" header="0.3" footer="0.3"/>
  <pageSetup paperSize="9" orientation="portrait" verticalDpi="180" r:id="rId1"/>
  <ignoredErrors>
    <ignoredError sqref="T92:T94" numberStoredAsText="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E164"/>
  <sheetViews>
    <sheetView workbookViewId="0">
      <pane xSplit="2" ySplit="2" topLeftCell="C30" activePane="bottomRight" state="frozen"/>
      <selection pane="topRight" activeCell="C1" sqref="C1"/>
      <selection pane="bottomLeft" activeCell="A3" sqref="A3"/>
      <selection pane="bottomRight" activeCell="A154" sqref="A1:AE164"/>
    </sheetView>
  </sheetViews>
  <sheetFormatPr defaultColWidth="9" defaultRowHeight="32.450000000000003" customHeight="1" x14ac:dyDescent="0.15"/>
  <cols>
    <col min="1" max="1" width="6.875" style="5" customWidth="1"/>
    <col min="2" max="2" width="13.875" style="5" bestFit="1" customWidth="1"/>
    <col min="3" max="4" width="18.125" style="5" customWidth="1"/>
    <col min="5" max="5" width="18" style="5" customWidth="1"/>
    <col min="6" max="6" width="24.125" style="69" customWidth="1"/>
    <col min="7" max="7" width="31.625" style="69" customWidth="1"/>
    <col min="8" max="8" width="9.25" style="5" customWidth="1"/>
    <col min="9" max="9" width="7.875" style="5" customWidth="1"/>
    <col min="10" max="10" width="19.875" style="5" customWidth="1"/>
    <col min="11" max="11" width="10.375" style="5" customWidth="1"/>
    <col min="12" max="12" width="13.75" style="5" customWidth="1"/>
    <col min="13" max="13" width="11.375" style="5" customWidth="1"/>
    <col min="14" max="14" width="12.75" style="5" customWidth="1"/>
    <col min="15" max="15" width="29.125" style="69" customWidth="1"/>
    <col min="16" max="16" width="9.625" style="5" customWidth="1"/>
    <col min="17" max="17" width="9.75" style="5" bestFit="1" customWidth="1"/>
    <col min="18" max="18" width="9.5" style="5" customWidth="1"/>
    <col min="19" max="20" width="9.75" style="5" bestFit="1" customWidth="1"/>
    <col min="21" max="21" width="13.125" style="33" bestFit="1" customWidth="1"/>
    <col min="22" max="22" width="9.75" style="33" bestFit="1" customWidth="1"/>
    <col min="23" max="24" width="9.75" style="5" bestFit="1" customWidth="1"/>
    <col min="25" max="27" width="11.5" style="5" customWidth="1"/>
    <col min="28" max="28" width="9.875" style="5" customWidth="1"/>
    <col min="29" max="29" width="12.125" style="5" customWidth="1"/>
    <col min="30" max="30" width="9.75" style="5" customWidth="1"/>
    <col min="31" max="31" width="37.125" style="5" customWidth="1"/>
    <col min="32" max="16384" width="9" style="5"/>
  </cols>
  <sheetData>
    <row r="1" spans="1:31" s="3" customFormat="1" ht="33" customHeight="1" x14ac:dyDescent="0.15">
      <c r="A1" s="1953" t="s">
        <v>2312</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1" s="4" customFormat="1" ht="27"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8</v>
      </c>
      <c r="P2" s="25" t="s">
        <v>9</v>
      </c>
      <c r="Q2" s="25" t="s">
        <v>3342</v>
      </c>
      <c r="R2" s="25" t="s">
        <v>3343</v>
      </c>
      <c r="S2" s="25" t="s">
        <v>2126</v>
      </c>
      <c r="T2" s="25" t="s">
        <v>2127</v>
      </c>
      <c r="U2" s="32" t="s">
        <v>2128</v>
      </c>
      <c r="V2" s="32" t="s">
        <v>2129</v>
      </c>
      <c r="W2" s="25" t="s">
        <v>2130</v>
      </c>
      <c r="X2" s="25" t="s">
        <v>2131</v>
      </c>
      <c r="Y2" s="25" t="s">
        <v>429</v>
      </c>
      <c r="Z2" s="25" t="s">
        <v>430</v>
      </c>
      <c r="AA2" s="25" t="s">
        <v>431</v>
      </c>
      <c r="AB2" s="25" t="s">
        <v>2184</v>
      </c>
      <c r="AC2" s="25" t="s">
        <v>2185</v>
      </c>
      <c r="AD2" s="25" t="s">
        <v>2125</v>
      </c>
      <c r="AE2" s="25" t="s">
        <v>3252</v>
      </c>
    </row>
    <row r="3" spans="1:31" s="11" customFormat="1" ht="27.95" hidden="1" customHeight="1" x14ac:dyDescent="0.15">
      <c r="A3" s="8">
        <v>1</v>
      </c>
      <c r="B3" s="36" t="s">
        <v>844</v>
      </c>
      <c r="C3" s="26" t="s">
        <v>19</v>
      </c>
      <c r="D3" s="26" t="s">
        <v>19</v>
      </c>
      <c r="E3" s="26" t="s">
        <v>19</v>
      </c>
      <c r="F3" s="149" t="s">
        <v>845</v>
      </c>
      <c r="G3" s="53" t="s">
        <v>19</v>
      </c>
      <c r="H3" s="20" t="s">
        <v>3394</v>
      </c>
      <c r="I3" s="142" t="s">
        <v>849</v>
      </c>
      <c r="J3" s="21" t="s">
        <v>852</v>
      </c>
      <c r="K3" s="26" t="s">
        <v>127</v>
      </c>
      <c r="L3" s="22" t="s">
        <v>855</v>
      </c>
      <c r="M3" s="26" t="s">
        <v>127</v>
      </c>
      <c r="N3" s="9" t="s">
        <v>102</v>
      </c>
      <c r="O3" s="54" t="s">
        <v>851</v>
      </c>
      <c r="P3" s="26" t="s">
        <v>127</v>
      </c>
      <c r="Q3" s="9" t="s">
        <v>854</v>
      </c>
      <c r="R3" s="9" t="s">
        <v>854</v>
      </c>
      <c r="S3" s="24" t="s">
        <v>111</v>
      </c>
      <c r="T3" s="24" t="s">
        <v>111</v>
      </c>
      <c r="U3" s="24" t="s">
        <v>3418</v>
      </c>
      <c r="V3" s="24">
        <v>0</v>
      </c>
      <c r="W3" s="24" t="s">
        <v>857</v>
      </c>
      <c r="X3" s="24" t="s">
        <v>858</v>
      </c>
      <c r="Y3" s="30"/>
      <c r="Z3" s="30">
        <v>12</v>
      </c>
      <c r="AA3" s="30">
        <v>12</v>
      </c>
      <c r="AB3" s="24" t="s">
        <v>111</v>
      </c>
      <c r="AC3" s="26" t="s">
        <v>2538</v>
      </c>
      <c r="AD3" s="24" t="s">
        <v>111</v>
      </c>
      <c r="AE3" s="9"/>
    </row>
    <row r="4" spans="1:31" s="11" customFormat="1" ht="27.95" hidden="1" customHeight="1" x14ac:dyDescent="0.15">
      <c r="A4" s="8">
        <v>2</v>
      </c>
      <c r="B4" s="36" t="s">
        <v>3395</v>
      </c>
      <c r="C4" s="26" t="s">
        <v>19</v>
      </c>
      <c r="D4" s="26" t="s">
        <v>19</v>
      </c>
      <c r="E4" s="26" t="s">
        <v>19</v>
      </c>
      <c r="F4" s="29" t="s">
        <v>846</v>
      </c>
      <c r="G4" s="53" t="s">
        <v>19</v>
      </c>
      <c r="H4" s="1" t="s">
        <v>3396</v>
      </c>
      <c r="I4" s="102" t="s">
        <v>819</v>
      </c>
      <c r="J4" s="37" t="s">
        <v>850</v>
      </c>
      <c r="K4" s="26" t="s">
        <v>127</v>
      </c>
      <c r="L4" s="21" t="s">
        <v>850</v>
      </c>
      <c r="M4" s="26" t="s">
        <v>127</v>
      </c>
      <c r="N4" s="9" t="s">
        <v>102</v>
      </c>
      <c r="O4" s="54" t="s">
        <v>851</v>
      </c>
      <c r="P4" s="26" t="s">
        <v>127</v>
      </c>
      <c r="Q4" s="9" t="s">
        <v>446</v>
      </c>
      <c r="R4" s="9" t="s">
        <v>446</v>
      </c>
      <c r="S4" s="24" t="s">
        <v>111</v>
      </c>
      <c r="T4" s="24" t="s">
        <v>111</v>
      </c>
      <c r="U4" s="24" t="s">
        <v>3418</v>
      </c>
      <c r="V4" s="24">
        <v>0</v>
      </c>
      <c r="W4" s="24" t="s">
        <v>857</v>
      </c>
      <c r="X4" s="24" t="s">
        <v>858</v>
      </c>
      <c r="Y4" s="30"/>
      <c r="Z4" s="30">
        <v>10</v>
      </c>
      <c r="AA4" s="30">
        <v>10</v>
      </c>
      <c r="AB4" s="24" t="s">
        <v>111</v>
      </c>
      <c r="AC4" s="26" t="s">
        <v>2538</v>
      </c>
      <c r="AD4" s="24" t="s">
        <v>111</v>
      </c>
      <c r="AE4" s="9"/>
    </row>
    <row r="5" spans="1:31" s="11" customFormat="1" ht="27.95" hidden="1" customHeight="1" x14ac:dyDescent="0.15">
      <c r="A5" s="8">
        <v>3</v>
      </c>
      <c r="B5" s="36" t="s">
        <v>847</v>
      </c>
      <c r="C5" s="26" t="s">
        <v>19</v>
      </c>
      <c r="D5" s="26" t="s">
        <v>19</v>
      </c>
      <c r="E5" s="26" t="s">
        <v>19</v>
      </c>
      <c r="F5" s="29" t="s">
        <v>848</v>
      </c>
      <c r="G5" s="53" t="s">
        <v>19</v>
      </c>
      <c r="H5" s="1" t="s">
        <v>3396</v>
      </c>
      <c r="I5" s="102" t="s">
        <v>819</v>
      </c>
      <c r="J5" s="37" t="s">
        <v>853</v>
      </c>
      <c r="K5" s="26" t="s">
        <v>127</v>
      </c>
      <c r="L5" s="22" t="s">
        <v>856</v>
      </c>
      <c r="M5" s="26" t="s">
        <v>127</v>
      </c>
      <c r="N5" s="9" t="s">
        <v>102</v>
      </c>
      <c r="O5" s="54" t="s">
        <v>851</v>
      </c>
      <c r="P5" s="26" t="s">
        <v>127</v>
      </c>
      <c r="Q5" s="9" t="s">
        <v>446</v>
      </c>
      <c r="R5" s="9" t="s">
        <v>446</v>
      </c>
      <c r="S5" s="24" t="s">
        <v>111</v>
      </c>
      <c r="T5" s="24" t="s">
        <v>111</v>
      </c>
      <c r="U5" s="24" t="s">
        <v>3418</v>
      </c>
      <c r="V5" s="24">
        <v>0</v>
      </c>
      <c r="W5" s="24" t="s">
        <v>857</v>
      </c>
      <c r="X5" s="24" t="s">
        <v>858</v>
      </c>
      <c r="Y5" s="30"/>
      <c r="Z5" s="30">
        <v>10</v>
      </c>
      <c r="AA5" s="30">
        <v>10</v>
      </c>
      <c r="AB5" s="24" t="s">
        <v>111</v>
      </c>
      <c r="AC5" s="26" t="s">
        <v>2538</v>
      </c>
      <c r="AD5" s="24" t="s">
        <v>111</v>
      </c>
      <c r="AE5" s="9"/>
    </row>
    <row r="6" spans="1:31" s="11" customFormat="1" ht="27.95" hidden="1" customHeight="1" x14ac:dyDescent="0.15">
      <c r="A6" s="8">
        <v>4</v>
      </c>
      <c r="B6" s="8" t="s">
        <v>17</v>
      </c>
      <c r="C6" s="26" t="s">
        <v>18</v>
      </c>
      <c r="D6" s="26" t="s">
        <v>19</v>
      </c>
      <c r="E6" s="26" t="s">
        <v>19</v>
      </c>
      <c r="F6" s="52" t="s">
        <v>20</v>
      </c>
      <c r="G6" s="64" t="s">
        <v>21</v>
      </c>
      <c r="H6" s="20" t="s">
        <v>23</v>
      </c>
      <c r="I6" s="20" t="s">
        <v>22</v>
      </c>
      <c r="J6" s="22" t="s">
        <v>581</v>
      </c>
      <c r="K6" s="26" t="s">
        <v>127</v>
      </c>
      <c r="L6" s="22" t="s">
        <v>24</v>
      </c>
      <c r="M6" s="26" t="s">
        <v>127</v>
      </c>
      <c r="N6" s="22" t="s">
        <v>25</v>
      </c>
      <c r="O6" s="64" t="s">
        <v>462</v>
      </c>
      <c r="P6" s="26" t="s">
        <v>127</v>
      </c>
      <c r="Q6" s="27" t="s">
        <v>118</v>
      </c>
      <c r="R6" s="27" t="s">
        <v>276</v>
      </c>
      <c r="S6" s="124" t="s">
        <v>119</v>
      </c>
      <c r="T6" s="124" t="s">
        <v>466</v>
      </c>
      <c r="U6" s="10" t="s">
        <v>108</v>
      </c>
      <c r="V6" s="10">
        <v>1</v>
      </c>
      <c r="W6" s="24" t="s">
        <v>111</v>
      </c>
      <c r="X6" s="24" t="s">
        <v>111</v>
      </c>
      <c r="Y6" s="30">
        <v>23.55</v>
      </c>
      <c r="Z6" s="30"/>
      <c r="AA6" s="30">
        <v>23.55</v>
      </c>
      <c r="AB6" s="24" t="s">
        <v>111</v>
      </c>
      <c r="AC6" s="26" t="s">
        <v>2538</v>
      </c>
      <c r="AD6" s="24" t="s">
        <v>111</v>
      </c>
      <c r="AE6" s="9"/>
    </row>
    <row r="7" spans="1:31" s="11" customFormat="1" ht="27.95" hidden="1" customHeight="1" x14ac:dyDescent="0.15">
      <c r="A7" s="8">
        <v>5</v>
      </c>
      <c r="B7" s="8" t="s">
        <v>26</v>
      </c>
      <c r="C7" s="26" t="s">
        <v>19</v>
      </c>
      <c r="D7" s="26" t="s">
        <v>19</v>
      </c>
      <c r="E7" s="26" t="s">
        <v>19</v>
      </c>
      <c r="F7" s="52" t="s">
        <v>27</v>
      </c>
      <c r="G7" s="64" t="s">
        <v>425</v>
      </c>
      <c r="H7" s="20" t="s">
        <v>23</v>
      </c>
      <c r="I7" s="20" t="s">
        <v>28</v>
      </c>
      <c r="J7" s="22" t="s">
        <v>29</v>
      </c>
      <c r="K7" s="26" t="s">
        <v>127</v>
      </c>
      <c r="L7" s="22" t="s">
        <v>557</v>
      </c>
      <c r="M7" s="26" t="s">
        <v>127</v>
      </c>
      <c r="N7" s="22" t="s">
        <v>102</v>
      </c>
      <c r="O7" s="47" t="s">
        <v>413</v>
      </c>
      <c r="P7" s="26" t="s">
        <v>127</v>
      </c>
      <c r="Q7" s="23" t="s">
        <v>120</v>
      </c>
      <c r="R7" s="23" t="s">
        <v>120</v>
      </c>
      <c r="S7" s="124" t="s">
        <v>119</v>
      </c>
      <c r="T7" s="29">
        <v>2016.12</v>
      </c>
      <c r="U7" s="10" t="s">
        <v>109</v>
      </c>
      <c r="V7" s="10">
        <v>1</v>
      </c>
      <c r="W7" s="24" t="s">
        <v>121</v>
      </c>
      <c r="X7" s="24" t="s">
        <v>122</v>
      </c>
      <c r="Y7" s="30"/>
      <c r="Z7" s="30">
        <v>18</v>
      </c>
      <c r="AA7" s="30">
        <v>18</v>
      </c>
      <c r="AB7" s="24" t="s">
        <v>111</v>
      </c>
      <c r="AC7" s="26" t="s">
        <v>2538</v>
      </c>
      <c r="AD7" s="24" t="s">
        <v>111</v>
      </c>
      <c r="AE7" s="9"/>
    </row>
    <row r="8" spans="1:31" s="11" customFormat="1" ht="27.95" hidden="1" customHeight="1" x14ac:dyDescent="0.15">
      <c r="A8" s="8">
        <v>6</v>
      </c>
      <c r="B8" s="8" t="s">
        <v>30</v>
      </c>
      <c r="C8" s="26" t="s">
        <v>19</v>
      </c>
      <c r="D8" s="26" t="s">
        <v>19</v>
      </c>
      <c r="E8" s="26" t="s">
        <v>19</v>
      </c>
      <c r="F8" s="68" t="s">
        <v>31</v>
      </c>
      <c r="G8" s="64" t="s">
        <v>1087</v>
      </c>
      <c r="H8" s="20" t="s">
        <v>23</v>
      </c>
      <c r="I8" s="20" t="s">
        <v>28</v>
      </c>
      <c r="J8" s="12" t="s">
        <v>749</v>
      </c>
      <c r="K8" s="26" t="s">
        <v>127</v>
      </c>
      <c r="L8" s="12" t="s">
        <v>582</v>
      </c>
      <c r="M8" s="26" t="s">
        <v>127</v>
      </c>
      <c r="N8" s="22" t="s">
        <v>102</v>
      </c>
      <c r="O8" s="47" t="s">
        <v>413</v>
      </c>
      <c r="P8" s="26" t="s">
        <v>127</v>
      </c>
      <c r="Q8" s="23" t="s">
        <v>120</v>
      </c>
      <c r="R8" s="23" t="s">
        <v>120</v>
      </c>
      <c r="S8" s="124" t="s">
        <v>119</v>
      </c>
      <c r="T8" s="29">
        <v>2016.12</v>
      </c>
      <c r="U8" s="10" t="s">
        <v>110</v>
      </c>
      <c r="V8" s="10">
        <v>1</v>
      </c>
      <c r="W8" s="24" t="s">
        <v>121</v>
      </c>
      <c r="X8" s="24" t="s">
        <v>122</v>
      </c>
      <c r="Y8" s="30"/>
      <c r="Z8" s="30">
        <v>18</v>
      </c>
      <c r="AA8" s="30">
        <v>18</v>
      </c>
      <c r="AB8" s="24" t="s">
        <v>111</v>
      </c>
      <c r="AC8" s="26" t="s">
        <v>2538</v>
      </c>
      <c r="AD8" s="24" t="s">
        <v>111</v>
      </c>
      <c r="AE8" s="9"/>
    </row>
    <row r="9" spans="1:31" s="11" customFormat="1" ht="27.95" hidden="1" customHeight="1" x14ac:dyDescent="0.15">
      <c r="A9" s="8">
        <v>7</v>
      </c>
      <c r="B9" s="8" t="s">
        <v>32</v>
      </c>
      <c r="C9" s="26" t="s">
        <v>19</v>
      </c>
      <c r="D9" s="26" t="s">
        <v>19</v>
      </c>
      <c r="E9" s="26" t="s">
        <v>19</v>
      </c>
      <c r="F9" s="52" t="s">
        <v>33</v>
      </c>
      <c r="G9" s="64" t="s">
        <v>34</v>
      </c>
      <c r="H9" s="20" t="s">
        <v>1415</v>
      </c>
      <c r="I9" s="20" t="s">
        <v>22</v>
      </c>
      <c r="J9" s="22" t="s">
        <v>583</v>
      </c>
      <c r="K9" s="26" t="s">
        <v>127</v>
      </c>
      <c r="L9" s="22" t="s">
        <v>35</v>
      </c>
      <c r="M9" s="26" t="s">
        <v>127</v>
      </c>
      <c r="N9" s="22" t="s">
        <v>102</v>
      </c>
      <c r="O9" s="47" t="s">
        <v>413</v>
      </c>
      <c r="P9" s="26" t="s">
        <v>127</v>
      </c>
      <c r="Q9" s="27" t="s">
        <v>118</v>
      </c>
      <c r="R9" s="27" t="s">
        <v>103</v>
      </c>
      <c r="S9" s="13" t="s">
        <v>123</v>
      </c>
      <c r="T9" s="13" t="s">
        <v>467</v>
      </c>
      <c r="U9" s="10" t="s">
        <v>110</v>
      </c>
      <c r="V9" s="10">
        <v>1</v>
      </c>
      <c r="W9" s="24" t="s">
        <v>124</v>
      </c>
      <c r="X9" s="24" t="s">
        <v>125</v>
      </c>
      <c r="Y9" s="30"/>
      <c r="Z9" s="30">
        <v>12</v>
      </c>
      <c r="AA9" s="30">
        <v>12</v>
      </c>
      <c r="AB9" s="24" t="s">
        <v>111</v>
      </c>
      <c r="AC9" s="26" t="s">
        <v>2538</v>
      </c>
      <c r="AD9" s="24" t="s">
        <v>111</v>
      </c>
      <c r="AE9" s="9"/>
    </row>
    <row r="10" spans="1:31" s="11" customFormat="1" ht="27.95" hidden="1" customHeight="1" x14ac:dyDescent="0.15">
      <c r="A10" s="8">
        <v>8</v>
      </c>
      <c r="B10" s="8" t="s">
        <v>36</v>
      </c>
      <c r="C10" s="26" t="s">
        <v>126</v>
      </c>
      <c r="D10" s="26" t="s">
        <v>127</v>
      </c>
      <c r="E10" s="26" t="s">
        <v>127</v>
      </c>
      <c r="F10" s="52" t="s">
        <v>128</v>
      </c>
      <c r="G10" s="52" t="s">
        <v>129</v>
      </c>
      <c r="H10" s="2" t="s">
        <v>23</v>
      </c>
      <c r="I10" s="2" t="s">
        <v>130</v>
      </c>
      <c r="J10" s="126" t="s">
        <v>131</v>
      </c>
      <c r="K10" s="26" t="s">
        <v>127</v>
      </c>
      <c r="L10" s="126" t="s">
        <v>131</v>
      </c>
      <c r="M10" s="26" t="s">
        <v>127</v>
      </c>
      <c r="N10" s="22" t="s">
        <v>132</v>
      </c>
      <c r="O10" s="64" t="s">
        <v>653</v>
      </c>
      <c r="P10" s="26" t="s">
        <v>127</v>
      </c>
      <c r="Q10" s="27" t="s">
        <v>133</v>
      </c>
      <c r="R10" s="27" t="s">
        <v>276</v>
      </c>
      <c r="S10" s="29" t="s">
        <v>134</v>
      </c>
      <c r="T10" s="29">
        <v>2016.12</v>
      </c>
      <c r="U10" s="10" t="s">
        <v>110</v>
      </c>
      <c r="V10" s="10">
        <v>1</v>
      </c>
      <c r="W10" s="24" t="s">
        <v>111</v>
      </c>
      <c r="X10" s="24" t="s">
        <v>111</v>
      </c>
      <c r="Y10" s="30">
        <v>32</v>
      </c>
      <c r="Z10" s="30"/>
      <c r="AA10" s="30">
        <v>32</v>
      </c>
      <c r="AB10" s="24" t="s">
        <v>111</v>
      </c>
      <c r="AC10" s="26" t="s">
        <v>2538</v>
      </c>
      <c r="AD10" s="24" t="s">
        <v>111</v>
      </c>
      <c r="AE10" s="9"/>
    </row>
    <row r="11" spans="1:31" s="11" customFormat="1" ht="27.95" hidden="1" customHeight="1" x14ac:dyDescent="0.15">
      <c r="A11" s="8">
        <v>9</v>
      </c>
      <c r="B11" s="8" t="s">
        <v>135</v>
      </c>
      <c r="C11" s="26" t="s">
        <v>136</v>
      </c>
      <c r="D11" s="26" t="s">
        <v>127</v>
      </c>
      <c r="E11" s="26" t="s">
        <v>127</v>
      </c>
      <c r="F11" s="52" t="s">
        <v>128</v>
      </c>
      <c r="G11" s="52" t="s">
        <v>137</v>
      </c>
      <c r="H11" s="2" t="s">
        <v>23</v>
      </c>
      <c r="I11" s="2" t="s">
        <v>130</v>
      </c>
      <c r="J11" s="126" t="s">
        <v>131</v>
      </c>
      <c r="K11" s="26" t="s">
        <v>127</v>
      </c>
      <c r="L11" s="126" t="s">
        <v>131</v>
      </c>
      <c r="M11" s="26" t="s">
        <v>127</v>
      </c>
      <c r="N11" s="22" t="s">
        <v>138</v>
      </c>
      <c r="O11" s="47" t="s">
        <v>640</v>
      </c>
      <c r="P11" s="26" t="s">
        <v>127</v>
      </c>
      <c r="Q11" s="27" t="s">
        <v>133</v>
      </c>
      <c r="R11" s="27" t="s">
        <v>276</v>
      </c>
      <c r="S11" s="29" t="s">
        <v>134</v>
      </c>
      <c r="T11" s="29">
        <v>2016.12</v>
      </c>
      <c r="U11" s="10" t="s">
        <v>110</v>
      </c>
      <c r="V11" s="10">
        <v>1</v>
      </c>
      <c r="W11" s="24" t="s">
        <v>111</v>
      </c>
      <c r="X11" s="24" t="s">
        <v>111</v>
      </c>
      <c r="Y11" s="30">
        <v>24.5</v>
      </c>
      <c r="Z11" s="30"/>
      <c r="AA11" s="30">
        <v>24.5</v>
      </c>
      <c r="AB11" s="24" t="s">
        <v>111</v>
      </c>
      <c r="AC11" s="26" t="s">
        <v>2538</v>
      </c>
      <c r="AD11" s="24" t="s">
        <v>111</v>
      </c>
      <c r="AE11" s="9"/>
    </row>
    <row r="12" spans="1:31" s="11" customFormat="1" ht="27.95" hidden="1" customHeight="1" x14ac:dyDescent="0.15">
      <c r="A12" s="8">
        <v>10</v>
      </c>
      <c r="B12" s="8" t="s">
        <v>37</v>
      </c>
      <c r="C12" s="26" t="s">
        <v>139</v>
      </c>
      <c r="D12" s="26" t="s">
        <v>127</v>
      </c>
      <c r="E12" s="26" t="s">
        <v>127</v>
      </c>
      <c r="F12" s="52" t="s">
        <v>140</v>
      </c>
      <c r="G12" s="52" t="s">
        <v>141</v>
      </c>
      <c r="H12" s="2" t="s">
        <v>23</v>
      </c>
      <c r="I12" s="2" t="s">
        <v>130</v>
      </c>
      <c r="J12" s="14" t="s">
        <v>142</v>
      </c>
      <c r="K12" s="26" t="s">
        <v>127</v>
      </c>
      <c r="L12" s="14" t="s">
        <v>557</v>
      </c>
      <c r="M12" s="26" t="s">
        <v>127</v>
      </c>
      <c r="N12" s="22" t="s">
        <v>138</v>
      </c>
      <c r="O12" s="47" t="s">
        <v>640</v>
      </c>
      <c r="P12" s="26" t="s">
        <v>127</v>
      </c>
      <c r="Q12" s="27" t="s">
        <v>133</v>
      </c>
      <c r="R12" s="27" t="s">
        <v>276</v>
      </c>
      <c r="S12" s="29" t="s">
        <v>134</v>
      </c>
      <c r="T12" s="29">
        <v>2016.12</v>
      </c>
      <c r="U12" s="10" t="s">
        <v>110</v>
      </c>
      <c r="V12" s="10">
        <v>1</v>
      </c>
      <c r="W12" s="24" t="s">
        <v>111</v>
      </c>
      <c r="X12" s="24" t="s">
        <v>111</v>
      </c>
      <c r="Y12" s="30">
        <v>24.5</v>
      </c>
      <c r="Z12" s="30"/>
      <c r="AA12" s="30">
        <v>24.5</v>
      </c>
      <c r="AB12" s="24" t="s">
        <v>111</v>
      </c>
      <c r="AC12" s="26" t="s">
        <v>2538</v>
      </c>
      <c r="AD12" s="24" t="s">
        <v>111</v>
      </c>
      <c r="AE12" s="9"/>
    </row>
    <row r="13" spans="1:31" s="11" customFormat="1" ht="27.95" hidden="1" customHeight="1" x14ac:dyDescent="0.15">
      <c r="A13" s="8">
        <v>11</v>
      </c>
      <c r="B13" s="8" t="s">
        <v>38</v>
      </c>
      <c r="C13" s="26" t="s">
        <v>127</v>
      </c>
      <c r="D13" s="26" t="s">
        <v>127</v>
      </c>
      <c r="E13" s="26" t="s">
        <v>127</v>
      </c>
      <c r="F13" s="29" t="s">
        <v>143</v>
      </c>
      <c r="G13" s="29" t="s">
        <v>144</v>
      </c>
      <c r="H13" s="20" t="s">
        <v>23</v>
      </c>
      <c r="I13" s="26" t="s">
        <v>1119</v>
      </c>
      <c r="J13" s="20" t="s">
        <v>145</v>
      </c>
      <c r="K13" s="26" t="s">
        <v>127</v>
      </c>
      <c r="L13" s="14" t="s">
        <v>557</v>
      </c>
      <c r="M13" s="26" t="s">
        <v>127</v>
      </c>
      <c r="N13" s="22" t="s">
        <v>102</v>
      </c>
      <c r="O13" s="64" t="s">
        <v>576</v>
      </c>
      <c r="P13" s="26" t="s">
        <v>127</v>
      </c>
      <c r="Q13" s="27" t="s">
        <v>133</v>
      </c>
      <c r="R13" s="27" t="s">
        <v>276</v>
      </c>
      <c r="S13" s="29" t="s">
        <v>146</v>
      </c>
      <c r="T13" s="29">
        <v>2016.12</v>
      </c>
      <c r="U13" s="10" t="s">
        <v>110</v>
      </c>
      <c r="V13" s="10">
        <v>1</v>
      </c>
      <c r="W13" s="155" t="s">
        <v>147</v>
      </c>
      <c r="X13" s="112" t="s">
        <v>148</v>
      </c>
      <c r="Y13" s="16"/>
      <c r="Z13" s="96">
        <v>12</v>
      </c>
      <c r="AA13" s="96">
        <v>12</v>
      </c>
      <c r="AB13" s="24" t="s">
        <v>111</v>
      </c>
      <c r="AC13" s="26" t="s">
        <v>2538</v>
      </c>
      <c r="AD13" s="24" t="s">
        <v>111</v>
      </c>
      <c r="AE13" s="9"/>
    </row>
    <row r="14" spans="1:31" s="11" customFormat="1" ht="27.95" hidden="1" customHeight="1" x14ac:dyDescent="0.15">
      <c r="A14" s="8">
        <v>12</v>
      </c>
      <c r="B14" s="8" t="s">
        <v>39</v>
      </c>
      <c r="C14" s="26" t="s">
        <v>127</v>
      </c>
      <c r="D14" s="26" t="s">
        <v>127</v>
      </c>
      <c r="E14" s="26" t="s">
        <v>127</v>
      </c>
      <c r="F14" s="52" t="s">
        <v>149</v>
      </c>
      <c r="G14" s="29" t="s">
        <v>150</v>
      </c>
      <c r="H14" s="20" t="s">
        <v>23</v>
      </c>
      <c r="I14" s="7" t="s">
        <v>151</v>
      </c>
      <c r="J14" s="20" t="s">
        <v>584</v>
      </c>
      <c r="K14" s="26" t="s">
        <v>127</v>
      </c>
      <c r="L14" s="14" t="s">
        <v>557</v>
      </c>
      <c r="M14" s="26" t="s">
        <v>127</v>
      </c>
      <c r="N14" s="20" t="s">
        <v>152</v>
      </c>
      <c r="O14" s="29" t="s">
        <v>640</v>
      </c>
      <c r="P14" s="26" t="s">
        <v>127</v>
      </c>
      <c r="Q14" s="23" t="s">
        <v>153</v>
      </c>
      <c r="R14" s="23" t="s">
        <v>153</v>
      </c>
      <c r="S14" s="29" t="s">
        <v>154</v>
      </c>
      <c r="T14" s="29">
        <v>2017.3</v>
      </c>
      <c r="U14" s="10" t="s">
        <v>108</v>
      </c>
      <c r="V14" s="10">
        <v>1</v>
      </c>
      <c r="W14" s="24" t="s">
        <v>111</v>
      </c>
      <c r="X14" s="24" t="s">
        <v>111</v>
      </c>
      <c r="Y14" s="30">
        <v>18.399999999999999</v>
      </c>
      <c r="Z14" s="30"/>
      <c r="AA14" s="30">
        <v>18.399999999999999</v>
      </c>
      <c r="AB14" s="24" t="s">
        <v>111</v>
      </c>
      <c r="AC14" s="26" t="s">
        <v>2538</v>
      </c>
      <c r="AD14" s="24" t="s">
        <v>111</v>
      </c>
      <c r="AE14" s="9"/>
    </row>
    <row r="15" spans="1:31" s="11" customFormat="1" ht="27.95" customHeight="1" x14ac:dyDescent="0.15">
      <c r="A15" s="8">
        <v>13</v>
      </c>
      <c r="B15" s="8" t="s">
        <v>155</v>
      </c>
      <c r="C15" s="26" t="s">
        <v>127</v>
      </c>
      <c r="D15" s="156" t="s">
        <v>40</v>
      </c>
      <c r="E15" s="26" t="s">
        <v>127</v>
      </c>
      <c r="F15" s="70" t="s">
        <v>156</v>
      </c>
      <c r="G15" s="94" t="s">
        <v>2362</v>
      </c>
      <c r="H15" s="2" t="s">
        <v>1504</v>
      </c>
      <c r="I15" s="2" t="s">
        <v>157</v>
      </c>
      <c r="J15" s="2" t="s">
        <v>585</v>
      </c>
      <c r="K15" s="26" t="s">
        <v>127</v>
      </c>
      <c r="L15" s="2" t="s">
        <v>158</v>
      </c>
      <c r="M15" s="26" t="s">
        <v>127</v>
      </c>
      <c r="N15" s="22" t="s">
        <v>132</v>
      </c>
      <c r="O15" s="58" t="s">
        <v>159</v>
      </c>
      <c r="P15" s="26" t="s">
        <v>127</v>
      </c>
      <c r="Q15" s="23" t="s">
        <v>160</v>
      </c>
      <c r="R15" s="23" t="s">
        <v>160</v>
      </c>
      <c r="S15" s="29" t="s">
        <v>161</v>
      </c>
      <c r="T15" s="29"/>
      <c r="U15" s="10" t="s">
        <v>3417</v>
      </c>
      <c r="V15" s="10">
        <v>0</v>
      </c>
      <c r="W15" s="24" t="s">
        <v>111</v>
      </c>
      <c r="X15" s="24" t="s">
        <v>111</v>
      </c>
      <c r="Y15" s="30">
        <v>0.7</v>
      </c>
      <c r="Z15" s="30"/>
      <c r="AA15" s="30">
        <v>0.7</v>
      </c>
      <c r="AB15" s="24" t="s">
        <v>111</v>
      </c>
      <c r="AC15" s="26" t="s">
        <v>2538</v>
      </c>
      <c r="AD15" s="24" t="s">
        <v>111</v>
      </c>
      <c r="AE15" s="9"/>
    </row>
    <row r="16" spans="1:31" s="11" customFormat="1" ht="27.95" hidden="1" customHeight="1" x14ac:dyDescent="0.15">
      <c r="A16" s="8">
        <v>14</v>
      </c>
      <c r="B16" s="8" t="s">
        <v>41</v>
      </c>
      <c r="C16" s="26" t="s">
        <v>127</v>
      </c>
      <c r="D16" s="26" t="s">
        <v>127</v>
      </c>
      <c r="E16" s="26" t="s">
        <v>127</v>
      </c>
      <c r="F16" s="70" t="s">
        <v>149</v>
      </c>
      <c r="G16" s="56" t="s">
        <v>426</v>
      </c>
      <c r="H16" s="20" t="s">
        <v>23</v>
      </c>
      <c r="I16" s="42" t="s">
        <v>151</v>
      </c>
      <c r="J16" s="27" t="s">
        <v>586</v>
      </c>
      <c r="K16" s="26" t="s">
        <v>127</v>
      </c>
      <c r="L16" s="27" t="s">
        <v>587</v>
      </c>
      <c r="M16" s="26" t="s">
        <v>127</v>
      </c>
      <c r="N16" s="22" t="s">
        <v>102</v>
      </c>
      <c r="O16" s="47" t="s">
        <v>116</v>
      </c>
      <c r="P16" s="26" t="s">
        <v>127</v>
      </c>
      <c r="Q16" s="23" t="s">
        <v>153</v>
      </c>
      <c r="R16" s="23" t="s">
        <v>153</v>
      </c>
      <c r="S16" s="29" t="s">
        <v>161</v>
      </c>
      <c r="T16" s="29" t="s">
        <v>468</v>
      </c>
      <c r="U16" s="10" t="s">
        <v>110</v>
      </c>
      <c r="V16" s="10">
        <v>1</v>
      </c>
      <c r="W16" s="155" t="s">
        <v>147</v>
      </c>
      <c r="X16" s="112" t="s">
        <v>148</v>
      </c>
      <c r="Y16" s="30"/>
      <c r="Z16" s="30">
        <v>16</v>
      </c>
      <c r="AA16" s="30">
        <v>16</v>
      </c>
      <c r="AB16" s="24" t="s">
        <v>111</v>
      </c>
      <c r="AC16" s="26" t="s">
        <v>2538</v>
      </c>
      <c r="AD16" s="24" t="s">
        <v>111</v>
      </c>
      <c r="AE16" s="9"/>
    </row>
    <row r="17" spans="1:31" s="11" customFormat="1" ht="27.95" hidden="1" customHeight="1" x14ac:dyDescent="0.15">
      <c r="A17" s="8">
        <v>15</v>
      </c>
      <c r="B17" s="8" t="s">
        <v>42</v>
      </c>
      <c r="C17" s="26" t="s">
        <v>127</v>
      </c>
      <c r="D17" s="26" t="s">
        <v>127</v>
      </c>
      <c r="E17" s="26" t="s">
        <v>19</v>
      </c>
      <c r="F17" s="70" t="s">
        <v>162</v>
      </c>
      <c r="G17" s="56" t="s">
        <v>427</v>
      </c>
      <c r="H17" s="20" t="s">
        <v>23</v>
      </c>
      <c r="I17" s="42" t="s">
        <v>151</v>
      </c>
      <c r="J17" s="27" t="s">
        <v>588</v>
      </c>
      <c r="K17" s="26" t="s">
        <v>127</v>
      </c>
      <c r="L17" s="27" t="s">
        <v>163</v>
      </c>
      <c r="M17" s="26" t="s">
        <v>127</v>
      </c>
      <c r="N17" s="22" t="s">
        <v>102</v>
      </c>
      <c r="O17" s="47" t="s">
        <v>413</v>
      </c>
      <c r="P17" s="26" t="s">
        <v>127</v>
      </c>
      <c r="Q17" s="23" t="s">
        <v>153</v>
      </c>
      <c r="R17" s="23" t="s">
        <v>120</v>
      </c>
      <c r="S17" s="29" t="s">
        <v>161</v>
      </c>
      <c r="T17" s="29">
        <v>2017.12</v>
      </c>
      <c r="U17" s="10" t="s">
        <v>110</v>
      </c>
      <c r="V17" s="10">
        <v>1</v>
      </c>
      <c r="W17" s="155" t="s">
        <v>147</v>
      </c>
      <c r="X17" s="112" t="s">
        <v>148</v>
      </c>
      <c r="Y17" s="30"/>
      <c r="Z17" s="30">
        <v>16</v>
      </c>
      <c r="AA17" s="30">
        <v>16</v>
      </c>
      <c r="AB17" s="24" t="s">
        <v>111</v>
      </c>
      <c r="AC17" s="26" t="s">
        <v>2538</v>
      </c>
      <c r="AD17" s="24" t="s">
        <v>111</v>
      </c>
      <c r="AE17" s="9"/>
    </row>
    <row r="18" spans="1:31" s="11" customFormat="1" ht="27.95" hidden="1" customHeight="1" x14ac:dyDescent="0.15">
      <c r="A18" s="8">
        <v>16</v>
      </c>
      <c r="B18" s="8" t="s">
        <v>43</v>
      </c>
      <c r="C18" s="26" t="s">
        <v>164</v>
      </c>
      <c r="D18" s="26" t="s">
        <v>127</v>
      </c>
      <c r="E18" s="26" t="s">
        <v>19</v>
      </c>
      <c r="F18" s="70" t="s">
        <v>165</v>
      </c>
      <c r="G18" s="65" t="s">
        <v>166</v>
      </c>
      <c r="H18" s="20" t="s">
        <v>23</v>
      </c>
      <c r="I18" s="20" t="s">
        <v>167</v>
      </c>
      <c r="J18" s="21" t="s">
        <v>590</v>
      </c>
      <c r="K18" s="26" t="s">
        <v>127</v>
      </c>
      <c r="L18" s="21" t="s">
        <v>589</v>
      </c>
      <c r="M18" s="26" t="s">
        <v>127</v>
      </c>
      <c r="N18" s="22" t="s">
        <v>168</v>
      </c>
      <c r="O18" s="64" t="s">
        <v>641</v>
      </c>
      <c r="P18" s="26" t="s">
        <v>127</v>
      </c>
      <c r="Q18" s="23" t="s">
        <v>684</v>
      </c>
      <c r="R18" s="48" t="s">
        <v>2110</v>
      </c>
      <c r="S18" s="29" t="s">
        <v>169</v>
      </c>
      <c r="T18" s="29">
        <v>2016.12</v>
      </c>
      <c r="U18" s="10" t="s">
        <v>110</v>
      </c>
      <c r="V18" s="10">
        <v>1</v>
      </c>
      <c r="W18" s="24" t="s">
        <v>111</v>
      </c>
      <c r="X18" s="24" t="s">
        <v>111</v>
      </c>
      <c r="Y18" s="30">
        <v>28</v>
      </c>
      <c r="Z18" s="30"/>
      <c r="AA18" s="30">
        <v>28</v>
      </c>
      <c r="AB18" s="24" t="s">
        <v>111</v>
      </c>
      <c r="AC18" s="26" t="s">
        <v>2538</v>
      </c>
      <c r="AD18" s="24" t="s">
        <v>111</v>
      </c>
      <c r="AE18" s="9"/>
    </row>
    <row r="19" spans="1:31" s="11" customFormat="1" ht="27.95" hidden="1" customHeight="1" x14ac:dyDescent="0.15">
      <c r="A19" s="8">
        <v>17</v>
      </c>
      <c r="B19" s="8" t="s">
        <v>44</v>
      </c>
      <c r="C19" s="26" t="s">
        <v>127</v>
      </c>
      <c r="D19" s="26" t="s">
        <v>127</v>
      </c>
      <c r="E19" s="26" t="s">
        <v>127</v>
      </c>
      <c r="F19" s="29" t="s">
        <v>170</v>
      </c>
      <c r="G19" s="29" t="s">
        <v>171</v>
      </c>
      <c r="H19" s="20" t="s">
        <v>23</v>
      </c>
      <c r="I19" s="20" t="s">
        <v>157</v>
      </c>
      <c r="J19" s="20" t="s">
        <v>172</v>
      </c>
      <c r="K19" s="26" t="s">
        <v>127</v>
      </c>
      <c r="L19" s="14" t="s">
        <v>557</v>
      </c>
      <c r="M19" s="26" t="s">
        <v>127</v>
      </c>
      <c r="N19" s="22" t="s">
        <v>132</v>
      </c>
      <c r="O19" s="64" t="s">
        <v>1904</v>
      </c>
      <c r="P19" s="26" t="s">
        <v>127</v>
      </c>
      <c r="Q19" s="23" t="s">
        <v>153</v>
      </c>
      <c r="R19" s="23" t="s">
        <v>153</v>
      </c>
      <c r="S19" s="29" t="s">
        <v>173</v>
      </c>
      <c r="T19" s="29" t="s">
        <v>173</v>
      </c>
      <c r="U19" s="10" t="s">
        <v>108</v>
      </c>
      <c r="V19" s="10">
        <v>1</v>
      </c>
      <c r="W19" s="24" t="s">
        <v>174</v>
      </c>
      <c r="X19" s="24" t="s">
        <v>111</v>
      </c>
      <c r="Y19" s="30">
        <v>48</v>
      </c>
      <c r="Z19" s="30"/>
      <c r="AA19" s="30">
        <v>48</v>
      </c>
      <c r="AB19" s="24" t="s">
        <v>111</v>
      </c>
      <c r="AC19" s="26" t="s">
        <v>2538</v>
      </c>
      <c r="AD19" s="24" t="s">
        <v>111</v>
      </c>
      <c r="AE19" s="9"/>
    </row>
    <row r="20" spans="1:31" s="11" customFormat="1" ht="27.95" hidden="1" customHeight="1" x14ac:dyDescent="0.15">
      <c r="A20" s="8">
        <v>18</v>
      </c>
      <c r="B20" s="8" t="s">
        <v>175</v>
      </c>
      <c r="C20" s="26" t="s">
        <v>127</v>
      </c>
      <c r="D20" s="26" t="s">
        <v>127</v>
      </c>
      <c r="E20" s="26" t="s">
        <v>127</v>
      </c>
      <c r="F20" s="29" t="s">
        <v>176</v>
      </c>
      <c r="G20" s="94" t="s">
        <v>2362</v>
      </c>
      <c r="H20" s="20" t="s">
        <v>3394</v>
      </c>
      <c r="I20" s="26" t="s">
        <v>177</v>
      </c>
      <c r="J20" s="21" t="s">
        <v>591</v>
      </c>
      <c r="K20" s="26" t="s">
        <v>127</v>
      </c>
      <c r="L20" s="21" t="s">
        <v>178</v>
      </c>
      <c r="M20" s="26" t="s">
        <v>127</v>
      </c>
      <c r="N20" s="22" t="s">
        <v>45</v>
      </c>
      <c r="O20" s="64" t="s">
        <v>179</v>
      </c>
      <c r="P20" s="26" t="s">
        <v>127</v>
      </c>
      <c r="Q20" s="23" t="s">
        <v>180</v>
      </c>
      <c r="R20" s="23" t="s">
        <v>180</v>
      </c>
      <c r="S20" s="29" t="s">
        <v>173</v>
      </c>
      <c r="T20" s="29"/>
      <c r="U20" s="10" t="s">
        <v>3417</v>
      </c>
      <c r="V20" s="10">
        <v>0</v>
      </c>
      <c r="W20" s="24" t="s">
        <v>174</v>
      </c>
      <c r="X20" s="24" t="s">
        <v>111</v>
      </c>
      <c r="Y20" s="30">
        <v>0.2</v>
      </c>
      <c r="Z20" s="30"/>
      <c r="AA20" s="30">
        <v>0.2</v>
      </c>
      <c r="AB20" s="24" t="s">
        <v>111</v>
      </c>
      <c r="AC20" s="26" t="s">
        <v>2538</v>
      </c>
      <c r="AD20" s="24" t="s">
        <v>111</v>
      </c>
      <c r="AE20" s="9"/>
    </row>
    <row r="21" spans="1:31" s="11" customFormat="1" ht="27.95" hidden="1" customHeight="1" x14ac:dyDescent="0.15">
      <c r="A21" s="8">
        <v>19</v>
      </c>
      <c r="B21" s="8" t="s">
        <v>46</v>
      </c>
      <c r="C21" s="26" t="s">
        <v>127</v>
      </c>
      <c r="D21" s="26" t="s">
        <v>127</v>
      </c>
      <c r="E21" s="26" t="s">
        <v>127</v>
      </c>
      <c r="F21" s="56" t="s">
        <v>181</v>
      </c>
      <c r="G21" s="65" t="s">
        <v>182</v>
      </c>
      <c r="H21" s="20" t="s">
        <v>23</v>
      </c>
      <c r="I21" s="20" t="s">
        <v>22</v>
      </c>
      <c r="J21" s="1" t="s">
        <v>593</v>
      </c>
      <c r="K21" s="26" t="s">
        <v>127</v>
      </c>
      <c r="L21" s="1" t="s">
        <v>592</v>
      </c>
      <c r="M21" s="26" t="s">
        <v>127</v>
      </c>
      <c r="N21" s="22" t="s">
        <v>45</v>
      </c>
      <c r="O21" s="47" t="s">
        <v>413</v>
      </c>
      <c r="P21" s="26" t="s">
        <v>127</v>
      </c>
      <c r="Q21" s="27" t="s">
        <v>133</v>
      </c>
      <c r="R21" s="27" t="s">
        <v>276</v>
      </c>
      <c r="S21" s="29" t="s">
        <v>183</v>
      </c>
      <c r="T21" s="29">
        <v>2017</v>
      </c>
      <c r="U21" s="10" t="s">
        <v>110</v>
      </c>
      <c r="V21" s="10">
        <v>2</v>
      </c>
      <c r="W21" s="24" t="s">
        <v>184</v>
      </c>
      <c r="X21" s="24" t="s">
        <v>185</v>
      </c>
      <c r="Y21" s="30"/>
      <c r="Z21" s="30">
        <v>12</v>
      </c>
      <c r="AA21" s="30">
        <v>12</v>
      </c>
      <c r="AB21" s="24" t="s">
        <v>111</v>
      </c>
      <c r="AC21" s="26" t="s">
        <v>2538</v>
      </c>
      <c r="AD21" s="24" t="s">
        <v>111</v>
      </c>
      <c r="AE21" s="9"/>
    </row>
    <row r="22" spans="1:31" s="11" customFormat="1" ht="27.95" hidden="1" customHeight="1" x14ac:dyDescent="0.15">
      <c r="A22" s="8">
        <v>20</v>
      </c>
      <c r="B22" s="8" t="s">
        <v>47</v>
      </c>
      <c r="C22" s="26" t="s">
        <v>127</v>
      </c>
      <c r="D22" s="26" t="s">
        <v>127</v>
      </c>
      <c r="E22" s="26" t="s">
        <v>127</v>
      </c>
      <c r="F22" s="56" t="s">
        <v>186</v>
      </c>
      <c r="G22" s="65" t="s">
        <v>187</v>
      </c>
      <c r="H22" s="20" t="s">
        <v>1415</v>
      </c>
      <c r="I22" s="20" t="s">
        <v>188</v>
      </c>
      <c r="J22" s="27" t="s">
        <v>594</v>
      </c>
      <c r="K22" s="26" t="s">
        <v>127</v>
      </c>
      <c r="L22" s="27" t="s">
        <v>189</v>
      </c>
      <c r="M22" s="26" t="s">
        <v>127</v>
      </c>
      <c r="N22" s="22" t="s">
        <v>45</v>
      </c>
      <c r="O22" s="47" t="s">
        <v>413</v>
      </c>
      <c r="P22" s="26" t="s">
        <v>127</v>
      </c>
      <c r="Q22" s="27" t="s">
        <v>118</v>
      </c>
      <c r="R22" s="27" t="s">
        <v>103</v>
      </c>
      <c r="S22" s="29" t="s">
        <v>190</v>
      </c>
      <c r="T22" s="29" t="s">
        <v>469</v>
      </c>
      <c r="U22" s="10" t="s">
        <v>110</v>
      </c>
      <c r="V22" s="10">
        <v>2</v>
      </c>
      <c r="W22" s="24" t="s">
        <v>184</v>
      </c>
      <c r="X22" s="24" t="s">
        <v>185</v>
      </c>
      <c r="Y22" s="30"/>
      <c r="Z22" s="30">
        <v>12</v>
      </c>
      <c r="AA22" s="30">
        <v>12</v>
      </c>
      <c r="AB22" s="24" t="s">
        <v>111</v>
      </c>
      <c r="AC22" s="26" t="s">
        <v>2538</v>
      </c>
      <c r="AD22" s="24" t="s">
        <v>111</v>
      </c>
      <c r="AE22" s="9"/>
    </row>
    <row r="23" spans="1:31" s="11" customFormat="1" ht="27.95" hidden="1" customHeight="1" x14ac:dyDescent="0.15">
      <c r="A23" s="8">
        <v>21</v>
      </c>
      <c r="B23" s="8" t="s">
        <v>48</v>
      </c>
      <c r="C23" s="26" t="s">
        <v>127</v>
      </c>
      <c r="D23" s="26" t="s">
        <v>127</v>
      </c>
      <c r="E23" s="26" t="s">
        <v>127</v>
      </c>
      <c r="F23" s="56" t="s">
        <v>191</v>
      </c>
      <c r="G23" s="65" t="s">
        <v>192</v>
      </c>
      <c r="H23" s="20" t="s">
        <v>23</v>
      </c>
      <c r="I23" s="20" t="s">
        <v>22</v>
      </c>
      <c r="J23" s="27" t="s">
        <v>595</v>
      </c>
      <c r="K23" s="26" t="s">
        <v>127</v>
      </c>
      <c r="L23" s="80" t="s">
        <v>596</v>
      </c>
      <c r="M23" s="26" t="s">
        <v>127</v>
      </c>
      <c r="N23" s="22" t="s">
        <v>45</v>
      </c>
      <c r="O23" s="47" t="s">
        <v>413</v>
      </c>
      <c r="P23" s="26" t="s">
        <v>127</v>
      </c>
      <c r="Q23" s="27" t="s">
        <v>133</v>
      </c>
      <c r="R23" s="27" t="s">
        <v>276</v>
      </c>
      <c r="S23" s="29" t="s">
        <v>193</v>
      </c>
      <c r="T23" s="29" t="s">
        <v>470</v>
      </c>
      <c r="U23" s="10" t="s">
        <v>110</v>
      </c>
      <c r="V23" s="10">
        <v>1</v>
      </c>
      <c r="W23" s="24" t="s">
        <v>184</v>
      </c>
      <c r="X23" s="24" t="s">
        <v>185</v>
      </c>
      <c r="Y23" s="30"/>
      <c r="Z23" s="30">
        <v>12</v>
      </c>
      <c r="AA23" s="30">
        <v>12</v>
      </c>
      <c r="AB23" s="24" t="s">
        <v>111</v>
      </c>
      <c r="AC23" s="26" t="s">
        <v>2538</v>
      </c>
      <c r="AD23" s="24" t="s">
        <v>111</v>
      </c>
      <c r="AE23" s="9"/>
    </row>
    <row r="24" spans="1:31" s="11" customFormat="1" ht="27.95" hidden="1" customHeight="1" x14ac:dyDescent="0.15">
      <c r="A24" s="8">
        <v>22</v>
      </c>
      <c r="B24" s="8" t="s">
        <v>49</v>
      </c>
      <c r="C24" s="26" t="s">
        <v>194</v>
      </c>
      <c r="D24" s="26" t="s">
        <v>127</v>
      </c>
      <c r="E24" s="26" t="s">
        <v>127</v>
      </c>
      <c r="F24" s="70" t="s">
        <v>156</v>
      </c>
      <c r="G24" s="65" t="s">
        <v>902</v>
      </c>
      <c r="H24" s="2" t="s">
        <v>1504</v>
      </c>
      <c r="I24" s="20" t="s">
        <v>157</v>
      </c>
      <c r="J24" s="2" t="s">
        <v>585</v>
      </c>
      <c r="K24" s="26" t="s">
        <v>127</v>
      </c>
      <c r="L24" s="2" t="s">
        <v>158</v>
      </c>
      <c r="M24" s="26" t="s">
        <v>127</v>
      </c>
      <c r="N24" s="22" t="s">
        <v>132</v>
      </c>
      <c r="O24" s="58" t="s">
        <v>159</v>
      </c>
      <c r="P24" s="26" t="s">
        <v>127</v>
      </c>
      <c r="Q24" s="23" t="s">
        <v>160</v>
      </c>
      <c r="R24" s="23" t="s">
        <v>160</v>
      </c>
      <c r="S24" s="29" t="s">
        <v>193</v>
      </c>
      <c r="T24" s="29">
        <v>2017.1</v>
      </c>
      <c r="U24" s="10" t="s">
        <v>110</v>
      </c>
      <c r="V24" s="10">
        <v>1</v>
      </c>
      <c r="W24" s="24" t="s">
        <v>111</v>
      </c>
      <c r="X24" s="24" t="s">
        <v>111</v>
      </c>
      <c r="Y24" s="17">
        <v>2.5739999999999998</v>
      </c>
      <c r="Z24" s="30"/>
      <c r="AA24" s="17">
        <v>2.5739999999999998</v>
      </c>
      <c r="AB24" s="24" t="s">
        <v>111</v>
      </c>
      <c r="AC24" s="26" t="s">
        <v>2538</v>
      </c>
      <c r="AD24" s="24" t="s">
        <v>111</v>
      </c>
      <c r="AE24" s="9"/>
    </row>
    <row r="25" spans="1:31" s="11" customFormat="1" ht="27.95" hidden="1" customHeight="1" x14ac:dyDescent="0.15">
      <c r="A25" s="8">
        <v>23</v>
      </c>
      <c r="B25" s="8" t="s">
        <v>1085</v>
      </c>
      <c r="C25" s="26" t="s">
        <v>127</v>
      </c>
      <c r="D25" s="26" t="s">
        <v>127</v>
      </c>
      <c r="E25" s="26" t="s">
        <v>127</v>
      </c>
      <c r="F25" s="56" t="s">
        <v>195</v>
      </c>
      <c r="G25" s="65" t="s">
        <v>196</v>
      </c>
      <c r="H25" s="20" t="s">
        <v>1415</v>
      </c>
      <c r="I25" s="20" t="s">
        <v>188</v>
      </c>
      <c r="J25" s="27" t="s">
        <v>597</v>
      </c>
      <c r="K25" s="26" t="s">
        <v>127</v>
      </c>
      <c r="L25" s="27" t="s">
        <v>598</v>
      </c>
      <c r="M25" s="26" t="s">
        <v>127</v>
      </c>
      <c r="N25" s="22" t="s">
        <v>102</v>
      </c>
      <c r="O25" s="47" t="s">
        <v>413</v>
      </c>
      <c r="P25" s="26" t="s">
        <v>127</v>
      </c>
      <c r="Q25" s="27" t="s">
        <v>118</v>
      </c>
      <c r="R25" s="27" t="s">
        <v>103</v>
      </c>
      <c r="S25" s="29" t="s">
        <v>197</v>
      </c>
      <c r="T25" s="29" t="s">
        <v>471</v>
      </c>
      <c r="U25" s="10" t="s">
        <v>110</v>
      </c>
      <c r="V25" s="10">
        <v>2</v>
      </c>
      <c r="W25" s="24" t="s">
        <v>184</v>
      </c>
      <c r="X25" s="24" t="s">
        <v>185</v>
      </c>
      <c r="Y25" s="30"/>
      <c r="Z25" s="30">
        <v>14.5</v>
      </c>
      <c r="AA25" s="30">
        <v>14.5</v>
      </c>
      <c r="AB25" s="24" t="s">
        <v>111</v>
      </c>
      <c r="AC25" s="26" t="s">
        <v>2538</v>
      </c>
      <c r="AD25" s="24" t="s">
        <v>111</v>
      </c>
      <c r="AE25" s="9"/>
    </row>
    <row r="26" spans="1:31" s="11" customFormat="1" ht="27.95" hidden="1" customHeight="1" x14ac:dyDescent="0.15">
      <c r="A26" s="8">
        <v>24</v>
      </c>
      <c r="B26" s="8" t="s">
        <v>50</v>
      </c>
      <c r="C26" s="26" t="s">
        <v>127</v>
      </c>
      <c r="D26" s="26" t="s">
        <v>127</v>
      </c>
      <c r="E26" s="26" t="s">
        <v>127</v>
      </c>
      <c r="F26" s="56" t="s">
        <v>198</v>
      </c>
      <c r="G26" s="65" t="s">
        <v>199</v>
      </c>
      <c r="H26" s="20" t="s">
        <v>23</v>
      </c>
      <c r="I26" s="20" t="s">
        <v>188</v>
      </c>
      <c r="J26" s="22" t="s">
        <v>581</v>
      </c>
      <c r="K26" s="26" t="s">
        <v>127</v>
      </c>
      <c r="L26" s="27" t="s">
        <v>200</v>
      </c>
      <c r="M26" s="26" t="s">
        <v>127</v>
      </c>
      <c r="N26" s="22" t="s">
        <v>102</v>
      </c>
      <c r="O26" s="47" t="s">
        <v>413</v>
      </c>
      <c r="P26" s="26" t="s">
        <v>127</v>
      </c>
      <c r="Q26" s="23" t="s">
        <v>201</v>
      </c>
      <c r="R26" s="27" t="s">
        <v>276</v>
      </c>
      <c r="S26" s="29" t="s">
        <v>202</v>
      </c>
      <c r="T26" s="29" t="s">
        <v>472</v>
      </c>
      <c r="U26" s="10" t="s">
        <v>110</v>
      </c>
      <c r="V26" s="10">
        <v>2</v>
      </c>
      <c r="W26" s="24" t="s">
        <v>184</v>
      </c>
      <c r="X26" s="24" t="s">
        <v>185</v>
      </c>
      <c r="Y26" s="30"/>
      <c r="Z26" s="30">
        <v>12</v>
      </c>
      <c r="AA26" s="30">
        <v>12</v>
      </c>
      <c r="AB26" s="24" t="s">
        <v>111</v>
      </c>
      <c r="AC26" s="26" t="s">
        <v>2538</v>
      </c>
      <c r="AD26" s="24" t="s">
        <v>111</v>
      </c>
      <c r="AE26" s="9"/>
    </row>
    <row r="27" spans="1:31" s="11" customFormat="1" ht="27.95" hidden="1" customHeight="1" x14ac:dyDescent="0.15">
      <c r="A27" s="8">
        <v>25</v>
      </c>
      <c r="B27" s="8" t="s">
        <v>1106</v>
      </c>
      <c r="C27" s="26" t="s">
        <v>127</v>
      </c>
      <c r="D27" s="26" t="s">
        <v>127</v>
      </c>
      <c r="E27" s="26" t="s">
        <v>127</v>
      </c>
      <c r="F27" s="56" t="s">
        <v>203</v>
      </c>
      <c r="G27" s="65" t="s">
        <v>204</v>
      </c>
      <c r="H27" s="20" t="s">
        <v>23</v>
      </c>
      <c r="I27" s="20" t="s">
        <v>205</v>
      </c>
      <c r="J27" s="21" t="s">
        <v>206</v>
      </c>
      <c r="K27" s="26" t="s">
        <v>127</v>
      </c>
      <c r="L27" s="21" t="s">
        <v>557</v>
      </c>
      <c r="M27" s="26" t="s">
        <v>127</v>
      </c>
      <c r="N27" s="21" t="s">
        <v>207</v>
      </c>
      <c r="O27" s="47" t="s">
        <v>208</v>
      </c>
      <c r="P27" s="26" t="s">
        <v>127</v>
      </c>
      <c r="Q27" s="23" t="s">
        <v>201</v>
      </c>
      <c r="R27" s="27" t="s">
        <v>276</v>
      </c>
      <c r="S27" s="29" t="s">
        <v>202</v>
      </c>
      <c r="T27" s="29" t="s">
        <v>473</v>
      </c>
      <c r="U27" s="10" t="s">
        <v>108</v>
      </c>
      <c r="V27" s="10">
        <v>1</v>
      </c>
      <c r="W27" s="24" t="s">
        <v>111</v>
      </c>
      <c r="X27" s="24" t="s">
        <v>111</v>
      </c>
      <c r="Y27" s="30">
        <v>6</v>
      </c>
      <c r="Z27" s="30"/>
      <c r="AA27" s="30">
        <v>6</v>
      </c>
      <c r="AB27" s="24" t="s">
        <v>111</v>
      </c>
      <c r="AC27" s="26" t="s">
        <v>2538</v>
      </c>
      <c r="AD27" s="24" t="s">
        <v>111</v>
      </c>
      <c r="AE27" s="9"/>
    </row>
    <row r="28" spans="1:31" s="11" customFormat="1" ht="27.95" hidden="1" customHeight="1" x14ac:dyDescent="0.15">
      <c r="A28" s="8">
        <v>26</v>
      </c>
      <c r="B28" s="8" t="s">
        <v>51</v>
      </c>
      <c r="C28" s="26" t="s">
        <v>52</v>
      </c>
      <c r="D28" s="26" t="s">
        <v>127</v>
      </c>
      <c r="E28" s="26" t="s">
        <v>127</v>
      </c>
      <c r="F28" s="56" t="s">
        <v>128</v>
      </c>
      <c r="G28" s="65" t="s">
        <v>209</v>
      </c>
      <c r="H28" s="20" t="s">
        <v>23</v>
      </c>
      <c r="I28" s="20" t="s">
        <v>210</v>
      </c>
      <c r="J28" s="126" t="s">
        <v>131</v>
      </c>
      <c r="K28" s="26" t="s">
        <v>127</v>
      </c>
      <c r="L28" s="21" t="s">
        <v>211</v>
      </c>
      <c r="M28" s="26" t="s">
        <v>127</v>
      </c>
      <c r="N28" s="22" t="s">
        <v>132</v>
      </c>
      <c r="O28" s="47" t="s">
        <v>634</v>
      </c>
      <c r="P28" s="26" t="s">
        <v>127</v>
      </c>
      <c r="Q28" s="23" t="s">
        <v>201</v>
      </c>
      <c r="R28" s="27" t="s">
        <v>276</v>
      </c>
      <c r="S28" s="29" t="s">
        <v>212</v>
      </c>
      <c r="T28" s="29">
        <v>2017.2</v>
      </c>
      <c r="U28" s="10" t="s">
        <v>108</v>
      </c>
      <c r="V28" s="10">
        <v>1</v>
      </c>
      <c r="W28" s="24" t="s">
        <v>111</v>
      </c>
      <c r="X28" s="24" t="s">
        <v>111</v>
      </c>
      <c r="Y28" s="30">
        <v>24.58</v>
      </c>
      <c r="Z28" s="30"/>
      <c r="AA28" s="30">
        <v>24.58</v>
      </c>
      <c r="AB28" s="24" t="s">
        <v>111</v>
      </c>
      <c r="AC28" s="26" t="s">
        <v>2538</v>
      </c>
      <c r="AD28" s="24" t="s">
        <v>111</v>
      </c>
      <c r="AE28" s="9"/>
    </row>
    <row r="29" spans="1:31" s="11" customFormat="1" ht="27.95" hidden="1" customHeight="1" x14ac:dyDescent="0.15">
      <c r="A29" s="8">
        <v>27</v>
      </c>
      <c r="B29" s="8" t="s">
        <v>53</v>
      </c>
      <c r="C29" s="26" t="s">
        <v>52</v>
      </c>
      <c r="D29" s="26" t="s">
        <v>127</v>
      </c>
      <c r="E29" s="26" t="s">
        <v>127</v>
      </c>
      <c r="F29" s="56" t="s">
        <v>128</v>
      </c>
      <c r="G29" s="65" t="s">
        <v>1140</v>
      </c>
      <c r="H29" s="20" t="s">
        <v>23</v>
      </c>
      <c r="I29" s="20" t="s">
        <v>210</v>
      </c>
      <c r="J29" s="126" t="s">
        <v>131</v>
      </c>
      <c r="K29" s="26" t="s">
        <v>127</v>
      </c>
      <c r="L29" s="21" t="s">
        <v>131</v>
      </c>
      <c r="M29" s="26" t="s">
        <v>127</v>
      </c>
      <c r="N29" s="22" t="s">
        <v>132</v>
      </c>
      <c r="O29" s="47" t="s">
        <v>461</v>
      </c>
      <c r="P29" s="26" t="s">
        <v>127</v>
      </c>
      <c r="Q29" s="23" t="s">
        <v>201</v>
      </c>
      <c r="R29" s="27" t="s">
        <v>276</v>
      </c>
      <c r="S29" s="29" t="s">
        <v>212</v>
      </c>
      <c r="T29" s="29">
        <v>2017.2</v>
      </c>
      <c r="U29" s="10" t="s">
        <v>108</v>
      </c>
      <c r="V29" s="10">
        <v>1</v>
      </c>
      <c r="W29" s="24" t="s">
        <v>111</v>
      </c>
      <c r="X29" s="24" t="s">
        <v>111</v>
      </c>
      <c r="Y29" s="30">
        <v>24.58</v>
      </c>
      <c r="Z29" s="30"/>
      <c r="AA29" s="30">
        <v>24.58</v>
      </c>
      <c r="AB29" s="24" t="s">
        <v>111</v>
      </c>
      <c r="AC29" s="26" t="s">
        <v>2538</v>
      </c>
      <c r="AD29" s="24" t="s">
        <v>111</v>
      </c>
      <c r="AE29" s="9"/>
    </row>
    <row r="30" spans="1:31" s="11" customFormat="1" ht="27.95" customHeight="1" x14ac:dyDescent="0.15">
      <c r="A30" s="8">
        <v>28</v>
      </c>
      <c r="B30" s="8" t="s">
        <v>54</v>
      </c>
      <c r="C30" s="26" t="s">
        <v>127</v>
      </c>
      <c r="D30" s="26" t="s">
        <v>3397</v>
      </c>
      <c r="E30" s="26" t="s">
        <v>127</v>
      </c>
      <c r="F30" s="56" t="s">
        <v>826</v>
      </c>
      <c r="G30" s="65" t="s">
        <v>824</v>
      </c>
      <c r="H30" s="20" t="s">
        <v>23</v>
      </c>
      <c r="I30" s="20" t="s">
        <v>213</v>
      </c>
      <c r="J30" s="21" t="s">
        <v>599</v>
      </c>
      <c r="K30" s="26" t="s">
        <v>127</v>
      </c>
      <c r="L30" s="21" t="s">
        <v>214</v>
      </c>
      <c r="M30" s="26" t="s">
        <v>127</v>
      </c>
      <c r="N30" s="22" t="s">
        <v>825</v>
      </c>
      <c r="O30" s="47" t="s">
        <v>215</v>
      </c>
      <c r="P30" s="26" t="s">
        <v>127</v>
      </c>
      <c r="Q30" s="23" t="s">
        <v>216</v>
      </c>
      <c r="R30" s="23" t="s">
        <v>216</v>
      </c>
      <c r="S30" s="29" t="s">
        <v>217</v>
      </c>
      <c r="T30" s="29" t="s">
        <v>217</v>
      </c>
      <c r="U30" s="10" t="s">
        <v>108</v>
      </c>
      <c r="V30" s="10">
        <v>1</v>
      </c>
      <c r="W30" s="24" t="s">
        <v>111</v>
      </c>
      <c r="X30" s="24" t="s">
        <v>111</v>
      </c>
      <c r="Y30" s="30">
        <v>4.4000000000000004</v>
      </c>
      <c r="Z30" s="30"/>
      <c r="AA30" s="30">
        <v>4.4000000000000004</v>
      </c>
      <c r="AB30" s="24" t="s">
        <v>111</v>
      </c>
      <c r="AC30" s="26" t="s">
        <v>2538</v>
      </c>
      <c r="AD30" s="24" t="s">
        <v>111</v>
      </c>
      <c r="AE30" s="9"/>
    </row>
    <row r="31" spans="1:31" s="11" customFormat="1" ht="27.95" hidden="1" customHeight="1" x14ac:dyDescent="0.15">
      <c r="A31" s="8">
        <v>29</v>
      </c>
      <c r="B31" s="8" t="s">
        <v>55</v>
      </c>
      <c r="C31" s="26" t="s">
        <v>218</v>
      </c>
      <c r="D31" s="26" t="s">
        <v>127</v>
      </c>
      <c r="E31" s="26" t="s">
        <v>127</v>
      </c>
      <c r="F31" s="47" t="s">
        <v>219</v>
      </c>
      <c r="G31" s="65" t="s">
        <v>220</v>
      </c>
      <c r="H31" s="2" t="s">
        <v>1504</v>
      </c>
      <c r="I31" s="20" t="s">
        <v>157</v>
      </c>
      <c r="J31" s="23" t="s">
        <v>600</v>
      </c>
      <c r="K31" s="26" t="s">
        <v>127</v>
      </c>
      <c r="L31" s="23" t="s">
        <v>221</v>
      </c>
      <c r="M31" s="26" t="s">
        <v>127</v>
      </c>
      <c r="N31" s="22" t="s">
        <v>132</v>
      </c>
      <c r="O31" s="58" t="s">
        <v>159</v>
      </c>
      <c r="P31" s="26" t="s">
        <v>127</v>
      </c>
      <c r="Q31" s="23" t="s">
        <v>160</v>
      </c>
      <c r="R31" s="23" t="s">
        <v>160</v>
      </c>
      <c r="S31" s="29" t="s">
        <v>222</v>
      </c>
      <c r="T31" s="29" t="s">
        <v>472</v>
      </c>
      <c r="U31" s="10" t="s">
        <v>108</v>
      </c>
      <c r="V31" s="10">
        <v>1</v>
      </c>
      <c r="W31" s="24" t="s">
        <v>111</v>
      </c>
      <c r="X31" s="24" t="s">
        <v>111</v>
      </c>
      <c r="Y31" s="30">
        <v>2.5739999999999998</v>
      </c>
      <c r="Z31" s="30"/>
      <c r="AA31" s="30">
        <v>2.5739999999999998</v>
      </c>
      <c r="AB31" s="24" t="s">
        <v>111</v>
      </c>
      <c r="AC31" s="26" t="s">
        <v>2538</v>
      </c>
      <c r="AD31" s="24" t="s">
        <v>111</v>
      </c>
      <c r="AE31" s="9"/>
    </row>
    <row r="32" spans="1:31" s="11" customFormat="1" ht="33.75" x14ac:dyDescent="0.15">
      <c r="A32" s="8">
        <v>30</v>
      </c>
      <c r="B32" s="8" t="s">
        <v>56</v>
      </c>
      <c r="C32" s="26" t="s">
        <v>127</v>
      </c>
      <c r="D32" s="26" t="s">
        <v>6580</v>
      </c>
      <c r="E32" s="26" t="s">
        <v>127</v>
      </c>
      <c r="F32" s="29" t="s">
        <v>223</v>
      </c>
      <c r="G32" s="29" t="s">
        <v>224</v>
      </c>
      <c r="H32" s="1" t="s">
        <v>3396</v>
      </c>
      <c r="I32" s="20" t="s">
        <v>225</v>
      </c>
      <c r="J32" s="21" t="s">
        <v>601</v>
      </c>
      <c r="K32" s="26" t="s">
        <v>127</v>
      </c>
      <c r="L32" s="21" t="s">
        <v>602</v>
      </c>
      <c r="M32" s="26" t="s">
        <v>127</v>
      </c>
      <c r="N32" s="22" t="s">
        <v>132</v>
      </c>
      <c r="O32" s="47" t="s">
        <v>555</v>
      </c>
      <c r="P32" s="26" t="s">
        <v>127</v>
      </c>
      <c r="Q32" s="23" t="s">
        <v>226</v>
      </c>
      <c r="R32" s="23" t="s">
        <v>226</v>
      </c>
      <c r="S32" s="29" t="s">
        <v>227</v>
      </c>
      <c r="T32" s="29">
        <v>2017.3</v>
      </c>
      <c r="U32" s="10" t="s">
        <v>110</v>
      </c>
      <c r="V32" s="10">
        <v>2</v>
      </c>
      <c r="W32" s="24" t="s">
        <v>228</v>
      </c>
      <c r="X32" s="24" t="s">
        <v>111</v>
      </c>
      <c r="Y32" s="136">
        <v>27.264956999999999</v>
      </c>
      <c r="Z32" s="30"/>
      <c r="AA32" s="136">
        <v>27.264956999999999</v>
      </c>
      <c r="AB32" s="24" t="s">
        <v>111</v>
      </c>
      <c r="AC32" s="26" t="s">
        <v>2538</v>
      </c>
      <c r="AD32" s="24" t="s">
        <v>111</v>
      </c>
      <c r="AE32" s="9" t="s">
        <v>3526</v>
      </c>
    </row>
    <row r="33" spans="1:31" s="11" customFormat="1" ht="33.75" hidden="1" x14ac:dyDescent="0.15">
      <c r="A33" s="8">
        <v>31</v>
      </c>
      <c r="B33" s="8" t="s">
        <v>57</v>
      </c>
      <c r="C33" s="26" t="s">
        <v>229</v>
      </c>
      <c r="D33" s="26" t="s">
        <v>127</v>
      </c>
      <c r="E33" s="26" t="s">
        <v>127</v>
      </c>
      <c r="F33" s="29" t="s">
        <v>230</v>
      </c>
      <c r="G33" s="29" t="s">
        <v>231</v>
      </c>
      <c r="H33" s="1" t="s">
        <v>1460</v>
      </c>
      <c r="I33" s="26" t="s">
        <v>127</v>
      </c>
      <c r="J33" s="21" t="s">
        <v>232</v>
      </c>
      <c r="K33" s="26" t="s">
        <v>127</v>
      </c>
      <c r="L33" s="21" t="s">
        <v>557</v>
      </c>
      <c r="M33" s="26" t="s">
        <v>127</v>
      </c>
      <c r="N33" s="21" t="s">
        <v>233</v>
      </c>
      <c r="O33" s="47" t="s">
        <v>1905</v>
      </c>
      <c r="P33" s="26" t="s">
        <v>127</v>
      </c>
      <c r="Q33" s="27" t="s">
        <v>234</v>
      </c>
      <c r="R33" s="27" t="s">
        <v>103</v>
      </c>
      <c r="S33" s="29" t="s">
        <v>227</v>
      </c>
      <c r="T33" s="29" t="s">
        <v>474</v>
      </c>
      <c r="U33" s="10" t="s">
        <v>110</v>
      </c>
      <c r="V33" s="10">
        <v>1</v>
      </c>
      <c r="W33" s="24" t="s">
        <v>228</v>
      </c>
      <c r="X33" s="24" t="s">
        <v>111</v>
      </c>
      <c r="Y33" s="30">
        <v>32</v>
      </c>
      <c r="Z33" s="30"/>
      <c r="AA33" s="30">
        <v>32</v>
      </c>
      <c r="AB33" s="24" t="s">
        <v>111</v>
      </c>
      <c r="AC33" s="26" t="s">
        <v>2538</v>
      </c>
      <c r="AD33" s="24" t="s">
        <v>111</v>
      </c>
      <c r="AE33" s="9"/>
    </row>
    <row r="34" spans="1:31" s="11" customFormat="1" ht="27.95" hidden="1" customHeight="1" x14ac:dyDescent="0.15">
      <c r="A34" s="8">
        <v>32</v>
      </c>
      <c r="B34" s="8" t="s">
        <v>2105</v>
      </c>
      <c r="C34" s="26" t="s">
        <v>235</v>
      </c>
      <c r="D34" s="26" t="s">
        <v>127</v>
      </c>
      <c r="E34" s="26" t="s">
        <v>127</v>
      </c>
      <c r="F34" s="149" t="s">
        <v>236</v>
      </c>
      <c r="G34" s="29" t="s">
        <v>237</v>
      </c>
      <c r="H34" s="1" t="s">
        <v>23</v>
      </c>
      <c r="I34" s="20" t="s">
        <v>188</v>
      </c>
      <c r="J34" s="21" t="s">
        <v>603</v>
      </c>
      <c r="K34" s="26" t="s">
        <v>127</v>
      </c>
      <c r="L34" s="21" t="s">
        <v>238</v>
      </c>
      <c r="M34" s="26" t="s">
        <v>127</v>
      </c>
      <c r="N34" s="21" t="s">
        <v>239</v>
      </c>
      <c r="O34" s="47" t="s">
        <v>654</v>
      </c>
      <c r="P34" s="26" t="s">
        <v>127</v>
      </c>
      <c r="Q34" s="23" t="s">
        <v>201</v>
      </c>
      <c r="R34" s="27" t="s">
        <v>276</v>
      </c>
      <c r="S34" s="29" t="s">
        <v>240</v>
      </c>
      <c r="T34" s="29" t="s">
        <v>475</v>
      </c>
      <c r="U34" s="10" t="s">
        <v>110</v>
      </c>
      <c r="V34" s="10">
        <v>2</v>
      </c>
      <c r="W34" s="24" t="s">
        <v>184</v>
      </c>
      <c r="X34" s="24" t="s">
        <v>185</v>
      </c>
      <c r="Y34" s="30">
        <v>12</v>
      </c>
      <c r="Z34" s="30"/>
      <c r="AA34" s="30">
        <v>12</v>
      </c>
      <c r="AB34" s="24" t="s">
        <v>111</v>
      </c>
      <c r="AC34" s="26" t="s">
        <v>2538</v>
      </c>
      <c r="AD34" s="24" t="s">
        <v>111</v>
      </c>
      <c r="AE34" s="9"/>
    </row>
    <row r="35" spans="1:31" s="11" customFormat="1" ht="45" hidden="1" x14ac:dyDescent="0.15">
      <c r="A35" s="8">
        <v>33</v>
      </c>
      <c r="B35" s="8" t="s">
        <v>58</v>
      </c>
      <c r="C35" s="26" t="s">
        <v>241</v>
      </c>
      <c r="D35" s="26" t="s">
        <v>127</v>
      </c>
      <c r="E35" s="26" t="s">
        <v>127</v>
      </c>
      <c r="F35" s="47" t="s">
        <v>242</v>
      </c>
      <c r="G35" s="29" t="s">
        <v>243</v>
      </c>
      <c r="H35" s="20" t="s">
        <v>3394</v>
      </c>
      <c r="I35" s="1" t="s">
        <v>177</v>
      </c>
      <c r="J35" s="23" t="s">
        <v>604</v>
      </c>
      <c r="K35" s="26" t="s">
        <v>127</v>
      </c>
      <c r="L35" s="23" t="s">
        <v>244</v>
      </c>
      <c r="M35" s="26" t="s">
        <v>127</v>
      </c>
      <c r="N35" s="21" t="s">
        <v>239</v>
      </c>
      <c r="O35" s="70" t="s">
        <v>655</v>
      </c>
      <c r="P35" s="26" t="s">
        <v>127</v>
      </c>
      <c r="Q35" s="23" t="s">
        <v>180</v>
      </c>
      <c r="R35" s="23" t="s">
        <v>180</v>
      </c>
      <c r="S35" s="29" t="s">
        <v>245</v>
      </c>
      <c r="T35" s="29" t="s">
        <v>476</v>
      </c>
      <c r="U35" s="10" t="s">
        <v>110</v>
      </c>
      <c r="V35" s="10">
        <v>1</v>
      </c>
      <c r="W35" s="24" t="s">
        <v>246</v>
      </c>
      <c r="X35" s="24" t="s">
        <v>247</v>
      </c>
      <c r="Y35" s="30">
        <v>75</v>
      </c>
      <c r="Z35" s="30"/>
      <c r="AA35" s="30">
        <v>75</v>
      </c>
      <c r="AB35" s="24" t="s">
        <v>111</v>
      </c>
      <c r="AC35" s="26" t="s">
        <v>2538</v>
      </c>
      <c r="AD35" s="24" t="s">
        <v>111</v>
      </c>
      <c r="AE35" s="9"/>
    </row>
    <row r="36" spans="1:31" s="11" customFormat="1" ht="27.95" hidden="1" customHeight="1" x14ac:dyDescent="0.15">
      <c r="A36" s="8">
        <v>34</v>
      </c>
      <c r="B36" s="8" t="s">
        <v>59</v>
      </c>
      <c r="C36" s="26" t="s">
        <v>127</v>
      </c>
      <c r="D36" s="26" t="s">
        <v>127</v>
      </c>
      <c r="E36" s="26" t="s">
        <v>127</v>
      </c>
      <c r="F36" s="47" t="s">
        <v>248</v>
      </c>
      <c r="G36" s="29" t="s">
        <v>249</v>
      </c>
      <c r="H36" s="1" t="s">
        <v>2115</v>
      </c>
      <c r="I36" s="26" t="s">
        <v>127</v>
      </c>
      <c r="J36" s="1" t="s">
        <v>606</v>
      </c>
      <c r="K36" s="26" t="s">
        <v>127</v>
      </c>
      <c r="L36" s="1" t="s">
        <v>605</v>
      </c>
      <c r="M36" s="26" t="s">
        <v>127</v>
      </c>
      <c r="N36" s="22" t="s">
        <v>45</v>
      </c>
      <c r="O36" s="64" t="s">
        <v>464</v>
      </c>
      <c r="P36" s="26" t="s">
        <v>127</v>
      </c>
      <c r="Q36" s="23" t="s">
        <v>251</v>
      </c>
      <c r="R36" s="23" t="s">
        <v>251</v>
      </c>
      <c r="S36" s="29" t="s">
        <v>245</v>
      </c>
      <c r="T36" s="29" t="s">
        <v>477</v>
      </c>
      <c r="U36" s="10" t="s">
        <v>110</v>
      </c>
      <c r="V36" s="10">
        <v>1</v>
      </c>
      <c r="W36" s="24" t="s">
        <v>252</v>
      </c>
      <c r="X36" s="24" t="s">
        <v>253</v>
      </c>
      <c r="Y36" s="30"/>
      <c r="Z36" s="30">
        <v>24</v>
      </c>
      <c r="AA36" s="30">
        <v>24</v>
      </c>
      <c r="AB36" s="24" t="s">
        <v>111</v>
      </c>
      <c r="AC36" s="26" t="s">
        <v>2538</v>
      </c>
      <c r="AD36" s="24" t="s">
        <v>111</v>
      </c>
      <c r="AE36" s="9"/>
    </row>
    <row r="37" spans="1:31" s="11" customFormat="1" ht="27.95" hidden="1" customHeight="1" x14ac:dyDescent="0.15">
      <c r="A37" s="8">
        <v>35</v>
      </c>
      <c r="B37" s="8" t="s">
        <v>60</v>
      </c>
      <c r="C37" s="26" t="s">
        <v>127</v>
      </c>
      <c r="D37" s="26" t="s">
        <v>127</v>
      </c>
      <c r="E37" s="26" t="s">
        <v>127</v>
      </c>
      <c r="F37" s="29" t="s">
        <v>254</v>
      </c>
      <c r="G37" s="29" t="s">
        <v>255</v>
      </c>
      <c r="H37" s="20" t="s">
        <v>23</v>
      </c>
      <c r="I37" s="20" t="s">
        <v>188</v>
      </c>
      <c r="J37" s="1" t="s">
        <v>607</v>
      </c>
      <c r="K37" s="26" t="s">
        <v>127</v>
      </c>
      <c r="L37" s="1" t="s">
        <v>256</v>
      </c>
      <c r="M37" s="26" t="s">
        <v>127</v>
      </c>
      <c r="N37" s="22" t="s">
        <v>102</v>
      </c>
      <c r="O37" s="47" t="s">
        <v>413</v>
      </c>
      <c r="P37" s="26" t="s">
        <v>127</v>
      </c>
      <c r="Q37" s="23" t="s">
        <v>201</v>
      </c>
      <c r="R37" s="27" t="s">
        <v>276</v>
      </c>
      <c r="S37" s="29" t="s">
        <v>257</v>
      </c>
      <c r="T37" s="29" t="s">
        <v>478</v>
      </c>
      <c r="U37" s="10" t="s">
        <v>110</v>
      </c>
      <c r="V37" s="10">
        <v>1</v>
      </c>
      <c r="W37" s="24" t="s">
        <v>184</v>
      </c>
      <c r="X37" s="24" t="s">
        <v>185</v>
      </c>
      <c r="Y37" s="30"/>
      <c r="Z37" s="30">
        <v>12</v>
      </c>
      <c r="AA37" s="30">
        <v>12</v>
      </c>
      <c r="AB37" s="24" t="s">
        <v>111</v>
      </c>
      <c r="AC37" s="26" t="s">
        <v>2538</v>
      </c>
      <c r="AD37" s="24" t="s">
        <v>111</v>
      </c>
      <c r="AE37" s="9"/>
    </row>
    <row r="38" spans="1:31" s="11" customFormat="1" ht="27.95" hidden="1" customHeight="1" x14ac:dyDescent="0.15">
      <c r="A38" s="8">
        <v>36</v>
      </c>
      <c r="B38" s="8" t="s">
        <v>61</v>
      </c>
      <c r="C38" s="26" t="s">
        <v>127</v>
      </c>
      <c r="D38" s="26" t="s">
        <v>127</v>
      </c>
      <c r="E38" s="26" t="s">
        <v>127</v>
      </c>
      <c r="F38" s="29" t="s">
        <v>258</v>
      </c>
      <c r="G38" s="93" t="s">
        <v>2362</v>
      </c>
      <c r="H38" s="20" t="s">
        <v>3398</v>
      </c>
      <c r="I38" s="20" t="s">
        <v>188</v>
      </c>
      <c r="J38" s="1" t="s">
        <v>259</v>
      </c>
      <c r="K38" s="26" t="s">
        <v>127</v>
      </c>
      <c r="L38" s="1" t="s">
        <v>608</v>
      </c>
      <c r="M38" s="26" t="s">
        <v>127</v>
      </c>
      <c r="N38" s="22" t="s">
        <v>132</v>
      </c>
      <c r="O38" s="47" t="s">
        <v>215</v>
      </c>
      <c r="P38" s="26" t="s">
        <v>127</v>
      </c>
      <c r="Q38" s="23" t="s">
        <v>180</v>
      </c>
      <c r="R38" s="23" t="s">
        <v>180</v>
      </c>
      <c r="S38" s="29" t="s">
        <v>104</v>
      </c>
      <c r="T38" s="29"/>
      <c r="U38" s="10" t="s">
        <v>3417</v>
      </c>
      <c r="V38" s="10">
        <v>0</v>
      </c>
      <c r="W38" s="24" t="s">
        <v>111</v>
      </c>
      <c r="X38" s="24" t="s">
        <v>111</v>
      </c>
      <c r="Y38" s="30">
        <v>0.8</v>
      </c>
      <c r="Z38" s="30"/>
      <c r="AA38" s="30">
        <v>0.8</v>
      </c>
      <c r="AB38" s="24" t="s">
        <v>111</v>
      </c>
      <c r="AC38" s="26" t="s">
        <v>2538</v>
      </c>
      <c r="AD38" s="24" t="s">
        <v>111</v>
      </c>
      <c r="AE38" s="9"/>
    </row>
    <row r="39" spans="1:31" s="11" customFormat="1" ht="27.95" hidden="1" customHeight="1" x14ac:dyDescent="0.15">
      <c r="A39" s="8">
        <v>37</v>
      </c>
      <c r="B39" s="8" t="s">
        <v>260</v>
      </c>
      <c r="C39" s="26" t="s">
        <v>127</v>
      </c>
      <c r="D39" s="26" t="s">
        <v>127</v>
      </c>
      <c r="E39" s="26" t="s">
        <v>127</v>
      </c>
      <c r="F39" s="29" t="s">
        <v>261</v>
      </c>
      <c r="G39" s="29" t="s">
        <v>262</v>
      </c>
      <c r="H39" s="1" t="s">
        <v>1460</v>
      </c>
      <c r="I39" s="20" t="s">
        <v>188</v>
      </c>
      <c r="J39" s="43" t="s">
        <v>263</v>
      </c>
      <c r="K39" s="26" t="s">
        <v>127</v>
      </c>
      <c r="L39" s="21" t="s">
        <v>557</v>
      </c>
      <c r="M39" s="26" t="s">
        <v>127</v>
      </c>
      <c r="N39" s="22" t="s">
        <v>102</v>
      </c>
      <c r="O39" s="47" t="s">
        <v>413</v>
      </c>
      <c r="P39" s="26" t="s">
        <v>127</v>
      </c>
      <c r="Q39" s="23" t="s">
        <v>201</v>
      </c>
      <c r="R39" s="27" t="s">
        <v>2111</v>
      </c>
      <c r="S39" s="29" t="s">
        <v>105</v>
      </c>
      <c r="T39" s="29" t="s">
        <v>479</v>
      </c>
      <c r="U39" s="10" t="s">
        <v>110</v>
      </c>
      <c r="V39" s="10">
        <v>2</v>
      </c>
      <c r="W39" s="24" t="s">
        <v>184</v>
      </c>
      <c r="X39" s="24" t="s">
        <v>185</v>
      </c>
      <c r="Y39" s="30"/>
      <c r="Z39" s="30">
        <v>12</v>
      </c>
      <c r="AA39" s="30">
        <v>12</v>
      </c>
      <c r="AB39" s="24" t="s">
        <v>111</v>
      </c>
      <c r="AC39" s="26" t="s">
        <v>2538</v>
      </c>
      <c r="AD39" s="24" t="s">
        <v>111</v>
      </c>
      <c r="AE39" s="9"/>
    </row>
    <row r="40" spans="1:31" s="11" customFormat="1" ht="27.95" hidden="1" customHeight="1" x14ac:dyDescent="0.15">
      <c r="A40" s="8">
        <v>38</v>
      </c>
      <c r="B40" s="8" t="s">
        <v>62</v>
      </c>
      <c r="C40" s="26" t="s">
        <v>127</v>
      </c>
      <c r="D40" s="26" t="s">
        <v>127</v>
      </c>
      <c r="E40" s="26" t="s">
        <v>127</v>
      </c>
      <c r="F40" s="29" t="s">
        <v>264</v>
      </c>
      <c r="G40" s="29" t="s">
        <v>265</v>
      </c>
      <c r="H40" s="20" t="s">
        <v>1489</v>
      </c>
      <c r="I40" s="20" t="s">
        <v>151</v>
      </c>
      <c r="J40" s="21" t="s">
        <v>266</v>
      </c>
      <c r="K40" s="26" t="s">
        <v>127</v>
      </c>
      <c r="L40" s="21" t="s">
        <v>557</v>
      </c>
      <c r="M40" s="26" t="s">
        <v>127</v>
      </c>
      <c r="N40" s="22" t="s">
        <v>102</v>
      </c>
      <c r="O40" s="47" t="s">
        <v>413</v>
      </c>
      <c r="P40" s="26" t="s">
        <v>127</v>
      </c>
      <c r="Q40" s="23" t="s">
        <v>160</v>
      </c>
      <c r="R40" s="23" t="s">
        <v>160</v>
      </c>
      <c r="S40" s="29" t="s">
        <v>267</v>
      </c>
      <c r="T40" s="29" t="s">
        <v>480</v>
      </c>
      <c r="U40" s="10" t="s">
        <v>110</v>
      </c>
      <c r="V40" s="10">
        <v>1</v>
      </c>
      <c r="W40" s="24" t="s">
        <v>147</v>
      </c>
      <c r="X40" s="24" t="s">
        <v>148</v>
      </c>
      <c r="Y40" s="30"/>
      <c r="Z40" s="30">
        <v>9.8000000000000007</v>
      </c>
      <c r="AA40" s="30">
        <v>9.8000000000000007</v>
      </c>
      <c r="AB40" s="24" t="s">
        <v>111</v>
      </c>
      <c r="AC40" s="26" t="s">
        <v>2538</v>
      </c>
      <c r="AD40" s="24" t="s">
        <v>111</v>
      </c>
      <c r="AE40" s="9"/>
    </row>
    <row r="41" spans="1:31" s="11" customFormat="1" ht="27.95" hidden="1" customHeight="1" x14ac:dyDescent="0.15">
      <c r="A41" s="8">
        <v>39</v>
      </c>
      <c r="B41" s="8" t="s">
        <v>63</v>
      </c>
      <c r="C41" s="26" t="s">
        <v>127</v>
      </c>
      <c r="D41" s="26" t="s">
        <v>127</v>
      </c>
      <c r="E41" s="26" t="s">
        <v>127</v>
      </c>
      <c r="F41" s="29" t="s">
        <v>268</v>
      </c>
      <c r="G41" s="29" t="s">
        <v>269</v>
      </c>
      <c r="H41" s="1" t="s">
        <v>3396</v>
      </c>
      <c r="I41" s="20" t="s">
        <v>270</v>
      </c>
      <c r="J41" s="21" t="s">
        <v>610</v>
      </c>
      <c r="K41" s="26" t="s">
        <v>127</v>
      </c>
      <c r="L41" s="21" t="s">
        <v>609</v>
      </c>
      <c r="M41" s="26" t="s">
        <v>127</v>
      </c>
      <c r="N41" s="22" t="s">
        <v>102</v>
      </c>
      <c r="O41" s="47" t="s">
        <v>413</v>
      </c>
      <c r="P41" s="26" t="s">
        <v>127</v>
      </c>
      <c r="Q41" s="21" t="s">
        <v>271</v>
      </c>
      <c r="R41" s="21" t="s">
        <v>271</v>
      </c>
      <c r="S41" s="29" t="s">
        <v>272</v>
      </c>
      <c r="T41" s="29">
        <v>2017</v>
      </c>
      <c r="U41" s="10" t="s">
        <v>110</v>
      </c>
      <c r="V41" s="10">
        <v>1</v>
      </c>
      <c r="W41" s="24" t="s">
        <v>147</v>
      </c>
      <c r="X41" s="24" t="s">
        <v>148</v>
      </c>
      <c r="Y41" s="30"/>
      <c r="Z41" s="30">
        <v>7</v>
      </c>
      <c r="AA41" s="30">
        <v>7</v>
      </c>
      <c r="AB41" s="24" t="s">
        <v>111</v>
      </c>
      <c r="AC41" s="26" t="s">
        <v>2538</v>
      </c>
      <c r="AD41" s="24" t="s">
        <v>111</v>
      </c>
      <c r="AE41" s="9"/>
    </row>
    <row r="42" spans="1:31" s="11" customFormat="1" ht="27.95" hidden="1" customHeight="1" x14ac:dyDescent="0.15">
      <c r="A42" s="8">
        <v>40</v>
      </c>
      <c r="B42" s="8" t="s">
        <v>64</v>
      </c>
      <c r="C42" s="26" t="s">
        <v>273</v>
      </c>
      <c r="D42" s="26" t="s">
        <v>127</v>
      </c>
      <c r="E42" s="26" t="s">
        <v>127</v>
      </c>
      <c r="F42" s="157" t="s">
        <v>274</v>
      </c>
      <c r="G42" s="65" t="s">
        <v>3568</v>
      </c>
      <c r="H42" s="20" t="s">
        <v>23</v>
      </c>
      <c r="I42" s="26" t="s">
        <v>127</v>
      </c>
      <c r="J42" s="20" t="s">
        <v>275</v>
      </c>
      <c r="K42" s="26" t="s">
        <v>127</v>
      </c>
      <c r="L42" s="21" t="s">
        <v>3569</v>
      </c>
      <c r="M42" s="26" t="s">
        <v>127</v>
      </c>
      <c r="N42" s="22" t="s">
        <v>152</v>
      </c>
      <c r="O42" s="47" t="s">
        <v>637</v>
      </c>
      <c r="P42" s="26" t="s">
        <v>127</v>
      </c>
      <c r="Q42" s="21" t="s">
        <v>276</v>
      </c>
      <c r="R42" s="21" t="s">
        <v>276</v>
      </c>
      <c r="S42" s="29" t="s">
        <v>272</v>
      </c>
      <c r="T42" s="29"/>
      <c r="U42" s="10" t="s">
        <v>110</v>
      </c>
      <c r="V42" s="10">
        <v>1</v>
      </c>
      <c r="W42" s="24" t="s">
        <v>111</v>
      </c>
      <c r="X42" s="24" t="s">
        <v>111</v>
      </c>
      <c r="Y42" s="30">
        <v>16</v>
      </c>
      <c r="Z42" s="30"/>
      <c r="AA42" s="30">
        <v>16</v>
      </c>
      <c r="AB42" s="24" t="s">
        <v>111</v>
      </c>
      <c r="AC42" s="26" t="s">
        <v>2538</v>
      </c>
      <c r="AD42" s="24" t="s">
        <v>111</v>
      </c>
      <c r="AE42" s="9"/>
    </row>
    <row r="43" spans="1:31" s="11" customFormat="1" ht="27.95" hidden="1" customHeight="1" x14ac:dyDescent="0.15">
      <c r="A43" s="8">
        <v>41</v>
      </c>
      <c r="B43" s="8" t="s">
        <v>65</v>
      </c>
      <c r="C43" s="26" t="s">
        <v>277</v>
      </c>
      <c r="D43" s="26" t="s">
        <v>127</v>
      </c>
      <c r="E43" s="26" t="s">
        <v>127</v>
      </c>
      <c r="F43" s="158" t="s">
        <v>278</v>
      </c>
      <c r="G43" s="29" t="s">
        <v>279</v>
      </c>
      <c r="H43" s="20" t="s">
        <v>23</v>
      </c>
      <c r="I43" s="20" t="s">
        <v>280</v>
      </c>
      <c r="J43" s="20" t="s">
        <v>281</v>
      </c>
      <c r="K43" s="26" t="s">
        <v>127</v>
      </c>
      <c r="L43" s="21" t="s">
        <v>619</v>
      </c>
      <c r="M43" s="26" t="s">
        <v>127</v>
      </c>
      <c r="N43" s="22" t="s">
        <v>152</v>
      </c>
      <c r="O43" s="47" t="s">
        <v>637</v>
      </c>
      <c r="P43" s="26" t="s">
        <v>127</v>
      </c>
      <c r="Q43" s="21" t="s">
        <v>276</v>
      </c>
      <c r="R43" s="21" t="s">
        <v>276</v>
      </c>
      <c r="S43" s="29" t="s">
        <v>282</v>
      </c>
      <c r="T43" s="29">
        <v>2017.5</v>
      </c>
      <c r="U43" s="10" t="s">
        <v>110</v>
      </c>
      <c r="V43" s="10">
        <v>2</v>
      </c>
      <c r="W43" s="24" t="s">
        <v>111</v>
      </c>
      <c r="X43" s="24" t="s">
        <v>111</v>
      </c>
      <c r="Y43" s="30">
        <v>20</v>
      </c>
      <c r="Z43" s="30"/>
      <c r="AA43" s="30">
        <v>20</v>
      </c>
      <c r="AB43" s="24" t="s">
        <v>111</v>
      </c>
      <c r="AC43" s="26" t="s">
        <v>2538</v>
      </c>
      <c r="AD43" s="24" t="s">
        <v>111</v>
      </c>
      <c r="AE43" s="9"/>
    </row>
    <row r="44" spans="1:31" s="11" customFormat="1" ht="27.95" hidden="1" customHeight="1" x14ac:dyDescent="0.15">
      <c r="A44" s="8">
        <v>42</v>
      </c>
      <c r="B44" s="8" t="s">
        <v>283</v>
      </c>
      <c r="C44" s="26" t="s">
        <v>284</v>
      </c>
      <c r="D44" s="26" t="s">
        <v>127</v>
      </c>
      <c r="E44" s="26" t="s">
        <v>127</v>
      </c>
      <c r="F44" s="158" t="s">
        <v>248</v>
      </c>
      <c r="G44" s="65" t="s">
        <v>285</v>
      </c>
      <c r="H44" s="1" t="s">
        <v>2115</v>
      </c>
      <c r="I44" s="26" t="s">
        <v>127</v>
      </c>
      <c r="J44" s="20" t="s">
        <v>250</v>
      </c>
      <c r="K44" s="26" t="s">
        <v>127</v>
      </c>
      <c r="L44" s="21" t="s">
        <v>557</v>
      </c>
      <c r="M44" s="26" t="s">
        <v>127</v>
      </c>
      <c r="N44" s="21" t="s">
        <v>138</v>
      </c>
      <c r="O44" s="29" t="s">
        <v>638</v>
      </c>
      <c r="P44" s="26" t="s">
        <v>127</v>
      </c>
      <c r="Q44" s="21" t="s">
        <v>287</v>
      </c>
      <c r="R44" s="21" t="s">
        <v>287</v>
      </c>
      <c r="S44" s="29" t="s">
        <v>106</v>
      </c>
      <c r="T44" s="29">
        <v>2017.3</v>
      </c>
      <c r="U44" s="10" t="s">
        <v>110</v>
      </c>
      <c r="V44" s="10">
        <v>1</v>
      </c>
      <c r="W44" s="24" t="s">
        <v>111</v>
      </c>
      <c r="X44" s="24" t="s">
        <v>111</v>
      </c>
      <c r="Y44" s="30">
        <v>5</v>
      </c>
      <c r="Z44" s="30"/>
      <c r="AA44" s="30">
        <v>5</v>
      </c>
      <c r="AB44" s="24" t="s">
        <v>111</v>
      </c>
      <c r="AC44" s="26" t="s">
        <v>2538</v>
      </c>
      <c r="AD44" s="24" t="s">
        <v>111</v>
      </c>
      <c r="AE44" s="9"/>
    </row>
    <row r="45" spans="1:31" s="11" customFormat="1" ht="27.95" hidden="1" customHeight="1" x14ac:dyDescent="0.15">
      <c r="A45" s="8">
        <v>43</v>
      </c>
      <c r="B45" s="8" t="s">
        <v>66</v>
      </c>
      <c r="C45" s="26" t="s">
        <v>127</v>
      </c>
      <c r="D45" s="26" t="s">
        <v>127</v>
      </c>
      <c r="E45" s="26" t="s">
        <v>127</v>
      </c>
      <c r="F45" s="29" t="s">
        <v>288</v>
      </c>
      <c r="G45" s="29" t="s">
        <v>289</v>
      </c>
      <c r="H45" s="20" t="s">
        <v>3196</v>
      </c>
      <c r="I45" s="20" t="s">
        <v>157</v>
      </c>
      <c r="J45" s="21" t="s">
        <v>290</v>
      </c>
      <c r="K45" s="26" t="s">
        <v>127</v>
      </c>
      <c r="L45" s="21" t="s">
        <v>557</v>
      </c>
      <c r="M45" s="26" t="s">
        <v>127</v>
      </c>
      <c r="N45" s="21" t="s">
        <v>291</v>
      </c>
      <c r="O45" s="47" t="s">
        <v>639</v>
      </c>
      <c r="P45" s="26" t="s">
        <v>127</v>
      </c>
      <c r="Q45" s="21" t="s">
        <v>271</v>
      </c>
      <c r="R45" s="21" t="s">
        <v>271</v>
      </c>
      <c r="S45" s="29" t="s">
        <v>292</v>
      </c>
      <c r="T45" s="29">
        <v>2017.5</v>
      </c>
      <c r="U45" s="10" t="s">
        <v>110</v>
      </c>
      <c r="V45" s="10">
        <v>1</v>
      </c>
      <c r="W45" s="24" t="s">
        <v>111</v>
      </c>
      <c r="X45" s="24" t="s">
        <v>111</v>
      </c>
      <c r="Y45" s="30">
        <v>12.5</v>
      </c>
      <c r="Z45" s="30"/>
      <c r="AA45" s="30">
        <v>12.5</v>
      </c>
      <c r="AB45" s="24" t="s">
        <v>111</v>
      </c>
      <c r="AC45" s="26" t="s">
        <v>2538</v>
      </c>
      <c r="AD45" s="24" t="s">
        <v>111</v>
      </c>
      <c r="AE45" s="9"/>
    </row>
    <row r="46" spans="1:31" s="11" customFormat="1" ht="27.95" hidden="1" customHeight="1" x14ac:dyDescent="0.15">
      <c r="A46" s="8">
        <v>44</v>
      </c>
      <c r="B46" s="8" t="s">
        <v>68</v>
      </c>
      <c r="C46" s="26" t="s">
        <v>69</v>
      </c>
      <c r="D46" s="26" t="s">
        <v>127</v>
      </c>
      <c r="E46" s="26" t="s">
        <v>127</v>
      </c>
      <c r="F46" s="47" t="s">
        <v>293</v>
      </c>
      <c r="G46" s="29" t="s">
        <v>294</v>
      </c>
      <c r="H46" s="1" t="s">
        <v>1436</v>
      </c>
      <c r="I46" s="26" t="s">
        <v>1113</v>
      </c>
      <c r="J46" s="1" t="s">
        <v>612</v>
      </c>
      <c r="K46" s="26" t="s">
        <v>127</v>
      </c>
      <c r="L46" s="1" t="s">
        <v>611</v>
      </c>
      <c r="M46" s="26" t="s">
        <v>127</v>
      </c>
      <c r="N46" s="22" t="s">
        <v>132</v>
      </c>
      <c r="O46" s="65" t="s">
        <v>463</v>
      </c>
      <c r="P46" s="26" t="s">
        <v>127</v>
      </c>
      <c r="Q46" s="21" t="s">
        <v>271</v>
      </c>
      <c r="R46" s="21" t="s">
        <v>271</v>
      </c>
      <c r="S46" s="29" t="s">
        <v>292</v>
      </c>
      <c r="T46" s="29">
        <v>2017.5</v>
      </c>
      <c r="U46" s="10" t="s">
        <v>110</v>
      </c>
      <c r="V46" s="10">
        <v>1</v>
      </c>
      <c r="W46" s="24" t="s">
        <v>111</v>
      </c>
      <c r="X46" s="24" t="s">
        <v>111</v>
      </c>
      <c r="Y46" s="30">
        <v>20</v>
      </c>
      <c r="Z46" s="30"/>
      <c r="AA46" s="30">
        <v>20</v>
      </c>
      <c r="AB46" s="24" t="s">
        <v>111</v>
      </c>
      <c r="AC46" s="26" t="s">
        <v>2538</v>
      </c>
      <c r="AD46" s="24" t="s">
        <v>111</v>
      </c>
      <c r="AE46" s="9"/>
    </row>
    <row r="47" spans="1:31" s="11" customFormat="1" ht="27.95" hidden="1" customHeight="1" x14ac:dyDescent="0.15">
      <c r="A47" s="8">
        <v>45</v>
      </c>
      <c r="B47" s="8" t="s">
        <v>70</v>
      </c>
      <c r="C47" s="126" t="s">
        <v>295</v>
      </c>
      <c r="D47" s="26" t="s">
        <v>127</v>
      </c>
      <c r="E47" s="8" t="s">
        <v>4268</v>
      </c>
      <c r="F47" s="47" t="s">
        <v>296</v>
      </c>
      <c r="G47" s="29" t="s">
        <v>297</v>
      </c>
      <c r="H47" s="1" t="s">
        <v>2114</v>
      </c>
      <c r="I47" s="20" t="s">
        <v>298</v>
      </c>
      <c r="J47" s="1" t="s">
        <v>299</v>
      </c>
      <c r="K47" s="26" t="s">
        <v>127</v>
      </c>
      <c r="L47" s="1" t="s">
        <v>557</v>
      </c>
      <c r="M47" s="26" t="s">
        <v>127</v>
      </c>
      <c r="N47" s="22" t="s">
        <v>132</v>
      </c>
      <c r="O47" s="65" t="s">
        <v>656</v>
      </c>
      <c r="P47" s="26" t="s">
        <v>127</v>
      </c>
      <c r="Q47" s="21" t="s">
        <v>300</v>
      </c>
      <c r="R47" s="21" t="s">
        <v>300</v>
      </c>
      <c r="S47" s="29" t="s">
        <v>301</v>
      </c>
      <c r="T47" s="29">
        <v>2017.5</v>
      </c>
      <c r="U47" s="10" t="s">
        <v>110</v>
      </c>
      <c r="V47" s="10">
        <v>2</v>
      </c>
      <c r="W47" s="24" t="s">
        <v>302</v>
      </c>
      <c r="X47" s="24" t="s">
        <v>111</v>
      </c>
      <c r="Y47" s="30">
        <v>57</v>
      </c>
      <c r="Z47" s="30"/>
      <c r="AA47" s="30">
        <v>57</v>
      </c>
      <c r="AB47" s="39" t="s">
        <v>3399</v>
      </c>
      <c r="AC47" s="26" t="s">
        <v>2538</v>
      </c>
      <c r="AD47" s="24" t="s">
        <v>111</v>
      </c>
      <c r="AE47" s="9"/>
    </row>
    <row r="48" spans="1:31" s="11" customFormat="1" ht="27.95" hidden="1" customHeight="1" x14ac:dyDescent="0.15">
      <c r="A48" s="8">
        <v>46</v>
      </c>
      <c r="B48" s="8" t="s">
        <v>71</v>
      </c>
      <c r="C48" s="126" t="s">
        <v>303</v>
      </c>
      <c r="D48" s="26" t="s">
        <v>127</v>
      </c>
      <c r="E48" s="26" t="s">
        <v>127</v>
      </c>
      <c r="F48" s="47" t="s">
        <v>304</v>
      </c>
      <c r="G48" s="29" t="s">
        <v>305</v>
      </c>
      <c r="H48" s="20" t="s">
        <v>23</v>
      </c>
      <c r="I48" s="20" t="s">
        <v>298</v>
      </c>
      <c r="J48" s="1" t="s">
        <v>306</v>
      </c>
      <c r="K48" s="26" t="s">
        <v>127</v>
      </c>
      <c r="L48" s="1" t="s">
        <v>2528</v>
      </c>
      <c r="M48" s="26" t="s">
        <v>127</v>
      </c>
      <c r="N48" s="1" t="s">
        <v>152</v>
      </c>
      <c r="O48" s="47" t="s">
        <v>635</v>
      </c>
      <c r="P48" s="26" t="s">
        <v>127</v>
      </c>
      <c r="Q48" s="21" t="s">
        <v>276</v>
      </c>
      <c r="R48" s="21" t="s">
        <v>276</v>
      </c>
      <c r="S48" s="29" t="s">
        <v>307</v>
      </c>
      <c r="T48" s="29" t="s">
        <v>481</v>
      </c>
      <c r="U48" s="10" t="s">
        <v>308</v>
      </c>
      <c r="V48" s="10">
        <v>1</v>
      </c>
      <c r="W48" s="24" t="s">
        <v>111</v>
      </c>
      <c r="X48" s="24" t="s">
        <v>111</v>
      </c>
      <c r="Y48" s="30">
        <v>32</v>
      </c>
      <c r="Z48" s="30"/>
      <c r="AA48" s="30">
        <v>32</v>
      </c>
      <c r="AB48" s="24" t="s">
        <v>111</v>
      </c>
      <c r="AC48" s="26" t="s">
        <v>2538</v>
      </c>
      <c r="AD48" s="24" t="s">
        <v>111</v>
      </c>
      <c r="AE48" s="9"/>
    </row>
    <row r="49" spans="1:31" s="11" customFormat="1" ht="27.95" hidden="1" customHeight="1" x14ac:dyDescent="0.15">
      <c r="A49" s="8">
        <v>47</v>
      </c>
      <c r="B49" s="8" t="s">
        <v>72</v>
      </c>
      <c r="C49" s="126" t="s">
        <v>303</v>
      </c>
      <c r="D49" s="26" t="s">
        <v>127</v>
      </c>
      <c r="E49" s="8" t="s">
        <v>3575</v>
      </c>
      <c r="F49" s="47" t="s">
        <v>304</v>
      </c>
      <c r="G49" s="29" t="s">
        <v>305</v>
      </c>
      <c r="H49" s="20" t="s">
        <v>23</v>
      </c>
      <c r="I49" s="20" t="s">
        <v>298</v>
      </c>
      <c r="J49" s="1" t="s">
        <v>306</v>
      </c>
      <c r="K49" s="26" t="s">
        <v>127</v>
      </c>
      <c r="L49" s="1" t="s">
        <v>2528</v>
      </c>
      <c r="M49" s="26" t="s">
        <v>127</v>
      </c>
      <c r="N49" s="1" t="s">
        <v>286</v>
      </c>
      <c r="O49" s="65" t="s">
        <v>657</v>
      </c>
      <c r="P49" s="26" t="s">
        <v>127</v>
      </c>
      <c r="Q49" s="21" t="s">
        <v>276</v>
      </c>
      <c r="R49" s="21" t="s">
        <v>276</v>
      </c>
      <c r="S49" s="29" t="s">
        <v>309</v>
      </c>
      <c r="T49" s="29" t="s">
        <v>482</v>
      </c>
      <c r="U49" s="10" t="s">
        <v>308</v>
      </c>
      <c r="V49" s="10">
        <v>1</v>
      </c>
      <c r="W49" s="24" t="s">
        <v>111</v>
      </c>
      <c r="X49" s="24" t="s">
        <v>111</v>
      </c>
      <c r="Y49" s="30">
        <v>18.2</v>
      </c>
      <c r="Z49" s="30"/>
      <c r="AA49" s="30">
        <v>18.2</v>
      </c>
      <c r="AB49" s="24" t="s">
        <v>111</v>
      </c>
      <c r="AC49" s="26" t="s">
        <v>2538</v>
      </c>
      <c r="AD49" s="24" t="s">
        <v>111</v>
      </c>
      <c r="AE49" s="9"/>
    </row>
    <row r="50" spans="1:31" s="11" customFormat="1" ht="27.95" hidden="1" customHeight="1" x14ac:dyDescent="0.15">
      <c r="A50" s="8">
        <v>48</v>
      </c>
      <c r="B50" s="8" t="s">
        <v>73</v>
      </c>
      <c r="C50" s="126" t="s">
        <v>310</v>
      </c>
      <c r="D50" s="26" t="s">
        <v>127</v>
      </c>
      <c r="E50" s="26" t="s">
        <v>127</v>
      </c>
      <c r="F50" s="56" t="s">
        <v>143</v>
      </c>
      <c r="G50" s="29" t="s">
        <v>311</v>
      </c>
      <c r="H50" s="142" t="s">
        <v>23</v>
      </c>
      <c r="I50" s="26" t="s">
        <v>1119</v>
      </c>
      <c r="J50" s="44" t="s">
        <v>145</v>
      </c>
      <c r="K50" s="26" t="s">
        <v>127</v>
      </c>
      <c r="L50" s="1" t="s">
        <v>557</v>
      </c>
      <c r="M50" s="26" t="s">
        <v>127</v>
      </c>
      <c r="N50" s="1" t="s">
        <v>138</v>
      </c>
      <c r="O50" s="65" t="s">
        <v>515</v>
      </c>
      <c r="P50" s="26" t="s">
        <v>127</v>
      </c>
      <c r="Q50" s="21" t="s">
        <v>133</v>
      </c>
      <c r="R50" s="21" t="s">
        <v>276</v>
      </c>
      <c r="S50" s="29" t="s">
        <v>309</v>
      </c>
      <c r="T50" s="29">
        <v>2017.5</v>
      </c>
      <c r="U50" s="10" t="s">
        <v>312</v>
      </c>
      <c r="V50" s="10">
        <v>1</v>
      </c>
      <c r="W50" s="24" t="s">
        <v>111</v>
      </c>
      <c r="X50" s="24" t="s">
        <v>111</v>
      </c>
      <c r="Y50" s="30">
        <v>10</v>
      </c>
      <c r="Z50" s="30"/>
      <c r="AA50" s="30">
        <v>10</v>
      </c>
      <c r="AB50" s="24" t="s">
        <v>111</v>
      </c>
      <c r="AC50" s="26" t="s">
        <v>2538</v>
      </c>
      <c r="AD50" s="24" t="s">
        <v>111</v>
      </c>
      <c r="AE50" s="9"/>
    </row>
    <row r="51" spans="1:31" s="11" customFormat="1" ht="27.95" customHeight="1" x14ac:dyDescent="0.15">
      <c r="A51" s="8">
        <v>49</v>
      </c>
      <c r="B51" s="8" t="s">
        <v>1824</v>
      </c>
      <c r="C51" s="26" t="s">
        <v>127</v>
      </c>
      <c r="D51" s="26" t="s">
        <v>1823</v>
      </c>
      <c r="E51" s="26" t="s">
        <v>127</v>
      </c>
      <c r="F51" s="56" t="s">
        <v>313</v>
      </c>
      <c r="G51" s="93" t="s">
        <v>2362</v>
      </c>
      <c r="H51" s="20" t="s">
        <v>3398</v>
      </c>
      <c r="I51" s="26" t="s">
        <v>177</v>
      </c>
      <c r="J51" s="21" t="s">
        <v>314</v>
      </c>
      <c r="K51" s="26" t="s">
        <v>127</v>
      </c>
      <c r="L51" s="21" t="s">
        <v>613</v>
      </c>
      <c r="M51" s="26" t="s">
        <v>127</v>
      </c>
      <c r="N51" s="21" t="s">
        <v>286</v>
      </c>
      <c r="O51" s="47" t="s">
        <v>315</v>
      </c>
      <c r="P51" s="26" t="s">
        <v>127</v>
      </c>
      <c r="Q51" s="21" t="s">
        <v>316</v>
      </c>
      <c r="R51" s="21" t="s">
        <v>316</v>
      </c>
      <c r="S51" s="29" t="s">
        <v>317</v>
      </c>
      <c r="T51" s="29"/>
      <c r="U51" s="10" t="s">
        <v>3417</v>
      </c>
      <c r="V51" s="10">
        <v>0</v>
      </c>
      <c r="W51" s="24" t="s">
        <v>111</v>
      </c>
      <c r="X51" s="24" t="s">
        <v>111</v>
      </c>
      <c r="Y51" s="30">
        <v>0.9</v>
      </c>
      <c r="Z51" s="30"/>
      <c r="AA51" s="30">
        <v>0.9</v>
      </c>
      <c r="AB51" s="24" t="s">
        <v>111</v>
      </c>
      <c r="AC51" s="26" t="s">
        <v>2538</v>
      </c>
      <c r="AD51" s="24" t="s">
        <v>111</v>
      </c>
      <c r="AE51" s="9"/>
    </row>
    <row r="52" spans="1:31" s="11" customFormat="1" ht="27.95" hidden="1" customHeight="1" x14ac:dyDescent="0.15">
      <c r="A52" s="8">
        <v>50</v>
      </c>
      <c r="B52" s="8" t="s">
        <v>74</v>
      </c>
      <c r="C52" s="26" t="s">
        <v>318</v>
      </c>
      <c r="D52" s="26" t="s">
        <v>127</v>
      </c>
      <c r="E52" s="26" t="s">
        <v>127</v>
      </c>
      <c r="F52" s="29" t="s">
        <v>319</v>
      </c>
      <c r="G52" s="29" t="s">
        <v>320</v>
      </c>
      <c r="H52" s="20" t="s">
        <v>3394</v>
      </c>
      <c r="I52" s="20" t="s">
        <v>177</v>
      </c>
      <c r="J52" s="61" t="s">
        <v>614</v>
      </c>
      <c r="K52" s="26" t="s">
        <v>127</v>
      </c>
      <c r="L52" s="1" t="s">
        <v>557</v>
      </c>
      <c r="M52" s="26" t="s">
        <v>127</v>
      </c>
      <c r="N52" s="61" t="s">
        <v>286</v>
      </c>
      <c r="O52" s="58" t="s">
        <v>1906</v>
      </c>
      <c r="P52" s="26" t="s">
        <v>127</v>
      </c>
      <c r="Q52" s="21" t="s">
        <v>316</v>
      </c>
      <c r="R52" s="21" t="s">
        <v>316</v>
      </c>
      <c r="S52" s="29" t="s">
        <v>107</v>
      </c>
      <c r="T52" s="29">
        <v>2017.5</v>
      </c>
      <c r="U52" s="10" t="s">
        <v>308</v>
      </c>
      <c r="V52" s="10">
        <v>1</v>
      </c>
      <c r="W52" s="24" t="s">
        <v>321</v>
      </c>
      <c r="X52" s="24" t="s">
        <v>322</v>
      </c>
      <c r="Y52" s="30">
        <v>7.5</v>
      </c>
      <c r="Z52" s="30"/>
      <c r="AA52" s="30">
        <v>7.5</v>
      </c>
      <c r="AB52" s="24" t="s">
        <v>111</v>
      </c>
      <c r="AC52" s="26" t="s">
        <v>2538</v>
      </c>
      <c r="AD52" s="24" t="s">
        <v>111</v>
      </c>
      <c r="AE52" s="9" t="s">
        <v>4146</v>
      </c>
    </row>
    <row r="53" spans="1:31" s="11" customFormat="1" ht="27.95" hidden="1" customHeight="1" x14ac:dyDescent="0.15">
      <c r="A53" s="8">
        <v>51</v>
      </c>
      <c r="B53" s="8" t="s">
        <v>75</v>
      </c>
      <c r="C53" s="126" t="s">
        <v>76</v>
      </c>
      <c r="D53" s="26" t="s">
        <v>127</v>
      </c>
      <c r="E53" s="26" t="s">
        <v>127</v>
      </c>
      <c r="F53" s="29" t="s">
        <v>323</v>
      </c>
      <c r="G53" s="29" t="s">
        <v>324</v>
      </c>
      <c r="H53" s="20" t="s">
        <v>23</v>
      </c>
      <c r="I53" s="20" t="s">
        <v>210</v>
      </c>
      <c r="J53" s="21" t="s">
        <v>325</v>
      </c>
      <c r="K53" s="26" t="s">
        <v>127</v>
      </c>
      <c r="L53" s="1" t="s">
        <v>557</v>
      </c>
      <c r="M53" s="26" t="s">
        <v>127</v>
      </c>
      <c r="N53" s="61" t="s">
        <v>286</v>
      </c>
      <c r="O53" s="47" t="s">
        <v>658</v>
      </c>
      <c r="P53" s="26" t="s">
        <v>127</v>
      </c>
      <c r="Q53" s="21" t="s">
        <v>133</v>
      </c>
      <c r="R53" s="21" t="s">
        <v>276</v>
      </c>
      <c r="S53" s="29" t="s">
        <v>107</v>
      </c>
      <c r="T53" s="29">
        <v>2017.5</v>
      </c>
      <c r="U53" s="10" t="s">
        <v>110</v>
      </c>
      <c r="V53" s="10">
        <v>1</v>
      </c>
      <c r="W53" s="24" t="s">
        <v>326</v>
      </c>
      <c r="X53" s="24" t="s">
        <v>111</v>
      </c>
      <c r="Y53" s="30">
        <v>35</v>
      </c>
      <c r="Z53" s="30"/>
      <c r="AA53" s="30">
        <v>35</v>
      </c>
      <c r="AB53" s="24" t="s">
        <v>111</v>
      </c>
      <c r="AC53" s="26" t="s">
        <v>2538</v>
      </c>
      <c r="AD53" s="24" t="s">
        <v>111</v>
      </c>
      <c r="AE53" s="9"/>
    </row>
    <row r="54" spans="1:31" s="11" customFormat="1" ht="27.95" hidden="1" customHeight="1" x14ac:dyDescent="0.15">
      <c r="A54" s="8">
        <v>52</v>
      </c>
      <c r="B54" s="8" t="s">
        <v>77</v>
      </c>
      <c r="C54" s="126" t="s">
        <v>76</v>
      </c>
      <c r="D54" s="26" t="s">
        <v>127</v>
      </c>
      <c r="E54" s="26" t="s">
        <v>127</v>
      </c>
      <c r="F54" s="29" t="s">
        <v>323</v>
      </c>
      <c r="G54" s="29" t="s">
        <v>327</v>
      </c>
      <c r="H54" s="20" t="s">
        <v>23</v>
      </c>
      <c r="I54" s="20" t="s">
        <v>210</v>
      </c>
      <c r="J54" s="21" t="s">
        <v>325</v>
      </c>
      <c r="K54" s="26" t="s">
        <v>127</v>
      </c>
      <c r="L54" s="1" t="s">
        <v>557</v>
      </c>
      <c r="M54" s="26" t="s">
        <v>127</v>
      </c>
      <c r="N54" s="21" t="s">
        <v>328</v>
      </c>
      <c r="O54" s="47" t="s">
        <v>636</v>
      </c>
      <c r="P54" s="26" t="s">
        <v>127</v>
      </c>
      <c r="Q54" s="21" t="s">
        <v>133</v>
      </c>
      <c r="R54" s="21" t="s">
        <v>276</v>
      </c>
      <c r="S54" s="29" t="s">
        <v>107</v>
      </c>
      <c r="T54" s="29">
        <v>2017.6</v>
      </c>
      <c r="U54" s="10" t="s">
        <v>110</v>
      </c>
      <c r="V54" s="10">
        <v>1</v>
      </c>
      <c r="W54" s="24" t="s">
        <v>111</v>
      </c>
      <c r="X54" s="24" t="s">
        <v>111</v>
      </c>
      <c r="Y54" s="30">
        <v>45</v>
      </c>
      <c r="Z54" s="30"/>
      <c r="AA54" s="30">
        <v>45</v>
      </c>
      <c r="AB54" s="24" t="s">
        <v>111</v>
      </c>
      <c r="AC54" s="26" t="s">
        <v>2538</v>
      </c>
      <c r="AD54" s="24" t="s">
        <v>111</v>
      </c>
      <c r="AE54" s="9"/>
    </row>
    <row r="55" spans="1:31" s="11" customFormat="1" ht="27.95" hidden="1" customHeight="1" x14ac:dyDescent="0.15">
      <c r="A55" s="8">
        <v>53</v>
      </c>
      <c r="B55" s="8" t="s">
        <v>78</v>
      </c>
      <c r="C55" s="126" t="s">
        <v>76</v>
      </c>
      <c r="D55" s="26" t="s">
        <v>127</v>
      </c>
      <c r="E55" s="26" t="s">
        <v>127</v>
      </c>
      <c r="F55" s="29" t="s">
        <v>323</v>
      </c>
      <c r="G55" s="29" t="s">
        <v>329</v>
      </c>
      <c r="H55" s="20" t="s">
        <v>23</v>
      </c>
      <c r="I55" s="20" t="s">
        <v>210</v>
      </c>
      <c r="J55" s="21" t="s">
        <v>325</v>
      </c>
      <c r="K55" s="26" t="s">
        <v>127</v>
      </c>
      <c r="L55" s="1" t="s">
        <v>557</v>
      </c>
      <c r="M55" s="26" t="s">
        <v>127</v>
      </c>
      <c r="N55" s="21" t="s">
        <v>152</v>
      </c>
      <c r="O55" s="47" t="s">
        <v>637</v>
      </c>
      <c r="P55" s="26" t="s">
        <v>127</v>
      </c>
      <c r="Q55" s="21" t="s">
        <v>133</v>
      </c>
      <c r="R55" s="21" t="s">
        <v>276</v>
      </c>
      <c r="S55" s="29" t="s">
        <v>107</v>
      </c>
      <c r="T55" s="29">
        <v>2017.5</v>
      </c>
      <c r="U55" s="10" t="s">
        <v>110</v>
      </c>
      <c r="V55" s="10">
        <v>1</v>
      </c>
      <c r="W55" s="24" t="s">
        <v>111</v>
      </c>
      <c r="X55" s="24" t="s">
        <v>111</v>
      </c>
      <c r="Y55" s="30">
        <v>24.5</v>
      </c>
      <c r="Z55" s="30"/>
      <c r="AA55" s="30">
        <v>24.5</v>
      </c>
      <c r="AB55" s="24" t="s">
        <v>111</v>
      </c>
      <c r="AC55" s="26" t="s">
        <v>2538</v>
      </c>
      <c r="AD55" s="24" t="s">
        <v>111</v>
      </c>
      <c r="AE55" s="9"/>
    </row>
    <row r="56" spans="1:31" s="11" customFormat="1" ht="27.95" hidden="1" customHeight="1" x14ac:dyDescent="0.15">
      <c r="A56" s="8">
        <v>54</v>
      </c>
      <c r="B56" s="8" t="s">
        <v>3598</v>
      </c>
      <c r="C56" s="126" t="s">
        <v>3599</v>
      </c>
      <c r="D56" s="26" t="s">
        <v>127</v>
      </c>
      <c r="E56" s="8" t="s">
        <v>3597</v>
      </c>
      <c r="F56" s="159" t="s">
        <v>330</v>
      </c>
      <c r="G56" s="29" t="s">
        <v>331</v>
      </c>
      <c r="H56" s="20" t="s">
        <v>23</v>
      </c>
      <c r="I56" s="20" t="s">
        <v>210</v>
      </c>
      <c r="J56" s="21" t="s">
        <v>3586</v>
      </c>
      <c r="K56" s="26" t="s">
        <v>127</v>
      </c>
      <c r="L56" s="21" t="s">
        <v>3585</v>
      </c>
      <c r="M56" s="26" t="s">
        <v>127</v>
      </c>
      <c r="N56" s="21" t="s">
        <v>138</v>
      </c>
      <c r="O56" s="47" t="s">
        <v>637</v>
      </c>
      <c r="P56" s="26" t="s">
        <v>127</v>
      </c>
      <c r="Q56" s="21" t="s">
        <v>133</v>
      </c>
      <c r="R56" s="21" t="s">
        <v>276</v>
      </c>
      <c r="S56" s="29" t="s">
        <v>107</v>
      </c>
      <c r="T56" s="29">
        <v>2017.5</v>
      </c>
      <c r="U56" s="10" t="s">
        <v>110</v>
      </c>
      <c r="V56" s="10">
        <v>1</v>
      </c>
      <c r="W56" s="24" t="s">
        <v>111</v>
      </c>
      <c r="X56" s="24" t="s">
        <v>111</v>
      </c>
      <c r="Y56" s="136">
        <v>23.662393000000002</v>
      </c>
      <c r="Z56" s="30"/>
      <c r="AA56" s="136">
        <v>23.662393000000002</v>
      </c>
      <c r="AB56" s="24" t="s">
        <v>111</v>
      </c>
      <c r="AC56" s="26" t="s">
        <v>3600</v>
      </c>
      <c r="AD56" s="24" t="s">
        <v>111</v>
      </c>
      <c r="AE56" s="1126" t="s">
        <v>8142</v>
      </c>
    </row>
    <row r="57" spans="1:31" s="11" customFormat="1" ht="27.95" hidden="1" customHeight="1" x14ac:dyDescent="0.15">
      <c r="A57" s="8">
        <v>55</v>
      </c>
      <c r="B57" s="8" t="s">
        <v>79</v>
      </c>
      <c r="C57" s="26" t="s">
        <v>127</v>
      </c>
      <c r="D57" s="26" t="s">
        <v>127</v>
      </c>
      <c r="E57" s="26" t="s">
        <v>127</v>
      </c>
      <c r="F57" s="56" t="s">
        <v>1114</v>
      </c>
      <c r="G57" s="29" t="s">
        <v>1115</v>
      </c>
      <c r="H57" s="1" t="s">
        <v>1436</v>
      </c>
      <c r="I57" s="20" t="s">
        <v>1113</v>
      </c>
      <c r="J57" s="1" t="s">
        <v>612</v>
      </c>
      <c r="K57" s="26" t="s">
        <v>127</v>
      </c>
      <c r="L57" s="1" t="s">
        <v>611</v>
      </c>
      <c r="M57" s="26" t="s">
        <v>127</v>
      </c>
      <c r="N57" s="21" t="s">
        <v>332</v>
      </c>
      <c r="O57" s="47" t="s">
        <v>465</v>
      </c>
      <c r="P57" s="26" t="s">
        <v>127</v>
      </c>
      <c r="Q57" s="10" t="s">
        <v>271</v>
      </c>
      <c r="R57" s="10" t="s">
        <v>271</v>
      </c>
      <c r="S57" s="29" t="s">
        <v>107</v>
      </c>
      <c r="T57" s="29" t="s">
        <v>483</v>
      </c>
      <c r="U57" s="10" t="s">
        <v>110</v>
      </c>
      <c r="V57" s="10">
        <v>1</v>
      </c>
      <c r="W57" s="24" t="s">
        <v>174</v>
      </c>
      <c r="X57" s="24" t="s">
        <v>111</v>
      </c>
      <c r="Y57" s="30">
        <v>10.475</v>
      </c>
      <c r="Z57" s="30"/>
      <c r="AA57" s="30">
        <v>10.475</v>
      </c>
      <c r="AB57" s="24" t="s">
        <v>111</v>
      </c>
      <c r="AC57" s="26" t="s">
        <v>19</v>
      </c>
      <c r="AD57" s="24" t="s">
        <v>111</v>
      </c>
      <c r="AE57" s="9"/>
    </row>
    <row r="58" spans="1:31" s="11" customFormat="1" ht="27.95" customHeight="1" x14ac:dyDescent="0.15">
      <c r="A58" s="8">
        <v>56</v>
      </c>
      <c r="B58" s="8" t="s">
        <v>80</v>
      </c>
      <c r="C58" s="26" t="s">
        <v>127</v>
      </c>
      <c r="D58" s="26" t="s">
        <v>333</v>
      </c>
      <c r="E58" s="26" t="s">
        <v>127</v>
      </c>
      <c r="F58" s="56" t="s">
        <v>334</v>
      </c>
      <c r="G58" s="29" t="s">
        <v>335</v>
      </c>
      <c r="H58" s="2" t="s">
        <v>1504</v>
      </c>
      <c r="I58" s="20" t="s">
        <v>213</v>
      </c>
      <c r="J58" s="21" t="s">
        <v>615</v>
      </c>
      <c r="K58" s="26" t="s">
        <v>127</v>
      </c>
      <c r="L58" s="21" t="s">
        <v>616</v>
      </c>
      <c r="M58" s="26" t="s">
        <v>127</v>
      </c>
      <c r="N58" s="21" t="s">
        <v>332</v>
      </c>
      <c r="O58" s="160" t="s">
        <v>642</v>
      </c>
      <c r="P58" s="26" t="s">
        <v>127</v>
      </c>
      <c r="Q58" s="10" t="s">
        <v>336</v>
      </c>
      <c r="R58" s="10" t="s">
        <v>336</v>
      </c>
      <c r="S58" s="6" t="s">
        <v>337</v>
      </c>
      <c r="T58" s="29" t="s">
        <v>338</v>
      </c>
      <c r="U58" s="10" t="s">
        <v>110</v>
      </c>
      <c r="V58" s="10">
        <v>1</v>
      </c>
      <c r="W58" s="24" t="s">
        <v>111</v>
      </c>
      <c r="X58" s="24" t="s">
        <v>111</v>
      </c>
      <c r="Y58" s="30">
        <v>1.1599999999999999</v>
      </c>
      <c r="Z58" s="30"/>
      <c r="AA58" s="30">
        <v>1.1599999999999999</v>
      </c>
      <c r="AB58" s="24" t="s">
        <v>111</v>
      </c>
      <c r="AC58" s="26" t="s">
        <v>2538</v>
      </c>
      <c r="AD58" s="24" t="s">
        <v>111</v>
      </c>
      <c r="AE58" s="9"/>
    </row>
    <row r="59" spans="1:31" s="11" customFormat="1" ht="27.95" hidden="1" customHeight="1" x14ac:dyDescent="0.15">
      <c r="A59" s="8">
        <v>57</v>
      </c>
      <c r="B59" s="8" t="s">
        <v>81</v>
      </c>
      <c r="C59" s="26" t="s">
        <v>127</v>
      </c>
      <c r="D59" s="26" t="s">
        <v>127</v>
      </c>
      <c r="E59" s="26" t="s">
        <v>127</v>
      </c>
      <c r="F59" s="29" t="s">
        <v>339</v>
      </c>
      <c r="G59" s="29" t="s">
        <v>340</v>
      </c>
      <c r="H59" s="1" t="s">
        <v>1460</v>
      </c>
      <c r="I59" s="20" t="s">
        <v>210</v>
      </c>
      <c r="J59" s="21" t="s">
        <v>617</v>
      </c>
      <c r="K59" s="26" t="s">
        <v>127</v>
      </c>
      <c r="L59" s="21" t="s">
        <v>341</v>
      </c>
      <c r="M59" s="26" t="s">
        <v>127</v>
      </c>
      <c r="N59" s="22" t="s">
        <v>102</v>
      </c>
      <c r="O59" s="47" t="s">
        <v>116</v>
      </c>
      <c r="P59" s="26" t="s">
        <v>127</v>
      </c>
      <c r="Q59" s="21" t="s">
        <v>643</v>
      </c>
      <c r="R59" s="27" t="s">
        <v>103</v>
      </c>
      <c r="S59" s="6" t="s">
        <v>342</v>
      </c>
      <c r="T59" s="29">
        <v>2017.6</v>
      </c>
      <c r="U59" s="10" t="s">
        <v>110</v>
      </c>
      <c r="V59" s="10">
        <v>2</v>
      </c>
      <c r="W59" s="24" t="s">
        <v>147</v>
      </c>
      <c r="X59" s="24" t="s">
        <v>148</v>
      </c>
      <c r="Y59" s="30"/>
      <c r="Z59" s="30">
        <v>23</v>
      </c>
      <c r="AA59" s="30">
        <v>23</v>
      </c>
      <c r="AB59" s="24" t="s">
        <v>111</v>
      </c>
      <c r="AC59" s="26" t="s">
        <v>2538</v>
      </c>
      <c r="AD59" s="24" t="s">
        <v>111</v>
      </c>
      <c r="AE59" s="9"/>
    </row>
    <row r="60" spans="1:31" s="11" customFormat="1" ht="27.95" hidden="1" customHeight="1" x14ac:dyDescent="0.15">
      <c r="A60" s="8">
        <v>58</v>
      </c>
      <c r="B60" s="8" t="s">
        <v>343</v>
      </c>
      <c r="C60" s="126" t="s">
        <v>344</v>
      </c>
      <c r="D60" s="26" t="s">
        <v>127</v>
      </c>
      <c r="E60" s="26" t="s">
        <v>127</v>
      </c>
      <c r="F60" s="29" t="s">
        <v>165</v>
      </c>
      <c r="G60" s="29" t="s">
        <v>345</v>
      </c>
      <c r="H60" s="20" t="s">
        <v>23</v>
      </c>
      <c r="I60" s="20" t="s">
        <v>167</v>
      </c>
      <c r="J60" s="21" t="s">
        <v>590</v>
      </c>
      <c r="K60" s="26" t="s">
        <v>127</v>
      </c>
      <c r="L60" s="21" t="s">
        <v>589</v>
      </c>
      <c r="M60" s="26" t="s">
        <v>127</v>
      </c>
      <c r="N60" s="21" t="s">
        <v>138</v>
      </c>
      <c r="O60" s="47" t="s">
        <v>515</v>
      </c>
      <c r="P60" s="26" t="s">
        <v>127</v>
      </c>
      <c r="Q60" s="21" t="s">
        <v>276</v>
      </c>
      <c r="R60" s="21" t="s">
        <v>276</v>
      </c>
      <c r="S60" s="6" t="s">
        <v>342</v>
      </c>
      <c r="T60" s="29">
        <v>2017.6</v>
      </c>
      <c r="U60" s="10" t="s">
        <v>110</v>
      </c>
      <c r="V60" s="10">
        <v>1</v>
      </c>
      <c r="W60" s="24" t="s">
        <v>174</v>
      </c>
      <c r="X60" s="24" t="s">
        <v>174</v>
      </c>
      <c r="Y60" s="30">
        <v>7</v>
      </c>
      <c r="Z60" s="30"/>
      <c r="AA60" s="30">
        <v>7</v>
      </c>
      <c r="AB60" s="24" t="s">
        <v>111</v>
      </c>
      <c r="AC60" s="26" t="s">
        <v>2538</v>
      </c>
      <c r="AD60" s="24" t="s">
        <v>111</v>
      </c>
      <c r="AE60" s="9"/>
    </row>
    <row r="61" spans="1:31" s="11" customFormat="1" ht="27.95" hidden="1" customHeight="1" x14ac:dyDescent="0.15">
      <c r="A61" s="8">
        <v>59</v>
      </c>
      <c r="B61" s="8" t="s">
        <v>82</v>
      </c>
      <c r="C61" s="26" t="s">
        <v>127</v>
      </c>
      <c r="D61" s="26" t="s">
        <v>127</v>
      </c>
      <c r="E61" s="26" t="s">
        <v>127</v>
      </c>
      <c r="F61" s="29" t="s">
        <v>346</v>
      </c>
      <c r="G61" s="29" t="s">
        <v>347</v>
      </c>
      <c r="H61" s="20" t="s">
        <v>1415</v>
      </c>
      <c r="I61" s="142" t="s">
        <v>127</v>
      </c>
      <c r="J61" s="21" t="s">
        <v>348</v>
      </c>
      <c r="K61" s="26" t="s">
        <v>127</v>
      </c>
      <c r="L61" s="21" t="s">
        <v>348</v>
      </c>
      <c r="M61" s="26" t="s">
        <v>127</v>
      </c>
      <c r="N61" s="21" t="s">
        <v>349</v>
      </c>
      <c r="O61" s="47" t="s">
        <v>350</v>
      </c>
      <c r="P61" s="26" t="s">
        <v>127</v>
      </c>
      <c r="Q61" s="21" t="s">
        <v>133</v>
      </c>
      <c r="R61" s="27" t="s">
        <v>103</v>
      </c>
      <c r="S61" s="6" t="s">
        <v>351</v>
      </c>
      <c r="T61" s="29" t="s">
        <v>301</v>
      </c>
      <c r="U61" s="10" t="s">
        <v>110</v>
      </c>
      <c r="V61" s="10">
        <v>2</v>
      </c>
      <c r="W61" s="24" t="s">
        <v>174</v>
      </c>
      <c r="X61" s="24" t="s">
        <v>174</v>
      </c>
      <c r="Y61" s="30">
        <v>5</v>
      </c>
      <c r="Z61" s="30"/>
      <c r="AA61" s="30">
        <v>5</v>
      </c>
      <c r="AB61" s="24" t="s">
        <v>111</v>
      </c>
      <c r="AC61" s="26" t="s">
        <v>2538</v>
      </c>
      <c r="AD61" s="24" t="s">
        <v>111</v>
      </c>
      <c r="AE61" s="9"/>
    </row>
    <row r="62" spans="1:31" s="11" customFormat="1" ht="27.95" hidden="1" customHeight="1" x14ac:dyDescent="0.15">
      <c r="A62" s="8">
        <v>60</v>
      </c>
      <c r="B62" s="8" t="s">
        <v>83</v>
      </c>
      <c r="C62" s="26" t="s">
        <v>127</v>
      </c>
      <c r="D62" s="26" t="s">
        <v>127</v>
      </c>
      <c r="E62" s="26" t="s">
        <v>127</v>
      </c>
      <c r="F62" s="29" t="s">
        <v>346</v>
      </c>
      <c r="G62" s="29" t="s">
        <v>352</v>
      </c>
      <c r="H62" s="20" t="s">
        <v>1415</v>
      </c>
      <c r="I62" s="142" t="s">
        <v>127</v>
      </c>
      <c r="J62" s="21" t="s">
        <v>353</v>
      </c>
      <c r="K62" s="26" t="s">
        <v>127</v>
      </c>
      <c r="L62" s="21" t="s">
        <v>353</v>
      </c>
      <c r="M62" s="26" t="s">
        <v>127</v>
      </c>
      <c r="N62" s="21" t="s">
        <v>349</v>
      </c>
      <c r="O62" s="47" t="s">
        <v>350</v>
      </c>
      <c r="P62" s="26" t="s">
        <v>127</v>
      </c>
      <c r="Q62" s="21" t="s">
        <v>133</v>
      </c>
      <c r="R62" s="27" t="s">
        <v>103</v>
      </c>
      <c r="S62" s="6" t="s">
        <v>351</v>
      </c>
      <c r="T62" s="29" t="s">
        <v>301</v>
      </c>
      <c r="U62" s="10" t="s">
        <v>110</v>
      </c>
      <c r="V62" s="10">
        <v>2</v>
      </c>
      <c r="W62" s="24" t="s">
        <v>174</v>
      </c>
      <c r="X62" s="24" t="s">
        <v>174</v>
      </c>
      <c r="Y62" s="30">
        <v>5</v>
      </c>
      <c r="Z62" s="30"/>
      <c r="AA62" s="30">
        <v>5</v>
      </c>
      <c r="AB62" s="24" t="s">
        <v>111</v>
      </c>
      <c r="AC62" s="26" t="s">
        <v>2538</v>
      </c>
      <c r="AD62" s="24" t="s">
        <v>111</v>
      </c>
      <c r="AE62" s="9"/>
    </row>
    <row r="63" spans="1:31" s="11" customFormat="1" ht="27.95" hidden="1" customHeight="1" x14ac:dyDescent="0.15">
      <c r="A63" s="8">
        <v>61</v>
      </c>
      <c r="B63" s="8" t="s">
        <v>84</v>
      </c>
      <c r="C63" s="26" t="s">
        <v>127</v>
      </c>
      <c r="D63" s="26" t="s">
        <v>127</v>
      </c>
      <c r="E63" s="26" t="s">
        <v>127</v>
      </c>
      <c r="F63" s="56" t="s">
        <v>354</v>
      </c>
      <c r="G63" s="65" t="s">
        <v>355</v>
      </c>
      <c r="H63" s="20" t="s">
        <v>23</v>
      </c>
      <c r="I63" s="20" t="s">
        <v>210</v>
      </c>
      <c r="J63" s="27" t="s">
        <v>618</v>
      </c>
      <c r="K63" s="26" t="s">
        <v>127</v>
      </c>
      <c r="L63" s="27" t="s">
        <v>621</v>
      </c>
      <c r="M63" s="26" t="s">
        <v>127</v>
      </c>
      <c r="N63" s="22" t="s">
        <v>102</v>
      </c>
      <c r="O63" s="64" t="s">
        <v>428</v>
      </c>
      <c r="P63" s="26" t="s">
        <v>127</v>
      </c>
      <c r="Q63" s="21" t="s">
        <v>133</v>
      </c>
      <c r="R63" s="21" t="s">
        <v>276</v>
      </c>
      <c r="S63" s="6" t="s">
        <v>351</v>
      </c>
      <c r="T63" s="29">
        <v>2017.7</v>
      </c>
      <c r="U63" s="10" t="s">
        <v>110</v>
      </c>
      <c r="V63" s="10">
        <v>1</v>
      </c>
      <c r="W63" s="24" t="s">
        <v>356</v>
      </c>
      <c r="X63" s="24" t="s">
        <v>357</v>
      </c>
      <c r="Y63" s="30"/>
      <c r="Z63" s="30">
        <v>12</v>
      </c>
      <c r="AA63" s="30">
        <v>12</v>
      </c>
      <c r="AB63" s="24" t="s">
        <v>111</v>
      </c>
      <c r="AC63" s="26" t="s">
        <v>2538</v>
      </c>
      <c r="AD63" s="24" t="s">
        <v>111</v>
      </c>
      <c r="AE63" s="9"/>
    </row>
    <row r="64" spans="1:31" s="11" customFormat="1" ht="27.95" hidden="1" customHeight="1" x14ac:dyDescent="0.15">
      <c r="A64" s="8">
        <v>62</v>
      </c>
      <c r="B64" s="8" t="s">
        <v>85</v>
      </c>
      <c r="C64" s="26" t="s">
        <v>127</v>
      </c>
      <c r="D64" s="26" t="s">
        <v>127</v>
      </c>
      <c r="E64" s="26" t="s">
        <v>127</v>
      </c>
      <c r="F64" s="56" t="s">
        <v>86</v>
      </c>
      <c r="G64" s="65" t="s">
        <v>358</v>
      </c>
      <c r="H64" s="20" t="s">
        <v>23</v>
      </c>
      <c r="I64" s="20" t="s">
        <v>210</v>
      </c>
      <c r="J64" s="27" t="s">
        <v>618</v>
      </c>
      <c r="K64" s="26" t="s">
        <v>127</v>
      </c>
      <c r="L64" s="27" t="s">
        <v>621</v>
      </c>
      <c r="M64" s="26" t="s">
        <v>127</v>
      </c>
      <c r="N64" s="22" t="s">
        <v>102</v>
      </c>
      <c r="O64" s="64" t="s">
        <v>428</v>
      </c>
      <c r="P64" s="26" t="s">
        <v>127</v>
      </c>
      <c r="Q64" s="21" t="s">
        <v>133</v>
      </c>
      <c r="R64" s="21" t="s">
        <v>276</v>
      </c>
      <c r="S64" s="6" t="s">
        <v>351</v>
      </c>
      <c r="T64" s="29">
        <v>2017.7</v>
      </c>
      <c r="U64" s="10" t="s">
        <v>110</v>
      </c>
      <c r="V64" s="10">
        <v>1</v>
      </c>
      <c r="W64" s="24" t="s">
        <v>356</v>
      </c>
      <c r="X64" s="24" t="s">
        <v>357</v>
      </c>
      <c r="Y64" s="30"/>
      <c r="Z64" s="30">
        <v>12</v>
      </c>
      <c r="AA64" s="30">
        <v>12</v>
      </c>
      <c r="AB64" s="24" t="s">
        <v>111</v>
      </c>
      <c r="AC64" s="26" t="s">
        <v>2538</v>
      </c>
      <c r="AD64" s="24" t="s">
        <v>111</v>
      </c>
      <c r="AE64" s="9"/>
    </row>
    <row r="65" spans="1:31" s="11" customFormat="1" ht="27.95" hidden="1" customHeight="1" x14ac:dyDescent="0.15">
      <c r="A65" s="8">
        <v>63</v>
      </c>
      <c r="B65" s="8" t="s">
        <v>87</v>
      </c>
      <c r="C65" s="26" t="s">
        <v>127</v>
      </c>
      <c r="D65" s="26" t="s">
        <v>127</v>
      </c>
      <c r="E65" s="26" t="s">
        <v>127</v>
      </c>
      <c r="F65" s="56" t="s">
        <v>359</v>
      </c>
      <c r="G65" s="65" t="s">
        <v>360</v>
      </c>
      <c r="H65" s="20" t="s">
        <v>23</v>
      </c>
      <c r="I65" s="20" t="s">
        <v>210</v>
      </c>
      <c r="J65" s="27" t="s">
        <v>618</v>
      </c>
      <c r="K65" s="26" t="s">
        <v>127</v>
      </c>
      <c r="L65" s="27" t="s">
        <v>620</v>
      </c>
      <c r="M65" s="26" t="s">
        <v>127</v>
      </c>
      <c r="N65" s="22" t="s">
        <v>102</v>
      </c>
      <c r="O65" s="64" t="s">
        <v>428</v>
      </c>
      <c r="P65" s="26" t="s">
        <v>127</v>
      </c>
      <c r="Q65" s="21" t="s">
        <v>133</v>
      </c>
      <c r="R65" s="21" t="s">
        <v>276</v>
      </c>
      <c r="S65" s="6" t="s">
        <v>351</v>
      </c>
      <c r="T65" s="29">
        <v>2017.7</v>
      </c>
      <c r="U65" s="10" t="s">
        <v>110</v>
      </c>
      <c r="V65" s="10">
        <v>1</v>
      </c>
      <c r="W65" s="24" t="s">
        <v>356</v>
      </c>
      <c r="X65" s="24" t="s">
        <v>357</v>
      </c>
      <c r="Y65" s="30"/>
      <c r="Z65" s="30">
        <v>12</v>
      </c>
      <c r="AA65" s="30">
        <v>12</v>
      </c>
      <c r="AB65" s="24" t="s">
        <v>111</v>
      </c>
      <c r="AC65" s="26" t="s">
        <v>2538</v>
      </c>
      <c r="AD65" s="24" t="s">
        <v>111</v>
      </c>
      <c r="AE65" s="9"/>
    </row>
    <row r="66" spans="1:31" s="11" customFormat="1" ht="27.95" hidden="1" customHeight="1" x14ac:dyDescent="0.15">
      <c r="A66" s="8">
        <v>64</v>
      </c>
      <c r="B66" s="8" t="s">
        <v>88</v>
      </c>
      <c r="C66" s="26" t="s">
        <v>127</v>
      </c>
      <c r="D66" s="26" t="s">
        <v>127</v>
      </c>
      <c r="E66" s="26" t="s">
        <v>127</v>
      </c>
      <c r="F66" s="56" t="s">
        <v>361</v>
      </c>
      <c r="G66" s="65" t="s">
        <v>362</v>
      </c>
      <c r="H66" s="20" t="s">
        <v>23</v>
      </c>
      <c r="I66" s="20" t="s">
        <v>210</v>
      </c>
      <c r="J66" s="27" t="s">
        <v>618</v>
      </c>
      <c r="K66" s="26" t="s">
        <v>127</v>
      </c>
      <c r="L66" s="80" t="s">
        <v>622</v>
      </c>
      <c r="M66" s="26" t="s">
        <v>127</v>
      </c>
      <c r="N66" s="22" t="s">
        <v>102</v>
      </c>
      <c r="O66" s="64" t="s">
        <v>428</v>
      </c>
      <c r="P66" s="26" t="s">
        <v>127</v>
      </c>
      <c r="Q66" s="21" t="s">
        <v>133</v>
      </c>
      <c r="R66" s="21" t="s">
        <v>276</v>
      </c>
      <c r="S66" s="6" t="s">
        <v>351</v>
      </c>
      <c r="T66" s="29">
        <v>2017.7</v>
      </c>
      <c r="U66" s="10" t="s">
        <v>110</v>
      </c>
      <c r="V66" s="10">
        <v>1</v>
      </c>
      <c r="W66" s="24" t="s">
        <v>356</v>
      </c>
      <c r="X66" s="24" t="s">
        <v>357</v>
      </c>
      <c r="Y66" s="30"/>
      <c r="Z66" s="30">
        <v>12</v>
      </c>
      <c r="AA66" s="30">
        <v>12</v>
      </c>
      <c r="AB66" s="24" t="s">
        <v>111</v>
      </c>
      <c r="AC66" s="26" t="s">
        <v>2538</v>
      </c>
      <c r="AD66" s="24" t="s">
        <v>111</v>
      </c>
      <c r="AE66" s="9"/>
    </row>
    <row r="67" spans="1:31" s="11" customFormat="1" ht="27.95" hidden="1" customHeight="1" x14ac:dyDescent="0.15">
      <c r="A67" s="8">
        <v>65</v>
      </c>
      <c r="B67" s="8" t="s">
        <v>89</v>
      </c>
      <c r="C67" s="26" t="s">
        <v>127</v>
      </c>
      <c r="D67" s="26" t="s">
        <v>127</v>
      </c>
      <c r="E67" s="26" t="s">
        <v>127</v>
      </c>
      <c r="F67" s="56" t="s">
        <v>363</v>
      </c>
      <c r="G67" s="65" t="s">
        <v>364</v>
      </c>
      <c r="H67" s="20" t="s">
        <v>23</v>
      </c>
      <c r="I67" s="20" t="s">
        <v>210</v>
      </c>
      <c r="J67" s="21" t="s">
        <v>625</v>
      </c>
      <c r="K67" s="26" t="s">
        <v>127</v>
      </c>
      <c r="L67" s="21" t="s">
        <v>624</v>
      </c>
      <c r="M67" s="26" t="s">
        <v>127</v>
      </c>
      <c r="N67" s="22" t="s">
        <v>102</v>
      </c>
      <c r="O67" s="64" t="s">
        <v>428</v>
      </c>
      <c r="P67" s="26" t="s">
        <v>127</v>
      </c>
      <c r="Q67" s="21" t="s">
        <v>133</v>
      </c>
      <c r="R67" s="21" t="s">
        <v>276</v>
      </c>
      <c r="S67" s="6" t="s">
        <v>351</v>
      </c>
      <c r="T67" s="29">
        <v>2017.7</v>
      </c>
      <c r="U67" s="10" t="s">
        <v>110</v>
      </c>
      <c r="V67" s="10">
        <v>1</v>
      </c>
      <c r="W67" s="24" t="s">
        <v>356</v>
      </c>
      <c r="X67" s="24" t="s">
        <v>357</v>
      </c>
      <c r="Y67" s="30"/>
      <c r="Z67" s="30">
        <v>12</v>
      </c>
      <c r="AA67" s="30">
        <v>12</v>
      </c>
      <c r="AB67" s="24" t="s">
        <v>111</v>
      </c>
      <c r="AC67" s="26" t="s">
        <v>2538</v>
      </c>
      <c r="AD67" s="24" t="s">
        <v>111</v>
      </c>
      <c r="AE67" s="9"/>
    </row>
    <row r="68" spans="1:31" s="11" customFormat="1" ht="27.95" hidden="1" customHeight="1" x14ac:dyDescent="0.15">
      <c r="A68" s="8">
        <v>66</v>
      </c>
      <c r="B68" s="8" t="s">
        <v>90</v>
      </c>
      <c r="C68" s="26" t="s">
        <v>127</v>
      </c>
      <c r="D68" s="26" t="s">
        <v>127</v>
      </c>
      <c r="E68" s="26" t="s">
        <v>127</v>
      </c>
      <c r="F68" s="56" t="s">
        <v>365</v>
      </c>
      <c r="G68" s="65" t="s">
        <v>366</v>
      </c>
      <c r="H68" s="20" t="s">
        <v>23</v>
      </c>
      <c r="I68" s="20" t="s">
        <v>210</v>
      </c>
      <c r="J68" s="21" t="s">
        <v>625</v>
      </c>
      <c r="K68" s="26" t="s">
        <v>127</v>
      </c>
      <c r="L68" s="21" t="s">
        <v>623</v>
      </c>
      <c r="M68" s="26" t="s">
        <v>127</v>
      </c>
      <c r="N68" s="22" t="s">
        <v>102</v>
      </c>
      <c r="O68" s="64" t="s">
        <v>428</v>
      </c>
      <c r="P68" s="26" t="s">
        <v>127</v>
      </c>
      <c r="Q68" s="21" t="s">
        <v>133</v>
      </c>
      <c r="R68" s="21" t="s">
        <v>276</v>
      </c>
      <c r="S68" s="6" t="s">
        <v>351</v>
      </c>
      <c r="T68" s="29">
        <v>2017.7</v>
      </c>
      <c r="U68" s="10" t="s">
        <v>110</v>
      </c>
      <c r="V68" s="10">
        <v>1</v>
      </c>
      <c r="W68" s="24" t="s">
        <v>356</v>
      </c>
      <c r="X68" s="24" t="s">
        <v>357</v>
      </c>
      <c r="Y68" s="30"/>
      <c r="Z68" s="30">
        <v>12</v>
      </c>
      <c r="AA68" s="30">
        <v>12</v>
      </c>
      <c r="AB68" s="24" t="s">
        <v>111</v>
      </c>
      <c r="AC68" s="26" t="s">
        <v>2538</v>
      </c>
      <c r="AD68" s="24" t="s">
        <v>111</v>
      </c>
      <c r="AE68" s="9"/>
    </row>
    <row r="69" spans="1:31" s="11" customFormat="1" ht="27.95" hidden="1" customHeight="1" x14ac:dyDescent="0.15">
      <c r="A69" s="8">
        <v>67</v>
      </c>
      <c r="B69" s="8" t="s">
        <v>91</v>
      </c>
      <c r="C69" s="26" t="s">
        <v>127</v>
      </c>
      <c r="D69" s="26" t="s">
        <v>127</v>
      </c>
      <c r="E69" s="26" t="s">
        <v>127</v>
      </c>
      <c r="F69" s="29" t="s">
        <v>367</v>
      </c>
      <c r="G69" s="29" t="s">
        <v>894</v>
      </c>
      <c r="H69" s="20" t="s">
        <v>368</v>
      </c>
      <c r="I69" s="20" t="s">
        <v>177</v>
      </c>
      <c r="J69" s="21" t="s">
        <v>369</v>
      </c>
      <c r="K69" s="26" t="s">
        <v>127</v>
      </c>
      <c r="L69" s="21" t="s">
        <v>557</v>
      </c>
      <c r="M69" s="26" t="s">
        <v>127</v>
      </c>
      <c r="N69" s="21" t="s">
        <v>895</v>
      </c>
      <c r="O69" s="47" t="s">
        <v>896</v>
      </c>
      <c r="P69" s="26" t="s">
        <v>127</v>
      </c>
      <c r="Q69" s="21" t="s">
        <v>336</v>
      </c>
      <c r="R69" s="21" t="s">
        <v>336</v>
      </c>
      <c r="S69" s="6" t="s">
        <v>370</v>
      </c>
      <c r="T69" s="29">
        <v>2017.7</v>
      </c>
      <c r="U69" s="10" t="s">
        <v>308</v>
      </c>
      <c r="V69" s="10">
        <v>1</v>
      </c>
      <c r="W69" s="24" t="s">
        <v>174</v>
      </c>
      <c r="X69" s="24" t="s">
        <v>174</v>
      </c>
      <c r="Y69" s="30">
        <v>8.2170000000000005</v>
      </c>
      <c r="Z69" s="30"/>
      <c r="AA69" s="30">
        <v>8.2170000000000005</v>
      </c>
      <c r="AB69" s="24" t="s">
        <v>111</v>
      </c>
      <c r="AC69" s="26" t="s">
        <v>2538</v>
      </c>
      <c r="AD69" s="24" t="s">
        <v>111</v>
      </c>
      <c r="AE69" s="9"/>
    </row>
    <row r="70" spans="1:31" s="11" customFormat="1" ht="27.95" hidden="1" customHeight="1" x14ac:dyDescent="0.15">
      <c r="A70" s="8">
        <v>68</v>
      </c>
      <c r="B70" s="8" t="s">
        <v>92</v>
      </c>
      <c r="C70" s="26" t="s">
        <v>127</v>
      </c>
      <c r="D70" s="26" t="s">
        <v>127</v>
      </c>
      <c r="E70" s="26" t="s">
        <v>127</v>
      </c>
      <c r="F70" s="29" t="s">
        <v>371</v>
      </c>
      <c r="G70" s="47" t="s">
        <v>372</v>
      </c>
      <c r="H70" s="20" t="s">
        <v>1592</v>
      </c>
      <c r="I70" s="20" t="s">
        <v>210</v>
      </c>
      <c r="J70" s="1" t="s">
        <v>373</v>
      </c>
      <c r="K70" s="26" t="s">
        <v>127</v>
      </c>
      <c r="L70" s="21" t="s">
        <v>557</v>
      </c>
      <c r="M70" s="26" t="s">
        <v>127</v>
      </c>
      <c r="N70" s="21" t="s">
        <v>332</v>
      </c>
      <c r="O70" s="65" t="s">
        <v>659</v>
      </c>
      <c r="P70" s="26" t="s">
        <v>127</v>
      </c>
      <c r="Q70" s="21" t="s">
        <v>271</v>
      </c>
      <c r="R70" s="21" t="s">
        <v>271</v>
      </c>
      <c r="S70" s="6" t="s">
        <v>374</v>
      </c>
      <c r="T70" s="13">
        <v>2017.6</v>
      </c>
      <c r="U70" s="10" t="s">
        <v>110</v>
      </c>
      <c r="V70" s="10">
        <v>2</v>
      </c>
      <c r="W70" s="24" t="s">
        <v>375</v>
      </c>
      <c r="X70" s="24"/>
      <c r="Y70" s="30">
        <v>46.102499999999999</v>
      </c>
      <c r="Z70" s="30"/>
      <c r="AA70" s="30">
        <v>46.102499999999999</v>
      </c>
      <c r="AB70" s="24" t="s">
        <v>111</v>
      </c>
      <c r="AC70" s="26" t="s">
        <v>2538</v>
      </c>
      <c r="AD70" s="24" t="s">
        <v>111</v>
      </c>
      <c r="AE70" s="9" t="s">
        <v>3495</v>
      </c>
    </row>
    <row r="71" spans="1:31" s="11" customFormat="1" ht="27.95" hidden="1" customHeight="1" x14ac:dyDescent="0.15">
      <c r="A71" s="8">
        <v>69</v>
      </c>
      <c r="B71" s="8" t="s">
        <v>93</v>
      </c>
      <c r="C71" s="26" t="s">
        <v>127</v>
      </c>
      <c r="D71" s="26" t="s">
        <v>127</v>
      </c>
      <c r="E71" s="26" t="s">
        <v>127</v>
      </c>
      <c r="F71" s="56" t="s">
        <v>376</v>
      </c>
      <c r="G71" s="65" t="s">
        <v>377</v>
      </c>
      <c r="H71" s="20" t="s">
        <v>94</v>
      </c>
      <c r="I71" s="20" t="s">
        <v>210</v>
      </c>
      <c r="J71" s="21" t="s">
        <v>625</v>
      </c>
      <c r="K71" s="26" t="s">
        <v>127</v>
      </c>
      <c r="L71" s="21" t="s">
        <v>624</v>
      </c>
      <c r="M71" s="26" t="s">
        <v>127</v>
      </c>
      <c r="N71" s="22" t="s">
        <v>102</v>
      </c>
      <c r="O71" s="64" t="s">
        <v>428</v>
      </c>
      <c r="P71" s="26" t="s">
        <v>127</v>
      </c>
      <c r="Q71" s="21" t="s">
        <v>378</v>
      </c>
      <c r="R71" s="21" t="s">
        <v>276</v>
      </c>
      <c r="S71" s="6" t="s">
        <v>379</v>
      </c>
      <c r="T71" s="29">
        <v>2017.7</v>
      </c>
      <c r="U71" s="10" t="s">
        <v>110</v>
      </c>
      <c r="V71" s="10">
        <v>1</v>
      </c>
      <c r="W71" s="24" t="s">
        <v>380</v>
      </c>
      <c r="X71" s="24" t="s">
        <v>381</v>
      </c>
      <c r="Y71" s="30"/>
      <c r="Z71" s="30">
        <v>12</v>
      </c>
      <c r="AA71" s="30">
        <v>12</v>
      </c>
      <c r="AB71" s="24" t="s">
        <v>111</v>
      </c>
      <c r="AC71" s="26" t="s">
        <v>2538</v>
      </c>
      <c r="AD71" s="24" t="s">
        <v>111</v>
      </c>
      <c r="AE71" s="9"/>
    </row>
    <row r="72" spans="1:31" s="11" customFormat="1" ht="27.95" hidden="1" customHeight="1" x14ac:dyDescent="0.15">
      <c r="A72" s="8">
        <v>70</v>
      </c>
      <c r="B72" s="8" t="s">
        <v>95</v>
      </c>
      <c r="C72" s="26" t="s">
        <v>382</v>
      </c>
      <c r="D72" s="26" t="s">
        <v>382</v>
      </c>
      <c r="E72" s="26" t="s">
        <v>127</v>
      </c>
      <c r="F72" s="29" t="s">
        <v>383</v>
      </c>
      <c r="G72" s="29" t="s">
        <v>384</v>
      </c>
      <c r="H72" s="20" t="s">
        <v>94</v>
      </c>
      <c r="I72" s="20" t="s">
        <v>385</v>
      </c>
      <c r="J72" s="42" t="s">
        <v>627</v>
      </c>
      <c r="K72" s="26" t="s">
        <v>127</v>
      </c>
      <c r="L72" s="42" t="s">
        <v>626</v>
      </c>
      <c r="M72" s="26" t="s">
        <v>127</v>
      </c>
      <c r="N72" s="22" t="s">
        <v>102</v>
      </c>
      <c r="O72" s="64" t="s">
        <v>428</v>
      </c>
      <c r="P72" s="26" t="s">
        <v>127</v>
      </c>
      <c r="Q72" s="21" t="s">
        <v>378</v>
      </c>
      <c r="R72" s="21" t="s">
        <v>276</v>
      </c>
      <c r="S72" s="6" t="s">
        <v>379</v>
      </c>
      <c r="T72" s="29">
        <v>2017.7</v>
      </c>
      <c r="U72" s="10" t="s">
        <v>110</v>
      </c>
      <c r="V72" s="10">
        <v>1</v>
      </c>
      <c r="W72" s="24" t="s">
        <v>380</v>
      </c>
      <c r="X72" s="24" t="s">
        <v>381</v>
      </c>
      <c r="Y72" s="30"/>
      <c r="Z72" s="30">
        <v>12</v>
      </c>
      <c r="AA72" s="30">
        <v>12</v>
      </c>
      <c r="AB72" s="24" t="s">
        <v>111</v>
      </c>
      <c r="AC72" s="26" t="s">
        <v>2538</v>
      </c>
      <c r="AD72" s="24" t="s">
        <v>111</v>
      </c>
      <c r="AE72" s="9"/>
    </row>
    <row r="73" spans="1:31" s="11" customFormat="1" ht="27.95" hidden="1" customHeight="1" x14ac:dyDescent="0.15">
      <c r="A73" s="8">
        <v>71</v>
      </c>
      <c r="B73" s="8" t="s">
        <v>96</v>
      </c>
      <c r="C73" s="26" t="s">
        <v>382</v>
      </c>
      <c r="D73" s="26" t="s">
        <v>382</v>
      </c>
      <c r="E73" s="26" t="s">
        <v>127</v>
      </c>
      <c r="F73" s="29" t="s">
        <v>386</v>
      </c>
      <c r="G73" s="29" t="s">
        <v>387</v>
      </c>
      <c r="H73" s="20" t="s">
        <v>94</v>
      </c>
      <c r="I73" s="20" t="s">
        <v>385</v>
      </c>
      <c r="J73" s="42" t="s">
        <v>627</v>
      </c>
      <c r="K73" s="26" t="s">
        <v>127</v>
      </c>
      <c r="L73" s="42" t="s">
        <v>626</v>
      </c>
      <c r="M73" s="26" t="s">
        <v>127</v>
      </c>
      <c r="N73" s="22" t="s">
        <v>102</v>
      </c>
      <c r="O73" s="64" t="s">
        <v>428</v>
      </c>
      <c r="P73" s="26" t="s">
        <v>127</v>
      </c>
      <c r="Q73" s="21" t="s">
        <v>378</v>
      </c>
      <c r="R73" s="21" t="s">
        <v>276</v>
      </c>
      <c r="S73" s="6" t="s">
        <v>379</v>
      </c>
      <c r="T73" s="29">
        <v>2017.7</v>
      </c>
      <c r="U73" s="10" t="s">
        <v>110</v>
      </c>
      <c r="V73" s="10">
        <v>1</v>
      </c>
      <c r="W73" s="24" t="s">
        <v>380</v>
      </c>
      <c r="X73" s="24" t="s">
        <v>381</v>
      </c>
      <c r="Y73" s="30"/>
      <c r="Z73" s="30">
        <v>12</v>
      </c>
      <c r="AA73" s="30">
        <v>12</v>
      </c>
      <c r="AB73" s="24" t="s">
        <v>111</v>
      </c>
      <c r="AC73" s="26" t="s">
        <v>2538</v>
      </c>
      <c r="AD73" s="24" t="s">
        <v>111</v>
      </c>
      <c r="AE73" s="9"/>
    </row>
    <row r="74" spans="1:31" s="11" customFormat="1" ht="27.95" hidden="1" customHeight="1" x14ac:dyDescent="0.15">
      <c r="A74" s="8">
        <v>72</v>
      </c>
      <c r="B74" s="8" t="s">
        <v>97</v>
      </c>
      <c r="C74" s="26" t="s">
        <v>388</v>
      </c>
      <c r="D74" s="26" t="s">
        <v>382</v>
      </c>
      <c r="E74" s="26" t="s">
        <v>127</v>
      </c>
      <c r="F74" s="29" t="s">
        <v>389</v>
      </c>
      <c r="G74" s="29" t="s">
        <v>390</v>
      </c>
      <c r="H74" s="20" t="s">
        <v>94</v>
      </c>
      <c r="I74" s="20" t="s">
        <v>270</v>
      </c>
      <c r="J74" s="161" t="s">
        <v>628</v>
      </c>
      <c r="K74" s="26" t="s">
        <v>127</v>
      </c>
      <c r="L74" s="43" t="s">
        <v>629</v>
      </c>
      <c r="M74" s="26" t="s">
        <v>127</v>
      </c>
      <c r="N74" s="61" t="s">
        <v>138</v>
      </c>
      <c r="O74" s="58" t="s">
        <v>682</v>
      </c>
      <c r="P74" s="26" t="s">
        <v>127</v>
      </c>
      <c r="Q74" s="20" t="s">
        <v>392</v>
      </c>
      <c r="R74" s="20" t="s">
        <v>392</v>
      </c>
      <c r="S74" s="6" t="s">
        <v>379</v>
      </c>
      <c r="T74" s="13" t="s">
        <v>393</v>
      </c>
      <c r="U74" s="10" t="s">
        <v>110</v>
      </c>
      <c r="V74" s="10">
        <v>1</v>
      </c>
      <c r="W74" s="24" t="s">
        <v>394</v>
      </c>
      <c r="X74" s="24" t="s">
        <v>394</v>
      </c>
      <c r="Y74" s="30">
        <v>5</v>
      </c>
      <c r="Z74" s="30"/>
      <c r="AA74" s="30">
        <v>5</v>
      </c>
      <c r="AB74" s="24" t="s">
        <v>111</v>
      </c>
      <c r="AC74" s="26" t="s">
        <v>2538</v>
      </c>
      <c r="AD74" s="24" t="s">
        <v>111</v>
      </c>
      <c r="AE74" s="9"/>
    </row>
    <row r="75" spans="1:31" s="11" customFormat="1" ht="27.95" hidden="1" customHeight="1" x14ac:dyDescent="0.15">
      <c r="A75" s="8">
        <v>73</v>
      </c>
      <c r="B75" s="8" t="s">
        <v>98</v>
      </c>
      <c r="C75" s="26" t="s">
        <v>382</v>
      </c>
      <c r="D75" s="26" t="s">
        <v>382</v>
      </c>
      <c r="E75" s="26" t="s">
        <v>127</v>
      </c>
      <c r="F75" s="29" t="s">
        <v>395</v>
      </c>
      <c r="G75" s="29" t="s">
        <v>396</v>
      </c>
      <c r="H75" s="20" t="s">
        <v>94</v>
      </c>
      <c r="I75" s="20" t="s">
        <v>385</v>
      </c>
      <c r="J75" s="21" t="s">
        <v>131</v>
      </c>
      <c r="K75" s="26" t="s">
        <v>127</v>
      </c>
      <c r="L75" s="21" t="s">
        <v>131</v>
      </c>
      <c r="M75" s="26" t="s">
        <v>127</v>
      </c>
      <c r="N75" s="22" t="s">
        <v>102</v>
      </c>
      <c r="O75" s="64" t="s">
        <v>428</v>
      </c>
      <c r="P75" s="26" t="s">
        <v>127</v>
      </c>
      <c r="Q75" s="21" t="s">
        <v>378</v>
      </c>
      <c r="R75" s="20" t="s">
        <v>276</v>
      </c>
      <c r="S75" s="6" t="s">
        <v>397</v>
      </c>
      <c r="T75" s="13">
        <v>2017.9</v>
      </c>
      <c r="U75" s="10" t="s">
        <v>110</v>
      </c>
      <c r="V75" s="10">
        <v>1</v>
      </c>
      <c r="W75" s="24" t="s">
        <v>380</v>
      </c>
      <c r="X75" s="24" t="s">
        <v>381</v>
      </c>
      <c r="Y75" s="30"/>
      <c r="Z75" s="30">
        <v>12</v>
      </c>
      <c r="AA75" s="30">
        <v>12</v>
      </c>
      <c r="AB75" s="24" t="s">
        <v>111</v>
      </c>
      <c r="AC75" s="26" t="s">
        <v>2538</v>
      </c>
      <c r="AD75" s="24" t="s">
        <v>111</v>
      </c>
      <c r="AE75" s="9"/>
    </row>
    <row r="76" spans="1:31" s="11" customFormat="1" ht="27.95" hidden="1" customHeight="1" x14ac:dyDescent="0.15">
      <c r="A76" s="8">
        <v>74</v>
      </c>
      <c r="B76" s="8" t="s">
        <v>99</v>
      </c>
      <c r="C76" s="26" t="s">
        <v>382</v>
      </c>
      <c r="D76" s="26" t="s">
        <v>382</v>
      </c>
      <c r="E76" s="26" t="s">
        <v>127</v>
      </c>
      <c r="F76" s="29" t="s">
        <v>398</v>
      </c>
      <c r="G76" s="29" t="s">
        <v>399</v>
      </c>
      <c r="H76" s="20" t="s">
        <v>94</v>
      </c>
      <c r="I76" s="20" t="s">
        <v>400</v>
      </c>
      <c r="J76" s="21" t="s">
        <v>630</v>
      </c>
      <c r="K76" s="26" t="s">
        <v>127</v>
      </c>
      <c r="L76" s="21" t="s">
        <v>401</v>
      </c>
      <c r="M76" s="26" t="s">
        <v>127</v>
      </c>
      <c r="N76" s="22" t="s">
        <v>102</v>
      </c>
      <c r="O76" s="47" t="s">
        <v>413</v>
      </c>
      <c r="P76" s="26" t="s">
        <v>127</v>
      </c>
      <c r="Q76" s="21" t="s">
        <v>378</v>
      </c>
      <c r="R76" s="20" t="s">
        <v>276</v>
      </c>
      <c r="S76" s="6" t="s">
        <v>397</v>
      </c>
      <c r="T76" s="13">
        <v>2017.1</v>
      </c>
      <c r="U76" s="10" t="s">
        <v>110</v>
      </c>
      <c r="V76" s="10">
        <v>1</v>
      </c>
      <c r="W76" s="24" t="s">
        <v>402</v>
      </c>
      <c r="X76" s="24" t="s">
        <v>403</v>
      </c>
      <c r="Y76" s="30"/>
      <c r="Z76" s="30">
        <v>12</v>
      </c>
      <c r="AA76" s="30">
        <v>12</v>
      </c>
      <c r="AB76" s="24" t="s">
        <v>111</v>
      </c>
      <c r="AC76" s="26" t="s">
        <v>2538</v>
      </c>
      <c r="AD76" s="24" t="s">
        <v>111</v>
      </c>
      <c r="AE76" s="9"/>
    </row>
    <row r="77" spans="1:31" s="11" customFormat="1" ht="27.95" hidden="1" customHeight="1" x14ac:dyDescent="0.15">
      <c r="A77" s="8">
        <v>75</v>
      </c>
      <c r="B77" s="8" t="s">
        <v>100</v>
      </c>
      <c r="C77" s="26" t="s">
        <v>382</v>
      </c>
      <c r="D77" s="26" t="s">
        <v>382</v>
      </c>
      <c r="E77" s="26" t="s">
        <v>127</v>
      </c>
      <c r="F77" s="29" t="s">
        <v>404</v>
      </c>
      <c r="G77" s="47" t="s">
        <v>405</v>
      </c>
      <c r="H77" s="20" t="s">
        <v>94</v>
      </c>
      <c r="I77" s="20" t="s">
        <v>400</v>
      </c>
      <c r="J77" s="21" t="s">
        <v>632</v>
      </c>
      <c r="K77" s="26" t="s">
        <v>127</v>
      </c>
      <c r="L77" s="21" t="s">
        <v>631</v>
      </c>
      <c r="M77" s="26" t="s">
        <v>127</v>
      </c>
      <c r="N77" s="22" t="s">
        <v>102</v>
      </c>
      <c r="O77" s="47" t="s">
        <v>413</v>
      </c>
      <c r="P77" s="26" t="s">
        <v>127</v>
      </c>
      <c r="Q77" s="21" t="s">
        <v>378</v>
      </c>
      <c r="R77" s="20" t="s">
        <v>276</v>
      </c>
      <c r="S77" s="6" t="s">
        <v>397</v>
      </c>
      <c r="T77" s="13">
        <v>2017.1</v>
      </c>
      <c r="U77" s="10" t="s">
        <v>110</v>
      </c>
      <c r="V77" s="10">
        <v>1</v>
      </c>
      <c r="W77" s="24" t="s">
        <v>402</v>
      </c>
      <c r="X77" s="24" t="s">
        <v>403</v>
      </c>
      <c r="Y77" s="30"/>
      <c r="Z77" s="30">
        <v>12</v>
      </c>
      <c r="AA77" s="30">
        <v>12</v>
      </c>
      <c r="AB77" s="24" t="s">
        <v>111</v>
      </c>
      <c r="AC77" s="26" t="s">
        <v>2538</v>
      </c>
      <c r="AD77" s="24" t="s">
        <v>111</v>
      </c>
      <c r="AE77" s="9"/>
    </row>
    <row r="78" spans="1:31" s="11" customFormat="1" ht="27.95" hidden="1" customHeight="1" x14ac:dyDescent="0.15">
      <c r="A78" s="8">
        <v>76</v>
      </c>
      <c r="B78" s="140" t="s">
        <v>101</v>
      </c>
      <c r="C78" s="162" t="s">
        <v>382</v>
      </c>
      <c r="D78" s="162" t="s">
        <v>382</v>
      </c>
      <c r="E78" s="26" t="s">
        <v>127</v>
      </c>
      <c r="F78" s="159" t="s">
        <v>406</v>
      </c>
      <c r="G78" s="163" t="s">
        <v>407</v>
      </c>
      <c r="H78" s="142" t="s">
        <v>94</v>
      </c>
      <c r="I78" s="142" t="s">
        <v>400</v>
      </c>
      <c r="J78" s="105" t="s">
        <v>633</v>
      </c>
      <c r="K78" s="26" t="s">
        <v>127</v>
      </c>
      <c r="L78" s="21" t="s">
        <v>557</v>
      </c>
      <c r="M78" s="26" t="s">
        <v>127</v>
      </c>
      <c r="N78" s="164" t="s">
        <v>102</v>
      </c>
      <c r="O78" s="47" t="s">
        <v>413</v>
      </c>
      <c r="P78" s="26" t="s">
        <v>127</v>
      </c>
      <c r="Q78" s="105" t="s">
        <v>378</v>
      </c>
      <c r="R78" s="20" t="s">
        <v>276</v>
      </c>
      <c r="S78" s="6" t="s">
        <v>397</v>
      </c>
      <c r="T78" s="13">
        <v>2017.1</v>
      </c>
      <c r="U78" s="10" t="s">
        <v>110</v>
      </c>
      <c r="V78" s="10">
        <v>1</v>
      </c>
      <c r="W78" s="24" t="s">
        <v>402</v>
      </c>
      <c r="X78" s="24" t="s">
        <v>403</v>
      </c>
      <c r="Y78" s="30"/>
      <c r="Z78" s="30">
        <v>12</v>
      </c>
      <c r="AA78" s="30">
        <v>12</v>
      </c>
      <c r="AB78" s="24" t="s">
        <v>111</v>
      </c>
      <c r="AC78" s="26" t="s">
        <v>2538</v>
      </c>
      <c r="AD78" s="24" t="s">
        <v>111</v>
      </c>
      <c r="AE78" s="9"/>
    </row>
    <row r="79" spans="1:31" s="11" customFormat="1" ht="39.75" hidden="1" customHeight="1" x14ac:dyDescent="0.15">
      <c r="A79" s="8">
        <v>77</v>
      </c>
      <c r="B79" s="8" t="s">
        <v>3537</v>
      </c>
      <c r="C79" s="26" t="s">
        <v>382</v>
      </c>
      <c r="D79" s="26" t="s">
        <v>382</v>
      </c>
      <c r="E79" s="8" t="s">
        <v>5097</v>
      </c>
      <c r="F79" s="29" t="s">
        <v>408</v>
      </c>
      <c r="G79" s="47" t="s">
        <v>409</v>
      </c>
      <c r="H79" s="1" t="s">
        <v>3396</v>
      </c>
      <c r="I79" s="20" t="s">
        <v>410</v>
      </c>
      <c r="J79" s="21" t="s">
        <v>554</v>
      </c>
      <c r="K79" s="26" t="s">
        <v>127</v>
      </c>
      <c r="L79" s="21" t="s">
        <v>557</v>
      </c>
      <c r="M79" s="26" t="s">
        <v>127</v>
      </c>
      <c r="N79" s="21" t="s">
        <v>391</v>
      </c>
      <c r="O79" s="47" t="s">
        <v>555</v>
      </c>
      <c r="P79" s="26" t="s">
        <v>127</v>
      </c>
      <c r="Q79" s="2" t="s">
        <v>411</v>
      </c>
      <c r="R79" s="2" t="s">
        <v>411</v>
      </c>
      <c r="S79" s="6" t="s">
        <v>397</v>
      </c>
      <c r="T79" s="13">
        <v>2017.7</v>
      </c>
      <c r="U79" s="10" t="s">
        <v>110</v>
      </c>
      <c r="V79" s="10">
        <v>3</v>
      </c>
      <c r="W79" s="24" t="s">
        <v>228</v>
      </c>
      <c r="X79" s="24"/>
      <c r="Y79" s="203">
        <v>44.56935</v>
      </c>
      <c r="Z79" s="30"/>
      <c r="AA79" s="203">
        <v>44.56935</v>
      </c>
      <c r="AB79" s="39" t="s">
        <v>1141</v>
      </c>
      <c r="AC79" s="26" t="s">
        <v>3538</v>
      </c>
      <c r="AD79" s="24" t="s">
        <v>111</v>
      </c>
      <c r="AE79" s="9" t="s">
        <v>3509</v>
      </c>
    </row>
    <row r="80" spans="1:31" s="11" customFormat="1" ht="27.95" hidden="1" customHeight="1" x14ac:dyDescent="0.15">
      <c r="A80" s="8">
        <v>78</v>
      </c>
      <c r="B80" s="8" t="s">
        <v>551</v>
      </c>
      <c r="C80" s="26" t="s">
        <v>382</v>
      </c>
      <c r="D80" s="26" t="s">
        <v>382</v>
      </c>
      <c r="E80" s="26" t="s">
        <v>127</v>
      </c>
      <c r="F80" s="165" t="s">
        <v>412</v>
      </c>
      <c r="G80" s="52" t="s">
        <v>432</v>
      </c>
      <c r="H80" s="7" t="s">
        <v>94</v>
      </c>
      <c r="I80" s="7" t="s">
        <v>112</v>
      </c>
      <c r="J80" s="126" t="s">
        <v>552</v>
      </c>
      <c r="K80" s="26" t="s">
        <v>127</v>
      </c>
      <c r="L80" s="126" t="s">
        <v>421</v>
      </c>
      <c r="M80" s="26" t="s">
        <v>127</v>
      </c>
      <c r="N80" s="21" t="s">
        <v>25</v>
      </c>
      <c r="O80" s="47" t="s">
        <v>116</v>
      </c>
      <c r="P80" s="26" t="s">
        <v>127</v>
      </c>
      <c r="Q80" s="2" t="s">
        <v>414</v>
      </c>
      <c r="R80" s="2" t="s">
        <v>414</v>
      </c>
      <c r="S80" s="6" t="s">
        <v>415</v>
      </c>
      <c r="T80" s="13" t="s">
        <v>416</v>
      </c>
      <c r="U80" s="10" t="s">
        <v>108</v>
      </c>
      <c r="V80" s="10">
        <v>1</v>
      </c>
      <c r="W80" s="24" t="s">
        <v>121</v>
      </c>
      <c r="X80" s="24" t="s">
        <v>122</v>
      </c>
      <c r="Y80" s="30"/>
      <c r="Z80" s="30">
        <v>15</v>
      </c>
      <c r="AA80" s="30">
        <v>15</v>
      </c>
      <c r="AB80" s="24" t="s">
        <v>111</v>
      </c>
      <c r="AC80" s="26" t="s">
        <v>3400</v>
      </c>
      <c r="AD80" s="24" t="s">
        <v>111</v>
      </c>
      <c r="AE80" s="9"/>
    </row>
    <row r="81" spans="1:31" s="11" customFormat="1" ht="27.95" customHeight="1" x14ac:dyDescent="0.15">
      <c r="A81" s="8">
        <v>79</v>
      </c>
      <c r="B81" s="8" t="s">
        <v>546</v>
      </c>
      <c r="C81" s="26" t="s">
        <v>382</v>
      </c>
      <c r="D81" s="26" t="s">
        <v>6579</v>
      </c>
      <c r="E81" s="26" t="s">
        <v>127</v>
      </c>
      <c r="F81" s="165" t="s">
        <v>433</v>
      </c>
      <c r="G81" s="66" t="s">
        <v>434</v>
      </c>
      <c r="H81" s="41" t="s">
        <v>94</v>
      </c>
      <c r="I81" s="7" t="s">
        <v>112</v>
      </c>
      <c r="J81" s="7" t="s">
        <v>553</v>
      </c>
      <c r="K81" s="26" t="s">
        <v>127</v>
      </c>
      <c r="L81" s="7" t="s">
        <v>422</v>
      </c>
      <c r="M81" s="26" t="s">
        <v>127</v>
      </c>
      <c r="N81" s="21" t="s">
        <v>25</v>
      </c>
      <c r="O81" s="47" t="s">
        <v>413</v>
      </c>
      <c r="P81" s="26" t="s">
        <v>127</v>
      </c>
      <c r="Q81" s="2" t="s">
        <v>414</v>
      </c>
      <c r="R81" s="2" t="s">
        <v>414</v>
      </c>
      <c r="S81" s="6" t="s">
        <v>415</v>
      </c>
      <c r="T81" s="13" t="s">
        <v>416</v>
      </c>
      <c r="U81" s="10" t="s">
        <v>108</v>
      </c>
      <c r="V81" s="10">
        <v>1</v>
      </c>
      <c r="W81" s="24" t="s">
        <v>121</v>
      </c>
      <c r="X81" s="24" t="s">
        <v>122</v>
      </c>
      <c r="Y81" s="30"/>
      <c r="Z81" s="30">
        <v>15</v>
      </c>
      <c r="AA81" s="30">
        <v>15</v>
      </c>
      <c r="AB81" s="24" t="s">
        <v>111</v>
      </c>
      <c r="AC81" s="26" t="s">
        <v>3400</v>
      </c>
      <c r="AD81" s="24" t="s">
        <v>111</v>
      </c>
      <c r="AE81" s="9"/>
    </row>
    <row r="82" spans="1:31" s="11" customFormat="1" ht="27.95" hidden="1" customHeight="1" x14ac:dyDescent="0.15">
      <c r="A82" s="8">
        <v>80</v>
      </c>
      <c r="B82" s="8" t="s">
        <v>547</v>
      </c>
      <c r="C82" s="26" t="s">
        <v>382</v>
      </c>
      <c r="D82" s="26" t="s">
        <v>382</v>
      </c>
      <c r="E82" s="26" t="s">
        <v>127</v>
      </c>
      <c r="F82" s="165" t="s">
        <v>436</v>
      </c>
      <c r="G82" s="66" t="s">
        <v>435</v>
      </c>
      <c r="H82" s="41" t="s">
        <v>94</v>
      </c>
      <c r="I82" s="7" t="s">
        <v>112</v>
      </c>
      <c r="J82" s="7" t="s">
        <v>117</v>
      </c>
      <c r="K82" s="26" t="s">
        <v>127</v>
      </c>
      <c r="L82" s="7" t="s">
        <v>423</v>
      </c>
      <c r="M82" s="26" t="s">
        <v>127</v>
      </c>
      <c r="N82" s="21" t="s">
        <v>332</v>
      </c>
      <c r="O82" s="47" t="s">
        <v>116</v>
      </c>
      <c r="P82" s="26" t="s">
        <v>127</v>
      </c>
      <c r="Q82" s="2" t="s">
        <v>414</v>
      </c>
      <c r="R82" s="2" t="s">
        <v>414</v>
      </c>
      <c r="S82" s="6" t="s">
        <v>415</v>
      </c>
      <c r="T82" s="13" t="s">
        <v>416</v>
      </c>
      <c r="U82" s="10" t="s">
        <v>108</v>
      </c>
      <c r="V82" s="10">
        <v>1</v>
      </c>
      <c r="W82" s="24" t="s">
        <v>121</v>
      </c>
      <c r="X82" s="24" t="s">
        <v>122</v>
      </c>
      <c r="Y82" s="30"/>
      <c r="Z82" s="30">
        <v>15</v>
      </c>
      <c r="AA82" s="30">
        <v>15</v>
      </c>
      <c r="AB82" s="24" t="s">
        <v>111</v>
      </c>
      <c r="AC82" s="26" t="s">
        <v>3400</v>
      </c>
      <c r="AD82" s="24" t="s">
        <v>111</v>
      </c>
      <c r="AE82" s="9"/>
    </row>
    <row r="83" spans="1:31" s="11" customFormat="1" ht="27.95" hidden="1" customHeight="1" x14ac:dyDescent="0.15">
      <c r="A83" s="8">
        <v>81</v>
      </c>
      <c r="B83" s="8" t="s">
        <v>548</v>
      </c>
      <c r="C83" s="26" t="s">
        <v>382</v>
      </c>
      <c r="D83" s="26" t="s">
        <v>382</v>
      </c>
      <c r="E83" s="26" t="s">
        <v>127</v>
      </c>
      <c r="F83" s="165" t="s">
        <v>438</v>
      </c>
      <c r="G83" s="29" t="s">
        <v>437</v>
      </c>
      <c r="H83" s="41" t="s">
        <v>94</v>
      </c>
      <c r="I83" s="7" t="s">
        <v>112</v>
      </c>
      <c r="J83" s="20" t="s">
        <v>417</v>
      </c>
      <c r="K83" s="26" t="s">
        <v>127</v>
      </c>
      <c r="L83" s="20" t="s">
        <v>113</v>
      </c>
      <c r="M83" s="26" t="s">
        <v>127</v>
      </c>
      <c r="N83" s="21" t="s">
        <v>391</v>
      </c>
      <c r="O83" s="47" t="s">
        <v>413</v>
      </c>
      <c r="P83" s="26" t="s">
        <v>127</v>
      </c>
      <c r="Q83" s="2" t="s">
        <v>414</v>
      </c>
      <c r="R83" s="2" t="s">
        <v>414</v>
      </c>
      <c r="S83" s="6" t="s">
        <v>415</v>
      </c>
      <c r="T83" s="13" t="s">
        <v>416</v>
      </c>
      <c r="U83" s="10" t="s">
        <v>108</v>
      </c>
      <c r="V83" s="10">
        <v>1</v>
      </c>
      <c r="W83" s="24" t="s">
        <v>121</v>
      </c>
      <c r="X83" s="24" t="s">
        <v>122</v>
      </c>
      <c r="Y83" s="30"/>
      <c r="Z83" s="30">
        <v>15</v>
      </c>
      <c r="AA83" s="30">
        <v>15</v>
      </c>
      <c r="AB83" s="24" t="s">
        <v>111</v>
      </c>
      <c r="AC83" s="26" t="s">
        <v>3400</v>
      </c>
      <c r="AD83" s="24" t="s">
        <v>111</v>
      </c>
      <c r="AE83" s="9"/>
    </row>
    <row r="84" spans="1:31" s="11" customFormat="1" ht="27.95" hidden="1" customHeight="1" x14ac:dyDescent="0.15">
      <c r="A84" s="8">
        <v>82</v>
      </c>
      <c r="B84" s="8" t="s">
        <v>549</v>
      </c>
      <c r="C84" s="26" t="s">
        <v>382</v>
      </c>
      <c r="D84" s="26" t="s">
        <v>382</v>
      </c>
      <c r="E84" s="26" t="s">
        <v>127</v>
      </c>
      <c r="F84" s="165" t="s">
        <v>440</v>
      </c>
      <c r="G84" s="29" t="s">
        <v>439</v>
      </c>
      <c r="H84" s="41" t="s">
        <v>94</v>
      </c>
      <c r="I84" s="7" t="s">
        <v>112</v>
      </c>
      <c r="J84" s="20" t="s">
        <v>418</v>
      </c>
      <c r="K84" s="26" t="s">
        <v>127</v>
      </c>
      <c r="L84" s="20" t="s">
        <v>114</v>
      </c>
      <c r="M84" s="26" t="s">
        <v>127</v>
      </c>
      <c r="N84" s="21" t="s">
        <v>391</v>
      </c>
      <c r="O84" s="47" t="s">
        <v>413</v>
      </c>
      <c r="P84" s="26" t="s">
        <v>127</v>
      </c>
      <c r="Q84" s="2" t="s">
        <v>414</v>
      </c>
      <c r="R84" s="2" t="s">
        <v>414</v>
      </c>
      <c r="S84" s="6" t="s">
        <v>415</v>
      </c>
      <c r="T84" s="13" t="s">
        <v>416</v>
      </c>
      <c r="U84" s="10" t="s">
        <v>108</v>
      </c>
      <c r="V84" s="10">
        <v>1</v>
      </c>
      <c r="W84" s="24" t="s">
        <v>121</v>
      </c>
      <c r="X84" s="24" t="s">
        <v>122</v>
      </c>
      <c r="Y84" s="30"/>
      <c r="Z84" s="30">
        <v>15</v>
      </c>
      <c r="AA84" s="30">
        <v>15</v>
      </c>
      <c r="AB84" s="24" t="s">
        <v>111</v>
      </c>
      <c r="AC84" s="26" t="s">
        <v>3400</v>
      </c>
      <c r="AD84" s="24" t="s">
        <v>111</v>
      </c>
      <c r="AE84" s="9"/>
    </row>
    <row r="85" spans="1:31" s="11" customFormat="1" ht="27.95" hidden="1" customHeight="1" x14ac:dyDescent="0.15">
      <c r="A85" s="8">
        <v>83</v>
      </c>
      <c r="B85" s="8" t="s">
        <v>550</v>
      </c>
      <c r="C85" s="26" t="s">
        <v>382</v>
      </c>
      <c r="D85" s="26" t="s">
        <v>382</v>
      </c>
      <c r="E85" s="26" t="s">
        <v>127</v>
      </c>
      <c r="F85" s="55" t="s">
        <v>442</v>
      </c>
      <c r="G85" s="56" t="s">
        <v>441</v>
      </c>
      <c r="H85" s="42" t="s">
        <v>94</v>
      </c>
      <c r="I85" s="42" t="s">
        <v>112</v>
      </c>
      <c r="J85" s="27" t="s">
        <v>424</v>
      </c>
      <c r="K85" s="26" t="s">
        <v>127</v>
      </c>
      <c r="L85" s="27" t="s">
        <v>115</v>
      </c>
      <c r="M85" s="26" t="s">
        <v>127</v>
      </c>
      <c r="N85" s="21" t="s">
        <v>391</v>
      </c>
      <c r="O85" s="47" t="s">
        <v>413</v>
      </c>
      <c r="P85" s="26" t="s">
        <v>127</v>
      </c>
      <c r="Q85" s="2" t="s">
        <v>414</v>
      </c>
      <c r="R85" s="2" t="s">
        <v>414</v>
      </c>
      <c r="S85" s="6" t="s">
        <v>415</v>
      </c>
      <c r="T85" s="13" t="s">
        <v>416</v>
      </c>
      <c r="U85" s="10" t="s">
        <v>108</v>
      </c>
      <c r="V85" s="10">
        <v>1</v>
      </c>
      <c r="W85" s="24" t="s">
        <v>121</v>
      </c>
      <c r="X85" s="24" t="s">
        <v>122</v>
      </c>
      <c r="Y85" s="30"/>
      <c r="Z85" s="30">
        <v>15</v>
      </c>
      <c r="AA85" s="30">
        <v>15</v>
      </c>
      <c r="AB85" s="24" t="s">
        <v>111</v>
      </c>
      <c r="AC85" s="26" t="s">
        <v>3400</v>
      </c>
      <c r="AD85" s="24" t="s">
        <v>111</v>
      </c>
      <c r="AE85" s="9"/>
    </row>
    <row r="86" spans="1:31" s="11" customFormat="1" ht="27.95" hidden="1" customHeight="1" x14ac:dyDescent="0.15">
      <c r="A86" s="8">
        <v>84</v>
      </c>
      <c r="B86" s="8" t="s">
        <v>443</v>
      </c>
      <c r="C86" s="26" t="s">
        <v>127</v>
      </c>
      <c r="D86" s="26" t="s">
        <v>127</v>
      </c>
      <c r="E86" s="26" t="s">
        <v>127</v>
      </c>
      <c r="F86" s="55" t="s">
        <v>449</v>
      </c>
      <c r="G86" s="56" t="s">
        <v>450</v>
      </c>
      <c r="H86" s="1" t="s">
        <v>3396</v>
      </c>
      <c r="I86" s="20" t="s">
        <v>225</v>
      </c>
      <c r="J86" s="27" t="s">
        <v>1127</v>
      </c>
      <c r="K86" s="26" t="s">
        <v>127</v>
      </c>
      <c r="L86" s="27" t="s">
        <v>452</v>
      </c>
      <c r="M86" s="26" t="s">
        <v>127</v>
      </c>
      <c r="N86" s="21" t="s">
        <v>445</v>
      </c>
      <c r="O86" s="47" t="s">
        <v>495</v>
      </c>
      <c r="P86" s="26" t="s">
        <v>127</v>
      </c>
      <c r="Q86" s="2" t="s">
        <v>446</v>
      </c>
      <c r="R86" s="2" t="s">
        <v>446</v>
      </c>
      <c r="S86" s="6" t="s">
        <v>447</v>
      </c>
      <c r="T86" s="13">
        <v>2017.7</v>
      </c>
      <c r="U86" s="10" t="s">
        <v>110</v>
      </c>
      <c r="V86" s="10">
        <v>1</v>
      </c>
      <c r="W86" s="24" t="s">
        <v>448</v>
      </c>
      <c r="X86" s="24" t="s">
        <v>448</v>
      </c>
      <c r="Y86" s="136">
        <v>7.9316240000000002</v>
      </c>
      <c r="Z86" s="30"/>
      <c r="AA86" s="136">
        <v>7.9316240000000002</v>
      </c>
      <c r="AB86" s="24" t="s">
        <v>111</v>
      </c>
      <c r="AC86" s="26" t="s">
        <v>127</v>
      </c>
      <c r="AD86" s="24" t="s">
        <v>111</v>
      </c>
      <c r="AE86" s="9" t="s">
        <v>3390</v>
      </c>
    </row>
    <row r="87" spans="1:31" s="11" customFormat="1" ht="27.95" hidden="1" customHeight="1" x14ac:dyDescent="0.15">
      <c r="A87" s="8">
        <v>85</v>
      </c>
      <c r="B87" s="8" t="s">
        <v>444</v>
      </c>
      <c r="C87" s="26" t="s">
        <v>460</v>
      </c>
      <c r="D87" s="26" t="s">
        <v>127</v>
      </c>
      <c r="E87" s="26" t="s">
        <v>127</v>
      </c>
      <c r="F87" s="55" t="s">
        <v>503</v>
      </c>
      <c r="G87" s="56" t="s">
        <v>459</v>
      </c>
      <c r="H87" s="20" t="s">
        <v>3394</v>
      </c>
      <c r="I87" s="18" t="s">
        <v>451</v>
      </c>
      <c r="J87" s="27" t="s">
        <v>453</v>
      </c>
      <c r="K87" s="26" t="s">
        <v>127</v>
      </c>
      <c r="L87" s="27" t="s">
        <v>453</v>
      </c>
      <c r="M87" s="26" t="s">
        <v>127</v>
      </c>
      <c r="N87" s="21" t="s">
        <v>454</v>
      </c>
      <c r="O87" s="47" t="s">
        <v>456</v>
      </c>
      <c r="P87" s="26" t="s">
        <v>127</v>
      </c>
      <c r="Q87" s="2" t="s">
        <v>455</v>
      </c>
      <c r="R87" s="2" t="s">
        <v>455</v>
      </c>
      <c r="S87" s="11" t="s">
        <v>458</v>
      </c>
      <c r="T87" s="13">
        <v>2017.7</v>
      </c>
      <c r="U87" s="10" t="s">
        <v>110</v>
      </c>
      <c r="V87" s="10">
        <v>2</v>
      </c>
      <c r="W87" s="8" t="s">
        <v>457</v>
      </c>
      <c r="X87" s="24"/>
      <c r="Y87" s="136">
        <v>19.965812</v>
      </c>
      <c r="Z87" s="30"/>
      <c r="AA87" s="136">
        <v>19.965812</v>
      </c>
      <c r="AB87" s="24" t="s">
        <v>111</v>
      </c>
      <c r="AC87" s="26" t="s">
        <v>3401</v>
      </c>
      <c r="AD87" s="24" t="s">
        <v>111</v>
      </c>
      <c r="AE87" s="9" t="s">
        <v>5104</v>
      </c>
    </row>
    <row r="88" spans="1:31" s="11" customFormat="1" ht="27.95" hidden="1" customHeight="1" x14ac:dyDescent="0.15">
      <c r="A88" s="1967">
        <v>86</v>
      </c>
      <c r="B88" s="1967" t="s">
        <v>484</v>
      </c>
      <c r="C88" s="26" t="s">
        <v>494</v>
      </c>
      <c r="D88" s="1969" t="s">
        <v>127</v>
      </c>
      <c r="E88" s="1969" t="s">
        <v>2354</v>
      </c>
      <c r="F88" s="1971" t="s">
        <v>492</v>
      </c>
      <c r="G88" s="1973" t="s">
        <v>493</v>
      </c>
      <c r="H88" s="18" t="s">
        <v>1433</v>
      </c>
      <c r="I88" s="18" t="s">
        <v>556</v>
      </c>
      <c r="J88" s="27" t="s">
        <v>485</v>
      </c>
      <c r="K88" s="26" t="s">
        <v>127</v>
      </c>
      <c r="L88" s="27" t="s">
        <v>491</v>
      </c>
      <c r="M88" s="26" t="s">
        <v>127</v>
      </c>
      <c r="N88" s="1961" t="s">
        <v>67</v>
      </c>
      <c r="O88" s="1963" t="s">
        <v>2431</v>
      </c>
      <c r="P88" s="26" t="s">
        <v>127</v>
      </c>
      <c r="Q88" s="1965" t="s">
        <v>488</v>
      </c>
      <c r="R88" s="1965" t="s">
        <v>488</v>
      </c>
      <c r="S88" s="1957" t="s">
        <v>489</v>
      </c>
      <c r="T88" s="1959">
        <v>2017</v>
      </c>
      <c r="U88" s="1959" t="s">
        <v>110</v>
      </c>
      <c r="V88" s="1959">
        <v>1</v>
      </c>
      <c r="W88" s="1975" t="s">
        <v>448</v>
      </c>
      <c r="X88" s="1975" t="s">
        <v>448</v>
      </c>
      <c r="Y88" s="1977">
        <v>21.415384</v>
      </c>
      <c r="Z88" s="1979"/>
      <c r="AA88" s="1977">
        <v>21.415384</v>
      </c>
      <c r="AB88" s="24" t="s">
        <v>111</v>
      </c>
      <c r="AC88" s="26" t="s">
        <v>2538</v>
      </c>
      <c r="AD88" s="24" t="s">
        <v>111</v>
      </c>
      <c r="AE88" s="1954" t="s">
        <v>4058</v>
      </c>
    </row>
    <row r="89" spans="1:31" s="11" customFormat="1" ht="27.95" customHeight="1" x14ac:dyDescent="0.15">
      <c r="A89" s="1968"/>
      <c r="B89" s="1968"/>
      <c r="C89" s="26" t="s">
        <v>486</v>
      </c>
      <c r="D89" s="1970"/>
      <c r="E89" s="1970"/>
      <c r="F89" s="1972"/>
      <c r="G89" s="1974"/>
      <c r="H89" s="18" t="s">
        <v>2116</v>
      </c>
      <c r="I89" s="18" t="s">
        <v>490</v>
      </c>
      <c r="J89" s="27" t="s">
        <v>487</v>
      </c>
      <c r="K89" s="26" t="s">
        <v>127</v>
      </c>
      <c r="L89" s="27" t="s">
        <v>491</v>
      </c>
      <c r="M89" s="26" t="s">
        <v>127</v>
      </c>
      <c r="N89" s="1962"/>
      <c r="O89" s="1964"/>
      <c r="P89" s="26" t="s">
        <v>127</v>
      </c>
      <c r="Q89" s="1966"/>
      <c r="R89" s="1966"/>
      <c r="S89" s="1958"/>
      <c r="T89" s="1960"/>
      <c r="U89" s="1960"/>
      <c r="V89" s="1960"/>
      <c r="W89" s="1976"/>
      <c r="X89" s="1976"/>
      <c r="Y89" s="1978"/>
      <c r="Z89" s="1980"/>
      <c r="AA89" s="1978"/>
      <c r="AB89" s="24" t="s">
        <v>111</v>
      </c>
      <c r="AC89" s="26" t="s">
        <v>2538</v>
      </c>
      <c r="AD89" s="24" t="s">
        <v>111</v>
      </c>
      <c r="AE89" s="1955"/>
    </row>
    <row r="90" spans="1:31" s="11" customFormat="1" ht="45" hidden="1" x14ac:dyDescent="0.15">
      <c r="A90" s="8">
        <v>87</v>
      </c>
      <c r="B90" s="8" t="s">
        <v>496</v>
      </c>
      <c r="C90" s="26" t="s">
        <v>534</v>
      </c>
      <c r="D90" s="26" t="s">
        <v>19</v>
      </c>
      <c r="E90" s="26" t="s">
        <v>19</v>
      </c>
      <c r="F90" s="55" t="s">
        <v>504</v>
      </c>
      <c r="G90" s="56" t="s">
        <v>505</v>
      </c>
      <c r="H90" s="42" t="s">
        <v>507</v>
      </c>
      <c r="I90" s="42" t="s">
        <v>506</v>
      </c>
      <c r="J90" s="27" t="s">
        <v>508</v>
      </c>
      <c r="K90" s="26" t="s">
        <v>127</v>
      </c>
      <c r="L90" s="27" t="s">
        <v>491</v>
      </c>
      <c r="M90" s="26" t="s">
        <v>127</v>
      </c>
      <c r="N90" s="21" t="s">
        <v>512</v>
      </c>
      <c r="O90" s="47" t="s">
        <v>558</v>
      </c>
      <c r="P90" s="26" t="s">
        <v>127</v>
      </c>
      <c r="Q90" s="2" t="s">
        <v>509</v>
      </c>
      <c r="R90" s="2" t="s">
        <v>509</v>
      </c>
      <c r="S90" s="6" t="s">
        <v>510</v>
      </c>
      <c r="T90" s="13" t="s">
        <v>511</v>
      </c>
      <c r="U90" s="10" t="s">
        <v>108</v>
      </c>
      <c r="V90" s="10">
        <v>1</v>
      </c>
      <c r="W90" s="24" t="s">
        <v>448</v>
      </c>
      <c r="X90" s="24" t="s">
        <v>448</v>
      </c>
      <c r="Y90" s="30">
        <v>6.89</v>
      </c>
      <c r="Z90" s="30"/>
      <c r="AA90" s="30">
        <v>6.89</v>
      </c>
      <c r="AB90" s="24" t="s">
        <v>111</v>
      </c>
      <c r="AC90" s="26" t="s">
        <v>2538</v>
      </c>
      <c r="AD90" s="24" t="s">
        <v>111</v>
      </c>
      <c r="AE90" s="9"/>
    </row>
    <row r="91" spans="1:31" s="11" customFormat="1" ht="27.95" hidden="1" customHeight="1" x14ac:dyDescent="0.15">
      <c r="A91" s="8">
        <v>88</v>
      </c>
      <c r="B91" s="8" t="s">
        <v>497</v>
      </c>
      <c r="C91" s="26" t="s">
        <v>535</v>
      </c>
      <c r="D91" s="26" t="s">
        <v>19</v>
      </c>
      <c r="E91" s="26" t="s">
        <v>19</v>
      </c>
      <c r="F91" s="55" t="s">
        <v>442</v>
      </c>
      <c r="G91" s="56" t="s">
        <v>513</v>
      </c>
      <c r="H91" s="42" t="s">
        <v>507</v>
      </c>
      <c r="I91" s="42" t="s">
        <v>506</v>
      </c>
      <c r="J91" s="27" t="s">
        <v>514</v>
      </c>
      <c r="K91" s="26" t="s">
        <v>127</v>
      </c>
      <c r="L91" s="80" t="s">
        <v>115</v>
      </c>
      <c r="M91" s="26" t="s">
        <v>127</v>
      </c>
      <c r="N91" s="21" t="s">
        <v>512</v>
      </c>
      <c r="O91" s="47" t="s">
        <v>515</v>
      </c>
      <c r="P91" s="26" t="s">
        <v>127</v>
      </c>
      <c r="Q91" s="2" t="s">
        <v>509</v>
      </c>
      <c r="R91" s="2" t="s">
        <v>509</v>
      </c>
      <c r="S91" s="6" t="s">
        <v>510</v>
      </c>
      <c r="T91" s="13" t="s">
        <v>511</v>
      </c>
      <c r="U91" s="10" t="s">
        <v>108</v>
      </c>
      <c r="V91" s="10">
        <v>1</v>
      </c>
      <c r="W91" s="24" t="s">
        <v>448</v>
      </c>
      <c r="X91" s="24" t="s">
        <v>448</v>
      </c>
      <c r="Y91" s="30">
        <v>8.8949999999999996</v>
      </c>
      <c r="Z91" s="30"/>
      <c r="AA91" s="30">
        <f>Y91+Z91</f>
        <v>8.8949999999999996</v>
      </c>
      <c r="AB91" s="24" t="s">
        <v>111</v>
      </c>
      <c r="AC91" s="26" t="s">
        <v>2538</v>
      </c>
      <c r="AD91" s="24" t="s">
        <v>111</v>
      </c>
      <c r="AE91" s="9"/>
    </row>
    <row r="92" spans="1:31" s="11" customFormat="1" ht="27.95" hidden="1" customHeight="1" x14ac:dyDescent="0.15">
      <c r="A92" s="8">
        <v>89</v>
      </c>
      <c r="B92" s="8" t="s">
        <v>498</v>
      </c>
      <c r="C92" s="26" t="s">
        <v>537</v>
      </c>
      <c r="D92" s="26" t="s">
        <v>19</v>
      </c>
      <c r="E92" s="26" t="s">
        <v>19</v>
      </c>
      <c r="F92" s="55" t="s">
        <v>516</v>
      </c>
      <c r="G92" s="56" t="s">
        <v>517</v>
      </c>
      <c r="H92" s="42" t="s">
        <v>507</v>
      </c>
      <c r="I92" s="42" t="s">
        <v>506</v>
      </c>
      <c r="J92" s="9" t="s">
        <v>518</v>
      </c>
      <c r="K92" s="26" t="s">
        <v>127</v>
      </c>
      <c r="L92" s="9" t="s">
        <v>519</v>
      </c>
      <c r="M92" s="26" t="s">
        <v>127</v>
      </c>
      <c r="N92" s="21" t="s">
        <v>512</v>
      </c>
      <c r="O92" s="47" t="s">
        <v>515</v>
      </c>
      <c r="P92" s="26" t="s">
        <v>127</v>
      </c>
      <c r="Q92" s="2" t="s">
        <v>509</v>
      </c>
      <c r="R92" s="2" t="s">
        <v>509</v>
      </c>
      <c r="S92" s="6" t="s">
        <v>510</v>
      </c>
      <c r="T92" s="13" t="s">
        <v>511</v>
      </c>
      <c r="U92" s="10" t="s">
        <v>108</v>
      </c>
      <c r="V92" s="10">
        <v>1</v>
      </c>
      <c r="W92" s="24" t="s">
        <v>448</v>
      </c>
      <c r="X92" s="24" t="s">
        <v>448</v>
      </c>
      <c r="Y92" s="30">
        <v>5.65</v>
      </c>
      <c r="Z92" s="30"/>
      <c r="AA92" s="30">
        <f t="shared" ref="AA92:AA160" si="0">Y92+Z92</f>
        <v>5.65</v>
      </c>
      <c r="AB92" s="24" t="s">
        <v>111</v>
      </c>
      <c r="AC92" s="26" t="s">
        <v>2538</v>
      </c>
      <c r="AD92" s="24" t="s">
        <v>111</v>
      </c>
      <c r="AE92" s="9"/>
    </row>
    <row r="93" spans="1:31" s="11" customFormat="1" ht="27.95" hidden="1" customHeight="1" x14ac:dyDescent="0.15">
      <c r="A93" s="8">
        <v>90</v>
      </c>
      <c r="B93" s="8" t="s">
        <v>499</v>
      </c>
      <c r="C93" s="26" t="s">
        <v>536</v>
      </c>
      <c r="D93" s="26" t="s">
        <v>19</v>
      </c>
      <c r="E93" s="26" t="s">
        <v>19</v>
      </c>
      <c r="F93" s="54" t="s">
        <v>412</v>
      </c>
      <c r="G93" s="56" t="s">
        <v>520</v>
      </c>
      <c r="H93" s="42" t="s">
        <v>507</v>
      </c>
      <c r="I93" s="42" t="s">
        <v>506</v>
      </c>
      <c r="J93" s="9" t="s">
        <v>521</v>
      </c>
      <c r="K93" s="26" t="s">
        <v>127</v>
      </c>
      <c r="L93" s="9" t="s">
        <v>522</v>
      </c>
      <c r="M93" s="26" t="s">
        <v>127</v>
      </c>
      <c r="N93" s="21" t="s">
        <v>512</v>
      </c>
      <c r="O93" s="47" t="s">
        <v>515</v>
      </c>
      <c r="P93" s="26" t="s">
        <v>127</v>
      </c>
      <c r="Q93" s="2" t="s">
        <v>509</v>
      </c>
      <c r="R93" s="2" t="s">
        <v>509</v>
      </c>
      <c r="S93" s="6" t="s">
        <v>510</v>
      </c>
      <c r="T93" s="13" t="s">
        <v>511</v>
      </c>
      <c r="U93" s="10" t="s">
        <v>108</v>
      </c>
      <c r="V93" s="10">
        <v>1</v>
      </c>
      <c r="W93" s="24" t="s">
        <v>448</v>
      </c>
      <c r="X93" s="24" t="s">
        <v>448</v>
      </c>
      <c r="Y93" s="30">
        <v>15.785</v>
      </c>
      <c r="Z93" s="30"/>
      <c r="AA93" s="30">
        <f t="shared" si="0"/>
        <v>15.785</v>
      </c>
      <c r="AB93" s="24" t="s">
        <v>111</v>
      </c>
      <c r="AC93" s="26" t="s">
        <v>2538</v>
      </c>
      <c r="AD93" s="24" t="s">
        <v>111</v>
      </c>
      <c r="AE93" s="9"/>
    </row>
    <row r="94" spans="1:31" s="11" customFormat="1" ht="27.95" hidden="1" customHeight="1" x14ac:dyDescent="0.15">
      <c r="A94" s="8">
        <v>91</v>
      </c>
      <c r="B94" s="8" t="s">
        <v>500</v>
      </c>
      <c r="C94" s="26" t="s">
        <v>538</v>
      </c>
      <c r="D94" s="26" t="s">
        <v>19</v>
      </c>
      <c r="E94" s="26" t="s">
        <v>19</v>
      </c>
      <c r="F94" s="54" t="s">
        <v>523</v>
      </c>
      <c r="G94" s="56" t="s">
        <v>524</v>
      </c>
      <c r="H94" s="42" t="s">
        <v>507</v>
      </c>
      <c r="I94" s="42" t="s">
        <v>506</v>
      </c>
      <c r="J94" s="42" t="s">
        <v>525</v>
      </c>
      <c r="K94" s="26" t="s">
        <v>127</v>
      </c>
      <c r="L94" s="9" t="s">
        <v>522</v>
      </c>
      <c r="M94" s="26" t="s">
        <v>127</v>
      </c>
      <c r="N94" s="21" t="s">
        <v>512</v>
      </c>
      <c r="O94" s="47" t="s">
        <v>515</v>
      </c>
      <c r="P94" s="26" t="s">
        <v>127</v>
      </c>
      <c r="Q94" s="2" t="s">
        <v>509</v>
      </c>
      <c r="R94" s="2" t="s">
        <v>509</v>
      </c>
      <c r="S94" s="6" t="s">
        <v>510</v>
      </c>
      <c r="T94" s="13" t="s">
        <v>511</v>
      </c>
      <c r="U94" s="10" t="s">
        <v>108</v>
      </c>
      <c r="V94" s="10">
        <v>1</v>
      </c>
      <c r="W94" s="24" t="s">
        <v>448</v>
      </c>
      <c r="X94" s="24" t="s">
        <v>448</v>
      </c>
      <c r="Y94" s="30">
        <v>6.89</v>
      </c>
      <c r="Z94" s="30"/>
      <c r="AA94" s="30">
        <f t="shared" si="0"/>
        <v>6.89</v>
      </c>
      <c r="AB94" s="24" t="s">
        <v>111</v>
      </c>
      <c r="AC94" s="26" t="s">
        <v>2538</v>
      </c>
      <c r="AD94" s="24" t="s">
        <v>111</v>
      </c>
      <c r="AE94" s="9"/>
    </row>
    <row r="95" spans="1:31" s="11" customFormat="1" ht="27.95" hidden="1" customHeight="1" x14ac:dyDescent="0.15">
      <c r="A95" s="8">
        <v>92</v>
      </c>
      <c r="B95" s="8" t="s">
        <v>501</v>
      </c>
      <c r="C95" s="26" t="s">
        <v>539</v>
      </c>
      <c r="D95" s="26" t="s">
        <v>19</v>
      </c>
      <c r="E95" s="26" t="s">
        <v>19</v>
      </c>
      <c r="F95" s="54" t="s">
        <v>438</v>
      </c>
      <c r="G95" s="56" t="s">
        <v>526</v>
      </c>
      <c r="H95" s="42" t="s">
        <v>507</v>
      </c>
      <c r="I95" s="42" t="s">
        <v>506</v>
      </c>
      <c r="J95" s="9" t="s">
        <v>527</v>
      </c>
      <c r="K95" s="26" t="s">
        <v>127</v>
      </c>
      <c r="L95" s="9" t="s">
        <v>528</v>
      </c>
      <c r="M95" s="26" t="s">
        <v>127</v>
      </c>
      <c r="N95" s="21" t="s">
        <v>512</v>
      </c>
      <c r="O95" s="47" t="s">
        <v>515</v>
      </c>
      <c r="P95" s="26" t="s">
        <v>127</v>
      </c>
      <c r="Q95" s="2" t="s">
        <v>509</v>
      </c>
      <c r="R95" s="2" t="s">
        <v>509</v>
      </c>
      <c r="S95" s="6" t="s">
        <v>510</v>
      </c>
      <c r="T95" s="13" t="s">
        <v>511</v>
      </c>
      <c r="U95" s="10" t="s">
        <v>108</v>
      </c>
      <c r="V95" s="10">
        <v>1</v>
      </c>
      <c r="W95" s="24" t="s">
        <v>448</v>
      </c>
      <c r="X95" s="24" t="s">
        <v>448</v>
      </c>
      <c r="Y95" s="30">
        <v>6.89</v>
      </c>
      <c r="Z95" s="30"/>
      <c r="AA95" s="30">
        <f t="shared" si="0"/>
        <v>6.89</v>
      </c>
      <c r="AB95" s="24" t="s">
        <v>111</v>
      </c>
      <c r="AC95" s="26" t="s">
        <v>2538</v>
      </c>
      <c r="AD95" s="24" t="s">
        <v>111</v>
      </c>
      <c r="AE95" s="9"/>
    </row>
    <row r="96" spans="1:31" s="11" customFormat="1" ht="27.95" hidden="1" customHeight="1" x14ac:dyDescent="0.15">
      <c r="A96" s="8">
        <v>93</v>
      </c>
      <c r="B96" s="8" t="s">
        <v>502</v>
      </c>
      <c r="C96" s="26" t="s">
        <v>540</v>
      </c>
      <c r="D96" s="26" t="s">
        <v>19</v>
      </c>
      <c r="E96" s="26" t="s">
        <v>19</v>
      </c>
      <c r="F96" s="54" t="s">
        <v>436</v>
      </c>
      <c r="G96" s="56" t="s">
        <v>529</v>
      </c>
      <c r="H96" s="42" t="s">
        <v>507</v>
      </c>
      <c r="I96" s="42" t="s">
        <v>506</v>
      </c>
      <c r="J96" s="9" t="s">
        <v>531</v>
      </c>
      <c r="K96" s="26" t="s">
        <v>127</v>
      </c>
      <c r="L96" s="9" t="s">
        <v>530</v>
      </c>
      <c r="M96" s="26" t="s">
        <v>127</v>
      </c>
      <c r="N96" s="21" t="s">
        <v>512</v>
      </c>
      <c r="O96" s="47" t="s">
        <v>515</v>
      </c>
      <c r="P96" s="26" t="s">
        <v>127</v>
      </c>
      <c r="Q96" s="2" t="s">
        <v>509</v>
      </c>
      <c r="R96" s="2" t="s">
        <v>509</v>
      </c>
      <c r="S96" s="6" t="s">
        <v>510</v>
      </c>
      <c r="T96" s="13" t="s">
        <v>511</v>
      </c>
      <c r="U96" s="10" t="s">
        <v>108</v>
      </c>
      <c r="V96" s="10">
        <v>1</v>
      </c>
      <c r="W96" s="24" t="s">
        <v>448</v>
      </c>
      <c r="X96" s="24" t="s">
        <v>448</v>
      </c>
      <c r="Y96" s="30">
        <v>8.8949999999999996</v>
      </c>
      <c r="Z96" s="30"/>
      <c r="AA96" s="30">
        <f t="shared" si="0"/>
        <v>8.8949999999999996</v>
      </c>
      <c r="AB96" s="24" t="s">
        <v>111</v>
      </c>
      <c r="AC96" s="26" t="s">
        <v>2538</v>
      </c>
      <c r="AD96" s="24" t="s">
        <v>111</v>
      </c>
      <c r="AE96" s="9"/>
    </row>
    <row r="97" spans="1:31" s="11" customFormat="1" ht="27.95" hidden="1" customHeight="1" x14ac:dyDescent="0.15">
      <c r="A97" s="8">
        <v>94</v>
      </c>
      <c r="B97" s="8" t="s">
        <v>1107</v>
      </c>
      <c r="C97" s="26" t="s">
        <v>1108</v>
      </c>
      <c r="D97" s="26" t="s">
        <v>19</v>
      </c>
      <c r="E97" s="26" t="s">
        <v>19</v>
      </c>
      <c r="F97" s="54" t="s">
        <v>440</v>
      </c>
      <c r="G97" s="56" t="s">
        <v>532</v>
      </c>
      <c r="H97" s="42" t="s">
        <v>507</v>
      </c>
      <c r="I97" s="42" t="s">
        <v>506</v>
      </c>
      <c r="J97" s="9" t="s">
        <v>533</v>
      </c>
      <c r="K97" s="26" t="s">
        <v>127</v>
      </c>
      <c r="L97" s="9" t="s">
        <v>522</v>
      </c>
      <c r="M97" s="26" t="s">
        <v>127</v>
      </c>
      <c r="N97" s="21" t="s">
        <v>512</v>
      </c>
      <c r="O97" s="47" t="s">
        <v>515</v>
      </c>
      <c r="P97" s="26" t="s">
        <v>127</v>
      </c>
      <c r="Q97" s="2" t="s">
        <v>509</v>
      </c>
      <c r="R97" s="2" t="s">
        <v>509</v>
      </c>
      <c r="S97" s="6" t="s">
        <v>510</v>
      </c>
      <c r="T97" s="13" t="s">
        <v>511</v>
      </c>
      <c r="U97" s="10" t="s">
        <v>108</v>
      </c>
      <c r="V97" s="10">
        <v>1</v>
      </c>
      <c r="W97" s="24" t="s">
        <v>448</v>
      </c>
      <c r="X97" s="24" t="s">
        <v>448</v>
      </c>
      <c r="Y97" s="30">
        <v>8.8949999999999996</v>
      </c>
      <c r="Z97" s="30"/>
      <c r="AA97" s="30">
        <f t="shared" si="0"/>
        <v>8.8949999999999996</v>
      </c>
      <c r="AB97" s="24" t="s">
        <v>111</v>
      </c>
      <c r="AC97" s="26" t="s">
        <v>2538</v>
      </c>
      <c r="AD97" s="24" t="s">
        <v>111</v>
      </c>
      <c r="AE97" s="9"/>
    </row>
    <row r="98" spans="1:31" s="11" customFormat="1" ht="27.95" hidden="1" customHeight="1" x14ac:dyDescent="0.15">
      <c r="A98" s="8">
        <v>95</v>
      </c>
      <c r="B98" s="8" t="s">
        <v>541</v>
      </c>
      <c r="C98" s="26" t="s">
        <v>19</v>
      </c>
      <c r="D98" s="26" t="s">
        <v>19</v>
      </c>
      <c r="E98" s="26" t="s">
        <v>19</v>
      </c>
      <c r="F98" s="54" t="s">
        <v>542</v>
      </c>
      <c r="G98" s="92" t="s">
        <v>543</v>
      </c>
      <c r="H98" s="20" t="s">
        <v>1415</v>
      </c>
      <c r="I98" s="20" t="s">
        <v>188</v>
      </c>
      <c r="J98" s="9" t="s">
        <v>685</v>
      </c>
      <c r="K98" s="26" t="s">
        <v>127</v>
      </c>
      <c r="L98" s="9" t="s">
        <v>544</v>
      </c>
      <c r="M98" s="26" t="s">
        <v>127</v>
      </c>
      <c r="N98" s="9" t="s">
        <v>686</v>
      </c>
      <c r="O98" s="54" t="s">
        <v>687</v>
      </c>
      <c r="P98" s="26" t="s">
        <v>127</v>
      </c>
      <c r="Q98" s="9" t="s">
        <v>133</v>
      </c>
      <c r="R98" s="9" t="s">
        <v>545</v>
      </c>
      <c r="S98" s="9" t="s">
        <v>174</v>
      </c>
      <c r="T98" s="9" t="s">
        <v>559</v>
      </c>
      <c r="U98" s="10" t="s">
        <v>3417</v>
      </c>
      <c r="V98" s="10">
        <v>0</v>
      </c>
      <c r="W98" s="24" t="s">
        <v>448</v>
      </c>
      <c r="X98" s="24" t="s">
        <v>448</v>
      </c>
      <c r="Y98" s="30">
        <v>2</v>
      </c>
      <c r="Z98" s="30"/>
      <c r="AA98" s="30">
        <f t="shared" si="0"/>
        <v>2</v>
      </c>
      <c r="AB98" s="24" t="s">
        <v>111</v>
      </c>
      <c r="AC98" s="26" t="s">
        <v>2538</v>
      </c>
      <c r="AD98" s="24" t="s">
        <v>111</v>
      </c>
      <c r="AE98" s="9"/>
    </row>
    <row r="99" spans="1:31" s="11" customFormat="1" ht="27.95" hidden="1" customHeight="1" x14ac:dyDescent="0.15">
      <c r="A99" s="8">
        <v>96</v>
      </c>
      <c r="B99" s="8" t="s">
        <v>560</v>
      </c>
      <c r="C99" s="26" t="s">
        <v>561</v>
      </c>
      <c r="D99" s="9" t="s">
        <v>19</v>
      </c>
      <c r="E99" s="9" t="s">
        <v>19</v>
      </c>
      <c r="F99" s="54" t="s">
        <v>564</v>
      </c>
      <c r="G99" s="54" t="s">
        <v>565</v>
      </c>
      <c r="H99" s="9" t="s">
        <v>507</v>
      </c>
      <c r="I99" s="20" t="s">
        <v>556</v>
      </c>
      <c r="J99" s="9" t="s">
        <v>562</v>
      </c>
      <c r="K99" s="26" t="s">
        <v>127</v>
      </c>
      <c r="L99" s="9" t="s">
        <v>563</v>
      </c>
      <c r="M99" s="26" t="s">
        <v>127</v>
      </c>
      <c r="N99" s="21" t="s">
        <v>512</v>
      </c>
      <c r="O99" s="54" t="s">
        <v>515</v>
      </c>
      <c r="P99" s="26" t="s">
        <v>127</v>
      </c>
      <c r="Q99" s="9" t="s">
        <v>567</v>
      </c>
      <c r="R99" s="9" t="s">
        <v>567</v>
      </c>
      <c r="S99" s="9" t="s">
        <v>568</v>
      </c>
      <c r="T99" s="9" t="s">
        <v>569</v>
      </c>
      <c r="U99" s="10" t="s">
        <v>110</v>
      </c>
      <c r="V99" s="10">
        <v>1</v>
      </c>
      <c r="W99" s="24" t="s">
        <v>448</v>
      </c>
      <c r="X99" s="24" t="s">
        <v>448</v>
      </c>
      <c r="Y99" s="30">
        <v>7.7</v>
      </c>
      <c r="Z99" s="30"/>
      <c r="AA99" s="30">
        <f t="shared" si="0"/>
        <v>7.7</v>
      </c>
      <c r="AB99" s="24" t="s">
        <v>111</v>
      </c>
      <c r="AC99" s="26" t="s">
        <v>2538</v>
      </c>
      <c r="AD99" s="24" t="s">
        <v>111</v>
      </c>
      <c r="AE99" s="9"/>
    </row>
    <row r="100" spans="1:31" s="11" customFormat="1" ht="27.95" hidden="1" customHeight="1" x14ac:dyDescent="0.15">
      <c r="A100" s="8">
        <v>97</v>
      </c>
      <c r="B100" s="8" t="s">
        <v>572</v>
      </c>
      <c r="C100" s="26" t="s">
        <v>19</v>
      </c>
      <c r="D100" s="26" t="s">
        <v>19</v>
      </c>
      <c r="E100" s="26" t="s">
        <v>19</v>
      </c>
      <c r="F100" s="54" t="s">
        <v>573</v>
      </c>
      <c r="G100" s="54" t="s">
        <v>574</v>
      </c>
      <c r="H100" s="20" t="s">
        <v>3394</v>
      </c>
      <c r="I100" s="20" t="s">
        <v>571</v>
      </c>
      <c r="J100" s="9" t="s">
        <v>578</v>
      </c>
      <c r="K100" s="26" t="s">
        <v>127</v>
      </c>
      <c r="L100" s="9" t="s">
        <v>570</v>
      </c>
      <c r="M100" s="26" t="s">
        <v>127</v>
      </c>
      <c r="N100" s="21" t="s">
        <v>575</v>
      </c>
      <c r="O100" s="54" t="s">
        <v>576</v>
      </c>
      <c r="P100" s="26" t="s">
        <v>127</v>
      </c>
      <c r="Q100" s="9" t="s">
        <v>577</v>
      </c>
      <c r="R100" s="9" t="s">
        <v>577</v>
      </c>
      <c r="S100" s="9" t="s">
        <v>566</v>
      </c>
      <c r="T100" s="9">
        <v>2017.2</v>
      </c>
      <c r="U100" s="10" t="s">
        <v>110</v>
      </c>
      <c r="V100" s="10">
        <v>3</v>
      </c>
      <c r="W100" s="24" t="s">
        <v>579</v>
      </c>
      <c r="X100" s="24" t="s">
        <v>580</v>
      </c>
      <c r="Y100" s="30"/>
      <c r="Z100" s="30">
        <v>8.8000000000000007</v>
      </c>
      <c r="AA100" s="30">
        <f t="shared" si="0"/>
        <v>8.8000000000000007</v>
      </c>
      <c r="AB100" s="24" t="s">
        <v>111</v>
      </c>
      <c r="AC100" s="26" t="s">
        <v>2538</v>
      </c>
      <c r="AD100" s="24" t="s">
        <v>111</v>
      </c>
      <c r="AE100" s="9"/>
    </row>
    <row r="101" spans="1:31" s="11" customFormat="1" ht="27.95" hidden="1" customHeight="1" x14ac:dyDescent="0.15">
      <c r="A101" s="8">
        <v>98</v>
      </c>
      <c r="B101" s="8" t="s">
        <v>644</v>
      </c>
      <c r="C101" s="26" t="s">
        <v>19</v>
      </c>
      <c r="D101" s="26" t="s">
        <v>19</v>
      </c>
      <c r="E101" s="8" t="s">
        <v>3244</v>
      </c>
      <c r="F101" s="54" t="s">
        <v>645</v>
      </c>
      <c r="G101" s="54" t="s">
        <v>652</v>
      </c>
      <c r="H101" s="20" t="s">
        <v>1415</v>
      </c>
      <c r="I101" s="20" t="s">
        <v>646</v>
      </c>
      <c r="J101" s="9" t="s">
        <v>647</v>
      </c>
      <c r="K101" s="26" t="s">
        <v>127</v>
      </c>
      <c r="L101" s="9" t="s">
        <v>491</v>
      </c>
      <c r="M101" s="26" t="s">
        <v>127</v>
      </c>
      <c r="N101" s="21" t="s">
        <v>454</v>
      </c>
      <c r="O101" s="47" t="s">
        <v>660</v>
      </c>
      <c r="P101" s="26" t="s">
        <v>127</v>
      </c>
      <c r="Q101" s="9" t="s">
        <v>651</v>
      </c>
      <c r="R101" s="9" t="s">
        <v>545</v>
      </c>
      <c r="S101" s="9" t="s">
        <v>648</v>
      </c>
      <c r="T101" s="9" t="s">
        <v>649</v>
      </c>
      <c r="U101" s="10" t="s">
        <v>110</v>
      </c>
      <c r="V101" s="10">
        <v>1</v>
      </c>
      <c r="W101" s="8" t="s">
        <v>650</v>
      </c>
      <c r="X101" s="24"/>
      <c r="Y101" s="30">
        <v>49.832999999999998</v>
      </c>
      <c r="Z101" s="30"/>
      <c r="AA101" s="30">
        <f t="shared" si="0"/>
        <v>49.832999999999998</v>
      </c>
      <c r="AB101" s="24" t="s">
        <v>111</v>
      </c>
      <c r="AC101" s="26" t="s">
        <v>2538</v>
      </c>
      <c r="AD101" s="24" t="s">
        <v>111</v>
      </c>
      <c r="AE101" s="9"/>
    </row>
    <row r="102" spans="1:31" s="11" customFormat="1" ht="27.95" hidden="1" customHeight="1" x14ac:dyDescent="0.15">
      <c r="A102" s="8">
        <v>99</v>
      </c>
      <c r="B102" s="8" t="s">
        <v>662</v>
      </c>
      <c r="C102" s="26" t="s">
        <v>19</v>
      </c>
      <c r="D102" s="26" t="s">
        <v>19</v>
      </c>
      <c r="E102" s="26" t="s">
        <v>19</v>
      </c>
      <c r="F102" s="54" t="s">
        <v>672</v>
      </c>
      <c r="G102" s="54" t="s">
        <v>670</v>
      </c>
      <c r="H102" s="18" t="s">
        <v>1433</v>
      </c>
      <c r="I102" s="20" t="s">
        <v>663</v>
      </c>
      <c r="J102" s="9" t="s">
        <v>664</v>
      </c>
      <c r="K102" s="26" t="s">
        <v>127</v>
      </c>
      <c r="L102" s="9" t="s">
        <v>491</v>
      </c>
      <c r="M102" s="26" t="s">
        <v>127</v>
      </c>
      <c r="N102" s="21" t="s">
        <v>512</v>
      </c>
      <c r="O102" s="54" t="s">
        <v>683</v>
      </c>
      <c r="P102" s="26" t="s">
        <v>127</v>
      </c>
      <c r="Q102" s="9" t="s">
        <v>665</v>
      </c>
      <c r="R102" s="9" t="s">
        <v>665</v>
      </c>
      <c r="S102" s="9" t="s">
        <v>666</v>
      </c>
      <c r="T102" s="9">
        <v>2017.7</v>
      </c>
      <c r="U102" s="10" t="s">
        <v>110</v>
      </c>
      <c r="V102" s="10">
        <v>3</v>
      </c>
      <c r="W102" s="24" t="s">
        <v>448</v>
      </c>
      <c r="X102" s="24" t="s">
        <v>448</v>
      </c>
      <c r="Y102" s="30">
        <v>10</v>
      </c>
      <c r="Z102" s="30"/>
      <c r="AA102" s="30">
        <f t="shared" si="0"/>
        <v>10</v>
      </c>
      <c r="AB102" s="24" t="s">
        <v>111</v>
      </c>
      <c r="AC102" s="26" t="s">
        <v>2538</v>
      </c>
      <c r="AD102" s="24" t="s">
        <v>111</v>
      </c>
      <c r="AE102" s="9"/>
    </row>
    <row r="103" spans="1:31" s="11" customFormat="1" ht="27.95" hidden="1" customHeight="1" x14ac:dyDescent="0.15">
      <c r="A103" s="8">
        <v>100</v>
      </c>
      <c r="B103" s="8" t="s">
        <v>661</v>
      </c>
      <c r="C103" s="26" t="s">
        <v>19</v>
      </c>
      <c r="D103" s="26" t="s">
        <v>19</v>
      </c>
      <c r="E103" s="26" t="s">
        <v>19</v>
      </c>
      <c r="F103" s="54" t="s">
        <v>668</v>
      </c>
      <c r="G103" s="54" t="s">
        <v>669</v>
      </c>
      <c r="H103" s="18" t="s">
        <v>1433</v>
      </c>
      <c r="I103" s="20" t="s">
        <v>663</v>
      </c>
      <c r="J103" s="80" t="s">
        <v>671</v>
      </c>
      <c r="K103" s="26" t="s">
        <v>127</v>
      </c>
      <c r="L103" s="80" t="s">
        <v>667</v>
      </c>
      <c r="M103" s="26" t="s">
        <v>127</v>
      </c>
      <c r="N103" s="21" t="s">
        <v>512</v>
      </c>
      <c r="O103" s="54" t="s">
        <v>683</v>
      </c>
      <c r="P103" s="26" t="s">
        <v>127</v>
      </c>
      <c r="Q103" s="9" t="s">
        <v>665</v>
      </c>
      <c r="R103" s="9" t="s">
        <v>665</v>
      </c>
      <c r="S103" s="9" t="s">
        <v>666</v>
      </c>
      <c r="T103" s="9">
        <v>2017.7</v>
      </c>
      <c r="U103" s="10" t="s">
        <v>110</v>
      </c>
      <c r="V103" s="10">
        <v>3</v>
      </c>
      <c r="W103" s="24" t="s">
        <v>448</v>
      </c>
      <c r="X103" s="24" t="s">
        <v>448</v>
      </c>
      <c r="Y103" s="30">
        <v>10</v>
      </c>
      <c r="Z103" s="30"/>
      <c r="AA103" s="30">
        <f t="shared" si="0"/>
        <v>10</v>
      </c>
      <c r="AB103" s="24" t="s">
        <v>111</v>
      </c>
      <c r="AC103" s="26" t="s">
        <v>2538</v>
      </c>
      <c r="AD103" s="24" t="s">
        <v>111</v>
      </c>
      <c r="AE103" s="9"/>
    </row>
    <row r="104" spans="1:31" s="11" customFormat="1" ht="27.95" hidden="1" customHeight="1" x14ac:dyDescent="0.15">
      <c r="A104" s="8">
        <v>101</v>
      </c>
      <c r="B104" s="8" t="s">
        <v>681</v>
      </c>
      <c r="C104" s="26" t="s">
        <v>19</v>
      </c>
      <c r="D104" s="26" t="s">
        <v>19</v>
      </c>
      <c r="E104" s="26" t="s">
        <v>19</v>
      </c>
      <c r="F104" s="54" t="s">
        <v>673</v>
      </c>
      <c r="G104" s="54" t="s">
        <v>674</v>
      </c>
      <c r="H104" s="1" t="s">
        <v>1460</v>
      </c>
      <c r="I104" s="80" t="s">
        <v>678</v>
      </c>
      <c r="J104" s="9" t="s">
        <v>679</v>
      </c>
      <c r="K104" s="26" t="s">
        <v>127</v>
      </c>
      <c r="L104" s="9" t="s">
        <v>680</v>
      </c>
      <c r="M104" s="26" t="s">
        <v>127</v>
      </c>
      <c r="N104" s="21" t="s">
        <v>25</v>
      </c>
      <c r="O104" s="47" t="s">
        <v>116</v>
      </c>
      <c r="P104" s="26" t="s">
        <v>127</v>
      </c>
      <c r="Q104" s="9" t="s">
        <v>675</v>
      </c>
      <c r="R104" s="9" t="s">
        <v>675</v>
      </c>
      <c r="S104" s="9" t="s">
        <v>676</v>
      </c>
      <c r="T104" s="9" t="s">
        <v>677</v>
      </c>
      <c r="U104" s="10" t="s">
        <v>110</v>
      </c>
      <c r="V104" s="10">
        <v>1</v>
      </c>
      <c r="W104" s="24" t="s">
        <v>677</v>
      </c>
      <c r="X104" s="24" t="s">
        <v>3402</v>
      </c>
      <c r="Y104" s="30"/>
      <c r="Z104" s="30">
        <v>10</v>
      </c>
      <c r="AA104" s="30">
        <f t="shared" si="0"/>
        <v>10</v>
      </c>
      <c r="AB104" s="24" t="s">
        <v>111</v>
      </c>
      <c r="AC104" s="26" t="s">
        <v>2538</v>
      </c>
      <c r="AD104" s="24" t="s">
        <v>111</v>
      </c>
      <c r="AE104" s="9"/>
    </row>
    <row r="105" spans="1:31" s="11" customFormat="1" ht="27.95" hidden="1" customHeight="1" x14ac:dyDescent="0.15">
      <c r="A105" s="8">
        <v>102</v>
      </c>
      <c r="B105" s="8" t="s">
        <v>688</v>
      </c>
      <c r="C105" s="26" t="s">
        <v>19</v>
      </c>
      <c r="D105" s="26" t="s">
        <v>19</v>
      </c>
      <c r="E105" s="26" t="s">
        <v>19</v>
      </c>
      <c r="F105" s="54" t="s">
        <v>689</v>
      </c>
      <c r="G105" s="92" t="s">
        <v>543</v>
      </c>
      <c r="H105" s="20" t="s">
        <v>1415</v>
      </c>
      <c r="I105" s="20" t="s">
        <v>188</v>
      </c>
      <c r="J105" s="9" t="s">
        <v>690</v>
      </c>
      <c r="K105" s="26" t="s">
        <v>127</v>
      </c>
      <c r="L105" s="9" t="s">
        <v>691</v>
      </c>
      <c r="M105" s="26" t="s">
        <v>127</v>
      </c>
      <c r="N105" s="9" t="s">
        <v>686</v>
      </c>
      <c r="O105" s="54" t="s">
        <v>687</v>
      </c>
      <c r="P105" s="26" t="s">
        <v>127</v>
      </c>
      <c r="Q105" s="9" t="s">
        <v>133</v>
      </c>
      <c r="R105" s="9" t="s">
        <v>545</v>
      </c>
      <c r="S105" s="9" t="s">
        <v>174</v>
      </c>
      <c r="T105" s="9" t="s">
        <v>174</v>
      </c>
      <c r="U105" s="10" t="s">
        <v>3417</v>
      </c>
      <c r="V105" s="10">
        <v>0</v>
      </c>
      <c r="W105" s="24" t="s">
        <v>448</v>
      </c>
      <c r="X105" s="24" t="s">
        <v>448</v>
      </c>
      <c r="Y105" s="30">
        <v>2</v>
      </c>
      <c r="Z105" s="30"/>
      <c r="AA105" s="30">
        <f t="shared" si="0"/>
        <v>2</v>
      </c>
      <c r="AB105" s="24" t="s">
        <v>111</v>
      </c>
      <c r="AC105" s="26" t="s">
        <v>2538</v>
      </c>
      <c r="AD105" s="24" t="s">
        <v>111</v>
      </c>
      <c r="AE105" s="9"/>
    </row>
    <row r="106" spans="1:31" s="11" customFormat="1" ht="41.25" hidden="1" customHeight="1" x14ac:dyDescent="0.15">
      <c r="A106" s="8">
        <v>103</v>
      </c>
      <c r="B106" s="8" t="s">
        <v>700</v>
      </c>
      <c r="C106" s="26" t="s">
        <v>692</v>
      </c>
      <c r="D106" s="26" t="s">
        <v>19</v>
      </c>
      <c r="E106" s="8" t="s">
        <v>5328</v>
      </c>
      <c r="F106" s="54" t="s">
        <v>398</v>
      </c>
      <c r="G106" s="54" t="s">
        <v>701</v>
      </c>
      <c r="H106" s="9" t="s">
        <v>507</v>
      </c>
      <c r="I106" s="20" t="s">
        <v>702</v>
      </c>
      <c r="J106" s="9" t="s">
        <v>630</v>
      </c>
      <c r="K106" s="26" t="s">
        <v>127</v>
      </c>
      <c r="L106" s="9" t="s">
        <v>694</v>
      </c>
      <c r="M106" s="26" t="s">
        <v>127</v>
      </c>
      <c r="N106" s="9" t="s">
        <v>734</v>
      </c>
      <c r="O106" s="54" t="s">
        <v>703</v>
      </c>
      <c r="P106" s="26" t="s">
        <v>127</v>
      </c>
      <c r="Q106" s="9" t="s">
        <v>704</v>
      </c>
      <c r="R106" s="9" t="s">
        <v>705</v>
      </c>
      <c r="S106" s="9" t="s">
        <v>706</v>
      </c>
      <c r="T106" s="9">
        <v>2017.6</v>
      </c>
      <c r="U106" s="10" t="s">
        <v>108</v>
      </c>
      <c r="V106" s="10">
        <v>1</v>
      </c>
      <c r="W106" s="24" t="s">
        <v>448</v>
      </c>
      <c r="X106" s="24" t="s">
        <v>448</v>
      </c>
      <c r="Y106" s="30">
        <v>8.5</v>
      </c>
      <c r="Z106" s="30"/>
      <c r="AA106" s="30">
        <f t="shared" si="0"/>
        <v>8.5</v>
      </c>
      <c r="AB106" s="24" t="s">
        <v>111</v>
      </c>
      <c r="AC106" s="26" t="s">
        <v>2538</v>
      </c>
      <c r="AD106" s="24" t="s">
        <v>111</v>
      </c>
      <c r="AE106" s="9"/>
    </row>
    <row r="107" spans="1:31" s="11" customFormat="1" ht="27.95" hidden="1" customHeight="1" x14ac:dyDescent="0.15">
      <c r="A107" s="8">
        <v>104</v>
      </c>
      <c r="B107" s="8" t="s">
        <v>695</v>
      </c>
      <c r="C107" s="26" t="s">
        <v>708</v>
      </c>
      <c r="D107" s="26" t="s">
        <v>19</v>
      </c>
      <c r="E107" s="26" t="s">
        <v>5334</v>
      </c>
      <c r="F107" s="54" t="s">
        <v>404</v>
      </c>
      <c r="G107" s="54" t="s">
        <v>722</v>
      </c>
      <c r="H107" s="9" t="s">
        <v>507</v>
      </c>
      <c r="I107" s="20" t="s">
        <v>702</v>
      </c>
      <c r="J107" s="9" t="s">
        <v>632</v>
      </c>
      <c r="K107" s="26" t="s">
        <v>127</v>
      </c>
      <c r="L107" s="9" t="s">
        <v>707</v>
      </c>
      <c r="M107" s="26" t="s">
        <v>127</v>
      </c>
      <c r="N107" s="9" t="s">
        <v>686</v>
      </c>
      <c r="O107" s="54" t="s">
        <v>703</v>
      </c>
      <c r="P107" s="26" t="s">
        <v>127</v>
      </c>
      <c r="Q107" s="9" t="s">
        <v>704</v>
      </c>
      <c r="R107" s="9" t="s">
        <v>705</v>
      </c>
      <c r="S107" s="9" t="s">
        <v>706</v>
      </c>
      <c r="T107" s="9">
        <v>2017.6</v>
      </c>
      <c r="U107" s="10" t="s">
        <v>108</v>
      </c>
      <c r="V107" s="10">
        <v>1</v>
      </c>
      <c r="W107" s="24" t="s">
        <v>448</v>
      </c>
      <c r="X107" s="24" t="s">
        <v>448</v>
      </c>
      <c r="Y107" s="30">
        <v>8.5</v>
      </c>
      <c r="Z107" s="30"/>
      <c r="AA107" s="30">
        <f t="shared" si="0"/>
        <v>8.5</v>
      </c>
      <c r="AB107" s="24" t="s">
        <v>111</v>
      </c>
      <c r="AC107" s="26" t="s">
        <v>2538</v>
      </c>
      <c r="AD107" s="24" t="s">
        <v>111</v>
      </c>
      <c r="AE107" s="9"/>
    </row>
    <row r="108" spans="1:31" s="11" customFormat="1" ht="27.95" hidden="1" customHeight="1" x14ac:dyDescent="0.15">
      <c r="A108" s="8">
        <v>105</v>
      </c>
      <c r="B108" s="8" t="s">
        <v>696</v>
      </c>
      <c r="C108" s="18" t="s">
        <v>709</v>
      </c>
      <c r="D108" s="26" t="s">
        <v>19</v>
      </c>
      <c r="E108" s="8" t="s">
        <v>5329</v>
      </c>
      <c r="F108" s="54" t="s">
        <v>724</v>
      </c>
      <c r="G108" s="54" t="s">
        <v>723</v>
      </c>
      <c r="H108" s="9" t="s">
        <v>507</v>
      </c>
      <c r="I108" s="20" t="s">
        <v>702</v>
      </c>
      <c r="J108" s="9" t="s">
        <v>714</v>
      </c>
      <c r="K108" s="26" t="s">
        <v>127</v>
      </c>
      <c r="L108" s="2" t="s">
        <v>715</v>
      </c>
      <c r="M108" s="26" t="s">
        <v>127</v>
      </c>
      <c r="N108" s="9" t="s">
        <v>686</v>
      </c>
      <c r="O108" s="54" t="s">
        <v>703</v>
      </c>
      <c r="P108" s="26" t="s">
        <v>127</v>
      </c>
      <c r="Q108" s="9" t="s">
        <v>704</v>
      </c>
      <c r="R108" s="9" t="s">
        <v>705</v>
      </c>
      <c r="S108" s="9" t="s">
        <v>706</v>
      </c>
      <c r="T108" s="9">
        <v>2017.6</v>
      </c>
      <c r="U108" s="10" t="s">
        <v>108</v>
      </c>
      <c r="V108" s="10">
        <v>1</v>
      </c>
      <c r="W108" s="24" t="s">
        <v>448</v>
      </c>
      <c r="X108" s="24" t="s">
        <v>448</v>
      </c>
      <c r="Y108" s="30">
        <v>8.5</v>
      </c>
      <c r="Z108" s="30"/>
      <c r="AA108" s="30">
        <f t="shared" si="0"/>
        <v>8.5</v>
      </c>
      <c r="AB108" s="24" t="s">
        <v>111</v>
      </c>
      <c r="AC108" s="26" t="s">
        <v>2538</v>
      </c>
      <c r="AD108" s="24" t="s">
        <v>111</v>
      </c>
      <c r="AE108" s="9"/>
    </row>
    <row r="109" spans="1:31" s="11" customFormat="1" ht="27.95" hidden="1" customHeight="1" x14ac:dyDescent="0.15">
      <c r="A109" s="8">
        <v>106</v>
      </c>
      <c r="B109" s="8" t="s">
        <v>697</v>
      </c>
      <c r="C109" s="18" t="s">
        <v>710</v>
      </c>
      <c r="D109" s="26" t="s">
        <v>19</v>
      </c>
      <c r="E109" s="8" t="s">
        <v>5330</v>
      </c>
      <c r="F109" s="54" t="s">
        <v>726</v>
      </c>
      <c r="G109" s="54" t="s">
        <v>725</v>
      </c>
      <c r="H109" s="9" t="s">
        <v>507</v>
      </c>
      <c r="I109" s="20" t="s">
        <v>702</v>
      </c>
      <c r="J109" s="9" t="s">
        <v>716</v>
      </c>
      <c r="K109" s="26" t="s">
        <v>127</v>
      </c>
      <c r="L109" s="2" t="s">
        <v>693</v>
      </c>
      <c r="M109" s="26" t="s">
        <v>127</v>
      </c>
      <c r="N109" s="9" t="s">
        <v>686</v>
      </c>
      <c r="O109" s="54" t="s">
        <v>703</v>
      </c>
      <c r="P109" s="26" t="s">
        <v>127</v>
      </c>
      <c r="Q109" s="9" t="s">
        <v>704</v>
      </c>
      <c r="R109" s="9" t="s">
        <v>705</v>
      </c>
      <c r="S109" s="9" t="s">
        <v>706</v>
      </c>
      <c r="T109" s="9">
        <v>2017.6</v>
      </c>
      <c r="U109" s="10" t="s">
        <v>108</v>
      </c>
      <c r="V109" s="10">
        <v>1</v>
      </c>
      <c r="W109" s="24" t="s">
        <v>448</v>
      </c>
      <c r="X109" s="24" t="s">
        <v>448</v>
      </c>
      <c r="Y109" s="30">
        <v>8.5</v>
      </c>
      <c r="Z109" s="30"/>
      <c r="AA109" s="30">
        <f t="shared" si="0"/>
        <v>8.5</v>
      </c>
      <c r="AB109" s="24" t="s">
        <v>111</v>
      </c>
      <c r="AC109" s="26" t="s">
        <v>2538</v>
      </c>
      <c r="AD109" s="24" t="s">
        <v>111</v>
      </c>
      <c r="AE109" s="9"/>
    </row>
    <row r="110" spans="1:31" s="11" customFormat="1" ht="27.95" hidden="1" customHeight="1" x14ac:dyDescent="0.15">
      <c r="A110" s="8">
        <v>107</v>
      </c>
      <c r="B110" s="8" t="s">
        <v>698</v>
      </c>
      <c r="C110" s="18" t="s">
        <v>711</v>
      </c>
      <c r="D110" s="26" t="s">
        <v>19</v>
      </c>
      <c r="E110" s="8" t="s">
        <v>5331</v>
      </c>
      <c r="F110" s="54" t="s">
        <v>728</v>
      </c>
      <c r="G110" s="54" t="s">
        <v>727</v>
      </c>
      <c r="H110" s="9" t="s">
        <v>507</v>
      </c>
      <c r="I110" s="20" t="s">
        <v>702</v>
      </c>
      <c r="J110" s="9" t="s">
        <v>718</v>
      </c>
      <c r="K110" s="26" t="s">
        <v>127</v>
      </c>
      <c r="L110" s="2" t="s">
        <v>717</v>
      </c>
      <c r="M110" s="26" t="s">
        <v>127</v>
      </c>
      <c r="N110" s="9" t="s">
        <v>686</v>
      </c>
      <c r="O110" s="54" t="s">
        <v>703</v>
      </c>
      <c r="P110" s="26" t="s">
        <v>127</v>
      </c>
      <c r="Q110" s="9" t="s">
        <v>704</v>
      </c>
      <c r="R110" s="9" t="s">
        <v>705</v>
      </c>
      <c r="S110" s="9" t="s">
        <v>706</v>
      </c>
      <c r="T110" s="9">
        <v>2017.6</v>
      </c>
      <c r="U110" s="10" t="s">
        <v>108</v>
      </c>
      <c r="V110" s="10">
        <v>1</v>
      </c>
      <c r="W110" s="24" t="s">
        <v>448</v>
      </c>
      <c r="X110" s="24" t="s">
        <v>448</v>
      </c>
      <c r="Y110" s="30">
        <v>8.5</v>
      </c>
      <c r="Z110" s="30"/>
      <c r="AA110" s="30">
        <f t="shared" si="0"/>
        <v>8.5</v>
      </c>
      <c r="AB110" s="24" t="s">
        <v>111</v>
      </c>
      <c r="AC110" s="26" t="s">
        <v>2538</v>
      </c>
      <c r="AD110" s="24" t="s">
        <v>111</v>
      </c>
      <c r="AE110" s="9"/>
    </row>
    <row r="111" spans="1:31" s="11" customFormat="1" ht="27.95" hidden="1" customHeight="1" x14ac:dyDescent="0.15">
      <c r="A111" s="8">
        <v>108</v>
      </c>
      <c r="B111" s="8" t="s">
        <v>699</v>
      </c>
      <c r="C111" s="18" t="s">
        <v>712</v>
      </c>
      <c r="D111" s="26" t="s">
        <v>19</v>
      </c>
      <c r="E111" s="8" t="s">
        <v>5332</v>
      </c>
      <c r="F111" s="54" t="s">
        <v>731</v>
      </c>
      <c r="G111" s="54" t="s">
        <v>730</v>
      </c>
      <c r="H111" s="9" t="s">
        <v>507</v>
      </c>
      <c r="I111" s="20" t="s">
        <v>702</v>
      </c>
      <c r="J111" s="9" t="s">
        <v>719</v>
      </c>
      <c r="K111" s="26" t="s">
        <v>127</v>
      </c>
      <c r="L111" s="2" t="s">
        <v>729</v>
      </c>
      <c r="M111" s="26" t="s">
        <v>127</v>
      </c>
      <c r="N111" s="9" t="s">
        <v>686</v>
      </c>
      <c r="O111" s="54" t="s">
        <v>703</v>
      </c>
      <c r="P111" s="26" t="s">
        <v>127</v>
      </c>
      <c r="Q111" s="9" t="s">
        <v>704</v>
      </c>
      <c r="R111" s="9" t="s">
        <v>705</v>
      </c>
      <c r="S111" s="9" t="s">
        <v>706</v>
      </c>
      <c r="T111" s="9">
        <v>2017.6</v>
      </c>
      <c r="U111" s="10" t="s">
        <v>108</v>
      </c>
      <c r="V111" s="10">
        <v>1</v>
      </c>
      <c r="W111" s="24" t="s">
        <v>448</v>
      </c>
      <c r="X111" s="24" t="s">
        <v>448</v>
      </c>
      <c r="Y111" s="30">
        <v>8.5</v>
      </c>
      <c r="Z111" s="30"/>
      <c r="AA111" s="30">
        <f t="shared" si="0"/>
        <v>8.5</v>
      </c>
      <c r="AB111" s="24" t="s">
        <v>111</v>
      </c>
      <c r="AC111" s="26" t="s">
        <v>2538</v>
      </c>
      <c r="AD111" s="24" t="s">
        <v>111</v>
      </c>
      <c r="AE111" s="9"/>
    </row>
    <row r="112" spans="1:31" s="11" customFormat="1" ht="27.95" hidden="1" customHeight="1" x14ac:dyDescent="0.15">
      <c r="A112" s="8">
        <v>109</v>
      </c>
      <c r="B112" s="8" t="s">
        <v>741</v>
      </c>
      <c r="C112" s="18" t="s">
        <v>713</v>
      </c>
      <c r="D112" s="26" t="s">
        <v>19</v>
      </c>
      <c r="E112" s="8" t="s">
        <v>5333</v>
      </c>
      <c r="F112" s="54" t="s">
        <v>733</v>
      </c>
      <c r="G112" s="54" t="s">
        <v>732</v>
      </c>
      <c r="H112" s="9" t="s">
        <v>507</v>
      </c>
      <c r="I112" s="20" t="s">
        <v>702</v>
      </c>
      <c r="J112" s="9" t="s">
        <v>721</v>
      </c>
      <c r="K112" s="26" t="s">
        <v>127</v>
      </c>
      <c r="L112" s="2" t="s">
        <v>720</v>
      </c>
      <c r="M112" s="26" t="s">
        <v>127</v>
      </c>
      <c r="N112" s="9" t="s">
        <v>686</v>
      </c>
      <c r="O112" s="54" t="s">
        <v>703</v>
      </c>
      <c r="P112" s="26" t="s">
        <v>127</v>
      </c>
      <c r="Q112" s="9" t="s">
        <v>704</v>
      </c>
      <c r="R112" s="9" t="s">
        <v>705</v>
      </c>
      <c r="S112" s="9" t="s">
        <v>706</v>
      </c>
      <c r="T112" s="9">
        <v>2017.6</v>
      </c>
      <c r="U112" s="10" t="s">
        <v>108</v>
      </c>
      <c r="V112" s="10">
        <v>1</v>
      </c>
      <c r="W112" s="24" t="s">
        <v>448</v>
      </c>
      <c r="X112" s="24" t="s">
        <v>448</v>
      </c>
      <c r="Y112" s="30">
        <v>8.5</v>
      </c>
      <c r="Z112" s="30"/>
      <c r="AA112" s="30">
        <f t="shared" si="0"/>
        <v>8.5</v>
      </c>
      <c r="AB112" s="24" t="s">
        <v>111</v>
      </c>
      <c r="AC112" s="26" t="s">
        <v>2538</v>
      </c>
      <c r="AD112" s="24" t="s">
        <v>111</v>
      </c>
      <c r="AE112" s="9"/>
    </row>
    <row r="113" spans="1:31" s="11" customFormat="1" ht="27.95" hidden="1" customHeight="1" x14ac:dyDescent="0.15">
      <c r="A113" s="8">
        <v>110</v>
      </c>
      <c r="B113" s="8" t="s">
        <v>742</v>
      </c>
      <c r="C113" s="18" t="s">
        <v>739</v>
      </c>
      <c r="D113" s="26" t="s">
        <v>19</v>
      </c>
      <c r="E113" s="26" t="s">
        <v>19</v>
      </c>
      <c r="F113" s="55" t="s">
        <v>740</v>
      </c>
      <c r="G113" s="54" t="s">
        <v>735</v>
      </c>
      <c r="H113" s="9" t="s">
        <v>507</v>
      </c>
      <c r="I113" s="20" t="s">
        <v>736</v>
      </c>
      <c r="J113" s="27" t="s">
        <v>514</v>
      </c>
      <c r="K113" s="26" t="s">
        <v>127</v>
      </c>
      <c r="L113" s="80" t="s">
        <v>115</v>
      </c>
      <c r="M113" s="26" t="s">
        <v>127</v>
      </c>
      <c r="N113" s="9" t="s">
        <v>686</v>
      </c>
      <c r="O113" s="54" t="s">
        <v>640</v>
      </c>
      <c r="P113" s="26" t="s">
        <v>127</v>
      </c>
      <c r="Q113" s="2" t="s">
        <v>509</v>
      </c>
      <c r="R113" s="2" t="s">
        <v>509</v>
      </c>
      <c r="S113" s="9" t="s">
        <v>737</v>
      </c>
      <c r="T113" s="9" t="s">
        <v>738</v>
      </c>
      <c r="U113" s="10" t="s">
        <v>108</v>
      </c>
      <c r="V113" s="10">
        <v>1</v>
      </c>
      <c r="W113" s="24" t="s">
        <v>448</v>
      </c>
      <c r="X113" s="24" t="s">
        <v>448</v>
      </c>
      <c r="Y113" s="30">
        <v>2.92</v>
      </c>
      <c r="Z113" s="30"/>
      <c r="AA113" s="30">
        <f t="shared" si="0"/>
        <v>2.92</v>
      </c>
      <c r="AB113" s="24" t="s">
        <v>111</v>
      </c>
      <c r="AC113" s="26" t="s">
        <v>3403</v>
      </c>
      <c r="AD113" s="24" t="s">
        <v>111</v>
      </c>
      <c r="AE113" s="9"/>
    </row>
    <row r="114" spans="1:31" s="11" customFormat="1" ht="27.95" hidden="1" customHeight="1" x14ac:dyDescent="0.15">
      <c r="A114" s="8">
        <v>111</v>
      </c>
      <c r="B114" s="8" t="s">
        <v>743</v>
      </c>
      <c r="C114" s="18" t="s">
        <v>745</v>
      </c>
      <c r="D114" s="26" t="s">
        <v>19</v>
      </c>
      <c r="E114" s="26" t="s">
        <v>19</v>
      </c>
      <c r="F114" s="55" t="s">
        <v>746</v>
      </c>
      <c r="G114" s="56" t="s">
        <v>753</v>
      </c>
      <c r="H114" s="9" t="s">
        <v>507</v>
      </c>
      <c r="I114" s="20" t="s">
        <v>506</v>
      </c>
      <c r="J114" s="27" t="s">
        <v>749</v>
      </c>
      <c r="K114" s="26" t="s">
        <v>127</v>
      </c>
      <c r="L114" s="80" t="s">
        <v>750</v>
      </c>
      <c r="M114" s="26" t="s">
        <v>127</v>
      </c>
      <c r="N114" s="9" t="s">
        <v>686</v>
      </c>
      <c r="O114" s="54" t="s">
        <v>515</v>
      </c>
      <c r="P114" s="26" t="s">
        <v>127</v>
      </c>
      <c r="Q114" s="2" t="s">
        <v>748</v>
      </c>
      <c r="R114" s="2" t="s">
        <v>748</v>
      </c>
      <c r="S114" s="9" t="s">
        <v>752</v>
      </c>
      <c r="T114" s="9"/>
      <c r="U114" s="10" t="s">
        <v>108</v>
      </c>
      <c r="V114" s="10">
        <v>1</v>
      </c>
      <c r="W114" s="24" t="s">
        <v>448</v>
      </c>
      <c r="X114" s="24" t="s">
        <v>448</v>
      </c>
      <c r="Y114" s="30">
        <v>9.9499999999999993</v>
      </c>
      <c r="Z114" s="30"/>
      <c r="AA114" s="30">
        <f t="shared" si="0"/>
        <v>9.9499999999999993</v>
      </c>
      <c r="AB114" s="24" t="s">
        <v>111</v>
      </c>
      <c r="AC114" s="26" t="s">
        <v>2538</v>
      </c>
      <c r="AD114" s="24" t="s">
        <v>111</v>
      </c>
      <c r="AE114" s="9"/>
    </row>
    <row r="115" spans="1:31" s="11" customFormat="1" ht="27.95" hidden="1" customHeight="1" x14ac:dyDescent="0.15">
      <c r="A115" s="8">
        <v>112</v>
      </c>
      <c r="B115" s="8" t="s">
        <v>744</v>
      </c>
      <c r="C115" s="18" t="s">
        <v>765</v>
      </c>
      <c r="D115" s="26" t="s">
        <v>19</v>
      </c>
      <c r="E115" s="26" t="s">
        <v>19</v>
      </c>
      <c r="F115" s="70" t="s">
        <v>747</v>
      </c>
      <c r="G115" s="56" t="s">
        <v>754</v>
      </c>
      <c r="H115" s="9" t="s">
        <v>507</v>
      </c>
      <c r="I115" s="20" t="s">
        <v>506</v>
      </c>
      <c r="J115" s="27" t="s">
        <v>751</v>
      </c>
      <c r="K115" s="26" t="s">
        <v>127</v>
      </c>
      <c r="L115" s="2" t="s">
        <v>491</v>
      </c>
      <c r="M115" s="26" t="s">
        <v>127</v>
      </c>
      <c r="N115" s="9" t="s">
        <v>686</v>
      </c>
      <c r="O115" s="54" t="s">
        <v>515</v>
      </c>
      <c r="P115" s="26" t="s">
        <v>127</v>
      </c>
      <c r="Q115" s="2" t="s">
        <v>748</v>
      </c>
      <c r="R115" s="2" t="s">
        <v>748</v>
      </c>
      <c r="S115" s="9" t="s">
        <v>752</v>
      </c>
      <c r="T115" s="9"/>
      <c r="U115" s="10" t="s">
        <v>108</v>
      </c>
      <c r="V115" s="10">
        <v>1</v>
      </c>
      <c r="W115" s="24" t="s">
        <v>448</v>
      </c>
      <c r="X115" s="24" t="s">
        <v>448</v>
      </c>
      <c r="Y115" s="30">
        <v>9.9499999999999993</v>
      </c>
      <c r="Z115" s="30"/>
      <c r="AA115" s="30">
        <f t="shared" si="0"/>
        <v>9.9499999999999993</v>
      </c>
      <c r="AB115" s="24" t="s">
        <v>111</v>
      </c>
      <c r="AC115" s="26" t="s">
        <v>2538</v>
      </c>
      <c r="AD115" s="24" t="s">
        <v>111</v>
      </c>
      <c r="AE115" s="9"/>
    </row>
    <row r="116" spans="1:31" s="11" customFormat="1" ht="27.95" hidden="1" customHeight="1" x14ac:dyDescent="0.15">
      <c r="A116" s="8">
        <v>113</v>
      </c>
      <c r="B116" s="8" t="s">
        <v>763</v>
      </c>
      <c r="C116" s="18" t="s">
        <v>755</v>
      </c>
      <c r="D116" s="26" t="s">
        <v>19</v>
      </c>
      <c r="E116" s="26" t="s">
        <v>19</v>
      </c>
      <c r="F116" s="54" t="s">
        <v>758</v>
      </c>
      <c r="G116" s="54" t="s">
        <v>759</v>
      </c>
      <c r="H116" s="20" t="s">
        <v>3196</v>
      </c>
      <c r="I116" s="20" t="s">
        <v>760</v>
      </c>
      <c r="J116" s="9" t="s">
        <v>762</v>
      </c>
      <c r="K116" s="26" t="s">
        <v>127</v>
      </c>
      <c r="L116" s="2" t="s">
        <v>761</v>
      </c>
      <c r="M116" s="26" t="s">
        <v>127</v>
      </c>
      <c r="N116" s="9" t="s">
        <v>686</v>
      </c>
      <c r="O116" s="54" t="s">
        <v>764</v>
      </c>
      <c r="P116" s="26" t="s">
        <v>127</v>
      </c>
      <c r="Q116" s="9" t="s">
        <v>545</v>
      </c>
      <c r="R116" s="9" t="s">
        <v>545</v>
      </c>
      <c r="S116" s="9" t="s">
        <v>756</v>
      </c>
      <c r="T116" s="9" t="s">
        <v>757</v>
      </c>
      <c r="U116" s="10" t="s">
        <v>110</v>
      </c>
      <c r="V116" s="10">
        <v>2</v>
      </c>
      <c r="W116" s="24" t="s">
        <v>448</v>
      </c>
      <c r="X116" s="24" t="s">
        <v>448</v>
      </c>
      <c r="Y116" s="30">
        <v>10</v>
      </c>
      <c r="Z116" s="30"/>
      <c r="AA116" s="30">
        <f t="shared" si="0"/>
        <v>10</v>
      </c>
      <c r="AB116" s="24" t="s">
        <v>111</v>
      </c>
      <c r="AC116" s="26" t="s">
        <v>2538</v>
      </c>
      <c r="AD116" s="24" t="s">
        <v>111</v>
      </c>
      <c r="AE116" s="9"/>
    </row>
    <row r="117" spans="1:31" s="11" customFormat="1" ht="27.95" customHeight="1" x14ac:dyDescent="0.15">
      <c r="A117" s="8">
        <v>114</v>
      </c>
      <c r="B117" s="8" t="s">
        <v>766</v>
      </c>
      <c r="C117" s="26" t="s">
        <v>19</v>
      </c>
      <c r="D117" s="26" t="s">
        <v>1052</v>
      </c>
      <c r="E117" s="26" t="s">
        <v>19</v>
      </c>
      <c r="F117" s="54" t="s">
        <v>767</v>
      </c>
      <c r="G117" s="54" t="s">
        <v>768</v>
      </c>
      <c r="H117" s="1" t="s">
        <v>3396</v>
      </c>
      <c r="I117" s="20" t="s">
        <v>769</v>
      </c>
      <c r="J117" s="9" t="s">
        <v>770</v>
      </c>
      <c r="K117" s="26" t="s">
        <v>127</v>
      </c>
      <c r="L117" s="2" t="s">
        <v>771</v>
      </c>
      <c r="M117" s="26" t="s">
        <v>127</v>
      </c>
      <c r="N117" s="9" t="s">
        <v>776</v>
      </c>
      <c r="O117" s="54" t="s">
        <v>772</v>
      </c>
      <c r="P117" s="26" t="s">
        <v>127</v>
      </c>
      <c r="Q117" s="9" t="s">
        <v>773</v>
      </c>
      <c r="R117" s="9" t="s">
        <v>773</v>
      </c>
      <c r="S117" s="9" t="s">
        <v>774</v>
      </c>
      <c r="T117" s="9" t="s">
        <v>775</v>
      </c>
      <c r="U117" s="10" t="s">
        <v>110</v>
      </c>
      <c r="V117" s="10">
        <v>1</v>
      </c>
      <c r="W117" s="24" t="s">
        <v>448</v>
      </c>
      <c r="X117" s="24" t="s">
        <v>448</v>
      </c>
      <c r="Y117" s="136">
        <v>1.738461</v>
      </c>
      <c r="Z117" s="30"/>
      <c r="AA117" s="136">
        <f t="shared" si="0"/>
        <v>1.738461</v>
      </c>
      <c r="AB117" s="24" t="s">
        <v>111</v>
      </c>
      <c r="AC117" s="26" t="s">
        <v>2538</v>
      </c>
      <c r="AD117" s="24" t="s">
        <v>111</v>
      </c>
      <c r="AE117" s="9" t="s">
        <v>5615</v>
      </c>
    </row>
    <row r="118" spans="1:31" s="11" customFormat="1" ht="27.95" hidden="1" customHeight="1" x14ac:dyDescent="0.15">
      <c r="A118" s="8">
        <v>115</v>
      </c>
      <c r="B118" s="8" t="s">
        <v>777</v>
      </c>
      <c r="C118" s="18"/>
      <c r="D118" s="26" t="s">
        <v>19</v>
      </c>
      <c r="E118" s="26" t="s">
        <v>19</v>
      </c>
      <c r="F118" s="54" t="s">
        <v>778</v>
      </c>
      <c r="G118" s="54" t="s">
        <v>782</v>
      </c>
      <c r="H118" s="1" t="s">
        <v>2115</v>
      </c>
      <c r="I118" s="20" t="s">
        <v>451</v>
      </c>
      <c r="J118" s="9" t="s">
        <v>779</v>
      </c>
      <c r="K118" s="26" t="s">
        <v>127</v>
      </c>
      <c r="L118" s="2" t="s">
        <v>814</v>
      </c>
      <c r="M118" s="26" t="s">
        <v>127</v>
      </c>
      <c r="N118" s="9" t="s">
        <v>512</v>
      </c>
      <c r="O118" s="54" t="s">
        <v>812</v>
      </c>
      <c r="P118" s="26" t="s">
        <v>127</v>
      </c>
      <c r="Q118" s="9" t="s">
        <v>780</v>
      </c>
      <c r="R118" s="9" t="s">
        <v>780</v>
      </c>
      <c r="S118" s="9" t="s">
        <v>781</v>
      </c>
      <c r="T118" s="9">
        <v>2017.8</v>
      </c>
      <c r="U118" s="10" t="s">
        <v>108</v>
      </c>
      <c r="V118" s="10">
        <v>1</v>
      </c>
      <c r="W118" s="24" t="s">
        <v>448</v>
      </c>
      <c r="X118" s="24" t="s">
        <v>448</v>
      </c>
      <c r="Y118" s="30">
        <v>12</v>
      </c>
      <c r="Z118" s="30"/>
      <c r="AA118" s="30">
        <f t="shared" si="0"/>
        <v>12</v>
      </c>
      <c r="AB118" s="24" t="s">
        <v>111</v>
      </c>
      <c r="AC118" s="26" t="s">
        <v>2538</v>
      </c>
      <c r="AD118" s="24" t="s">
        <v>111</v>
      </c>
      <c r="AE118" s="9"/>
    </row>
    <row r="119" spans="1:31" s="11" customFormat="1" ht="27.95" customHeight="1" x14ac:dyDescent="0.15">
      <c r="A119" s="8">
        <v>116</v>
      </c>
      <c r="B119" s="8" t="s">
        <v>783</v>
      </c>
      <c r="C119" s="26" t="s">
        <v>19</v>
      </c>
      <c r="D119" s="26" t="s">
        <v>784</v>
      </c>
      <c r="E119" s="26" t="s">
        <v>19</v>
      </c>
      <c r="F119" s="54" t="s">
        <v>785</v>
      </c>
      <c r="G119" s="92" t="s">
        <v>543</v>
      </c>
      <c r="H119" s="2" t="s">
        <v>1504</v>
      </c>
      <c r="I119" s="20" t="s">
        <v>786</v>
      </c>
      <c r="J119" s="9" t="s">
        <v>787</v>
      </c>
      <c r="K119" s="26" t="s">
        <v>127</v>
      </c>
      <c r="L119" s="2" t="s">
        <v>788</v>
      </c>
      <c r="M119" s="26" t="s">
        <v>127</v>
      </c>
      <c r="N119" s="21" t="s">
        <v>25</v>
      </c>
      <c r="O119" s="54" t="s">
        <v>789</v>
      </c>
      <c r="P119" s="26" t="s">
        <v>127</v>
      </c>
      <c r="Q119" s="9" t="s">
        <v>790</v>
      </c>
      <c r="R119" s="9" t="s">
        <v>790</v>
      </c>
      <c r="S119" s="9" t="s">
        <v>174</v>
      </c>
      <c r="T119" s="9" t="s">
        <v>174</v>
      </c>
      <c r="U119" s="10" t="s">
        <v>3417</v>
      </c>
      <c r="V119" s="10">
        <v>0</v>
      </c>
      <c r="W119" s="24" t="s">
        <v>448</v>
      </c>
      <c r="X119" s="24" t="s">
        <v>448</v>
      </c>
      <c r="Y119" s="30">
        <v>0.98</v>
      </c>
      <c r="Z119" s="30"/>
      <c r="AA119" s="30">
        <f t="shared" si="0"/>
        <v>0.98</v>
      </c>
      <c r="AB119" s="24" t="s">
        <v>111</v>
      </c>
      <c r="AC119" s="26" t="s">
        <v>2538</v>
      </c>
      <c r="AD119" s="24" t="s">
        <v>111</v>
      </c>
      <c r="AE119" s="9"/>
    </row>
    <row r="120" spans="1:31" s="11" customFormat="1" ht="27.95" hidden="1" customHeight="1" x14ac:dyDescent="0.15">
      <c r="A120" s="8">
        <v>117</v>
      </c>
      <c r="B120" s="8" t="s">
        <v>2104</v>
      </c>
      <c r="C120" s="18" t="s">
        <v>791</v>
      </c>
      <c r="D120" s="26" t="s">
        <v>19</v>
      </c>
      <c r="E120" s="26" t="s">
        <v>19</v>
      </c>
      <c r="F120" s="54" t="s">
        <v>798</v>
      </c>
      <c r="G120" s="54" t="s">
        <v>799</v>
      </c>
      <c r="H120" s="18" t="s">
        <v>793</v>
      </c>
      <c r="I120" s="18" t="s">
        <v>792</v>
      </c>
      <c r="J120" s="28" t="s">
        <v>794</v>
      </c>
      <c r="K120" s="26" t="s">
        <v>127</v>
      </c>
      <c r="L120" s="2" t="s">
        <v>491</v>
      </c>
      <c r="M120" s="26" t="s">
        <v>127</v>
      </c>
      <c r="N120" s="31" t="s">
        <v>795</v>
      </c>
      <c r="O120" s="58" t="s">
        <v>796</v>
      </c>
      <c r="P120" s="26" t="s">
        <v>127</v>
      </c>
      <c r="Q120" s="9" t="s">
        <v>790</v>
      </c>
      <c r="R120" s="9" t="s">
        <v>790</v>
      </c>
      <c r="S120" s="9" t="s">
        <v>797</v>
      </c>
      <c r="T120" s="9"/>
      <c r="U120" s="10" t="s">
        <v>110</v>
      </c>
      <c r="V120" s="10">
        <v>1</v>
      </c>
      <c r="W120" s="24" t="s">
        <v>448</v>
      </c>
      <c r="X120" s="24" t="s">
        <v>448</v>
      </c>
      <c r="Y120" s="30">
        <v>21.35</v>
      </c>
      <c r="Z120" s="30"/>
      <c r="AA120" s="30">
        <f t="shared" si="0"/>
        <v>21.35</v>
      </c>
      <c r="AB120" s="24" t="s">
        <v>111</v>
      </c>
      <c r="AC120" s="26" t="s">
        <v>2538</v>
      </c>
      <c r="AD120" s="24" t="s">
        <v>111</v>
      </c>
      <c r="AE120" s="9"/>
    </row>
    <row r="121" spans="1:31" s="11" customFormat="1" ht="27.95" hidden="1" customHeight="1" x14ac:dyDescent="0.15">
      <c r="A121" s="8">
        <v>118</v>
      </c>
      <c r="B121" s="8" t="s">
        <v>805</v>
      </c>
      <c r="C121" s="26" t="s">
        <v>19</v>
      </c>
      <c r="D121" s="26" t="s">
        <v>19</v>
      </c>
      <c r="E121" s="26" t="s">
        <v>19</v>
      </c>
      <c r="F121" s="54" t="s">
        <v>801</v>
      </c>
      <c r="G121" s="54" t="s">
        <v>800</v>
      </c>
      <c r="H121" s="20" t="s">
        <v>3394</v>
      </c>
      <c r="I121" s="142" t="s">
        <v>804</v>
      </c>
      <c r="J121" s="9" t="s">
        <v>802</v>
      </c>
      <c r="K121" s="26" t="s">
        <v>127</v>
      </c>
      <c r="L121" s="2" t="s">
        <v>803</v>
      </c>
      <c r="M121" s="26" t="s">
        <v>127</v>
      </c>
      <c r="N121" s="21" t="s">
        <v>25</v>
      </c>
      <c r="O121" s="54" t="s">
        <v>576</v>
      </c>
      <c r="P121" s="26" t="s">
        <v>127</v>
      </c>
      <c r="Q121" s="9" t="s">
        <v>807</v>
      </c>
      <c r="R121" s="9" t="s">
        <v>807</v>
      </c>
      <c r="S121" s="9" t="s">
        <v>808</v>
      </c>
      <c r="T121" s="9" t="s">
        <v>809</v>
      </c>
      <c r="U121" s="10" t="s">
        <v>110</v>
      </c>
      <c r="V121" s="10">
        <v>1</v>
      </c>
      <c r="W121" s="24" t="s">
        <v>121</v>
      </c>
      <c r="X121" s="24" t="s">
        <v>122</v>
      </c>
      <c r="Y121" s="30"/>
      <c r="Z121" s="30">
        <v>9</v>
      </c>
      <c r="AA121" s="30">
        <f t="shared" si="0"/>
        <v>9</v>
      </c>
      <c r="AB121" s="24" t="s">
        <v>111</v>
      </c>
      <c r="AC121" s="26" t="s">
        <v>2538</v>
      </c>
      <c r="AD121" s="24" t="s">
        <v>111</v>
      </c>
      <c r="AE121" s="9"/>
    </row>
    <row r="122" spans="1:31" s="11" customFormat="1" ht="27.95" hidden="1" customHeight="1" x14ac:dyDescent="0.15">
      <c r="A122" s="8">
        <v>119</v>
      </c>
      <c r="B122" s="8" t="s">
        <v>806</v>
      </c>
      <c r="C122" s="26" t="s">
        <v>19</v>
      </c>
      <c r="D122" s="26" t="s">
        <v>19</v>
      </c>
      <c r="E122" s="26" t="s">
        <v>19</v>
      </c>
      <c r="F122" s="54" t="s">
        <v>801</v>
      </c>
      <c r="G122" s="54" t="s">
        <v>813</v>
      </c>
      <c r="H122" s="20" t="s">
        <v>3394</v>
      </c>
      <c r="I122" s="142" t="s">
        <v>804</v>
      </c>
      <c r="J122" s="9" t="s">
        <v>802</v>
      </c>
      <c r="K122" s="26" t="s">
        <v>127</v>
      </c>
      <c r="L122" s="2" t="s">
        <v>803</v>
      </c>
      <c r="M122" s="26" t="s">
        <v>127</v>
      </c>
      <c r="N122" s="9" t="s">
        <v>810</v>
      </c>
      <c r="O122" s="54" t="s">
        <v>811</v>
      </c>
      <c r="P122" s="26" t="s">
        <v>127</v>
      </c>
      <c r="Q122" s="9" t="s">
        <v>807</v>
      </c>
      <c r="R122" s="9" t="s">
        <v>807</v>
      </c>
      <c r="S122" s="9" t="s">
        <v>883</v>
      </c>
      <c r="T122" s="9" t="s">
        <v>809</v>
      </c>
      <c r="U122" s="10" t="s">
        <v>110</v>
      </c>
      <c r="V122" s="10">
        <v>1</v>
      </c>
      <c r="W122" s="24" t="s">
        <v>448</v>
      </c>
      <c r="X122" s="24" t="s">
        <v>448</v>
      </c>
      <c r="Y122" s="30">
        <v>35</v>
      </c>
      <c r="Z122" s="30"/>
      <c r="AA122" s="30">
        <f t="shared" si="0"/>
        <v>35</v>
      </c>
      <c r="AB122" s="24" t="s">
        <v>111</v>
      </c>
      <c r="AC122" s="26" t="s">
        <v>2538</v>
      </c>
      <c r="AD122" s="24" t="s">
        <v>111</v>
      </c>
      <c r="AE122" s="9"/>
    </row>
    <row r="123" spans="1:31" s="11" customFormat="1" ht="33.75" hidden="1" x14ac:dyDescent="0.15">
      <c r="A123" s="8">
        <v>120</v>
      </c>
      <c r="B123" s="8" t="s">
        <v>2103</v>
      </c>
      <c r="C123" s="26" t="s">
        <v>815</v>
      </c>
      <c r="D123" s="26" t="s">
        <v>19</v>
      </c>
      <c r="E123" s="26" t="s">
        <v>19</v>
      </c>
      <c r="F123" s="54" t="s">
        <v>820</v>
      </c>
      <c r="G123" s="54" t="s">
        <v>885</v>
      </c>
      <c r="H123" s="18" t="s">
        <v>818</v>
      </c>
      <c r="I123" s="142" t="s">
        <v>819</v>
      </c>
      <c r="J123" s="28" t="s">
        <v>822</v>
      </c>
      <c r="K123" s="26" t="s">
        <v>127</v>
      </c>
      <c r="L123" s="2" t="s">
        <v>823</v>
      </c>
      <c r="M123" s="26" t="s">
        <v>127</v>
      </c>
      <c r="N123" s="31" t="s">
        <v>816</v>
      </c>
      <c r="O123" s="58" t="s">
        <v>817</v>
      </c>
      <c r="P123" s="26" t="s">
        <v>127</v>
      </c>
      <c r="Q123" s="9" t="s">
        <v>821</v>
      </c>
      <c r="R123" s="9" t="s">
        <v>821</v>
      </c>
      <c r="S123" s="9" t="s">
        <v>879</v>
      </c>
      <c r="T123" s="9" t="s">
        <v>884</v>
      </c>
      <c r="U123" s="10" t="s">
        <v>110</v>
      </c>
      <c r="V123" s="10">
        <v>1</v>
      </c>
      <c r="W123" s="24" t="s">
        <v>448</v>
      </c>
      <c r="X123" s="24" t="s">
        <v>448</v>
      </c>
      <c r="Y123" s="30">
        <v>15</v>
      </c>
      <c r="Z123" s="30"/>
      <c r="AA123" s="30">
        <f t="shared" si="0"/>
        <v>15</v>
      </c>
      <c r="AB123" s="24" t="s">
        <v>111</v>
      </c>
      <c r="AC123" s="26" t="s">
        <v>2538</v>
      </c>
      <c r="AD123" s="24" t="s">
        <v>111</v>
      </c>
      <c r="AE123" s="9"/>
    </row>
    <row r="124" spans="1:31" s="11" customFormat="1" ht="27.95" hidden="1" customHeight="1" x14ac:dyDescent="0.15">
      <c r="A124" s="8">
        <v>121</v>
      </c>
      <c r="B124" s="8" t="s">
        <v>827</v>
      </c>
      <c r="C124" s="26" t="s">
        <v>19</v>
      </c>
      <c r="D124" s="26" t="s">
        <v>19</v>
      </c>
      <c r="E124" s="26" t="s">
        <v>19</v>
      </c>
      <c r="F124" s="54" t="s">
        <v>843</v>
      </c>
      <c r="G124" s="54" t="s">
        <v>903</v>
      </c>
      <c r="H124" s="2" t="s">
        <v>1504</v>
      </c>
      <c r="I124" s="20" t="s">
        <v>828</v>
      </c>
      <c r="J124" s="9" t="s">
        <v>832</v>
      </c>
      <c r="K124" s="26" t="s">
        <v>127</v>
      </c>
      <c r="L124" s="2" t="s">
        <v>788</v>
      </c>
      <c r="M124" s="26" t="s">
        <v>127</v>
      </c>
      <c r="N124" s="21" t="s">
        <v>25</v>
      </c>
      <c r="O124" s="47" t="s">
        <v>116</v>
      </c>
      <c r="P124" s="26" t="s">
        <v>127</v>
      </c>
      <c r="Q124" s="9" t="s">
        <v>829</v>
      </c>
      <c r="R124" s="9" t="s">
        <v>829</v>
      </c>
      <c r="S124" s="9" t="s">
        <v>830</v>
      </c>
      <c r="T124" s="9" t="s">
        <v>831</v>
      </c>
      <c r="U124" s="10" t="s">
        <v>110</v>
      </c>
      <c r="V124" s="10">
        <v>1</v>
      </c>
      <c r="W124" s="24" t="s">
        <v>121</v>
      </c>
      <c r="X124" s="24" t="s">
        <v>122</v>
      </c>
      <c r="Y124" s="30"/>
      <c r="Z124" s="30">
        <v>10</v>
      </c>
      <c r="AA124" s="30">
        <f t="shared" si="0"/>
        <v>10</v>
      </c>
      <c r="AB124" s="24" t="s">
        <v>111</v>
      </c>
      <c r="AC124" s="26" t="s">
        <v>2538</v>
      </c>
      <c r="AD124" s="24" t="s">
        <v>111</v>
      </c>
      <c r="AE124" s="9"/>
    </row>
    <row r="125" spans="1:31" s="11" customFormat="1" ht="27.95" hidden="1" customHeight="1" x14ac:dyDescent="0.15">
      <c r="A125" s="8">
        <v>122</v>
      </c>
      <c r="B125" s="8" t="s">
        <v>833</v>
      </c>
      <c r="C125" s="26" t="s">
        <v>19</v>
      </c>
      <c r="D125" s="26" t="s">
        <v>19</v>
      </c>
      <c r="E125" s="8" t="s">
        <v>4884</v>
      </c>
      <c r="F125" s="54" t="s">
        <v>835</v>
      </c>
      <c r="G125" s="54" t="s">
        <v>834</v>
      </c>
      <c r="H125" s="20" t="s">
        <v>3394</v>
      </c>
      <c r="I125" s="20" t="s">
        <v>836</v>
      </c>
      <c r="J125" s="9" t="s">
        <v>841</v>
      </c>
      <c r="K125" s="26" t="s">
        <v>127</v>
      </c>
      <c r="L125" s="2" t="s">
        <v>842</v>
      </c>
      <c r="M125" s="26" t="s">
        <v>127</v>
      </c>
      <c r="N125" s="21" t="s">
        <v>837</v>
      </c>
      <c r="O125" s="47" t="s">
        <v>838</v>
      </c>
      <c r="P125" s="26" t="s">
        <v>127</v>
      </c>
      <c r="Q125" s="9" t="s">
        <v>839</v>
      </c>
      <c r="R125" s="9" t="s">
        <v>839</v>
      </c>
      <c r="S125" s="10" t="s">
        <v>840</v>
      </c>
      <c r="T125" s="9" t="s">
        <v>174</v>
      </c>
      <c r="U125" s="10" t="s">
        <v>110</v>
      </c>
      <c r="V125" s="10">
        <v>1</v>
      </c>
      <c r="W125" s="24" t="s">
        <v>448</v>
      </c>
      <c r="X125" s="24" t="s">
        <v>448</v>
      </c>
      <c r="Y125" s="30">
        <v>41.945999999999998</v>
      </c>
      <c r="Z125" s="30"/>
      <c r="AA125" s="30">
        <f t="shared" si="0"/>
        <v>41.945999999999998</v>
      </c>
      <c r="AB125" s="39" t="s">
        <v>3404</v>
      </c>
      <c r="AC125" s="26" t="s">
        <v>2538</v>
      </c>
      <c r="AD125" s="24">
        <v>25</v>
      </c>
      <c r="AE125" s="9" t="s">
        <v>3494</v>
      </c>
    </row>
    <row r="126" spans="1:31" s="11" customFormat="1" ht="27.95" hidden="1" customHeight="1" x14ac:dyDescent="0.15">
      <c r="A126" s="8">
        <v>123</v>
      </c>
      <c r="B126" s="8" t="s">
        <v>859</v>
      </c>
      <c r="C126" s="26" t="s">
        <v>19</v>
      </c>
      <c r="D126" s="26" t="s">
        <v>19</v>
      </c>
      <c r="E126" s="26" t="s">
        <v>19</v>
      </c>
      <c r="F126" s="54" t="s">
        <v>861</v>
      </c>
      <c r="G126" s="54" t="s">
        <v>860</v>
      </c>
      <c r="H126" s="20" t="s">
        <v>3196</v>
      </c>
      <c r="I126" s="20" t="s">
        <v>862</v>
      </c>
      <c r="J126" s="9" t="s">
        <v>863</v>
      </c>
      <c r="K126" s="26" t="s">
        <v>127</v>
      </c>
      <c r="L126" s="2" t="s">
        <v>867</v>
      </c>
      <c r="M126" s="26" t="s">
        <v>127</v>
      </c>
      <c r="N126" s="31" t="s">
        <v>816</v>
      </c>
      <c r="O126" s="58" t="s">
        <v>864</v>
      </c>
      <c r="P126" s="26" t="s">
        <v>127</v>
      </c>
      <c r="Q126" s="9" t="s">
        <v>865</v>
      </c>
      <c r="R126" s="9" t="s">
        <v>865</v>
      </c>
      <c r="S126" s="10" t="s">
        <v>866</v>
      </c>
      <c r="T126" s="9">
        <v>2017.11</v>
      </c>
      <c r="U126" s="10" t="s">
        <v>110</v>
      </c>
      <c r="V126" s="10">
        <v>1</v>
      </c>
      <c r="W126" s="24" t="s">
        <v>448</v>
      </c>
      <c r="X126" s="24" t="s">
        <v>448</v>
      </c>
      <c r="Y126" s="30">
        <v>10</v>
      </c>
      <c r="Z126" s="30"/>
      <c r="AA126" s="30">
        <f t="shared" si="0"/>
        <v>10</v>
      </c>
      <c r="AB126" s="24" t="s">
        <v>111</v>
      </c>
      <c r="AC126" s="26" t="s">
        <v>2538</v>
      </c>
      <c r="AD126" s="24" t="s">
        <v>111</v>
      </c>
      <c r="AE126" s="9"/>
    </row>
    <row r="127" spans="1:31" s="11" customFormat="1" ht="27.95" customHeight="1" x14ac:dyDescent="0.15">
      <c r="A127" s="8">
        <v>124</v>
      </c>
      <c r="B127" s="8" t="s">
        <v>868</v>
      </c>
      <c r="C127" s="26" t="s">
        <v>19</v>
      </c>
      <c r="D127" s="26" t="s">
        <v>959</v>
      </c>
      <c r="E127" s="26" t="s">
        <v>19</v>
      </c>
      <c r="F127" s="54" t="s">
        <v>914</v>
      </c>
      <c r="G127" s="54" t="s">
        <v>913</v>
      </c>
      <c r="H127" s="2" t="s">
        <v>1504</v>
      </c>
      <c r="I127" s="20" t="s">
        <v>506</v>
      </c>
      <c r="J127" s="9" t="s">
        <v>870</v>
      </c>
      <c r="K127" s="26" t="s">
        <v>127</v>
      </c>
      <c r="L127" s="2" t="s">
        <v>871</v>
      </c>
      <c r="M127" s="26" t="s">
        <v>127</v>
      </c>
      <c r="N127" s="21" t="s">
        <v>454</v>
      </c>
      <c r="O127" s="47" t="s">
        <v>215</v>
      </c>
      <c r="P127" s="26" t="s">
        <v>127</v>
      </c>
      <c r="Q127" s="9" t="s">
        <v>869</v>
      </c>
      <c r="R127" s="9" t="s">
        <v>869</v>
      </c>
      <c r="S127" s="9" t="s">
        <v>915</v>
      </c>
      <c r="T127" s="9" t="s">
        <v>916</v>
      </c>
      <c r="U127" s="10" t="s">
        <v>110</v>
      </c>
      <c r="V127" s="10">
        <v>1</v>
      </c>
      <c r="W127" s="24" t="s">
        <v>448</v>
      </c>
      <c r="X127" s="24" t="s">
        <v>448</v>
      </c>
      <c r="Y127" s="30">
        <v>5.4359999999999999</v>
      </c>
      <c r="Z127" s="30"/>
      <c r="AA127" s="30">
        <f t="shared" si="0"/>
        <v>5.4359999999999999</v>
      </c>
      <c r="AB127" s="24" t="s">
        <v>111</v>
      </c>
      <c r="AC127" s="26" t="s">
        <v>2538</v>
      </c>
      <c r="AD127" s="24" t="s">
        <v>111</v>
      </c>
      <c r="AE127" s="9"/>
    </row>
    <row r="128" spans="1:31" s="11" customFormat="1" ht="27.95" hidden="1" customHeight="1" x14ac:dyDescent="0.15">
      <c r="A128" s="8">
        <v>125</v>
      </c>
      <c r="B128" s="8" t="s">
        <v>2102</v>
      </c>
      <c r="C128" s="26" t="s">
        <v>872</v>
      </c>
      <c r="D128" s="26" t="s">
        <v>19</v>
      </c>
      <c r="E128" s="26" t="s">
        <v>19</v>
      </c>
      <c r="F128" s="54" t="s">
        <v>149</v>
      </c>
      <c r="G128" s="54" t="s">
        <v>881</v>
      </c>
      <c r="H128" s="9" t="s">
        <v>507</v>
      </c>
      <c r="I128" s="20" t="s">
        <v>876</v>
      </c>
      <c r="J128" s="9" t="s">
        <v>873</v>
      </c>
      <c r="K128" s="26" t="s">
        <v>127</v>
      </c>
      <c r="L128" s="2" t="s">
        <v>877</v>
      </c>
      <c r="M128" s="26" t="s">
        <v>127</v>
      </c>
      <c r="N128" s="31" t="s">
        <v>816</v>
      </c>
      <c r="O128" s="54" t="s">
        <v>515</v>
      </c>
      <c r="P128" s="26" t="s">
        <v>127</v>
      </c>
      <c r="Q128" s="9" t="s">
        <v>878</v>
      </c>
      <c r="R128" s="9" t="s">
        <v>878</v>
      </c>
      <c r="S128" s="10" t="s">
        <v>879</v>
      </c>
      <c r="T128" s="10">
        <v>2017.11</v>
      </c>
      <c r="U128" s="10" t="s">
        <v>108</v>
      </c>
      <c r="V128" s="10">
        <v>1</v>
      </c>
      <c r="W128" s="24" t="s">
        <v>448</v>
      </c>
      <c r="X128" s="24" t="s">
        <v>448</v>
      </c>
      <c r="Y128" s="30">
        <v>10</v>
      </c>
      <c r="Z128" s="30"/>
      <c r="AA128" s="30">
        <f t="shared" si="0"/>
        <v>10</v>
      </c>
      <c r="AB128" s="24" t="s">
        <v>111</v>
      </c>
      <c r="AC128" s="26" t="s">
        <v>2538</v>
      </c>
      <c r="AD128" s="24" t="s">
        <v>111</v>
      </c>
      <c r="AE128" s="9"/>
    </row>
    <row r="129" spans="1:31" s="11" customFormat="1" ht="27.95" hidden="1" customHeight="1" x14ac:dyDescent="0.15">
      <c r="A129" s="8">
        <v>126</v>
      </c>
      <c r="B129" s="8" t="s">
        <v>2101</v>
      </c>
      <c r="C129" s="26" t="s">
        <v>2100</v>
      </c>
      <c r="D129" s="26" t="s">
        <v>19</v>
      </c>
      <c r="E129" s="26" t="s">
        <v>19</v>
      </c>
      <c r="F129" s="54" t="s">
        <v>880</v>
      </c>
      <c r="G129" s="54" t="s">
        <v>882</v>
      </c>
      <c r="H129" s="9" t="s">
        <v>507</v>
      </c>
      <c r="I129" s="20" t="s">
        <v>876</v>
      </c>
      <c r="J129" s="9" t="s">
        <v>874</v>
      </c>
      <c r="K129" s="26" t="s">
        <v>127</v>
      </c>
      <c r="L129" s="2" t="s">
        <v>875</v>
      </c>
      <c r="M129" s="26" t="s">
        <v>127</v>
      </c>
      <c r="N129" s="31" t="s">
        <v>816</v>
      </c>
      <c r="O129" s="54" t="s">
        <v>515</v>
      </c>
      <c r="P129" s="26" t="s">
        <v>127</v>
      </c>
      <c r="Q129" s="9" t="s">
        <v>878</v>
      </c>
      <c r="R129" s="9" t="s">
        <v>878</v>
      </c>
      <c r="S129" s="10" t="s">
        <v>879</v>
      </c>
      <c r="T129" s="10">
        <v>2017.11</v>
      </c>
      <c r="U129" s="10" t="s">
        <v>108</v>
      </c>
      <c r="V129" s="10">
        <v>1</v>
      </c>
      <c r="W129" s="24" t="s">
        <v>448</v>
      </c>
      <c r="X129" s="24" t="s">
        <v>448</v>
      </c>
      <c r="Y129" s="30">
        <v>7.8</v>
      </c>
      <c r="Z129" s="30"/>
      <c r="AA129" s="30">
        <f t="shared" si="0"/>
        <v>7.8</v>
      </c>
      <c r="AB129" s="24" t="s">
        <v>111</v>
      </c>
      <c r="AC129" s="26" t="s">
        <v>2538</v>
      </c>
      <c r="AD129" s="24" t="s">
        <v>111</v>
      </c>
      <c r="AE129" s="9"/>
    </row>
    <row r="130" spans="1:31" s="11" customFormat="1" ht="27.95" hidden="1" customHeight="1" x14ac:dyDescent="0.15">
      <c r="A130" s="8">
        <v>127</v>
      </c>
      <c r="B130" s="8" t="s">
        <v>898</v>
      </c>
      <c r="C130" s="26" t="s">
        <v>19</v>
      </c>
      <c r="D130" s="26" t="s">
        <v>19</v>
      </c>
      <c r="E130" s="26" t="s">
        <v>19</v>
      </c>
      <c r="F130" s="54" t="s">
        <v>886</v>
      </c>
      <c r="G130" s="54" t="s">
        <v>887</v>
      </c>
      <c r="H130" s="1" t="s">
        <v>1460</v>
      </c>
      <c r="I130" s="20" t="s">
        <v>890</v>
      </c>
      <c r="J130" s="9" t="s">
        <v>900</v>
      </c>
      <c r="K130" s="26" t="s">
        <v>127</v>
      </c>
      <c r="L130" s="2" t="s">
        <v>891</v>
      </c>
      <c r="M130" s="26" t="s">
        <v>127</v>
      </c>
      <c r="N130" s="31" t="s">
        <v>102</v>
      </c>
      <c r="O130" s="54" t="s">
        <v>851</v>
      </c>
      <c r="P130" s="26" t="s">
        <v>127</v>
      </c>
      <c r="Q130" s="9" t="s">
        <v>897</v>
      </c>
      <c r="R130" s="9" t="s">
        <v>897</v>
      </c>
      <c r="S130" s="9" t="s">
        <v>893</v>
      </c>
      <c r="T130" s="9" t="s">
        <v>174</v>
      </c>
      <c r="U130" s="10" t="s">
        <v>110</v>
      </c>
      <c r="V130" s="10">
        <v>1</v>
      </c>
      <c r="W130" s="24" t="s">
        <v>3405</v>
      </c>
      <c r="X130" s="24" t="s">
        <v>3406</v>
      </c>
      <c r="Y130" s="30"/>
      <c r="Z130" s="30">
        <v>10</v>
      </c>
      <c r="AA130" s="30">
        <f t="shared" si="0"/>
        <v>10</v>
      </c>
      <c r="AB130" s="24" t="s">
        <v>111</v>
      </c>
      <c r="AC130" s="26" t="s">
        <v>2538</v>
      </c>
      <c r="AD130" s="24" t="s">
        <v>111</v>
      </c>
      <c r="AE130" s="9"/>
    </row>
    <row r="131" spans="1:31" s="11" customFormat="1" ht="27.95" hidden="1" customHeight="1" x14ac:dyDescent="0.15">
      <c r="A131" s="8">
        <v>128</v>
      </c>
      <c r="B131" s="8" t="s">
        <v>899</v>
      </c>
      <c r="C131" s="26" t="s">
        <v>19</v>
      </c>
      <c r="D131" s="26" t="s">
        <v>19</v>
      </c>
      <c r="E131" s="26" t="s">
        <v>19</v>
      </c>
      <c r="F131" s="54" t="s">
        <v>888</v>
      </c>
      <c r="G131" s="54" t="s">
        <v>889</v>
      </c>
      <c r="H131" s="1" t="s">
        <v>1460</v>
      </c>
      <c r="I131" s="20" t="s">
        <v>890</v>
      </c>
      <c r="J131" s="9" t="s">
        <v>892</v>
      </c>
      <c r="K131" s="26" t="s">
        <v>127</v>
      </c>
      <c r="L131" s="2" t="s">
        <v>901</v>
      </c>
      <c r="M131" s="26" t="s">
        <v>127</v>
      </c>
      <c r="N131" s="31" t="s">
        <v>102</v>
      </c>
      <c r="O131" s="54" t="s">
        <v>851</v>
      </c>
      <c r="P131" s="26" t="s">
        <v>127</v>
      </c>
      <c r="Q131" s="9" t="s">
        <v>897</v>
      </c>
      <c r="R131" s="9" t="s">
        <v>897</v>
      </c>
      <c r="S131" s="9" t="s">
        <v>893</v>
      </c>
      <c r="T131" s="9" t="s">
        <v>174</v>
      </c>
      <c r="U131" s="10" t="s">
        <v>110</v>
      </c>
      <c r="V131" s="10">
        <v>1</v>
      </c>
      <c r="W131" s="24" t="s">
        <v>121</v>
      </c>
      <c r="X131" s="24" t="s">
        <v>122</v>
      </c>
      <c r="Y131" s="30"/>
      <c r="Z131" s="30">
        <v>10</v>
      </c>
      <c r="AA131" s="30">
        <f t="shared" si="0"/>
        <v>10</v>
      </c>
      <c r="AB131" s="24" t="s">
        <v>111</v>
      </c>
      <c r="AC131" s="26" t="s">
        <v>2538</v>
      </c>
      <c r="AD131" s="24" t="s">
        <v>111</v>
      </c>
      <c r="AE131" s="9"/>
    </row>
    <row r="132" spans="1:31" s="11" customFormat="1" ht="27.95" hidden="1" customHeight="1" x14ac:dyDescent="0.15">
      <c r="A132" s="8">
        <v>129</v>
      </c>
      <c r="B132" s="8" t="s">
        <v>2099</v>
      </c>
      <c r="C132" s="26" t="s">
        <v>912</v>
      </c>
      <c r="D132" s="26" t="s">
        <v>19</v>
      </c>
      <c r="E132" s="26" t="s">
        <v>19</v>
      </c>
      <c r="F132" s="54" t="s">
        <v>911</v>
      </c>
      <c r="G132" s="54" t="s">
        <v>910</v>
      </c>
      <c r="H132" s="20" t="s">
        <v>3394</v>
      </c>
      <c r="I132" s="20" t="s">
        <v>908</v>
      </c>
      <c r="J132" s="9" t="s">
        <v>907</v>
      </c>
      <c r="K132" s="26" t="s">
        <v>127</v>
      </c>
      <c r="L132" s="2" t="s">
        <v>491</v>
      </c>
      <c r="M132" s="26" t="s">
        <v>127</v>
      </c>
      <c r="N132" s="21" t="s">
        <v>102</v>
      </c>
      <c r="O132" s="47" t="s">
        <v>654</v>
      </c>
      <c r="P132" s="26" t="s">
        <v>127</v>
      </c>
      <c r="Q132" s="9" t="s">
        <v>904</v>
      </c>
      <c r="R132" s="9" t="s">
        <v>904</v>
      </c>
      <c r="S132" s="9" t="s">
        <v>905</v>
      </c>
      <c r="T132" s="9" t="s">
        <v>906</v>
      </c>
      <c r="U132" s="10" t="s">
        <v>110</v>
      </c>
      <c r="V132" s="10">
        <v>1</v>
      </c>
      <c r="W132" s="24" t="s">
        <v>909</v>
      </c>
      <c r="X132" s="24"/>
      <c r="Y132" s="30">
        <v>15</v>
      </c>
      <c r="Z132" s="30"/>
      <c r="AA132" s="30">
        <f t="shared" si="0"/>
        <v>15</v>
      </c>
      <c r="AB132" s="24" t="s">
        <v>111</v>
      </c>
      <c r="AC132" s="26" t="s">
        <v>2538</v>
      </c>
      <c r="AD132" s="24" t="s">
        <v>111</v>
      </c>
      <c r="AE132" s="9"/>
    </row>
    <row r="133" spans="1:31" s="11" customFormat="1" ht="27.95" hidden="1" customHeight="1" x14ac:dyDescent="0.15">
      <c r="A133" s="8">
        <v>130</v>
      </c>
      <c r="B133" s="8" t="s">
        <v>917</v>
      </c>
      <c r="C133" s="26" t="s">
        <v>19</v>
      </c>
      <c r="D133" s="26" t="s">
        <v>19</v>
      </c>
      <c r="E133" s="26" t="s">
        <v>19</v>
      </c>
      <c r="F133" s="54" t="s">
        <v>919</v>
      </c>
      <c r="G133" s="54" t="s">
        <v>974</v>
      </c>
      <c r="H133" s="2" t="s">
        <v>1504</v>
      </c>
      <c r="I133" s="20" t="s">
        <v>920</v>
      </c>
      <c r="J133" s="9" t="s">
        <v>975</v>
      </c>
      <c r="K133" s="26" t="s">
        <v>127</v>
      </c>
      <c r="L133" s="2" t="s">
        <v>977</v>
      </c>
      <c r="M133" s="26" t="s">
        <v>127</v>
      </c>
      <c r="N133" s="22" t="s">
        <v>976</v>
      </c>
      <c r="O133" s="47" t="s">
        <v>179</v>
      </c>
      <c r="P133" s="26" t="s">
        <v>127</v>
      </c>
      <c r="Q133" s="9" t="s">
        <v>160</v>
      </c>
      <c r="R133" s="9" t="s">
        <v>160</v>
      </c>
      <c r="S133" s="9" t="s">
        <v>972</v>
      </c>
      <c r="T133" s="9" t="s">
        <v>973</v>
      </c>
      <c r="U133" s="10" t="s">
        <v>110</v>
      </c>
      <c r="V133" s="10">
        <v>1</v>
      </c>
      <c r="W133" s="24" t="s">
        <v>448</v>
      </c>
      <c r="X133" s="24" t="s">
        <v>448</v>
      </c>
      <c r="Y133" s="30">
        <v>2.8</v>
      </c>
      <c r="Z133" s="30"/>
      <c r="AA133" s="30">
        <f t="shared" si="0"/>
        <v>2.8</v>
      </c>
      <c r="AB133" s="24" t="s">
        <v>111</v>
      </c>
      <c r="AC133" s="26" t="s">
        <v>2538</v>
      </c>
      <c r="AD133" s="24" t="s">
        <v>111</v>
      </c>
      <c r="AE133" s="9"/>
    </row>
    <row r="134" spans="1:31" s="11" customFormat="1" ht="27.95" hidden="1" customHeight="1" x14ac:dyDescent="0.15">
      <c r="A134" s="8">
        <v>131</v>
      </c>
      <c r="B134" s="8" t="s">
        <v>2098</v>
      </c>
      <c r="C134" s="26" t="s">
        <v>918</v>
      </c>
      <c r="D134" s="26" t="s">
        <v>19</v>
      </c>
      <c r="E134" s="26" t="s">
        <v>19</v>
      </c>
      <c r="F134" s="54" t="s">
        <v>919</v>
      </c>
      <c r="G134" s="54" t="s">
        <v>978</v>
      </c>
      <c r="H134" s="2" t="s">
        <v>1504</v>
      </c>
      <c r="I134" s="20" t="s">
        <v>920</v>
      </c>
      <c r="J134" s="9" t="s">
        <v>921</v>
      </c>
      <c r="K134" s="26" t="s">
        <v>127</v>
      </c>
      <c r="L134" s="2" t="s">
        <v>922</v>
      </c>
      <c r="M134" s="26" t="s">
        <v>127</v>
      </c>
      <c r="N134" s="22" t="s">
        <v>132</v>
      </c>
      <c r="O134" s="58" t="s">
        <v>159</v>
      </c>
      <c r="P134" s="26" t="s">
        <v>127</v>
      </c>
      <c r="Q134" s="9" t="s">
        <v>160</v>
      </c>
      <c r="R134" s="9" t="s">
        <v>160</v>
      </c>
      <c r="S134" s="9" t="s">
        <v>972</v>
      </c>
      <c r="T134" s="9" t="s">
        <v>973</v>
      </c>
      <c r="U134" s="10" t="s">
        <v>110</v>
      </c>
      <c r="V134" s="10">
        <v>1</v>
      </c>
      <c r="W134" s="24" t="s">
        <v>448</v>
      </c>
      <c r="X134" s="24" t="s">
        <v>448</v>
      </c>
      <c r="Y134" s="30">
        <v>2.9</v>
      </c>
      <c r="Z134" s="30"/>
      <c r="AA134" s="30">
        <f t="shared" si="0"/>
        <v>2.9</v>
      </c>
      <c r="AB134" s="24" t="s">
        <v>111</v>
      </c>
      <c r="AC134" s="26" t="s">
        <v>2538</v>
      </c>
      <c r="AD134" s="24" t="s">
        <v>111</v>
      </c>
      <c r="AE134" s="9"/>
    </row>
    <row r="135" spans="1:31" s="11" customFormat="1" ht="27.95" hidden="1" customHeight="1" x14ac:dyDescent="0.15">
      <c r="A135" s="8">
        <v>132</v>
      </c>
      <c r="B135" s="8" t="s">
        <v>2097</v>
      </c>
      <c r="C135" s="26" t="s">
        <v>930</v>
      </c>
      <c r="D135" s="26" t="s">
        <v>19</v>
      </c>
      <c r="E135" s="26" t="s">
        <v>19</v>
      </c>
      <c r="F135" s="54" t="s">
        <v>924</v>
      </c>
      <c r="G135" s="54" t="s">
        <v>923</v>
      </c>
      <c r="H135" s="9" t="s">
        <v>2117</v>
      </c>
      <c r="I135" s="20" t="s">
        <v>925</v>
      </c>
      <c r="J135" s="9" t="s">
        <v>926</v>
      </c>
      <c r="K135" s="26" t="s">
        <v>127</v>
      </c>
      <c r="L135" s="2" t="s">
        <v>927</v>
      </c>
      <c r="M135" s="26" t="s">
        <v>127</v>
      </c>
      <c r="N135" s="22" t="s">
        <v>132</v>
      </c>
      <c r="O135" s="58" t="s">
        <v>928</v>
      </c>
      <c r="P135" s="26" t="s">
        <v>127</v>
      </c>
      <c r="Q135" s="9" t="s">
        <v>929</v>
      </c>
      <c r="R135" s="9" t="s">
        <v>929</v>
      </c>
      <c r="S135" s="9" t="s">
        <v>931</v>
      </c>
      <c r="T135" s="9" t="s">
        <v>932</v>
      </c>
      <c r="U135" s="10" t="s">
        <v>109</v>
      </c>
      <c r="V135" s="10">
        <v>1</v>
      </c>
      <c r="W135" s="24" t="s">
        <v>448</v>
      </c>
      <c r="X135" s="24" t="s">
        <v>448</v>
      </c>
      <c r="Y135" s="30">
        <v>19.565000000000001</v>
      </c>
      <c r="Z135" s="30"/>
      <c r="AA135" s="30">
        <f t="shared" si="0"/>
        <v>19.565000000000001</v>
      </c>
      <c r="AB135" s="24" t="s">
        <v>111</v>
      </c>
      <c r="AC135" s="26" t="s">
        <v>2538</v>
      </c>
      <c r="AD135" s="24" t="s">
        <v>111</v>
      </c>
      <c r="AE135" s="9"/>
    </row>
    <row r="136" spans="1:31" s="11" customFormat="1" ht="27.95" hidden="1" customHeight="1" x14ac:dyDescent="0.15">
      <c r="A136" s="8">
        <v>133</v>
      </c>
      <c r="B136" s="8" t="s">
        <v>933</v>
      </c>
      <c r="C136" s="26" t="s">
        <v>19</v>
      </c>
      <c r="D136" s="26" t="s">
        <v>19</v>
      </c>
      <c r="E136" s="26" t="s">
        <v>19</v>
      </c>
      <c r="F136" s="54" t="s">
        <v>935</v>
      </c>
      <c r="G136" s="54" t="s">
        <v>934</v>
      </c>
      <c r="H136" s="20" t="s">
        <v>3398</v>
      </c>
      <c r="I136" s="20" t="s">
        <v>936</v>
      </c>
      <c r="J136" s="9" t="s">
        <v>942</v>
      </c>
      <c r="K136" s="26" t="s">
        <v>127</v>
      </c>
      <c r="L136" s="2" t="s">
        <v>944</v>
      </c>
      <c r="M136" s="26" t="s">
        <v>127</v>
      </c>
      <c r="N136" s="22" t="s">
        <v>937</v>
      </c>
      <c r="O136" s="54" t="s">
        <v>943</v>
      </c>
      <c r="P136" s="26" t="s">
        <v>127</v>
      </c>
      <c r="Q136" s="9" t="s">
        <v>938</v>
      </c>
      <c r="R136" s="9" t="s">
        <v>938</v>
      </c>
      <c r="S136" s="9" t="s">
        <v>941</v>
      </c>
      <c r="T136" s="9" t="s">
        <v>939</v>
      </c>
      <c r="U136" s="10" t="s">
        <v>109</v>
      </c>
      <c r="V136" s="10">
        <v>1</v>
      </c>
      <c r="W136" s="9" t="s">
        <v>939</v>
      </c>
      <c r="X136" s="9" t="s">
        <v>940</v>
      </c>
      <c r="Y136" s="30"/>
      <c r="Z136" s="30">
        <v>6.5</v>
      </c>
      <c r="AA136" s="30">
        <f t="shared" si="0"/>
        <v>6.5</v>
      </c>
      <c r="AB136" s="24" t="s">
        <v>111</v>
      </c>
      <c r="AC136" s="26" t="s">
        <v>2538</v>
      </c>
      <c r="AD136" s="24" t="s">
        <v>111</v>
      </c>
      <c r="AE136" s="9"/>
    </row>
    <row r="137" spans="1:31" s="11" customFormat="1" ht="27.95" hidden="1" customHeight="1" x14ac:dyDescent="0.15">
      <c r="A137" s="8">
        <v>134</v>
      </c>
      <c r="B137" s="8" t="s">
        <v>945</v>
      </c>
      <c r="C137" s="26" t="s">
        <v>19</v>
      </c>
      <c r="D137" s="26" t="s">
        <v>19</v>
      </c>
      <c r="E137" s="26" t="s">
        <v>19</v>
      </c>
      <c r="F137" s="54" t="s">
        <v>149</v>
      </c>
      <c r="G137" s="54" t="s">
        <v>946</v>
      </c>
      <c r="H137" s="9" t="s">
        <v>507</v>
      </c>
      <c r="I137" s="20" t="s">
        <v>663</v>
      </c>
      <c r="J137" s="9" t="s">
        <v>947</v>
      </c>
      <c r="K137" s="26" t="s">
        <v>127</v>
      </c>
      <c r="L137" s="2" t="s">
        <v>948</v>
      </c>
      <c r="M137" s="26" t="s">
        <v>127</v>
      </c>
      <c r="N137" s="22" t="s">
        <v>132</v>
      </c>
      <c r="O137" s="54" t="s">
        <v>949</v>
      </c>
      <c r="P137" s="26" t="s">
        <v>127</v>
      </c>
      <c r="Q137" s="9" t="s">
        <v>950</v>
      </c>
      <c r="R137" s="9" t="s">
        <v>950</v>
      </c>
      <c r="S137" s="9" t="s">
        <v>951</v>
      </c>
      <c r="T137" s="9" t="s">
        <v>952</v>
      </c>
      <c r="U137" s="10" t="s">
        <v>109</v>
      </c>
      <c r="V137" s="10">
        <v>1</v>
      </c>
      <c r="W137" s="24" t="s">
        <v>3407</v>
      </c>
      <c r="X137" s="24" t="s">
        <v>122</v>
      </c>
      <c r="Y137" s="30"/>
      <c r="Z137" s="30">
        <v>8</v>
      </c>
      <c r="AA137" s="30">
        <f t="shared" si="0"/>
        <v>8</v>
      </c>
      <c r="AB137" s="24" t="s">
        <v>111</v>
      </c>
      <c r="AC137" s="26" t="s">
        <v>2538</v>
      </c>
      <c r="AD137" s="24" t="s">
        <v>111</v>
      </c>
      <c r="AE137" s="9"/>
    </row>
    <row r="138" spans="1:31" s="11" customFormat="1" ht="27.95" hidden="1" customHeight="1" x14ac:dyDescent="0.15">
      <c r="A138" s="8">
        <v>135</v>
      </c>
      <c r="B138" s="8" t="s">
        <v>953</v>
      </c>
      <c r="C138" s="26" t="s">
        <v>19</v>
      </c>
      <c r="D138" s="26" t="s">
        <v>19</v>
      </c>
      <c r="E138" s="26" t="s">
        <v>19</v>
      </c>
      <c r="F138" s="29" t="s">
        <v>143</v>
      </c>
      <c r="G138" s="29" t="s">
        <v>957</v>
      </c>
      <c r="H138" s="20" t="s">
        <v>23</v>
      </c>
      <c r="I138" s="26" t="s">
        <v>1119</v>
      </c>
      <c r="J138" s="20" t="s">
        <v>145</v>
      </c>
      <c r="K138" s="26" t="s">
        <v>127</v>
      </c>
      <c r="L138" s="14" t="s">
        <v>557</v>
      </c>
      <c r="M138" s="26" t="s">
        <v>127</v>
      </c>
      <c r="N138" s="22" t="s">
        <v>102</v>
      </c>
      <c r="O138" s="64" t="s">
        <v>576</v>
      </c>
      <c r="P138" s="26" t="s">
        <v>127</v>
      </c>
      <c r="Q138" s="27" t="s">
        <v>118</v>
      </c>
      <c r="R138" s="27" t="s">
        <v>276</v>
      </c>
      <c r="S138" s="9" t="s">
        <v>954</v>
      </c>
      <c r="T138" s="9">
        <v>2017.12</v>
      </c>
      <c r="U138" s="10" t="s">
        <v>965</v>
      </c>
      <c r="V138" s="10">
        <v>1</v>
      </c>
      <c r="W138" s="24" t="s">
        <v>955</v>
      </c>
      <c r="X138" s="24" t="s">
        <v>956</v>
      </c>
      <c r="Y138" s="30"/>
      <c r="Z138" s="30">
        <v>10</v>
      </c>
      <c r="AA138" s="30">
        <f t="shared" si="0"/>
        <v>10</v>
      </c>
      <c r="AB138" s="24" t="s">
        <v>111</v>
      </c>
      <c r="AC138" s="26" t="s">
        <v>2538</v>
      </c>
      <c r="AD138" s="24" t="s">
        <v>111</v>
      </c>
      <c r="AE138" s="9"/>
    </row>
    <row r="139" spans="1:31" s="11" customFormat="1" ht="27.95" hidden="1" customHeight="1" x14ac:dyDescent="0.15">
      <c r="A139" s="8">
        <v>136</v>
      </c>
      <c r="B139" s="8" t="s">
        <v>2096</v>
      </c>
      <c r="C139" s="26" t="s">
        <v>966</v>
      </c>
      <c r="D139" s="26" t="s">
        <v>19</v>
      </c>
      <c r="E139" s="26" t="s">
        <v>19</v>
      </c>
      <c r="F139" s="54" t="s">
        <v>436</v>
      </c>
      <c r="G139" s="54" t="s">
        <v>961</v>
      </c>
      <c r="H139" s="9" t="s">
        <v>94</v>
      </c>
      <c r="I139" s="20" t="s">
        <v>112</v>
      </c>
      <c r="J139" s="9" t="s">
        <v>531</v>
      </c>
      <c r="K139" s="26" t="s">
        <v>127</v>
      </c>
      <c r="L139" s="2" t="s">
        <v>960</v>
      </c>
      <c r="M139" s="26" t="s">
        <v>127</v>
      </c>
      <c r="N139" s="31" t="s">
        <v>816</v>
      </c>
      <c r="O139" s="54" t="s">
        <v>2342</v>
      </c>
      <c r="P139" s="26" t="s">
        <v>127</v>
      </c>
      <c r="Q139" s="9" t="s">
        <v>153</v>
      </c>
      <c r="R139" s="9" t="s">
        <v>153</v>
      </c>
      <c r="S139" s="9" t="s">
        <v>962</v>
      </c>
      <c r="T139" s="9" t="s">
        <v>963</v>
      </c>
      <c r="U139" s="10" t="s">
        <v>964</v>
      </c>
      <c r="V139" s="10">
        <v>1</v>
      </c>
      <c r="W139" s="24" t="s">
        <v>111</v>
      </c>
      <c r="X139" s="24" t="s">
        <v>111</v>
      </c>
      <c r="Y139" s="136">
        <v>2.8950429999999998</v>
      </c>
      <c r="Z139" s="30"/>
      <c r="AA139" s="136">
        <f t="shared" si="0"/>
        <v>2.8950429999999998</v>
      </c>
      <c r="AB139" s="24" t="s">
        <v>111</v>
      </c>
      <c r="AC139" s="26" t="s">
        <v>2538</v>
      </c>
      <c r="AD139" s="24" t="s">
        <v>111</v>
      </c>
      <c r="AE139" s="9" t="s">
        <v>3262</v>
      </c>
    </row>
    <row r="140" spans="1:31" s="11" customFormat="1" ht="27.95" customHeight="1" x14ac:dyDescent="0.15">
      <c r="A140" s="8">
        <v>137</v>
      </c>
      <c r="B140" s="8" t="s">
        <v>967</v>
      </c>
      <c r="C140" s="26" t="s">
        <v>19</v>
      </c>
      <c r="D140" s="26" t="s">
        <v>968</v>
      </c>
      <c r="E140" s="26" t="s">
        <v>19</v>
      </c>
      <c r="F140" s="54" t="s">
        <v>1116</v>
      </c>
      <c r="G140" s="92" t="s">
        <v>543</v>
      </c>
      <c r="H140" s="20" t="s">
        <v>3398</v>
      </c>
      <c r="I140" s="20" t="s">
        <v>1113</v>
      </c>
      <c r="J140" s="9" t="s">
        <v>969</v>
      </c>
      <c r="K140" s="26" t="s">
        <v>127</v>
      </c>
      <c r="L140" s="2" t="s">
        <v>970</v>
      </c>
      <c r="M140" s="26" t="s">
        <v>127</v>
      </c>
      <c r="N140" s="22" t="s">
        <v>132</v>
      </c>
      <c r="O140" s="54" t="s">
        <v>971</v>
      </c>
      <c r="P140" s="26" t="s">
        <v>127</v>
      </c>
      <c r="Q140" s="9" t="s">
        <v>180</v>
      </c>
      <c r="R140" s="9" t="s">
        <v>180</v>
      </c>
      <c r="S140" s="9"/>
      <c r="T140" s="9"/>
      <c r="U140" s="10" t="s">
        <v>3417</v>
      </c>
      <c r="V140" s="10">
        <v>0</v>
      </c>
      <c r="W140" s="24" t="s">
        <v>448</v>
      </c>
      <c r="X140" s="24" t="s">
        <v>448</v>
      </c>
      <c r="Y140" s="30">
        <v>1</v>
      </c>
      <c r="Z140" s="30"/>
      <c r="AA140" s="30">
        <f t="shared" si="0"/>
        <v>1</v>
      </c>
      <c r="AB140" s="24" t="s">
        <v>111</v>
      </c>
      <c r="AC140" s="26" t="s">
        <v>2538</v>
      </c>
      <c r="AD140" s="24" t="s">
        <v>111</v>
      </c>
      <c r="AE140" s="9"/>
    </row>
    <row r="141" spans="1:31" s="11" customFormat="1" ht="27.95" hidden="1" customHeight="1" x14ac:dyDescent="0.15">
      <c r="A141" s="8">
        <v>138</v>
      </c>
      <c r="B141" s="8" t="s">
        <v>2095</v>
      </c>
      <c r="C141" s="26" t="s">
        <v>982</v>
      </c>
      <c r="D141" s="26" t="s">
        <v>19</v>
      </c>
      <c r="E141" s="26" t="s">
        <v>19</v>
      </c>
      <c r="F141" s="76" t="s">
        <v>979</v>
      </c>
      <c r="G141" s="54" t="s">
        <v>279</v>
      </c>
      <c r="H141" s="9" t="s">
        <v>507</v>
      </c>
      <c r="I141" s="20" t="s">
        <v>980</v>
      </c>
      <c r="J141" s="9" t="s">
        <v>981</v>
      </c>
      <c r="K141" s="26" t="s">
        <v>127</v>
      </c>
      <c r="L141" s="14" t="s">
        <v>557</v>
      </c>
      <c r="M141" s="26" t="s">
        <v>127</v>
      </c>
      <c r="N141" s="31" t="s">
        <v>816</v>
      </c>
      <c r="O141" s="54" t="s">
        <v>637</v>
      </c>
      <c r="P141" s="26" t="s">
        <v>127</v>
      </c>
      <c r="Q141" s="9" t="s">
        <v>1071</v>
      </c>
      <c r="R141" s="9" t="s">
        <v>1072</v>
      </c>
      <c r="S141" s="9" t="s">
        <v>972</v>
      </c>
      <c r="T141" s="9">
        <v>2017.12</v>
      </c>
      <c r="U141" s="10" t="s">
        <v>312</v>
      </c>
      <c r="V141" s="10">
        <v>1</v>
      </c>
      <c r="W141" s="24" t="s">
        <v>448</v>
      </c>
      <c r="X141" s="24" t="s">
        <v>448</v>
      </c>
      <c r="Y141" s="30">
        <v>27</v>
      </c>
      <c r="Z141" s="30"/>
      <c r="AA141" s="30">
        <f t="shared" si="0"/>
        <v>27</v>
      </c>
      <c r="AB141" s="24" t="s">
        <v>111</v>
      </c>
      <c r="AC141" s="26" t="s">
        <v>2538</v>
      </c>
      <c r="AD141" s="24" t="s">
        <v>111</v>
      </c>
      <c r="AE141" s="9"/>
    </row>
    <row r="142" spans="1:31" s="11" customFormat="1" ht="27" hidden="1" customHeight="1" x14ac:dyDescent="0.15">
      <c r="A142" s="8">
        <v>139</v>
      </c>
      <c r="B142" s="8" t="s">
        <v>983</v>
      </c>
      <c r="C142" s="26" t="s">
        <v>19</v>
      </c>
      <c r="D142" s="26" t="s">
        <v>19</v>
      </c>
      <c r="E142" s="8" t="s">
        <v>2353</v>
      </c>
      <c r="F142" s="54" t="s">
        <v>1076</v>
      </c>
      <c r="G142" s="67" t="s">
        <v>1077</v>
      </c>
      <c r="H142" s="20" t="s">
        <v>3394</v>
      </c>
      <c r="I142" s="20" t="s">
        <v>984</v>
      </c>
      <c r="J142" s="9" t="s">
        <v>1078</v>
      </c>
      <c r="K142" s="26" t="s">
        <v>127</v>
      </c>
      <c r="L142" s="14" t="s">
        <v>557</v>
      </c>
      <c r="M142" s="26" t="s">
        <v>127</v>
      </c>
      <c r="N142" s="22" t="s">
        <v>132</v>
      </c>
      <c r="O142" s="54" t="s">
        <v>1075</v>
      </c>
      <c r="P142" s="26" t="s">
        <v>127</v>
      </c>
      <c r="Q142" s="9" t="s">
        <v>180</v>
      </c>
      <c r="R142" s="9" t="s">
        <v>180</v>
      </c>
      <c r="S142" s="9" t="s">
        <v>1073</v>
      </c>
      <c r="T142" s="9" t="s">
        <v>1074</v>
      </c>
      <c r="U142" s="10" t="s">
        <v>312</v>
      </c>
      <c r="V142" s="10">
        <v>1</v>
      </c>
      <c r="W142" s="24" t="s">
        <v>985</v>
      </c>
      <c r="X142" s="24"/>
      <c r="Y142" s="30">
        <v>32.735999999999997</v>
      </c>
      <c r="Z142" s="30"/>
      <c r="AA142" s="30">
        <f t="shared" si="0"/>
        <v>32.735999999999997</v>
      </c>
      <c r="AB142" s="24" t="s">
        <v>111</v>
      </c>
      <c r="AC142" s="26" t="s">
        <v>2538</v>
      </c>
      <c r="AD142" s="24" t="s">
        <v>111</v>
      </c>
      <c r="AE142" s="9"/>
    </row>
    <row r="143" spans="1:31" s="11" customFormat="1" ht="27.95" hidden="1" customHeight="1" x14ac:dyDescent="0.15">
      <c r="A143" s="8">
        <v>140</v>
      </c>
      <c r="B143" s="8" t="s">
        <v>997</v>
      </c>
      <c r="C143" s="26" t="s">
        <v>19</v>
      </c>
      <c r="D143" s="26" t="s">
        <v>19</v>
      </c>
      <c r="E143" s="26" t="s">
        <v>19</v>
      </c>
      <c r="F143" s="54" t="s">
        <v>2365</v>
      </c>
      <c r="G143" s="67" t="s">
        <v>3408</v>
      </c>
      <c r="H143" s="20" t="s">
        <v>3394</v>
      </c>
      <c r="I143" s="9" t="s">
        <v>2364</v>
      </c>
      <c r="J143" s="9" t="s">
        <v>591</v>
      </c>
      <c r="K143" s="26" t="s">
        <v>127</v>
      </c>
      <c r="L143" s="2" t="s">
        <v>1008</v>
      </c>
      <c r="M143" s="26" t="s">
        <v>127</v>
      </c>
      <c r="N143" s="22" t="s">
        <v>575</v>
      </c>
      <c r="O143" s="54" t="s">
        <v>851</v>
      </c>
      <c r="P143" s="26" t="s">
        <v>127</v>
      </c>
      <c r="Q143" s="9" t="s">
        <v>180</v>
      </c>
      <c r="R143" s="9" t="s">
        <v>180</v>
      </c>
      <c r="S143" s="9" t="s">
        <v>2363</v>
      </c>
      <c r="T143" s="9" t="s">
        <v>2361</v>
      </c>
      <c r="U143" s="10" t="s">
        <v>312</v>
      </c>
      <c r="V143" s="10">
        <v>1</v>
      </c>
      <c r="W143" s="9" t="s">
        <v>1006</v>
      </c>
      <c r="X143" s="9" t="s">
        <v>1007</v>
      </c>
      <c r="Y143" s="30"/>
      <c r="Z143" s="30">
        <v>8</v>
      </c>
      <c r="AA143" s="30">
        <f t="shared" si="0"/>
        <v>8</v>
      </c>
      <c r="AB143" s="24" t="s">
        <v>111</v>
      </c>
      <c r="AC143" s="26" t="s">
        <v>2538</v>
      </c>
      <c r="AD143" s="24" t="s">
        <v>111</v>
      </c>
      <c r="AE143" s="9"/>
    </row>
    <row r="144" spans="1:31" s="11" customFormat="1" ht="27.95" hidden="1" customHeight="1" x14ac:dyDescent="0.15">
      <c r="A144" s="8">
        <v>141</v>
      </c>
      <c r="B144" s="8" t="s">
        <v>998</v>
      </c>
      <c r="C144" s="26" t="s">
        <v>19</v>
      </c>
      <c r="D144" s="26" t="s">
        <v>19</v>
      </c>
      <c r="E144" s="26" t="s">
        <v>19</v>
      </c>
      <c r="F144" s="54" t="s">
        <v>2366</v>
      </c>
      <c r="G144" s="67" t="s">
        <v>3409</v>
      </c>
      <c r="H144" s="20" t="s">
        <v>3394</v>
      </c>
      <c r="I144" s="9" t="s">
        <v>993</v>
      </c>
      <c r="J144" s="9" t="s">
        <v>1009</v>
      </c>
      <c r="K144" s="26" t="s">
        <v>127</v>
      </c>
      <c r="L144" s="2" t="s">
        <v>1019</v>
      </c>
      <c r="M144" s="26" t="s">
        <v>127</v>
      </c>
      <c r="N144" s="22" t="s">
        <v>995</v>
      </c>
      <c r="O144" s="54" t="s">
        <v>851</v>
      </c>
      <c r="P144" s="26" t="s">
        <v>127</v>
      </c>
      <c r="Q144" s="9" t="s">
        <v>180</v>
      </c>
      <c r="R144" s="9" t="s">
        <v>180</v>
      </c>
      <c r="S144" s="9" t="s">
        <v>2363</v>
      </c>
      <c r="T144" s="9" t="s">
        <v>2361</v>
      </c>
      <c r="U144" s="10" t="s">
        <v>312</v>
      </c>
      <c r="V144" s="10">
        <v>1</v>
      </c>
      <c r="W144" s="9" t="s">
        <v>1006</v>
      </c>
      <c r="X144" s="9" t="s">
        <v>1007</v>
      </c>
      <c r="Y144" s="30"/>
      <c r="Z144" s="30">
        <v>8</v>
      </c>
      <c r="AA144" s="30">
        <f t="shared" si="0"/>
        <v>8</v>
      </c>
      <c r="AB144" s="24" t="s">
        <v>111</v>
      </c>
      <c r="AC144" s="26" t="s">
        <v>2538</v>
      </c>
      <c r="AD144" s="24" t="s">
        <v>111</v>
      </c>
      <c r="AE144" s="9"/>
    </row>
    <row r="145" spans="1:31" s="11" customFormat="1" ht="27.95" hidden="1" customHeight="1" x14ac:dyDescent="0.15">
      <c r="A145" s="8">
        <v>142</v>
      </c>
      <c r="B145" s="8" t="s">
        <v>999</v>
      </c>
      <c r="C145" s="26" t="s">
        <v>19</v>
      </c>
      <c r="D145" s="26" t="s">
        <v>19</v>
      </c>
      <c r="E145" s="26" t="s">
        <v>19</v>
      </c>
      <c r="F145" s="54" t="s">
        <v>2369</v>
      </c>
      <c r="G145" s="67" t="s">
        <v>3410</v>
      </c>
      <c r="H145" s="20" t="s">
        <v>3394</v>
      </c>
      <c r="I145" s="9" t="s">
        <v>993</v>
      </c>
      <c r="J145" s="9" t="s">
        <v>2367</v>
      </c>
      <c r="K145" s="26" t="s">
        <v>127</v>
      </c>
      <c r="L145" s="2" t="s">
        <v>2370</v>
      </c>
      <c r="M145" s="26" t="s">
        <v>127</v>
      </c>
      <c r="N145" s="22" t="s">
        <v>2368</v>
      </c>
      <c r="O145" s="54" t="s">
        <v>851</v>
      </c>
      <c r="P145" s="26" t="s">
        <v>127</v>
      </c>
      <c r="Q145" s="9" t="s">
        <v>180</v>
      </c>
      <c r="R145" s="9" t="s">
        <v>180</v>
      </c>
      <c r="S145" s="9" t="s">
        <v>2363</v>
      </c>
      <c r="T145" s="9" t="s">
        <v>2361</v>
      </c>
      <c r="U145" s="10" t="s">
        <v>312</v>
      </c>
      <c r="V145" s="10">
        <v>1</v>
      </c>
      <c r="W145" s="9" t="s">
        <v>1006</v>
      </c>
      <c r="X145" s="9" t="s">
        <v>1007</v>
      </c>
      <c r="Y145" s="30"/>
      <c r="Z145" s="30">
        <v>8</v>
      </c>
      <c r="AA145" s="30">
        <f t="shared" si="0"/>
        <v>8</v>
      </c>
      <c r="AB145" s="24" t="s">
        <v>111</v>
      </c>
      <c r="AC145" s="26" t="s">
        <v>2538</v>
      </c>
      <c r="AD145" s="24" t="s">
        <v>111</v>
      </c>
      <c r="AE145" s="9"/>
    </row>
    <row r="146" spans="1:31" s="11" customFormat="1" ht="27.95" hidden="1" customHeight="1" x14ac:dyDescent="0.15">
      <c r="A146" s="8">
        <v>143</v>
      </c>
      <c r="B146" s="8" t="s">
        <v>1000</v>
      </c>
      <c r="C146" s="26" t="s">
        <v>19</v>
      </c>
      <c r="D146" s="26" t="s">
        <v>19</v>
      </c>
      <c r="E146" s="26" t="s">
        <v>19</v>
      </c>
      <c r="F146" s="54" t="s">
        <v>2371</v>
      </c>
      <c r="G146" s="67" t="s">
        <v>3411</v>
      </c>
      <c r="H146" s="20" t="s">
        <v>3394</v>
      </c>
      <c r="I146" s="9" t="s">
        <v>993</v>
      </c>
      <c r="J146" s="9" t="s">
        <v>1010</v>
      </c>
      <c r="K146" s="26" t="s">
        <v>127</v>
      </c>
      <c r="L146" s="2" t="s">
        <v>1011</v>
      </c>
      <c r="M146" s="26" t="s">
        <v>127</v>
      </c>
      <c r="N146" s="22" t="s">
        <v>2372</v>
      </c>
      <c r="O146" s="54" t="s">
        <v>851</v>
      </c>
      <c r="P146" s="26" t="s">
        <v>127</v>
      </c>
      <c r="Q146" s="9" t="s">
        <v>180</v>
      </c>
      <c r="R146" s="9" t="s">
        <v>180</v>
      </c>
      <c r="S146" s="9" t="s">
        <v>2363</v>
      </c>
      <c r="T146" s="9" t="s">
        <v>2361</v>
      </c>
      <c r="U146" s="10" t="s">
        <v>312</v>
      </c>
      <c r="V146" s="10">
        <v>1</v>
      </c>
      <c r="W146" s="9" t="s">
        <v>1006</v>
      </c>
      <c r="X146" s="9" t="s">
        <v>1007</v>
      </c>
      <c r="Y146" s="30"/>
      <c r="Z146" s="30">
        <v>8</v>
      </c>
      <c r="AA146" s="30">
        <f t="shared" si="0"/>
        <v>8</v>
      </c>
      <c r="AB146" s="24" t="s">
        <v>111</v>
      </c>
      <c r="AC146" s="26" t="s">
        <v>2538</v>
      </c>
      <c r="AD146" s="24" t="s">
        <v>111</v>
      </c>
      <c r="AE146" s="9"/>
    </row>
    <row r="147" spans="1:31" s="11" customFormat="1" ht="27.95" hidden="1" customHeight="1" x14ac:dyDescent="0.15">
      <c r="A147" s="8">
        <v>144</v>
      </c>
      <c r="B147" s="8" t="s">
        <v>1001</v>
      </c>
      <c r="C147" s="26" t="s">
        <v>19</v>
      </c>
      <c r="D147" s="26" t="s">
        <v>19</v>
      </c>
      <c r="E147" s="26" t="s">
        <v>19</v>
      </c>
      <c r="F147" s="54" t="s">
        <v>2373</v>
      </c>
      <c r="G147" s="67" t="s">
        <v>3412</v>
      </c>
      <c r="H147" s="20" t="s">
        <v>3394</v>
      </c>
      <c r="I147" s="9" t="s">
        <v>993</v>
      </c>
      <c r="J147" s="9" t="s">
        <v>1012</v>
      </c>
      <c r="K147" s="26" t="s">
        <v>127</v>
      </c>
      <c r="L147" s="2" t="s">
        <v>2374</v>
      </c>
      <c r="M147" s="26" t="s">
        <v>127</v>
      </c>
      <c r="N147" s="22" t="s">
        <v>454</v>
      </c>
      <c r="O147" s="54" t="s">
        <v>851</v>
      </c>
      <c r="P147" s="26" t="s">
        <v>127</v>
      </c>
      <c r="Q147" s="9" t="s">
        <v>180</v>
      </c>
      <c r="R147" s="9" t="s">
        <v>180</v>
      </c>
      <c r="S147" s="9" t="s">
        <v>2363</v>
      </c>
      <c r="T147" s="9" t="s">
        <v>2361</v>
      </c>
      <c r="U147" s="10" t="s">
        <v>312</v>
      </c>
      <c r="V147" s="10">
        <v>1</v>
      </c>
      <c r="W147" s="9" t="s">
        <v>1006</v>
      </c>
      <c r="X147" s="9" t="s">
        <v>1007</v>
      </c>
      <c r="Y147" s="30"/>
      <c r="Z147" s="30">
        <v>8</v>
      </c>
      <c r="AA147" s="30">
        <f t="shared" si="0"/>
        <v>8</v>
      </c>
      <c r="AB147" s="24" t="s">
        <v>111</v>
      </c>
      <c r="AC147" s="26" t="s">
        <v>2538</v>
      </c>
      <c r="AD147" s="24" t="s">
        <v>111</v>
      </c>
      <c r="AE147" s="9"/>
    </row>
    <row r="148" spans="1:31" s="11" customFormat="1" ht="27.95" hidden="1" customHeight="1" x14ac:dyDescent="0.15">
      <c r="A148" s="8">
        <v>145</v>
      </c>
      <c r="B148" s="8" t="s">
        <v>1002</v>
      </c>
      <c r="C148" s="26" t="s">
        <v>19</v>
      </c>
      <c r="D148" s="26" t="s">
        <v>19</v>
      </c>
      <c r="E148" s="26" t="s">
        <v>19</v>
      </c>
      <c r="F148" s="54" t="s">
        <v>2375</v>
      </c>
      <c r="G148" s="67" t="s">
        <v>3413</v>
      </c>
      <c r="H148" s="20" t="s">
        <v>3394</v>
      </c>
      <c r="I148" s="9" t="s">
        <v>993</v>
      </c>
      <c r="J148" s="9" t="s">
        <v>1013</v>
      </c>
      <c r="K148" s="26" t="s">
        <v>127</v>
      </c>
      <c r="L148" s="2" t="s">
        <v>1014</v>
      </c>
      <c r="M148" s="26" t="s">
        <v>127</v>
      </c>
      <c r="N148" s="22" t="s">
        <v>996</v>
      </c>
      <c r="O148" s="54" t="s">
        <v>851</v>
      </c>
      <c r="P148" s="26" t="s">
        <v>127</v>
      </c>
      <c r="Q148" s="9" t="s">
        <v>180</v>
      </c>
      <c r="R148" s="9" t="s">
        <v>180</v>
      </c>
      <c r="S148" s="9" t="s">
        <v>2363</v>
      </c>
      <c r="T148" s="9" t="s">
        <v>2361</v>
      </c>
      <c r="U148" s="10" t="s">
        <v>312</v>
      </c>
      <c r="V148" s="10">
        <v>1</v>
      </c>
      <c r="W148" s="9" t="s">
        <v>1006</v>
      </c>
      <c r="X148" s="9" t="s">
        <v>1007</v>
      </c>
      <c r="Y148" s="30"/>
      <c r="Z148" s="30">
        <v>8</v>
      </c>
      <c r="AA148" s="30">
        <f t="shared" si="0"/>
        <v>8</v>
      </c>
      <c r="AB148" s="24" t="s">
        <v>111</v>
      </c>
      <c r="AC148" s="26" t="s">
        <v>2538</v>
      </c>
      <c r="AD148" s="24" t="s">
        <v>111</v>
      </c>
      <c r="AE148" s="9"/>
    </row>
    <row r="149" spans="1:31" s="11" customFormat="1" ht="45" hidden="1" x14ac:dyDescent="0.15">
      <c r="A149" s="8">
        <v>146</v>
      </c>
      <c r="B149" s="8" t="s">
        <v>1003</v>
      </c>
      <c r="C149" s="26" t="s">
        <v>19</v>
      </c>
      <c r="D149" s="26" t="s">
        <v>19</v>
      </c>
      <c r="E149" s="26" t="s">
        <v>19</v>
      </c>
      <c r="F149" s="54" t="s">
        <v>2376</v>
      </c>
      <c r="G149" s="67" t="s">
        <v>2377</v>
      </c>
      <c r="H149" s="20" t="s">
        <v>3394</v>
      </c>
      <c r="I149" s="9" t="s">
        <v>993</v>
      </c>
      <c r="J149" s="9" t="s">
        <v>604</v>
      </c>
      <c r="K149" s="26" t="s">
        <v>127</v>
      </c>
      <c r="L149" s="2" t="s">
        <v>2380</v>
      </c>
      <c r="M149" s="26" t="s">
        <v>127</v>
      </c>
      <c r="N149" s="22" t="s">
        <v>454</v>
      </c>
      <c r="O149" s="54" t="s">
        <v>851</v>
      </c>
      <c r="P149" s="26" t="s">
        <v>127</v>
      </c>
      <c r="Q149" s="9" t="s">
        <v>180</v>
      </c>
      <c r="R149" s="9" t="s">
        <v>180</v>
      </c>
      <c r="S149" s="9" t="s">
        <v>2363</v>
      </c>
      <c r="T149" s="9" t="s">
        <v>2361</v>
      </c>
      <c r="U149" s="10" t="s">
        <v>312</v>
      </c>
      <c r="V149" s="10">
        <v>1</v>
      </c>
      <c r="W149" s="9" t="s">
        <v>1006</v>
      </c>
      <c r="X149" s="9" t="s">
        <v>1007</v>
      </c>
      <c r="Y149" s="30"/>
      <c r="Z149" s="30">
        <v>8</v>
      </c>
      <c r="AA149" s="30">
        <f t="shared" si="0"/>
        <v>8</v>
      </c>
      <c r="AB149" s="24" t="s">
        <v>111</v>
      </c>
      <c r="AC149" s="26" t="s">
        <v>2538</v>
      </c>
      <c r="AD149" s="24" t="s">
        <v>111</v>
      </c>
      <c r="AE149" s="9"/>
    </row>
    <row r="150" spans="1:31" s="11" customFormat="1" ht="27.95" hidden="1" customHeight="1" x14ac:dyDescent="0.15">
      <c r="A150" s="8">
        <v>147</v>
      </c>
      <c r="B150" s="8" t="s">
        <v>1004</v>
      </c>
      <c r="C150" s="26" t="s">
        <v>19</v>
      </c>
      <c r="D150" s="26" t="s">
        <v>19</v>
      </c>
      <c r="E150" s="26" t="s">
        <v>19</v>
      </c>
      <c r="F150" s="54" t="s">
        <v>2375</v>
      </c>
      <c r="G150" s="67" t="s">
        <v>2378</v>
      </c>
      <c r="H150" s="20" t="s">
        <v>3394</v>
      </c>
      <c r="I150" s="9" t="s">
        <v>993</v>
      </c>
      <c r="J150" s="9" t="s">
        <v>1016</v>
      </c>
      <c r="K150" s="26" t="s">
        <v>127</v>
      </c>
      <c r="L150" s="2" t="s">
        <v>1015</v>
      </c>
      <c r="M150" s="26" t="s">
        <v>127</v>
      </c>
      <c r="N150" s="22" t="s">
        <v>995</v>
      </c>
      <c r="O150" s="54" t="s">
        <v>851</v>
      </c>
      <c r="P150" s="26" t="s">
        <v>127</v>
      </c>
      <c r="Q150" s="9" t="s">
        <v>180</v>
      </c>
      <c r="R150" s="9" t="s">
        <v>180</v>
      </c>
      <c r="S150" s="9" t="s">
        <v>2363</v>
      </c>
      <c r="T150" s="9" t="s">
        <v>2361</v>
      </c>
      <c r="U150" s="10" t="s">
        <v>312</v>
      </c>
      <c r="V150" s="10">
        <v>1</v>
      </c>
      <c r="W150" s="9" t="s">
        <v>1006</v>
      </c>
      <c r="X150" s="9" t="s">
        <v>1007</v>
      </c>
      <c r="Y150" s="30"/>
      <c r="Z150" s="30">
        <v>8</v>
      </c>
      <c r="AA150" s="30">
        <f t="shared" si="0"/>
        <v>8</v>
      </c>
      <c r="AB150" s="24" t="s">
        <v>111</v>
      </c>
      <c r="AC150" s="26" t="s">
        <v>2538</v>
      </c>
      <c r="AD150" s="24" t="s">
        <v>111</v>
      </c>
      <c r="AE150" s="9"/>
    </row>
    <row r="151" spans="1:31" s="11" customFormat="1" ht="27.95" hidden="1" customHeight="1" x14ac:dyDescent="0.15">
      <c r="A151" s="8">
        <v>148</v>
      </c>
      <c r="B151" s="8" t="s">
        <v>1005</v>
      </c>
      <c r="C151" s="26" t="s">
        <v>19</v>
      </c>
      <c r="D151" s="26" t="s">
        <v>19</v>
      </c>
      <c r="E151" s="26" t="s">
        <v>19</v>
      </c>
      <c r="F151" s="54" t="s">
        <v>2375</v>
      </c>
      <c r="G151" s="67" t="s">
        <v>2379</v>
      </c>
      <c r="H151" s="20" t="s">
        <v>3394</v>
      </c>
      <c r="I151" s="9" t="s">
        <v>993</v>
      </c>
      <c r="J151" s="9" t="s">
        <v>1017</v>
      </c>
      <c r="K151" s="26" t="s">
        <v>127</v>
      </c>
      <c r="L151" s="2" t="s">
        <v>1018</v>
      </c>
      <c r="M151" s="26" t="s">
        <v>127</v>
      </c>
      <c r="N151" s="22" t="s">
        <v>995</v>
      </c>
      <c r="O151" s="54" t="s">
        <v>851</v>
      </c>
      <c r="P151" s="26" t="s">
        <v>127</v>
      </c>
      <c r="Q151" s="9" t="s">
        <v>180</v>
      </c>
      <c r="R151" s="9" t="s">
        <v>180</v>
      </c>
      <c r="S151" s="9" t="s">
        <v>2363</v>
      </c>
      <c r="T151" s="9" t="s">
        <v>2361</v>
      </c>
      <c r="U151" s="10" t="s">
        <v>312</v>
      </c>
      <c r="V151" s="10">
        <v>1</v>
      </c>
      <c r="W151" s="9" t="s">
        <v>1006</v>
      </c>
      <c r="X151" s="9" t="s">
        <v>1007</v>
      </c>
      <c r="Y151" s="30"/>
      <c r="Z151" s="30">
        <v>8</v>
      </c>
      <c r="AA151" s="30">
        <f t="shared" si="0"/>
        <v>8</v>
      </c>
      <c r="AB151" s="24" t="s">
        <v>111</v>
      </c>
      <c r="AC151" s="26" t="s">
        <v>2538</v>
      </c>
      <c r="AD151" s="24" t="s">
        <v>111</v>
      </c>
      <c r="AE151" s="9"/>
    </row>
    <row r="152" spans="1:31" s="11" customFormat="1" ht="27.95" hidden="1" customHeight="1" x14ac:dyDescent="0.15">
      <c r="A152" s="8">
        <v>149</v>
      </c>
      <c r="B152" s="8" t="s">
        <v>1026</v>
      </c>
      <c r="C152" s="26" t="s">
        <v>19</v>
      </c>
      <c r="D152" s="26" t="s">
        <v>19</v>
      </c>
      <c r="E152" s="26" t="s">
        <v>19</v>
      </c>
      <c r="F152" s="54" t="s">
        <v>1020</v>
      </c>
      <c r="G152" s="54" t="s">
        <v>1117</v>
      </c>
      <c r="H152" s="1" t="s">
        <v>1436</v>
      </c>
      <c r="I152" s="9" t="s">
        <v>1021</v>
      </c>
      <c r="J152" s="9" t="s">
        <v>1022</v>
      </c>
      <c r="K152" s="26" t="s">
        <v>127</v>
      </c>
      <c r="L152" s="2" t="s">
        <v>1023</v>
      </c>
      <c r="M152" s="26" t="s">
        <v>127</v>
      </c>
      <c r="N152" s="22" t="s">
        <v>454</v>
      </c>
      <c r="O152" s="54" t="s">
        <v>1024</v>
      </c>
      <c r="P152" s="26" t="s">
        <v>127</v>
      </c>
      <c r="Q152" s="9" t="s">
        <v>1025</v>
      </c>
      <c r="R152" s="9" t="s">
        <v>1025</v>
      </c>
      <c r="S152" s="9" t="s">
        <v>1032</v>
      </c>
      <c r="T152" s="9" t="s">
        <v>1033</v>
      </c>
      <c r="U152" s="10" t="s">
        <v>308</v>
      </c>
      <c r="V152" s="10">
        <v>1</v>
      </c>
      <c r="W152" s="24" t="s">
        <v>448</v>
      </c>
      <c r="X152" s="24" t="s">
        <v>448</v>
      </c>
      <c r="Y152" s="136">
        <v>4.9572649999999996</v>
      </c>
      <c r="Z152" s="30"/>
      <c r="AA152" s="136">
        <v>4.9572649999999996</v>
      </c>
      <c r="AB152" s="24" t="s">
        <v>111</v>
      </c>
      <c r="AC152" s="26" t="s">
        <v>2538</v>
      </c>
      <c r="AD152" s="24" t="s">
        <v>111</v>
      </c>
      <c r="AE152" s="9" t="s">
        <v>4409</v>
      </c>
    </row>
    <row r="153" spans="1:31" s="11" customFormat="1" ht="27.95" hidden="1" customHeight="1" x14ac:dyDescent="0.15">
      <c r="A153" s="8">
        <v>150</v>
      </c>
      <c r="B153" s="8" t="s">
        <v>1027</v>
      </c>
      <c r="C153" s="26" t="s">
        <v>19</v>
      </c>
      <c r="D153" s="26" t="s">
        <v>19</v>
      </c>
      <c r="E153" s="26" t="s">
        <v>3884</v>
      </c>
      <c r="F153" s="54" t="s">
        <v>1031</v>
      </c>
      <c r="G153" s="54" t="s">
        <v>1035</v>
      </c>
      <c r="H153" s="1" t="s">
        <v>3396</v>
      </c>
      <c r="I153" s="9" t="s">
        <v>1028</v>
      </c>
      <c r="J153" s="9" t="s">
        <v>1029</v>
      </c>
      <c r="K153" s="26" t="s">
        <v>127</v>
      </c>
      <c r="L153" s="2" t="s">
        <v>1030</v>
      </c>
      <c r="M153" s="26" t="s">
        <v>127</v>
      </c>
      <c r="N153" s="22" t="s">
        <v>454</v>
      </c>
      <c r="O153" s="54" t="s">
        <v>1034</v>
      </c>
      <c r="P153" s="26" t="s">
        <v>127</v>
      </c>
      <c r="Q153" s="9" t="s">
        <v>226</v>
      </c>
      <c r="R153" s="9" t="s">
        <v>226</v>
      </c>
      <c r="S153" s="9" t="s">
        <v>1032</v>
      </c>
      <c r="T153" s="9">
        <v>2017.11</v>
      </c>
      <c r="U153" s="10" t="s">
        <v>312</v>
      </c>
      <c r="V153" s="10">
        <v>1</v>
      </c>
      <c r="W153" s="24" t="s">
        <v>457</v>
      </c>
      <c r="X153" s="24"/>
      <c r="Y153" s="136">
        <v>37.666666999999997</v>
      </c>
      <c r="Z153" s="30"/>
      <c r="AA153" s="136">
        <v>37.666666999999997</v>
      </c>
      <c r="AB153" s="24" t="s">
        <v>111</v>
      </c>
      <c r="AC153" s="26" t="s">
        <v>2538</v>
      </c>
      <c r="AD153" s="24" t="s">
        <v>111</v>
      </c>
      <c r="AE153" s="9" t="s">
        <v>5812</v>
      </c>
    </row>
    <row r="154" spans="1:31" s="11" customFormat="1" ht="27.95" customHeight="1" x14ac:dyDescent="0.15">
      <c r="A154" s="8">
        <v>151</v>
      </c>
      <c r="B154" s="8" t="s">
        <v>1411</v>
      </c>
      <c r="C154" s="26" t="s">
        <v>19</v>
      </c>
      <c r="D154" s="26" t="s">
        <v>1084</v>
      </c>
      <c r="E154" s="26" t="s">
        <v>1412</v>
      </c>
      <c r="F154" s="54" t="s">
        <v>758</v>
      </c>
      <c r="G154" s="67" t="s">
        <v>1082</v>
      </c>
      <c r="H154" s="20" t="s">
        <v>3196</v>
      </c>
      <c r="I154" s="20" t="s">
        <v>451</v>
      </c>
      <c r="J154" s="9" t="s">
        <v>762</v>
      </c>
      <c r="K154" s="26" t="s">
        <v>127</v>
      </c>
      <c r="L154" s="2" t="s">
        <v>761</v>
      </c>
      <c r="M154" s="26" t="s">
        <v>127</v>
      </c>
      <c r="N154" s="22" t="s">
        <v>454</v>
      </c>
      <c r="O154" s="54" t="s">
        <v>1036</v>
      </c>
      <c r="P154" s="26" t="s">
        <v>127</v>
      </c>
      <c r="Q154" s="9" t="s">
        <v>1037</v>
      </c>
      <c r="R154" s="9" t="s">
        <v>1037</v>
      </c>
      <c r="S154" s="9" t="s">
        <v>1083</v>
      </c>
      <c r="T154" s="9">
        <v>2017.11</v>
      </c>
      <c r="U154" s="10" t="s">
        <v>312</v>
      </c>
      <c r="V154" s="10">
        <v>1</v>
      </c>
      <c r="W154" s="24" t="s">
        <v>448</v>
      </c>
      <c r="X154" s="24" t="s">
        <v>448</v>
      </c>
      <c r="Y154" s="30">
        <v>9.7810000000000006</v>
      </c>
      <c r="Z154" s="30"/>
      <c r="AA154" s="30">
        <f t="shared" si="0"/>
        <v>9.7810000000000006</v>
      </c>
      <c r="AB154" s="24" t="s">
        <v>111</v>
      </c>
      <c r="AC154" s="26" t="s">
        <v>2538</v>
      </c>
      <c r="AD154" s="24" t="s">
        <v>111</v>
      </c>
      <c r="AE154" s="9"/>
    </row>
    <row r="155" spans="1:31" s="11" customFormat="1" ht="27.95" hidden="1" customHeight="1" x14ac:dyDescent="0.15">
      <c r="A155" s="8">
        <v>152</v>
      </c>
      <c r="B155" s="8" t="s">
        <v>2094</v>
      </c>
      <c r="C155" s="26" t="s">
        <v>1059</v>
      </c>
      <c r="D155" s="26" t="s">
        <v>19</v>
      </c>
      <c r="E155" s="8" t="s">
        <v>2109</v>
      </c>
      <c r="F155" s="76" t="s">
        <v>1048</v>
      </c>
      <c r="G155" s="54" t="s">
        <v>1058</v>
      </c>
      <c r="H155" s="18" t="s">
        <v>1040</v>
      </c>
      <c r="I155" s="18" t="s">
        <v>1055</v>
      </c>
      <c r="J155" s="28" t="s">
        <v>3487</v>
      </c>
      <c r="K155" s="26" t="s">
        <v>127</v>
      </c>
      <c r="L155" s="28" t="s">
        <v>1060</v>
      </c>
      <c r="M155" s="26" t="s">
        <v>127</v>
      </c>
      <c r="N155" s="28" t="s">
        <v>1041</v>
      </c>
      <c r="O155" s="58" t="s">
        <v>1057</v>
      </c>
      <c r="P155" s="26" t="s">
        <v>127</v>
      </c>
      <c r="Q155" s="9" t="s">
        <v>1044</v>
      </c>
      <c r="R155" s="9" t="s">
        <v>1045</v>
      </c>
      <c r="S155" s="9" t="s">
        <v>1046</v>
      </c>
      <c r="T155" s="9" t="s">
        <v>1047</v>
      </c>
      <c r="U155" s="10" t="s">
        <v>312</v>
      </c>
      <c r="V155" s="10">
        <v>1</v>
      </c>
      <c r="W155" s="24" t="s">
        <v>457</v>
      </c>
      <c r="X155" s="24"/>
      <c r="Y155" s="30">
        <v>27</v>
      </c>
      <c r="Z155" s="30"/>
      <c r="AA155" s="30">
        <f t="shared" si="0"/>
        <v>27</v>
      </c>
      <c r="AB155" s="24" t="s">
        <v>111</v>
      </c>
      <c r="AC155" s="26" t="s">
        <v>2538</v>
      </c>
      <c r="AD155" s="24" t="s">
        <v>111</v>
      </c>
      <c r="AE155" s="9"/>
    </row>
    <row r="156" spans="1:31" s="11" customFormat="1" ht="27.95" hidden="1" customHeight="1" x14ac:dyDescent="0.15">
      <c r="A156" s="8">
        <v>153</v>
      </c>
      <c r="B156" s="8" t="s">
        <v>2093</v>
      </c>
      <c r="C156" s="18" t="s">
        <v>1049</v>
      </c>
      <c r="D156" s="26" t="s">
        <v>19</v>
      </c>
      <c r="E156" s="26" t="s">
        <v>19</v>
      </c>
      <c r="F156" s="76" t="s">
        <v>1048</v>
      </c>
      <c r="G156" s="54" t="s">
        <v>1050</v>
      </c>
      <c r="H156" s="18" t="s">
        <v>1040</v>
      </c>
      <c r="I156" s="18" t="s">
        <v>1039</v>
      </c>
      <c r="J156" s="9" t="s">
        <v>3488</v>
      </c>
      <c r="K156" s="26" t="s">
        <v>127</v>
      </c>
      <c r="L156" s="9" t="s">
        <v>1043</v>
      </c>
      <c r="M156" s="26" t="s">
        <v>127</v>
      </c>
      <c r="N156" s="28" t="s">
        <v>1056</v>
      </c>
      <c r="O156" s="58" t="s">
        <v>1042</v>
      </c>
      <c r="P156" s="26" t="s">
        <v>127</v>
      </c>
      <c r="Q156" s="9" t="s">
        <v>1044</v>
      </c>
      <c r="R156" s="9" t="s">
        <v>1045</v>
      </c>
      <c r="S156" s="9" t="s">
        <v>1046</v>
      </c>
      <c r="T156" s="9" t="s">
        <v>1047</v>
      </c>
      <c r="U156" s="10" t="s">
        <v>312</v>
      </c>
      <c r="V156" s="10">
        <v>1</v>
      </c>
      <c r="W156" s="24" t="s">
        <v>457</v>
      </c>
      <c r="X156" s="24"/>
      <c r="Y156" s="30">
        <v>27</v>
      </c>
      <c r="Z156" s="30"/>
      <c r="AA156" s="30">
        <f t="shared" si="0"/>
        <v>27</v>
      </c>
      <c r="AB156" s="24" t="s">
        <v>111</v>
      </c>
      <c r="AC156" s="26" t="s">
        <v>2538</v>
      </c>
      <c r="AD156" s="24" t="s">
        <v>111</v>
      </c>
      <c r="AE156" s="9"/>
    </row>
    <row r="157" spans="1:31" s="11" customFormat="1" ht="27.95" hidden="1" customHeight="1" x14ac:dyDescent="0.15">
      <c r="A157" s="8">
        <v>154</v>
      </c>
      <c r="B157" s="8" t="s">
        <v>1038</v>
      </c>
      <c r="C157" s="26" t="s">
        <v>19</v>
      </c>
      <c r="D157" s="26" t="s">
        <v>19</v>
      </c>
      <c r="E157" s="26" t="s">
        <v>19</v>
      </c>
      <c r="F157" s="54" t="s">
        <v>1048</v>
      </c>
      <c r="G157" s="54" t="s">
        <v>1118</v>
      </c>
      <c r="H157" s="20" t="s">
        <v>3398</v>
      </c>
      <c r="I157" s="18" t="s">
        <v>1113</v>
      </c>
      <c r="J157" s="9" t="s">
        <v>1061</v>
      </c>
      <c r="K157" s="26" t="s">
        <v>127</v>
      </c>
      <c r="L157" s="2" t="s">
        <v>970</v>
      </c>
      <c r="M157" s="26" t="s">
        <v>127</v>
      </c>
      <c r="N157" s="22" t="s">
        <v>454</v>
      </c>
      <c r="O157" s="58" t="s">
        <v>1053</v>
      </c>
      <c r="P157" s="26" t="s">
        <v>127</v>
      </c>
      <c r="Q157" s="9" t="s">
        <v>1051</v>
      </c>
      <c r="R157" s="9" t="s">
        <v>1051</v>
      </c>
      <c r="S157" s="9" t="s">
        <v>1046</v>
      </c>
      <c r="T157" s="9" t="s">
        <v>1054</v>
      </c>
      <c r="U157" s="10" t="s">
        <v>312</v>
      </c>
      <c r="V157" s="10">
        <v>1</v>
      </c>
      <c r="W157" s="24" t="s">
        <v>457</v>
      </c>
      <c r="X157" s="24"/>
      <c r="Y157" s="30">
        <v>10</v>
      </c>
      <c r="Z157" s="30"/>
      <c r="AA157" s="30">
        <f t="shared" si="0"/>
        <v>10</v>
      </c>
      <c r="AB157" s="24" t="s">
        <v>111</v>
      </c>
      <c r="AC157" s="26" t="s">
        <v>2538</v>
      </c>
      <c r="AD157" s="24" t="s">
        <v>111</v>
      </c>
      <c r="AE157" s="9"/>
    </row>
    <row r="158" spans="1:31" s="11" customFormat="1" ht="33.75" hidden="1" x14ac:dyDescent="0.15">
      <c r="A158" s="8">
        <v>155</v>
      </c>
      <c r="B158" s="8" t="s">
        <v>2092</v>
      </c>
      <c r="C158" s="26" t="s">
        <v>1062</v>
      </c>
      <c r="D158" s="26" t="s">
        <v>19</v>
      </c>
      <c r="E158" s="26" t="s">
        <v>19</v>
      </c>
      <c r="F158" s="54" t="s">
        <v>191</v>
      </c>
      <c r="G158" s="54" t="s">
        <v>1063</v>
      </c>
      <c r="H158" s="9" t="s">
        <v>507</v>
      </c>
      <c r="I158" s="18" t="s">
        <v>1064</v>
      </c>
      <c r="J158" s="9" t="s">
        <v>1065</v>
      </c>
      <c r="K158" s="26" t="s">
        <v>2320</v>
      </c>
      <c r="L158" s="2" t="s">
        <v>1066</v>
      </c>
      <c r="M158" s="26" t="s">
        <v>127</v>
      </c>
      <c r="N158" s="22" t="s">
        <v>512</v>
      </c>
      <c r="O158" s="58" t="s">
        <v>1067</v>
      </c>
      <c r="P158" s="26" t="s">
        <v>127</v>
      </c>
      <c r="Q158" s="9" t="s">
        <v>1068</v>
      </c>
      <c r="R158" s="9" t="s">
        <v>1069</v>
      </c>
      <c r="S158" s="9" t="s">
        <v>1070</v>
      </c>
      <c r="T158" s="9">
        <v>2017.12</v>
      </c>
      <c r="U158" s="10" t="s">
        <v>312</v>
      </c>
      <c r="V158" s="10">
        <v>1</v>
      </c>
      <c r="W158" s="24" t="s">
        <v>448</v>
      </c>
      <c r="X158" s="24" t="s">
        <v>448</v>
      </c>
      <c r="Y158" s="30">
        <v>7</v>
      </c>
      <c r="Z158" s="30"/>
      <c r="AA158" s="30">
        <f t="shared" si="0"/>
        <v>7</v>
      </c>
      <c r="AB158" s="24" t="s">
        <v>111</v>
      </c>
      <c r="AC158" s="26" t="s">
        <v>2538</v>
      </c>
      <c r="AD158" s="24" t="s">
        <v>111</v>
      </c>
      <c r="AE158" s="9"/>
    </row>
    <row r="159" spans="1:31" s="11" customFormat="1" ht="27.95" hidden="1" customHeight="1" x14ac:dyDescent="0.15">
      <c r="A159" s="8">
        <v>156</v>
      </c>
      <c r="B159" s="8" t="s">
        <v>1079</v>
      </c>
      <c r="C159" s="26" t="s">
        <v>19</v>
      </c>
      <c r="D159" s="26" t="s">
        <v>19</v>
      </c>
      <c r="E159" s="26" t="s">
        <v>19</v>
      </c>
      <c r="F159" s="54" t="s">
        <v>1080</v>
      </c>
      <c r="G159" s="29" t="s">
        <v>1109</v>
      </c>
      <c r="H159" s="18" t="s">
        <v>1433</v>
      </c>
      <c r="I159" s="18" t="s">
        <v>1039</v>
      </c>
      <c r="J159" s="9" t="s">
        <v>1111</v>
      </c>
      <c r="K159" s="26" t="s">
        <v>2321</v>
      </c>
      <c r="L159" s="2" t="s">
        <v>1110</v>
      </c>
      <c r="M159" s="26" t="s">
        <v>127</v>
      </c>
      <c r="N159" s="22" t="s">
        <v>454</v>
      </c>
      <c r="O159" s="54" t="s">
        <v>576</v>
      </c>
      <c r="P159" s="26" t="s">
        <v>127</v>
      </c>
      <c r="Q159" s="9" t="s">
        <v>1081</v>
      </c>
      <c r="R159" s="9" t="s">
        <v>1081</v>
      </c>
      <c r="S159" s="9" t="s">
        <v>1112</v>
      </c>
      <c r="T159" s="9">
        <v>2017.12</v>
      </c>
      <c r="U159" s="10" t="s">
        <v>312</v>
      </c>
      <c r="V159" s="10">
        <v>1</v>
      </c>
      <c r="W159" s="24" t="s">
        <v>3414</v>
      </c>
      <c r="X159" s="24" t="s">
        <v>3415</v>
      </c>
      <c r="Y159" s="30"/>
      <c r="Z159" s="30">
        <v>7.5</v>
      </c>
      <c r="AA159" s="30">
        <f t="shared" si="0"/>
        <v>7.5</v>
      </c>
      <c r="AB159" s="24" t="s">
        <v>111</v>
      </c>
      <c r="AC159" s="26" t="s">
        <v>2538</v>
      </c>
      <c r="AD159" s="24" t="s">
        <v>111</v>
      </c>
      <c r="AE159" s="9"/>
    </row>
    <row r="160" spans="1:31" s="11" customFormat="1" ht="27.95" hidden="1" customHeight="1" x14ac:dyDescent="0.15">
      <c r="A160" s="8">
        <v>158</v>
      </c>
      <c r="B160" s="8" t="s">
        <v>1098</v>
      </c>
      <c r="C160" s="26" t="s">
        <v>19</v>
      </c>
      <c r="D160" s="26" t="s">
        <v>19</v>
      </c>
      <c r="E160" s="26" t="s">
        <v>19</v>
      </c>
      <c r="F160" s="68" t="s">
        <v>31</v>
      </c>
      <c r="G160" s="64" t="s">
        <v>1088</v>
      </c>
      <c r="H160" s="20" t="s">
        <v>23</v>
      </c>
      <c r="I160" s="20" t="s">
        <v>28</v>
      </c>
      <c r="J160" s="12" t="s">
        <v>749</v>
      </c>
      <c r="K160" s="26" t="s">
        <v>2321</v>
      </c>
      <c r="L160" s="12" t="s">
        <v>1089</v>
      </c>
      <c r="M160" s="26" t="s">
        <v>127</v>
      </c>
      <c r="N160" s="22" t="s">
        <v>102</v>
      </c>
      <c r="O160" s="47" t="s">
        <v>116</v>
      </c>
      <c r="P160" s="26" t="s">
        <v>127</v>
      </c>
      <c r="Q160" s="23" t="s">
        <v>120</v>
      </c>
      <c r="R160" s="23" t="s">
        <v>120</v>
      </c>
      <c r="S160" s="34" t="s">
        <v>3416</v>
      </c>
      <c r="T160" s="20">
        <v>2017.12</v>
      </c>
      <c r="U160" s="10" t="s">
        <v>110</v>
      </c>
      <c r="V160" s="10">
        <v>1</v>
      </c>
      <c r="W160" s="24" t="s">
        <v>955</v>
      </c>
      <c r="X160" s="24" t="s">
        <v>956</v>
      </c>
      <c r="Y160" s="30"/>
      <c r="Z160" s="30">
        <v>15</v>
      </c>
      <c r="AA160" s="30">
        <f t="shared" si="0"/>
        <v>15</v>
      </c>
      <c r="AB160" s="24" t="s">
        <v>111</v>
      </c>
      <c r="AC160" s="26" t="s">
        <v>2538</v>
      </c>
      <c r="AD160" s="24" t="s">
        <v>111</v>
      </c>
      <c r="AE160" s="9"/>
    </row>
    <row r="161" spans="1:31" s="11" customFormat="1" ht="27.95" hidden="1" customHeight="1" x14ac:dyDescent="0.15">
      <c r="A161" s="8">
        <v>157</v>
      </c>
      <c r="B161" s="8" t="s">
        <v>1086</v>
      </c>
      <c r="C161" s="26" t="s">
        <v>19</v>
      </c>
      <c r="D161" s="26" t="s">
        <v>19</v>
      </c>
      <c r="E161" s="26" t="s">
        <v>19</v>
      </c>
      <c r="F161" s="52" t="s">
        <v>27</v>
      </c>
      <c r="G161" s="64" t="s">
        <v>1093</v>
      </c>
      <c r="H161" s="20" t="s">
        <v>23</v>
      </c>
      <c r="I161" s="20" t="s">
        <v>28</v>
      </c>
      <c r="J161" s="22" t="s">
        <v>29</v>
      </c>
      <c r="K161" s="26" t="s">
        <v>2321</v>
      </c>
      <c r="L161" s="22" t="s">
        <v>557</v>
      </c>
      <c r="M161" s="26" t="s">
        <v>127</v>
      </c>
      <c r="N161" s="22" t="s">
        <v>102</v>
      </c>
      <c r="O161" s="47" t="s">
        <v>116</v>
      </c>
      <c r="P161" s="26" t="s">
        <v>127</v>
      </c>
      <c r="Q161" s="23" t="s">
        <v>120</v>
      </c>
      <c r="R161" s="23" t="s">
        <v>120</v>
      </c>
      <c r="S161" s="34" t="s">
        <v>3416</v>
      </c>
      <c r="T161" s="20">
        <v>2017.12</v>
      </c>
      <c r="U161" s="10" t="s">
        <v>109</v>
      </c>
      <c r="V161" s="10">
        <v>1</v>
      </c>
      <c r="W161" s="24" t="s">
        <v>955</v>
      </c>
      <c r="X161" s="24" t="s">
        <v>956</v>
      </c>
      <c r="Y161" s="30"/>
      <c r="Z161" s="30">
        <v>15</v>
      </c>
      <c r="AA161" s="30">
        <f>Y161+Z161</f>
        <v>15</v>
      </c>
      <c r="AB161" s="24" t="s">
        <v>111</v>
      </c>
      <c r="AC161" s="26" t="s">
        <v>2538</v>
      </c>
      <c r="AD161" s="24" t="s">
        <v>111</v>
      </c>
      <c r="AE161" s="9"/>
    </row>
    <row r="162" spans="1:31" s="11" customFormat="1" ht="33.75" hidden="1" x14ac:dyDescent="0.15">
      <c r="A162" s="8">
        <v>159</v>
      </c>
      <c r="B162" s="8" t="s">
        <v>2091</v>
      </c>
      <c r="C162" s="26" t="s">
        <v>1090</v>
      </c>
      <c r="D162" s="26" t="s">
        <v>19</v>
      </c>
      <c r="E162" s="26" t="s">
        <v>19</v>
      </c>
      <c r="F162" s="54" t="s">
        <v>181</v>
      </c>
      <c r="G162" s="29" t="s">
        <v>1094</v>
      </c>
      <c r="H162" s="20" t="s">
        <v>23</v>
      </c>
      <c r="I162" s="18" t="s">
        <v>1092</v>
      </c>
      <c r="J162" s="9" t="s">
        <v>1105</v>
      </c>
      <c r="K162" s="26" t="s">
        <v>2320</v>
      </c>
      <c r="L162" s="9" t="s">
        <v>1091</v>
      </c>
      <c r="M162" s="26" t="s">
        <v>127</v>
      </c>
      <c r="N162" s="22" t="s">
        <v>512</v>
      </c>
      <c r="O162" s="58" t="s">
        <v>1067</v>
      </c>
      <c r="P162" s="26" t="s">
        <v>127</v>
      </c>
      <c r="Q162" s="9" t="s">
        <v>118</v>
      </c>
      <c r="R162" s="9" t="s">
        <v>276</v>
      </c>
      <c r="S162" s="9" t="s">
        <v>1095</v>
      </c>
      <c r="T162" s="20">
        <v>2017.12</v>
      </c>
      <c r="U162" s="10" t="s">
        <v>109</v>
      </c>
      <c r="V162" s="10">
        <v>1</v>
      </c>
      <c r="W162" s="24" t="s">
        <v>448</v>
      </c>
      <c r="X162" s="24" t="s">
        <v>448</v>
      </c>
      <c r="Y162" s="30">
        <v>9</v>
      </c>
      <c r="Z162" s="30"/>
      <c r="AA162" s="30">
        <f>Y162+Z162</f>
        <v>9</v>
      </c>
      <c r="AB162" s="24" t="s">
        <v>111</v>
      </c>
      <c r="AC162" s="26" t="s">
        <v>2538</v>
      </c>
      <c r="AD162" s="30">
        <v>2</v>
      </c>
      <c r="AE162" s="9"/>
    </row>
    <row r="163" spans="1:31" s="11" customFormat="1" ht="33.75" hidden="1" x14ac:dyDescent="0.15">
      <c r="A163" s="8">
        <v>160</v>
      </c>
      <c r="B163" s="8" t="s">
        <v>2090</v>
      </c>
      <c r="C163" s="26" t="s">
        <v>1100</v>
      </c>
      <c r="D163" s="26" t="s">
        <v>19</v>
      </c>
      <c r="E163" s="26" t="s">
        <v>19</v>
      </c>
      <c r="F163" s="54" t="s">
        <v>20</v>
      </c>
      <c r="G163" s="29" t="s">
        <v>1099</v>
      </c>
      <c r="H163" s="20" t="s">
        <v>23</v>
      </c>
      <c r="I163" s="18" t="s">
        <v>1092</v>
      </c>
      <c r="J163" s="9" t="s">
        <v>1102</v>
      </c>
      <c r="K163" s="26" t="s">
        <v>2321</v>
      </c>
      <c r="L163" s="2" t="s">
        <v>1101</v>
      </c>
      <c r="M163" s="26" t="s">
        <v>127</v>
      </c>
      <c r="N163" s="22" t="s">
        <v>686</v>
      </c>
      <c r="O163" s="58" t="s">
        <v>1097</v>
      </c>
      <c r="P163" s="26" t="s">
        <v>127</v>
      </c>
      <c r="Q163" s="9" t="s">
        <v>118</v>
      </c>
      <c r="R163" s="9" t="s">
        <v>276</v>
      </c>
      <c r="S163" s="9" t="s">
        <v>1095</v>
      </c>
      <c r="T163" s="9" t="s">
        <v>1096</v>
      </c>
      <c r="U163" s="10" t="s">
        <v>109</v>
      </c>
      <c r="V163" s="10">
        <v>1</v>
      </c>
      <c r="W163" s="24" t="s">
        <v>448</v>
      </c>
      <c r="X163" s="24" t="s">
        <v>448</v>
      </c>
      <c r="Y163" s="30">
        <v>9</v>
      </c>
      <c r="Z163" s="30"/>
      <c r="AA163" s="30">
        <f>Y163+Z163</f>
        <v>9</v>
      </c>
      <c r="AB163" s="24" t="s">
        <v>111</v>
      </c>
      <c r="AC163" s="26" t="s">
        <v>2538</v>
      </c>
      <c r="AD163" s="30">
        <v>3</v>
      </c>
      <c r="AE163" s="9"/>
    </row>
    <row r="164" spans="1:31" s="11" customFormat="1" ht="32.450000000000003" customHeight="1" x14ac:dyDescent="0.15">
      <c r="A164" s="8"/>
      <c r="B164" s="8"/>
      <c r="C164" s="26"/>
      <c r="D164" s="9"/>
      <c r="E164" s="9"/>
      <c r="F164" s="54"/>
      <c r="G164" s="54"/>
      <c r="H164" s="9"/>
      <c r="I164" s="20"/>
      <c r="J164" s="9"/>
      <c r="K164" s="9"/>
      <c r="L164" s="9"/>
      <c r="M164" s="9"/>
      <c r="N164" s="21"/>
      <c r="O164" s="54"/>
      <c r="P164" s="9"/>
      <c r="Q164" s="9"/>
      <c r="R164" s="9"/>
      <c r="S164" s="9"/>
      <c r="T164" s="9"/>
      <c r="U164" s="62" t="s">
        <v>2355</v>
      </c>
      <c r="V164" s="10"/>
      <c r="W164" s="24"/>
      <c r="X164" s="24"/>
      <c r="Y164" s="63">
        <f>SUM(Y3:Y163)</f>
        <v>1569.9164559999997</v>
      </c>
      <c r="Z164" s="63">
        <f>SUM(Z3:Z163)</f>
        <v>712.09999999999991</v>
      </c>
      <c r="AA164" s="63">
        <f>SUM(AA3:AA163)</f>
        <v>2282.0164559999998</v>
      </c>
      <c r="AB164" s="63"/>
      <c r="AC164" s="63"/>
      <c r="AD164" s="63">
        <f>SUM(AD3:AD163)</f>
        <v>30</v>
      </c>
      <c r="AE164" s="9"/>
    </row>
  </sheetData>
  <autoFilter ref="A2:AD164" xr:uid="{00000000-0009-0000-0000-000005000000}">
    <filterColumn colId="3">
      <filters blank="1">
        <filter val="SHFW-2017052"/>
        <filter val="SHFW-2017075"/>
        <filter val="ZFMD/SHFW-2016019"/>
        <filter val="ZFMD/SHFW-2017007"/>
        <filter val="ZFMD/SHFW-2017008"/>
        <filter val="ZFMD/SHFW-2017011"/>
        <filter val="ZFMD/SHFW-2017023"/>
        <filter val="ZFMD/SHFW-2017051"/>
        <filter val="ZFMD/SHFW-2017071"/>
        <filter val="ZFMD/SHFW-2017074"/>
        <filter val="ZFMD/SHFW-2017085"/>
      </filters>
    </filterColumn>
  </autoFilter>
  <mergeCells count="21">
    <mergeCell ref="AE88:AE89"/>
    <mergeCell ref="X88:X89"/>
    <mergeCell ref="AA88:AA89"/>
    <mergeCell ref="Y88:Y89"/>
    <mergeCell ref="Z88:Z89"/>
    <mergeCell ref="A1:AD1"/>
    <mergeCell ref="S88:S89"/>
    <mergeCell ref="T88:T89"/>
    <mergeCell ref="N88:N89"/>
    <mergeCell ref="O88:O89"/>
    <mergeCell ref="Q88:Q89"/>
    <mergeCell ref="R88:R89"/>
    <mergeCell ref="B88:B89"/>
    <mergeCell ref="A88:A89"/>
    <mergeCell ref="D88:D89"/>
    <mergeCell ref="F88:F89"/>
    <mergeCell ref="E88:E89"/>
    <mergeCell ref="G88:G89"/>
    <mergeCell ref="U88:U89"/>
    <mergeCell ref="V88:V89"/>
    <mergeCell ref="W88:W89"/>
  </mergeCells>
  <phoneticPr fontId="10" type="noConversion"/>
  <pageMargins left="0.7" right="0.7" top="0.75" bottom="0.75" header="0.3" footer="0.3"/>
  <pageSetup paperSize="9" orientation="portrait" verticalDpi="18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E139"/>
  <sheetViews>
    <sheetView workbookViewId="0">
      <pane xSplit="2" ySplit="2" topLeftCell="C3" activePane="bottomRight" state="frozen"/>
      <selection pane="topRight" activeCell="C1" sqref="C1"/>
      <selection pane="bottomLeft" activeCell="A3" sqref="A3"/>
      <selection pane="bottomRight" sqref="A1:AE139"/>
    </sheetView>
  </sheetViews>
  <sheetFormatPr defaultRowHeight="24.95" customHeight="1" x14ac:dyDescent="0.15"/>
  <cols>
    <col min="1" max="1" width="6.375" style="38" customWidth="1"/>
    <col min="2" max="2" width="13.875" style="38" bestFit="1" customWidth="1"/>
    <col min="3" max="3" width="15" style="38" customWidth="1"/>
    <col min="4" max="4" width="24.5" style="38" customWidth="1"/>
    <col min="5" max="5" width="19.125" style="38" customWidth="1"/>
    <col min="6" max="6" width="24.75" style="57" customWidth="1"/>
    <col min="7" max="7" width="32.375" style="57" customWidth="1"/>
    <col min="8" max="8" width="9" style="38" customWidth="1"/>
    <col min="9" max="9" width="9.25" style="38" customWidth="1"/>
    <col min="10" max="10" width="14" style="38" customWidth="1"/>
    <col min="11" max="11" width="6.125" style="38" customWidth="1"/>
    <col min="12" max="12" width="15.125" style="38" customWidth="1"/>
    <col min="13" max="13" width="6.625" style="38" customWidth="1"/>
    <col min="14" max="14" width="12.375" style="5" customWidth="1"/>
    <col min="15" max="15" width="22.375" style="69" customWidth="1"/>
    <col min="16" max="16" width="6.625" style="38" customWidth="1"/>
    <col min="17" max="18" width="9" style="38"/>
    <col min="19" max="19" width="14" style="38" customWidth="1"/>
    <col min="20" max="20" width="9" style="38" customWidth="1"/>
    <col min="21" max="21" width="12.75" style="38" customWidth="1"/>
    <col min="22" max="22" width="9" style="38"/>
    <col min="23" max="24" width="9" style="38" customWidth="1"/>
    <col min="25" max="27" width="12" style="144" customWidth="1"/>
    <col min="28" max="28" width="9" style="38"/>
    <col min="29" max="29" width="12" style="38" customWidth="1"/>
    <col min="30" max="30" width="9" style="38"/>
    <col min="31" max="31" width="27.25" style="38" customWidth="1"/>
    <col min="32" max="16384" width="9" style="38"/>
  </cols>
  <sheetData>
    <row r="1" spans="1:31" s="3" customFormat="1" ht="33" customHeight="1" x14ac:dyDescent="0.15">
      <c r="A1" s="1953" t="s">
        <v>2313</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81"/>
      <c r="Z1" s="1981"/>
      <c r="AA1" s="1981"/>
      <c r="AB1" s="1953"/>
      <c r="AC1" s="1953"/>
      <c r="AD1" s="1953"/>
    </row>
    <row r="2" spans="1:31" s="4" customFormat="1" ht="34.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8</v>
      </c>
      <c r="P2" s="25" t="s">
        <v>9</v>
      </c>
      <c r="Q2" s="25" t="s">
        <v>3342</v>
      </c>
      <c r="R2" s="25" t="s">
        <v>3343</v>
      </c>
      <c r="S2" s="25" t="s">
        <v>15</v>
      </c>
      <c r="T2" s="25" t="s">
        <v>16</v>
      </c>
      <c r="U2" s="32" t="s">
        <v>14</v>
      </c>
      <c r="V2" s="32" t="s">
        <v>13</v>
      </c>
      <c r="W2" s="25" t="s">
        <v>11</v>
      </c>
      <c r="X2" s="25" t="s">
        <v>12</v>
      </c>
      <c r="Y2" s="134" t="s">
        <v>429</v>
      </c>
      <c r="Z2" s="134" t="s">
        <v>430</v>
      </c>
      <c r="AA2" s="134" t="s">
        <v>431</v>
      </c>
      <c r="AB2" s="25" t="s">
        <v>2184</v>
      </c>
      <c r="AC2" s="25" t="s">
        <v>2185</v>
      </c>
      <c r="AD2" s="25" t="s">
        <v>2125</v>
      </c>
      <c r="AE2" s="25" t="s">
        <v>3252</v>
      </c>
    </row>
    <row r="3" spans="1:31" s="46" customFormat="1" ht="24.95" hidden="1" customHeight="1" x14ac:dyDescent="0.15">
      <c r="A3" s="40">
        <v>1</v>
      </c>
      <c r="B3" s="40" t="s">
        <v>1298</v>
      </c>
      <c r="C3" s="40" t="s">
        <v>2540</v>
      </c>
      <c r="D3" s="40" t="s">
        <v>2540</v>
      </c>
      <c r="E3" s="40" t="s">
        <v>111</v>
      </c>
      <c r="F3" s="9" t="s">
        <v>33</v>
      </c>
      <c r="G3" s="22" t="s">
        <v>1414</v>
      </c>
      <c r="H3" s="20" t="s">
        <v>1415</v>
      </c>
      <c r="I3" s="20" t="s">
        <v>22</v>
      </c>
      <c r="J3" s="9" t="s">
        <v>1654</v>
      </c>
      <c r="K3" s="40" t="s">
        <v>111</v>
      </c>
      <c r="L3" s="9" t="s">
        <v>1522</v>
      </c>
      <c r="M3" s="40" t="s">
        <v>111</v>
      </c>
      <c r="N3" s="9" t="s">
        <v>102</v>
      </c>
      <c r="O3" s="9" t="s">
        <v>851</v>
      </c>
      <c r="P3" s="40" t="s">
        <v>111</v>
      </c>
      <c r="Q3" s="20" t="s">
        <v>2891</v>
      </c>
      <c r="R3" s="40" t="s">
        <v>103</v>
      </c>
      <c r="S3" s="34" t="s">
        <v>3019</v>
      </c>
      <c r="T3" s="40" t="s">
        <v>111</v>
      </c>
      <c r="U3" s="10" t="s">
        <v>110</v>
      </c>
      <c r="V3" s="72">
        <v>2</v>
      </c>
      <c r="W3" s="40" t="s">
        <v>111</v>
      </c>
      <c r="X3" s="40" t="s">
        <v>111</v>
      </c>
      <c r="Y3" s="73">
        <v>0</v>
      </c>
      <c r="Z3" s="73">
        <v>14.5</v>
      </c>
      <c r="AA3" s="166">
        <v>14.5</v>
      </c>
      <c r="AB3" s="40" t="s">
        <v>111</v>
      </c>
      <c r="AC3" s="40" t="s">
        <v>111</v>
      </c>
      <c r="AD3" s="40" t="s">
        <v>111</v>
      </c>
      <c r="AE3" s="40"/>
    </row>
    <row r="4" spans="1:31" s="46" customFormat="1" ht="24.95" hidden="1" customHeight="1" x14ac:dyDescent="0.15">
      <c r="A4" s="40">
        <v>2</v>
      </c>
      <c r="B4" s="40" t="s">
        <v>1156</v>
      </c>
      <c r="C4" s="40" t="s">
        <v>111</v>
      </c>
      <c r="D4" s="40" t="s">
        <v>111</v>
      </c>
      <c r="E4" s="40" t="s">
        <v>111</v>
      </c>
      <c r="F4" s="9" t="s">
        <v>1157</v>
      </c>
      <c r="G4" s="22" t="s">
        <v>1417</v>
      </c>
      <c r="H4" s="7" t="s">
        <v>994</v>
      </c>
      <c r="I4" s="20" t="s">
        <v>993</v>
      </c>
      <c r="J4" s="9" t="s">
        <v>1655</v>
      </c>
      <c r="K4" s="40" t="s">
        <v>111</v>
      </c>
      <c r="L4" s="9" t="s">
        <v>1596</v>
      </c>
      <c r="M4" s="40" t="s">
        <v>111</v>
      </c>
      <c r="N4" s="9" t="s">
        <v>45</v>
      </c>
      <c r="O4" s="9" t="s">
        <v>1888</v>
      </c>
      <c r="P4" s="40" t="s">
        <v>111</v>
      </c>
      <c r="Q4" s="20" t="s">
        <v>2887</v>
      </c>
      <c r="R4" s="40" t="s">
        <v>1659</v>
      </c>
      <c r="S4" s="20" t="s">
        <v>3020</v>
      </c>
      <c r="T4" s="40" t="s">
        <v>111</v>
      </c>
      <c r="U4" s="10" t="s">
        <v>110</v>
      </c>
      <c r="V4" s="72">
        <v>1</v>
      </c>
      <c r="W4" s="40" t="s">
        <v>111</v>
      </c>
      <c r="X4" s="40" t="s">
        <v>111</v>
      </c>
      <c r="Y4" s="73">
        <v>0</v>
      </c>
      <c r="Z4" s="73">
        <v>8.8000000000000007</v>
      </c>
      <c r="AA4" s="166">
        <v>8.8000000000000007</v>
      </c>
      <c r="AB4" s="40" t="s">
        <v>111</v>
      </c>
      <c r="AC4" s="40" t="s">
        <v>111</v>
      </c>
      <c r="AD4" s="40" t="s">
        <v>111</v>
      </c>
      <c r="AE4" s="40"/>
    </row>
    <row r="5" spans="1:31" s="46" customFormat="1" ht="24.95" hidden="1" customHeight="1" x14ac:dyDescent="0.15">
      <c r="A5" s="40">
        <v>3</v>
      </c>
      <c r="B5" s="40" t="s">
        <v>1158</v>
      </c>
      <c r="C5" s="40" t="s">
        <v>111</v>
      </c>
      <c r="D5" s="40" t="s">
        <v>111</v>
      </c>
      <c r="E5" s="40" t="s">
        <v>111</v>
      </c>
      <c r="F5" s="9" t="s">
        <v>1159</v>
      </c>
      <c r="G5" s="126" t="s">
        <v>1418</v>
      </c>
      <c r="H5" s="7" t="s">
        <v>1419</v>
      </c>
      <c r="I5" s="20" t="s">
        <v>1463</v>
      </c>
      <c r="J5" s="9" t="s">
        <v>1656</v>
      </c>
      <c r="K5" s="40" t="s">
        <v>111</v>
      </c>
      <c r="L5" s="9" t="s">
        <v>1657</v>
      </c>
      <c r="M5" s="40" t="s">
        <v>111</v>
      </c>
      <c r="N5" s="9" t="s">
        <v>102</v>
      </c>
      <c r="O5" s="9" t="s">
        <v>463</v>
      </c>
      <c r="P5" s="40" t="s">
        <v>111</v>
      </c>
      <c r="Q5" s="20" t="s">
        <v>2891</v>
      </c>
      <c r="R5" s="40" t="s">
        <v>103</v>
      </c>
      <c r="S5" s="20" t="s">
        <v>3021</v>
      </c>
      <c r="T5" s="40" t="s">
        <v>111</v>
      </c>
      <c r="U5" s="10" t="s">
        <v>110</v>
      </c>
      <c r="V5" s="72">
        <v>1</v>
      </c>
      <c r="W5" s="40" t="s">
        <v>111</v>
      </c>
      <c r="X5" s="40" t="s">
        <v>111</v>
      </c>
      <c r="Y5" s="73">
        <v>0.95</v>
      </c>
      <c r="Z5" s="73">
        <v>0</v>
      </c>
      <c r="AA5" s="166">
        <v>0.95</v>
      </c>
      <c r="AB5" s="40" t="s">
        <v>111</v>
      </c>
      <c r="AC5" s="40" t="s">
        <v>111</v>
      </c>
      <c r="AD5" s="40" t="s">
        <v>111</v>
      </c>
      <c r="AE5" s="40"/>
    </row>
    <row r="6" spans="1:31" s="46" customFormat="1" ht="24.95" hidden="1" customHeight="1" x14ac:dyDescent="0.15">
      <c r="A6" s="40">
        <v>4</v>
      </c>
      <c r="B6" s="40" t="s">
        <v>3108</v>
      </c>
      <c r="C6" s="40" t="s">
        <v>111</v>
      </c>
      <c r="D6" s="40" t="s">
        <v>111</v>
      </c>
      <c r="E6" s="40" t="s">
        <v>111</v>
      </c>
      <c r="F6" s="9" t="s">
        <v>1155</v>
      </c>
      <c r="G6" s="200" t="s">
        <v>2362</v>
      </c>
      <c r="H6" s="20" t="s">
        <v>94</v>
      </c>
      <c r="I6" s="20" t="s">
        <v>1416</v>
      </c>
      <c r="J6" s="9" t="s">
        <v>1658</v>
      </c>
      <c r="K6" s="40" t="s">
        <v>111</v>
      </c>
      <c r="L6" s="9" t="s">
        <v>1605</v>
      </c>
      <c r="M6" s="40" t="s">
        <v>111</v>
      </c>
      <c r="N6" s="9" t="s">
        <v>102</v>
      </c>
      <c r="O6" s="9" t="s">
        <v>463</v>
      </c>
      <c r="P6" s="40" t="s">
        <v>111</v>
      </c>
      <c r="Q6" s="20" t="s">
        <v>2891</v>
      </c>
      <c r="R6" s="40" t="s">
        <v>1660</v>
      </c>
      <c r="S6" s="40" t="s">
        <v>111</v>
      </c>
      <c r="T6" s="40" t="s">
        <v>111</v>
      </c>
      <c r="U6" s="72" t="s">
        <v>3417</v>
      </c>
      <c r="V6" s="72">
        <v>0</v>
      </c>
      <c r="W6" s="40" t="s">
        <v>111</v>
      </c>
      <c r="X6" s="40" t="s">
        <v>111</v>
      </c>
      <c r="Y6" s="167">
        <v>1.56</v>
      </c>
      <c r="Z6" s="167">
        <v>0</v>
      </c>
      <c r="AA6" s="166">
        <v>1.56</v>
      </c>
      <c r="AB6" s="40" t="s">
        <v>111</v>
      </c>
      <c r="AC6" s="40" t="s">
        <v>111</v>
      </c>
      <c r="AD6" s="40" t="s">
        <v>111</v>
      </c>
      <c r="AE6" s="40"/>
    </row>
    <row r="7" spans="1:31" s="46" customFormat="1" ht="24.95" hidden="1" customHeight="1" x14ac:dyDescent="0.15">
      <c r="A7" s="40">
        <v>5</v>
      </c>
      <c r="B7" s="40" t="s">
        <v>1160</v>
      </c>
      <c r="C7" s="40" t="s">
        <v>111</v>
      </c>
      <c r="D7" s="40" t="s">
        <v>111</v>
      </c>
      <c r="E7" s="40" t="s">
        <v>111</v>
      </c>
      <c r="F7" s="9" t="s">
        <v>1161</v>
      </c>
      <c r="G7" s="126" t="s">
        <v>1420</v>
      </c>
      <c r="H7" s="7" t="s">
        <v>94</v>
      </c>
      <c r="I7" s="7" t="s">
        <v>112</v>
      </c>
      <c r="J7" s="9" t="s">
        <v>1661</v>
      </c>
      <c r="K7" s="40" t="s">
        <v>111</v>
      </c>
      <c r="L7" s="9" t="s">
        <v>1597</v>
      </c>
      <c r="M7" s="40" t="s">
        <v>111</v>
      </c>
      <c r="N7" s="9" t="s">
        <v>102</v>
      </c>
      <c r="O7" s="9" t="s">
        <v>851</v>
      </c>
      <c r="P7" s="40" t="s">
        <v>111</v>
      </c>
      <c r="Q7" s="40" t="s">
        <v>1751</v>
      </c>
      <c r="R7" s="40" t="s">
        <v>1751</v>
      </c>
      <c r="S7" s="20" t="s">
        <v>3016</v>
      </c>
      <c r="T7" s="40" t="s">
        <v>111</v>
      </c>
      <c r="U7" s="10" t="s">
        <v>110</v>
      </c>
      <c r="V7" s="72">
        <v>1</v>
      </c>
      <c r="W7" s="40" t="s">
        <v>111</v>
      </c>
      <c r="X7" s="40" t="s">
        <v>111</v>
      </c>
      <c r="Y7" s="73">
        <v>0</v>
      </c>
      <c r="Z7" s="73">
        <v>17</v>
      </c>
      <c r="AA7" s="166">
        <v>17</v>
      </c>
      <c r="AB7" s="40" t="s">
        <v>111</v>
      </c>
      <c r="AC7" s="40" t="s">
        <v>111</v>
      </c>
      <c r="AD7" s="40" t="s">
        <v>111</v>
      </c>
      <c r="AE7" s="40"/>
    </row>
    <row r="8" spans="1:31" s="46" customFormat="1" ht="24.95" hidden="1" customHeight="1" x14ac:dyDescent="0.15">
      <c r="A8" s="40">
        <v>6</v>
      </c>
      <c r="B8" s="40" t="s">
        <v>1162</v>
      </c>
      <c r="C8" s="40" t="s">
        <v>111</v>
      </c>
      <c r="D8" s="40" t="s">
        <v>111</v>
      </c>
      <c r="E8" s="40" t="s">
        <v>111</v>
      </c>
      <c r="F8" s="9" t="s">
        <v>1161</v>
      </c>
      <c r="G8" s="7" t="s">
        <v>1421</v>
      </c>
      <c r="H8" s="41" t="s">
        <v>94</v>
      </c>
      <c r="I8" s="7" t="s">
        <v>112</v>
      </c>
      <c r="J8" s="9" t="s">
        <v>1662</v>
      </c>
      <c r="K8" s="40" t="s">
        <v>111</v>
      </c>
      <c r="L8" s="9" t="s">
        <v>1598</v>
      </c>
      <c r="M8" s="40" t="s">
        <v>111</v>
      </c>
      <c r="N8" s="9" t="s">
        <v>102</v>
      </c>
      <c r="O8" s="9" t="s">
        <v>851</v>
      </c>
      <c r="P8" s="40" t="s">
        <v>111</v>
      </c>
      <c r="Q8" s="40" t="s">
        <v>1751</v>
      </c>
      <c r="R8" s="40" t="s">
        <v>1751</v>
      </c>
      <c r="S8" s="20" t="s">
        <v>3016</v>
      </c>
      <c r="T8" s="40" t="s">
        <v>111</v>
      </c>
      <c r="U8" s="10" t="s">
        <v>110</v>
      </c>
      <c r="V8" s="72">
        <v>1</v>
      </c>
      <c r="W8" s="40" t="s">
        <v>111</v>
      </c>
      <c r="X8" s="40" t="s">
        <v>111</v>
      </c>
      <c r="Y8" s="73">
        <v>0</v>
      </c>
      <c r="Z8" s="73">
        <v>17</v>
      </c>
      <c r="AA8" s="166">
        <v>17</v>
      </c>
      <c r="AB8" s="40" t="s">
        <v>111</v>
      </c>
      <c r="AC8" s="40" t="s">
        <v>111</v>
      </c>
      <c r="AD8" s="40" t="s">
        <v>111</v>
      </c>
      <c r="AE8" s="40"/>
    </row>
    <row r="9" spans="1:31" s="46" customFormat="1" ht="24.95" hidden="1" customHeight="1" x14ac:dyDescent="0.15">
      <c r="A9" s="40">
        <v>7</v>
      </c>
      <c r="B9" s="40" t="s">
        <v>1163</v>
      </c>
      <c r="C9" s="40" t="s">
        <v>111</v>
      </c>
      <c r="D9" s="40" t="s">
        <v>111</v>
      </c>
      <c r="E9" s="40" t="s">
        <v>111</v>
      </c>
      <c r="F9" s="9" t="s">
        <v>1164</v>
      </c>
      <c r="G9" s="7" t="s">
        <v>1422</v>
      </c>
      <c r="H9" s="41" t="s">
        <v>94</v>
      </c>
      <c r="I9" s="7" t="s">
        <v>112</v>
      </c>
      <c r="J9" s="9" t="s">
        <v>531</v>
      </c>
      <c r="K9" s="40" t="s">
        <v>111</v>
      </c>
      <c r="L9" s="9" t="s">
        <v>1599</v>
      </c>
      <c r="M9" s="40" t="s">
        <v>111</v>
      </c>
      <c r="N9" s="9" t="s">
        <v>102</v>
      </c>
      <c r="O9" s="9" t="s">
        <v>851</v>
      </c>
      <c r="P9" s="40" t="s">
        <v>111</v>
      </c>
      <c r="Q9" s="40" t="s">
        <v>1751</v>
      </c>
      <c r="R9" s="40" t="s">
        <v>1751</v>
      </c>
      <c r="S9" s="20" t="s">
        <v>3016</v>
      </c>
      <c r="T9" s="40" t="s">
        <v>111</v>
      </c>
      <c r="U9" s="10" t="s">
        <v>110</v>
      </c>
      <c r="V9" s="72">
        <v>1</v>
      </c>
      <c r="W9" s="40" t="s">
        <v>111</v>
      </c>
      <c r="X9" s="40" t="s">
        <v>111</v>
      </c>
      <c r="Y9" s="73">
        <v>0</v>
      </c>
      <c r="Z9" s="73">
        <v>17</v>
      </c>
      <c r="AA9" s="166">
        <v>17</v>
      </c>
      <c r="AB9" s="40" t="s">
        <v>111</v>
      </c>
      <c r="AC9" s="40" t="s">
        <v>111</v>
      </c>
      <c r="AD9" s="40" t="s">
        <v>111</v>
      </c>
      <c r="AE9" s="40"/>
    </row>
    <row r="10" spans="1:31" s="46" customFormat="1" ht="24.95" hidden="1" customHeight="1" x14ac:dyDescent="0.15">
      <c r="A10" s="40">
        <v>8</v>
      </c>
      <c r="B10" s="40" t="s">
        <v>1165</v>
      </c>
      <c r="C10" s="40" t="s">
        <v>111</v>
      </c>
      <c r="D10" s="40" t="s">
        <v>111</v>
      </c>
      <c r="E10" s="40" t="s">
        <v>111</v>
      </c>
      <c r="F10" s="9" t="s">
        <v>1166</v>
      </c>
      <c r="G10" s="20" t="s">
        <v>1423</v>
      </c>
      <c r="H10" s="41" t="s">
        <v>94</v>
      </c>
      <c r="I10" s="7" t="s">
        <v>112</v>
      </c>
      <c r="J10" s="9" t="s">
        <v>527</v>
      </c>
      <c r="K10" s="40" t="s">
        <v>111</v>
      </c>
      <c r="L10" s="9" t="s">
        <v>113</v>
      </c>
      <c r="M10" s="40" t="s">
        <v>111</v>
      </c>
      <c r="N10" s="9" t="s">
        <v>102</v>
      </c>
      <c r="O10" s="9" t="s">
        <v>851</v>
      </c>
      <c r="P10" s="40" t="s">
        <v>111</v>
      </c>
      <c r="Q10" s="40" t="s">
        <v>1751</v>
      </c>
      <c r="R10" s="40" t="s">
        <v>1751</v>
      </c>
      <c r="S10" s="20" t="s">
        <v>3016</v>
      </c>
      <c r="T10" s="40" t="s">
        <v>111</v>
      </c>
      <c r="U10" s="10" t="s">
        <v>110</v>
      </c>
      <c r="V10" s="72">
        <v>1</v>
      </c>
      <c r="W10" s="40" t="s">
        <v>111</v>
      </c>
      <c r="X10" s="40" t="s">
        <v>111</v>
      </c>
      <c r="Y10" s="73">
        <v>0</v>
      </c>
      <c r="Z10" s="73">
        <v>17</v>
      </c>
      <c r="AA10" s="166">
        <v>17</v>
      </c>
      <c r="AB10" s="40" t="s">
        <v>111</v>
      </c>
      <c r="AC10" s="40" t="s">
        <v>111</v>
      </c>
      <c r="AD10" s="40" t="s">
        <v>111</v>
      </c>
      <c r="AE10" s="40"/>
    </row>
    <row r="11" spans="1:31" s="46" customFormat="1" ht="24.95" hidden="1" customHeight="1" x14ac:dyDescent="0.15">
      <c r="A11" s="40">
        <v>9</v>
      </c>
      <c r="B11" s="40" t="s">
        <v>1167</v>
      </c>
      <c r="C11" s="40" t="s">
        <v>111</v>
      </c>
      <c r="D11" s="40" t="s">
        <v>111</v>
      </c>
      <c r="E11" s="40" t="s">
        <v>111</v>
      </c>
      <c r="F11" s="9" t="s">
        <v>1168</v>
      </c>
      <c r="G11" s="20" t="s">
        <v>1424</v>
      </c>
      <c r="H11" s="41" t="s">
        <v>94</v>
      </c>
      <c r="I11" s="7" t="s">
        <v>112</v>
      </c>
      <c r="J11" s="9" t="s">
        <v>1663</v>
      </c>
      <c r="K11" s="40" t="s">
        <v>111</v>
      </c>
      <c r="L11" s="9" t="s">
        <v>114</v>
      </c>
      <c r="M11" s="40" t="s">
        <v>111</v>
      </c>
      <c r="N11" s="9" t="s">
        <v>102</v>
      </c>
      <c r="O11" s="9" t="s">
        <v>851</v>
      </c>
      <c r="P11" s="40" t="s">
        <v>111</v>
      </c>
      <c r="Q11" s="40" t="s">
        <v>1751</v>
      </c>
      <c r="R11" s="40" t="s">
        <v>1751</v>
      </c>
      <c r="S11" s="20" t="s">
        <v>3016</v>
      </c>
      <c r="T11" s="40" t="s">
        <v>111</v>
      </c>
      <c r="U11" s="10" t="s">
        <v>110</v>
      </c>
      <c r="V11" s="72">
        <v>1</v>
      </c>
      <c r="W11" s="40" t="s">
        <v>111</v>
      </c>
      <c r="X11" s="40" t="s">
        <v>111</v>
      </c>
      <c r="Y11" s="73">
        <v>0</v>
      </c>
      <c r="Z11" s="73">
        <v>17</v>
      </c>
      <c r="AA11" s="166">
        <v>17</v>
      </c>
      <c r="AB11" s="40" t="s">
        <v>111</v>
      </c>
      <c r="AC11" s="40" t="s">
        <v>111</v>
      </c>
      <c r="AD11" s="40" t="s">
        <v>111</v>
      </c>
      <c r="AE11" s="40"/>
    </row>
    <row r="12" spans="1:31" s="46" customFormat="1" ht="24.95" hidden="1" customHeight="1" x14ac:dyDescent="0.15">
      <c r="A12" s="40">
        <v>10</v>
      </c>
      <c r="B12" s="40" t="s">
        <v>1169</v>
      </c>
      <c r="C12" s="40" t="s">
        <v>111</v>
      </c>
      <c r="D12" s="40" t="s">
        <v>111</v>
      </c>
      <c r="E12" s="40" t="s">
        <v>111</v>
      </c>
      <c r="F12" s="9" t="s">
        <v>1170</v>
      </c>
      <c r="G12" s="27" t="s">
        <v>1425</v>
      </c>
      <c r="H12" s="42" t="s">
        <v>94</v>
      </c>
      <c r="I12" s="42" t="s">
        <v>112</v>
      </c>
      <c r="J12" s="9" t="s">
        <v>1664</v>
      </c>
      <c r="K12" s="40" t="s">
        <v>111</v>
      </c>
      <c r="L12" s="9" t="s">
        <v>115</v>
      </c>
      <c r="M12" s="40" t="s">
        <v>111</v>
      </c>
      <c r="N12" s="9" t="s">
        <v>102</v>
      </c>
      <c r="O12" s="9" t="s">
        <v>851</v>
      </c>
      <c r="P12" s="40" t="s">
        <v>111</v>
      </c>
      <c r="Q12" s="40" t="s">
        <v>1751</v>
      </c>
      <c r="R12" s="40" t="s">
        <v>1751</v>
      </c>
      <c r="S12" s="20" t="s">
        <v>3016</v>
      </c>
      <c r="T12" s="40" t="s">
        <v>111</v>
      </c>
      <c r="U12" s="10" t="s">
        <v>110</v>
      </c>
      <c r="V12" s="72">
        <v>1</v>
      </c>
      <c r="W12" s="40" t="s">
        <v>111</v>
      </c>
      <c r="X12" s="40" t="s">
        <v>111</v>
      </c>
      <c r="Y12" s="73">
        <v>0</v>
      </c>
      <c r="Z12" s="73">
        <v>17</v>
      </c>
      <c r="AA12" s="166">
        <v>17</v>
      </c>
      <c r="AB12" s="40" t="s">
        <v>111</v>
      </c>
      <c r="AC12" s="40" t="s">
        <v>111</v>
      </c>
      <c r="AD12" s="40" t="s">
        <v>111</v>
      </c>
      <c r="AE12" s="40"/>
    </row>
    <row r="13" spans="1:31" s="46" customFormat="1" ht="24.95" hidden="1" customHeight="1" x14ac:dyDescent="0.15">
      <c r="A13" s="40">
        <v>11</v>
      </c>
      <c r="B13" s="40" t="s">
        <v>1171</v>
      </c>
      <c r="C13" s="40" t="s">
        <v>111</v>
      </c>
      <c r="D13" s="40" t="s">
        <v>111</v>
      </c>
      <c r="E13" s="40" t="s">
        <v>111</v>
      </c>
      <c r="F13" s="9" t="s">
        <v>1172</v>
      </c>
      <c r="G13" s="27" t="s">
        <v>1426</v>
      </c>
      <c r="H13" s="42" t="s">
        <v>94</v>
      </c>
      <c r="I13" s="42" t="s">
        <v>112</v>
      </c>
      <c r="J13" s="9" t="s">
        <v>1600</v>
      </c>
      <c r="K13" s="40" t="s">
        <v>111</v>
      </c>
      <c r="L13" s="9" t="s">
        <v>1600</v>
      </c>
      <c r="M13" s="40" t="s">
        <v>111</v>
      </c>
      <c r="N13" s="9" t="s">
        <v>102</v>
      </c>
      <c r="O13" s="9" t="s">
        <v>851</v>
      </c>
      <c r="P13" s="40" t="s">
        <v>111</v>
      </c>
      <c r="Q13" s="40" t="s">
        <v>1751</v>
      </c>
      <c r="R13" s="40" t="s">
        <v>1751</v>
      </c>
      <c r="S13" s="20" t="s">
        <v>3014</v>
      </c>
      <c r="T13" s="40" t="s">
        <v>111</v>
      </c>
      <c r="U13" s="10" t="s">
        <v>110</v>
      </c>
      <c r="V13" s="72">
        <v>1</v>
      </c>
      <c r="W13" s="40" t="s">
        <v>111</v>
      </c>
      <c r="X13" s="40" t="s">
        <v>111</v>
      </c>
      <c r="Y13" s="73">
        <v>0</v>
      </c>
      <c r="Z13" s="73">
        <v>18</v>
      </c>
      <c r="AA13" s="166">
        <v>18</v>
      </c>
      <c r="AB13" s="40" t="s">
        <v>111</v>
      </c>
      <c r="AC13" s="40" t="s">
        <v>111</v>
      </c>
      <c r="AD13" s="40" t="s">
        <v>111</v>
      </c>
      <c r="AE13" s="40"/>
    </row>
    <row r="14" spans="1:31" s="46" customFormat="1" ht="24.95" hidden="1" customHeight="1" x14ac:dyDescent="0.15">
      <c r="A14" s="40">
        <v>12</v>
      </c>
      <c r="B14" s="40" t="s">
        <v>1173</v>
      </c>
      <c r="C14" s="40" t="s">
        <v>111</v>
      </c>
      <c r="D14" s="40" t="s">
        <v>111</v>
      </c>
      <c r="E14" s="40" t="s">
        <v>111</v>
      </c>
      <c r="F14" s="9" t="s">
        <v>1174</v>
      </c>
      <c r="G14" s="27" t="s">
        <v>1427</v>
      </c>
      <c r="H14" s="42" t="s">
        <v>94</v>
      </c>
      <c r="I14" s="42" t="s">
        <v>112</v>
      </c>
      <c r="J14" s="9" t="s">
        <v>1601</v>
      </c>
      <c r="K14" s="40" t="s">
        <v>111</v>
      </c>
      <c r="L14" s="9" t="s">
        <v>1601</v>
      </c>
      <c r="M14" s="40" t="s">
        <v>111</v>
      </c>
      <c r="N14" s="9" t="s">
        <v>102</v>
      </c>
      <c r="O14" s="9" t="s">
        <v>851</v>
      </c>
      <c r="P14" s="40" t="s">
        <v>111</v>
      </c>
      <c r="Q14" s="40" t="s">
        <v>1751</v>
      </c>
      <c r="R14" s="40" t="s">
        <v>1751</v>
      </c>
      <c r="S14" s="20" t="s">
        <v>3014</v>
      </c>
      <c r="T14" s="40" t="s">
        <v>111</v>
      </c>
      <c r="U14" s="10" t="s">
        <v>110</v>
      </c>
      <c r="V14" s="72">
        <v>1</v>
      </c>
      <c r="W14" s="40" t="s">
        <v>111</v>
      </c>
      <c r="X14" s="40" t="s">
        <v>111</v>
      </c>
      <c r="Y14" s="73">
        <v>0</v>
      </c>
      <c r="Z14" s="73">
        <v>18</v>
      </c>
      <c r="AA14" s="166">
        <v>18</v>
      </c>
      <c r="AB14" s="40" t="s">
        <v>111</v>
      </c>
      <c r="AC14" s="40" t="s">
        <v>111</v>
      </c>
      <c r="AD14" s="40" t="s">
        <v>111</v>
      </c>
      <c r="AE14" s="40"/>
    </row>
    <row r="15" spans="1:31" s="46" customFormat="1" ht="24.95" hidden="1" customHeight="1" x14ac:dyDescent="0.15">
      <c r="A15" s="40">
        <v>13</v>
      </c>
      <c r="B15" s="40" t="s">
        <v>1175</v>
      </c>
      <c r="C15" s="40" t="s">
        <v>111</v>
      </c>
      <c r="D15" s="40" t="s">
        <v>111</v>
      </c>
      <c r="E15" s="40" t="s">
        <v>111</v>
      </c>
      <c r="F15" s="9" t="s">
        <v>1300</v>
      </c>
      <c r="G15" s="1" t="s">
        <v>1428</v>
      </c>
      <c r="H15" s="20" t="s">
        <v>23</v>
      </c>
      <c r="I15" s="20" t="s">
        <v>1429</v>
      </c>
      <c r="J15" s="9" t="s">
        <v>1665</v>
      </c>
      <c r="K15" s="40" t="s">
        <v>111</v>
      </c>
      <c r="L15" s="9" t="s">
        <v>1606</v>
      </c>
      <c r="M15" s="40" t="s">
        <v>111</v>
      </c>
      <c r="N15" s="9" t="s">
        <v>102</v>
      </c>
      <c r="O15" s="9" t="s">
        <v>1741</v>
      </c>
      <c r="P15" s="40" t="s">
        <v>111</v>
      </c>
      <c r="Q15" s="40" t="s">
        <v>1752</v>
      </c>
      <c r="R15" s="40" t="s">
        <v>1752</v>
      </c>
      <c r="S15" s="20" t="s">
        <v>3014</v>
      </c>
      <c r="T15" s="40" t="s">
        <v>111</v>
      </c>
      <c r="U15" s="10" t="s">
        <v>108</v>
      </c>
      <c r="V15" s="72">
        <v>1</v>
      </c>
      <c r="W15" s="40" t="s">
        <v>111</v>
      </c>
      <c r="X15" s="40" t="s">
        <v>111</v>
      </c>
      <c r="Y15" s="73">
        <v>0</v>
      </c>
      <c r="Z15" s="73">
        <v>29</v>
      </c>
      <c r="AA15" s="166">
        <v>29</v>
      </c>
      <c r="AB15" s="40" t="s">
        <v>111</v>
      </c>
      <c r="AC15" s="40" t="s">
        <v>111</v>
      </c>
      <c r="AD15" s="40" t="s">
        <v>111</v>
      </c>
      <c r="AE15" s="40"/>
    </row>
    <row r="16" spans="1:31" s="46" customFormat="1" ht="24.95" hidden="1" customHeight="1" x14ac:dyDescent="0.15">
      <c r="A16" s="40">
        <v>14</v>
      </c>
      <c r="B16" s="40" t="s">
        <v>1176</v>
      </c>
      <c r="C16" s="40" t="s">
        <v>111</v>
      </c>
      <c r="D16" s="40" t="s">
        <v>111</v>
      </c>
      <c r="E16" s="40" t="s">
        <v>111</v>
      </c>
      <c r="F16" s="9" t="s">
        <v>1301</v>
      </c>
      <c r="G16" s="20" t="s">
        <v>1430</v>
      </c>
      <c r="H16" s="20" t="s">
        <v>23</v>
      </c>
      <c r="I16" s="20" t="s">
        <v>2007</v>
      </c>
      <c r="J16" s="9" t="s">
        <v>1607</v>
      </c>
      <c r="K16" s="40" t="s">
        <v>111</v>
      </c>
      <c r="L16" s="9" t="s">
        <v>1607</v>
      </c>
      <c r="M16" s="40" t="s">
        <v>111</v>
      </c>
      <c r="N16" s="9" t="s">
        <v>102</v>
      </c>
      <c r="O16" s="9" t="s">
        <v>851</v>
      </c>
      <c r="P16" s="40" t="s">
        <v>111</v>
      </c>
      <c r="Q16" s="40" t="s">
        <v>1752</v>
      </c>
      <c r="R16" s="40" t="s">
        <v>1752</v>
      </c>
      <c r="S16" s="20" t="s">
        <v>3022</v>
      </c>
      <c r="T16" s="40" t="s">
        <v>111</v>
      </c>
      <c r="U16" s="10" t="s">
        <v>110</v>
      </c>
      <c r="V16" s="72">
        <v>3</v>
      </c>
      <c r="W16" s="40" t="s">
        <v>111</v>
      </c>
      <c r="X16" s="40" t="s">
        <v>111</v>
      </c>
      <c r="Y16" s="73">
        <v>0</v>
      </c>
      <c r="Z16" s="73">
        <v>12</v>
      </c>
      <c r="AA16" s="166">
        <v>12</v>
      </c>
      <c r="AB16" s="40" t="s">
        <v>111</v>
      </c>
      <c r="AC16" s="40" t="s">
        <v>111</v>
      </c>
      <c r="AD16" s="40" t="s">
        <v>111</v>
      </c>
      <c r="AE16" s="40"/>
    </row>
    <row r="17" spans="1:31" s="46" customFormat="1" ht="24.95" hidden="1" customHeight="1" x14ac:dyDescent="0.15">
      <c r="A17" s="40">
        <v>15</v>
      </c>
      <c r="B17" s="40" t="s">
        <v>1177</v>
      </c>
      <c r="C17" s="40" t="s">
        <v>111</v>
      </c>
      <c r="D17" s="40" t="s">
        <v>111</v>
      </c>
      <c r="E17" s="40" t="s">
        <v>111</v>
      </c>
      <c r="F17" s="9" t="s">
        <v>1302</v>
      </c>
      <c r="G17" s="1" t="s">
        <v>1431</v>
      </c>
      <c r="H17" s="41" t="s">
        <v>1433</v>
      </c>
      <c r="I17" s="20" t="s">
        <v>1432</v>
      </c>
      <c r="J17" s="9" t="s">
        <v>1666</v>
      </c>
      <c r="K17" s="40" t="s">
        <v>111</v>
      </c>
      <c r="L17" s="9" t="s">
        <v>1608</v>
      </c>
      <c r="M17" s="40" t="s">
        <v>111</v>
      </c>
      <c r="N17" s="9" t="s">
        <v>102</v>
      </c>
      <c r="O17" s="9" t="s">
        <v>851</v>
      </c>
      <c r="P17" s="40" t="s">
        <v>111</v>
      </c>
      <c r="Q17" s="111" t="s">
        <v>2889</v>
      </c>
      <c r="R17" s="40" t="s">
        <v>1753</v>
      </c>
      <c r="S17" s="20" t="s">
        <v>3023</v>
      </c>
      <c r="T17" s="40" t="s">
        <v>111</v>
      </c>
      <c r="U17" s="10" t="s">
        <v>110</v>
      </c>
      <c r="V17" s="72">
        <v>2</v>
      </c>
      <c r="W17" s="40" t="s">
        <v>111</v>
      </c>
      <c r="X17" s="40" t="s">
        <v>111</v>
      </c>
      <c r="Y17" s="73">
        <v>0</v>
      </c>
      <c r="Z17" s="73">
        <v>7.5</v>
      </c>
      <c r="AA17" s="166">
        <v>7.5</v>
      </c>
      <c r="AB17" s="40" t="s">
        <v>111</v>
      </c>
      <c r="AC17" s="40" t="s">
        <v>111</v>
      </c>
      <c r="AD17" s="40" t="s">
        <v>111</v>
      </c>
      <c r="AE17" s="40"/>
    </row>
    <row r="18" spans="1:31" s="46" customFormat="1" ht="24.95" hidden="1" customHeight="1" x14ac:dyDescent="0.15">
      <c r="A18" s="40">
        <v>16</v>
      </c>
      <c r="B18" s="40" t="s">
        <v>1178</v>
      </c>
      <c r="C18" s="40" t="s">
        <v>111</v>
      </c>
      <c r="D18" s="40" t="s">
        <v>111</v>
      </c>
      <c r="E18" s="40" t="s">
        <v>111</v>
      </c>
      <c r="F18" s="9" t="s">
        <v>1179</v>
      </c>
      <c r="G18" s="1" t="s">
        <v>1434</v>
      </c>
      <c r="H18" s="1" t="s">
        <v>1436</v>
      </c>
      <c r="I18" s="12" t="s">
        <v>1435</v>
      </c>
      <c r="J18" s="9" t="s">
        <v>1609</v>
      </c>
      <c r="K18" s="40" t="s">
        <v>111</v>
      </c>
      <c r="L18" s="9" t="s">
        <v>1609</v>
      </c>
      <c r="M18" s="40" t="s">
        <v>111</v>
      </c>
      <c r="N18" s="9" t="s">
        <v>102</v>
      </c>
      <c r="O18" s="9" t="s">
        <v>1742</v>
      </c>
      <c r="P18" s="40" t="s">
        <v>111</v>
      </c>
      <c r="Q18" s="111" t="s">
        <v>2919</v>
      </c>
      <c r="R18" s="40" t="s">
        <v>1753</v>
      </c>
      <c r="S18" s="20" t="s">
        <v>3024</v>
      </c>
      <c r="T18" s="40" t="s">
        <v>111</v>
      </c>
      <c r="U18" s="10" t="s">
        <v>110</v>
      </c>
      <c r="V18" s="72">
        <v>1</v>
      </c>
      <c r="W18" s="40" t="s">
        <v>111</v>
      </c>
      <c r="X18" s="40" t="s">
        <v>111</v>
      </c>
      <c r="Y18" s="73">
        <v>0</v>
      </c>
      <c r="Z18" s="73">
        <v>29.79</v>
      </c>
      <c r="AA18" s="166">
        <v>29.79</v>
      </c>
      <c r="AB18" s="40" t="s">
        <v>111</v>
      </c>
      <c r="AC18" s="40" t="s">
        <v>111</v>
      </c>
      <c r="AD18" s="40" t="s">
        <v>111</v>
      </c>
      <c r="AE18" s="40"/>
    </row>
    <row r="19" spans="1:31" s="46" customFormat="1" ht="24.95" hidden="1" customHeight="1" x14ac:dyDescent="0.15">
      <c r="A19" s="40">
        <v>17</v>
      </c>
      <c r="B19" s="40" t="s">
        <v>1180</v>
      </c>
      <c r="C19" s="40" t="s">
        <v>111</v>
      </c>
      <c r="D19" s="40" t="s">
        <v>111</v>
      </c>
      <c r="E19" s="40" t="s">
        <v>111</v>
      </c>
      <c r="F19" s="9" t="s">
        <v>1303</v>
      </c>
      <c r="G19" s="1" t="s">
        <v>1437</v>
      </c>
      <c r="H19" s="41" t="s">
        <v>23</v>
      </c>
      <c r="I19" s="20" t="s">
        <v>1438</v>
      </c>
      <c r="J19" s="9" t="s">
        <v>1667</v>
      </c>
      <c r="K19" s="40" t="s">
        <v>111</v>
      </c>
      <c r="L19" s="9" t="s">
        <v>1610</v>
      </c>
      <c r="M19" s="40" t="s">
        <v>111</v>
      </c>
      <c r="N19" s="9" t="s">
        <v>102</v>
      </c>
      <c r="O19" s="9" t="s">
        <v>851</v>
      </c>
      <c r="P19" s="40" t="s">
        <v>111</v>
      </c>
      <c r="Q19" s="40" t="s">
        <v>1752</v>
      </c>
      <c r="R19" s="40" t="s">
        <v>1752</v>
      </c>
      <c r="S19" s="20" t="s">
        <v>3025</v>
      </c>
      <c r="T19" s="40" t="s">
        <v>111</v>
      </c>
      <c r="U19" s="10" t="s">
        <v>108</v>
      </c>
      <c r="V19" s="72">
        <v>1</v>
      </c>
      <c r="W19" s="40" t="s">
        <v>111</v>
      </c>
      <c r="X19" s="40" t="s">
        <v>111</v>
      </c>
      <c r="Y19" s="73">
        <v>0</v>
      </c>
      <c r="Z19" s="73">
        <v>12</v>
      </c>
      <c r="AA19" s="166">
        <v>12</v>
      </c>
      <c r="AB19" s="40" t="s">
        <v>111</v>
      </c>
      <c r="AC19" s="40" t="s">
        <v>111</v>
      </c>
      <c r="AD19" s="40" t="s">
        <v>111</v>
      </c>
      <c r="AE19" s="40"/>
    </row>
    <row r="20" spans="1:31" s="46" customFormat="1" ht="24.95" hidden="1" customHeight="1" x14ac:dyDescent="0.15">
      <c r="A20" s="40">
        <v>18</v>
      </c>
      <c r="B20" s="40" t="s">
        <v>1181</v>
      </c>
      <c r="C20" s="40" t="s">
        <v>111</v>
      </c>
      <c r="D20" s="40" t="s">
        <v>111</v>
      </c>
      <c r="E20" s="40" t="s">
        <v>111</v>
      </c>
      <c r="F20" s="9" t="s">
        <v>86</v>
      </c>
      <c r="G20" s="1" t="s">
        <v>1439</v>
      </c>
      <c r="H20" s="41" t="s">
        <v>23</v>
      </c>
      <c r="I20" s="20" t="s">
        <v>1438</v>
      </c>
      <c r="J20" s="9" t="s">
        <v>1667</v>
      </c>
      <c r="K20" s="40" t="s">
        <v>111</v>
      </c>
      <c r="L20" s="9" t="s">
        <v>1611</v>
      </c>
      <c r="M20" s="40" t="s">
        <v>111</v>
      </c>
      <c r="N20" s="9" t="s">
        <v>102</v>
      </c>
      <c r="O20" s="9" t="s">
        <v>851</v>
      </c>
      <c r="P20" s="40" t="s">
        <v>111</v>
      </c>
      <c r="Q20" s="40" t="s">
        <v>1752</v>
      </c>
      <c r="R20" s="40" t="s">
        <v>1752</v>
      </c>
      <c r="S20" s="20" t="s">
        <v>3025</v>
      </c>
      <c r="T20" s="40" t="s">
        <v>111</v>
      </c>
      <c r="U20" s="10" t="s">
        <v>108</v>
      </c>
      <c r="V20" s="72">
        <v>1</v>
      </c>
      <c r="W20" s="40" t="s">
        <v>111</v>
      </c>
      <c r="X20" s="40" t="s">
        <v>111</v>
      </c>
      <c r="Y20" s="73">
        <v>0</v>
      </c>
      <c r="Z20" s="73">
        <v>12</v>
      </c>
      <c r="AA20" s="166">
        <v>12</v>
      </c>
      <c r="AB20" s="40" t="s">
        <v>111</v>
      </c>
      <c r="AC20" s="40" t="s">
        <v>111</v>
      </c>
      <c r="AD20" s="40" t="s">
        <v>111</v>
      </c>
      <c r="AE20" s="40"/>
    </row>
    <row r="21" spans="1:31" s="46" customFormat="1" ht="24.95" hidden="1" customHeight="1" x14ac:dyDescent="0.15">
      <c r="A21" s="40">
        <v>19</v>
      </c>
      <c r="B21" s="40" t="s">
        <v>1182</v>
      </c>
      <c r="C21" s="40" t="s">
        <v>111</v>
      </c>
      <c r="D21" s="40" t="s">
        <v>111</v>
      </c>
      <c r="E21" s="40" t="s">
        <v>111</v>
      </c>
      <c r="F21" s="9" t="s">
        <v>1304</v>
      </c>
      <c r="G21" s="1" t="s">
        <v>1440</v>
      </c>
      <c r="H21" s="41" t="s">
        <v>23</v>
      </c>
      <c r="I21" s="20" t="s">
        <v>1438</v>
      </c>
      <c r="J21" s="9" t="s">
        <v>1667</v>
      </c>
      <c r="K21" s="40" t="s">
        <v>111</v>
      </c>
      <c r="L21" s="9" t="s">
        <v>1612</v>
      </c>
      <c r="M21" s="40" t="s">
        <v>111</v>
      </c>
      <c r="N21" s="9" t="s">
        <v>102</v>
      </c>
      <c r="O21" s="9" t="s">
        <v>851</v>
      </c>
      <c r="P21" s="40" t="s">
        <v>111</v>
      </c>
      <c r="Q21" s="40" t="s">
        <v>1752</v>
      </c>
      <c r="R21" s="40" t="s">
        <v>1752</v>
      </c>
      <c r="S21" s="20" t="s">
        <v>3025</v>
      </c>
      <c r="T21" s="40" t="s">
        <v>111</v>
      </c>
      <c r="U21" s="10" t="s">
        <v>108</v>
      </c>
      <c r="V21" s="72">
        <v>1</v>
      </c>
      <c r="W21" s="40" t="s">
        <v>111</v>
      </c>
      <c r="X21" s="40" t="s">
        <v>111</v>
      </c>
      <c r="Y21" s="73">
        <v>0</v>
      </c>
      <c r="Z21" s="73">
        <v>12</v>
      </c>
      <c r="AA21" s="166">
        <v>12</v>
      </c>
      <c r="AB21" s="40" t="s">
        <v>111</v>
      </c>
      <c r="AC21" s="40" t="s">
        <v>111</v>
      </c>
      <c r="AD21" s="40" t="s">
        <v>111</v>
      </c>
      <c r="AE21" s="40"/>
    </row>
    <row r="22" spans="1:31" s="46" customFormat="1" ht="24.95" hidden="1" customHeight="1" x14ac:dyDescent="0.15">
      <c r="A22" s="40">
        <v>20</v>
      </c>
      <c r="B22" s="40" t="s">
        <v>1183</v>
      </c>
      <c r="C22" s="40" t="s">
        <v>111</v>
      </c>
      <c r="D22" s="40" t="s">
        <v>111</v>
      </c>
      <c r="E22" s="40" t="s">
        <v>111</v>
      </c>
      <c r="F22" s="9" t="s">
        <v>1305</v>
      </c>
      <c r="G22" s="1" t="s">
        <v>1441</v>
      </c>
      <c r="H22" s="41" t="s">
        <v>23</v>
      </c>
      <c r="I22" s="20" t="s">
        <v>1438</v>
      </c>
      <c r="J22" s="9" t="s">
        <v>1667</v>
      </c>
      <c r="K22" s="40" t="s">
        <v>111</v>
      </c>
      <c r="L22" s="9" t="s">
        <v>1613</v>
      </c>
      <c r="M22" s="40" t="s">
        <v>111</v>
      </c>
      <c r="N22" s="9" t="s">
        <v>102</v>
      </c>
      <c r="O22" s="9" t="s">
        <v>851</v>
      </c>
      <c r="P22" s="40" t="s">
        <v>111</v>
      </c>
      <c r="Q22" s="40" t="s">
        <v>1752</v>
      </c>
      <c r="R22" s="40" t="s">
        <v>1752</v>
      </c>
      <c r="S22" s="20" t="s">
        <v>3025</v>
      </c>
      <c r="T22" s="40" t="s">
        <v>111</v>
      </c>
      <c r="U22" s="10" t="s">
        <v>108</v>
      </c>
      <c r="V22" s="72">
        <v>1</v>
      </c>
      <c r="W22" s="40" t="s">
        <v>111</v>
      </c>
      <c r="X22" s="40" t="s">
        <v>111</v>
      </c>
      <c r="Y22" s="73">
        <v>0</v>
      </c>
      <c r="Z22" s="73">
        <v>12</v>
      </c>
      <c r="AA22" s="166">
        <v>12</v>
      </c>
      <c r="AB22" s="40" t="s">
        <v>111</v>
      </c>
      <c r="AC22" s="40" t="s">
        <v>111</v>
      </c>
      <c r="AD22" s="40" t="s">
        <v>111</v>
      </c>
      <c r="AE22" s="40"/>
    </row>
    <row r="23" spans="1:31" s="46" customFormat="1" ht="24.95" hidden="1" customHeight="1" x14ac:dyDescent="0.15">
      <c r="A23" s="40">
        <v>21</v>
      </c>
      <c r="B23" s="40" t="s">
        <v>1306</v>
      </c>
      <c r="C23" s="40" t="s">
        <v>111</v>
      </c>
      <c r="D23" s="40" t="s">
        <v>111</v>
      </c>
      <c r="E23" s="40" t="s">
        <v>111</v>
      </c>
      <c r="F23" s="9" t="s">
        <v>1307</v>
      </c>
      <c r="G23" s="1" t="s">
        <v>1442</v>
      </c>
      <c r="H23" s="41" t="s">
        <v>23</v>
      </c>
      <c r="I23" s="20" t="s">
        <v>1438</v>
      </c>
      <c r="J23" s="9" t="s">
        <v>1668</v>
      </c>
      <c r="K23" s="40" t="s">
        <v>111</v>
      </c>
      <c r="L23" s="9" t="s">
        <v>1614</v>
      </c>
      <c r="M23" s="40" t="s">
        <v>111</v>
      </c>
      <c r="N23" s="9" t="s">
        <v>102</v>
      </c>
      <c r="O23" s="9" t="s">
        <v>851</v>
      </c>
      <c r="P23" s="40" t="s">
        <v>111</v>
      </c>
      <c r="Q23" s="40" t="s">
        <v>1752</v>
      </c>
      <c r="R23" s="40" t="s">
        <v>1752</v>
      </c>
      <c r="S23" s="20" t="s">
        <v>3025</v>
      </c>
      <c r="T23" s="40" t="s">
        <v>111</v>
      </c>
      <c r="U23" s="10" t="s">
        <v>108</v>
      </c>
      <c r="V23" s="72">
        <v>1</v>
      </c>
      <c r="W23" s="40" t="s">
        <v>111</v>
      </c>
      <c r="X23" s="40" t="s">
        <v>111</v>
      </c>
      <c r="Y23" s="73">
        <v>0</v>
      </c>
      <c r="Z23" s="73">
        <v>12</v>
      </c>
      <c r="AA23" s="166">
        <v>12</v>
      </c>
      <c r="AB23" s="40" t="s">
        <v>111</v>
      </c>
      <c r="AC23" s="40" t="s">
        <v>111</v>
      </c>
      <c r="AD23" s="40" t="s">
        <v>111</v>
      </c>
      <c r="AE23" s="40"/>
    </row>
    <row r="24" spans="1:31" s="46" customFormat="1" ht="24.95" hidden="1" customHeight="1" x14ac:dyDescent="0.15">
      <c r="A24" s="40">
        <v>22</v>
      </c>
      <c r="B24" s="40" t="s">
        <v>1184</v>
      </c>
      <c r="C24" s="40" t="s">
        <v>111</v>
      </c>
      <c r="D24" s="40" t="s">
        <v>111</v>
      </c>
      <c r="E24" s="40" t="s">
        <v>111</v>
      </c>
      <c r="F24" s="9" t="s">
        <v>1308</v>
      </c>
      <c r="G24" s="1" t="s">
        <v>1443</v>
      </c>
      <c r="H24" s="41" t="s">
        <v>23</v>
      </c>
      <c r="I24" s="20" t="s">
        <v>1438</v>
      </c>
      <c r="J24" s="9" t="s">
        <v>1668</v>
      </c>
      <c r="K24" s="40" t="s">
        <v>111</v>
      </c>
      <c r="L24" s="9" t="s">
        <v>1615</v>
      </c>
      <c r="M24" s="40" t="s">
        <v>111</v>
      </c>
      <c r="N24" s="9" t="s">
        <v>102</v>
      </c>
      <c r="O24" s="9" t="s">
        <v>851</v>
      </c>
      <c r="P24" s="40" t="s">
        <v>111</v>
      </c>
      <c r="Q24" s="40" t="s">
        <v>1752</v>
      </c>
      <c r="R24" s="40" t="s">
        <v>1752</v>
      </c>
      <c r="S24" s="20" t="s">
        <v>3025</v>
      </c>
      <c r="T24" s="40" t="s">
        <v>111</v>
      </c>
      <c r="U24" s="10" t="s">
        <v>108</v>
      </c>
      <c r="V24" s="72">
        <v>1</v>
      </c>
      <c r="W24" s="40" t="s">
        <v>111</v>
      </c>
      <c r="X24" s="40" t="s">
        <v>111</v>
      </c>
      <c r="Y24" s="73">
        <v>0</v>
      </c>
      <c r="Z24" s="73">
        <v>12</v>
      </c>
      <c r="AA24" s="166">
        <v>12</v>
      </c>
      <c r="AB24" s="40" t="s">
        <v>111</v>
      </c>
      <c r="AC24" s="40" t="s">
        <v>111</v>
      </c>
      <c r="AD24" s="40" t="s">
        <v>111</v>
      </c>
      <c r="AE24" s="40"/>
    </row>
    <row r="25" spans="1:31" s="46" customFormat="1" ht="24.95" hidden="1" customHeight="1" x14ac:dyDescent="0.15">
      <c r="A25" s="40">
        <v>23</v>
      </c>
      <c r="B25" s="40" t="s">
        <v>1185</v>
      </c>
      <c r="C25" s="40" t="s">
        <v>111</v>
      </c>
      <c r="D25" s="40" t="s">
        <v>111</v>
      </c>
      <c r="E25" s="40" t="s">
        <v>111</v>
      </c>
      <c r="F25" s="9" t="s">
        <v>1309</v>
      </c>
      <c r="G25" s="1" t="s">
        <v>1444</v>
      </c>
      <c r="H25" s="41" t="s">
        <v>23</v>
      </c>
      <c r="I25" s="20" t="s">
        <v>1438</v>
      </c>
      <c r="J25" s="9" t="s">
        <v>1668</v>
      </c>
      <c r="K25" s="40" t="s">
        <v>111</v>
      </c>
      <c r="L25" s="9" t="s">
        <v>1616</v>
      </c>
      <c r="M25" s="40" t="s">
        <v>111</v>
      </c>
      <c r="N25" s="9" t="s">
        <v>102</v>
      </c>
      <c r="O25" s="9" t="s">
        <v>851</v>
      </c>
      <c r="P25" s="40" t="s">
        <v>111</v>
      </c>
      <c r="Q25" s="40" t="s">
        <v>1752</v>
      </c>
      <c r="R25" s="40" t="s">
        <v>1752</v>
      </c>
      <c r="S25" s="20" t="s">
        <v>3025</v>
      </c>
      <c r="T25" s="40" t="s">
        <v>111</v>
      </c>
      <c r="U25" s="10" t="s">
        <v>108</v>
      </c>
      <c r="V25" s="72">
        <v>1</v>
      </c>
      <c r="W25" s="40" t="s">
        <v>111</v>
      </c>
      <c r="X25" s="40" t="s">
        <v>111</v>
      </c>
      <c r="Y25" s="73">
        <v>0</v>
      </c>
      <c r="Z25" s="73">
        <v>12</v>
      </c>
      <c r="AA25" s="166">
        <v>12</v>
      </c>
      <c r="AB25" s="40" t="s">
        <v>111</v>
      </c>
      <c r="AC25" s="40" t="s">
        <v>111</v>
      </c>
      <c r="AD25" s="40" t="s">
        <v>111</v>
      </c>
      <c r="AE25" s="40"/>
    </row>
    <row r="26" spans="1:31" s="46" customFormat="1" ht="24.95" hidden="1" customHeight="1" x14ac:dyDescent="0.15">
      <c r="A26" s="40">
        <v>24</v>
      </c>
      <c r="B26" s="40" t="s">
        <v>1186</v>
      </c>
      <c r="C26" s="40" t="s">
        <v>111</v>
      </c>
      <c r="D26" s="40" t="s">
        <v>111</v>
      </c>
      <c r="E26" s="40" t="s">
        <v>111</v>
      </c>
      <c r="F26" s="9" t="s">
        <v>1155</v>
      </c>
      <c r="G26" s="1" t="s">
        <v>1445</v>
      </c>
      <c r="H26" s="41" t="s">
        <v>23</v>
      </c>
      <c r="I26" s="20" t="s">
        <v>1438</v>
      </c>
      <c r="J26" s="9" t="s">
        <v>1658</v>
      </c>
      <c r="K26" s="40" t="s">
        <v>111</v>
      </c>
      <c r="L26" s="9" t="s">
        <v>1605</v>
      </c>
      <c r="M26" s="40" t="s">
        <v>111</v>
      </c>
      <c r="N26" s="9" t="s">
        <v>102</v>
      </c>
      <c r="O26" s="9" t="s">
        <v>851</v>
      </c>
      <c r="P26" s="40" t="s">
        <v>111</v>
      </c>
      <c r="Q26" s="40" t="s">
        <v>1752</v>
      </c>
      <c r="R26" s="40" t="s">
        <v>1752</v>
      </c>
      <c r="S26" s="20" t="s">
        <v>3025</v>
      </c>
      <c r="T26" s="40" t="s">
        <v>111</v>
      </c>
      <c r="U26" s="10" t="s">
        <v>108</v>
      </c>
      <c r="V26" s="72">
        <v>1</v>
      </c>
      <c r="W26" s="40" t="s">
        <v>111</v>
      </c>
      <c r="X26" s="40" t="s">
        <v>111</v>
      </c>
      <c r="Y26" s="73">
        <v>0</v>
      </c>
      <c r="Z26" s="73">
        <v>12</v>
      </c>
      <c r="AA26" s="166">
        <v>12</v>
      </c>
      <c r="AB26" s="40" t="s">
        <v>111</v>
      </c>
      <c r="AC26" s="40" t="s">
        <v>111</v>
      </c>
      <c r="AD26" s="40" t="s">
        <v>111</v>
      </c>
      <c r="AE26" s="40"/>
    </row>
    <row r="27" spans="1:31" s="46" customFormat="1" ht="24.95" hidden="1" customHeight="1" x14ac:dyDescent="0.15">
      <c r="A27" s="40">
        <v>25</v>
      </c>
      <c r="B27" s="40" t="s">
        <v>1187</v>
      </c>
      <c r="C27" s="40" t="s">
        <v>111</v>
      </c>
      <c r="D27" s="40" t="s">
        <v>111</v>
      </c>
      <c r="E27" s="40" t="s">
        <v>111</v>
      </c>
      <c r="F27" s="9" t="s">
        <v>1310</v>
      </c>
      <c r="G27" s="1" t="s">
        <v>1446</v>
      </c>
      <c r="H27" s="41" t="s">
        <v>23</v>
      </c>
      <c r="I27" s="20" t="s">
        <v>1438</v>
      </c>
      <c r="J27" s="9" t="s">
        <v>1658</v>
      </c>
      <c r="K27" s="40" t="s">
        <v>111</v>
      </c>
      <c r="L27" s="9" t="s">
        <v>1617</v>
      </c>
      <c r="M27" s="40" t="s">
        <v>111</v>
      </c>
      <c r="N27" s="9" t="s">
        <v>102</v>
      </c>
      <c r="O27" s="9" t="s">
        <v>851</v>
      </c>
      <c r="P27" s="40" t="s">
        <v>111</v>
      </c>
      <c r="Q27" s="40" t="s">
        <v>1752</v>
      </c>
      <c r="R27" s="40" t="s">
        <v>1752</v>
      </c>
      <c r="S27" s="20" t="s">
        <v>3025</v>
      </c>
      <c r="T27" s="40" t="s">
        <v>111</v>
      </c>
      <c r="U27" s="10" t="s">
        <v>108</v>
      </c>
      <c r="V27" s="72">
        <v>1</v>
      </c>
      <c r="W27" s="40" t="s">
        <v>111</v>
      </c>
      <c r="X27" s="40" t="s">
        <v>111</v>
      </c>
      <c r="Y27" s="73">
        <v>0</v>
      </c>
      <c r="Z27" s="73">
        <v>12</v>
      </c>
      <c r="AA27" s="166">
        <v>12</v>
      </c>
      <c r="AB27" s="40" t="s">
        <v>111</v>
      </c>
      <c r="AC27" s="40" t="s">
        <v>111</v>
      </c>
      <c r="AD27" s="40" t="s">
        <v>111</v>
      </c>
      <c r="AE27" s="40"/>
    </row>
    <row r="28" spans="1:31" s="46" customFormat="1" ht="24.95" hidden="1" customHeight="1" x14ac:dyDescent="0.15">
      <c r="A28" s="40">
        <v>26</v>
      </c>
      <c r="B28" s="40" t="s">
        <v>1188</v>
      </c>
      <c r="C28" s="40" t="s">
        <v>111</v>
      </c>
      <c r="D28" s="40" t="s">
        <v>111</v>
      </c>
      <c r="E28" s="40" t="s">
        <v>111</v>
      </c>
      <c r="F28" s="9" t="s">
        <v>1311</v>
      </c>
      <c r="G28" s="1" t="s">
        <v>1447</v>
      </c>
      <c r="H28" s="1" t="s">
        <v>1449</v>
      </c>
      <c r="I28" s="1" t="s">
        <v>1448</v>
      </c>
      <c r="J28" s="9" t="s">
        <v>1669</v>
      </c>
      <c r="K28" s="40" t="s">
        <v>111</v>
      </c>
      <c r="L28" s="9" t="s">
        <v>1618</v>
      </c>
      <c r="M28" s="40" t="s">
        <v>111</v>
      </c>
      <c r="N28" s="9" t="s">
        <v>102</v>
      </c>
      <c r="O28" s="9" t="s">
        <v>1754</v>
      </c>
      <c r="P28" s="40" t="s">
        <v>111</v>
      </c>
      <c r="Q28" s="40" t="s">
        <v>1659</v>
      </c>
      <c r="R28" s="40" t="s">
        <v>1659</v>
      </c>
      <c r="S28" s="20" t="s">
        <v>3026</v>
      </c>
      <c r="T28" s="40" t="s">
        <v>111</v>
      </c>
      <c r="U28" s="10" t="s">
        <v>110</v>
      </c>
      <c r="V28" s="72">
        <v>2</v>
      </c>
      <c r="W28" s="40" t="s">
        <v>111</v>
      </c>
      <c r="X28" s="40" t="s">
        <v>111</v>
      </c>
      <c r="Y28" s="73">
        <v>0</v>
      </c>
      <c r="Z28" s="73">
        <v>10</v>
      </c>
      <c r="AA28" s="166">
        <v>10</v>
      </c>
      <c r="AB28" s="40" t="s">
        <v>111</v>
      </c>
      <c r="AC28" s="40" t="s">
        <v>111</v>
      </c>
      <c r="AD28" s="40" t="s">
        <v>111</v>
      </c>
      <c r="AE28" s="40"/>
    </row>
    <row r="29" spans="1:31" s="46" customFormat="1" ht="24.95" hidden="1" customHeight="1" x14ac:dyDescent="0.15">
      <c r="A29" s="40">
        <v>27</v>
      </c>
      <c r="B29" s="40" t="s">
        <v>1189</v>
      </c>
      <c r="C29" s="40" t="s">
        <v>111</v>
      </c>
      <c r="D29" s="40" t="s">
        <v>111</v>
      </c>
      <c r="E29" s="40" t="s">
        <v>111</v>
      </c>
      <c r="F29" s="9" t="s">
        <v>1190</v>
      </c>
      <c r="G29" s="20" t="s">
        <v>1450</v>
      </c>
      <c r="H29" s="1" t="s">
        <v>1452</v>
      </c>
      <c r="I29" s="20" t="s">
        <v>1451</v>
      </c>
      <c r="J29" s="9" t="s">
        <v>853</v>
      </c>
      <c r="K29" s="40" t="s">
        <v>111</v>
      </c>
      <c r="L29" s="9" t="s">
        <v>1509</v>
      </c>
      <c r="M29" s="40" t="s">
        <v>111</v>
      </c>
      <c r="N29" s="9" t="s">
        <v>102</v>
      </c>
      <c r="O29" s="9" t="s">
        <v>463</v>
      </c>
      <c r="P29" s="40" t="s">
        <v>111</v>
      </c>
      <c r="Q29" s="111" t="s">
        <v>2889</v>
      </c>
      <c r="R29" s="40" t="s">
        <v>1753</v>
      </c>
      <c r="S29" s="20" t="s">
        <v>3027</v>
      </c>
      <c r="T29" s="40" t="s">
        <v>111</v>
      </c>
      <c r="U29" s="10" t="s">
        <v>110</v>
      </c>
      <c r="V29" s="72">
        <v>1</v>
      </c>
      <c r="W29" s="40" t="s">
        <v>111</v>
      </c>
      <c r="X29" s="40" t="s">
        <v>111</v>
      </c>
      <c r="Y29" s="73">
        <v>2.36</v>
      </c>
      <c r="Z29" s="73">
        <v>0</v>
      </c>
      <c r="AA29" s="166">
        <v>2.36</v>
      </c>
      <c r="AB29" s="40" t="s">
        <v>111</v>
      </c>
      <c r="AC29" s="40" t="s">
        <v>111</v>
      </c>
      <c r="AD29" s="40" t="s">
        <v>111</v>
      </c>
      <c r="AE29" s="40"/>
    </row>
    <row r="30" spans="1:31" s="46" customFormat="1" ht="24.95" hidden="1" customHeight="1" x14ac:dyDescent="0.15">
      <c r="A30" s="40">
        <v>28</v>
      </c>
      <c r="B30" s="40" t="s">
        <v>1191</v>
      </c>
      <c r="C30" s="40" t="s">
        <v>111</v>
      </c>
      <c r="D30" s="40" t="s">
        <v>111</v>
      </c>
      <c r="E30" s="40" t="s">
        <v>111</v>
      </c>
      <c r="F30" s="9" t="s">
        <v>846</v>
      </c>
      <c r="G30" s="20" t="s">
        <v>1453</v>
      </c>
      <c r="H30" s="1" t="s">
        <v>1452</v>
      </c>
      <c r="I30" s="20" t="s">
        <v>1451</v>
      </c>
      <c r="J30" s="9" t="s">
        <v>850</v>
      </c>
      <c r="K30" s="40" t="s">
        <v>111</v>
      </c>
      <c r="L30" s="9" t="s">
        <v>850</v>
      </c>
      <c r="M30" s="40" t="s">
        <v>111</v>
      </c>
      <c r="N30" s="9" t="s">
        <v>102</v>
      </c>
      <c r="O30" s="9" t="s">
        <v>463</v>
      </c>
      <c r="P30" s="40" t="s">
        <v>111</v>
      </c>
      <c r="Q30" s="111" t="s">
        <v>2889</v>
      </c>
      <c r="R30" s="40" t="s">
        <v>1753</v>
      </c>
      <c r="S30" s="20" t="s">
        <v>3027</v>
      </c>
      <c r="T30" s="40" t="s">
        <v>111</v>
      </c>
      <c r="U30" s="10" t="s">
        <v>110</v>
      </c>
      <c r="V30" s="72">
        <v>1</v>
      </c>
      <c r="W30" s="40" t="s">
        <v>111</v>
      </c>
      <c r="X30" s="40" t="s">
        <v>111</v>
      </c>
      <c r="Y30" s="73">
        <v>3.96</v>
      </c>
      <c r="Z30" s="73">
        <v>0</v>
      </c>
      <c r="AA30" s="166">
        <v>3.96</v>
      </c>
      <c r="AB30" s="40" t="s">
        <v>111</v>
      </c>
      <c r="AC30" s="40" t="s">
        <v>111</v>
      </c>
      <c r="AD30" s="40" t="s">
        <v>111</v>
      </c>
      <c r="AE30" s="40"/>
    </row>
    <row r="31" spans="1:31" s="46" customFormat="1" ht="24.95" hidden="1" customHeight="1" x14ac:dyDescent="0.15">
      <c r="A31" s="40">
        <v>29</v>
      </c>
      <c r="B31" s="40" t="s">
        <v>1192</v>
      </c>
      <c r="C31" s="40" t="s">
        <v>111</v>
      </c>
      <c r="D31" s="40" t="s">
        <v>111</v>
      </c>
      <c r="E31" s="40" t="s">
        <v>111</v>
      </c>
      <c r="F31" s="9" t="s">
        <v>1193</v>
      </c>
      <c r="G31" s="20" t="s">
        <v>1454</v>
      </c>
      <c r="H31" s="1" t="s">
        <v>1452</v>
      </c>
      <c r="I31" s="20" t="s">
        <v>1451</v>
      </c>
      <c r="J31" s="9" t="s">
        <v>1619</v>
      </c>
      <c r="K31" s="40" t="s">
        <v>111</v>
      </c>
      <c r="L31" s="9" t="s">
        <v>1619</v>
      </c>
      <c r="M31" s="40" t="s">
        <v>111</v>
      </c>
      <c r="N31" s="9" t="s">
        <v>102</v>
      </c>
      <c r="O31" s="9" t="s">
        <v>463</v>
      </c>
      <c r="P31" s="40" t="s">
        <v>111</v>
      </c>
      <c r="Q31" s="111" t="s">
        <v>2889</v>
      </c>
      <c r="R31" s="40" t="s">
        <v>1753</v>
      </c>
      <c r="S31" s="20" t="s">
        <v>3027</v>
      </c>
      <c r="T31" s="40" t="s">
        <v>111</v>
      </c>
      <c r="U31" s="10" t="s">
        <v>110</v>
      </c>
      <c r="V31" s="72">
        <v>1</v>
      </c>
      <c r="W31" s="40" t="s">
        <v>111</v>
      </c>
      <c r="X31" s="40" t="s">
        <v>111</v>
      </c>
      <c r="Y31" s="73">
        <v>5.56</v>
      </c>
      <c r="Z31" s="73">
        <v>0</v>
      </c>
      <c r="AA31" s="166">
        <v>5.56</v>
      </c>
      <c r="AB31" s="40" t="s">
        <v>111</v>
      </c>
      <c r="AC31" s="40" t="s">
        <v>111</v>
      </c>
      <c r="AD31" s="40" t="s">
        <v>111</v>
      </c>
      <c r="AE31" s="40"/>
    </row>
    <row r="32" spans="1:31" s="46" customFormat="1" ht="24.95" hidden="1" customHeight="1" x14ac:dyDescent="0.15">
      <c r="A32" s="40">
        <v>30</v>
      </c>
      <c r="B32" s="40" t="s">
        <v>1194</v>
      </c>
      <c r="C32" s="40" t="s">
        <v>111</v>
      </c>
      <c r="D32" s="40" t="s">
        <v>111</v>
      </c>
      <c r="E32" s="40" t="s">
        <v>111</v>
      </c>
      <c r="F32" s="9" t="s">
        <v>1312</v>
      </c>
      <c r="G32" s="20" t="s">
        <v>1455</v>
      </c>
      <c r="H32" s="1" t="s">
        <v>1457</v>
      </c>
      <c r="I32" s="1" t="s">
        <v>1456</v>
      </c>
      <c r="J32" s="9" t="s">
        <v>1670</v>
      </c>
      <c r="K32" s="40" t="s">
        <v>111</v>
      </c>
      <c r="L32" s="9" t="s">
        <v>1620</v>
      </c>
      <c r="M32" s="40" t="s">
        <v>111</v>
      </c>
      <c r="N32" s="9" t="s">
        <v>102</v>
      </c>
      <c r="O32" s="9" t="s">
        <v>1743</v>
      </c>
      <c r="P32" s="40" t="s">
        <v>111</v>
      </c>
      <c r="Q32" s="111" t="s">
        <v>2892</v>
      </c>
      <c r="R32" s="40" t="s">
        <v>1740</v>
      </c>
      <c r="S32" s="20" t="s">
        <v>3028</v>
      </c>
      <c r="T32" s="40" t="s">
        <v>111</v>
      </c>
      <c r="U32" s="10" t="s">
        <v>110</v>
      </c>
      <c r="V32" s="72">
        <v>1</v>
      </c>
      <c r="W32" s="40" t="s">
        <v>111</v>
      </c>
      <c r="X32" s="40" t="s">
        <v>111</v>
      </c>
      <c r="Y32" s="73">
        <v>13</v>
      </c>
      <c r="Z32" s="73">
        <v>0</v>
      </c>
      <c r="AA32" s="166">
        <v>13</v>
      </c>
      <c r="AB32" s="40" t="s">
        <v>111</v>
      </c>
      <c r="AC32" s="40" t="s">
        <v>111</v>
      </c>
      <c r="AD32" s="40" t="s">
        <v>111</v>
      </c>
      <c r="AE32" s="40"/>
    </row>
    <row r="33" spans="1:31" s="46" customFormat="1" ht="24.95" hidden="1" customHeight="1" x14ac:dyDescent="0.15">
      <c r="A33" s="40">
        <v>31</v>
      </c>
      <c r="B33" s="40" t="s">
        <v>1195</v>
      </c>
      <c r="C33" s="40" t="s">
        <v>1196</v>
      </c>
      <c r="D33" s="40" t="s">
        <v>111</v>
      </c>
      <c r="E33" s="40" t="s">
        <v>111</v>
      </c>
      <c r="F33" s="9" t="s">
        <v>1313</v>
      </c>
      <c r="G33" s="20" t="s">
        <v>1458</v>
      </c>
      <c r="H33" s="1" t="s">
        <v>1457</v>
      </c>
      <c r="I33" s="20" t="s">
        <v>1432</v>
      </c>
      <c r="J33" s="9" t="s">
        <v>1623</v>
      </c>
      <c r="K33" s="40" t="s">
        <v>111</v>
      </c>
      <c r="L33" s="9" t="s">
        <v>1621</v>
      </c>
      <c r="M33" s="40" t="s">
        <v>111</v>
      </c>
      <c r="N33" s="9" t="s">
        <v>102</v>
      </c>
      <c r="O33" s="9" t="s">
        <v>1755</v>
      </c>
      <c r="P33" s="40" t="s">
        <v>111</v>
      </c>
      <c r="Q33" s="111" t="s">
        <v>2892</v>
      </c>
      <c r="R33" s="40" t="s">
        <v>1740</v>
      </c>
      <c r="S33" s="20" t="s">
        <v>3029</v>
      </c>
      <c r="T33" s="40" t="s">
        <v>111</v>
      </c>
      <c r="U33" s="10" t="s">
        <v>110</v>
      </c>
      <c r="V33" s="72">
        <v>2</v>
      </c>
      <c r="W33" s="40" t="s">
        <v>111</v>
      </c>
      <c r="X33" s="40" t="s">
        <v>111</v>
      </c>
      <c r="Y33" s="73">
        <v>52.18</v>
      </c>
      <c r="Z33" s="73">
        <v>0</v>
      </c>
      <c r="AA33" s="166">
        <v>52.18</v>
      </c>
      <c r="AB33" s="40" t="s">
        <v>111</v>
      </c>
      <c r="AC33" s="40" t="s">
        <v>111</v>
      </c>
      <c r="AD33" s="40" t="s">
        <v>111</v>
      </c>
      <c r="AE33" s="40"/>
    </row>
    <row r="34" spans="1:31" s="46" customFormat="1" ht="24.95" hidden="1" customHeight="1" x14ac:dyDescent="0.15">
      <c r="A34" s="40">
        <v>32</v>
      </c>
      <c r="B34" s="40" t="s">
        <v>1197</v>
      </c>
      <c r="C34" s="40" t="s">
        <v>111</v>
      </c>
      <c r="D34" s="40" t="s">
        <v>111</v>
      </c>
      <c r="E34" s="40" t="s">
        <v>111</v>
      </c>
      <c r="F34" s="9" t="s">
        <v>1314</v>
      </c>
      <c r="G34" s="20" t="s">
        <v>1459</v>
      </c>
      <c r="H34" s="20" t="s">
        <v>1460</v>
      </c>
      <c r="I34" s="20" t="s">
        <v>1438</v>
      </c>
      <c r="J34" s="9" t="s">
        <v>1671</v>
      </c>
      <c r="K34" s="40" t="s">
        <v>111</v>
      </c>
      <c r="L34" s="9" t="s">
        <v>1622</v>
      </c>
      <c r="M34" s="40" t="s">
        <v>111</v>
      </c>
      <c r="N34" s="9" t="s">
        <v>102</v>
      </c>
      <c r="O34" s="9" t="s">
        <v>851</v>
      </c>
      <c r="P34" s="40" t="s">
        <v>111</v>
      </c>
      <c r="Q34" s="20" t="s">
        <v>2890</v>
      </c>
      <c r="R34" s="40" t="s">
        <v>103</v>
      </c>
      <c r="S34" s="20" t="s">
        <v>3030</v>
      </c>
      <c r="T34" s="40" t="s">
        <v>111</v>
      </c>
      <c r="U34" s="10" t="s">
        <v>108</v>
      </c>
      <c r="V34" s="72">
        <v>1</v>
      </c>
      <c r="W34" s="40" t="s">
        <v>111</v>
      </c>
      <c r="X34" s="40" t="s">
        <v>111</v>
      </c>
      <c r="Y34" s="73">
        <v>0</v>
      </c>
      <c r="Z34" s="73">
        <v>23</v>
      </c>
      <c r="AA34" s="166">
        <v>23</v>
      </c>
      <c r="AB34" s="40" t="s">
        <v>111</v>
      </c>
      <c r="AC34" s="40" t="s">
        <v>111</v>
      </c>
      <c r="AD34" s="40" t="s">
        <v>111</v>
      </c>
      <c r="AE34" s="40"/>
    </row>
    <row r="35" spans="1:31" s="46" customFormat="1" ht="24.95" hidden="1" customHeight="1" x14ac:dyDescent="0.15">
      <c r="A35" s="40">
        <v>33</v>
      </c>
      <c r="B35" s="40" t="s">
        <v>1198</v>
      </c>
      <c r="C35" s="40" t="s">
        <v>1315</v>
      </c>
      <c r="D35" s="40" t="s">
        <v>111</v>
      </c>
      <c r="E35" s="40" t="s">
        <v>111</v>
      </c>
      <c r="F35" s="9" t="s">
        <v>1316</v>
      </c>
      <c r="G35" s="20" t="s">
        <v>1461</v>
      </c>
      <c r="H35" s="20" t="s">
        <v>1457</v>
      </c>
      <c r="I35" s="20" t="s">
        <v>1432</v>
      </c>
      <c r="J35" s="9" t="s">
        <v>1623</v>
      </c>
      <c r="K35" s="40" t="s">
        <v>111</v>
      </c>
      <c r="L35" s="9" t="s">
        <v>1623</v>
      </c>
      <c r="M35" s="40" t="s">
        <v>111</v>
      </c>
      <c r="N35" s="9" t="s">
        <v>102</v>
      </c>
      <c r="O35" s="9" t="s">
        <v>1755</v>
      </c>
      <c r="P35" s="40" t="s">
        <v>111</v>
      </c>
      <c r="Q35" s="20" t="s">
        <v>2892</v>
      </c>
      <c r="R35" s="40" t="s">
        <v>1740</v>
      </c>
      <c r="S35" s="20" t="s">
        <v>3031</v>
      </c>
      <c r="T35" s="40" t="s">
        <v>111</v>
      </c>
      <c r="U35" s="10" t="s">
        <v>110</v>
      </c>
      <c r="V35" s="72">
        <v>1</v>
      </c>
      <c r="W35" s="40" t="s">
        <v>111</v>
      </c>
      <c r="X35" s="40" t="s">
        <v>111</v>
      </c>
      <c r="Y35" s="73">
        <v>30</v>
      </c>
      <c r="Z35" s="73">
        <v>0</v>
      </c>
      <c r="AA35" s="166">
        <v>30</v>
      </c>
      <c r="AB35" s="40" t="s">
        <v>111</v>
      </c>
      <c r="AC35" s="40" t="s">
        <v>111</v>
      </c>
      <c r="AD35" s="40" t="s">
        <v>111</v>
      </c>
      <c r="AE35" s="40"/>
    </row>
    <row r="36" spans="1:31" s="46" customFormat="1" ht="24.95" hidden="1" customHeight="1" x14ac:dyDescent="0.15">
      <c r="A36" s="40">
        <v>34</v>
      </c>
      <c r="B36" s="40" t="s">
        <v>1199</v>
      </c>
      <c r="C36" s="40" t="s">
        <v>111</v>
      </c>
      <c r="D36" s="40" t="s">
        <v>111</v>
      </c>
      <c r="E36" s="40" t="s">
        <v>111</v>
      </c>
      <c r="F36" s="9" t="s">
        <v>1317</v>
      </c>
      <c r="G36" s="20" t="s">
        <v>1462</v>
      </c>
      <c r="H36" s="27" t="s">
        <v>94</v>
      </c>
      <c r="I36" s="27" t="s">
        <v>1463</v>
      </c>
      <c r="J36" s="9" t="s">
        <v>628</v>
      </c>
      <c r="K36" s="40" t="s">
        <v>111</v>
      </c>
      <c r="L36" s="9" t="s">
        <v>1602</v>
      </c>
      <c r="M36" s="40" t="s">
        <v>111</v>
      </c>
      <c r="N36" s="9" t="s">
        <v>102</v>
      </c>
      <c r="O36" s="9" t="s">
        <v>851</v>
      </c>
      <c r="P36" s="40" t="s">
        <v>111</v>
      </c>
      <c r="Q36" s="20" t="s">
        <v>2891</v>
      </c>
      <c r="R36" s="40" t="s">
        <v>1756</v>
      </c>
      <c r="S36" s="20" t="s">
        <v>3032</v>
      </c>
      <c r="T36" s="40" t="s">
        <v>111</v>
      </c>
      <c r="U36" s="10" t="s">
        <v>110</v>
      </c>
      <c r="V36" s="72">
        <v>1</v>
      </c>
      <c r="W36" s="40" t="s">
        <v>111</v>
      </c>
      <c r="X36" s="40" t="s">
        <v>111</v>
      </c>
      <c r="Y36" s="73">
        <v>0</v>
      </c>
      <c r="Z36" s="73">
        <v>8</v>
      </c>
      <c r="AA36" s="166">
        <v>8</v>
      </c>
      <c r="AB36" s="40" t="s">
        <v>111</v>
      </c>
      <c r="AC36" s="40" t="s">
        <v>111</v>
      </c>
      <c r="AD36" s="40" t="s">
        <v>111</v>
      </c>
      <c r="AE36" s="40"/>
    </row>
    <row r="37" spans="1:31" s="46" customFormat="1" ht="24.95" hidden="1" customHeight="1" x14ac:dyDescent="0.15">
      <c r="A37" s="40">
        <v>35</v>
      </c>
      <c r="B37" s="40" t="s">
        <v>1200</v>
      </c>
      <c r="C37" s="40" t="s">
        <v>111</v>
      </c>
      <c r="D37" s="40" t="s">
        <v>111</v>
      </c>
      <c r="E37" s="40" t="s">
        <v>111</v>
      </c>
      <c r="F37" s="9" t="s">
        <v>1318</v>
      </c>
      <c r="G37" s="20" t="s">
        <v>1464</v>
      </c>
      <c r="H37" s="20" t="s">
        <v>1415</v>
      </c>
      <c r="I37" s="20" t="s">
        <v>1465</v>
      </c>
      <c r="J37" s="9" t="s">
        <v>1672</v>
      </c>
      <c r="K37" s="40" t="s">
        <v>111</v>
      </c>
      <c r="L37" s="9" t="s">
        <v>1624</v>
      </c>
      <c r="M37" s="40" t="s">
        <v>111</v>
      </c>
      <c r="N37" s="9" t="s">
        <v>102</v>
      </c>
      <c r="O37" s="9" t="s">
        <v>851</v>
      </c>
      <c r="P37" s="40" t="s">
        <v>111</v>
      </c>
      <c r="Q37" s="20" t="s">
        <v>2891</v>
      </c>
      <c r="R37" s="40" t="s">
        <v>103</v>
      </c>
      <c r="S37" s="20" t="s">
        <v>3033</v>
      </c>
      <c r="T37" s="40" t="s">
        <v>111</v>
      </c>
      <c r="U37" s="10" t="s">
        <v>110</v>
      </c>
      <c r="V37" s="72">
        <v>1</v>
      </c>
      <c r="W37" s="40" t="s">
        <v>111</v>
      </c>
      <c r="X37" s="40" t="s">
        <v>111</v>
      </c>
      <c r="Y37" s="73">
        <v>0</v>
      </c>
      <c r="Z37" s="73">
        <v>17</v>
      </c>
      <c r="AA37" s="166">
        <v>17</v>
      </c>
      <c r="AB37" s="40" t="s">
        <v>111</v>
      </c>
      <c r="AC37" s="40" t="s">
        <v>111</v>
      </c>
      <c r="AD37" s="40" t="s">
        <v>111</v>
      </c>
      <c r="AE37" s="40"/>
    </row>
    <row r="38" spans="1:31" s="46" customFormat="1" ht="24.95" hidden="1" customHeight="1" x14ac:dyDescent="0.15">
      <c r="A38" s="40">
        <v>36</v>
      </c>
      <c r="B38" s="40" t="s">
        <v>1201</v>
      </c>
      <c r="C38" s="40" t="s">
        <v>1319</v>
      </c>
      <c r="D38" s="40" t="s">
        <v>111</v>
      </c>
      <c r="E38" s="40" t="s">
        <v>111</v>
      </c>
      <c r="F38" s="9" t="s">
        <v>1320</v>
      </c>
      <c r="G38" s="20" t="s">
        <v>1466</v>
      </c>
      <c r="H38" s="20" t="s">
        <v>1457</v>
      </c>
      <c r="I38" s="20" t="s">
        <v>1456</v>
      </c>
      <c r="J38" s="9" t="s">
        <v>1625</v>
      </c>
      <c r="K38" s="40" t="s">
        <v>111</v>
      </c>
      <c r="L38" s="9" t="s">
        <v>1625</v>
      </c>
      <c r="M38" s="40" t="s">
        <v>111</v>
      </c>
      <c r="N38" s="9" t="s">
        <v>102</v>
      </c>
      <c r="O38" s="9" t="s">
        <v>1744</v>
      </c>
      <c r="P38" s="40" t="s">
        <v>111</v>
      </c>
      <c r="Q38" s="20" t="s">
        <v>2892</v>
      </c>
      <c r="R38" s="40" t="s">
        <v>1740</v>
      </c>
      <c r="S38" s="20" t="s">
        <v>3034</v>
      </c>
      <c r="T38" s="40" t="s">
        <v>111</v>
      </c>
      <c r="U38" s="10" t="s">
        <v>110</v>
      </c>
      <c r="V38" s="72">
        <v>1</v>
      </c>
      <c r="W38" s="40" t="s">
        <v>111</v>
      </c>
      <c r="X38" s="40" t="s">
        <v>111</v>
      </c>
      <c r="Y38" s="73">
        <v>4.5</v>
      </c>
      <c r="Z38" s="73">
        <v>0</v>
      </c>
      <c r="AA38" s="166">
        <v>4.5</v>
      </c>
      <c r="AB38" s="40" t="s">
        <v>111</v>
      </c>
      <c r="AC38" s="40" t="s">
        <v>111</v>
      </c>
      <c r="AD38" s="40" t="s">
        <v>111</v>
      </c>
      <c r="AE38" s="40" t="s">
        <v>5907</v>
      </c>
    </row>
    <row r="39" spans="1:31" s="46" customFormat="1" ht="24.95" hidden="1" customHeight="1" x14ac:dyDescent="0.15">
      <c r="A39" s="40">
        <v>37</v>
      </c>
      <c r="B39" s="40" t="s">
        <v>1202</v>
      </c>
      <c r="C39" s="40" t="s">
        <v>111</v>
      </c>
      <c r="D39" s="40" t="s">
        <v>111</v>
      </c>
      <c r="E39" s="40" t="s">
        <v>111</v>
      </c>
      <c r="F39" s="9" t="s">
        <v>1203</v>
      </c>
      <c r="G39" s="1" t="s">
        <v>1467</v>
      </c>
      <c r="H39" s="41" t="s">
        <v>23</v>
      </c>
      <c r="I39" s="20" t="s">
        <v>1465</v>
      </c>
      <c r="J39" s="9" t="s">
        <v>1626</v>
      </c>
      <c r="K39" s="40" t="s">
        <v>111</v>
      </c>
      <c r="L39" s="9" t="s">
        <v>1626</v>
      </c>
      <c r="M39" s="40" t="s">
        <v>111</v>
      </c>
      <c r="N39" s="9" t="s">
        <v>102</v>
      </c>
      <c r="O39" s="9" t="s">
        <v>851</v>
      </c>
      <c r="P39" s="40" t="s">
        <v>111</v>
      </c>
      <c r="Q39" s="40" t="s">
        <v>1752</v>
      </c>
      <c r="R39" s="40" t="s">
        <v>1752</v>
      </c>
      <c r="S39" s="20" t="s">
        <v>3035</v>
      </c>
      <c r="T39" s="40" t="s">
        <v>111</v>
      </c>
      <c r="U39" s="10" t="s">
        <v>110</v>
      </c>
      <c r="V39" s="72">
        <v>1</v>
      </c>
      <c r="W39" s="40" t="s">
        <v>111</v>
      </c>
      <c r="X39" s="40" t="s">
        <v>111</v>
      </c>
      <c r="Y39" s="73">
        <v>0</v>
      </c>
      <c r="Z39" s="73">
        <v>12</v>
      </c>
      <c r="AA39" s="166">
        <v>12</v>
      </c>
      <c r="AB39" s="40" t="s">
        <v>111</v>
      </c>
      <c r="AC39" s="40" t="s">
        <v>111</v>
      </c>
      <c r="AD39" s="40" t="s">
        <v>111</v>
      </c>
      <c r="AE39" s="40"/>
    </row>
    <row r="40" spans="1:31" s="46" customFormat="1" ht="24.95" hidden="1" customHeight="1" x14ac:dyDescent="0.15">
      <c r="A40" s="40">
        <v>38</v>
      </c>
      <c r="B40" s="40" t="s">
        <v>1204</v>
      </c>
      <c r="C40" s="40" t="s">
        <v>111</v>
      </c>
      <c r="D40" s="40" t="s">
        <v>111</v>
      </c>
      <c r="E40" s="40" t="s">
        <v>111</v>
      </c>
      <c r="F40" s="9" t="s">
        <v>1205</v>
      </c>
      <c r="G40" s="20" t="s">
        <v>1468</v>
      </c>
      <c r="H40" s="41" t="s">
        <v>23</v>
      </c>
      <c r="I40" s="20" t="s">
        <v>1465</v>
      </c>
      <c r="J40" s="9" t="s">
        <v>1627</v>
      </c>
      <c r="K40" s="40" t="s">
        <v>111</v>
      </c>
      <c r="L40" s="9" t="s">
        <v>1627</v>
      </c>
      <c r="M40" s="40" t="s">
        <v>111</v>
      </c>
      <c r="N40" s="9" t="s">
        <v>102</v>
      </c>
      <c r="O40" s="9" t="s">
        <v>851</v>
      </c>
      <c r="P40" s="40" t="s">
        <v>111</v>
      </c>
      <c r="Q40" s="40" t="s">
        <v>1752</v>
      </c>
      <c r="R40" s="40" t="s">
        <v>1752</v>
      </c>
      <c r="S40" s="20" t="s">
        <v>3035</v>
      </c>
      <c r="T40" s="40" t="s">
        <v>111</v>
      </c>
      <c r="U40" s="10" t="s">
        <v>110</v>
      </c>
      <c r="V40" s="72">
        <v>1</v>
      </c>
      <c r="W40" s="40" t="s">
        <v>111</v>
      </c>
      <c r="X40" s="40" t="s">
        <v>111</v>
      </c>
      <c r="Y40" s="73">
        <v>0</v>
      </c>
      <c r="Z40" s="73">
        <v>12</v>
      </c>
      <c r="AA40" s="166">
        <v>12</v>
      </c>
      <c r="AB40" s="40" t="s">
        <v>111</v>
      </c>
      <c r="AC40" s="40" t="s">
        <v>111</v>
      </c>
      <c r="AD40" s="40" t="s">
        <v>111</v>
      </c>
      <c r="AE40" s="40"/>
    </row>
    <row r="41" spans="1:31" s="46" customFormat="1" ht="24.95" hidden="1" customHeight="1" x14ac:dyDescent="0.15">
      <c r="A41" s="40">
        <v>39</v>
      </c>
      <c r="B41" s="40" t="s">
        <v>1206</v>
      </c>
      <c r="C41" s="40" t="s">
        <v>111</v>
      </c>
      <c r="D41" s="40" t="s">
        <v>111</v>
      </c>
      <c r="E41" s="40" t="s">
        <v>111</v>
      </c>
      <c r="F41" s="9" t="s">
        <v>1207</v>
      </c>
      <c r="G41" s="1" t="s">
        <v>1469</v>
      </c>
      <c r="H41" s="41" t="s">
        <v>23</v>
      </c>
      <c r="I41" s="20" t="s">
        <v>1465</v>
      </c>
      <c r="J41" s="9" t="s">
        <v>1673</v>
      </c>
      <c r="K41" s="40" t="s">
        <v>111</v>
      </c>
      <c r="L41" s="9" t="s">
        <v>1628</v>
      </c>
      <c r="M41" s="40" t="s">
        <v>111</v>
      </c>
      <c r="N41" s="9" t="s">
        <v>102</v>
      </c>
      <c r="O41" s="9" t="s">
        <v>851</v>
      </c>
      <c r="P41" s="40" t="s">
        <v>111</v>
      </c>
      <c r="Q41" s="40" t="s">
        <v>1752</v>
      </c>
      <c r="R41" s="40" t="s">
        <v>1752</v>
      </c>
      <c r="S41" s="20" t="s">
        <v>3035</v>
      </c>
      <c r="T41" s="40" t="s">
        <v>111</v>
      </c>
      <c r="U41" s="10" t="s">
        <v>110</v>
      </c>
      <c r="V41" s="72">
        <v>1</v>
      </c>
      <c r="W41" s="40" t="s">
        <v>111</v>
      </c>
      <c r="X41" s="40" t="s">
        <v>111</v>
      </c>
      <c r="Y41" s="73">
        <v>0</v>
      </c>
      <c r="Z41" s="73">
        <v>12</v>
      </c>
      <c r="AA41" s="166">
        <v>12</v>
      </c>
      <c r="AB41" s="40" t="s">
        <v>111</v>
      </c>
      <c r="AC41" s="40" t="s">
        <v>111</v>
      </c>
      <c r="AD41" s="40" t="s">
        <v>111</v>
      </c>
      <c r="AE41" s="40"/>
    </row>
    <row r="42" spans="1:31" s="46" customFormat="1" ht="24.95" hidden="1" customHeight="1" x14ac:dyDescent="0.15">
      <c r="A42" s="40">
        <v>40</v>
      </c>
      <c r="B42" s="40" t="s">
        <v>3536</v>
      </c>
      <c r="C42" s="40" t="s">
        <v>1321</v>
      </c>
      <c r="D42" s="40" t="s">
        <v>111</v>
      </c>
      <c r="E42" s="40" t="s">
        <v>111</v>
      </c>
      <c r="F42" s="9" t="s">
        <v>1322</v>
      </c>
      <c r="G42" s="20" t="s">
        <v>1470</v>
      </c>
      <c r="H42" s="41" t="s">
        <v>23</v>
      </c>
      <c r="I42" s="20" t="s">
        <v>1438</v>
      </c>
      <c r="J42" s="9" t="s">
        <v>1629</v>
      </c>
      <c r="K42" s="40" t="s">
        <v>111</v>
      </c>
      <c r="L42" s="9" t="s">
        <v>1629</v>
      </c>
      <c r="M42" s="40" t="s">
        <v>111</v>
      </c>
      <c r="N42" s="9" t="s">
        <v>686</v>
      </c>
      <c r="O42" s="9" t="s">
        <v>1757</v>
      </c>
      <c r="P42" s="40" t="s">
        <v>111</v>
      </c>
      <c r="Q42" s="40" t="s">
        <v>1752</v>
      </c>
      <c r="R42" s="40" t="s">
        <v>1752</v>
      </c>
      <c r="S42" s="20" t="s">
        <v>3036</v>
      </c>
      <c r="T42" s="40" t="s">
        <v>111</v>
      </c>
      <c r="U42" s="10" t="s">
        <v>110</v>
      </c>
      <c r="V42" s="72">
        <v>1</v>
      </c>
      <c r="W42" s="40" t="s">
        <v>111</v>
      </c>
      <c r="X42" s="40" t="s">
        <v>111</v>
      </c>
      <c r="Y42" s="73">
        <v>28</v>
      </c>
      <c r="Z42" s="73">
        <v>0</v>
      </c>
      <c r="AA42" s="166">
        <v>28</v>
      </c>
      <c r="AB42" s="40" t="s">
        <v>111</v>
      </c>
      <c r="AC42" s="40" t="s">
        <v>3535</v>
      </c>
      <c r="AD42" s="40" t="s">
        <v>111</v>
      </c>
      <c r="AE42" s="40"/>
    </row>
    <row r="43" spans="1:31" s="46" customFormat="1" ht="24.95" hidden="1" customHeight="1" x14ac:dyDescent="0.15">
      <c r="A43" s="40">
        <v>41</v>
      </c>
      <c r="B43" s="40" t="s">
        <v>1208</v>
      </c>
      <c r="C43" s="40" t="s">
        <v>1323</v>
      </c>
      <c r="D43" s="40" t="s">
        <v>111</v>
      </c>
      <c r="E43" s="40" t="s">
        <v>111</v>
      </c>
      <c r="F43" s="71" t="s">
        <v>1324</v>
      </c>
      <c r="G43" s="20" t="s">
        <v>1471</v>
      </c>
      <c r="H43" s="1" t="s">
        <v>1457</v>
      </c>
      <c r="I43" s="20" t="s">
        <v>1472</v>
      </c>
      <c r="J43" s="9" t="s">
        <v>1674</v>
      </c>
      <c r="K43" s="40" t="s">
        <v>111</v>
      </c>
      <c r="L43" s="9" t="s">
        <v>1630</v>
      </c>
      <c r="M43" s="40" t="s">
        <v>111</v>
      </c>
      <c r="N43" s="9" t="s">
        <v>45</v>
      </c>
      <c r="O43" s="9" t="s">
        <v>1886</v>
      </c>
      <c r="P43" s="40" t="s">
        <v>111</v>
      </c>
      <c r="Q43" s="40" t="s">
        <v>1740</v>
      </c>
      <c r="R43" s="40" t="s">
        <v>1740</v>
      </c>
      <c r="S43" s="20" t="s">
        <v>3037</v>
      </c>
      <c r="T43" s="40" t="s">
        <v>111</v>
      </c>
      <c r="U43" s="10" t="s">
        <v>110</v>
      </c>
      <c r="V43" s="72">
        <v>1</v>
      </c>
      <c r="W43" s="40" t="s">
        <v>111</v>
      </c>
      <c r="X43" s="40" t="s">
        <v>111</v>
      </c>
      <c r="Y43" s="73">
        <v>28</v>
      </c>
      <c r="Z43" s="73">
        <v>0</v>
      </c>
      <c r="AA43" s="166">
        <v>28</v>
      </c>
      <c r="AB43" s="40" t="s">
        <v>111</v>
      </c>
      <c r="AC43" s="40" t="s">
        <v>111</v>
      </c>
      <c r="AD43" s="40" t="s">
        <v>111</v>
      </c>
      <c r="AE43" s="40"/>
    </row>
    <row r="44" spans="1:31" s="46" customFormat="1" ht="24.95" hidden="1" customHeight="1" x14ac:dyDescent="0.15">
      <c r="A44" s="40">
        <v>42</v>
      </c>
      <c r="B44" s="40" t="s">
        <v>1209</v>
      </c>
      <c r="C44" s="40" t="s">
        <v>1299</v>
      </c>
      <c r="D44" s="40" t="s">
        <v>111</v>
      </c>
      <c r="E44" s="40" t="s">
        <v>111</v>
      </c>
      <c r="F44" s="9" t="s">
        <v>1325</v>
      </c>
      <c r="G44" s="20" t="s">
        <v>1473</v>
      </c>
      <c r="H44" s="1" t="s">
        <v>1449</v>
      </c>
      <c r="I44" s="20" t="s">
        <v>1435</v>
      </c>
      <c r="J44" s="9" t="s">
        <v>1675</v>
      </c>
      <c r="K44" s="40" t="s">
        <v>111</v>
      </c>
      <c r="L44" s="9" t="s">
        <v>1631</v>
      </c>
      <c r="M44" s="40" t="s">
        <v>111</v>
      </c>
      <c r="N44" s="9" t="s">
        <v>102</v>
      </c>
      <c r="O44" s="9" t="s">
        <v>1758</v>
      </c>
      <c r="P44" s="40" t="s">
        <v>111</v>
      </c>
      <c r="Q44" s="40" t="s">
        <v>1659</v>
      </c>
      <c r="R44" s="40" t="s">
        <v>1659</v>
      </c>
      <c r="S44" s="20" t="s">
        <v>3038</v>
      </c>
      <c r="T44" s="40" t="s">
        <v>111</v>
      </c>
      <c r="U44" s="10" t="s">
        <v>108</v>
      </c>
      <c r="V44" s="72">
        <v>1</v>
      </c>
      <c r="W44" s="40" t="s">
        <v>111</v>
      </c>
      <c r="X44" s="40" t="s">
        <v>111</v>
      </c>
      <c r="Y44" s="73">
        <v>15</v>
      </c>
      <c r="Z44" s="73">
        <v>0</v>
      </c>
      <c r="AA44" s="166">
        <v>15</v>
      </c>
      <c r="AB44" s="40" t="s">
        <v>111</v>
      </c>
      <c r="AC44" s="40" t="s">
        <v>111</v>
      </c>
      <c r="AD44" s="40" t="s">
        <v>111</v>
      </c>
      <c r="AE44" s="40"/>
    </row>
    <row r="45" spans="1:31" s="46" customFormat="1" ht="24.95" hidden="1" customHeight="1" x14ac:dyDescent="0.15">
      <c r="A45" s="40">
        <v>43</v>
      </c>
      <c r="B45" s="40" t="s">
        <v>1210</v>
      </c>
      <c r="C45" s="40" t="s">
        <v>1299</v>
      </c>
      <c r="D45" s="40" t="s">
        <v>111</v>
      </c>
      <c r="E45" s="40" t="s">
        <v>111</v>
      </c>
      <c r="F45" s="9" t="s">
        <v>1326</v>
      </c>
      <c r="G45" s="20" t="s">
        <v>1474</v>
      </c>
      <c r="H45" s="1" t="s">
        <v>1449</v>
      </c>
      <c r="I45" s="20" t="s">
        <v>1465</v>
      </c>
      <c r="J45" s="9" t="s">
        <v>1728</v>
      </c>
      <c r="K45" s="40" t="s">
        <v>111</v>
      </c>
      <c r="L45" s="9" t="s">
        <v>1729</v>
      </c>
      <c r="M45" s="40" t="s">
        <v>111</v>
      </c>
      <c r="N45" s="9" t="s">
        <v>102</v>
      </c>
      <c r="O45" s="9" t="s">
        <v>1759</v>
      </c>
      <c r="P45" s="40" t="s">
        <v>111</v>
      </c>
      <c r="Q45" s="40" t="s">
        <v>1659</v>
      </c>
      <c r="R45" s="40" t="s">
        <v>1659</v>
      </c>
      <c r="S45" s="20" t="s">
        <v>3037</v>
      </c>
      <c r="T45" s="40" t="s">
        <v>111</v>
      </c>
      <c r="U45" s="10" t="s">
        <v>110</v>
      </c>
      <c r="V45" s="72">
        <v>1</v>
      </c>
      <c r="W45" s="40" t="s">
        <v>111</v>
      </c>
      <c r="X45" s="40" t="s">
        <v>111</v>
      </c>
      <c r="Y45" s="73">
        <v>136</v>
      </c>
      <c r="Z45" s="73">
        <v>0</v>
      </c>
      <c r="AA45" s="166">
        <v>136</v>
      </c>
      <c r="AB45" s="40" t="s">
        <v>111</v>
      </c>
      <c r="AC45" s="40" t="s">
        <v>111</v>
      </c>
      <c r="AD45" s="40" t="s">
        <v>111</v>
      </c>
      <c r="AE45" s="40"/>
    </row>
    <row r="46" spans="1:31" s="46" customFormat="1" ht="24.95" hidden="1" customHeight="1" x14ac:dyDescent="0.15">
      <c r="A46" s="40">
        <v>44</v>
      </c>
      <c r="B46" s="40" t="s">
        <v>1210</v>
      </c>
      <c r="C46" s="40" t="s">
        <v>1299</v>
      </c>
      <c r="D46" s="40" t="s">
        <v>111</v>
      </c>
      <c r="E46" s="40" t="s">
        <v>111</v>
      </c>
      <c r="F46" s="9" t="s">
        <v>1326</v>
      </c>
      <c r="G46" s="20" t="s">
        <v>1474</v>
      </c>
      <c r="H46" s="1" t="s">
        <v>1449</v>
      </c>
      <c r="I46" s="20" t="s">
        <v>1465</v>
      </c>
      <c r="J46" s="9" t="s">
        <v>1728</v>
      </c>
      <c r="K46" s="40" t="s">
        <v>111</v>
      </c>
      <c r="L46" s="9" t="s">
        <v>1730</v>
      </c>
      <c r="M46" s="40" t="s">
        <v>111</v>
      </c>
      <c r="N46" s="9" t="s">
        <v>102</v>
      </c>
      <c r="O46" s="9" t="s">
        <v>1760</v>
      </c>
      <c r="P46" s="40" t="s">
        <v>111</v>
      </c>
      <c r="Q46" s="40" t="s">
        <v>1659</v>
      </c>
      <c r="R46" s="40" t="s">
        <v>1659</v>
      </c>
      <c r="S46" s="20" t="s">
        <v>3037</v>
      </c>
      <c r="T46" s="40" t="s">
        <v>111</v>
      </c>
      <c r="U46" s="10" t="s">
        <v>110</v>
      </c>
      <c r="V46" s="72">
        <v>1</v>
      </c>
      <c r="W46" s="40" t="s">
        <v>111</v>
      </c>
      <c r="X46" s="40" t="s">
        <v>111</v>
      </c>
      <c r="Y46" s="73">
        <v>136</v>
      </c>
      <c r="Z46" s="73">
        <v>0</v>
      </c>
      <c r="AA46" s="166">
        <v>136</v>
      </c>
      <c r="AB46" s="40" t="s">
        <v>111</v>
      </c>
      <c r="AC46" s="40" t="s">
        <v>111</v>
      </c>
      <c r="AD46" s="40" t="s">
        <v>111</v>
      </c>
      <c r="AE46" s="40"/>
    </row>
    <row r="47" spans="1:31" s="46" customFormat="1" ht="24.95" hidden="1" customHeight="1" x14ac:dyDescent="0.15">
      <c r="A47" s="40">
        <v>45</v>
      </c>
      <c r="B47" s="40" t="s">
        <v>1211</v>
      </c>
      <c r="C47" s="40" t="s">
        <v>1327</v>
      </c>
      <c r="D47" s="40" t="s">
        <v>111</v>
      </c>
      <c r="E47" s="40" t="s">
        <v>111</v>
      </c>
      <c r="F47" s="71" t="s">
        <v>3145</v>
      </c>
      <c r="G47" s="20" t="s">
        <v>1475</v>
      </c>
      <c r="H47" s="1" t="s">
        <v>1457</v>
      </c>
      <c r="I47" s="20" t="s">
        <v>1472</v>
      </c>
      <c r="J47" s="9" t="s">
        <v>1674</v>
      </c>
      <c r="K47" s="40" t="s">
        <v>111</v>
      </c>
      <c r="L47" s="9" t="s">
        <v>1630</v>
      </c>
      <c r="M47" s="40" t="s">
        <v>111</v>
      </c>
      <c r="N47" s="9" t="s">
        <v>1745</v>
      </c>
      <c r="O47" s="9" t="s">
        <v>1761</v>
      </c>
      <c r="P47" s="40" t="s">
        <v>111</v>
      </c>
      <c r="Q47" s="40" t="s">
        <v>1740</v>
      </c>
      <c r="R47" s="40" t="s">
        <v>1740</v>
      </c>
      <c r="S47" s="20" t="s">
        <v>3037</v>
      </c>
      <c r="T47" s="40" t="s">
        <v>111</v>
      </c>
      <c r="U47" s="10" t="s">
        <v>110</v>
      </c>
      <c r="V47" s="72">
        <v>1</v>
      </c>
      <c r="W47" s="40" t="s">
        <v>111</v>
      </c>
      <c r="X47" s="40" t="s">
        <v>111</v>
      </c>
      <c r="Y47" s="73">
        <v>24</v>
      </c>
      <c r="Z47" s="73">
        <v>0</v>
      </c>
      <c r="AA47" s="166">
        <v>24</v>
      </c>
      <c r="AB47" s="40" t="s">
        <v>111</v>
      </c>
      <c r="AC47" s="40" t="s">
        <v>111</v>
      </c>
      <c r="AD47" s="40" t="s">
        <v>111</v>
      </c>
      <c r="AE47" s="40"/>
    </row>
    <row r="48" spans="1:31" s="46" customFormat="1" ht="24.95" hidden="1" customHeight="1" x14ac:dyDescent="0.15">
      <c r="A48" s="40">
        <v>46</v>
      </c>
      <c r="B48" s="40" t="s">
        <v>1212</v>
      </c>
      <c r="C48" s="40" t="s">
        <v>1328</v>
      </c>
      <c r="D48" s="40" t="s">
        <v>111</v>
      </c>
      <c r="E48" s="40" t="s">
        <v>111</v>
      </c>
      <c r="F48" s="9" t="s">
        <v>1329</v>
      </c>
      <c r="G48" s="20" t="s">
        <v>1476</v>
      </c>
      <c r="H48" s="20" t="s">
        <v>1415</v>
      </c>
      <c r="I48" s="20" t="s">
        <v>1438</v>
      </c>
      <c r="J48" s="9" t="s">
        <v>1632</v>
      </c>
      <c r="K48" s="40" t="s">
        <v>111</v>
      </c>
      <c r="L48" s="9" t="s">
        <v>1632</v>
      </c>
      <c r="M48" s="40" t="s">
        <v>111</v>
      </c>
      <c r="N48" s="9" t="s">
        <v>686</v>
      </c>
      <c r="O48" s="9" t="s">
        <v>1762</v>
      </c>
      <c r="P48" s="40" t="s">
        <v>111</v>
      </c>
      <c r="Q48" s="20" t="s">
        <v>2891</v>
      </c>
      <c r="R48" s="40" t="s">
        <v>103</v>
      </c>
      <c r="S48" s="20" t="s">
        <v>3039</v>
      </c>
      <c r="T48" s="40" t="s">
        <v>111</v>
      </c>
      <c r="U48" s="10" t="s">
        <v>110</v>
      </c>
      <c r="V48" s="72">
        <v>1</v>
      </c>
      <c r="W48" s="40" t="s">
        <v>111</v>
      </c>
      <c r="X48" s="40" t="s">
        <v>111</v>
      </c>
      <c r="Y48" s="73">
        <v>5.9</v>
      </c>
      <c r="Z48" s="73">
        <v>0</v>
      </c>
      <c r="AA48" s="166">
        <v>5.9</v>
      </c>
      <c r="AB48" s="40" t="s">
        <v>111</v>
      </c>
      <c r="AC48" s="40" t="s">
        <v>111</v>
      </c>
      <c r="AD48" s="40" t="s">
        <v>111</v>
      </c>
      <c r="AE48" s="40"/>
    </row>
    <row r="49" spans="1:31" s="46" customFormat="1" ht="24.95" hidden="1" customHeight="1" x14ac:dyDescent="0.15">
      <c r="A49" s="40">
        <v>47</v>
      </c>
      <c r="B49" s="40" t="s">
        <v>1213</v>
      </c>
      <c r="C49" s="40" t="s">
        <v>1330</v>
      </c>
      <c r="D49" s="40" t="s">
        <v>111</v>
      </c>
      <c r="E49" s="40" t="s">
        <v>111</v>
      </c>
      <c r="F49" s="9" t="s">
        <v>1331</v>
      </c>
      <c r="G49" s="20" t="s">
        <v>1477</v>
      </c>
      <c r="H49" s="20" t="s">
        <v>1415</v>
      </c>
      <c r="I49" s="20" t="s">
        <v>1438</v>
      </c>
      <c r="J49" s="9" t="s">
        <v>1676</v>
      </c>
      <c r="K49" s="40" t="s">
        <v>111</v>
      </c>
      <c r="L49" s="9" t="s">
        <v>1633</v>
      </c>
      <c r="M49" s="40" t="s">
        <v>111</v>
      </c>
      <c r="N49" s="9" t="s">
        <v>686</v>
      </c>
      <c r="O49" s="9" t="s">
        <v>1762</v>
      </c>
      <c r="P49" s="40" t="s">
        <v>111</v>
      </c>
      <c r="Q49" s="20" t="s">
        <v>2891</v>
      </c>
      <c r="R49" s="40" t="s">
        <v>103</v>
      </c>
      <c r="S49" s="20" t="s">
        <v>3039</v>
      </c>
      <c r="T49" s="40" t="s">
        <v>111</v>
      </c>
      <c r="U49" s="10" t="s">
        <v>110</v>
      </c>
      <c r="V49" s="72">
        <v>1</v>
      </c>
      <c r="W49" s="40" t="s">
        <v>111</v>
      </c>
      <c r="X49" s="40" t="s">
        <v>111</v>
      </c>
      <c r="Y49" s="73">
        <v>5.9</v>
      </c>
      <c r="Z49" s="73">
        <v>0</v>
      </c>
      <c r="AA49" s="166">
        <v>5.9</v>
      </c>
      <c r="AB49" s="40" t="s">
        <v>111</v>
      </c>
      <c r="AC49" s="40" t="s">
        <v>111</v>
      </c>
      <c r="AD49" s="40" t="s">
        <v>111</v>
      </c>
      <c r="AE49" s="40"/>
    </row>
    <row r="50" spans="1:31" s="46" customFormat="1" ht="24.95" hidden="1" customHeight="1" x14ac:dyDescent="0.15">
      <c r="A50" s="40">
        <v>48</v>
      </c>
      <c r="B50" s="40" t="s">
        <v>1214</v>
      </c>
      <c r="C50" s="40" t="s">
        <v>111</v>
      </c>
      <c r="D50" s="40" t="s">
        <v>111</v>
      </c>
      <c r="E50" s="40" t="s">
        <v>111</v>
      </c>
      <c r="F50" s="9" t="s">
        <v>1332</v>
      </c>
      <c r="G50" s="20" t="s">
        <v>1478</v>
      </c>
      <c r="H50" s="20" t="s">
        <v>23</v>
      </c>
      <c r="I50" s="20" t="s">
        <v>1429</v>
      </c>
      <c r="J50" s="9" t="s">
        <v>1677</v>
      </c>
      <c r="K50" s="40" t="s">
        <v>111</v>
      </c>
      <c r="L50" s="9" t="s">
        <v>1634</v>
      </c>
      <c r="M50" s="40" t="s">
        <v>111</v>
      </c>
      <c r="N50" s="9" t="s">
        <v>45</v>
      </c>
      <c r="O50" s="9" t="s">
        <v>1743</v>
      </c>
      <c r="P50" s="40" t="s">
        <v>111</v>
      </c>
      <c r="Q50" s="40" t="s">
        <v>1752</v>
      </c>
      <c r="R50" s="40" t="s">
        <v>1752</v>
      </c>
      <c r="S50" s="20" t="s">
        <v>3040</v>
      </c>
      <c r="T50" s="40" t="s">
        <v>111</v>
      </c>
      <c r="U50" s="10" t="s">
        <v>110</v>
      </c>
      <c r="V50" s="72">
        <v>1</v>
      </c>
      <c r="W50" s="40" t="s">
        <v>111</v>
      </c>
      <c r="X50" s="40" t="s">
        <v>111</v>
      </c>
      <c r="Y50" s="73">
        <v>15</v>
      </c>
      <c r="Z50" s="73">
        <v>0</v>
      </c>
      <c r="AA50" s="166">
        <v>15</v>
      </c>
      <c r="AB50" s="40" t="s">
        <v>111</v>
      </c>
      <c r="AC50" s="40" t="s">
        <v>111</v>
      </c>
      <c r="AD50" s="40" t="s">
        <v>111</v>
      </c>
      <c r="AE50" s="40"/>
    </row>
    <row r="51" spans="1:31" s="46" customFormat="1" ht="24.95" hidden="1" customHeight="1" x14ac:dyDescent="0.15">
      <c r="A51" s="40">
        <v>49</v>
      </c>
      <c r="B51" s="40" t="s">
        <v>1215</v>
      </c>
      <c r="C51" s="40" t="s">
        <v>1333</v>
      </c>
      <c r="D51" s="40" t="s">
        <v>111</v>
      </c>
      <c r="E51" s="40" t="s">
        <v>111</v>
      </c>
      <c r="F51" s="9" t="s">
        <v>1334</v>
      </c>
      <c r="G51" s="20" t="s">
        <v>1479</v>
      </c>
      <c r="H51" s="20" t="s">
        <v>23</v>
      </c>
      <c r="I51" s="20" t="s">
        <v>1480</v>
      </c>
      <c r="J51" s="9" t="s">
        <v>1635</v>
      </c>
      <c r="K51" s="40" t="s">
        <v>111</v>
      </c>
      <c r="L51" s="9" t="s">
        <v>1635</v>
      </c>
      <c r="M51" s="40" t="s">
        <v>111</v>
      </c>
      <c r="N51" s="9" t="s">
        <v>45</v>
      </c>
      <c r="O51" s="9" t="s">
        <v>1889</v>
      </c>
      <c r="P51" s="40" t="s">
        <v>111</v>
      </c>
      <c r="Q51" s="20" t="s">
        <v>2891</v>
      </c>
      <c r="R51" s="40" t="s">
        <v>1756</v>
      </c>
      <c r="S51" s="20" t="s">
        <v>3041</v>
      </c>
      <c r="T51" s="40" t="s">
        <v>111</v>
      </c>
      <c r="U51" s="10" t="s">
        <v>110</v>
      </c>
      <c r="V51" s="72">
        <v>1</v>
      </c>
      <c r="W51" s="40" t="s">
        <v>111</v>
      </c>
      <c r="X51" s="40" t="s">
        <v>111</v>
      </c>
      <c r="Y51" s="73">
        <v>23</v>
      </c>
      <c r="Z51" s="73">
        <v>0</v>
      </c>
      <c r="AA51" s="166">
        <v>23</v>
      </c>
      <c r="AB51" s="40" t="s">
        <v>111</v>
      </c>
      <c r="AC51" s="40" t="s">
        <v>111</v>
      </c>
      <c r="AD51" s="40" t="s">
        <v>111</v>
      </c>
      <c r="AE51" s="40"/>
    </row>
    <row r="52" spans="1:31" s="46" customFormat="1" ht="24.95" hidden="1" customHeight="1" x14ac:dyDescent="0.15">
      <c r="A52" s="40">
        <v>50</v>
      </c>
      <c r="B52" s="40" t="s">
        <v>1216</v>
      </c>
      <c r="C52" s="40" t="s">
        <v>1335</v>
      </c>
      <c r="D52" s="40" t="s">
        <v>111</v>
      </c>
      <c r="E52" s="40" t="s">
        <v>111</v>
      </c>
      <c r="F52" s="9" t="s">
        <v>1336</v>
      </c>
      <c r="G52" s="20" t="s">
        <v>1481</v>
      </c>
      <c r="H52" s="20" t="s">
        <v>23</v>
      </c>
      <c r="I52" s="20" t="s">
        <v>1465</v>
      </c>
      <c r="J52" s="9" t="s">
        <v>1636</v>
      </c>
      <c r="K52" s="40" t="s">
        <v>111</v>
      </c>
      <c r="L52" s="9" t="s">
        <v>1636</v>
      </c>
      <c r="M52" s="40" t="s">
        <v>111</v>
      </c>
      <c r="N52" s="9" t="s">
        <v>686</v>
      </c>
      <c r="O52" s="9" t="s">
        <v>1763</v>
      </c>
      <c r="P52" s="40" t="s">
        <v>111</v>
      </c>
      <c r="Q52" s="40" t="s">
        <v>1752</v>
      </c>
      <c r="R52" s="40" t="s">
        <v>1752</v>
      </c>
      <c r="S52" s="20" t="s">
        <v>3042</v>
      </c>
      <c r="T52" s="40" t="s">
        <v>111</v>
      </c>
      <c r="U52" s="10" t="s">
        <v>110</v>
      </c>
      <c r="V52" s="72">
        <v>1</v>
      </c>
      <c r="W52" s="40" t="s">
        <v>111</v>
      </c>
      <c r="X52" s="40" t="s">
        <v>111</v>
      </c>
      <c r="Y52" s="73">
        <v>8</v>
      </c>
      <c r="Z52" s="73">
        <v>0</v>
      </c>
      <c r="AA52" s="166">
        <v>8</v>
      </c>
      <c r="AB52" s="40" t="s">
        <v>111</v>
      </c>
      <c r="AC52" s="40" t="s">
        <v>111</v>
      </c>
      <c r="AD52" s="40" t="s">
        <v>111</v>
      </c>
      <c r="AE52" s="40"/>
    </row>
    <row r="53" spans="1:31" s="46" customFormat="1" ht="24.95" hidden="1" customHeight="1" x14ac:dyDescent="0.15">
      <c r="A53" s="40">
        <v>51</v>
      </c>
      <c r="B53" s="40" t="s">
        <v>1217</v>
      </c>
      <c r="C53" s="40" t="s">
        <v>1337</v>
      </c>
      <c r="D53" s="40" t="s">
        <v>111</v>
      </c>
      <c r="E53" s="40" t="s">
        <v>111</v>
      </c>
      <c r="F53" s="9" t="s">
        <v>1338</v>
      </c>
      <c r="G53" s="20" t="s">
        <v>1481</v>
      </c>
      <c r="H53" s="20" t="s">
        <v>23</v>
      </c>
      <c r="I53" s="20" t="s">
        <v>1465</v>
      </c>
      <c r="J53" s="9" t="s">
        <v>718</v>
      </c>
      <c r="K53" s="40" t="s">
        <v>111</v>
      </c>
      <c r="L53" s="9" t="s">
        <v>1637</v>
      </c>
      <c r="M53" s="40" t="s">
        <v>111</v>
      </c>
      <c r="N53" s="9" t="s">
        <v>686</v>
      </c>
      <c r="O53" s="9" t="s">
        <v>1763</v>
      </c>
      <c r="P53" s="40" t="s">
        <v>111</v>
      </c>
      <c r="Q53" s="40" t="s">
        <v>1752</v>
      </c>
      <c r="R53" s="40" t="s">
        <v>1752</v>
      </c>
      <c r="S53" s="20" t="s">
        <v>3042</v>
      </c>
      <c r="T53" s="40" t="s">
        <v>111</v>
      </c>
      <c r="U53" s="10" t="s">
        <v>110</v>
      </c>
      <c r="V53" s="72">
        <v>1</v>
      </c>
      <c r="W53" s="40" t="s">
        <v>111</v>
      </c>
      <c r="X53" s="40" t="s">
        <v>111</v>
      </c>
      <c r="Y53" s="73">
        <v>8</v>
      </c>
      <c r="Z53" s="73">
        <v>0</v>
      </c>
      <c r="AA53" s="166">
        <v>8</v>
      </c>
      <c r="AB53" s="40" t="s">
        <v>111</v>
      </c>
      <c r="AC53" s="40" t="s">
        <v>111</v>
      </c>
      <c r="AD53" s="40" t="s">
        <v>111</v>
      </c>
      <c r="AE53" s="40"/>
    </row>
    <row r="54" spans="1:31" s="46" customFormat="1" ht="24.95" hidden="1" customHeight="1" x14ac:dyDescent="0.15">
      <c r="A54" s="40">
        <v>52</v>
      </c>
      <c r="B54" s="40" t="s">
        <v>1218</v>
      </c>
      <c r="C54" s="40" t="s">
        <v>1299</v>
      </c>
      <c r="D54" s="40" t="s">
        <v>111</v>
      </c>
      <c r="E54" s="40" t="s">
        <v>111</v>
      </c>
      <c r="F54" s="9" t="s">
        <v>1339</v>
      </c>
      <c r="G54" s="20" t="s">
        <v>1481</v>
      </c>
      <c r="H54" s="20" t="s">
        <v>23</v>
      </c>
      <c r="I54" s="20" t="s">
        <v>1465</v>
      </c>
      <c r="J54" s="9" t="s">
        <v>719</v>
      </c>
      <c r="K54" s="40" t="s">
        <v>111</v>
      </c>
      <c r="L54" s="9" t="s">
        <v>1638</v>
      </c>
      <c r="M54" s="40" t="s">
        <v>111</v>
      </c>
      <c r="N54" s="9" t="s">
        <v>686</v>
      </c>
      <c r="O54" s="9" t="s">
        <v>1763</v>
      </c>
      <c r="P54" s="40" t="s">
        <v>111</v>
      </c>
      <c r="Q54" s="40" t="s">
        <v>1752</v>
      </c>
      <c r="R54" s="40" t="s">
        <v>1752</v>
      </c>
      <c r="S54" s="20" t="s">
        <v>3042</v>
      </c>
      <c r="T54" s="40" t="s">
        <v>111</v>
      </c>
      <c r="U54" s="10" t="s">
        <v>110</v>
      </c>
      <c r="V54" s="72">
        <v>1</v>
      </c>
      <c r="W54" s="40" t="s">
        <v>111</v>
      </c>
      <c r="X54" s="40" t="s">
        <v>111</v>
      </c>
      <c r="Y54" s="73">
        <v>8</v>
      </c>
      <c r="Z54" s="73">
        <v>0</v>
      </c>
      <c r="AA54" s="166">
        <v>8</v>
      </c>
      <c r="AB54" s="40" t="s">
        <v>111</v>
      </c>
      <c r="AC54" s="40" t="s">
        <v>111</v>
      </c>
      <c r="AD54" s="40" t="s">
        <v>111</v>
      </c>
      <c r="AE54" s="40"/>
    </row>
    <row r="55" spans="1:31" s="46" customFormat="1" ht="24.95" hidden="1" customHeight="1" x14ac:dyDescent="0.15">
      <c r="A55" s="40">
        <v>53</v>
      </c>
      <c r="B55" s="40" t="s">
        <v>1219</v>
      </c>
      <c r="C55" s="40" t="s">
        <v>1340</v>
      </c>
      <c r="D55" s="40" t="s">
        <v>111</v>
      </c>
      <c r="E55" s="40" t="s">
        <v>111</v>
      </c>
      <c r="F55" s="9" t="s">
        <v>1341</v>
      </c>
      <c r="G55" s="20" t="s">
        <v>1482</v>
      </c>
      <c r="H55" s="20" t="s">
        <v>1415</v>
      </c>
      <c r="I55" s="20" t="s">
        <v>1429</v>
      </c>
      <c r="J55" s="9" t="s">
        <v>1678</v>
      </c>
      <c r="K55" s="40" t="s">
        <v>111</v>
      </c>
      <c r="L55" s="9" t="s">
        <v>1639</v>
      </c>
      <c r="M55" s="40" t="s">
        <v>111</v>
      </c>
      <c r="N55" s="9" t="s">
        <v>686</v>
      </c>
      <c r="O55" s="9" t="s">
        <v>1762</v>
      </c>
      <c r="P55" s="40" t="s">
        <v>111</v>
      </c>
      <c r="Q55" s="20" t="s">
        <v>2891</v>
      </c>
      <c r="R55" s="40" t="s">
        <v>103</v>
      </c>
      <c r="S55" s="20" t="s">
        <v>3043</v>
      </c>
      <c r="T55" s="40" t="s">
        <v>111</v>
      </c>
      <c r="U55" s="10" t="s">
        <v>110</v>
      </c>
      <c r="V55" s="72">
        <v>1</v>
      </c>
      <c r="W55" s="40" t="s">
        <v>111</v>
      </c>
      <c r="X55" s="40" t="s">
        <v>111</v>
      </c>
      <c r="Y55" s="73">
        <v>12.6</v>
      </c>
      <c r="Z55" s="73">
        <v>0</v>
      </c>
      <c r="AA55" s="166">
        <v>12.6</v>
      </c>
      <c r="AB55" s="40" t="s">
        <v>111</v>
      </c>
      <c r="AC55" s="40" t="s">
        <v>111</v>
      </c>
      <c r="AD55" s="40" t="s">
        <v>111</v>
      </c>
      <c r="AE55" s="40"/>
    </row>
    <row r="56" spans="1:31" s="46" customFormat="1" ht="24.95" hidden="1" customHeight="1" x14ac:dyDescent="0.15">
      <c r="A56" s="40">
        <v>54</v>
      </c>
      <c r="B56" s="40" t="s">
        <v>1220</v>
      </c>
      <c r="C56" s="40" t="s">
        <v>1342</v>
      </c>
      <c r="D56" s="40" t="s">
        <v>111</v>
      </c>
      <c r="E56" s="40" t="s">
        <v>111</v>
      </c>
      <c r="F56" s="9" t="s">
        <v>33</v>
      </c>
      <c r="G56" s="20" t="s">
        <v>1483</v>
      </c>
      <c r="H56" s="20" t="s">
        <v>1415</v>
      </c>
      <c r="I56" s="20" t="s">
        <v>1429</v>
      </c>
      <c r="J56" s="9" t="s">
        <v>1654</v>
      </c>
      <c r="K56" s="40" t="s">
        <v>111</v>
      </c>
      <c r="L56" s="9" t="s">
        <v>1522</v>
      </c>
      <c r="M56" s="40" t="s">
        <v>111</v>
      </c>
      <c r="N56" s="9" t="s">
        <v>686</v>
      </c>
      <c r="O56" s="9" t="s">
        <v>1762</v>
      </c>
      <c r="P56" s="40" t="s">
        <v>111</v>
      </c>
      <c r="Q56" s="20" t="s">
        <v>2891</v>
      </c>
      <c r="R56" s="40" t="s">
        <v>103</v>
      </c>
      <c r="S56" s="20" t="s">
        <v>3043</v>
      </c>
      <c r="T56" s="40" t="s">
        <v>111</v>
      </c>
      <c r="U56" s="10" t="s">
        <v>110</v>
      </c>
      <c r="V56" s="72">
        <v>2</v>
      </c>
      <c r="W56" s="40" t="s">
        <v>111</v>
      </c>
      <c r="X56" s="40" t="s">
        <v>111</v>
      </c>
      <c r="Y56" s="73">
        <v>6.3</v>
      </c>
      <c r="Z56" s="73">
        <v>0</v>
      </c>
      <c r="AA56" s="166">
        <v>6.3</v>
      </c>
      <c r="AB56" s="40" t="s">
        <v>111</v>
      </c>
      <c r="AC56" s="40" t="s">
        <v>111</v>
      </c>
      <c r="AD56" s="40" t="s">
        <v>111</v>
      </c>
      <c r="AE56" s="40"/>
    </row>
    <row r="57" spans="1:31" s="46" customFormat="1" ht="24.95" hidden="1" customHeight="1" x14ac:dyDescent="0.15">
      <c r="A57" s="40">
        <v>55</v>
      </c>
      <c r="B57" s="40" t="s">
        <v>1221</v>
      </c>
      <c r="C57" s="40" t="s">
        <v>1343</v>
      </c>
      <c r="D57" s="40" t="s">
        <v>111</v>
      </c>
      <c r="E57" s="40" t="s">
        <v>111</v>
      </c>
      <c r="F57" s="9" t="s">
        <v>1344</v>
      </c>
      <c r="G57" s="20" t="s">
        <v>1484</v>
      </c>
      <c r="H57" s="20" t="s">
        <v>1415</v>
      </c>
      <c r="I57" s="20" t="s">
        <v>1429</v>
      </c>
      <c r="J57" s="9" t="s">
        <v>1679</v>
      </c>
      <c r="K57" s="40" t="s">
        <v>111</v>
      </c>
      <c r="L57" s="9" t="s">
        <v>1640</v>
      </c>
      <c r="M57" s="40" t="s">
        <v>111</v>
      </c>
      <c r="N57" s="9" t="s">
        <v>686</v>
      </c>
      <c r="O57" s="9" t="s">
        <v>1764</v>
      </c>
      <c r="P57" s="40" t="s">
        <v>111</v>
      </c>
      <c r="Q57" s="20" t="s">
        <v>2891</v>
      </c>
      <c r="R57" s="40" t="s">
        <v>103</v>
      </c>
      <c r="S57" s="20" t="s">
        <v>3044</v>
      </c>
      <c r="T57" s="40" t="s">
        <v>111</v>
      </c>
      <c r="U57" s="10" t="s">
        <v>110</v>
      </c>
      <c r="V57" s="72">
        <v>1</v>
      </c>
      <c r="W57" s="40" t="s">
        <v>111</v>
      </c>
      <c r="X57" s="40" t="s">
        <v>111</v>
      </c>
      <c r="Y57" s="73">
        <v>12.6</v>
      </c>
      <c r="Z57" s="73">
        <v>0</v>
      </c>
      <c r="AA57" s="166">
        <v>12.6</v>
      </c>
      <c r="AB57" s="40" t="s">
        <v>111</v>
      </c>
      <c r="AC57" s="40" t="s">
        <v>111</v>
      </c>
      <c r="AD57" s="40" t="s">
        <v>111</v>
      </c>
      <c r="AE57" s="40"/>
    </row>
    <row r="58" spans="1:31" s="46" customFormat="1" ht="24.95" hidden="1" customHeight="1" x14ac:dyDescent="0.15">
      <c r="A58" s="40">
        <v>56</v>
      </c>
      <c r="B58" s="40" t="s">
        <v>1222</v>
      </c>
      <c r="C58" s="40" t="s">
        <v>1345</v>
      </c>
      <c r="D58" s="40" t="s">
        <v>111</v>
      </c>
      <c r="E58" s="40" t="s">
        <v>111</v>
      </c>
      <c r="F58" s="9" t="s">
        <v>1346</v>
      </c>
      <c r="G58" s="20" t="s">
        <v>1485</v>
      </c>
      <c r="H58" s="20" t="s">
        <v>1487</v>
      </c>
      <c r="I58" s="20" t="s">
        <v>1486</v>
      </c>
      <c r="J58" s="9" t="s">
        <v>1680</v>
      </c>
      <c r="K58" s="40" t="s">
        <v>111</v>
      </c>
      <c r="L58" s="9" t="s">
        <v>1641</v>
      </c>
      <c r="M58" s="40" t="s">
        <v>111</v>
      </c>
      <c r="N58" s="9" t="s">
        <v>102</v>
      </c>
      <c r="O58" s="9" t="s">
        <v>1759</v>
      </c>
      <c r="P58" s="40" t="s">
        <v>111</v>
      </c>
      <c r="Q58" s="20" t="s">
        <v>2890</v>
      </c>
      <c r="R58" s="40" t="s">
        <v>103</v>
      </c>
      <c r="S58" s="20" t="s">
        <v>3045</v>
      </c>
      <c r="T58" s="40" t="s">
        <v>111</v>
      </c>
      <c r="U58" s="72" t="s">
        <v>110</v>
      </c>
      <c r="V58" s="72">
        <v>1</v>
      </c>
      <c r="W58" s="40" t="s">
        <v>111</v>
      </c>
      <c r="X58" s="40" t="s">
        <v>111</v>
      </c>
      <c r="Y58" s="73">
        <v>36.5</v>
      </c>
      <c r="Z58" s="73">
        <v>0</v>
      </c>
      <c r="AA58" s="166">
        <v>36.5</v>
      </c>
      <c r="AB58" s="40" t="s">
        <v>111</v>
      </c>
      <c r="AC58" s="40" t="s">
        <v>111</v>
      </c>
      <c r="AD58" s="40" t="s">
        <v>111</v>
      </c>
      <c r="AE58" s="40"/>
    </row>
    <row r="59" spans="1:31" s="169" customFormat="1" ht="27" hidden="1" customHeight="1" x14ac:dyDescent="0.15">
      <c r="A59" s="72">
        <v>57</v>
      </c>
      <c r="B59" s="72" t="s">
        <v>1736</v>
      </c>
      <c r="C59" s="72" t="s">
        <v>2209</v>
      </c>
      <c r="D59" s="72" t="s">
        <v>2209</v>
      </c>
      <c r="E59" s="72" t="s">
        <v>2209</v>
      </c>
      <c r="F59" s="72" t="s">
        <v>2209</v>
      </c>
      <c r="G59" s="200" t="s">
        <v>2362</v>
      </c>
      <c r="H59" s="72" t="s">
        <v>1737</v>
      </c>
      <c r="I59" s="72" t="s">
        <v>3101</v>
      </c>
      <c r="J59" s="10" t="s">
        <v>1738</v>
      </c>
      <c r="K59" s="72" t="s">
        <v>111</v>
      </c>
      <c r="L59" s="72" t="s">
        <v>2209</v>
      </c>
      <c r="M59" s="72" t="s">
        <v>111</v>
      </c>
      <c r="N59" s="10" t="s">
        <v>45</v>
      </c>
      <c r="O59" s="10" t="s">
        <v>1739</v>
      </c>
      <c r="P59" s="72" t="s">
        <v>111</v>
      </c>
      <c r="Q59" s="72" t="s">
        <v>1740</v>
      </c>
      <c r="R59" s="72" t="s">
        <v>1740</v>
      </c>
      <c r="S59" s="72" t="s">
        <v>111</v>
      </c>
      <c r="T59" s="72" t="s">
        <v>3102</v>
      </c>
      <c r="U59" s="72" t="s">
        <v>3417</v>
      </c>
      <c r="V59" s="72">
        <v>0</v>
      </c>
      <c r="W59" s="72" t="s">
        <v>3102</v>
      </c>
      <c r="X59" s="72" t="s">
        <v>3102</v>
      </c>
      <c r="Y59" s="168">
        <v>0.3</v>
      </c>
      <c r="Z59" s="168">
        <v>0</v>
      </c>
      <c r="AA59" s="30">
        <v>0.3</v>
      </c>
      <c r="AB59" s="72" t="s">
        <v>3102</v>
      </c>
      <c r="AC59" s="72" t="s">
        <v>3102</v>
      </c>
      <c r="AD59" s="72" t="s">
        <v>3102</v>
      </c>
      <c r="AE59" s="72"/>
    </row>
    <row r="60" spans="1:31" s="46" customFormat="1" ht="24.95" hidden="1" customHeight="1" x14ac:dyDescent="0.15">
      <c r="A60" s="40">
        <v>58</v>
      </c>
      <c r="B60" s="40" t="s">
        <v>1347</v>
      </c>
      <c r="C60" s="40" t="s">
        <v>111</v>
      </c>
      <c r="D60" s="40" t="s">
        <v>111</v>
      </c>
      <c r="E60" s="40" t="s">
        <v>111</v>
      </c>
      <c r="F60" s="9" t="s">
        <v>1348</v>
      </c>
      <c r="G60" s="20" t="s">
        <v>1488</v>
      </c>
      <c r="H60" s="41" t="s">
        <v>1489</v>
      </c>
      <c r="I60" s="20" t="s">
        <v>1432</v>
      </c>
      <c r="J60" s="9" t="s">
        <v>1642</v>
      </c>
      <c r="K60" s="40" t="s">
        <v>111</v>
      </c>
      <c r="L60" s="9" t="s">
        <v>1642</v>
      </c>
      <c r="M60" s="40" t="s">
        <v>111</v>
      </c>
      <c r="N60" s="9" t="s">
        <v>102</v>
      </c>
      <c r="O60" s="9" t="s">
        <v>1765</v>
      </c>
      <c r="P60" s="40" t="s">
        <v>111</v>
      </c>
      <c r="Q60" s="20" t="s">
        <v>3081</v>
      </c>
      <c r="R60" s="40" t="s">
        <v>1766</v>
      </c>
      <c r="S60" s="20" t="s">
        <v>3046</v>
      </c>
      <c r="T60" s="40" t="s">
        <v>111</v>
      </c>
      <c r="U60" s="10" t="s">
        <v>110</v>
      </c>
      <c r="V60" s="72">
        <v>1</v>
      </c>
      <c r="W60" s="40" t="s">
        <v>111</v>
      </c>
      <c r="X60" s="40" t="s">
        <v>111</v>
      </c>
      <c r="Y60" s="73">
        <v>0</v>
      </c>
      <c r="Z60" s="73">
        <v>9.8000000000000007</v>
      </c>
      <c r="AA60" s="166">
        <v>9.8000000000000007</v>
      </c>
      <c r="AB60" s="40" t="s">
        <v>111</v>
      </c>
      <c r="AC60" s="40" t="s">
        <v>111</v>
      </c>
      <c r="AD60" s="40" t="s">
        <v>111</v>
      </c>
      <c r="AE60" s="40"/>
    </row>
    <row r="61" spans="1:31" s="46" customFormat="1" ht="24.95" hidden="1" customHeight="1" x14ac:dyDescent="0.15">
      <c r="A61" s="40">
        <v>59</v>
      </c>
      <c r="B61" s="40" t="s">
        <v>1223</v>
      </c>
      <c r="C61" s="40" t="s">
        <v>111</v>
      </c>
      <c r="D61" s="40" t="s">
        <v>111</v>
      </c>
      <c r="E61" s="40" t="s">
        <v>111</v>
      </c>
      <c r="F61" s="9" t="s">
        <v>986</v>
      </c>
      <c r="G61" s="20" t="s">
        <v>1490</v>
      </c>
      <c r="H61" s="20" t="s">
        <v>1449</v>
      </c>
      <c r="I61" s="20" t="s">
        <v>1465</v>
      </c>
      <c r="J61" s="9" t="s">
        <v>1681</v>
      </c>
      <c r="K61" s="40" t="s">
        <v>111</v>
      </c>
      <c r="L61" s="9" t="s">
        <v>1643</v>
      </c>
      <c r="M61" s="40" t="s">
        <v>111</v>
      </c>
      <c r="N61" s="9" t="s">
        <v>45</v>
      </c>
      <c r="O61" s="9" t="s">
        <v>1741</v>
      </c>
      <c r="P61" s="40" t="s">
        <v>111</v>
      </c>
      <c r="Q61" s="40" t="s">
        <v>1659</v>
      </c>
      <c r="R61" s="40" t="s">
        <v>1659</v>
      </c>
      <c r="S61" s="20" t="s">
        <v>3047</v>
      </c>
      <c r="T61" s="40" t="s">
        <v>111</v>
      </c>
      <c r="U61" s="10" t="s">
        <v>110</v>
      </c>
      <c r="V61" s="72">
        <v>3</v>
      </c>
      <c r="W61" s="40" t="s">
        <v>111</v>
      </c>
      <c r="X61" s="40" t="s">
        <v>111</v>
      </c>
      <c r="Y61" s="73">
        <v>0</v>
      </c>
      <c r="Z61" s="73">
        <v>16</v>
      </c>
      <c r="AA61" s="30">
        <v>16</v>
      </c>
      <c r="AB61" s="40" t="s">
        <v>111</v>
      </c>
      <c r="AC61" s="40" t="s">
        <v>111</v>
      </c>
      <c r="AD61" s="40" t="s">
        <v>111</v>
      </c>
      <c r="AE61" s="40"/>
    </row>
    <row r="62" spans="1:31" s="46" customFormat="1" ht="24.95" hidden="1" customHeight="1" x14ac:dyDescent="0.15">
      <c r="A62" s="40">
        <v>60</v>
      </c>
      <c r="B62" s="40" t="s">
        <v>1224</v>
      </c>
      <c r="C62" s="40" t="s">
        <v>111</v>
      </c>
      <c r="D62" s="40" t="s">
        <v>111</v>
      </c>
      <c r="E62" s="40" t="s">
        <v>111</v>
      </c>
      <c r="F62" s="9" t="s">
        <v>987</v>
      </c>
      <c r="G62" s="20" t="s">
        <v>1491</v>
      </c>
      <c r="H62" s="20" t="s">
        <v>1449</v>
      </c>
      <c r="I62" s="20" t="s">
        <v>1465</v>
      </c>
      <c r="J62" s="9" t="s">
        <v>1682</v>
      </c>
      <c r="K62" s="40" t="s">
        <v>111</v>
      </c>
      <c r="L62" s="9" t="s">
        <v>1644</v>
      </c>
      <c r="M62" s="40" t="s">
        <v>111</v>
      </c>
      <c r="N62" s="9" t="s">
        <v>45</v>
      </c>
      <c r="O62" s="9" t="s">
        <v>1885</v>
      </c>
      <c r="P62" s="40" t="s">
        <v>111</v>
      </c>
      <c r="Q62" s="40" t="s">
        <v>1659</v>
      </c>
      <c r="R62" s="40" t="s">
        <v>1659</v>
      </c>
      <c r="S62" s="20" t="s">
        <v>3047</v>
      </c>
      <c r="T62" s="40" t="s">
        <v>111</v>
      </c>
      <c r="U62" s="10" t="s">
        <v>110</v>
      </c>
      <c r="V62" s="72">
        <v>3</v>
      </c>
      <c r="W62" s="40" t="s">
        <v>111</v>
      </c>
      <c r="X62" s="40" t="s">
        <v>111</v>
      </c>
      <c r="Y62" s="73">
        <v>0</v>
      </c>
      <c r="Z62" s="73">
        <v>16</v>
      </c>
      <c r="AA62" s="30">
        <v>16</v>
      </c>
      <c r="AB62" s="40" t="s">
        <v>111</v>
      </c>
      <c r="AC62" s="40" t="s">
        <v>111</v>
      </c>
      <c r="AD62" s="40" t="s">
        <v>111</v>
      </c>
      <c r="AE62" s="40"/>
    </row>
    <row r="63" spans="1:31" s="46" customFormat="1" ht="24.95" hidden="1" customHeight="1" x14ac:dyDescent="0.15">
      <c r="A63" s="40">
        <v>61</v>
      </c>
      <c r="B63" s="40" t="s">
        <v>1225</v>
      </c>
      <c r="C63" s="40" t="s">
        <v>111</v>
      </c>
      <c r="D63" s="40" t="s">
        <v>111</v>
      </c>
      <c r="E63" s="40" t="s">
        <v>111</v>
      </c>
      <c r="F63" s="9" t="s">
        <v>988</v>
      </c>
      <c r="G63" s="20" t="s">
        <v>1492</v>
      </c>
      <c r="H63" s="20" t="s">
        <v>1449</v>
      </c>
      <c r="I63" s="20" t="s">
        <v>1465</v>
      </c>
      <c r="J63" s="9" t="s">
        <v>1683</v>
      </c>
      <c r="K63" s="40" t="s">
        <v>111</v>
      </c>
      <c r="L63" s="9" t="s">
        <v>1645</v>
      </c>
      <c r="M63" s="40" t="s">
        <v>111</v>
      </c>
      <c r="N63" s="9" t="s">
        <v>102</v>
      </c>
      <c r="O63" s="9" t="s">
        <v>1741</v>
      </c>
      <c r="P63" s="40" t="s">
        <v>111</v>
      </c>
      <c r="Q63" s="40" t="s">
        <v>1659</v>
      </c>
      <c r="R63" s="40" t="s">
        <v>1659</v>
      </c>
      <c r="S63" s="20" t="s">
        <v>3048</v>
      </c>
      <c r="T63" s="40" t="s">
        <v>111</v>
      </c>
      <c r="U63" s="10" t="s">
        <v>110</v>
      </c>
      <c r="V63" s="72">
        <v>1</v>
      </c>
      <c r="W63" s="40" t="s">
        <v>111</v>
      </c>
      <c r="X63" s="40" t="s">
        <v>111</v>
      </c>
      <c r="Y63" s="73">
        <v>0</v>
      </c>
      <c r="Z63" s="73">
        <v>16</v>
      </c>
      <c r="AA63" s="30">
        <v>16</v>
      </c>
      <c r="AB63" s="40" t="s">
        <v>111</v>
      </c>
      <c r="AC63" s="40" t="s">
        <v>111</v>
      </c>
      <c r="AD63" s="40" t="s">
        <v>111</v>
      </c>
      <c r="AE63" s="40"/>
    </row>
    <row r="64" spans="1:31" s="46" customFormat="1" ht="24.95" hidden="1" customHeight="1" x14ac:dyDescent="0.15">
      <c r="A64" s="40">
        <v>62</v>
      </c>
      <c r="B64" s="40" t="s">
        <v>1226</v>
      </c>
      <c r="C64" s="9" t="s">
        <v>2107</v>
      </c>
      <c r="D64" s="40" t="s">
        <v>111</v>
      </c>
      <c r="E64" s="40" t="s">
        <v>111</v>
      </c>
      <c r="F64" s="9" t="s">
        <v>988</v>
      </c>
      <c r="G64" s="20" t="s">
        <v>1493</v>
      </c>
      <c r="H64" s="20" t="s">
        <v>1449</v>
      </c>
      <c r="I64" s="20" t="s">
        <v>1465</v>
      </c>
      <c r="J64" s="9" t="s">
        <v>1683</v>
      </c>
      <c r="K64" s="40" t="s">
        <v>111</v>
      </c>
      <c r="L64" s="9" t="s">
        <v>1645</v>
      </c>
      <c r="M64" s="40" t="s">
        <v>111</v>
      </c>
      <c r="N64" s="9" t="s">
        <v>102</v>
      </c>
      <c r="O64" s="9" t="s">
        <v>1767</v>
      </c>
      <c r="P64" s="40" t="s">
        <v>111</v>
      </c>
      <c r="Q64" s="40" t="s">
        <v>1659</v>
      </c>
      <c r="R64" s="40" t="s">
        <v>1659</v>
      </c>
      <c r="S64" s="20" t="s">
        <v>3048</v>
      </c>
      <c r="T64" s="40" t="s">
        <v>111</v>
      </c>
      <c r="U64" s="10" t="s">
        <v>110</v>
      </c>
      <c r="V64" s="72">
        <v>1</v>
      </c>
      <c r="W64" s="40" t="s">
        <v>111</v>
      </c>
      <c r="X64" s="40" t="s">
        <v>111</v>
      </c>
      <c r="Y64" s="73">
        <v>37.5</v>
      </c>
      <c r="Z64" s="73">
        <v>0</v>
      </c>
      <c r="AA64" s="30">
        <v>37.5</v>
      </c>
      <c r="AB64" s="40" t="s">
        <v>111</v>
      </c>
      <c r="AC64" s="40" t="s">
        <v>111</v>
      </c>
      <c r="AD64" s="40" t="s">
        <v>111</v>
      </c>
      <c r="AE64" s="40"/>
    </row>
    <row r="65" spans="1:31" s="46" customFormat="1" ht="24.95" hidden="1" customHeight="1" x14ac:dyDescent="0.15">
      <c r="A65" s="40">
        <v>63</v>
      </c>
      <c r="B65" s="40" t="s">
        <v>1227</v>
      </c>
      <c r="C65" s="40" t="s">
        <v>1349</v>
      </c>
      <c r="D65" s="40" t="s">
        <v>111</v>
      </c>
      <c r="E65" s="40" t="s">
        <v>111</v>
      </c>
      <c r="F65" s="9" t="s">
        <v>989</v>
      </c>
      <c r="G65" s="20" t="s">
        <v>1494</v>
      </c>
      <c r="H65" s="20" t="s">
        <v>1449</v>
      </c>
      <c r="I65" s="20" t="s">
        <v>1465</v>
      </c>
      <c r="J65" s="9" t="s">
        <v>1646</v>
      </c>
      <c r="K65" s="40" t="s">
        <v>111</v>
      </c>
      <c r="L65" s="9" t="s">
        <v>1646</v>
      </c>
      <c r="M65" s="40" t="s">
        <v>111</v>
      </c>
      <c r="N65" s="9" t="s">
        <v>102</v>
      </c>
      <c r="O65" s="9" t="s">
        <v>1759</v>
      </c>
      <c r="P65" s="40" t="s">
        <v>111</v>
      </c>
      <c r="Q65" s="40" t="s">
        <v>1659</v>
      </c>
      <c r="R65" s="40" t="s">
        <v>1659</v>
      </c>
      <c r="S65" s="20" t="s">
        <v>3048</v>
      </c>
      <c r="T65" s="40" t="s">
        <v>111</v>
      </c>
      <c r="U65" s="10" t="s">
        <v>110</v>
      </c>
      <c r="V65" s="72">
        <v>1</v>
      </c>
      <c r="W65" s="40" t="s">
        <v>111</v>
      </c>
      <c r="X65" s="40" t="s">
        <v>111</v>
      </c>
      <c r="Y65" s="73">
        <v>8.5</v>
      </c>
      <c r="Z65" s="73">
        <v>0</v>
      </c>
      <c r="AA65" s="30">
        <v>8.5</v>
      </c>
      <c r="AB65" s="40" t="s">
        <v>111</v>
      </c>
      <c r="AC65" s="40" t="s">
        <v>111</v>
      </c>
      <c r="AD65" s="40" t="s">
        <v>111</v>
      </c>
      <c r="AE65" s="40"/>
    </row>
    <row r="66" spans="1:31" s="46" customFormat="1" ht="24.95" hidden="1" customHeight="1" x14ac:dyDescent="0.15">
      <c r="A66" s="40">
        <v>64</v>
      </c>
      <c r="B66" s="40" t="s">
        <v>1228</v>
      </c>
      <c r="C66" s="40" t="s">
        <v>111</v>
      </c>
      <c r="D66" s="40" t="s">
        <v>111</v>
      </c>
      <c r="E66" s="40" t="s">
        <v>111</v>
      </c>
      <c r="F66" s="9" t="s">
        <v>990</v>
      </c>
      <c r="G66" s="20" t="s">
        <v>1495</v>
      </c>
      <c r="H66" s="20" t="s">
        <v>1449</v>
      </c>
      <c r="I66" s="20" t="s">
        <v>1465</v>
      </c>
      <c r="J66" s="9" t="s">
        <v>1684</v>
      </c>
      <c r="K66" s="40" t="s">
        <v>111</v>
      </c>
      <c r="L66" s="9" t="s">
        <v>1647</v>
      </c>
      <c r="M66" s="40" t="s">
        <v>111</v>
      </c>
      <c r="N66" s="9" t="s">
        <v>102</v>
      </c>
      <c r="O66" s="9" t="s">
        <v>851</v>
      </c>
      <c r="P66" s="40" t="s">
        <v>111</v>
      </c>
      <c r="Q66" s="40" t="s">
        <v>1659</v>
      </c>
      <c r="R66" s="40" t="s">
        <v>1659</v>
      </c>
      <c r="S66" s="20" t="s">
        <v>3048</v>
      </c>
      <c r="T66" s="40" t="s">
        <v>111</v>
      </c>
      <c r="U66" s="10" t="s">
        <v>110</v>
      </c>
      <c r="V66" s="72">
        <v>1</v>
      </c>
      <c r="W66" s="40" t="s">
        <v>111</v>
      </c>
      <c r="X66" s="40" t="s">
        <v>111</v>
      </c>
      <c r="Y66" s="73">
        <v>0</v>
      </c>
      <c r="Z66" s="73">
        <v>8</v>
      </c>
      <c r="AA66" s="30">
        <v>8</v>
      </c>
      <c r="AB66" s="40" t="s">
        <v>111</v>
      </c>
      <c r="AC66" s="40" t="s">
        <v>111</v>
      </c>
      <c r="AD66" s="40" t="s">
        <v>111</v>
      </c>
      <c r="AE66" s="40"/>
    </row>
    <row r="67" spans="1:31" s="46" customFormat="1" ht="24.95" hidden="1" customHeight="1" x14ac:dyDescent="0.15">
      <c r="A67" s="40">
        <v>65</v>
      </c>
      <c r="B67" s="40" t="s">
        <v>1229</v>
      </c>
      <c r="C67" s="40" t="s">
        <v>111</v>
      </c>
      <c r="D67" s="40" t="s">
        <v>111</v>
      </c>
      <c r="E67" s="40" t="s">
        <v>111</v>
      </c>
      <c r="F67" s="9" t="s">
        <v>991</v>
      </c>
      <c r="G67" s="20" t="s">
        <v>1496</v>
      </c>
      <c r="H67" s="20" t="s">
        <v>1449</v>
      </c>
      <c r="I67" s="20" t="s">
        <v>1465</v>
      </c>
      <c r="J67" s="9" t="s">
        <v>1685</v>
      </c>
      <c r="K67" s="40" t="s">
        <v>111</v>
      </c>
      <c r="L67" s="9" t="s">
        <v>1648</v>
      </c>
      <c r="M67" s="40" t="s">
        <v>111</v>
      </c>
      <c r="N67" s="9" t="s">
        <v>102</v>
      </c>
      <c r="O67" s="9" t="s">
        <v>851</v>
      </c>
      <c r="P67" s="40" t="s">
        <v>111</v>
      </c>
      <c r="Q67" s="40" t="s">
        <v>1659</v>
      </c>
      <c r="R67" s="40" t="s">
        <v>1659</v>
      </c>
      <c r="S67" s="20" t="s">
        <v>3048</v>
      </c>
      <c r="T67" s="40" t="s">
        <v>111</v>
      </c>
      <c r="U67" s="10" t="s">
        <v>110</v>
      </c>
      <c r="V67" s="72">
        <v>1</v>
      </c>
      <c r="W67" s="40" t="s">
        <v>111</v>
      </c>
      <c r="X67" s="40" t="s">
        <v>111</v>
      </c>
      <c r="Y67" s="73">
        <v>0</v>
      </c>
      <c r="Z67" s="73">
        <v>8</v>
      </c>
      <c r="AA67" s="30">
        <v>8</v>
      </c>
      <c r="AB67" s="40" t="s">
        <v>111</v>
      </c>
      <c r="AC67" s="40" t="s">
        <v>111</v>
      </c>
      <c r="AD67" s="40" t="s">
        <v>111</v>
      </c>
      <c r="AE67" s="40"/>
    </row>
    <row r="68" spans="1:31" s="46" customFormat="1" ht="24.95" hidden="1" customHeight="1" x14ac:dyDescent="0.15">
      <c r="A68" s="40">
        <v>66</v>
      </c>
      <c r="B68" s="40" t="s">
        <v>1230</v>
      </c>
      <c r="C68" s="40" t="s">
        <v>111</v>
      </c>
      <c r="D68" s="40" t="s">
        <v>111</v>
      </c>
      <c r="E68" s="40" t="s">
        <v>111</v>
      </c>
      <c r="F68" s="9" t="s">
        <v>992</v>
      </c>
      <c r="G68" s="20" t="s">
        <v>1497</v>
      </c>
      <c r="H68" s="20" t="s">
        <v>1449</v>
      </c>
      <c r="I68" s="20" t="s">
        <v>1465</v>
      </c>
      <c r="J68" s="9" t="s">
        <v>1686</v>
      </c>
      <c r="K68" s="40" t="s">
        <v>111</v>
      </c>
      <c r="L68" s="9" t="s">
        <v>1649</v>
      </c>
      <c r="M68" s="40" t="s">
        <v>111</v>
      </c>
      <c r="N68" s="9" t="s">
        <v>102</v>
      </c>
      <c r="O68" s="9" t="s">
        <v>1741</v>
      </c>
      <c r="P68" s="40" t="s">
        <v>111</v>
      </c>
      <c r="Q68" s="40" t="s">
        <v>1659</v>
      </c>
      <c r="R68" s="40" t="s">
        <v>1659</v>
      </c>
      <c r="S68" s="20" t="s">
        <v>3048</v>
      </c>
      <c r="T68" s="40" t="s">
        <v>111</v>
      </c>
      <c r="U68" s="10" t="s">
        <v>110</v>
      </c>
      <c r="V68" s="72">
        <v>1</v>
      </c>
      <c r="W68" s="40" t="s">
        <v>111</v>
      </c>
      <c r="X68" s="40" t="s">
        <v>111</v>
      </c>
      <c r="Y68" s="73">
        <v>0</v>
      </c>
      <c r="Z68" s="73">
        <v>16</v>
      </c>
      <c r="AA68" s="30">
        <v>16</v>
      </c>
      <c r="AB68" s="40" t="s">
        <v>111</v>
      </c>
      <c r="AC68" s="40" t="s">
        <v>111</v>
      </c>
      <c r="AD68" s="40" t="s">
        <v>111</v>
      </c>
      <c r="AE68" s="40"/>
    </row>
    <row r="69" spans="1:31" s="46" customFormat="1" ht="24.95" hidden="1" customHeight="1" x14ac:dyDescent="0.15">
      <c r="A69" s="40">
        <v>67</v>
      </c>
      <c r="B69" s="40" t="s">
        <v>1231</v>
      </c>
      <c r="C69" s="9" t="s">
        <v>2106</v>
      </c>
      <c r="D69" s="40" t="s">
        <v>111</v>
      </c>
      <c r="E69" s="40" t="s">
        <v>111</v>
      </c>
      <c r="F69" s="9" t="s">
        <v>992</v>
      </c>
      <c r="G69" s="21" t="s">
        <v>1497</v>
      </c>
      <c r="H69" s="20" t="s">
        <v>1449</v>
      </c>
      <c r="I69" s="20" t="s">
        <v>1465</v>
      </c>
      <c r="J69" s="9" t="s">
        <v>1686</v>
      </c>
      <c r="K69" s="40" t="s">
        <v>111</v>
      </c>
      <c r="L69" s="9" t="s">
        <v>1649</v>
      </c>
      <c r="M69" s="40" t="s">
        <v>111</v>
      </c>
      <c r="N69" s="9" t="s">
        <v>102</v>
      </c>
      <c r="O69" s="9" t="s">
        <v>1768</v>
      </c>
      <c r="P69" s="40" t="s">
        <v>111</v>
      </c>
      <c r="Q69" s="40" t="s">
        <v>1659</v>
      </c>
      <c r="R69" s="40" t="s">
        <v>1659</v>
      </c>
      <c r="S69" s="20" t="s">
        <v>3048</v>
      </c>
      <c r="T69" s="40" t="s">
        <v>111</v>
      </c>
      <c r="U69" s="10" t="s">
        <v>110</v>
      </c>
      <c r="V69" s="72">
        <v>1</v>
      </c>
      <c r="W69" s="40" t="s">
        <v>111</v>
      </c>
      <c r="X69" s="40" t="s">
        <v>111</v>
      </c>
      <c r="Y69" s="73">
        <v>27.5</v>
      </c>
      <c r="Z69" s="73">
        <v>0</v>
      </c>
      <c r="AA69" s="30">
        <v>27.5</v>
      </c>
      <c r="AB69" s="40" t="s">
        <v>111</v>
      </c>
      <c r="AC69" s="40" t="s">
        <v>111</v>
      </c>
      <c r="AD69" s="40" t="s">
        <v>111</v>
      </c>
      <c r="AE69" s="40"/>
    </row>
    <row r="70" spans="1:31" s="46" customFormat="1" ht="24.95" hidden="1" customHeight="1" x14ac:dyDescent="0.15">
      <c r="A70" s="40">
        <v>68</v>
      </c>
      <c r="B70" s="40" t="s">
        <v>1232</v>
      </c>
      <c r="C70" s="40" t="s">
        <v>1350</v>
      </c>
      <c r="D70" s="40" t="s">
        <v>111</v>
      </c>
      <c r="E70" s="40" t="s">
        <v>111</v>
      </c>
      <c r="F70" s="9" t="s">
        <v>1351</v>
      </c>
      <c r="G70" s="20" t="s">
        <v>1481</v>
      </c>
      <c r="H70" s="20" t="s">
        <v>23</v>
      </c>
      <c r="I70" s="20" t="s">
        <v>1465</v>
      </c>
      <c r="J70" s="9" t="s">
        <v>1650</v>
      </c>
      <c r="K70" s="40" t="s">
        <v>111</v>
      </c>
      <c r="L70" s="9" t="s">
        <v>1650</v>
      </c>
      <c r="M70" s="40" t="s">
        <v>111</v>
      </c>
      <c r="N70" s="9" t="s">
        <v>686</v>
      </c>
      <c r="O70" s="9" t="s">
        <v>1763</v>
      </c>
      <c r="P70" s="40" t="s">
        <v>111</v>
      </c>
      <c r="Q70" s="40" t="s">
        <v>1752</v>
      </c>
      <c r="R70" s="40" t="s">
        <v>1752</v>
      </c>
      <c r="S70" s="72" t="s">
        <v>3049</v>
      </c>
      <c r="T70" s="40" t="s">
        <v>111</v>
      </c>
      <c r="U70" s="10" t="s">
        <v>110</v>
      </c>
      <c r="V70" s="72">
        <v>3</v>
      </c>
      <c r="W70" s="40" t="s">
        <v>111</v>
      </c>
      <c r="X70" s="40" t="s">
        <v>111</v>
      </c>
      <c r="Y70" s="73">
        <v>8</v>
      </c>
      <c r="Z70" s="73">
        <v>0</v>
      </c>
      <c r="AA70" s="166">
        <v>8</v>
      </c>
      <c r="AB70" s="40" t="s">
        <v>111</v>
      </c>
      <c r="AC70" s="40" t="s">
        <v>111</v>
      </c>
      <c r="AD70" s="40" t="s">
        <v>111</v>
      </c>
      <c r="AE70" s="40"/>
    </row>
    <row r="71" spans="1:31" s="46" customFormat="1" ht="24.95" hidden="1" customHeight="1" x14ac:dyDescent="0.15">
      <c r="A71" s="40">
        <v>69</v>
      </c>
      <c r="B71" s="40" t="s">
        <v>1233</v>
      </c>
      <c r="C71" s="40" t="s">
        <v>1352</v>
      </c>
      <c r="D71" s="40" t="s">
        <v>111</v>
      </c>
      <c r="E71" s="40" t="s">
        <v>111</v>
      </c>
      <c r="F71" s="9" t="s">
        <v>1353</v>
      </c>
      <c r="G71" s="20" t="s">
        <v>1498</v>
      </c>
      <c r="H71" s="41" t="s">
        <v>1449</v>
      </c>
      <c r="I71" s="20" t="s">
        <v>1499</v>
      </c>
      <c r="J71" s="9" t="s">
        <v>1687</v>
      </c>
      <c r="K71" s="40" t="s">
        <v>111</v>
      </c>
      <c r="L71" s="9" t="s">
        <v>1651</v>
      </c>
      <c r="M71" s="40" t="s">
        <v>111</v>
      </c>
      <c r="N71" s="9" t="s">
        <v>102</v>
      </c>
      <c r="O71" s="9" t="s">
        <v>1759</v>
      </c>
      <c r="P71" s="40" t="s">
        <v>111</v>
      </c>
      <c r="Q71" s="40" t="s">
        <v>1659</v>
      </c>
      <c r="R71" s="40" t="s">
        <v>1659</v>
      </c>
      <c r="S71" s="72" t="s">
        <v>3050</v>
      </c>
      <c r="T71" s="40" t="s">
        <v>111</v>
      </c>
      <c r="U71" s="72" t="s">
        <v>110</v>
      </c>
      <c r="V71" s="72">
        <v>1</v>
      </c>
      <c r="W71" s="40" t="s">
        <v>111</v>
      </c>
      <c r="X71" s="40" t="s">
        <v>111</v>
      </c>
      <c r="Y71" s="73">
        <v>11.98</v>
      </c>
      <c r="Z71" s="73">
        <v>0</v>
      </c>
      <c r="AA71" s="166">
        <v>11.98</v>
      </c>
      <c r="AB71" s="40" t="s">
        <v>111</v>
      </c>
      <c r="AC71" s="40" t="s">
        <v>111</v>
      </c>
      <c r="AD71" s="40" t="s">
        <v>111</v>
      </c>
      <c r="AE71" s="40"/>
    </row>
    <row r="72" spans="1:31" s="143" customFormat="1" ht="24.95" hidden="1" customHeight="1" x14ac:dyDescent="0.15">
      <c r="A72" s="72">
        <v>70</v>
      </c>
      <c r="B72" s="72" t="s">
        <v>3106</v>
      </c>
      <c r="C72" s="72" t="s">
        <v>111</v>
      </c>
      <c r="D72" s="72" t="s">
        <v>111</v>
      </c>
      <c r="E72" s="72" t="s">
        <v>111</v>
      </c>
      <c r="F72" s="72" t="s">
        <v>111</v>
      </c>
      <c r="G72" s="129" t="s">
        <v>3481</v>
      </c>
      <c r="H72" s="21" t="s">
        <v>994</v>
      </c>
      <c r="I72" s="21" t="s">
        <v>1540</v>
      </c>
      <c r="J72" s="21" t="s">
        <v>852</v>
      </c>
      <c r="K72" s="72" t="s">
        <v>111</v>
      </c>
      <c r="L72" s="72" t="s">
        <v>111</v>
      </c>
      <c r="M72" s="72" t="s">
        <v>111</v>
      </c>
      <c r="N72" s="21" t="s">
        <v>102</v>
      </c>
      <c r="O72" s="20" t="s">
        <v>851</v>
      </c>
      <c r="P72" s="72" t="s">
        <v>111</v>
      </c>
      <c r="Q72" s="119" t="s">
        <v>3107</v>
      </c>
      <c r="R72" s="72" t="s">
        <v>111</v>
      </c>
      <c r="S72" s="72" t="s">
        <v>111</v>
      </c>
      <c r="T72" s="72" t="s">
        <v>3088</v>
      </c>
      <c r="U72" s="72" t="s">
        <v>3417</v>
      </c>
      <c r="V72" s="72">
        <v>0</v>
      </c>
      <c r="W72" s="72" t="s">
        <v>3088</v>
      </c>
      <c r="X72" s="72" t="s">
        <v>3088</v>
      </c>
      <c r="Y72" s="170">
        <v>0</v>
      </c>
      <c r="Z72" s="170">
        <v>12</v>
      </c>
      <c r="AA72" s="30">
        <v>12</v>
      </c>
      <c r="AB72" s="72" t="s">
        <v>3088</v>
      </c>
      <c r="AC72" s="72" t="s">
        <v>3088</v>
      </c>
      <c r="AD72" s="72" t="s">
        <v>3088</v>
      </c>
      <c r="AE72" s="72"/>
    </row>
    <row r="73" spans="1:31" s="46" customFormat="1" ht="24.95" hidden="1" customHeight="1" x14ac:dyDescent="0.15">
      <c r="A73" s="40">
        <v>71</v>
      </c>
      <c r="B73" s="40" t="s">
        <v>1234</v>
      </c>
      <c r="C73" s="40" t="s">
        <v>111</v>
      </c>
      <c r="D73" s="40" t="s">
        <v>111</v>
      </c>
      <c r="E73" s="40" t="s">
        <v>111</v>
      </c>
      <c r="F73" s="9" t="s">
        <v>1302</v>
      </c>
      <c r="G73" s="20" t="s">
        <v>1500</v>
      </c>
      <c r="H73" s="41" t="s">
        <v>1433</v>
      </c>
      <c r="I73" s="20" t="s">
        <v>1432</v>
      </c>
      <c r="J73" s="9" t="s">
        <v>1666</v>
      </c>
      <c r="K73" s="40" t="s">
        <v>111</v>
      </c>
      <c r="L73" s="9" t="s">
        <v>1603</v>
      </c>
      <c r="M73" s="40" t="s">
        <v>111</v>
      </c>
      <c r="N73" s="9" t="s">
        <v>102</v>
      </c>
      <c r="O73" s="9" t="s">
        <v>1769</v>
      </c>
      <c r="P73" s="40" t="s">
        <v>111</v>
      </c>
      <c r="Q73" s="20" t="s">
        <v>2889</v>
      </c>
      <c r="R73" s="40" t="s">
        <v>1753</v>
      </c>
      <c r="S73" s="72" t="s">
        <v>3051</v>
      </c>
      <c r="T73" s="40" t="s">
        <v>111</v>
      </c>
      <c r="U73" s="10" t="s">
        <v>110</v>
      </c>
      <c r="V73" s="72">
        <v>1</v>
      </c>
      <c r="W73" s="40" t="s">
        <v>111</v>
      </c>
      <c r="X73" s="40" t="s">
        <v>111</v>
      </c>
      <c r="Y73" s="73">
        <v>38.76</v>
      </c>
      <c r="Z73" s="73">
        <v>0</v>
      </c>
      <c r="AA73" s="166">
        <v>38.76</v>
      </c>
      <c r="AB73" s="40" t="s">
        <v>111</v>
      </c>
      <c r="AC73" s="40" t="s">
        <v>111</v>
      </c>
      <c r="AD73" s="40" t="s">
        <v>111</v>
      </c>
      <c r="AE73" s="40"/>
    </row>
    <row r="74" spans="1:31" s="46" customFormat="1" ht="24.95" hidden="1" customHeight="1" x14ac:dyDescent="0.15">
      <c r="A74" s="40">
        <v>72</v>
      </c>
      <c r="B74" s="40" t="s">
        <v>1235</v>
      </c>
      <c r="C74" s="40" t="s">
        <v>111</v>
      </c>
      <c r="D74" s="40" t="s">
        <v>111</v>
      </c>
      <c r="E74" s="40" t="s">
        <v>111</v>
      </c>
      <c r="F74" s="9" t="s">
        <v>1302</v>
      </c>
      <c r="G74" s="20" t="s">
        <v>1501</v>
      </c>
      <c r="H74" s="41" t="s">
        <v>1433</v>
      </c>
      <c r="I74" s="20" t="s">
        <v>1432</v>
      </c>
      <c r="J74" s="9" t="s">
        <v>1604</v>
      </c>
      <c r="K74" s="40" t="s">
        <v>111</v>
      </c>
      <c r="L74" s="9" t="s">
        <v>1604</v>
      </c>
      <c r="M74" s="40" t="s">
        <v>111</v>
      </c>
      <c r="N74" s="9" t="s">
        <v>102</v>
      </c>
      <c r="O74" s="9" t="s">
        <v>1770</v>
      </c>
      <c r="P74" s="40" t="s">
        <v>111</v>
      </c>
      <c r="Q74" s="20" t="s">
        <v>2889</v>
      </c>
      <c r="R74" s="40" t="s">
        <v>1753</v>
      </c>
      <c r="S74" s="72" t="s">
        <v>3051</v>
      </c>
      <c r="T74" s="40" t="s">
        <v>111</v>
      </c>
      <c r="U74" s="72" t="s">
        <v>110</v>
      </c>
      <c r="V74" s="72">
        <v>1</v>
      </c>
      <c r="W74" s="40" t="s">
        <v>111</v>
      </c>
      <c r="X74" s="40" t="s">
        <v>111</v>
      </c>
      <c r="Y74" s="73">
        <v>60.7</v>
      </c>
      <c r="Z74" s="73">
        <v>0</v>
      </c>
      <c r="AA74" s="166">
        <v>60.7</v>
      </c>
      <c r="AB74" s="40" t="s">
        <v>111</v>
      </c>
      <c r="AC74" s="40" t="s">
        <v>111</v>
      </c>
      <c r="AD74" s="40" t="s">
        <v>111</v>
      </c>
      <c r="AE74" s="40"/>
    </row>
    <row r="75" spans="1:31" s="46" customFormat="1" ht="59.25" hidden="1" customHeight="1" x14ac:dyDescent="0.15">
      <c r="A75" s="40">
        <v>73</v>
      </c>
      <c r="B75" s="40" t="s">
        <v>1236</v>
      </c>
      <c r="C75" s="40" t="s">
        <v>1354</v>
      </c>
      <c r="D75" s="40" t="s">
        <v>111</v>
      </c>
      <c r="E75" s="40" t="s">
        <v>111</v>
      </c>
      <c r="F75" s="9" t="s">
        <v>1237</v>
      </c>
      <c r="G75" s="20" t="s">
        <v>1502</v>
      </c>
      <c r="H75" s="115" t="s">
        <v>3196</v>
      </c>
      <c r="I75" s="20" t="s">
        <v>1499</v>
      </c>
      <c r="J75" s="9" t="s">
        <v>1688</v>
      </c>
      <c r="K75" s="40" t="s">
        <v>111</v>
      </c>
      <c r="L75" s="9" t="s">
        <v>1652</v>
      </c>
      <c r="M75" s="40" t="s">
        <v>111</v>
      </c>
      <c r="N75" s="9" t="s">
        <v>102</v>
      </c>
      <c r="O75" s="9" t="s">
        <v>2333</v>
      </c>
      <c r="P75" s="40" t="s">
        <v>111</v>
      </c>
      <c r="Q75" s="20" t="s">
        <v>2887</v>
      </c>
      <c r="R75" s="40" t="s">
        <v>1753</v>
      </c>
      <c r="S75" s="72" t="s">
        <v>3052</v>
      </c>
      <c r="T75" s="40" t="s">
        <v>111</v>
      </c>
      <c r="U75" s="72" t="s">
        <v>110</v>
      </c>
      <c r="V75" s="72">
        <v>1</v>
      </c>
      <c r="W75" s="40" t="s">
        <v>111</v>
      </c>
      <c r="X75" s="40" t="s">
        <v>111</v>
      </c>
      <c r="Y75" s="210">
        <v>45.393161999999997</v>
      </c>
      <c r="Z75" s="73">
        <v>0</v>
      </c>
      <c r="AA75" s="210">
        <v>45.393161999999997</v>
      </c>
      <c r="AB75" s="40" t="s">
        <v>111</v>
      </c>
      <c r="AC75" s="40" t="s">
        <v>111</v>
      </c>
      <c r="AD75" s="40" t="s">
        <v>111</v>
      </c>
      <c r="AE75" s="9" t="s">
        <v>5817</v>
      </c>
    </row>
    <row r="76" spans="1:31" s="46" customFormat="1" ht="24.95" hidden="1" customHeight="1" x14ac:dyDescent="0.15">
      <c r="A76" s="40">
        <v>74</v>
      </c>
      <c r="B76" s="40" t="s">
        <v>1238</v>
      </c>
      <c r="C76" s="40" t="s">
        <v>111</v>
      </c>
      <c r="D76" s="40" t="s">
        <v>111</v>
      </c>
      <c r="E76" s="40" t="s">
        <v>111</v>
      </c>
      <c r="F76" s="9" t="s">
        <v>1355</v>
      </c>
      <c r="G76" s="200" t="s">
        <v>2362</v>
      </c>
      <c r="H76" s="41" t="s">
        <v>1504</v>
      </c>
      <c r="I76" s="20" t="s">
        <v>1503</v>
      </c>
      <c r="J76" s="9" t="s">
        <v>1689</v>
      </c>
      <c r="K76" s="40" t="s">
        <v>111</v>
      </c>
      <c r="L76" s="9" t="s">
        <v>1653</v>
      </c>
      <c r="M76" s="40" t="s">
        <v>111</v>
      </c>
      <c r="N76" s="9" t="s">
        <v>102</v>
      </c>
      <c r="O76" s="9" t="s">
        <v>1744</v>
      </c>
      <c r="P76" s="40" t="s">
        <v>111</v>
      </c>
      <c r="Q76" s="20" t="s">
        <v>3081</v>
      </c>
      <c r="R76" s="40" t="s">
        <v>1766</v>
      </c>
      <c r="S76" s="72" t="s">
        <v>3053</v>
      </c>
      <c r="T76" s="40" t="s">
        <v>111</v>
      </c>
      <c r="U76" s="72" t="s">
        <v>3417</v>
      </c>
      <c r="V76" s="72">
        <v>0</v>
      </c>
      <c r="W76" s="40" t="s">
        <v>111</v>
      </c>
      <c r="X76" s="40" t="s">
        <v>111</v>
      </c>
      <c r="Y76" s="73">
        <v>0.90500000000000003</v>
      </c>
      <c r="Z76" s="73">
        <v>0</v>
      </c>
      <c r="AA76" s="166">
        <v>0.90500000000000003</v>
      </c>
      <c r="AB76" s="40" t="s">
        <v>111</v>
      </c>
      <c r="AC76" s="40" t="s">
        <v>111</v>
      </c>
      <c r="AD76" s="40" t="s">
        <v>111</v>
      </c>
      <c r="AE76" s="40"/>
    </row>
    <row r="77" spans="1:31" s="46" customFormat="1" ht="24.95" hidden="1" customHeight="1" x14ac:dyDescent="0.15">
      <c r="A77" s="40">
        <v>75</v>
      </c>
      <c r="B77" s="1984" t="s">
        <v>1239</v>
      </c>
      <c r="C77" s="1984" t="s">
        <v>111</v>
      </c>
      <c r="D77" s="1984" t="s">
        <v>111</v>
      </c>
      <c r="E77" s="40" t="s">
        <v>111</v>
      </c>
      <c r="F77" s="1983" t="s">
        <v>1313</v>
      </c>
      <c r="G77" s="1982" t="s">
        <v>1505</v>
      </c>
      <c r="H77" s="41" t="s">
        <v>1449</v>
      </c>
      <c r="I77" s="20" t="s">
        <v>1480</v>
      </c>
      <c r="J77" s="21" t="s">
        <v>1690</v>
      </c>
      <c r="K77" s="40" t="s">
        <v>111</v>
      </c>
      <c r="L77" s="21" t="s">
        <v>1731</v>
      </c>
      <c r="M77" s="40" t="s">
        <v>111</v>
      </c>
      <c r="N77" s="9" t="s">
        <v>102</v>
      </c>
      <c r="O77" s="9" t="s">
        <v>1755</v>
      </c>
      <c r="P77" s="40" t="s">
        <v>111</v>
      </c>
      <c r="Q77" s="40" t="s">
        <v>1659</v>
      </c>
      <c r="R77" s="40" t="s">
        <v>1766</v>
      </c>
      <c r="S77" s="72" t="s">
        <v>3054</v>
      </c>
      <c r="T77" s="40" t="s">
        <v>111</v>
      </c>
      <c r="U77" s="72" t="s">
        <v>110</v>
      </c>
      <c r="V77" s="72">
        <v>2</v>
      </c>
      <c r="W77" s="40" t="s">
        <v>111</v>
      </c>
      <c r="X77" s="40" t="s">
        <v>111</v>
      </c>
      <c r="Y77" s="213">
        <v>49.374358999999998</v>
      </c>
      <c r="Z77" s="214">
        <v>0</v>
      </c>
      <c r="AA77" s="213">
        <v>49.374358999999998</v>
      </c>
      <c r="AB77" s="40" t="s">
        <v>111</v>
      </c>
      <c r="AC77" s="40" t="s">
        <v>111</v>
      </c>
      <c r="AD77" s="40" t="s">
        <v>111</v>
      </c>
      <c r="AE77" s="89" t="s">
        <v>4147</v>
      </c>
    </row>
    <row r="78" spans="1:31" s="46" customFormat="1" ht="24.95" hidden="1" customHeight="1" x14ac:dyDescent="0.15">
      <c r="A78" s="40">
        <v>76</v>
      </c>
      <c r="B78" s="1984"/>
      <c r="C78" s="1984"/>
      <c r="D78" s="1984"/>
      <c r="E78" s="40" t="s">
        <v>111</v>
      </c>
      <c r="F78" s="1983"/>
      <c r="G78" s="1982"/>
      <c r="H78" s="41" t="s">
        <v>1504</v>
      </c>
      <c r="I78" s="20" t="s">
        <v>1465</v>
      </c>
      <c r="J78" s="21" t="s">
        <v>1691</v>
      </c>
      <c r="K78" s="40" t="s">
        <v>111</v>
      </c>
      <c r="L78" s="21" t="s">
        <v>1506</v>
      </c>
      <c r="M78" s="40" t="s">
        <v>111</v>
      </c>
      <c r="N78" s="9" t="s">
        <v>102</v>
      </c>
      <c r="O78" s="9" t="s">
        <v>1755</v>
      </c>
      <c r="P78" s="40" t="s">
        <v>111</v>
      </c>
      <c r="Q78" s="40" t="s">
        <v>1659</v>
      </c>
      <c r="R78" s="40" t="s">
        <v>1659</v>
      </c>
      <c r="S78" s="72" t="s">
        <v>3054</v>
      </c>
      <c r="T78" s="40" t="s">
        <v>111</v>
      </c>
      <c r="U78" s="72" t="s">
        <v>110</v>
      </c>
      <c r="V78" s="72">
        <v>2</v>
      </c>
      <c r="W78" s="40" t="s">
        <v>111</v>
      </c>
      <c r="X78" s="40" t="s">
        <v>111</v>
      </c>
      <c r="Y78" s="213">
        <v>49.8</v>
      </c>
      <c r="Z78" s="214">
        <v>0</v>
      </c>
      <c r="AA78" s="213">
        <v>49.8</v>
      </c>
      <c r="AB78" s="40" t="s">
        <v>111</v>
      </c>
      <c r="AC78" s="40" t="s">
        <v>111</v>
      </c>
      <c r="AD78" s="40" t="s">
        <v>111</v>
      </c>
      <c r="AE78" s="212"/>
    </row>
    <row r="79" spans="1:31" s="46" customFormat="1" ht="24.95" hidden="1" customHeight="1" x14ac:dyDescent="0.15">
      <c r="A79" s="40">
        <v>77</v>
      </c>
      <c r="B79" s="40" t="s">
        <v>1356</v>
      </c>
      <c r="C79" s="40" t="s">
        <v>1357</v>
      </c>
      <c r="D79" s="40" t="s">
        <v>111</v>
      </c>
      <c r="E79" s="40" t="s">
        <v>111</v>
      </c>
      <c r="F79" s="9" t="s">
        <v>848</v>
      </c>
      <c r="G79" s="20" t="s">
        <v>1507</v>
      </c>
      <c r="H79" s="41" t="s">
        <v>1508</v>
      </c>
      <c r="I79" s="20" t="s">
        <v>819</v>
      </c>
      <c r="J79" s="37" t="s">
        <v>853</v>
      </c>
      <c r="K79" s="40" t="s">
        <v>111</v>
      </c>
      <c r="L79" s="37" t="s">
        <v>1509</v>
      </c>
      <c r="M79" s="40" t="s">
        <v>111</v>
      </c>
      <c r="N79" s="9" t="s">
        <v>102</v>
      </c>
      <c r="O79" s="9" t="s">
        <v>463</v>
      </c>
      <c r="P79" s="40" t="s">
        <v>111</v>
      </c>
      <c r="Q79" s="20" t="s">
        <v>2889</v>
      </c>
      <c r="R79" s="40" t="s">
        <v>1753</v>
      </c>
      <c r="S79" s="72" t="s">
        <v>3055</v>
      </c>
      <c r="T79" s="40" t="s">
        <v>111</v>
      </c>
      <c r="U79" s="10" t="s">
        <v>110</v>
      </c>
      <c r="V79" s="72">
        <v>1</v>
      </c>
      <c r="W79" s="40" t="s">
        <v>111</v>
      </c>
      <c r="X79" s="40" t="s">
        <v>111</v>
      </c>
      <c r="Y79" s="73">
        <v>0.7</v>
      </c>
      <c r="Z79" s="73">
        <v>0</v>
      </c>
      <c r="AA79" s="166">
        <v>0.7</v>
      </c>
      <c r="AB79" s="40" t="s">
        <v>111</v>
      </c>
      <c r="AC79" s="40" t="s">
        <v>111</v>
      </c>
      <c r="AD79" s="40" t="s">
        <v>111</v>
      </c>
      <c r="AE79" s="40"/>
    </row>
    <row r="80" spans="1:31" s="46" customFormat="1" ht="24.95" hidden="1" customHeight="1" x14ac:dyDescent="0.15">
      <c r="A80" s="40">
        <v>78</v>
      </c>
      <c r="B80" s="40" t="s">
        <v>1358</v>
      </c>
      <c r="C80" s="40" t="s">
        <v>1240</v>
      </c>
      <c r="D80" s="40" t="s">
        <v>111</v>
      </c>
      <c r="E80" s="40" t="s">
        <v>111</v>
      </c>
      <c r="F80" s="9" t="s">
        <v>846</v>
      </c>
      <c r="G80" s="20" t="s">
        <v>1510</v>
      </c>
      <c r="H80" s="41" t="s">
        <v>1508</v>
      </c>
      <c r="I80" s="20" t="s">
        <v>819</v>
      </c>
      <c r="J80" s="37" t="s">
        <v>850</v>
      </c>
      <c r="K80" s="40" t="s">
        <v>111</v>
      </c>
      <c r="L80" s="37" t="s">
        <v>850</v>
      </c>
      <c r="M80" s="40" t="s">
        <v>111</v>
      </c>
      <c r="N80" s="9" t="s">
        <v>102</v>
      </c>
      <c r="O80" s="9" t="s">
        <v>463</v>
      </c>
      <c r="P80" s="40" t="s">
        <v>111</v>
      </c>
      <c r="Q80" s="20" t="s">
        <v>2889</v>
      </c>
      <c r="R80" s="40" t="s">
        <v>1753</v>
      </c>
      <c r="S80" s="72" t="s">
        <v>3055</v>
      </c>
      <c r="T80" s="40" t="s">
        <v>111</v>
      </c>
      <c r="U80" s="10" t="s">
        <v>110</v>
      </c>
      <c r="V80" s="72">
        <v>1</v>
      </c>
      <c r="W80" s="40" t="s">
        <v>111</v>
      </c>
      <c r="X80" s="40" t="s">
        <v>111</v>
      </c>
      <c r="Y80" s="73">
        <v>3.12</v>
      </c>
      <c r="Z80" s="73">
        <v>0</v>
      </c>
      <c r="AA80" s="166">
        <v>3.12</v>
      </c>
      <c r="AB80" s="40" t="s">
        <v>111</v>
      </c>
      <c r="AC80" s="40" t="s">
        <v>111</v>
      </c>
      <c r="AD80" s="40" t="s">
        <v>111</v>
      </c>
      <c r="AE80" s="40"/>
    </row>
    <row r="81" spans="1:31" s="46" customFormat="1" ht="24.95" hidden="1" customHeight="1" x14ac:dyDescent="0.15">
      <c r="A81" s="40">
        <v>79</v>
      </c>
      <c r="B81" s="40" t="s">
        <v>1241</v>
      </c>
      <c r="C81" s="40" t="s">
        <v>1359</v>
      </c>
      <c r="D81" s="40" t="s">
        <v>111</v>
      </c>
      <c r="E81" s="40" t="s">
        <v>111</v>
      </c>
      <c r="F81" s="9" t="s">
        <v>1242</v>
      </c>
      <c r="G81" s="21" t="s">
        <v>1511</v>
      </c>
      <c r="H81" s="20" t="s">
        <v>1415</v>
      </c>
      <c r="I81" s="20" t="s">
        <v>1512</v>
      </c>
      <c r="J81" s="44" t="s">
        <v>1692</v>
      </c>
      <c r="K81" s="40" t="s">
        <v>111</v>
      </c>
      <c r="L81" s="44" t="s">
        <v>1513</v>
      </c>
      <c r="M81" s="40" t="s">
        <v>111</v>
      </c>
      <c r="N81" s="9" t="s">
        <v>686</v>
      </c>
      <c r="O81" s="9" t="s">
        <v>1764</v>
      </c>
      <c r="P81" s="40" t="s">
        <v>111</v>
      </c>
      <c r="Q81" s="20" t="s">
        <v>2891</v>
      </c>
      <c r="R81" s="40" t="s">
        <v>103</v>
      </c>
      <c r="S81" s="72" t="s">
        <v>3056</v>
      </c>
      <c r="T81" s="40" t="s">
        <v>111</v>
      </c>
      <c r="U81" s="10" t="s">
        <v>110</v>
      </c>
      <c r="V81" s="72">
        <v>2</v>
      </c>
      <c r="W81" s="40" t="s">
        <v>111</v>
      </c>
      <c r="X81" s="40" t="s">
        <v>111</v>
      </c>
      <c r="Y81" s="73">
        <v>12.6</v>
      </c>
      <c r="Z81" s="73">
        <v>0</v>
      </c>
      <c r="AA81" s="166">
        <v>12.6</v>
      </c>
      <c r="AB81" s="40" t="s">
        <v>111</v>
      </c>
      <c r="AC81" s="40" t="s">
        <v>111</v>
      </c>
      <c r="AD81" s="40" t="s">
        <v>111</v>
      </c>
      <c r="AE81" s="40"/>
    </row>
    <row r="82" spans="1:31" s="46" customFormat="1" ht="24.95" hidden="1" customHeight="1" x14ac:dyDescent="0.15">
      <c r="A82" s="40">
        <v>80</v>
      </c>
      <c r="B82" s="40" t="s">
        <v>1243</v>
      </c>
      <c r="C82" s="40" t="s">
        <v>111</v>
      </c>
      <c r="D82" s="40" t="s">
        <v>111</v>
      </c>
      <c r="E82" s="40" t="s">
        <v>111</v>
      </c>
      <c r="F82" s="9" t="s">
        <v>1244</v>
      </c>
      <c r="G82" s="21" t="s">
        <v>1514</v>
      </c>
      <c r="H82" s="20" t="s">
        <v>23</v>
      </c>
      <c r="I82" s="20" t="s">
        <v>1515</v>
      </c>
      <c r="J82" s="44" t="s">
        <v>1693</v>
      </c>
      <c r="K82" s="40" t="s">
        <v>111</v>
      </c>
      <c r="L82" s="44" t="s">
        <v>1516</v>
      </c>
      <c r="M82" s="40" t="s">
        <v>111</v>
      </c>
      <c r="N82" s="9" t="s">
        <v>102</v>
      </c>
      <c r="O82" s="9" t="s">
        <v>851</v>
      </c>
      <c r="P82" s="40" t="s">
        <v>111</v>
      </c>
      <c r="Q82" s="40" t="s">
        <v>1751</v>
      </c>
      <c r="R82" s="40" t="s">
        <v>1751</v>
      </c>
      <c r="S82" s="72" t="s">
        <v>3056</v>
      </c>
      <c r="T82" s="40" t="s">
        <v>111</v>
      </c>
      <c r="U82" s="10" t="s">
        <v>110</v>
      </c>
      <c r="V82" s="72">
        <v>1</v>
      </c>
      <c r="W82" s="40" t="s">
        <v>111</v>
      </c>
      <c r="X82" s="40" t="s">
        <v>111</v>
      </c>
      <c r="Y82" s="73">
        <v>0</v>
      </c>
      <c r="Z82" s="73">
        <v>16</v>
      </c>
      <c r="AA82" s="166">
        <v>16</v>
      </c>
      <c r="AB82" s="40" t="s">
        <v>111</v>
      </c>
      <c r="AC82" s="40" t="s">
        <v>111</v>
      </c>
      <c r="AD82" s="40" t="s">
        <v>111</v>
      </c>
      <c r="AE82" s="40"/>
    </row>
    <row r="83" spans="1:31" s="46" customFormat="1" ht="24.95" hidden="1" customHeight="1" x14ac:dyDescent="0.15">
      <c r="A83" s="40">
        <v>81</v>
      </c>
      <c r="B83" s="40" t="s">
        <v>1245</v>
      </c>
      <c r="C83" s="40" t="s">
        <v>111</v>
      </c>
      <c r="D83" s="40" t="s">
        <v>111</v>
      </c>
      <c r="E83" s="40" t="s">
        <v>111</v>
      </c>
      <c r="F83" s="9" t="s">
        <v>1246</v>
      </c>
      <c r="G83" s="21" t="s">
        <v>1514</v>
      </c>
      <c r="H83" s="20" t="s">
        <v>23</v>
      </c>
      <c r="I83" s="20" t="s">
        <v>1515</v>
      </c>
      <c r="J83" s="44" t="s">
        <v>1694</v>
      </c>
      <c r="K83" s="40" t="s">
        <v>111</v>
      </c>
      <c r="L83" s="44" t="s">
        <v>1517</v>
      </c>
      <c r="M83" s="40" t="s">
        <v>111</v>
      </c>
      <c r="N83" s="9" t="s">
        <v>102</v>
      </c>
      <c r="O83" s="9" t="s">
        <v>851</v>
      </c>
      <c r="P83" s="40" t="s">
        <v>111</v>
      </c>
      <c r="Q83" s="40" t="s">
        <v>1751</v>
      </c>
      <c r="R83" s="40" t="s">
        <v>1751</v>
      </c>
      <c r="S83" s="72" t="s">
        <v>3056</v>
      </c>
      <c r="T83" s="40" t="s">
        <v>111</v>
      </c>
      <c r="U83" s="10" t="s">
        <v>110</v>
      </c>
      <c r="V83" s="72">
        <v>1</v>
      </c>
      <c r="W83" s="40" t="s">
        <v>111</v>
      </c>
      <c r="X83" s="40" t="s">
        <v>111</v>
      </c>
      <c r="Y83" s="73">
        <v>0</v>
      </c>
      <c r="Z83" s="73">
        <v>16</v>
      </c>
      <c r="AA83" s="30">
        <v>16</v>
      </c>
      <c r="AB83" s="40" t="s">
        <v>111</v>
      </c>
      <c r="AC83" s="40" t="s">
        <v>111</v>
      </c>
      <c r="AD83" s="40" t="s">
        <v>111</v>
      </c>
      <c r="AE83" s="40"/>
    </row>
    <row r="84" spans="1:31" s="46" customFormat="1" ht="24.95" hidden="1" customHeight="1" x14ac:dyDescent="0.15">
      <c r="A84" s="40">
        <v>82</v>
      </c>
      <c r="B84" s="40" t="s">
        <v>1247</v>
      </c>
      <c r="C84" s="40" t="s">
        <v>111</v>
      </c>
      <c r="D84" s="40" t="s">
        <v>111</v>
      </c>
      <c r="E84" s="40" t="s">
        <v>111</v>
      </c>
      <c r="F84" s="9" t="s">
        <v>1341</v>
      </c>
      <c r="G84" s="21" t="s">
        <v>1518</v>
      </c>
      <c r="H84" s="1" t="s">
        <v>1415</v>
      </c>
      <c r="I84" s="20" t="s">
        <v>1512</v>
      </c>
      <c r="J84" s="21" t="s">
        <v>1678</v>
      </c>
      <c r="K84" s="40" t="s">
        <v>111</v>
      </c>
      <c r="L84" s="21" t="s">
        <v>1519</v>
      </c>
      <c r="M84" s="40" t="s">
        <v>111</v>
      </c>
      <c r="N84" s="9" t="s">
        <v>102</v>
      </c>
      <c r="O84" s="9" t="s">
        <v>463</v>
      </c>
      <c r="P84" s="40" t="s">
        <v>111</v>
      </c>
      <c r="Q84" s="20" t="s">
        <v>2889</v>
      </c>
      <c r="R84" s="40" t="s">
        <v>103</v>
      </c>
      <c r="S84" s="72" t="s">
        <v>3057</v>
      </c>
      <c r="T84" s="40" t="s">
        <v>111</v>
      </c>
      <c r="U84" s="10" t="s">
        <v>109</v>
      </c>
      <c r="V84" s="72">
        <v>1</v>
      </c>
      <c r="W84" s="40" t="s">
        <v>111</v>
      </c>
      <c r="X84" s="40" t="s">
        <v>111</v>
      </c>
      <c r="Y84" s="73">
        <v>7</v>
      </c>
      <c r="Z84" s="73">
        <v>0</v>
      </c>
      <c r="AA84" s="166">
        <v>7</v>
      </c>
      <c r="AB84" s="40" t="s">
        <v>111</v>
      </c>
      <c r="AC84" s="40" t="s">
        <v>111</v>
      </c>
      <c r="AD84" s="40" t="s">
        <v>111</v>
      </c>
      <c r="AE84" s="40"/>
    </row>
    <row r="85" spans="1:31" s="46" customFormat="1" ht="24.95" hidden="1" customHeight="1" x14ac:dyDescent="0.15">
      <c r="A85" s="40">
        <v>83</v>
      </c>
      <c r="B85" s="40" t="s">
        <v>1248</v>
      </c>
      <c r="C85" s="40" t="s">
        <v>1360</v>
      </c>
      <c r="D85" s="40" t="s">
        <v>111</v>
      </c>
      <c r="E85" s="40" t="s">
        <v>111</v>
      </c>
      <c r="F85" s="9" t="s">
        <v>1361</v>
      </c>
      <c r="G85" s="21" t="s">
        <v>1520</v>
      </c>
      <c r="H85" s="1" t="s">
        <v>23</v>
      </c>
      <c r="I85" s="27" t="s">
        <v>1456</v>
      </c>
      <c r="J85" s="21" t="s">
        <v>1695</v>
      </c>
      <c r="K85" s="40" t="s">
        <v>111</v>
      </c>
      <c r="L85" s="21" t="s">
        <v>1521</v>
      </c>
      <c r="M85" s="40" t="s">
        <v>111</v>
      </c>
      <c r="N85" s="9" t="s">
        <v>686</v>
      </c>
      <c r="O85" s="9" t="s">
        <v>1763</v>
      </c>
      <c r="P85" s="40" t="s">
        <v>111</v>
      </c>
      <c r="Q85" s="20" t="s">
        <v>2889</v>
      </c>
      <c r="R85" s="40" t="s">
        <v>1749</v>
      </c>
      <c r="S85" s="72" t="s">
        <v>3058</v>
      </c>
      <c r="T85" s="40" t="s">
        <v>111</v>
      </c>
      <c r="U85" s="10" t="s">
        <v>108</v>
      </c>
      <c r="V85" s="72">
        <v>1</v>
      </c>
      <c r="W85" s="40" t="s">
        <v>111</v>
      </c>
      <c r="X85" s="40" t="s">
        <v>111</v>
      </c>
      <c r="Y85" s="73">
        <v>3.5</v>
      </c>
      <c r="Z85" s="73">
        <v>0</v>
      </c>
      <c r="AA85" s="166">
        <v>3.5</v>
      </c>
      <c r="AB85" s="40" t="s">
        <v>111</v>
      </c>
      <c r="AC85" s="40" t="s">
        <v>111</v>
      </c>
      <c r="AD85" s="40" t="s">
        <v>111</v>
      </c>
      <c r="AE85" s="40"/>
    </row>
    <row r="86" spans="1:31" s="46" customFormat="1" ht="24.95" customHeight="1" x14ac:dyDescent="0.15">
      <c r="A86" s="40">
        <v>84</v>
      </c>
      <c r="B86" s="40" t="s">
        <v>1249</v>
      </c>
      <c r="C86" s="40" t="s">
        <v>111</v>
      </c>
      <c r="D86" s="40" t="s">
        <v>1362</v>
      </c>
      <c r="E86" s="40" t="s">
        <v>111</v>
      </c>
      <c r="F86" s="9" t="s">
        <v>33</v>
      </c>
      <c r="G86" s="200" t="s">
        <v>2362</v>
      </c>
      <c r="H86" s="1" t="s">
        <v>1415</v>
      </c>
      <c r="I86" s="20" t="s">
        <v>1512</v>
      </c>
      <c r="J86" s="21" t="s">
        <v>1654</v>
      </c>
      <c r="K86" s="40" t="s">
        <v>111</v>
      </c>
      <c r="L86" s="21" t="s">
        <v>1522</v>
      </c>
      <c r="M86" s="40" t="s">
        <v>111</v>
      </c>
      <c r="N86" s="9" t="s">
        <v>102</v>
      </c>
      <c r="O86" s="9" t="s">
        <v>463</v>
      </c>
      <c r="P86" s="40" t="s">
        <v>111</v>
      </c>
      <c r="Q86" s="20" t="s">
        <v>2887</v>
      </c>
      <c r="R86" s="40" t="s">
        <v>103</v>
      </c>
      <c r="S86" s="72" t="s">
        <v>3059</v>
      </c>
      <c r="T86" s="40" t="s">
        <v>111</v>
      </c>
      <c r="U86" s="72" t="s">
        <v>3417</v>
      </c>
      <c r="V86" s="72">
        <v>0</v>
      </c>
      <c r="W86" s="40" t="s">
        <v>111</v>
      </c>
      <c r="X86" s="40" t="s">
        <v>111</v>
      </c>
      <c r="Y86" s="73">
        <v>0.68400000000000005</v>
      </c>
      <c r="Z86" s="73">
        <v>0</v>
      </c>
      <c r="AA86" s="166">
        <v>0.68400000000000005</v>
      </c>
      <c r="AB86" s="40" t="s">
        <v>111</v>
      </c>
      <c r="AC86" s="40" t="s">
        <v>111</v>
      </c>
      <c r="AD86" s="40" t="s">
        <v>111</v>
      </c>
      <c r="AE86" s="40"/>
    </row>
    <row r="87" spans="1:31" s="46" customFormat="1" ht="24.95" hidden="1" customHeight="1" x14ac:dyDescent="0.15">
      <c r="A87" s="40">
        <v>85</v>
      </c>
      <c r="B87" s="40" t="s">
        <v>1250</v>
      </c>
      <c r="C87" s="40" t="s">
        <v>1363</v>
      </c>
      <c r="D87" s="40" t="s">
        <v>111</v>
      </c>
      <c r="E87" s="40" t="s">
        <v>111</v>
      </c>
      <c r="F87" s="9" t="s">
        <v>1251</v>
      </c>
      <c r="G87" s="21" t="s">
        <v>1523</v>
      </c>
      <c r="H87" s="1" t="s">
        <v>23</v>
      </c>
      <c r="I87" s="20" t="s">
        <v>1524</v>
      </c>
      <c r="J87" s="21" t="s">
        <v>1627</v>
      </c>
      <c r="K87" s="40" t="s">
        <v>111</v>
      </c>
      <c r="L87" s="21" t="s">
        <v>1525</v>
      </c>
      <c r="M87" s="40" t="s">
        <v>111</v>
      </c>
      <c r="N87" s="9" t="s">
        <v>686</v>
      </c>
      <c r="O87" s="9" t="s">
        <v>1763</v>
      </c>
      <c r="P87" s="40" t="s">
        <v>111</v>
      </c>
      <c r="Q87" s="40" t="s">
        <v>1752</v>
      </c>
      <c r="R87" s="40" t="s">
        <v>1752</v>
      </c>
      <c r="S87" s="72" t="s">
        <v>3060</v>
      </c>
      <c r="T87" s="40" t="s">
        <v>111</v>
      </c>
      <c r="U87" s="10" t="s">
        <v>109</v>
      </c>
      <c r="V87" s="72">
        <v>1</v>
      </c>
      <c r="W87" s="40" t="s">
        <v>111</v>
      </c>
      <c r="X87" s="40" t="s">
        <v>111</v>
      </c>
      <c r="Y87" s="73">
        <v>8</v>
      </c>
      <c r="Z87" s="73">
        <v>0</v>
      </c>
      <c r="AA87" s="166">
        <v>8</v>
      </c>
      <c r="AB87" s="40" t="s">
        <v>111</v>
      </c>
      <c r="AC87" s="40" t="s">
        <v>111</v>
      </c>
      <c r="AD87" s="40" t="s">
        <v>111</v>
      </c>
      <c r="AE87" s="40"/>
    </row>
    <row r="88" spans="1:31" s="46" customFormat="1" ht="24.95" hidden="1" customHeight="1" x14ac:dyDescent="0.15">
      <c r="A88" s="40">
        <v>86</v>
      </c>
      <c r="B88" s="40" t="s">
        <v>1252</v>
      </c>
      <c r="C88" s="40" t="s">
        <v>111</v>
      </c>
      <c r="D88" s="40" t="s">
        <v>111</v>
      </c>
      <c r="E88" s="40" t="s">
        <v>111</v>
      </c>
      <c r="F88" s="9" t="s">
        <v>1253</v>
      </c>
      <c r="G88" s="21" t="s">
        <v>1526</v>
      </c>
      <c r="H88" s="1" t="s">
        <v>1449</v>
      </c>
      <c r="I88" s="20" t="s">
        <v>1465</v>
      </c>
      <c r="J88" s="21" t="s">
        <v>1696</v>
      </c>
      <c r="K88" s="40" t="s">
        <v>111</v>
      </c>
      <c r="L88" s="21" t="s">
        <v>1732</v>
      </c>
      <c r="M88" s="40" t="s">
        <v>111</v>
      </c>
      <c r="N88" s="9" t="s">
        <v>102</v>
      </c>
      <c r="O88" s="9" t="s">
        <v>851</v>
      </c>
      <c r="P88" s="40" t="s">
        <v>111</v>
      </c>
      <c r="Q88" s="40" t="s">
        <v>1659</v>
      </c>
      <c r="R88" s="40" t="s">
        <v>1659</v>
      </c>
      <c r="S88" s="72" t="s">
        <v>3061</v>
      </c>
      <c r="T88" s="40" t="s">
        <v>111</v>
      </c>
      <c r="U88" s="10" t="s">
        <v>110</v>
      </c>
      <c r="V88" s="72">
        <v>1</v>
      </c>
      <c r="W88" s="40" t="s">
        <v>111</v>
      </c>
      <c r="X88" s="40" t="s">
        <v>111</v>
      </c>
      <c r="Y88" s="73">
        <v>0</v>
      </c>
      <c r="Z88" s="73">
        <v>10</v>
      </c>
      <c r="AA88" s="166">
        <v>10</v>
      </c>
      <c r="AB88" s="40" t="s">
        <v>111</v>
      </c>
      <c r="AC88" s="40" t="s">
        <v>111</v>
      </c>
      <c r="AD88" s="40" t="s">
        <v>111</v>
      </c>
      <c r="AE88" s="40"/>
    </row>
    <row r="89" spans="1:31" s="46" customFormat="1" ht="24.95" hidden="1" customHeight="1" x14ac:dyDescent="0.15">
      <c r="A89" s="40">
        <v>87</v>
      </c>
      <c r="B89" s="40" t="s">
        <v>1252</v>
      </c>
      <c r="C89" s="40" t="s">
        <v>111</v>
      </c>
      <c r="D89" s="40" t="s">
        <v>111</v>
      </c>
      <c r="E89" s="40" t="s">
        <v>111</v>
      </c>
      <c r="F89" s="9" t="s">
        <v>1253</v>
      </c>
      <c r="G89" s="21" t="s">
        <v>1526</v>
      </c>
      <c r="H89" s="1" t="s">
        <v>1449</v>
      </c>
      <c r="I89" s="20" t="s">
        <v>1465</v>
      </c>
      <c r="J89" s="21" t="s">
        <v>1697</v>
      </c>
      <c r="K89" s="40" t="s">
        <v>111</v>
      </c>
      <c r="L89" s="21" t="s">
        <v>1733</v>
      </c>
      <c r="M89" s="40" t="s">
        <v>111</v>
      </c>
      <c r="N89" s="9" t="s">
        <v>102</v>
      </c>
      <c r="O89" s="9" t="s">
        <v>851</v>
      </c>
      <c r="P89" s="40" t="s">
        <v>111</v>
      </c>
      <c r="Q89" s="40" t="s">
        <v>1659</v>
      </c>
      <c r="R89" s="40" t="s">
        <v>1659</v>
      </c>
      <c r="S89" s="72" t="s">
        <v>3061</v>
      </c>
      <c r="T89" s="40" t="s">
        <v>111</v>
      </c>
      <c r="U89" s="10" t="s">
        <v>110</v>
      </c>
      <c r="V89" s="72">
        <v>1</v>
      </c>
      <c r="W89" s="40" t="s">
        <v>111</v>
      </c>
      <c r="X89" s="40" t="s">
        <v>111</v>
      </c>
      <c r="Y89" s="73">
        <v>0</v>
      </c>
      <c r="Z89" s="73">
        <v>10</v>
      </c>
      <c r="AA89" s="166">
        <v>10</v>
      </c>
      <c r="AB89" s="40" t="s">
        <v>111</v>
      </c>
      <c r="AC89" s="40" t="s">
        <v>111</v>
      </c>
      <c r="AD89" s="40" t="s">
        <v>111</v>
      </c>
      <c r="AE89" s="40"/>
    </row>
    <row r="90" spans="1:31" s="46" customFormat="1" ht="24.95" hidden="1" customHeight="1" x14ac:dyDescent="0.15">
      <c r="A90" s="40">
        <v>88</v>
      </c>
      <c r="B90" s="40" t="s">
        <v>1252</v>
      </c>
      <c r="C90" s="40" t="s">
        <v>111</v>
      </c>
      <c r="D90" s="40" t="s">
        <v>111</v>
      </c>
      <c r="E90" s="40" t="s">
        <v>111</v>
      </c>
      <c r="F90" s="9" t="s">
        <v>1253</v>
      </c>
      <c r="G90" s="21" t="s">
        <v>1526</v>
      </c>
      <c r="H90" s="1" t="s">
        <v>1449</v>
      </c>
      <c r="I90" s="20" t="s">
        <v>1465</v>
      </c>
      <c r="J90" s="21" t="s">
        <v>1698</v>
      </c>
      <c r="K90" s="40" t="s">
        <v>111</v>
      </c>
      <c r="L90" s="21" t="s">
        <v>1734</v>
      </c>
      <c r="M90" s="40" t="s">
        <v>111</v>
      </c>
      <c r="N90" s="9" t="s">
        <v>102</v>
      </c>
      <c r="O90" s="9" t="s">
        <v>851</v>
      </c>
      <c r="P90" s="40" t="s">
        <v>111</v>
      </c>
      <c r="Q90" s="40" t="s">
        <v>1659</v>
      </c>
      <c r="R90" s="40" t="s">
        <v>1659</v>
      </c>
      <c r="S90" s="72" t="s">
        <v>3061</v>
      </c>
      <c r="T90" s="40" t="s">
        <v>111</v>
      </c>
      <c r="U90" s="10" t="s">
        <v>110</v>
      </c>
      <c r="V90" s="72">
        <v>1</v>
      </c>
      <c r="W90" s="40" t="s">
        <v>111</v>
      </c>
      <c r="X90" s="40" t="s">
        <v>111</v>
      </c>
      <c r="Y90" s="73">
        <v>0</v>
      </c>
      <c r="Z90" s="73">
        <v>10</v>
      </c>
      <c r="AA90" s="166">
        <v>10</v>
      </c>
      <c r="AB90" s="40" t="s">
        <v>111</v>
      </c>
      <c r="AC90" s="40" t="s">
        <v>111</v>
      </c>
      <c r="AD90" s="40" t="s">
        <v>111</v>
      </c>
      <c r="AE90" s="40"/>
    </row>
    <row r="91" spans="1:31" s="46" customFormat="1" ht="24.95" hidden="1" customHeight="1" x14ac:dyDescent="0.15">
      <c r="A91" s="40">
        <v>89</v>
      </c>
      <c r="B91" s="40" t="s">
        <v>1254</v>
      </c>
      <c r="C91" s="40" t="s">
        <v>1364</v>
      </c>
      <c r="D91" s="40" t="s">
        <v>111</v>
      </c>
      <c r="E91" s="40" t="s">
        <v>111</v>
      </c>
      <c r="F91" s="9" t="s">
        <v>1365</v>
      </c>
      <c r="G91" s="21" t="s">
        <v>1527</v>
      </c>
      <c r="H91" s="1" t="s">
        <v>23</v>
      </c>
      <c r="I91" s="20" t="s">
        <v>1528</v>
      </c>
      <c r="J91" s="21" t="s">
        <v>1699</v>
      </c>
      <c r="K91" s="40" t="s">
        <v>111</v>
      </c>
      <c r="L91" s="21" t="s">
        <v>1529</v>
      </c>
      <c r="M91" s="40" t="s">
        <v>111</v>
      </c>
      <c r="N91" s="9" t="s">
        <v>102</v>
      </c>
      <c r="O91" s="9" t="s">
        <v>1770</v>
      </c>
      <c r="P91" s="40" t="s">
        <v>111</v>
      </c>
      <c r="Q91" s="20" t="s">
        <v>2891</v>
      </c>
      <c r="R91" s="40" t="s">
        <v>1756</v>
      </c>
      <c r="S91" s="72" t="s">
        <v>3062</v>
      </c>
      <c r="T91" s="40" t="s">
        <v>111</v>
      </c>
      <c r="U91" s="10" t="s">
        <v>110</v>
      </c>
      <c r="V91" s="72">
        <v>2</v>
      </c>
      <c r="W91" s="40" t="s">
        <v>111</v>
      </c>
      <c r="X91" s="40" t="s">
        <v>111</v>
      </c>
      <c r="Y91" s="73">
        <v>59.97</v>
      </c>
      <c r="Z91" s="73">
        <v>0</v>
      </c>
      <c r="AA91" s="166">
        <v>59.97</v>
      </c>
      <c r="AB91" s="40" t="s">
        <v>111</v>
      </c>
      <c r="AC91" s="40" t="s">
        <v>111</v>
      </c>
      <c r="AD91" s="40" t="s">
        <v>111</v>
      </c>
      <c r="AE91" s="40"/>
    </row>
    <row r="92" spans="1:31" s="46" customFormat="1" ht="24.95" hidden="1" customHeight="1" x14ac:dyDescent="0.15">
      <c r="A92" s="40">
        <v>90</v>
      </c>
      <c r="B92" s="40" t="s">
        <v>1255</v>
      </c>
      <c r="C92" s="40" t="s">
        <v>1366</v>
      </c>
      <c r="D92" s="40"/>
      <c r="E92" s="40" t="s">
        <v>111</v>
      </c>
      <c r="F92" s="9" t="s">
        <v>1367</v>
      </c>
      <c r="G92" s="21" t="s">
        <v>1530</v>
      </c>
      <c r="H92" s="1" t="s">
        <v>1457</v>
      </c>
      <c r="I92" s="20" t="s">
        <v>1531</v>
      </c>
      <c r="J92" s="21" t="s">
        <v>1700</v>
      </c>
      <c r="K92" s="40" t="s">
        <v>111</v>
      </c>
      <c r="L92" s="21" t="s">
        <v>1532</v>
      </c>
      <c r="M92" s="40" t="s">
        <v>111</v>
      </c>
      <c r="N92" s="9" t="s">
        <v>45</v>
      </c>
      <c r="O92" s="9" t="s">
        <v>1886</v>
      </c>
      <c r="P92" s="40" t="s">
        <v>111</v>
      </c>
      <c r="Q92" s="20" t="s">
        <v>2892</v>
      </c>
      <c r="R92" s="40" t="s">
        <v>1740</v>
      </c>
      <c r="S92" s="72" t="s">
        <v>3063</v>
      </c>
      <c r="T92" s="40" t="s">
        <v>111</v>
      </c>
      <c r="U92" s="10" t="s">
        <v>108</v>
      </c>
      <c r="V92" s="72">
        <v>1</v>
      </c>
      <c r="W92" s="40" t="s">
        <v>111</v>
      </c>
      <c r="X92" s="40" t="s">
        <v>111</v>
      </c>
      <c r="Y92" s="73">
        <v>15.5</v>
      </c>
      <c r="Z92" s="73">
        <v>0</v>
      </c>
      <c r="AA92" s="166">
        <v>15.5</v>
      </c>
      <c r="AB92" s="40" t="s">
        <v>111</v>
      </c>
      <c r="AC92" s="40" t="s">
        <v>111</v>
      </c>
      <c r="AD92" s="40" t="s">
        <v>111</v>
      </c>
      <c r="AE92" s="40"/>
    </row>
    <row r="93" spans="1:31" s="46" customFormat="1" ht="24.95" hidden="1" customHeight="1" x14ac:dyDescent="0.15">
      <c r="A93" s="40">
        <v>91</v>
      </c>
      <c r="B93" s="40" t="s">
        <v>1256</v>
      </c>
      <c r="C93" s="40" t="s">
        <v>1368</v>
      </c>
      <c r="D93" s="40" t="s">
        <v>111</v>
      </c>
      <c r="E93" s="40" t="s">
        <v>111</v>
      </c>
      <c r="F93" s="9" t="s">
        <v>1369</v>
      </c>
      <c r="G93" s="21" t="s">
        <v>1533</v>
      </c>
      <c r="H93" s="1" t="s">
        <v>23</v>
      </c>
      <c r="I93" s="20" t="s">
        <v>1531</v>
      </c>
      <c r="J93" s="21" t="s">
        <v>1607</v>
      </c>
      <c r="K93" s="40" t="s">
        <v>111</v>
      </c>
      <c r="L93" s="21" t="s">
        <v>1534</v>
      </c>
      <c r="M93" s="40" t="s">
        <v>111</v>
      </c>
      <c r="N93" s="9" t="s">
        <v>1746</v>
      </c>
      <c r="O93" s="9" t="s">
        <v>1771</v>
      </c>
      <c r="P93" s="40" t="s">
        <v>111</v>
      </c>
      <c r="Q93" s="20" t="s">
        <v>2891</v>
      </c>
      <c r="R93" s="40" t="s">
        <v>1752</v>
      </c>
      <c r="S93" s="72" t="s">
        <v>3064</v>
      </c>
      <c r="T93" s="40" t="s">
        <v>111</v>
      </c>
      <c r="U93" s="10" t="s">
        <v>110</v>
      </c>
      <c r="V93" s="72">
        <v>3</v>
      </c>
      <c r="W93" s="40" t="s">
        <v>111</v>
      </c>
      <c r="X93" s="40" t="s">
        <v>111</v>
      </c>
      <c r="Y93" s="73">
        <v>40.19</v>
      </c>
      <c r="Z93" s="73">
        <v>0</v>
      </c>
      <c r="AA93" s="166">
        <v>40.19</v>
      </c>
      <c r="AB93" s="40" t="s">
        <v>111</v>
      </c>
      <c r="AC93" s="40" t="s">
        <v>111</v>
      </c>
      <c r="AD93" s="40" t="s">
        <v>111</v>
      </c>
      <c r="AE93" s="40"/>
    </row>
    <row r="94" spans="1:31" s="46" customFormat="1" ht="24.95" hidden="1" customHeight="1" x14ac:dyDescent="0.15">
      <c r="A94" s="40">
        <v>92</v>
      </c>
      <c r="B94" s="40" t="s">
        <v>1257</v>
      </c>
      <c r="C94" s="40" t="s">
        <v>1370</v>
      </c>
      <c r="D94" s="40" t="s">
        <v>111</v>
      </c>
      <c r="E94" s="40" t="s">
        <v>111</v>
      </c>
      <c r="F94" s="9" t="s">
        <v>1371</v>
      </c>
      <c r="G94" s="21" t="s">
        <v>1535</v>
      </c>
      <c r="H94" s="1" t="s">
        <v>23</v>
      </c>
      <c r="I94" s="1" t="s">
        <v>1531</v>
      </c>
      <c r="J94" s="21" t="s">
        <v>1607</v>
      </c>
      <c r="K94" s="40" t="s">
        <v>111</v>
      </c>
      <c r="L94" s="21" t="s">
        <v>1534</v>
      </c>
      <c r="M94" s="40" t="s">
        <v>111</v>
      </c>
      <c r="N94" s="9" t="s">
        <v>102</v>
      </c>
      <c r="O94" s="9" t="s">
        <v>461</v>
      </c>
      <c r="P94" s="40" t="s">
        <v>111</v>
      </c>
      <c r="Q94" s="20" t="s">
        <v>2891</v>
      </c>
      <c r="R94" s="40" t="s">
        <v>1752</v>
      </c>
      <c r="S94" s="72" t="s">
        <v>3064</v>
      </c>
      <c r="T94" s="40" t="s">
        <v>111</v>
      </c>
      <c r="U94" s="10" t="s">
        <v>110</v>
      </c>
      <c r="V94" s="72">
        <v>3</v>
      </c>
      <c r="W94" s="40" t="s">
        <v>111</v>
      </c>
      <c r="X94" s="40" t="s">
        <v>111</v>
      </c>
      <c r="Y94" s="73">
        <v>24.61</v>
      </c>
      <c r="Z94" s="73">
        <v>0</v>
      </c>
      <c r="AA94" s="166">
        <v>24.61</v>
      </c>
      <c r="AB94" s="40" t="s">
        <v>111</v>
      </c>
      <c r="AC94" s="40" t="s">
        <v>111</v>
      </c>
      <c r="AD94" s="40" t="s">
        <v>111</v>
      </c>
      <c r="AE94" s="40"/>
    </row>
    <row r="95" spans="1:31" s="46" customFormat="1" ht="24.95" customHeight="1" x14ac:dyDescent="0.15">
      <c r="A95" s="40">
        <v>93</v>
      </c>
      <c r="B95" s="40" t="s">
        <v>1258</v>
      </c>
      <c r="C95" s="40" t="s">
        <v>111</v>
      </c>
      <c r="D95" s="40" t="s">
        <v>1372</v>
      </c>
      <c r="E95" s="40" t="s">
        <v>111</v>
      </c>
      <c r="F95" s="9" t="s">
        <v>1259</v>
      </c>
      <c r="G95" s="21" t="s">
        <v>1536</v>
      </c>
      <c r="H95" s="1" t="s">
        <v>1537</v>
      </c>
      <c r="I95" s="1" t="s">
        <v>112</v>
      </c>
      <c r="J95" s="21" t="s">
        <v>1701</v>
      </c>
      <c r="K95" s="40" t="s">
        <v>111</v>
      </c>
      <c r="L95" s="21" t="s">
        <v>1538</v>
      </c>
      <c r="M95" s="40" t="s">
        <v>111</v>
      </c>
      <c r="N95" s="9" t="s">
        <v>102</v>
      </c>
      <c r="O95" s="9" t="s">
        <v>463</v>
      </c>
      <c r="P95" s="40" t="s">
        <v>111</v>
      </c>
      <c r="Q95" s="20" t="s">
        <v>3079</v>
      </c>
      <c r="R95" s="40" t="s">
        <v>1766</v>
      </c>
      <c r="S95" s="72" t="s">
        <v>3065</v>
      </c>
      <c r="T95" s="40" t="s">
        <v>111</v>
      </c>
      <c r="U95" s="10" t="s">
        <v>108</v>
      </c>
      <c r="V95" s="72">
        <v>1</v>
      </c>
      <c r="W95" s="40" t="s">
        <v>111</v>
      </c>
      <c r="X95" s="40" t="s">
        <v>111</v>
      </c>
      <c r="Y95" s="73">
        <v>0.55000000000000004</v>
      </c>
      <c r="Z95" s="73">
        <v>0</v>
      </c>
      <c r="AA95" s="166">
        <v>0.55000000000000004</v>
      </c>
      <c r="AB95" s="40" t="s">
        <v>111</v>
      </c>
      <c r="AC95" s="40" t="s">
        <v>111</v>
      </c>
      <c r="AD95" s="40" t="s">
        <v>111</v>
      </c>
      <c r="AE95" s="40"/>
    </row>
    <row r="96" spans="1:31" s="46" customFormat="1" ht="24.95" hidden="1" customHeight="1" x14ac:dyDescent="0.15">
      <c r="A96" s="40">
        <v>94</v>
      </c>
      <c r="B96" s="40" t="s">
        <v>1373</v>
      </c>
      <c r="C96" s="40" t="s">
        <v>1374</v>
      </c>
      <c r="D96" s="40" t="s">
        <v>111</v>
      </c>
      <c r="E96" s="40" t="s">
        <v>111</v>
      </c>
      <c r="F96" s="9" t="s">
        <v>1260</v>
      </c>
      <c r="G96" s="21" t="s">
        <v>1539</v>
      </c>
      <c r="H96" s="1" t="s">
        <v>1541</v>
      </c>
      <c r="I96" s="1" t="s">
        <v>1540</v>
      </c>
      <c r="J96" s="21" t="s">
        <v>1702</v>
      </c>
      <c r="K96" s="40" t="s">
        <v>111</v>
      </c>
      <c r="L96" s="21" t="s">
        <v>1542</v>
      </c>
      <c r="M96" s="40" t="s">
        <v>111</v>
      </c>
      <c r="N96" s="9" t="s">
        <v>102</v>
      </c>
      <c r="O96" s="9" t="s">
        <v>1759</v>
      </c>
      <c r="P96" s="40" t="s">
        <v>111</v>
      </c>
      <c r="Q96" s="20" t="s">
        <v>2892</v>
      </c>
      <c r="R96" s="40" t="s">
        <v>1774</v>
      </c>
      <c r="S96" s="72" t="s">
        <v>3065</v>
      </c>
      <c r="T96" s="40" t="s">
        <v>111</v>
      </c>
      <c r="U96" s="10" t="s">
        <v>110</v>
      </c>
      <c r="V96" s="72">
        <v>1</v>
      </c>
      <c r="W96" s="40" t="s">
        <v>111</v>
      </c>
      <c r="X96" s="40" t="s">
        <v>111</v>
      </c>
      <c r="Y96" s="73">
        <v>19.5</v>
      </c>
      <c r="Z96" s="73">
        <v>0</v>
      </c>
      <c r="AA96" s="166">
        <v>19.5</v>
      </c>
      <c r="AB96" s="40" t="s">
        <v>111</v>
      </c>
      <c r="AC96" s="40" t="s">
        <v>111</v>
      </c>
      <c r="AD96" s="40" t="s">
        <v>111</v>
      </c>
      <c r="AE96" s="40"/>
    </row>
    <row r="97" spans="1:31" s="46" customFormat="1" ht="24.95" hidden="1" customHeight="1" x14ac:dyDescent="0.15">
      <c r="A97" s="40">
        <v>95</v>
      </c>
      <c r="B97" s="40" t="s">
        <v>1261</v>
      </c>
      <c r="C97" s="40" t="s">
        <v>1375</v>
      </c>
      <c r="D97" s="40" t="s">
        <v>111</v>
      </c>
      <c r="E97" s="40" t="s">
        <v>111</v>
      </c>
      <c r="F97" s="9" t="s">
        <v>991</v>
      </c>
      <c r="G97" s="21" t="s">
        <v>1543</v>
      </c>
      <c r="H97" s="1" t="s">
        <v>994</v>
      </c>
      <c r="I97" s="1" t="s">
        <v>993</v>
      </c>
      <c r="J97" s="21" t="s">
        <v>1703</v>
      </c>
      <c r="K97" s="40" t="s">
        <v>111</v>
      </c>
      <c r="L97" s="21" t="s">
        <v>1544</v>
      </c>
      <c r="M97" s="40" t="s">
        <v>111</v>
      </c>
      <c r="N97" s="9" t="s">
        <v>45</v>
      </c>
      <c r="O97" s="9" t="s">
        <v>1887</v>
      </c>
      <c r="P97" s="40" t="s">
        <v>111</v>
      </c>
      <c r="Q97" s="20" t="s">
        <v>2887</v>
      </c>
      <c r="R97" s="40" t="s">
        <v>1659</v>
      </c>
      <c r="S97" s="72" t="s">
        <v>3066</v>
      </c>
      <c r="T97" s="40" t="s">
        <v>111</v>
      </c>
      <c r="U97" s="10" t="s">
        <v>110</v>
      </c>
      <c r="V97" s="72">
        <v>1</v>
      </c>
      <c r="W97" s="40" t="s">
        <v>111</v>
      </c>
      <c r="X97" s="40" t="s">
        <v>111</v>
      </c>
      <c r="Y97" s="73">
        <v>4</v>
      </c>
      <c r="Z97" s="73">
        <v>0</v>
      </c>
      <c r="AA97" s="166">
        <v>4</v>
      </c>
      <c r="AB97" s="40" t="s">
        <v>111</v>
      </c>
      <c r="AC97" s="40" t="s">
        <v>111</v>
      </c>
      <c r="AD97" s="40" t="s">
        <v>111</v>
      </c>
      <c r="AE97" s="40"/>
    </row>
    <row r="98" spans="1:31" s="46" customFormat="1" ht="24.95" hidden="1" customHeight="1" x14ac:dyDescent="0.15">
      <c r="A98" s="40">
        <v>96</v>
      </c>
      <c r="B98" s="40" t="s">
        <v>1262</v>
      </c>
      <c r="C98" s="40" t="s">
        <v>1376</v>
      </c>
      <c r="D98" s="40" t="s">
        <v>111</v>
      </c>
      <c r="E98" s="40" t="s">
        <v>111</v>
      </c>
      <c r="F98" s="9" t="s">
        <v>991</v>
      </c>
      <c r="G98" s="21" t="s">
        <v>1545</v>
      </c>
      <c r="H98" s="1" t="s">
        <v>994</v>
      </c>
      <c r="I98" s="1" t="s">
        <v>993</v>
      </c>
      <c r="J98" s="21" t="s">
        <v>1704</v>
      </c>
      <c r="K98" s="40" t="s">
        <v>111</v>
      </c>
      <c r="L98" s="21" t="s">
        <v>1546</v>
      </c>
      <c r="M98" s="40" t="s">
        <v>111</v>
      </c>
      <c r="N98" s="9" t="s">
        <v>45</v>
      </c>
      <c r="O98" s="9" t="s">
        <v>1887</v>
      </c>
      <c r="P98" s="40" t="s">
        <v>111</v>
      </c>
      <c r="Q98" s="20" t="s">
        <v>2887</v>
      </c>
      <c r="R98" s="40" t="s">
        <v>1659</v>
      </c>
      <c r="S98" s="72" t="s">
        <v>3066</v>
      </c>
      <c r="T98" s="40" t="s">
        <v>111</v>
      </c>
      <c r="U98" s="10" t="s">
        <v>110</v>
      </c>
      <c r="V98" s="72">
        <v>1</v>
      </c>
      <c r="W98" s="40" t="s">
        <v>111</v>
      </c>
      <c r="X98" s="40" t="s">
        <v>111</v>
      </c>
      <c r="Y98" s="73">
        <v>4</v>
      </c>
      <c r="Z98" s="73">
        <v>0</v>
      </c>
      <c r="AA98" s="166">
        <v>4</v>
      </c>
      <c r="AB98" s="40" t="s">
        <v>111</v>
      </c>
      <c r="AC98" s="40" t="s">
        <v>111</v>
      </c>
      <c r="AD98" s="40" t="s">
        <v>111</v>
      </c>
      <c r="AE98" s="40"/>
    </row>
    <row r="99" spans="1:31" s="46" customFormat="1" ht="24.95" hidden="1" customHeight="1" x14ac:dyDescent="0.15">
      <c r="A99" s="40">
        <v>97</v>
      </c>
      <c r="B99" s="40" t="s">
        <v>1263</v>
      </c>
      <c r="C99" s="40" t="s">
        <v>1377</v>
      </c>
      <c r="D99" s="40" t="s">
        <v>111</v>
      </c>
      <c r="E99" s="40" t="s">
        <v>111</v>
      </c>
      <c r="F99" s="9" t="s">
        <v>1318</v>
      </c>
      <c r="G99" s="21" t="s">
        <v>1547</v>
      </c>
      <c r="H99" s="1" t="s">
        <v>1415</v>
      </c>
      <c r="I99" s="1" t="s">
        <v>1465</v>
      </c>
      <c r="J99" s="21" t="s">
        <v>1672</v>
      </c>
      <c r="K99" s="40" t="s">
        <v>111</v>
      </c>
      <c r="L99" s="21" t="s">
        <v>1548</v>
      </c>
      <c r="M99" s="40" t="s">
        <v>111</v>
      </c>
      <c r="N99" s="9" t="s">
        <v>686</v>
      </c>
      <c r="O99" s="9" t="s">
        <v>1762</v>
      </c>
      <c r="P99" s="40" t="s">
        <v>111</v>
      </c>
      <c r="Q99" s="20" t="s">
        <v>2891</v>
      </c>
      <c r="R99" s="40" t="s">
        <v>103</v>
      </c>
      <c r="S99" s="72" t="s">
        <v>3067</v>
      </c>
      <c r="T99" s="40" t="s">
        <v>111</v>
      </c>
      <c r="U99" s="10" t="s">
        <v>110</v>
      </c>
      <c r="V99" s="72">
        <v>1</v>
      </c>
      <c r="W99" s="40" t="s">
        <v>111</v>
      </c>
      <c r="X99" s="40" t="s">
        <v>111</v>
      </c>
      <c r="Y99" s="73">
        <v>7.09</v>
      </c>
      <c r="Z99" s="73">
        <v>0</v>
      </c>
      <c r="AA99" s="166">
        <v>7.09</v>
      </c>
      <c r="AB99" s="40" t="s">
        <v>111</v>
      </c>
      <c r="AC99" s="40" t="s">
        <v>111</v>
      </c>
      <c r="AD99" s="40" t="s">
        <v>111</v>
      </c>
      <c r="AE99" s="40"/>
    </row>
    <row r="100" spans="1:31" s="46" customFormat="1" ht="24.95" hidden="1" customHeight="1" x14ac:dyDescent="0.15">
      <c r="A100" s="40">
        <v>98</v>
      </c>
      <c r="B100" s="40" t="s">
        <v>1409</v>
      </c>
      <c r="C100" s="40" t="s">
        <v>111</v>
      </c>
      <c r="D100" s="40" t="s">
        <v>111</v>
      </c>
      <c r="E100" s="8" t="s">
        <v>1410</v>
      </c>
      <c r="F100" s="9" t="s">
        <v>1264</v>
      </c>
      <c r="G100" s="21" t="s">
        <v>1549</v>
      </c>
      <c r="H100" s="1" t="s">
        <v>94</v>
      </c>
      <c r="I100" s="1" t="s">
        <v>1503</v>
      </c>
      <c r="J100" s="1" t="s">
        <v>1705</v>
      </c>
      <c r="K100" s="40" t="s">
        <v>111</v>
      </c>
      <c r="L100" s="1" t="s">
        <v>1550</v>
      </c>
      <c r="M100" s="40" t="s">
        <v>111</v>
      </c>
      <c r="N100" s="9" t="s">
        <v>102</v>
      </c>
      <c r="O100" s="9" t="s">
        <v>851</v>
      </c>
      <c r="P100" s="40" t="s">
        <v>111</v>
      </c>
      <c r="Q100" s="20" t="s">
        <v>2891</v>
      </c>
      <c r="R100" s="40" t="s">
        <v>1756</v>
      </c>
      <c r="S100" s="72" t="s">
        <v>3068</v>
      </c>
      <c r="T100" s="40" t="s">
        <v>111</v>
      </c>
      <c r="U100" s="10" t="s">
        <v>109</v>
      </c>
      <c r="V100" s="72">
        <v>1</v>
      </c>
      <c r="W100" s="40" t="s">
        <v>111</v>
      </c>
      <c r="X100" s="40" t="s">
        <v>111</v>
      </c>
      <c r="Y100" s="73">
        <v>0</v>
      </c>
      <c r="Z100" s="73">
        <f>12.6*3</f>
        <v>37.799999999999997</v>
      </c>
      <c r="AA100" s="166">
        <f>12.6*3</f>
        <v>37.799999999999997</v>
      </c>
      <c r="AB100" s="40" t="s">
        <v>111</v>
      </c>
      <c r="AC100" s="40" t="s">
        <v>111</v>
      </c>
      <c r="AD100" s="40" t="s">
        <v>111</v>
      </c>
      <c r="AE100" s="40"/>
    </row>
    <row r="101" spans="1:31" s="143" customFormat="1" ht="24.95" hidden="1" customHeight="1" x14ac:dyDescent="0.15">
      <c r="A101" s="72">
        <v>99</v>
      </c>
      <c r="B101" s="72" t="s">
        <v>2922</v>
      </c>
      <c r="C101" s="72" t="s">
        <v>2209</v>
      </c>
      <c r="D101" s="72" t="s">
        <v>2209</v>
      </c>
      <c r="E101" s="72" t="s">
        <v>2209</v>
      </c>
      <c r="F101" s="72" t="s">
        <v>2209</v>
      </c>
      <c r="G101" s="129" t="s">
        <v>3481</v>
      </c>
      <c r="H101" s="21" t="s">
        <v>1508</v>
      </c>
      <c r="I101" s="20" t="s">
        <v>819</v>
      </c>
      <c r="J101" s="21" t="s">
        <v>850</v>
      </c>
      <c r="K101" s="72" t="s">
        <v>3103</v>
      </c>
      <c r="L101" s="72" t="s">
        <v>3103</v>
      </c>
      <c r="M101" s="72" t="s">
        <v>3103</v>
      </c>
      <c r="N101" s="21" t="s">
        <v>102</v>
      </c>
      <c r="O101" s="20" t="s">
        <v>851</v>
      </c>
      <c r="P101" s="72" t="s">
        <v>3103</v>
      </c>
      <c r="Q101" s="119" t="s">
        <v>3104</v>
      </c>
      <c r="R101" s="72" t="s">
        <v>3103</v>
      </c>
      <c r="S101" s="72" t="s">
        <v>111</v>
      </c>
      <c r="T101" s="72" t="s">
        <v>3103</v>
      </c>
      <c r="U101" s="72" t="s">
        <v>3417</v>
      </c>
      <c r="V101" s="72">
        <v>0</v>
      </c>
      <c r="W101" s="72" t="s">
        <v>3103</v>
      </c>
      <c r="X101" s="72" t="s">
        <v>3103</v>
      </c>
      <c r="Y101" s="170">
        <v>0</v>
      </c>
      <c r="Z101" s="170">
        <v>10</v>
      </c>
      <c r="AA101" s="30">
        <v>10</v>
      </c>
      <c r="AB101" s="72" t="s">
        <v>3103</v>
      </c>
      <c r="AC101" s="72" t="s">
        <v>3103</v>
      </c>
      <c r="AD101" s="72" t="s">
        <v>3103</v>
      </c>
      <c r="AE101" s="72"/>
    </row>
    <row r="102" spans="1:31" s="143" customFormat="1" ht="24.95" hidden="1" customHeight="1" x14ac:dyDescent="0.15">
      <c r="A102" s="72">
        <v>100</v>
      </c>
      <c r="B102" s="72" t="s">
        <v>3105</v>
      </c>
      <c r="C102" s="72" t="s">
        <v>3103</v>
      </c>
      <c r="D102" s="72" t="s">
        <v>3103</v>
      </c>
      <c r="E102" s="72" t="s">
        <v>3103</v>
      </c>
      <c r="F102" s="72" t="s">
        <v>3103</v>
      </c>
      <c r="G102" s="129" t="s">
        <v>3481</v>
      </c>
      <c r="H102" s="21" t="s">
        <v>1508</v>
      </c>
      <c r="I102" s="20" t="s">
        <v>819</v>
      </c>
      <c r="J102" s="21" t="s">
        <v>853</v>
      </c>
      <c r="K102" s="72" t="s">
        <v>3103</v>
      </c>
      <c r="L102" s="72" t="s">
        <v>3103</v>
      </c>
      <c r="M102" s="72" t="s">
        <v>3103</v>
      </c>
      <c r="N102" s="21" t="s">
        <v>102</v>
      </c>
      <c r="O102" s="20" t="s">
        <v>851</v>
      </c>
      <c r="P102" s="72" t="s">
        <v>3103</v>
      </c>
      <c r="Q102" s="119" t="s">
        <v>3104</v>
      </c>
      <c r="R102" s="72" t="s">
        <v>3103</v>
      </c>
      <c r="S102" s="72" t="s">
        <v>111</v>
      </c>
      <c r="T102" s="72" t="s">
        <v>3103</v>
      </c>
      <c r="U102" s="72" t="s">
        <v>3417</v>
      </c>
      <c r="V102" s="72">
        <v>0</v>
      </c>
      <c r="W102" s="72" t="s">
        <v>3103</v>
      </c>
      <c r="X102" s="72" t="s">
        <v>3103</v>
      </c>
      <c r="Y102" s="170">
        <v>0</v>
      </c>
      <c r="Z102" s="170">
        <v>10</v>
      </c>
      <c r="AA102" s="30">
        <v>10</v>
      </c>
      <c r="AB102" s="72" t="s">
        <v>3103</v>
      </c>
      <c r="AC102" s="72" t="s">
        <v>3103</v>
      </c>
      <c r="AD102" s="72" t="s">
        <v>3103</v>
      </c>
      <c r="AE102" s="72"/>
    </row>
    <row r="103" spans="1:31" s="46" customFormat="1" ht="24.95" hidden="1" customHeight="1" x14ac:dyDescent="0.15">
      <c r="A103" s="40">
        <v>101</v>
      </c>
      <c r="B103" s="40" t="s">
        <v>1265</v>
      </c>
      <c r="C103" s="40" t="s">
        <v>111</v>
      </c>
      <c r="D103" s="40" t="s">
        <v>111</v>
      </c>
      <c r="E103" s="40" t="s">
        <v>111</v>
      </c>
      <c r="F103" s="9" t="s">
        <v>1179</v>
      </c>
      <c r="G103" s="21" t="s">
        <v>1551</v>
      </c>
      <c r="H103" s="1" t="s">
        <v>1436</v>
      </c>
      <c r="I103" s="1" t="s">
        <v>1435</v>
      </c>
      <c r="J103" s="21" t="s">
        <v>1609</v>
      </c>
      <c r="K103" s="40" t="s">
        <v>111</v>
      </c>
      <c r="L103" s="21" t="s">
        <v>1552</v>
      </c>
      <c r="M103" s="40" t="s">
        <v>111</v>
      </c>
      <c r="N103" s="9" t="s">
        <v>102</v>
      </c>
      <c r="O103" s="9" t="s">
        <v>463</v>
      </c>
      <c r="P103" s="40" t="s">
        <v>111</v>
      </c>
      <c r="Q103" s="20" t="s">
        <v>2919</v>
      </c>
      <c r="R103" s="40" t="s">
        <v>1753</v>
      </c>
      <c r="S103" s="72" t="s">
        <v>3066</v>
      </c>
      <c r="T103" s="40" t="s">
        <v>111</v>
      </c>
      <c r="U103" s="10" t="s">
        <v>108</v>
      </c>
      <c r="V103" s="72">
        <v>1</v>
      </c>
      <c r="W103" s="40" t="s">
        <v>111</v>
      </c>
      <c r="X103" s="40" t="s">
        <v>111</v>
      </c>
      <c r="Y103" s="73">
        <v>2.2000000000000002</v>
      </c>
      <c r="Z103" s="73">
        <v>0</v>
      </c>
      <c r="AA103" s="166">
        <v>2.2000000000000002</v>
      </c>
      <c r="AB103" s="40" t="s">
        <v>111</v>
      </c>
      <c r="AC103" s="40" t="s">
        <v>111</v>
      </c>
      <c r="AD103" s="40" t="s">
        <v>111</v>
      </c>
      <c r="AE103" s="40"/>
    </row>
    <row r="104" spans="1:31" s="46" customFormat="1" ht="24.95" hidden="1" customHeight="1" x14ac:dyDescent="0.15">
      <c r="A104" s="40">
        <v>102</v>
      </c>
      <c r="B104" s="40" t="s">
        <v>1266</v>
      </c>
      <c r="C104" s="40" t="s">
        <v>111</v>
      </c>
      <c r="D104" s="40" t="s">
        <v>111</v>
      </c>
      <c r="E104" s="40" t="s">
        <v>111</v>
      </c>
      <c r="F104" s="9" t="s">
        <v>1267</v>
      </c>
      <c r="G104" s="44" t="s">
        <v>1553</v>
      </c>
      <c r="H104" s="45" t="s">
        <v>1504</v>
      </c>
      <c r="I104" s="45" t="s">
        <v>1456</v>
      </c>
      <c r="J104" s="44" t="s">
        <v>1706</v>
      </c>
      <c r="K104" s="40" t="s">
        <v>111</v>
      </c>
      <c r="L104" s="44" t="s">
        <v>1554</v>
      </c>
      <c r="M104" s="40" t="s">
        <v>111</v>
      </c>
      <c r="N104" s="9" t="s">
        <v>102</v>
      </c>
      <c r="O104" s="9" t="s">
        <v>1747</v>
      </c>
      <c r="P104" s="40" t="s">
        <v>111</v>
      </c>
      <c r="Q104" s="20" t="s">
        <v>3079</v>
      </c>
      <c r="R104" s="40" t="s">
        <v>1766</v>
      </c>
      <c r="S104" s="153" t="s">
        <v>3069</v>
      </c>
      <c r="T104" s="40" t="s">
        <v>111</v>
      </c>
      <c r="U104" s="10" t="s">
        <v>109</v>
      </c>
      <c r="V104" s="72">
        <v>1</v>
      </c>
      <c r="W104" s="40" t="s">
        <v>111</v>
      </c>
      <c r="X104" s="40" t="s">
        <v>111</v>
      </c>
      <c r="Y104" s="73">
        <v>0</v>
      </c>
      <c r="Z104" s="73">
        <v>15.3</v>
      </c>
      <c r="AA104" s="166">
        <v>15.3</v>
      </c>
      <c r="AB104" s="40" t="s">
        <v>111</v>
      </c>
      <c r="AC104" s="40" t="s">
        <v>111</v>
      </c>
      <c r="AD104" s="40" t="s">
        <v>111</v>
      </c>
      <c r="AE104" s="40"/>
    </row>
    <row r="105" spans="1:31" s="46" customFormat="1" ht="24.95" hidden="1" customHeight="1" x14ac:dyDescent="0.15">
      <c r="A105" s="40">
        <v>103</v>
      </c>
      <c r="B105" s="40" t="s">
        <v>1268</v>
      </c>
      <c r="C105" s="40" t="s">
        <v>1378</v>
      </c>
      <c r="D105" s="40" t="s">
        <v>111</v>
      </c>
      <c r="E105" s="40" t="s">
        <v>111</v>
      </c>
      <c r="F105" s="9" t="s">
        <v>1269</v>
      </c>
      <c r="G105" s="21" t="s">
        <v>1555</v>
      </c>
      <c r="H105" s="1" t="s">
        <v>23</v>
      </c>
      <c r="I105" s="1" t="s">
        <v>1456</v>
      </c>
      <c r="J105" s="37" t="s">
        <v>1707</v>
      </c>
      <c r="K105" s="40" t="s">
        <v>111</v>
      </c>
      <c r="L105" s="37" t="s">
        <v>1556</v>
      </c>
      <c r="M105" s="40" t="s">
        <v>111</v>
      </c>
      <c r="N105" s="9" t="s">
        <v>686</v>
      </c>
      <c r="O105" s="9" t="s">
        <v>1763</v>
      </c>
      <c r="P105" s="40" t="s">
        <v>111</v>
      </c>
      <c r="Q105" s="20" t="s">
        <v>2863</v>
      </c>
      <c r="R105" s="40" t="s">
        <v>1749</v>
      </c>
      <c r="S105" s="72" t="s">
        <v>3070</v>
      </c>
      <c r="T105" s="40" t="s">
        <v>111</v>
      </c>
      <c r="U105" s="10" t="s">
        <v>109</v>
      </c>
      <c r="V105" s="72">
        <v>1</v>
      </c>
      <c r="W105" s="40" t="s">
        <v>111</v>
      </c>
      <c r="X105" s="40" t="s">
        <v>111</v>
      </c>
      <c r="Y105" s="73">
        <v>2.8</v>
      </c>
      <c r="Z105" s="73">
        <v>0</v>
      </c>
      <c r="AA105" s="166">
        <v>2.8</v>
      </c>
      <c r="AB105" s="40" t="s">
        <v>111</v>
      </c>
      <c r="AC105" s="40" t="s">
        <v>111</v>
      </c>
      <c r="AD105" s="40" t="s">
        <v>111</v>
      </c>
      <c r="AE105" s="40"/>
    </row>
    <row r="106" spans="1:31" s="46" customFormat="1" ht="24.95" hidden="1" customHeight="1" x14ac:dyDescent="0.15">
      <c r="A106" s="40">
        <v>104</v>
      </c>
      <c r="B106" s="40" t="s">
        <v>1270</v>
      </c>
      <c r="C106" s="40" t="s">
        <v>1379</v>
      </c>
      <c r="D106" s="40" t="s">
        <v>111</v>
      </c>
      <c r="E106" s="40" t="s">
        <v>111</v>
      </c>
      <c r="F106" s="9" t="s">
        <v>1271</v>
      </c>
      <c r="G106" s="21" t="s">
        <v>1555</v>
      </c>
      <c r="H106" s="1" t="s">
        <v>23</v>
      </c>
      <c r="I106" s="1" t="s">
        <v>1456</v>
      </c>
      <c r="J106" s="37" t="s">
        <v>1708</v>
      </c>
      <c r="K106" s="40" t="s">
        <v>111</v>
      </c>
      <c r="L106" s="37" t="s">
        <v>1557</v>
      </c>
      <c r="M106" s="40" t="s">
        <v>111</v>
      </c>
      <c r="N106" s="9" t="s">
        <v>686</v>
      </c>
      <c r="O106" s="9" t="s">
        <v>1763</v>
      </c>
      <c r="P106" s="40" t="s">
        <v>111</v>
      </c>
      <c r="Q106" s="20" t="s">
        <v>2863</v>
      </c>
      <c r="R106" s="40" t="s">
        <v>1749</v>
      </c>
      <c r="S106" s="72" t="s">
        <v>3070</v>
      </c>
      <c r="T106" s="40" t="s">
        <v>111</v>
      </c>
      <c r="U106" s="10" t="s">
        <v>109</v>
      </c>
      <c r="V106" s="72">
        <v>1</v>
      </c>
      <c r="W106" s="40" t="s">
        <v>111</v>
      </c>
      <c r="X106" s="40" t="s">
        <v>111</v>
      </c>
      <c r="Y106" s="73">
        <v>2.8</v>
      </c>
      <c r="Z106" s="73">
        <v>0</v>
      </c>
      <c r="AA106" s="166">
        <v>2.8</v>
      </c>
      <c r="AB106" s="40" t="s">
        <v>111</v>
      </c>
      <c r="AC106" s="40" t="s">
        <v>111</v>
      </c>
      <c r="AD106" s="40" t="s">
        <v>111</v>
      </c>
      <c r="AE106" s="40"/>
    </row>
    <row r="107" spans="1:31" s="46" customFormat="1" ht="24.95" hidden="1" customHeight="1" x14ac:dyDescent="0.15">
      <c r="A107" s="40">
        <v>105</v>
      </c>
      <c r="B107" s="40" t="s">
        <v>1272</v>
      </c>
      <c r="C107" s="40" t="s">
        <v>111</v>
      </c>
      <c r="D107" s="40" t="s">
        <v>111</v>
      </c>
      <c r="E107" s="40" t="s">
        <v>111</v>
      </c>
      <c r="F107" s="9" t="s">
        <v>1273</v>
      </c>
      <c r="G107" s="21" t="s">
        <v>1555</v>
      </c>
      <c r="H107" s="1" t="s">
        <v>23</v>
      </c>
      <c r="I107" s="1" t="s">
        <v>1456</v>
      </c>
      <c r="J107" s="37" t="s">
        <v>1709</v>
      </c>
      <c r="K107" s="40" t="s">
        <v>111</v>
      </c>
      <c r="L107" s="37" t="s">
        <v>1558</v>
      </c>
      <c r="M107" s="40" t="s">
        <v>111</v>
      </c>
      <c r="N107" s="9" t="s">
        <v>686</v>
      </c>
      <c r="O107" s="9" t="s">
        <v>1763</v>
      </c>
      <c r="P107" s="40" t="s">
        <v>111</v>
      </c>
      <c r="Q107" s="20" t="s">
        <v>2863</v>
      </c>
      <c r="R107" s="40" t="s">
        <v>1749</v>
      </c>
      <c r="S107" s="72" t="s">
        <v>3070</v>
      </c>
      <c r="T107" s="40" t="s">
        <v>111</v>
      </c>
      <c r="U107" s="10" t="s">
        <v>109</v>
      </c>
      <c r="V107" s="72">
        <v>1</v>
      </c>
      <c r="W107" s="40" t="s">
        <v>111</v>
      </c>
      <c r="X107" s="40" t="s">
        <v>111</v>
      </c>
      <c r="Y107" s="73">
        <v>2.8</v>
      </c>
      <c r="Z107" s="73">
        <v>0</v>
      </c>
      <c r="AA107" s="166">
        <v>2.8</v>
      </c>
      <c r="AB107" s="40" t="s">
        <v>111</v>
      </c>
      <c r="AC107" s="40" t="s">
        <v>111</v>
      </c>
      <c r="AD107" s="40" t="s">
        <v>111</v>
      </c>
      <c r="AE107" s="40"/>
    </row>
    <row r="108" spans="1:31" s="46" customFormat="1" ht="24.95" hidden="1" customHeight="1" x14ac:dyDescent="0.15">
      <c r="A108" s="40">
        <v>106</v>
      </c>
      <c r="B108" s="40" t="s">
        <v>1274</v>
      </c>
      <c r="C108" s="40" t="s">
        <v>111</v>
      </c>
      <c r="D108" s="40" t="s">
        <v>111</v>
      </c>
      <c r="E108" s="40" t="s">
        <v>111</v>
      </c>
      <c r="F108" s="9" t="s">
        <v>1275</v>
      </c>
      <c r="G108" s="21" t="s">
        <v>1555</v>
      </c>
      <c r="H108" s="1" t="s">
        <v>23</v>
      </c>
      <c r="I108" s="1" t="s">
        <v>1456</v>
      </c>
      <c r="J108" s="37" t="s">
        <v>1710</v>
      </c>
      <c r="K108" s="40" t="s">
        <v>111</v>
      </c>
      <c r="L108" s="37" t="s">
        <v>1559</v>
      </c>
      <c r="M108" s="40" t="s">
        <v>111</v>
      </c>
      <c r="N108" s="9" t="s">
        <v>686</v>
      </c>
      <c r="O108" s="9" t="s">
        <v>1763</v>
      </c>
      <c r="P108" s="40" t="s">
        <v>111</v>
      </c>
      <c r="Q108" s="20" t="s">
        <v>2863</v>
      </c>
      <c r="R108" s="40" t="s">
        <v>1749</v>
      </c>
      <c r="S108" s="72" t="s">
        <v>3070</v>
      </c>
      <c r="T108" s="40" t="s">
        <v>111</v>
      </c>
      <c r="U108" s="10" t="s">
        <v>109</v>
      </c>
      <c r="V108" s="72">
        <v>1</v>
      </c>
      <c r="W108" s="40" t="s">
        <v>111</v>
      </c>
      <c r="X108" s="40" t="s">
        <v>111</v>
      </c>
      <c r="Y108" s="73">
        <v>2.8</v>
      </c>
      <c r="Z108" s="73">
        <v>0</v>
      </c>
      <c r="AA108" s="166">
        <v>2.8</v>
      </c>
      <c r="AB108" s="40" t="s">
        <v>111</v>
      </c>
      <c r="AC108" s="40" t="s">
        <v>111</v>
      </c>
      <c r="AD108" s="40" t="s">
        <v>111</v>
      </c>
      <c r="AE108" s="40"/>
    </row>
    <row r="109" spans="1:31" s="46" customFormat="1" ht="24.95" hidden="1" customHeight="1" x14ac:dyDescent="0.15">
      <c r="A109" s="40">
        <v>107</v>
      </c>
      <c r="B109" s="40" t="s">
        <v>1276</v>
      </c>
      <c r="C109" s="40" t="s">
        <v>111</v>
      </c>
      <c r="D109" s="40" t="s">
        <v>111</v>
      </c>
      <c r="E109" s="40" t="s">
        <v>111</v>
      </c>
      <c r="F109" s="9" t="s">
        <v>1277</v>
      </c>
      <c r="G109" s="21" t="s">
        <v>1555</v>
      </c>
      <c r="H109" s="1" t="s">
        <v>23</v>
      </c>
      <c r="I109" s="1" t="s">
        <v>1456</v>
      </c>
      <c r="J109" s="37" t="s">
        <v>1711</v>
      </c>
      <c r="K109" s="40" t="s">
        <v>111</v>
      </c>
      <c r="L109" s="37" t="s">
        <v>1560</v>
      </c>
      <c r="M109" s="40" t="s">
        <v>111</v>
      </c>
      <c r="N109" s="9" t="s">
        <v>686</v>
      </c>
      <c r="O109" s="9" t="s">
        <v>1763</v>
      </c>
      <c r="P109" s="40" t="s">
        <v>111</v>
      </c>
      <c r="Q109" s="20" t="s">
        <v>2863</v>
      </c>
      <c r="R109" s="40" t="s">
        <v>1749</v>
      </c>
      <c r="S109" s="72" t="s">
        <v>3070</v>
      </c>
      <c r="T109" s="40" t="s">
        <v>111</v>
      </c>
      <c r="U109" s="10" t="s">
        <v>109</v>
      </c>
      <c r="V109" s="72">
        <v>1</v>
      </c>
      <c r="W109" s="40" t="s">
        <v>111</v>
      </c>
      <c r="X109" s="40" t="s">
        <v>111</v>
      </c>
      <c r="Y109" s="73">
        <v>2.8</v>
      </c>
      <c r="Z109" s="73">
        <v>0</v>
      </c>
      <c r="AA109" s="166">
        <v>2.8</v>
      </c>
      <c r="AB109" s="40" t="s">
        <v>111</v>
      </c>
      <c r="AC109" s="40" t="s">
        <v>111</v>
      </c>
      <c r="AD109" s="40" t="s">
        <v>111</v>
      </c>
      <c r="AE109" s="40"/>
    </row>
    <row r="110" spans="1:31" s="46" customFormat="1" ht="24.95" hidden="1" customHeight="1" x14ac:dyDescent="0.15">
      <c r="A110" s="40">
        <v>108</v>
      </c>
      <c r="B110" s="40" t="s">
        <v>1278</v>
      </c>
      <c r="C110" s="40" t="s">
        <v>111</v>
      </c>
      <c r="D110" s="40" t="s">
        <v>111</v>
      </c>
      <c r="E110" s="40" t="s">
        <v>111</v>
      </c>
      <c r="F110" s="9" t="s">
        <v>1279</v>
      </c>
      <c r="G110" s="21" t="s">
        <v>1555</v>
      </c>
      <c r="H110" s="1" t="s">
        <v>23</v>
      </c>
      <c r="I110" s="1" t="s">
        <v>1456</v>
      </c>
      <c r="J110" s="37" t="s">
        <v>1712</v>
      </c>
      <c r="K110" s="40" t="s">
        <v>111</v>
      </c>
      <c r="L110" s="37" t="s">
        <v>1561</v>
      </c>
      <c r="M110" s="40" t="s">
        <v>111</v>
      </c>
      <c r="N110" s="9" t="s">
        <v>686</v>
      </c>
      <c r="O110" s="9" t="s">
        <v>1763</v>
      </c>
      <c r="P110" s="40" t="s">
        <v>111</v>
      </c>
      <c r="Q110" s="20" t="s">
        <v>2863</v>
      </c>
      <c r="R110" s="40" t="s">
        <v>1749</v>
      </c>
      <c r="S110" s="72" t="s">
        <v>3070</v>
      </c>
      <c r="T110" s="40" t="s">
        <v>111</v>
      </c>
      <c r="U110" s="10" t="s">
        <v>109</v>
      </c>
      <c r="V110" s="72">
        <v>1</v>
      </c>
      <c r="W110" s="40" t="s">
        <v>111</v>
      </c>
      <c r="X110" s="40" t="s">
        <v>111</v>
      </c>
      <c r="Y110" s="73">
        <v>2.8</v>
      </c>
      <c r="Z110" s="73">
        <v>0</v>
      </c>
      <c r="AA110" s="166">
        <v>2.8</v>
      </c>
      <c r="AB110" s="40" t="s">
        <v>111</v>
      </c>
      <c r="AC110" s="40" t="s">
        <v>111</v>
      </c>
      <c r="AD110" s="40" t="s">
        <v>111</v>
      </c>
      <c r="AE110" s="40"/>
    </row>
    <row r="111" spans="1:31" s="46" customFormat="1" ht="24.95" hidden="1" customHeight="1" x14ac:dyDescent="0.15">
      <c r="A111" s="40">
        <v>109</v>
      </c>
      <c r="B111" s="40" t="s">
        <v>1280</v>
      </c>
      <c r="C111" s="40" t="s">
        <v>111</v>
      </c>
      <c r="D111" s="40" t="s">
        <v>111</v>
      </c>
      <c r="E111" s="40" t="s">
        <v>111</v>
      </c>
      <c r="F111" s="9" t="s">
        <v>1281</v>
      </c>
      <c r="G111" s="21" t="s">
        <v>1555</v>
      </c>
      <c r="H111" s="1" t="s">
        <v>23</v>
      </c>
      <c r="I111" s="1" t="s">
        <v>1456</v>
      </c>
      <c r="J111" s="37" t="s">
        <v>1713</v>
      </c>
      <c r="K111" s="40" t="s">
        <v>111</v>
      </c>
      <c r="L111" s="37" t="s">
        <v>1562</v>
      </c>
      <c r="M111" s="40" t="s">
        <v>111</v>
      </c>
      <c r="N111" s="9" t="s">
        <v>686</v>
      </c>
      <c r="O111" s="9" t="s">
        <v>1763</v>
      </c>
      <c r="P111" s="40" t="s">
        <v>111</v>
      </c>
      <c r="Q111" s="20" t="s">
        <v>2863</v>
      </c>
      <c r="R111" s="40" t="s">
        <v>1749</v>
      </c>
      <c r="S111" s="72" t="s">
        <v>3070</v>
      </c>
      <c r="T111" s="40" t="s">
        <v>111</v>
      </c>
      <c r="U111" s="10" t="s">
        <v>109</v>
      </c>
      <c r="V111" s="72">
        <v>1</v>
      </c>
      <c r="W111" s="40" t="s">
        <v>111</v>
      </c>
      <c r="X111" s="40" t="s">
        <v>111</v>
      </c>
      <c r="Y111" s="73">
        <v>2.8</v>
      </c>
      <c r="Z111" s="73">
        <v>0</v>
      </c>
      <c r="AA111" s="166">
        <v>2.8</v>
      </c>
      <c r="AB111" s="40" t="s">
        <v>111</v>
      </c>
      <c r="AC111" s="40" t="s">
        <v>111</v>
      </c>
      <c r="AD111" s="40" t="s">
        <v>111</v>
      </c>
      <c r="AE111" s="40"/>
    </row>
    <row r="112" spans="1:31" s="46" customFormat="1" ht="24.95" hidden="1" customHeight="1" x14ac:dyDescent="0.15">
      <c r="A112" s="40">
        <v>110</v>
      </c>
      <c r="B112" s="40" t="s">
        <v>1282</v>
      </c>
      <c r="C112" s="40" t="s">
        <v>111</v>
      </c>
      <c r="D112" s="40" t="s">
        <v>111</v>
      </c>
      <c r="E112" s="40" t="s">
        <v>111</v>
      </c>
      <c r="F112" s="9" t="s">
        <v>1283</v>
      </c>
      <c r="G112" s="21" t="s">
        <v>1555</v>
      </c>
      <c r="H112" s="1" t="s">
        <v>23</v>
      </c>
      <c r="I112" s="1" t="s">
        <v>1456</v>
      </c>
      <c r="J112" s="37" t="s">
        <v>1714</v>
      </c>
      <c r="K112" s="40" t="s">
        <v>111</v>
      </c>
      <c r="L112" s="37" t="s">
        <v>1563</v>
      </c>
      <c r="M112" s="40" t="s">
        <v>111</v>
      </c>
      <c r="N112" s="9" t="s">
        <v>686</v>
      </c>
      <c r="O112" s="9" t="s">
        <v>1763</v>
      </c>
      <c r="P112" s="40" t="s">
        <v>111</v>
      </c>
      <c r="Q112" s="20" t="s">
        <v>2863</v>
      </c>
      <c r="R112" s="40" t="s">
        <v>1749</v>
      </c>
      <c r="S112" s="72" t="s">
        <v>3070</v>
      </c>
      <c r="T112" s="40" t="s">
        <v>111</v>
      </c>
      <c r="U112" s="10" t="s">
        <v>109</v>
      </c>
      <c r="V112" s="72">
        <v>1</v>
      </c>
      <c r="W112" s="40" t="s">
        <v>111</v>
      </c>
      <c r="X112" s="40" t="s">
        <v>111</v>
      </c>
      <c r="Y112" s="73">
        <v>2.8</v>
      </c>
      <c r="Z112" s="73">
        <v>0</v>
      </c>
      <c r="AA112" s="166">
        <v>2.8</v>
      </c>
      <c r="AB112" s="40" t="s">
        <v>111</v>
      </c>
      <c r="AC112" s="40" t="s">
        <v>111</v>
      </c>
      <c r="AD112" s="40" t="s">
        <v>111</v>
      </c>
      <c r="AE112" s="40"/>
    </row>
    <row r="113" spans="1:31" s="46" customFormat="1" ht="24.95" hidden="1" customHeight="1" x14ac:dyDescent="0.15">
      <c r="A113" s="40">
        <v>111</v>
      </c>
      <c r="B113" s="40" t="s">
        <v>1284</v>
      </c>
      <c r="C113" s="40" t="s">
        <v>111</v>
      </c>
      <c r="D113" s="40" t="s">
        <v>111</v>
      </c>
      <c r="E113" s="40" t="s">
        <v>111</v>
      </c>
      <c r="F113" s="9" t="s">
        <v>1285</v>
      </c>
      <c r="G113" s="21" t="s">
        <v>1555</v>
      </c>
      <c r="H113" s="1" t="s">
        <v>23</v>
      </c>
      <c r="I113" s="1" t="s">
        <v>1456</v>
      </c>
      <c r="J113" s="37" t="s">
        <v>1715</v>
      </c>
      <c r="K113" s="40" t="s">
        <v>111</v>
      </c>
      <c r="L113" s="37" t="s">
        <v>1564</v>
      </c>
      <c r="M113" s="40" t="s">
        <v>111</v>
      </c>
      <c r="N113" s="9" t="s">
        <v>686</v>
      </c>
      <c r="O113" s="9" t="s">
        <v>1763</v>
      </c>
      <c r="P113" s="40" t="s">
        <v>111</v>
      </c>
      <c r="Q113" s="20" t="s">
        <v>2863</v>
      </c>
      <c r="R113" s="40" t="s">
        <v>1749</v>
      </c>
      <c r="S113" s="72" t="s">
        <v>3070</v>
      </c>
      <c r="T113" s="40" t="s">
        <v>111</v>
      </c>
      <c r="U113" s="10" t="s">
        <v>109</v>
      </c>
      <c r="V113" s="72">
        <v>1</v>
      </c>
      <c r="W113" s="40" t="s">
        <v>111</v>
      </c>
      <c r="X113" s="40" t="s">
        <v>111</v>
      </c>
      <c r="Y113" s="73">
        <v>2.8</v>
      </c>
      <c r="Z113" s="73">
        <v>0</v>
      </c>
      <c r="AA113" s="166">
        <v>2.8</v>
      </c>
      <c r="AB113" s="40" t="s">
        <v>111</v>
      </c>
      <c r="AC113" s="40" t="s">
        <v>111</v>
      </c>
      <c r="AD113" s="40" t="s">
        <v>111</v>
      </c>
      <c r="AE113" s="40"/>
    </row>
    <row r="114" spans="1:31" s="46" customFormat="1" ht="24.95" hidden="1" customHeight="1" x14ac:dyDescent="0.15">
      <c r="A114" s="40">
        <v>112</v>
      </c>
      <c r="B114" s="40" t="s">
        <v>1286</v>
      </c>
      <c r="C114" s="40" t="s">
        <v>111</v>
      </c>
      <c r="D114" s="40" t="s">
        <v>111</v>
      </c>
      <c r="E114" s="40" t="s">
        <v>111</v>
      </c>
      <c r="F114" s="9" t="s">
        <v>1287</v>
      </c>
      <c r="G114" s="21" t="s">
        <v>1555</v>
      </c>
      <c r="H114" s="1" t="s">
        <v>23</v>
      </c>
      <c r="I114" s="1" t="s">
        <v>1456</v>
      </c>
      <c r="J114" s="37" t="s">
        <v>1716</v>
      </c>
      <c r="K114" s="40" t="s">
        <v>111</v>
      </c>
      <c r="L114" s="37" t="s">
        <v>1565</v>
      </c>
      <c r="M114" s="40" t="s">
        <v>111</v>
      </c>
      <c r="N114" s="9" t="s">
        <v>686</v>
      </c>
      <c r="O114" s="9" t="s">
        <v>1763</v>
      </c>
      <c r="P114" s="40" t="s">
        <v>111</v>
      </c>
      <c r="Q114" s="20" t="s">
        <v>2863</v>
      </c>
      <c r="R114" s="40" t="s">
        <v>1749</v>
      </c>
      <c r="S114" s="72" t="s">
        <v>3070</v>
      </c>
      <c r="T114" s="40" t="s">
        <v>111</v>
      </c>
      <c r="U114" s="10" t="s">
        <v>109</v>
      </c>
      <c r="V114" s="72">
        <v>1</v>
      </c>
      <c r="W114" s="40" t="s">
        <v>111</v>
      </c>
      <c r="X114" s="40" t="s">
        <v>111</v>
      </c>
      <c r="Y114" s="73">
        <v>2.8</v>
      </c>
      <c r="Z114" s="73">
        <v>0</v>
      </c>
      <c r="AA114" s="166">
        <v>2.8</v>
      </c>
      <c r="AB114" s="40" t="s">
        <v>111</v>
      </c>
      <c r="AC114" s="40" t="s">
        <v>111</v>
      </c>
      <c r="AD114" s="40" t="s">
        <v>111</v>
      </c>
      <c r="AE114" s="40"/>
    </row>
    <row r="115" spans="1:31" s="46" customFormat="1" ht="24.95" hidden="1" customHeight="1" x14ac:dyDescent="0.15">
      <c r="A115" s="40">
        <v>113</v>
      </c>
      <c r="B115" s="40" t="s">
        <v>1288</v>
      </c>
      <c r="C115" s="40" t="s">
        <v>111</v>
      </c>
      <c r="D115" s="40" t="s">
        <v>111</v>
      </c>
      <c r="E115" s="40" t="s">
        <v>111</v>
      </c>
      <c r="F115" s="9" t="s">
        <v>1289</v>
      </c>
      <c r="G115" s="21" t="s">
        <v>1555</v>
      </c>
      <c r="H115" s="1" t="s">
        <v>23</v>
      </c>
      <c r="I115" s="1" t="s">
        <v>1456</v>
      </c>
      <c r="J115" s="37" t="s">
        <v>1717</v>
      </c>
      <c r="K115" s="40" t="s">
        <v>111</v>
      </c>
      <c r="L115" s="37" t="s">
        <v>1566</v>
      </c>
      <c r="M115" s="40" t="s">
        <v>111</v>
      </c>
      <c r="N115" s="9" t="s">
        <v>686</v>
      </c>
      <c r="O115" s="9" t="s">
        <v>1763</v>
      </c>
      <c r="P115" s="40" t="s">
        <v>111</v>
      </c>
      <c r="Q115" s="20" t="s">
        <v>2863</v>
      </c>
      <c r="R115" s="40" t="s">
        <v>1749</v>
      </c>
      <c r="S115" s="72" t="s">
        <v>3070</v>
      </c>
      <c r="T115" s="40" t="s">
        <v>111</v>
      </c>
      <c r="U115" s="10" t="s">
        <v>109</v>
      </c>
      <c r="V115" s="72">
        <v>1</v>
      </c>
      <c r="W115" s="40" t="s">
        <v>111</v>
      </c>
      <c r="X115" s="40" t="s">
        <v>111</v>
      </c>
      <c r="Y115" s="73">
        <v>2.8</v>
      </c>
      <c r="Z115" s="73">
        <v>0</v>
      </c>
      <c r="AA115" s="166">
        <v>2.8</v>
      </c>
      <c r="AB115" s="40" t="s">
        <v>111</v>
      </c>
      <c r="AC115" s="40" t="s">
        <v>111</v>
      </c>
      <c r="AD115" s="40" t="s">
        <v>111</v>
      </c>
      <c r="AE115" s="40"/>
    </row>
    <row r="116" spans="1:31" s="46" customFormat="1" ht="24.95" hidden="1" customHeight="1" x14ac:dyDescent="0.15">
      <c r="A116" s="40">
        <v>114</v>
      </c>
      <c r="B116" s="40" t="s">
        <v>1290</v>
      </c>
      <c r="C116" s="40" t="s">
        <v>111</v>
      </c>
      <c r="D116" s="40" t="s">
        <v>111</v>
      </c>
      <c r="E116" s="40" t="s">
        <v>111</v>
      </c>
      <c r="F116" s="9" t="s">
        <v>1380</v>
      </c>
      <c r="G116" s="21" t="s">
        <v>1567</v>
      </c>
      <c r="H116" s="1" t="s">
        <v>1489</v>
      </c>
      <c r="I116" s="1" t="s">
        <v>1568</v>
      </c>
      <c r="J116" s="37" t="s">
        <v>1718</v>
      </c>
      <c r="K116" s="40" t="s">
        <v>111</v>
      </c>
      <c r="L116" s="37" t="s">
        <v>1569</v>
      </c>
      <c r="M116" s="40" t="s">
        <v>111</v>
      </c>
      <c r="N116" s="9" t="s">
        <v>102</v>
      </c>
      <c r="O116" s="9" t="s">
        <v>463</v>
      </c>
      <c r="P116" s="40" t="s">
        <v>111</v>
      </c>
      <c r="Q116" s="20" t="s">
        <v>3079</v>
      </c>
      <c r="R116" s="40" t="s">
        <v>1766</v>
      </c>
      <c r="S116" s="72" t="s">
        <v>3071</v>
      </c>
      <c r="T116" s="40" t="s">
        <v>111</v>
      </c>
      <c r="U116" s="10" t="s">
        <v>108</v>
      </c>
      <c r="V116" s="72">
        <v>1</v>
      </c>
      <c r="W116" s="40" t="s">
        <v>111</v>
      </c>
      <c r="X116" s="40" t="s">
        <v>111</v>
      </c>
      <c r="Y116" s="73">
        <v>4.3499999999999996</v>
      </c>
      <c r="Z116" s="73">
        <v>0</v>
      </c>
      <c r="AA116" s="166">
        <v>4.3499999999999996</v>
      </c>
      <c r="AB116" s="40" t="s">
        <v>111</v>
      </c>
      <c r="AC116" s="40" t="s">
        <v>111</v>
      </c>
      <c r="AD116" s="40" t="s">
        <v>111</v>
      </c>
      <c r="AE116" s="40"/>
    </row>
    <row r="117" spans="1:31" s="46" customFormat="1" ht="24.95" hidden="1" customHeight="1" x14ac:dyDescent="0.15">
      <c r="A117" s="40">
        <v>115</v>
      </c>
      <c r="B117" s="40" t="s">
        <v>1291</v>
      </c>
      <c r="C117" s="40" t="s">
        <v>111</v>
      </c>
      <c r="D117" s="40" t="s">
        <v>111</v>
      </c>
      <c r="E117" s="40" t="s">
        <v>111</v>
      </c>
      <c r="F117" s="9" t="s">
        <v>1381</v>
      </c>
      <c r="G117" s="21" t="s">
        <v>1555</v>
      </c>
      <c r="H117" s="1" t="s">
        <v>23</v>
      </c>
      <c r="I117" s="1" t="s">
        <v>1456</v>
      </c>
      <c r="J117" s="37" t="s">
        <v>1719</v>
      </c>
      <c r="K117" s="40" t="s">
        <v>111</v>
      </c>
      <c r="L117" s="37" t="s">
        <v>1570</v>
      </c>
      <c r="M117" s="40" t="s">
        <v>111</v>
      </c>
      <c r="N117" s="9" t="s">
        <v>686</v>
      </c>
      <c r="O117" s="9" t="s">
        <v>1763</v>
      </c>
      <c r="P117" s="40" t="s">
        <v>111</v>
      </c>
      <c r="Q117" s="20" t="s">
        <v>2863</v>
      </c>
      <c r="R117" s="40" t="s">
        <v>1749</v>
      </c>
      <c r="S117" s="72" t="s">
        <v>3072</v>
      </c>
      <c r="T117" s="40" t="s">
        <v>111</v>
      </c>
      <c r="U117" s="10" t="s">
        <v>109</v>
      </c>
      <c r="V117" s="72">
        <v>1</v>
      </c>
      <c r="W117" s="40" t="s">
        <v>111</v>
      </c>
      <c r="X117" s="40" t="s">
        <v>111</v>
      </c>
      <c r="Y117" s="73">
        <v>2.8</v>
      </c>
      <c r="Z117" s="73">
        <v>0</v>
      </c>
      <c r="AA117" s="166">
        <v>2.8</v>
      </c>
      <c r="AB117" s="40" t="s">
        <v>111</v>
      </c>
      <c r="AC117" s="40" t="s">
        <v>111</v>
      </c>
      <c r="AD117" s="40" t="s">
        <v>111</v>
      </c>
      <c r="AE117" s="40"/>
    </row>
    <row r="118" spans="1:31" s="46" customFormat="1" ht="24.95" hidden="1" customHeight="1" x14ac:dyDescent="0.15">
      <c r="A118" s="40">
        <v>116</v>
      </c>
      <c r="B118" s="40" t="s">
        <v>1292</v>
      </c>
      <c r="C118" s="40" t="s">
        <v>111</v>
      </c>
      <c r="D118" s="40" t="s">
        <v>111</v>
      </c>
      <c r="E118" s="40" t="s">
        <v>111</v>
      </c>
      <c r="F118" s="9" t="s">
        <v>1382</v>
      </c>
      <c r="G118" s="21" t="s">
        <v>1571</v>
      </c>
      <c r="H118" s="1" t="s">
        <v>23</v>
      </c>
      <c r="I118" s="1" t="s">
        <v>1572</v>
      </c>
      <c r="J118" s="37" t="s">
        <v>1720</v>
      </c>
      <c r="K118" s="40" t="s">
        <v>111</v>
      </c>
      <c r="L118" s="37" t="s">
        <v>1573</v>
      </c>
      <c r="M118" s="40" t="s">
        <v>111</v>
      </c>
      <c r="N118" s="9" t="s">
        <v>102</v>
      </c>
      <c r="O118" s="9" t="s">
        <v>851</v>
      </c>
      <c r="P118" s="40" t="s">
        <v>111</v>
      </c>
      <c r="Q118" s="20" t="s">
        <v>2863</v>
      </c>
      <c r="R118" s="40" t="s">
        <v>1756</v>
      </c>
      <c r="S118" s="72" t="s">
        <v>3073</v>
      </c>
      <c r="T118" s="40" t="s">
        <v>111</v>
      </c>
      <c r="U118" s="10" t="s">
        <v>109</v>
      </c>
      <c r="V118" s="72">
        <v>1</v>
      </c>
      <c r="W118" s="40" t="s">
        <v>111</v>
      </c>
      <c r="X118" s="40" t="s">
        <v>111</v>
      </c>
      <c r="Y118" s="73">
        <v>0</v>
      </c>
      <c r="Z118" s="73">
        <v>15</v>
      </c>
      <c r="AA118" s="166">
        <v>15</v>
      </c>
      <c r="AB118" s="40" t="s">
        <v>111</v>
      </c>
      <c r="AC118" s="40" t="s">
        <v>111</v>
      </c>
      <c r="AD118" s="40" t="s">
        <v>111</v>
      </c>
      <c r="AE118" s="40"/>
    </row>
    <row r="119" spans="1:31" s="46" customFormat="1" ht="24.95" hidden="1" customHeight="1" x14ac:dyDescent="0.15">
      <c r="A119" s="40">
        <v>117</v>
      </c>
      <c r="B119" s="40" t="s">
        <v>1383</v>
      </c>
      <c r="C119" s="40" t="s">
        <v>1384</v>
      </c>
      <c r="D119" s="40" t="s">
        <v>111</v>
      </c>
      <c r="E119" s="40" t="s">
        <v>111</v>
      </c>
      <c r="F119" s="9" t="s">
        <v>1385</v>
      </c>
      <c r="G119" s="200" t="s">
        <v>2362</v>
      </c>
      <c r="H119" s="115" t="s">
        <v>1504</v>
      </c>
      <c r="I119" s="83" t="s">
        <v>1574</v>
      </c>
      <c r="J119" s="44" t="s">
        <v>787</v>
      </c>
      <c r="K119" s="82" t="s">
        <v>111</v>
      </c>
      <c r="L119" s="44" t="s">
        <v>1575</v>
      </c>
      <c r="M119" s="40" t="s">
        <v>111</v>
      </c>
      <c r="N119" s="9" t="s">
        <v>102</v>
      </c>
      <c r="O119" s="9" t="s">
        <v>1748</v>
      </c>
      <c r="P119" s="40" t="s">
        <v>111</v>
      </c>
      <c r="Q119" s="20" t="s">
        <v>3079</v>
      </c>
      <c r="R119" s="40" t="s">
        <v>1766</v>
      </c>
      <c r="S119" s="72" t="s">
        <v>111</v>
      </c>
      <c r="T119" s="40" t="s">
        <v>3078</v>
      </c>
      <c r="U119" s="72" t="s">
        <v>3417</v>
      </c>
      <c r="V119" s="72">
        <v>0</v>
      </c>
      <c r="W119" s="40" t="s">
        <v>111</v>
      </c>
      <c r="X119" s="40" t="s">
        <v>111</v>
      </c>
      <c r="Y119" s="167">
        <v>3.7440000000000002</v>
      </c>
      <c r="Z119" s="167">
        <v>0</v>
      </c>
      <c r="AA119" s="166">
        <v>3.7440000000000002</v>
      </c>
      <c r="AB119" s="40" t="s">
        <v>111</v>
      </c>
      <c r="AC119" s="40" t="s">
        <v>111</v>
      </c>
      <c r="AD119" s="40" t="s">
        <v>111</v>
      </c>
      <c r="AE119" s="40"/>
    </row>
    <row r="120" spans="1:31" s="46" customFormat="1" ht="24.95" hidden="1" customHeight="1" x14ac:dyDescent="0.15">
      <c r="A120" s="40">
        <v>118</v>
      </c>
      <c r="B120" s="40" t="s">
        <v>1386</v>
      </c>
      <c r="C120" s="40" t="s">
        <v>1387</v>
      </c>
      <c r="D120" s="40" t="s">
        <v>111</v>
      </c>
      <c r="E120" s="8" t="s">
        <v>1413</v>
      </c>
      <c r="F120" s="9" t="s">
        <v>1388</v>
      </c>
      <c r="G120" s="21" t="s">
        <v>1576</v>
      </c>
      <c r="H120" s="1" t="s">
        <v>1449</v>
      </c>
      <c r="I120" s="1" t="s">
        <v>1499</v>
      </c>
      <c r="J120" s="37" t="s">
        <v>1721</v>
      </c>
      <c r="K120" s="40" t="s">
        <v>111</v>
      </c>
      <c r="L120" s="37" t="s">
        <v>1577</v>
      </c>
      <c r="M120" s="40" t="s">
        <v>111</v>
      </c>
      <c r="N120" s="9" t="s">
        <v>67</v>
      </c>
      <c r="O120" s="9" t="s">
        <v>1772</v>
      </c>
      <c r="P120" s="40" t="s">
        <v>111</v>
      </c>
      <c r="Q120" s="20" t="s">
        <v>2887</v>
      </c>
      <c r="R120" s="40" t="s">
        <v>1659</v>
      </c>
      <c r="S120" s="72" t="s">
        <v>3066</v>
      </c>
      <c r="T120" s="40" t="s">
        <v>111</v>
      </c>
      <c r="U120" s="10" t="s">
        <v>109</v>
      </c>
      <c r="V120" s="72">
        <v>1</v>
      </c>
      <c r="W120" s="40" t="s">
        <v>111</v>
      </c>
      <c r="X120" s="40" t="s">
        <v>111</v>
      </c>
      <c r="Y120" s="73">
        <v>10.8</v>
      </c>
      <c r="Z120" s="73">
        <v>0</v>
      </c>
      <c r="AA120" s="166">
        <v>10.8</v>
      </c>
      <c r="AB120" s="40" t="s">
        <v>111</v>
      </c>
      <c r="AC120" s="40" t="s">
        <v>111</v>
      </c>
      <c r="AD120" s="40" t="s">
        <v>111</v>
      </c>
      <c r="AE120" s="40"/>
    </row>
    <row r="121" spans="1:31" s="46" customFormat="1" ht="24.95" hidden="1" customHeight="1" x14ac:dyDescent="0.15">
      <c r="A121" s="40">
        <v>119</v>
      </c>
      <c r="B121" s="40" t="s">
        <v>1293</v>
      </c>
      <c r="C121" s="40" t="s">
        <v>111</v>
      </c>
      <c r="D121" s="40" t="s">
        <v>111</v>
      </c>
      <c r="E121" s="40" t="s">
        <v>111</v>
      </c>
      <c r="F121" s="9" t="s">
        <v>1389</v>
      </c>
      <c r="G121" s="21" t="s">
        <v>1578</v>
      </c>
      <c r="H121" s="1" t="s">
        <v>23</v>
      </c>
      <c r="I121" s="1" t="s">
        <v>1499</v>
      </c>
      <c r="J121" s="37" t="s">
        <v>1722</v>
      </c>
      <c r="K121" s="40" t="s">
        <v>111</v>
      </c>
      <c r="L121" s="37" t="s">
        <v>1579</v>
      </c>
      <c r="M121" s="40" t="s">
        <v>111</v>
      </c>
      <c r="N121" s="9" t="s">
        <v>102</v>
      </c>
      <c r="O121" s="9" t="s">
        <v>1744</v>
      </c>
      <c r="P121" s="40" t="s">
        <v>111</v>
      </c>
      <c r="Q121" s="119" t="s">
        <v>3080</v>
      </c>
      <c r="R121" s="40" t="s">
        <v>1749</v>
      </c>
      <c r="S121" s="72" t="s">
        <v>3066</v>
      </c>
      <c r="T121" s="40" t="s">
        <v>111</v>
      </c>
      <c r="U121" s="10" t="s">
        <v>108</v>
      </c>
      <c r="V121" s="72">
        <v>1</v>
      </c>
      <c r="W121" s="40" t="s">
        <v>111</v>
      </c>
      <c r="X121" s="40" t="s">
        <v>111</v>
      </c>
      <c r="Y121" s="73">
        <v>27.8</v>
      </c>
      <c r="Z121" s="73">
        <v>0</v>
      </c>
      <c r="AA121" s="171">
        <v>27.8</v>
      </c>
      <c r="AB121" s="40" t="s">
        <v>111</v>
      </c>
      <c r="AC121" s="40" t="s">
        <v>111</v>
      </c>
      <c r="AD121" s="40" t="s">
        <v>111</v>
      </c>
      <c r="AE121" s="40"/>
    </row>
    <row r="122" spans="1:31" s="46" customFormat="1" ht="24.95" hidden="1" customHeight="1" x14ac:dyDescent="0.15">
      <c r="A122" s="40">
        <v>120</v>
      </c>
      <c r="B122" s="40" t="s">
        <v>1390</v>
      </c>
      <c r="C122" s="40" t="s">
        <v>111</v>
      </c>
      <c r="D122" s="40" t="s">
        <v>111</v>
      </c>
      <c r="E122" s="40" t="s">
        <v>111</v>
      </c>
      <c r="F122" s="9" t="s">
        <v>1391</v>
      </c>
      <c r="G122" s="21" t="s">
        <v>1580</v>
      </c>
      <c r="H122" s="1" t="s">
        <v>94</v>
      </c>
      <c r="I122" s="1" t="s">
        <v>1499</v>
      </c>
      <c r="J122" s="37" t="s">
        <v>1664</v>
      </c>
      <c r="K122" s="40" t="s">
        <v>111</v>
      </c>
      <c r="L122" s="37" t="s">
        <v>1581</v>
      </c>
      <c r="M122" s="40" t="s">
        <v>111</v>
      </c>
      <c r="N122" s="9" t="s">
        <v>102</v>
      </c>
      <c r="O122" s="9" t="s">
        <v>1750</v>
      </c>
      <c r="P122" s="40" t="s">
        <v>111</v>
      </c>
      <c r="Q122" s="127" t="s">
        <v>3080</v>
      </c>
      <c r="R122" s="40" t="s">
        <v>1749</v>
      </c>
      <c r="S122" s="72" t="s">
        <v>3066</v>
      </c>
      <c r="T122" s="40" t="s">
        <v>111</v>
      </c>
      <c r="U122" s="10" t="s">
        <v>108</v>
      </c>
      <c r="V122" s="72">
        <v>1</v>
      </c>
      <c r="W122" s="40" t="s">
        <v>111</v>
      </c>
      <c r="X122" s="40" t="s">
        <v>111</v>
      </c>
      <c r="Y122" s="73">
        <v>16.23</v>
      </c>
      <c r="Z122" s="73">
        <v>0</v>
      </c>
      <c r="AA122" s="171">
        <v>16.23</v>
      </c>
      <c r="AB122" s="40" t="s">
        <v>111</v>
      </c>
      <c r="AC122" s="40" t="s">
        <v>111</v>
      </c>
      <c r="AD122" s="40" t="s">
        <v>111</v>
      </c>
      <c r="AE122" s="40"/>
    </row>
    <row r="123" spans="1:31" s="46" customFormat="1" ht="24.95" hidden="1" customHeight="1" x14ac:dyDescent="0.15">
      <c r="A123" s="40">
        <v>121</v>
      </c>
      <c r="B123" s="40" t="s">
        <v>1294</v>
      </c>
      <c r="C123" s="40" t="s">
        <v>111</v>
      </c>
      <c r="D123" s="40" t="s">
        <v>111</v>
      </c>
      <c r="E123" s="40" t="s">
        <v>111</v>
      </c>
      <c r="F123" s="9" t="s">
        <v>1392</v>
      </c>
      <c r="G123" s="21" t="s">
        <v>1582</v>
      </c>
      <c r="H123" s="41" t="s">
        <v>1460</v>
      </c>
      <c r="I123" s="20" t="s">
        <v>1524</v>
      </c>
      <c r="J123" s="21" t="s">
        <v>892</v>
      </c>
      <c r="K123" s="40" t="s">
        <v>111</v>
      </c>
      <c r="L123" s="21" t="s">
        <v>1583</v>
      </c>
      <c r="M123" s="40" t="s">
        <v>111</v>
      </c>
      <c r="N123" s="9" t="s">
        <v>102</v>
      </c>
      <c r="O123" s="9" t="s">
        <v>851</v>
      </c>
      <c r="P123" s="40" t="s">
        <v>111</v>
      </c>
      <c r="Q123" s="20" t="s">
        <v>2890</v>
      </c>
      <c r="R123" s="40" t="s">
        <v>103</v>
      </c>
      <c r="S123" s="72" t="s">
        <v>3074</v>
      </c>
      <c r="T123" s="40" t="s">
        <v>111</v>
      </c>
      <c r="U123" s="10" t="s">
        <v>109</v>
      </c>
      <c r="V123" s="72">
        <v>2</v>
      </c>
      <c r="W123" s="40" t="s">
        <v>111</v>
      </c>
      <c r="X123" s="40" t="s">
        <v>111</v>
      </c>
      <c r="Y123" s="73">
        <v>0</v>
      </c>
      <c r="Z123" s="73">
        <v>10</v>
      </c>
      <c r="AA123" s="166">
        <v>10</v>
      </c>
      <c r="AB123" s="40" t="s">
        <v>111</v>
      </c>
      <c r="AC123" s="40" t="s">
        <v>111</v>
      </c>
      <c r="AD123" s="40" t="s">
        <v>111</v>
      </c>
      <c r="AE123" s="40"/>
    </row>
    <row r="124" spans="1:31" s="46" customFormat="1" ht="24.95" hidden="1" customHeight="1" x14ac:dyDescent="0.15">
      <c r="A124" s="40">
        <v>122</v>
      </c>
      <c r="B124" s="40" t="s">
        <v>1295</v>
      </c>
      <c r="C124" s="40" t="s">
        <v>111</v>
      </c>
      <c r="D124" s="40" t="s">
        <v>111</v>
      </c>
      <c r="E124" s="40" t="s">
        <v>111</v>
      </c>
      <c r="F124" s="9" t="s">
        <v>1393</v>
      </c>
      <c r="G124" s="21" t="s">
        <v>1584</v>
      </c>
      <c r="H124" s="1" t="s">
        <v>1585</v>
      </c>
      <c r="I124" s="1" t="s">
        <v>1435</v>
      </c>
      <c r="J124" s="21" t="s">
        <v>1723</v>
      </c>
      <c r="K124" s="40" t="s">
        <v>111</v>
      </c>
      <c r="L124" s="21" t="s">
        <v>1586</v>
      </c>
      <c r="M124" s="40" t="s">
        <v>111</v>
      </c>
      <c r="N124" s="9" t="s">
        <v>102</v>
      </c>
      <c r="O124" s="9" t="s">
        <v>851</v>
      </c>
      <c r="P124" s="40" t="s">
        <v>111</v>
      </c>
      <c r="Q124" s="20" t="s">
        <v>2892</v>
      </c>
      <c r="R124" s="40" t="s">
        <v>1740</v>
      </c>
      <c r="S124" s="72" t="s">
        <v>3074</v>
      </c>
      <c r="T124" s="40" t="s">
        <v>111</v>
      </c>
      <c r="U124" s="10" t="s">
        <v>109</v>
      </c>
      <c r="V124" s="72">
        <v>0</v>
      </c>
      <c r="W124" s="40" t="s">
        <v>111</v>
      </c>
      <c r="X124" s="40" t="s">
        <v>111</v>
      </c>
      <c r="Y124" s="73">
        <v>0</v>
      </c>
      <c r="Z124" s="73">
        <v>8</v>
      </c>
      <c r="AA124" s="166">
        <v>8</v>
      </c>
      <c r="AB124" s="40" t="s">
        <v>111</v>
      </c>
      <c r="AC124" s="40" t="s">
        <v>111</v>
      </c>
      <c r="AD124" s="40" t="s">
        <v>111</v>
      </c>
      <c r="AE124" s="9" t="s">
        <v>3391</v>
      </c>
    </row>
    <row r="125" spans="1:31" s="46" customFormat="1" ht="27" hidden="1" customHeight="1" x14ac:dyDescent="0.15">
      <c r="A125" s="40">
        <v>123</v>
      </c>
      <c r="B125" s="40" t="s">
        <v>1296</v>
      </c>
      <c r="C125" s="40" t="s">
        <v>111</v>
      </c>
      <c r="D125" s="40" t="s">
        <v>111</v>
      </c>
      <c r="E125" s="40" t="s">
        <v>111</v>
      </c>
      <c r="F125" s="9" t="s">
        <v>1393</v>
      </c>
      <c r="G125" s="21" t="s">
        <v>1587</v>
      </c>
      <c r="H125" s="1" t="s">
        <v>1585</v>
      </c>
      <c r="I125" s="1" t="s">
        <v>1435</v>
      </c>
      <c r="J125" s="21" t="s">
        <v>1723</v>
      </c>
      <c r="K125" s="40" t="s">
        <v>111</v>
      </c>
      <c r="L125" s="21" t="s">
        <v>1588</v>
      </c>
      <c r="M125" s="40" t="s">
        <v>111</v>
      </c>
      <c r="N125" s="9" t="s">
        <v>102</v>
      </c>
      <c r="O125" s="9" t="s">
        <v>851</v>
      </c>
      <c r="P125" s="40" t="s">
        <v>111</v>
      </c>
      <c r="Q125" s="20" t="s">
        <v>2892</v>
      </c>
      <c r="R125" s="40" t="s">
        <v>1740</v>
      </c>
      <c r="S125" s="72" t="s">
        <v>3074</v>
      </c>
      <c r="T125" s="40" t="s">
        <v>111</v>
      </c>
      <c r="U125" s="10" t="s">
        <v>109</v>
      </c>
      <c r="V125" s="72">
        <v>0</v>
      </c>
      <c r="W125" s="40" t="s">
        <v>111</v>
      </c>
      <c r="X125" s="40" t="s">
        <v>111</v>
      </c>
      <c r="Y125" s="73">
        <v>0</v>
      </c>
      <c r="Z125" s="73">
        <v>8</v>
      </c>
      <c r="AA125" s="166">
        <v>8</v>
      </c>
      <c r="AB125" s="40" t="s">
        <v>111</v>
      </c>
      <c r="AC125" s="40" t="s">
        <v>111</v>
      </c>
      <c r="AD125" s="40" t="s">
        <v>111</v>
      </c>
      <c r="AE125" s="9" t="s">
        <v>3391</v>
      </c>
    </row>
    <row r="126" spans="1:31" s="46" customFormat="1" ht="27" hidden="1" customHeight="1" x14ac:dyDescent="0.15">
      <c r="A126" s="40">
        <v>124</v>
      </c>
      <c r="B126" s="40" t="s">
        <v>1297</v>
      </c>
      <c r="C126" s="40" t="s">
        <v>111</v>
      </c>
      <c r="D126" s="40" t="s">
        <v>111</v>
      </c>
      <c r="E126" s="40" t="s">
        <v>111</v>
      </c>
      <c r="F126" s="9" t="s">
        <v>1394</v>
      </c>
      <c r="G126" s="21" t="s">
        <v>1589</v>
      </c>
      <c r="H126" s="1" t="s">
        <v>1460</v>
      </c>
      <c r="I126" s="1" t="s">
        <v>1465</v>
      </c>
      <c r="J126" s="21" t="s">
        <v>1724</v>
      </c>
      <c r="K126" s="40" t="s">
        <v>111</v>
      </c>
      <c r="L126" s="21" t="s">
        <v>1590</v>
      </c>
      <c r="M126" s="40" t="s">
        <v>111</v>
      </c>
      <c r="N126" s="9" t="s">
        <v>102</v>
      </c>
      <c r="O126" s="9" t="s">
        <v>851</v>
      </c>
      <c r="P126" s="40" t="s">
        <v>111</v>
      </c>
      <c r="Q126" s="20" t="s">
        <v>2890</v>
      </c>
      <c r="R126" s="40" t="s">
        <v>103</v>
      </c>
      <c r="S126" s="72" t="s">
        <v>3075</v>
      </c>
      <c r="T126" s="40" t="s">
        <v>111</v>
      </c>
      <c r="U126" s="10" t="s">
        <v>109</v>
      </c>
      <c r="V126" s="72">
        <v>2</v>
      </c>
      <c r="W126" s="40" t="s">
        <v>111</v>
      </c>
      <c r="X126" s="40" t="s">
        <v>111</v>
      </c>
      <c r="Y126" s="73">
        <v>0</v>
      </c>
      <c r="Z126" s="73">
        <v>10</v>
      </c>
      <c r="AA126" s="166">
        <v>10</v>
      </c>
      <c r="AB126" s="40" t="s">
        <v>111</v>
      </c>
      <c r="AC126" s="40" t="s">
        <v>111</v>
      </c>
      <c r="AD126" s="40" t="s">
        <v>111</v>
      </c>
      <c r="AE126" s="40"/>
    </row>
    <row r="127" spans="1:31" s="46" customFormat="1" ht="24.95" hidden="1" customHeight="1" x14ac:dyDescent="0.15">
      <c r="A127" s="40">
        <v>125</v>
      </c>
      <c r="B127" s="40" t="s">
        <v>1395</v>
      </c>
      <c r="C127" s="40" t="s">
        <v>111</v>
      </c>
      <c r="D127" s="40" t="s">
        <v>111</v>
      </c>
      <c r="E127" s="40" t="s">
        <v>3574</v>
      </c>
      <c r="F127" s="9" t="s">
        <v>1396</v>
      </c>
      <c r="G127" s="21" t="s">
        <v>1591</v>
      </c>
      <c r="H127" s="1" t="s">
        <v>1592</v>
      </c>
      <c r="I127" s="1" t="s">
        <v>1432</v>
      </c>
      <c r="J127" s="21" t="s">
        <v>1725</v>
      </c>
      <c r="K127" s="40" t="s">
        <v>111</v>
      </c>
      <c r="L127" s="21" t="s">
        <v>1593</v>
      </c>
      <c r="M127" s="40" t="s">
        <v>111</v>
      </c>
      <c r="N127" s="9" t="s">
        <v>102</v>
      </c>
      <c r="O127" s="9" t="s">
        <v>1770</v>
      </c>
      <c r="P127" s="40" t="s">
        <v>111</v>
      </c>
      <c r="Q127" s="20" t="s">
        <v>2889</v>
      </c>
      <c r="R127" s="40" t="s">
        <v>1753</v>
      </c>
      <c r="S127" s="72" t="s">
        <v>3076</v>
      </c>
      <c r="T127" s="40" t="s">
        <v>111</v>
      </c>
      <c r="U127" s="10" t="s">
        <v>110</v>
      </c>
      <c r="V127" s="72">
        <v>1</v>
      </c>
      <c r="W127" s="40" t="s">
        <v>111</v>
      </c>
      <c r="X127" s="40" t="s">
        <v>111</v>
      </c>
      <c r="Y127" s="73">
        <v>59.8</v>
      </c>
      <c r="Z127" s="73">
        <v>0</v>
      </c>
      <c r="AA127" s="166">
        <v>59.8</v>
      </c>
      <c r="AB127" s="40" t="s">
        <v>111</v>
      </c>
      <c r="AC127" s="40" t="s">
        <v>111</v>
      </c>
      <c r="AD127" s="40" t="s">
        <v>111</v>
      </c>
      <c r="AE127" s="40"/>
    </row>
    <row r="128" spans="1:31" s="46" customFormat="1" ht="24.95" hidden="1" customHeight="1" x14ac:dyDescent="0.15">
      <c r="A128" s="40">
        <v>126</v>
      </c>
      <c r="B128" s="40" t="s">
        <v>1397</v>
      </c>
      <c r="C128" s="40" t="s">
        <v>111</v>
      </c>
      <c r="D128" s="40" t="s">
        <v>111</v>
      </c>
      <c r="E128" s="40" t="s">
        <v>111</v>
      </c>
      <c r="F128" s="9" t="s">
        <v>1398</v>
      </c>
      <c r="G128" s="21" t="s">
        <v>3433</v>
      </c>
      <c r="H128" s="1" t="s">
        <v>1452</v>
      </c>
      <c r="I128" s="1" t="s">
        <v>1451</v>
      </c>
      <c r="J128" s="21" t="s">
        <v>1726</v>
      </c>
      <c r="K128" s="40" t="s">
        <v>111</v>
      </c>
      <c r="L128" s="21" t="s">
        <v>1594</v>
      </c>
      <c r="M128" s="40" t="s">
        <v>111</v>
      </c>
      <c r="N128" s="9" t="s">
        <v>102</v>
      </c>
      <c r="O128" s="9" t="s">
        <v>1748</v>
      </c>
      <c r="P128" s="40" t="s">
        <v>111</v>
      </c>
      <c r="Q128" s="20" t="s">
        <v>2889</v>
      </c>
      <c r="R128" s="40" t="s">
        <v>1753</v>
      </c>
      <c r="S128" s="72" t="s">
        <v>3077</v>
      </c>
      <c r="T128" s="40" t="s">
        <v>111</v>
      </c>
      <c r="U128" s="10" t="s">
        <v>109</v>
      </c>
      <c r="V128" s="72">
        <v>1</v>
      </c>
      <c r="W128" s="40" t="s">
        <v>111</v>
      </c>
      <c r="X128" s="40" t="s">
        <v>111</v>
      </c>
      <c r="Y128" s="73">
        <v>1</v>
      </c>
      <c r="Z128" s="73">
        <v>0</v>
      </c>
      <c r="AA128" s="166">
        <v>1</v>
      </c>
      <c r="AB128" s="40" t="s">
        <v>111</v>
      </c>
      <c r="AC128" s="40" t="s">
        <v>111</v>
      </c>
      <c r="AD128" s="40" t="s">
        <v>111</v>
      </c>
      <c r="AE128" s="40"/>
    </row>
    <row r="129" spans="1:31" s="46" customFormat="1" ht="24.95" hidden="1" customHeight="1" x14ac:dyDescent="0.15">
      <c r="A129" s="40">
        <v>127</v>
      </c>
      <c r="B129" s="40" t="s">
        <v>1399</v>
      </c>
      <c r="C129" s="40" t="s">
        <v>111</v>
      </c>
      <c r="D129" s="40" t="s">
        <v>111</v>
      </c>
      <c r="E129" s="40" t="s">
        <v>111</v>
      </c>
      <c r="F129" s="9" t="s">
        <v>848</v>
      </c>
      <c r="G129" s="21" t="s">
        <v>1595</v>
      </c>
      <c r="H129" s="1" t="s">
        <v>1452</v>
      </c>
      <c r="I129" s="1" t="s">
        <v>1451</v>
      </c>
      <c r="J129" s="21" t="s">
        <v>853</v>
      </c>
      <c r="K129" s="40" t="s">
        <v>111</v>
      </c>
      <c r="L129" s="21" t="s">
        <v>1735</v>
      </c>
      <c r="M129" s="40" t="s">
        <v>111</v>
      </c>
      <c r="N129" s="9" t="s">
        <v>102</v>
      </c>
      <c r="O129" s="9" t="s">
        <v>1748</v>
      </c>
      <c r="P129" s="40" t="s">
        <v>111</v>
      </c>
      <c r="Q129" s="20" t="s">
        <v>2889</v>
      </c>
      <c r="R129" s="40" t="s">
        <v>1753</v>
      </c>
      <c r="S129" s="72" t="s">
        <v>3077</v>
      </c>
      <c r="T129" s="40" t="s">
        <v>111</v>
      </c>
      <c r="U129" s="10" t="s">
        <v>109</v>
      </c>
      <c r="V129" s="72">
        <v>1</v>
      </c>
      <c r="W129" s="40" t="s">
        <v>111</v>
      </c>
      <c r="X129" s="40" t="s">
        <v>111</v>
      </c>
      <c r="Y129" s="73">
        <v>2</v>
      </c>
      <c r="Z129" s="73">
        <v>0</v>
      </c>
      <c r="AA129" s="166">
        <v>2</v>
      </c>
      <c r="AB129" s="40" t="s">
        <v>111</v>
      </c>
      <c r="AC129" s="40" t="s">
        <v>111</v>
      </c>
      <c r="AD129" s="40" t="s">
        <v>111</v>
      </c>
      <c r="AE129" s="40"/>
    </row>
    <row r="130" spans="1:31" s="46" customFormat="1" ht="24.95" hidden="1" customHeight="1" x14ac:dyDescent="0.15">
      <c r="A130" s="40">
        <v>128</v>
      </c>
      <c r="B130" s="40" t="s">
        <v>1399</v>
      </c>
      <c r="C130" s="40" t="s">
        <v>111</v>
      </c>
      <c r="D130" s="40" t="s">
        <v>111</v>
      </c>
      <c r="E130" s="40" t="s">
        <v>111</v>
      </c>
      <c r="F130" s="9" t="s">
        <v>848</v>
      </c>
      <c r="G130" s="21" t="s">
        <v>1595</v>
      </c>
      <c r="H130" s="1" t="s">
        <v>1452</v>
      </c>
      <c r="I130" s="1" t="s">
        <v>3378</v>
      </c>
      <c r="J130" s="21" t="s">
        <v>1727</v>
      </c>
      <c r="K130" s="40" t="s">
        <v>111</v>
      </c>
      <c r="L130" s="21" t="s">
        <v>3379</v>
      </c>
      <c r="M130" s="40" t="s">
        <v>111</v>
      </c>
      <c r="N130" s="9" t="s">
        <v>102</v>
      </c>
      <c r="O130" s="9" t="s">
        <v>1748</v>
      </c>
      <c r="P130" s="40" t="s">
        <v>111</v>
      </c>
      <c r="Q130" s="20" t="s">
        <v>3380</v>
      </c>
      <c r="R130" s="40" t="s">
        <v>1753</v>
      </c>
      <c r="S130" s="72" t="s">
        <v>3354</v>
      </c>
      <c r="T130" s="40" t="s">
        <v>111</v>
      </c>
      <c r="U130" s="10" t="s">
        <v>109</v>
      </c>
      <c r="V130" s="72">
        <v>1</v>
      </c>
      <c r="W130" s="40" t="s">
        <v>111</v>
      </c>
      <c r="X130" s="40" t="s">
        <v>111</v>
      </c>
      <c r="Y130" s="73">
        <v>2</v>
      </c>
      <c r="Z130" s="73">
        <v>0</v>
      </c>
      <c r="AA130" s="166">
        <v>2</v>
      </c>
      <c r="AB130" s="40" t="s">
        <v>111</v>
      </c>
      <c r="AC130" s="40" t="s">
        <v>111</v>
      </c>
      <c r="AD130" s="40" t="s">
        <v>111</v>
      </c>
      <c r="AE130" s="40"/>
    </row>
    <row r="131" spans="1:31" s="46" customFormat="1" ht="24.95" hidden="1" customHeight="1" x14ac:dyDescent="0.15">
      <c r="A131" s="40">
        <v>129</v>
      </c>
      <c r="B131" s="40" t="s">
        <v>1400</v>
      </c>
      <c r="C131" s="40" t="s">
        <v>111</v>
      </c>
      <c r="D131" s="40" t="s">
        <v>111</v>
      </c>
      <c r="E131" s="40" t="s">
        <v>111</v>
      </c>
      <c r="F131" s="9" t="s">
        <v>846</v>
      </c>
      <c r="G131" s="21" t="s">
        <v>1595</v>
      </c>
      <c r="H131" s="1" t="s">
        <v>1452</v>
      </c>
      <c r="I131" s="1" t="s">
        <v>3355</v>
      </c>
      <c r="J131" s="21" t="s">
        <v>850</v>
      </c>
      <c r="K131" s="40" t="s">
        <v>111</v>
      </c>
      <c r="L131" s="21" t="s">
        <v>3356</v>
      </c>
      <c r="M131" s="40" t="s">
        <v>111</v>
      </c>
      <c r="N131" s="9" t="s">
        <v>102</v>
      </c>
      <c r="O131" s="9" t="s">
        <v>1748</v>
      </c>
      <c r="P131" s="40" t="s">
        <v>111</v>
      </c>
      <c r="Q131" s="20" t="s">
        <v>3357</v>
      </c>
      <c r="R131" s="40" t="s">
        <v>1753</v>
      </c>
      <c r="S131" s="72" t="s">
        <v>3354</v>
      </c>
      <c r="T131" s="40" t="s">
        <v>111</v>
      </c>
      <c r="U131" s="10" t="s">
        <v>3358</v>
      </c>
      <c r="V131" s="72">
        <v>1</v>
      </c>
      <c r="W131" s="40" t="s">
        <v>111</v>
      </c>
      <c r="X131" s="40" t="s">
        <v>111</v>
      </c>
      <c r="Y131" s="73">
        <v>1</v>
      </c>
      <c r="Z131" s="73">
        <v>0</v>
      </c>
      <c r="AA131" s="166">
        <v>1</v>
      </c>
      <c r="AB131" s="40" t="s">
        <v>111</v>
      </c>
      <c r="AC131" s="40" t="s">
        <v>111</v>
      </c>
      <c r="AD131" s="40" t="s">
        <v>111</v>
      </c>
      <c r="AE131" s="40"/>
    </row>
    <row r="132" spans="1:31" s="46" customFormat="1" ht="24.95" customHeight="1" x14ac:dyDescent="0.15">
      <c r="A132" s="40">
        <v>130</v>
      </c>
      <c r="B132" s="40" t="s">
        <v>1401</v>
      </c>
      <c r="C132" s="40" t="s">
        <v>1402</v>
      </c>
      <c r="D132" s="40" t="s">
        <v>1362</v>
      </c>
      <c r="E132" s="40" t="s">
        <v>111</v>
      </c>
      <c r="F132" s="9" t="s">
        <v>33</v>
      </c>
      <c r="G132" s="21" t="s">
        <v>3359</v>
      </c>
      <c r="H132" s="1" t="s">
        <v>1415</v>
      </c>
      <c r="I132" s="1" t="s">
        <v>3360</v>
      </c>
      <c r="J132" s="21" t="s">
        <v>1654</v>
      </c>
      <c r="K132" s="40" t="s">
        <v>111</v>
      </c>
      <c r="L132" s="21" t="s">
        <v>3361</v>
      </c>
      <c r="M132" s="40" t="s">
        <v>111</v>
      </c>
      <c r="N132" s="9" t="s">
        <v>102</v>
      </c>
      <c r="O132" s="9" t="s">
        <v>463</v>
      </c>
      <c r="P132" s="40" t="s">
        <v>111</v>
      </c>
      <c r="Q132" s="20" t="s">
        <v>3362</v>
      </c>
      <c r="R132" s="40" t="s">
        <v>103</v>
      </c>
      <c r="S132" s="72" t="s">
        <v>3363</v>
      </c>
      <c r="T132" s="40" t="s">
        <v>111</v>
      </c>
      <c r="U132" s="10" t="s">
        <v>3364</v>
      </c>
      <c r="V132" s="72">
        <v>1</v>
      </c>
      <c r="W132" s="40" t="s">
        <v>111</v>
      </c>
      <c r="X132" s="40" t="s">
        <v>111</v>
      </c>
      <c r="Y132" s="73">
        <v>5.5</v>
      </c>
      <c r="Z132" s="73">
        <v>0</v>
      </c>
      <c r="AA132" s="166">
        <v>5.5</v>
      </c>
      <c r="AB132" s="40" t="s">
        <v>111</v>
      </c>
      <c r="AC132" s="40" t="s">
        <v>111</v>
      </c>
      <c r="AD132" s="40" t="s">
        <v>111</v>
      </c>
      <c r="AE132" s="40"/>
    </row>
    <row r="133" spans="1:31" s="46" customFormat="1" ht="24.95" hidden="1" customHeight="1" x14ac:dyDescent="0.15">
      <c r="A133" s="40">
        <v>131</v>
      </c>
      <c r="B133" s="40" t="s">
        <v>1403</v>
      </c>
      <c r="C133" s="40" t="s">
        <v>111</v>
      </c>
      <c r="D133" s="40" t="s">
        <v>111</v>
      </c>
      <c r="E133" s="40" t="s">
        <v>111</v>
      </c>
      <c r="F133" s="9" t="s">
        <v>1404</v>
      </c>
      <c r="G133" s="21" t="s">
        <v>3365</v>
      </c>
      <c r="H133" s="1" t="s">
        <v>23</v>
      </c>
      <c r="I133" s="1" t="s">
        <v>3381</v>
      </c>
      <c r="J133" s="21" t="s">
        <v>1668</v>
      </c>
      <c r="K133" s="40" t="s">
        <v>111</v>
      </c>
      <c r="L133" s="21" t="s">
        <v>3366</v>
      </c>
      <c r="M133" s="40" t="s">
        <v>111</v>
      </c>
      <c r="N133" s="9" t="s">
        <v>686</v>
      </c>
      <c r="O133" s="9" t="s">
        <v>1773</v>
      </c>
      <c r="P133" s="40" t="s">
        <v>111</v>
      </c>
      <c r="Q133" s="20" t="s">
        <v>3367</v>
      </c>
      <c r="R133" s="40" t="s">
        <v>1752</v>
      </c>
      <c r="S133" s="125" t="s">
        <v>3368</v>
      </c>
      <c r="T133" s="40" t="s">
        <v>111</v>
      </c>
      <c r="U133" s="10" t="s">
        <v>3370</v>
      </c>
      <c r="V133" s="72">
        <v>1</v>
      </c>
      <c r="W133" s="40" t="s">
        <v>111</v>
      </c>
      <c r="X133" s="40" t="s">
        <v>111</v>
      </c>
      <c r="Y133" s="73">
        <v>4.5999999999999996</v>
      </c>
      <c r="Z133" s="73">
        <v>0</v>
      </c>
      <c r="AA133" s="166">
        <v>4.5999999999999996</v>
      </c>
      <c r="AB133" s="40" t="s">
        <v>111</v>
      </c>
      <c r="AC133" s="40" t="s">
        <v>111</v>
      </c>
      <c r="AD133" s="40" t="s">
        <v>111</v>
      </c>
      <c r="AE133" s="40"/>
    </row>
    <row r="134" spans="1:31" s="46" customFormat="1" ht="24.95" hidden="1" customHeight="1" x14ac:dyDescent="0.15">
      <c r="A134" s="40">
        <v>132</v>
      </c>
      <c r="B134" s="40" t="s">
        <v>1405</v>
      </c>
      <c r="C134" s="40" t="s">
        <v>111</v>
      </c>
      <c r="D134" s="40" t="s">
        <v>111</v>
      </c>
      <c r="E134" s="40" t="s">
        <v>111</v>
      </c>
      <c r="F134" s="9" t="s">
        <v>1309</v>
      </c>
      <c r="G134" s="21" t="s">
        <v>3382</v>
      </c>
      <c r="H134" s="1" t="s">
        <v>23</v>
      </c>
      <c r="I134" s="1" t="s">
        <v>3372</v>
      </c>
      <c r="J134" s="37" t="s">
        <v>1668</v>
      </c>
      <c r="K134" s="40" t="s">
        <v>111</v>
      </c>
      <c r="L134" s="37" t="s">
        <v>3369</v>
      </c>
      <c r="M134" s="40" t="s">
        <v>111</v>
      </c>
      <c r="N134" s="9" t="s">
        <v>686</v>
      </c>
      <c r="O134" s="9" t="s">
        <v>1773</v>
      </c>
      <c r="P134" s="40" t="s">
        <v>111</v>
      </c>
      <c r="Q134" s="20" t="s">
        <v>3367</v>
      </c>
      <c r="R134" s="40" t="s">
        <v>1752</v>
      </c>
      <c r="S134" s="125" t="s">
        <v>3368</v>
      </c>
      <c r="T134" s="40" t="s">
        <v>111</v>
      </c>
      <c r="U134" s="10" t="s">
        <v>3370</v>
      </c>
      <c r="V134" s="72">
        <v>1</v>
      </c>
      <c r="W134" s="40" t="s">
        <v>111</v>
      </c>
      <c r="X134" s="40" t="s">
        <v>111</v>
      </c>
      <c r="Y134" s="73">
        <v>4.5999999999999996</v>
      </c>
      <c r="Z134" s="73">
        <v>0</v>
      </c>
      <c r="AA134" s="166">
        <v>4.5999999999999996</v>
      </c>
      <c r="AB134" s="40" t="s">
        <v>111</v>
      </c>
      <c r="AC134" s="40" t="s">
        <v>111</v>
      </c>
      <c r="AD134" s="40" t="s">
        <v>111</v>
      </c>
      <c r="AE134" s="40"/>
    </row>
    <row r="135" spans="1:31" s="46" customFormat="1" ht="24.95" hidden="1" customHeight="1" x14ac:dyDescent="0.15">
      <c r="A135" s="40">
        <v>133</v>
      </c>
      <c r="B135" s="40" t="s">
        <v>1406</v>
      </c>
      <c r="C135" s="40" t="s">
        <v>111</v>
      </c>
      <c r="D135" s="40" t="s">
        <v>111</v>
      </c>
      <c r="E135" s="40" t="s">
        <v>111</v>
      </c>
      <c r="F135" s="9" t="s">
        <v>1155</v>
      </c>
      <c r="G135" s="21" t="s">
        <v>3371</v>
      </c>
      <c r="H135" s="1" t="s">
        <v>23</v>
      </c>
      <c r="I135" s="1" t="s">
        <v>3372</v>
      </c>
      <c r="J135" s="37" t="s">
        <v>1658</v>
      </c>
      <c r="K135" s="40" t="s">
        <v>111</v>
      </c>
      <c r="L135" s="37" t="s">
        <v>3373</v>
      </c>
      <c r="M135" s="40" t="s">
        <v>111</v>
      </c>
      <c r="N135" s="9" t="s">
        <v>686</v>
      </c>
      <c r="O135" s="9" t="s">
        <v>1773</v>
      </c>
      <c r="P135" s="40" t="s">
        <v>111</v>
      </c>
      <c r="Q135" s="20" t="s">
        <v>3383</v>
      </c>
      <c r="R135" s="40" t="s">
        <v>1752</v>
      </c>
      <c r="S135" s="125" t="s">
        <v>3368</v>
      </c>
      <c r="T135" s="40" t="s">
        <v>111</v>
      </c>
      <c r="U135" s="10" t="s">
        <v>3370</v>
      </c>
      <c r="V135" s="72">
        <v>1</v>
      </c>
      <c r="W135" s="40" t="s">
        <v>111</v>
      </c>
      <c r="X135" s="40" t="s">
        <v>111</v>
      </c>
      <c r="Y135" s="73">
        <v>4.5999999999999996</v>
      </c>
      <c r="Z135" s="73">
        <v>0</v>
      </c>
      <c r="AA135" s="166">
        <v>4.5999999999999996</v>
      </c>
      <c r="AB135" s="40" t="s">
        <v>111</v>
      </c>
      <c r="AC135" s="40" t="s">
        <v>111</v>
      </c>
      <c r="AD135" s="40" t="s">
        <v>111</v>
      </c>
      <c r="AE135" s="40"/>
    </row>
    <row r="136" spans="1:31" s="46" customFormat="1" ht="24.95" hidden="1" customHeight="1" x14ac:dyDescent="0.15">
      <c r="A136" s="40">
        <v>134</v>
      </c>
      <c r="B136" s="40" t="s">
        <v>1407</v>
      </c>
      <c r="C136" s="40" t="s">
        <v>111</v>
      </c>
      <c r="D136" s="40" t="s">
        <v>111</v>
      </c>
      <c r="E136" s="40" t="s">
        <v>111</v>
      </c>
      <c r="F136" s="9" t="s">
        <v>86</v>
      </c>
      <c r="G136" s="21" t="s">
        <v>3374</v>
      </c>
      <c r="H136" s="1" t="s">
        <v>23</v>
      </c>
      <c r="I136" s="1" t="s">
        <v>3372</v>
      </c>
      <c r="J136" s="37" t="s">
        <v>1667</v>
      </c>
      <c r="K136" s="40" t="s">
        <v>111</v>
      </c>
      <c r="L136" s="37" t="s">
        <v>3375</v>
      </c>
      <c r="M136" s="40" t="s">
        <v>111</v>
      </c>
      <c r="N136" s="9" t="s">
        <v>686</v>
      </c>
      <c r="O136" s="9" t="s">
        <v>1773</v>
      </c>
      <c r="P136" s="40" t="s">
        <v>111</v>
      </c>
      <c r="Q136" s="20" t="s">
        <v>3376</v>
      </c>
      <c r="R136" s="40" t="s">
        <v>1752</v>
      </c>
      <c r="S136" s="125" t="s">
        <v>3368</v>
      </c>
      <c r="T136" s="40" t="s">
        <v>111</v>
      </c>
      <c r="U136" s="10" t="s">
        <v>3370</v>
      </c>
      <c r="V136" s="72">
        <v>1</v>
      </c>
      <c r="W136" s="40" t="s">
        <v>111</v>
      </c>
      <c r="X136" s="40" t="s">
        <v>111</v>
      </c>
      <c r="Y136" s="73">
        <v>4.5999999999999996</v>
      </c>
      <c r="Z136" s="73">
        <v>0</v>
      </c>
      <c r="AA136" s="166">
        <v>4.5999999999999996</v>
      </c>
      <c r="AB136" s="40" t="s">
        <v>111</v>
      </c>
      <c r="AC136" s="40" t="s">
        <v>111</v>
      </c>
      <c r="AD136" s="40" t="s">
        <v>111</v>
      </c>
      <c r="AE136" s="40"/>
    </row>
    <row r="137" spans="1:31" s="46" customFormat="1" ht="24.95" hidden="1" customHeight="1" x14ac:dyDescent="0.15">
      <c r="A137" s="40">
        <v>135</v>
      </c>
      <c r="B137" s="40" t="s">
        <v>1408</v>
      </c>
      <c r="C137" s="40" t="s">
        <v>111</v>
      </c>
      <c r="D137" s="40" t="s">
        <v>111</v>
      </c>
      <c r="E137" s="40" t="s">
        <v>111</v>
      </c>
      <c r="F137" s="9" t="s">
        <v>86</v>
      </c>
      <c r="G137" s="21" t="s">
        <v>3374</v>
      </c>
      <c r="H137" s="1" t="s">
        <v>23</v>
      </c>
      <c r="I137" s="1" t="s">
        <v>3372</v>
      </c>
      <c r="J137" s="37" t="s">
        <v>1667</v>
      </c>
      <c r="K137" s="40" t="s">
        <v>111</v>
      </c>
      <c r="L137" s="37" t="s">
        <v>3377</v>
      </c>
      <c r="M137" s="40" t="s">
        <v>111</v>
      </c>
      <c r="N137" s="9" t="s">
        <v>686</v>
      </c>
      <c r="O137" s="9" t="s">
        <v>1773</v>
      </c>
      <c r="P137" s="40" t="s">
        <v>111</v>
      </c>
      <c r="Q137" s="20" t="s">
        <v>3376</v>
      </c>
      <c r="R137" s="40" t="s">
        <v>1752</v>
      </c>
      <c r="S137" s="125" t="s">
        <v>3368</v>
      </c>
      <c r="T137" s="40" t="s">
        <v>111</v>
      </c>
      <c r="U137" s="10" t="s">
        <v>3370</v>
      </c>
      <c r="V137" s="72">
        <v>1</v>
      </c>
      <c r="W137" s="40" t="s">
        <v>111</v>
      </c>
      <c r="X137" s="40" t="s">
        <v>111</v>
      </c>
      <c r="Y137" s="73">
        <v>4.5999999999999996</v>
      </c>
      <c r="Z137" s="73">
        <v>0</v>
      </c>
      <c r="AA137" s="166">
        <v>4.5999999999999996</v>
      </c>
      <c r="AB137" s="40" t="s">
        <v>111</v>
      </c>
      <c r="AC137" s="40" t="s">
        <v>111</v>
      </c>
      <c r="AD137" s="40" t="s">
        <v>111</v>
      </c>
      <c r="AE137" s="40"/>
    </row>
    <row r="138" spans="1:31" s="143" customFormat="1" ht="24.95" hidden="1" customHeight="1" x14ac:dyDescent="0.15">
      <c r="A138" s="72">
        <v>136</v>
      </c>
      <c r="B138" s="72" t="s">
        <v>1736</v>
      </c>
      <c r="C138" s="72" t="s">
        <v>3384</v>
      </c>
      <c r="D138" s="72" t="s">
        <v>3384</v>
      </c>
      <c r="E138" s="72" t="s">
        <v>3384</v>
      </c>
      <c r="F138" s="72" t="s">
        <v>3384</v>
      </c>
      <c r="G138" s="72" t="s">
        <v>3384</v>
      </c>
      <c r="H138" s="20" t="s">
        <v>3386</v>
      </c>
      <c r="I138" s="21" t="s">
        <v>3385</v>
      </c>
      <c r="J138" s="20" t="s">
        <v>3387</v>
      </c>
      <c r="K138" s="72" t="s">
        <v>3384</v>
      </c>
      <c r="L138" s="72" t="s">
        <v>3384</v>
      </c>
      <c r="M138" s="72" t="s">
        <v>3384</v>
      </c>
      <c r="N138" s="20" t="s">
        <v>3385</v>
      </c>
      <c r="O138" s="20" t="s">
        <v>3385</v>
      </c>
      <c r="P138" s="72" t="s">
        <v>3384</v>
      </c>
      <c r="Q138" s="20" t="s">
        <v>3388</v>
      </c>
      <c r="R138" s="72" t="s">
        <v>3384</v>
      </c>
      <c r="S138" s="72" t="s">
        <v>3384</v>
      </c>
      <c r="T138" s="72" t="s">
        <v>3384</v>
      </c>
      <c r="U138" s="72" t="s">
        <v>3417</v>
      </c>
      <c r="V138" s="72">
        <v>0</v>
      </c>
      <c r="W138" s="72" t="s">
        <v>3384</v>
      </c>
      <c r="X138" s="72" t="s">
        <v>3384</v>
      </c>
      <c r="Y138" s="172">
        <v>30</v>
      </c>
      <c r="Z138" s="172">
        <v>0</v>
      </c>
      <c r="AA138" s="30">
        <v>30</v>
      </c>
      <c r="AB138" s="72" t="s">
        <v>3384</v>
      </c>
      <c r="AC138" s="72" t="s">
        <v>3384</v>
      </c>
      <c r="AD138" s="72" t="s">
        <v>3384</v>
      </c>
      <c r="AE138" s="72"/>
    </row>
    <row r="139" spans="1:31" s="154" customFormat="1" ht="24.95" hidden="1" customHeight="1" x14ac:dyDescent="0.15">
      <c r="A139" s="146"/>
      <c r="B139" s="146"/>
      <c r="C139" s="146"/>
      <c r="D139" s="146"/>
      <c r="E139" s="146"/>
      <c r="F139" s="173"/>
      <c r="G139" s="173"/>
      <c r="H139" s="146"/>
      <c r="I139" s="146"/>
      <c r="J139" s="146"/>
      <c r="K139" s="146"/>
      <c r="L139" s="146"/>
      <c r="M139" s="146"/>
      <c r="N139" s="174"/>
      <c r="O139" s="175"/>
      <c r="P139" s="146"/>
      <c r="Q139" s="146"/>
      <c r="R139" s="146"/>
      <c r="S139" s="146"/>
      <c r="T139" s="146"/>
      <c r="U139" s="146" t="s">
        <v>3389</v>
      </c>
      <c r="V139" s="146"/>
      <c r="W139" s="146"/>
      <c r="X139" s="146"/>
      <c r="Y139" s="176">
        <f>SUM(Y3:Y138)</f>
        <v>1395.6205209999985</v>
      </c>
      <c r="Z139" s="176">
        <f>SUM(Z3:Z138)</f>
        <v>729.49</v>
      </c>
      <c r="AA139" s="176">
        <f>SUM(AA3:AA138)</f>
        <v>2125.1105209999982</v>
      </c>
      <c r="AB139" s="146"/>
      <c r="AC139" s="146"/>
      <c r="AD139" s="146"/>
      <c r="AE139" s="146"/>
    </row>
  </sheetData>
  <autoFilter ref="A2:AE139" xr:uid="{00000000-0009-0000-0000-000006000000}">
    <filterColumn colId="3">
      <filters>
        <filter val="ZFMD/SHFW-2016009"/>
        <filter val="ZFMD/SHFW-2016013"/>
      </filters>
    </filterColumn>
  </autoFilter>
  <mergeCells count="6">
    <mergeCell ref="A1:AD1"/>
    <mergeCell ref="G77:G78"/>
    <mergeCell ref="F77:F78"/>
    <mergeCell ref="D77:D78"/>
    <mergeCell ref="C77:C78"/>
    <mergeCell ref="B77:B78"/>
  </mergeCells>
  <phoneticPr fontId="1" type="noConversion"/>
  <pageMargins left="0.7" right="0.7" top="0.75" bottom="0.75" header="0.3" footer="0.3"/>
  <pageSetup paperSize="9" orientation="portrait" verticalDpi="18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82"/>
  <sheetViews>
    <sheetView workbookViewId="0">
      <pane xSplit="2" ySplit="2" topLeftCell="C57" activePane="bottomRight" state="frozen"/>
      <selection pane="topRight" activeCell="C1" sqref="C1"/>
      <selection pane="bottomLeft" activeCell="A3" sqref="A3"/>
      <selection pane="bottomRight" activeCell="D2" sqref="D2"/>
    </sheetView>
  </sheetViews>
  <sheetFormatPr defaultRowHeight="27.95" customHeight="1" x14ac:dyDescent="0.15"/>
  <cols>
    <col min="1" max="1" width="6.375" style="38" customWidth="1"/>
    <col min="2" max="2" width="9.75" style="38" bestFit="1" customWidth="1"/>
    <col min="3" max="3" width="12.875" style="38" customWidth="1"/>
    <col min="4" max="4" width="14.25" style="38" customWidth="1"/>
    <col min="5" max="5" width="25.375" style="38" customWidth="1"/>
    <col min="6" max="6" width="25" style="38" customWidth="1"/>
    <col min="7" max="7" width="36.375" style="38" customWidth="1"/>
    <col min="8" max="10" width="9" style="38"/>
    <col min="11" max="11" width="0" style="38" hidden="1" customWidth="1"/>
    <col min="12" max="12" width="14.125" style="38" customWidth="1"/>
    <col min="13" max="13" width="9" style="38" customWidth="1"/>
    <col min="14" max="14" width="11.375" style="5" customWidth="1"/>
    <col min="15" max="15" width="12.875" style="5" customWidth="1"/>
    <col min="16" max="18" width="9" style="38"/>
    <col min="19" max="19" width="13.125" style="38" customWidth="1"/>
    <col min="20" max="20" width="9" style="38"/>
    <col min="21" max="21" width="12.5" style="38" customWidth="1"/>
    <col min="22" max="22" width="7.25" style="38" customWidth="1"/>
    <col min="23" max="23" width="6.25" style="38" customWidth="1"/>
    <col min="24" max="24" width="5.25" style="38" customWidth="1"/>
    <col min="25" max="27" width="11.375" style="144" customWidth="1"/>
    <col min="28" max="28" width="6.25" style="38" customWidth="1"/>
    <col min="29" max="29" width="7.75" style="38" customWidth="1"/>
    <col min="30" max="30" width="5.875" style="38" customWidth="1"/>
    <col min="31" max="31" width="27" style="38" customWidth="1"/>
    <col min="32" max="16384" width="9" style="38"/>
  </cols>
  <sheetData>
    <row r="1" spans="1:31" s="3" customFormat="1" ht="33" customHeight="1" x14ac:dyDescent="0.15">
      <c r="A1" s="1953" t="s">
        <v>2314</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1" s="4" customFormat="1" ht="27.9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8</v>
      </c>
      <c r="P2" s="25" t="s">
        <v>9</v>
      </c>
      <c r="Q2" s="25" t="s">
        <v>3342</v>
      </c>
      <c r="R2" s="25" t="s">
        <v>3343</v>
      </c>
      <c r="S2" s="25" t="s">
        <v>15</v>
      </c>
      <c r="T2" s="25" t="s">
        <v>16</v>
      </c>
      <c r="U2" s="32" t="s">
        <v>14</v>
      </c>
      <c r="V2" s="32" t="s">
        <v>13</v>
      </c>
      <c r="W2" s="25" t="s">
        <v>11</v>
      </c>
      <c r="X2" s="25" t="s">
        <v>12</v>
      </c>
      <c r="Y2" s="134" t="s">
        <v>429</v>
      </c>
      <c r="Z2" s="134" t="s">
        <v>430</v>
      </c>
      <c r="AA2" s="134" t="s">
        <v>431</v>
      </c>
      <c r="AB2" s="25" t="s">
        <v>3350</v>
      </c>
      <c r="AC2" s="25" t="s">
        <v>2185</v>
      </c>
      <c r="AD2" s="25" t="s">
        <v>2125</v>
      </c>
      <c r="AE2" s="25" t="s">
        <v>3252</v>
      </c>
    </row>
    <row r="3" spans="1:31" s="46" customFormat="1" ht="27.95" customHeight="1" x14ac:dyDescent="0.15">
      <c r="A3" s="40">
        <v>1</v>
      </c>
      <c r="B3" s="125">
        <v>15001</v>
      </c>
      <c r="C3" s="24" t="s">
        <v>1896</v>
      </c>
      <c r="D3" s="24" t="s">
        <v>1896</v>
      </c>
      <c r="E3" s="24" t="s">
        <v>1896</v>
      </c>
      <c r="F3" s="29" t="s">
        <v>2644</v>
      </c>
      <c r="G3" s="20" t="s">
        <v>2682</v>
      </c>
      <c r="H3" s="142" t="s">
        <v>1923</v>
      </c>
      <c r="I3" s="142" t="s">
        <v>2893</v>
      </c>
      <c r="J3" s="104" t="s">
        <v>2894</v>
      </c>
      <c r="K3" s="24" t="s">
        <v>1896</v>
      </c>
      <c r="L3" s="24" t="s">
        <v>1896</v>
      </c>
      <c r="M3" s="24" t="s">
        <v>1896</v>
      </c>
      <c r="N3" s="104" t="s">
        <v>102</v>
      </c>
      <c r="O3" s="120" t="s">
        <v>463</v>
      </c>
      <c r="P3" s="24" t="s">
        <v>1896</v>
      </c>
      <c r="Q3" s="12" t="s">
        <v>2890</v>
      </c>
      <c r="R3" s="24" t="s">
        <v>1896</v>
      </c>
      <c r="S3" s="124">
        <v>42005</v>
      </c>
      <c r="T3" s="24" t="s">
        <v>1896</v>
      </c>
      <c r="U3" s="10" t="s">
        <v>110</v>
      </c>
      <c r="V3" s="72">
        <v>1</v>
      </c>
      <c r="W3" s="24" t="s">
        <v>1896</v>
      </c>
      <c r="X3" s="24" t="s">
        <v>1896</v>
      </c>
      <c r="Y3" s="167">
        <v>8</v>
      </c>
      <c r="Z3" s="167">
        <v>0</v>
      </c>
      <c r="AA3" s="177">
        <v>8</v>
      </c>
      <c r="AB3" s="24" t="s">
        <v>1896</v>
      </c>
      <c r="AC3" s="24" t="s">
        <v>1896</v>
      </c>
      <c r="AD3" s="24" t="s">
        <v>1896</v>
      </c>
      <c r="AE3" s="40"/>
    </row>
    <row r="4" spans="1:31" s="46" customFormat="1" ht="27.95" customHeight="1" x14ac:dyDescent="0.15">
      <c r="A4" s="40">
        <v>2</v>
      </c>
      <c r="B4" s="125">
        <v>15002</v>
      </c>
      <c r="C4" s="24" t="s">
        <v>1896</v>
      </c>
      <c r="D4" s="24" t="s">
        <v>1896</v>
      </c>
      <c r="E4" s="24" t="s">
        <v>1896</v>
      </c>
      <c r="F4" s="178" t="s">
        <v>2683</v>
      </c>
      <c r="G4" s="78" t="s">
        <v>2684</v>
      </c>
      <c r="H4" s="1" t="s">
        <v>2895</v>
      </c>
      <c r="I4" s="142" t="s">
        <v>2893</v>
      </c>
      <c r="J4" s="1" t="s">
        <v>2896</v>
      </c>
      <c r="K4" s="24" t="s">
        <v>1896</v>
      </c>
      <c r="L4" s="24" t="s">
        <v>1896</v>
      </c>
      <c r="M4" s="24" t="s">
        <v>1896</v>
      </c>
      <c r="N4" s="104" t="s">
        <v>102</v>
      </c>
      <c r="O4" s="1" t="s">
        <v>2916</v>
      </c>
      <c r="P4" s="24" t="s">
        <v>1896</v>
      </c>
      <c r="Q4" s="12" t="s">
        <v>2887</v>
      </c>
      <c r="R4" s="24" t="s">
        <v>1896</v>
      </c>
      <c r="S4" s="123" t="s">
        <v>2985</v>
      </c>
      <c r="T4" s="24" t="s">
        <v>1896</v>
      </c>
      <c r="U4" s="10" t="s">
        <v>110</v>
      </c>
      <c r="V4" s="72">
        <v>1</v>
      </c>
      <c r="W4" s="24" t="s">
        <v>1896</v>
      </c>
      <c r="X4" s="24" t="s">
        <v>1896</v>
      </c>
      <c r="Y4" s="167">
        <v>159.68</v>
      </c>
      <c r="Z4" s="167">
        <v>0</v>
      </c>
      <c r="AA4" s="177">
        <v>159.68</v>
      </c>
      <c r="AB4" s="24" t="s">
        <v>1896</v>
      </c>
      <c r="AC4" s="24" t="s">
        <v>1896</v>
      </c>
      <c r="AD4" s="24" t="s">
        <v>1896</v>
      </c>
      <c r="AE4" s="40"/>
    </row>
    <row r="5" spans="1:31" s="46" customFormat="1" ht="27.95" customHeight="1" x14ac:dyDescent="0.15">
      <c r="A5" s="40">
        <v>3</v>
      </c>
      <c r="B5" s="125">
        <v>15003</v>
      </c>
      <c r="C5" s="24" t="s">
        <v>1896</v>
      </c>
      <c r="D5" s="24" t="s">
        <v>1896</v>
      </c>
      <c r="E5" s="24" t="s">
        <v>1896</v>
      </c>
      <c r="F5" s="68" t="s">
        <v>2685</v>
      </c>
      <c r="G5" s="20" t="s">
        <v>2686</v>
      </c>
      <c r="H5" s="102" t="s">
        <v>994</v>
      </c>
      <c r="I5" s="102" t="s">
        <v>1540</v>
      </c>
      <c r="J5" s="105" t="s">
        <v>852</v>
      </c>
      <c r="K5" s="24" t="s">
        <v>1896</v>
      </c>
      <c r="L5" s="24" t="s">
        <v>1896</v>
      </c>
      <c r="M5" s="24" t="s">
        <v>1896</v>
      </c>
      <c r="N5" s="21" t="s">
        <v>102</v>
      </c>
      <c r="O5" s="21" t="s">
        <v>851</v>
      </c>
      <c r="P5" s="24" t="s">
        <v>1896</v>
      </c>
      <c r="Q5" s="12" t="s">
        <v>2887</v>
      </c>
      <c r="R5" s="24" t="s">
        <v>1896</v>
      </c>
      <c r="S5" s="123" t="s">
        <v>2986</v>
      </c>
      <c r="T5" s="24" t="s">
        <v>1896</v>
      </c>
      <c r="U5" s="10" t="s">
        <v>110</v>
      </c>
      <c r="V5" s="72">
        <v>2</v>
      </c>
      <c r="W5" s="24" t="s">
        <v>1896</v>
      </c>
      <c r="X5" s="24" t="s">
        <v>1896</v>
      </c>
      <c r="Y5" s="167">
        <v>0</v>
      </c>
      <c r="Z5" s="167">
        <v>12</v>
      </c>
      <c r="AA5" s="179">
        <v>12</v>
      </c>
      <c r="AB5" s="24" t="s">
        <v>1896</v>
      </c>
      <c r="AC5" s="24" t="s">
        <v>1896</v>
      </c>
      <c r="AD5" s="24" t="s">
        <v>1896</v>
      </c>
      <c r="AE5" s="40"/>
    </row>
    <row r="6" spans="1:31" s="143" customFormat="1" ht="27.95" customHeight="1" x14ac:dyDescent="0.15">
      <c r="A6" s="72">
        <v>4</v>
      </c>
      <c r="B6" s="24" t="s">
        <v>3083</v>
      </c>
      <c r="C6" s="24" t="s">
        <v>3084</v>
      </c>
      <c r="D6" s="24" t="s">
        <v>3084</v>
      </c>
      <c r="E6" s="24" t="s">
        <v>3084</v>
      </c>
      <c r="F6" s="68" t="s">
        <v>3085</v>
      </c>
      <c r="G6" s="20" t="s">
        <v>3086</v>
      </c>
      <c r="H6" s="21" t="s">
        <v>2920</v>
      </c>
      <c r="I6" s="21" t="s">
        <v>1540</v>
      </c>
      <c r="J6" s="145" t="s">
        <v>2921</v>
      </c>
      <c r="K6" s="24" t="s">
        <v>3084</v>
      </c>
      <c r="L6" s="24" t="s">
        <v>3084</v>
      </c>
      <c r="M6" s="24" t="s">
        <v>3084</v>
      </c>
      <c r="N6" s="24" t="s">
        <v>3084</v>
      </c>
      <c r="O6" s="24" t="s">
        <v>3084</v>
      </c>
      <c r="P6" s="24" t="s">
        <v>3084</v>
      </c>
      <c r="Q6" s="24" t="s">
        <v>3084</v>
      </c>
      <c r="R6" s="24" t="s">
        <v>3084</v>
      </c>
      <c r="S6" s="24" t="s">
        <v>3084</v>
      </c>
      <c r="T6" s="24" t="s">
        <v>3084</v>
      </c>
      <c r="U6" s="24" t="s">
        <v>3482</v>
      </c>
      <c r="V6" s="24">
        <v>1</v>
      </c>
      <c r="W6" s="24" t="s">
        <v>3084</v>
      </c>
      <c r="X6" s="24" t="s">
        <v>3084</v>
      </c>
      <c r="Y6" s="30">
        <v>0</v>
      </c>
      <c r="Z6" s="30">
        <v>0</v>
      </c>
      <c r="AA6" s="30">
        <v>0</v>
      </c>
      <c r="AB6" s="24" t="s">
        <v>3084</v>
      </c>
      <c r="AC6" s="24" t="s">
        <v>3084</v>
      </c>
      <c r="AD6" s="24" t="s">
        <v>3084</v>
      </c>
      <c r="AE6" s="72"/>
    </row>
    <row r="7" spans="1:31" s="46" customFormat="1" ht="27.95" customHeight="1" x14ac:dyDescent="0.15">
      <c r="A7" s="40">
        <v>5</v>
      </c>
      <c r="B7" s="125">
        <v>15004</v>
      </c>
      <c r="C7" s="24" t="s">
        <v>1896</v>
      </c>
      <c r="D7" s="24" t="s">
        <v>1896</v>
      </c>
      <c r="E7" s="24" t="s">
        <v>1896</v>
      </c>
      <c r="F7" s="68" t="s">
        <v>2687</v>
      </c>
      <c r="G7" s="20" t="s">
        <v>2688</v>
      </c>
      <c r="H7" s="1" t="s">
        <v>94</v>
      </c>
      <c r="I7" s="1" t="s">
        <v>819</v>
      </c>
      <c r="J7" s="142" t="s">
        <v>628</v>
      </c>
      <c r="K7" s="24" t="s">
        <v>1896</v>
      </c>
      <c r="L7" s="24" t="s">
        <v>1896</v>
      </c>
      <c r="M7" s="24" t="s">
        <v>1896</v>
      </c>
      <c r="N7" s="21" t="s">
        <v>102</v>
      </c>
      <c r="O7" s="21" t="s">
        <v>851</v>
      </c>
      <c r="P7" s="24" t="s">
        <v>1896</v>
      </c>
      <c r="Q7" s="12" t="s">
        <v>2891</v>
      </c>
      <c r="R7" s="24" t="s">
        <v>1896</v>
      </c>
      <c r="S7" s="123" t="s">
        <v>2987</v>
      </c>
      <c r="T7" s="24" t="s">
        <v>1896</v>
      </c>
      <c r="U7" s="10" t="s">
        <v>110</v>
      </c>
      <c r="V7" s="72">
        <v>1</v>
      </c>
      <c r="W7" s="24" t="s">
        <v>1896</v>
      </c>
      <c r="X7" s="24" t="s">
        <v>1896</v>
      </c>
      <c r="Y7" s="167">
        <v>0</v>
      </c>
      <c r="Z7" s="167">
        <v>8</v>
      </c>
      <c r="AA7" s="179">
        <v>8</v>
      </c>
      <c r="AB7" s="24" t="s">
        <v>1896</v>
      </c>
      <c r="AC7" s="24" t="s">
        <v>1896</v>
      </c>
      <c r="AD7" s="24" t="s">
        <v>1896</v>
      </c>
      <c r="AE7" s="40"/>
    </row>
    <row r="8" spans="1:31" s="46" customFormat="1" ht="27.95" customHeight="1" x14ac:dyDescent="0.15">
      <c r="A8" s="40">
        <v>6</v>
      </c>
      <c r="B8" s="125">
        <v>15005</v>
      </c>
      <c r="C8" s="24" t="s">
        <v>1896</v>
      </c>
      <c r="D8" s="24" t="s">
        <v>1896</v>
      </c>
      <c r="E8" s="24" t="s">
        <v>1896</v>
      </c>
      <c r="F8" s="29" t="s">
        <v>2689</v>
      </c>
      <c r="G8" s="20" t="s">
        <v>2690</v>
      </c>
      <c r="H8" s="20" t="s">
        <v>94</v>
      </c>
      <c r="I8" s="1" t="s">
        <v>1416</v>
      </c>
      <c r="J8" s="21" t="s">
        <v>1667</v>
      </c>
      <c r="K8" s="24" t="s">
        <v>1896</v>
      </c>
      <c r="L8" s="24" t="s">
        <v>1896</v>
      </c>
      <c r="M8" s="24" t="s">
        <v>1896</v>
      </c>
      <c r="N8" s="21" t="s">
        <v>102</v>
      </c>
      <c r="O8" s="21" t="s">
        <v>851</v>
      </c>
      <c r="P8" s="24" t="s">
        <v>1896</v>
      </c>
      <c r="Q8" s="12" t="s">
        <v>2891</v>
      </c>
      <c r="R8" s="24" t="s">
        <v>1896</v>
      </c>
      <c r="S8" s="180" t="s">
        <v>2987</v>
      </c>
      <c r="T8" s="24" t="s">
        <v>1896</v>
      </c>
      <c r="U8" s="10" t="s">
        <v>110</v>
      </c>
      <c r="V8" s="72">
        <v>1</v>
      </c>
      <c r="W8" s="24" t="s">
        <v>1896</v>
      </c>
      <c r="X8" s="24" t="s">
        <v>1896</v>
      </c>
      <c r="Y8" s="167">
        <v>0</v>
      </c>
      <c r="Z8" s="167">
        <v>12</v>
      </c>
      <c r="AA8" s="179">
        <v>12</v>
      </c>
      <c r="AB8" s="24" t="s">
        <v>1896</v>
      </c>
      <c r="AC8" s="24" t="s">
        <v>1896</v>
      </c>
      <c r="AD8" s="24" t="s">
        <v>1896</v>
      </c>
      <c r="AE8" s="40"/>
    </row>
    <row r="9" spans="1:31" s="46" customFormat="1" ht="27.95" customHeight="1" x14ac:dyDescent="0.15">
      <c r="A9" s="40">
        <v>7</v>
      </c>
      <c r="B9" s="125">
        <v>15006</v>
      </c>
      <c r="C9" s="24" t="s">
        <v>1896</v>
      </c>
      <c r="D9" s="24" t="s">
        <v>1896</v>
      </c>
      <c r="E9" s="24" t="s">
        <v>1896</v>
      </c>
      <c r="F9" s="29" t="s">
        <v>2691</v>
      </c>
      <c r="G9" s="20" t="s">
        <v>2692</v>
      </c>
      <c r="H9" s="20" t="s">
        <v>94</v>
      </c>
      <c r="I9" s="1" t="s">
        <v>1416</v>
      </c>
      <c r="J9" s="21" t="s">
        <v>1667</v>
      </c>
      <c r="K9" s="24" t="s">
        <v>1896</v>
      </c>
      <c r="L9" s="24" t="s">
        <v>1896</v>
      </c>
      <c r="M9" s="24" t="s">
        <v>1896</v>
      </c>
      <c r="N9" s="21" t="s">
        <v>102</v>
      </c>
      <c r="O9" s="21" t="s">
        <v>851</v>
      </c>
      <c r="P9" s="24" t="s">
        <v>1896</v>
      </c>
      <c r="Q9" s="12" t="s">
        <v>2891</v>
      </c>
      <c r="R9" s="24" t="s">
        <v>1896</v>
      </c>
      <c r="S9" s="180" t="s">
        <v>2988</v>
      </c>
      <c r="T9" s="24" t="s">
        <v>1896</v>
      </c>
      <c r="U9" s="10" t="s">
        <v>110</v>
      </c>
      <c r="V9" s="72">
        <v>1</v>
      </c>
      <c r="W9" s="24" t="s">
        <v>1896</v>
      </c>
      <c r="X9" s="24" t="s">
        <v>1896</v>
      </c>
      <c r="Y9" s="167">
        <v>0</v>
      </c>
      <c r="Z9" s="167">
        <v>12</v>
      </c>
      <c r="AA9" s="179">
        <v>12</v>
      </c>
      <c r="AB9" s="24" t="s">
        <v>1896</v>
      </c>
      <c r="AC9" s="24" t="s">
        <v>1896</v>
      </c>
      <c r="AD9" s="24" t="s">
        <v>1896</v>
      </c>
      <c r="AE9" s="40"/>
    </row>
    <row r="10" spans="1:31" s="46" customFormat="1" ht="27.95" customHeight="1" x14ac:dyDescent="0.15">
      <c r="A10" s="40">
        <v>8</v>
      </c>
      <c r="B10" s="125">
        <v>15007</v>
      </c>
      <c r="C10" s="24" t="s">
        <v>1896</v>
      </c>
      <c r="D10" s="24" t="s">
        <v>1896</v>
      </c>
      <c r="E10" s="24" t="s">
        <v>1896</v>
      </c>
      <c r="F10" s="29" t="s">
        <v>2646</v>
      </c>
      <c r="G10" s="20" t="s">
        <v>2693</v>
      </c>
      <c r="H10" s="20" t="s">
        <v>94</v>
      </c>
      <c r="I10" s="1" t="s">
        <v>1416</v>
      </c>
      <c r="J10" s="104" t="s">
        <v>1667</v>
      </c>
      <c r="K10" s="24" t="s">
        <v>1896</v>
      </c>
      <c r="L10" s="24" t="s">
        <v>1896</v>
      </c>
      <c r="M10" s="24" t="s">
        <v>1896</v>
      </c>
      <c r="N10" s="21" t="s">
        <v>102</v>
      </c>
      <c r="O10" s="21" t="s">
        <v>851</v>
      </c>
      <c r="P10" s="24" t="s">
        <v>1896</v>
      </c>
      <c r="Q10" s="12" t="s">
        <v>2891</v>
      </c>
      <c r="R10" s="24" t="s">
        <v>1896</v>
      </c>
      <c r="S10" s="180" t="s">
        <v>2988</v>
      </c>
      <c r="T10" s="24" t="s">
        <v>1896</v>
      </c>
      <c r="U10" s="10" t="s">
        <v>110</v>
      </c>
      <c r="V10" s="72">
        <v>1</v>
      </c>
      <c r="W10" s="24" t="s">
        <v>1896</v>
      </c>
      <c r="X10" s="24" t="s">
        <v>1896</v>
      </c>
      <c r="Y10" s="167">
        <v>0</v>
      </c>
      <c r="Z10" s="167">
        <v>12</v>
      </c>
      <c r="AA10" s="179">
        <v>12</v>
      </c>
      <c r="AB10" s="24" t="s">
        <v>1896</v>
      </c>
      <c r="AC10" s="24" t="s">
        <v>1896</v>
      </c>
      <c r="AD10" s="24" t="s">
        <v>1896</v>
      </c>
      <c r="AE10" s="40"/>
    </row>
    <row r="11" spans="1:31" s="46" customFormat="1" ht="27.95" customHeight="1" x14ac:dyDescent="0.15">
      <c r="A11" s="40">
        <v>9</v>
      </c>
      <c r="B11" s="125">
        <v>15008</v>
      </c>
      <c r="C11" s="24" t="s">
        <v>1896</v>
      </c>
      <c r="D11" s="24" t="s">
        <v>1896</v>
      </c>
      <c r="E11" s="24" t="s">
        <v>1896</v>
      </c>
      <c r="F11" s="29" t="s">
        <v>2617</v>
      </c>
      <c r="G11" s="20" t="s">
        <v>2694</v>
      </c>
      <c r="H11" s="20" t="s">
        <v>94</v>
      </c>
      <c r="I11" s="1" t="s">
        <v>1416</v>
      </c>
      <c r="J11" s="104" t="s">
        <v>1667</v>
      </c>
      <c r="K11" s="24" t="s">
        <v>1896</v>
      </c>
      <c r="L11" s="24" t="s">
        <v>1896</v>
      </c>
      <c r="M11" s="24" t="s">
        <v>1896</v>
      </c>
      <c r="N11" s="21" t="s">
        <v>102</v>
      </c>
      <c r="O11" s="21" t="s">
        <v>851</v>
      </c>
      <c r="P11" s="24" t="s">
        <v>1896</v>
      </c>
      <c r="Q11" s="12" t="s">
        <v>2891</v>
      </c>
      <c r="R11" s="24" t="s">
        <v>1896</v>
      </c>
      <c r="S11" s="180" t="s">
        <v>2988</v>
      </c>
      <c r="T11" s="24" t="s">
        <v>1896</v>
      </c>
      <c r="U11" s="10" t="s">
        <v>110</v>
      </c>
      <c r="V11" s="72">
        <v>1</v>
      </c>
      <c r="W11" s="24" t="s">
        <v>1896</v>
      </c>
      <c r="X11" s="24" t="s">
        <v>1896</v>
      </c>
      <c r="Y11" s="167">
        <v>0</v>
      </c>
      <c r="Z11" s="167">
        <v>12</v>
      </c>
      <c r="AA11" s="179">
        <v>12</v>
      </c>
      <c r="AB11" s="24" t="s">
        <v>1896</v>
      </c>
      <c r="AC11" s="24" t="s">
        <v>1896</v>
      </c>
      <c r="AD11" s="24" t="s">
        <v>1896</v>
      </c>
      <c r="AE11" s="40"/>
    </row>
    <row r="12" spans="1:31" s="46" customFormat="1" ht="27.95" customHeight="1" x14ac:dyDescent="0.15">
      <c r="A12" s="40">
        <v>10</v>
      </c>
      <c r="B12" s="125">
        <v>15009</v>
      </c>
      <c r="C12" s="24" t="s">
        <v>1896</v>
      </c>
      <c r="D12" s="24" t="s">
        <v>1896</v>
      </c>
      <c r="E12" s="24" t="s">
        <v>1896</v>
      </c>
      <c r="F12" s="29" t="s">
        <v>2695</v>
      </c>
      <c r="G12" s="21" t="s">
        <v>2696</v>
      </c>
      <c r="H12" s="105" t="s">
        <v>94</v>
      </c>
      <c r="I12" s="105" t="s">
        <v>1416</v>
      </c>
      <c r="J12" s="21" t="s">
        <v>1668</v>
      </c>
      <c r="K12" s="24" t="s">
        <v>1896</v>
      </c>
      <c r="L12" s="24" t="s">
        <v>1896</v>
      </c>
      <c r="M12" s="24" t="s">
        <v>1896</v>
      </c>
      <c r="N12" s="21" t="s">
        <v>102</v>
      </c>
      <c r="O12" s="21" t="s">
        <v>851</v>
      </c>
      <c r="P12" s="24" t="s">
        <v>1896</v>
      </c>
      <c r="Q12" s="12" t="s">
        <v>2891</v>
      </c>
      <c r="R12" s="24" t="s">
        <v>1896</v>
      </c>
      <c r="S12" s="180" t="s">
        <v>2988</v>
      </c>
      <c r="T12" s="24" t="s">
        <v>1896</v>
      </c>
      <c r="U12" s="10" t="s">
        <v>110</v>
      </c>
      <c r="V12" s="72">
        <v>1</v>
      </c>
      <c r="W12" s="24" t="s">
        <v>1896</v>
      </c>
      <c r="X12" s="24" t="s">
        <v>1896</v>
      </c>
      <c r="Y12" s="167">
        <v>0</v>
      </c>
      <c r="Z12" s="167">
        <v>12</v>
      </c>
      <c r="AA12" s="179">
        <v>12</v>
      </c>
      <c r="AB12" s="24" t="s">
        <v>1896</v>
      </c>
      <c r="AC12" s="24" t="s">
        <v>1896</v>
      </c>
      <c r="AD12" s="24" t="s">
        <v>1896</v>
      </c>
      <c r="AE12" s="40"/>
    </row>
    <row r="13" spans="1:31" s="46" customFormat="1" ht="27.95" customHeight="1" x14ac:dyDescent="0.15">
      <c r="A13" s="40">
        <v>11</v>
      </c>
      <c r="B13" s="125">
        <v>15010</v>
      </c>
      <c r="C13" s="24" t="s">
        <v>1896</v>
      </c>
      <c r="D13" s="24" t="s">
        <v>1896</v>
      </c>
      <c r="E13" s="24" t="s">
        <v>1896</v>
      </c>
      <c r="F13" s="29" t="s">
        <v>2697</v>
      </c>
      <c r="G13" s="21" t="s">
        <v>2698</v>
      </c>
      <c r="H13" s="105" t="s">
        <v>94</v>
      </c>
      <c r="I13" s="105" t="s">
        <v>1416</v>
      </c>
      <c r="J13" s="21" t="s">
        <v>1668</v>
      </c>
      <c r="K13" s="24" t="s">
        <v>1896</v>
      </c>
      <c r="L13" s="24" t="s">
        <v>1896</v>
      </c>
      <c r="M13" s="24" t="s">
        <v>1896</v>
      </c>
      <c r="N13" s="21" t="s">
        <v>102</v>
      </c>
      <c r="O13" s="21" t="s">
        <v>851</v>
      </c>
      <c r="P13" s="24" t="s">
        <v>1896</v>
      </c>
      <c r="Q13" s="12" t="s">
        <v>2891</v>
      </c>
      <c r="R13" s="24" t="s">
        <v>1896</v>
      </c>
      <c r="S13" s="180" t="s">
        <v>2988</v>
      </c>
      <c r="T13" s="24" t="s">
        <v>1896</v>
      </c>
      <c r="U13" s="10" t="s">
        <v>110</v>
      </c>
      <c r="V13" s="72">
        <v>1</v>
      </c>
      <c r="W13" s="24" t="s">
        <v>1896</v>
      </c>
      <c r="X13" s="24" t="s">
        <v>1896</v>
      </c>
      <c r="Y13" s="167">
        <v>0</v>
      </c>
      <c r="Z13" s="167">
        <v>12</v>
      </c>
      <c r="AA13" s="179">
        <v>12</v>
      </c>
      <c r="AB13" s="24" t="s">
        <v>1896</v>
      </c>
      <c r="AC13" s="24" t="s">
        <v>1896</v>
      </c>
      <c r="AD13" s="24" t="s">
        <v>1896</v>
      </c>
      <c r="AE13" s="40"/>
    </row>
    <row r="14" spans="1:31" s="46" customFormat="1" ht="27.95" customHeight="1" x14ac:dyDescent="0.15">
      <c r="A14" s="40">
        <v>12</v>
      </c>
      <c r="B14" s="125">
        <v>15011</v>
      </c>
      <c r="C14" s="24" t="s">
        <v>1896</v>
      </c>
      <c r="D14" s="24" t="s">
        <v>1896</v>
      </c>
      <c r="E14" s="24" t="s">
        <v>1896</v>
      </c>
      <c r="F14" s="29" t="s">
        <v>2699</v>
      </c>
      <c r="G14" s="21" t="s">
        <v>2700</v>
      </c>
      <c r="H14" s="105" t="s">
        <v>94</v>
      </c>
      <c r="I14" s="105" t="s">
        <v>1416</v>
      </c>
      <c r="J14" s="21" t="s">
        <v>1668</v>
      </c>
      <c r="K14" s="24" t="s">
        <v>1896</v>
      </c>
      <c r="L14" s="24" t="s">
        <v>1896</v>
      </c>
      <c r="M14" s="24" t="s">
        <v>1896</v>
      </c>
      <c r="N14" s="21" t="s">
        <v>102</v>
      </c>
      <c r="O14" s="21" t="s">
        <v>851</v>
      </c>
      <c r="P14" s="24" t="s">
        <v>1896</v>
      </c>
      <c r="Q14" s="12" t="s">
        <v>2891</v>
      </c>
      <c r="R14" s="24" t="s">
        <v>1896</v>
      </c>
      <c r="S14" s="180" t="s">
        <v>2988</v>
      </c>
      <c r="T14" s="24" t="s">
        <v>1896</v>
      </c>
      <c r="U14" s="10" t="s">
        <v>110</v>
      </c>
      <c r="V14" s="72">
        <v>1</v>
      </c>
      <c r="W14" s="24" t="s">
        <v>1896</v>
      </c>
      <c r="X14" s="24" t="s">
        <v>1896</v>
      </c>
      <c r="Y14" s="167">
        <v>0</v>
      </c>
      <c r="Z14" s="167">
        <v>12</v>
      </c>
      <c r="AA14" s="179">
        <v>12</v>
      </c>
      <c r="AB14" s="24" t="s">
        <v>1896</v>
      </c>
      <c r="AC14" s="24" t="s">
        <v>1896</v>
      </c>
      <c r="AD14" s="24" t="s">
        <v>1896</v>
      </c>
      <c r="AE14" s="40"/>
    </row>
    <row r="15" spans="1:31" s="46" customFormat="1" ht="27.95" customHeight="1" x14ac:dyDescent="0.15">
      <c r="A15" s="40">
        <v>13</v>
      </c>
      <c r="B15" s="125">
        <v>15012</v>
      </c>
      <c r="C15" s="24" t="s">
        <v>1896</v>
      </c>
      <c r="D15" s="24" t="s">
        <v>1896</v>
      </c>
      <c r="E15" s="24" t="s">
        <v>1896</v>
      </c>
      <c r="F15" s="29" t="s">
        <v>1155</v>
      </c>
      <c r="G15" s="1" t="s">
        <v>2701</v>
      </c>
      <c r="H15" s="142" t="s">
        <v>94</v>
      </c>
      <c r="I15" s="142" t="s">
        <v>1416</v>
      </c>
      <c r="J15" s="21" t="s">
        <v>1658</v>
      </c>
      <c r="K15" s="24" t="s">
        <v>1896</v>
      </c>
      <c r="L15" s="24" t="s">
        <v>1896</v>
      </c>
      <c r="M15" s="24" t="s">
        <v>1896</v>
      </c>
      <c r="N15" s="21" t="s">
        <v>102</v>
      </c>
      <c r="O15" s="21" t="s">
        <v>851</v>
      </c>
      <c r="P15" s="24" t="s">
        <v>1896</v>
      </c>
      <c r="Q15" s="12" t="s">
        <v>2891</v>
      </c>
      <c r="R15" s="24" t="s">
        <v>1896</v>
      </c>
      <c r="S15" s="180" t="s">
        <v>2988</v>
      </c>
      <c r="T15" s="24" t="s">
        <v>1896</v>
      </c>
      <c r="U15" s="10" t="s">
        <v>110</v>
      </c>
      <c r="V15" s="72">
        <v>1</v>
      </c>
      <c r="W15" s="24" t="s">
        <v>1896</v>
      </c>
      <c r="X15" s="24" t="s">
        <v>1896</v>
      </c>
      <c r="Y15" s="167">
        <v>0</v>
      </c>
      <c r="Z15" s="167">
        <v>12</v>
      </c>
      <c r="AA15" s="179">
        <v>12</v>
      </c>
      <c r="AB15" s="24" t="s">
        <v>1896</v>
      </c>
      <c r="AC15" s="24" t="s">
        <v>1896</v>
      </c>
      <c r="AD15" s="24" t="s">
        <v>1896</v>
      </c>
      <c r="AE15" s="40"/>
    </row>
    <row r="16" spans="1:31" s="46" customFormat="1" ht="27.95" customHeight="1" x14ac:dyDescent="0.15">
      <c r="A16" s="40">
        <v>14</v>
      </c>
      <c r="B16" s="125">
        <v>15013</v>
      </c>
      <c r="C16" s="24" t="s">
        <v>1896</v>
      </c>
      <c r="D16" s="24" t="s">
        <v>1896</v>
      </c>
      <c r="E16" s="24" t="s">
        <v>1896</v>
      </c>
      <c r="F16" s="29" t="s">
        <v>2663</v>
      </c>
      <c r="G16" s="20" t="s">
        <v>2702</v>
      </c>
      <c r="H16" s="142" t="s">
        <v>94</v>
      </c>
      <c r="I16" s="142" t="s">
        <v>1416</v>
      </c>
      <c r="J16" s="104" t="s">
        <v>1658</v>
      </c>
      <c r="K16" s="24" t="s">
        <v>1896</v>
      </c>
      <c r="L16" s="24" t="s">
        <v>1896</v>
      </c>
      <c r="M16" s="24" t="s">
        <v>1896</v>
      </c>
      <c r="N16" s="21" t="s">
        <v>102</v>
      </c>
      <c r="O16" s="21" t="s">
        <v>851</v>
      </c>
      <c r="P16" s="24" t="s">
        <v>1896</v>
      </c>
      <c r="Q16" s="12" t="s">
        <v>2891</v>
      </c>
      <c r="R16" s="24" t="s">
        <v>1896</v>
      </c>
      <c r="S16" s="180" t="s">
        <v>2988</v>
      </c>
      <c r="T16" s="24" t="s">
        <v>1896</v>
      </c>
      <c r="U16" s="10" t="s">
        <v>110</v>
      </c>
      <c r="V16" s="72">
        <v>1</v>
      </c>
      <c r="W16" s="24" t="s">
        <v>1896</v>
      </c>
      <c r="X16" s="24" t="s">
        <v>1896</v>
      </c>
      <c r="Y16" s="167">
        <v>0</v>
      </c>
      <c r="Z16" s="167">
        <v>12</v>
      </c>
      <c r="AA16" s="179">
        <v>12</v>
      </c>
      <c r="AB16" s="24" t="s">
        <v>1896</v>
      </c>
      <c r="AC16" s="24" t="s">
        <v>1896</v>
      </c>
      <c r="AD16" s="24" t="s">
        <v>1896</v>
      </c>
      <c r="AE16" s="40"/>
    </row>
    <row r="17" spans="1:31" s="46" customFormat="1" ht="27.95" customHeight="1" x14ac:dyDescent="0.15">
      <c r="A17" s="40">
        <v>15</v>
      </c>
      <c r="B17" s="125">
        <v>15014</v>
      </c>
      <c r="C17" s="24" t="s">
        <v>1896</v>
      </c>
      <c r="D17" s="24" t="s">
        <v>1896</v>
      </c>
      <c r="E17" s="24" t="s">
        <v>1896</v>
      </c>
      <c r="F17" s="29" t="s">
        <v>2667</v>
      </c>
      <c r="G17" s="20" t="s">
        <v>2703</v>
      </c>
      <c r="H17" s="20" t="s">
        <v>94</v>
      </c>
      <c r="I17" s="20" t="s">
        <v>993</v>
      </c>
      <c r="J17" s="21" t="s">
        <v>1626</v>
      </c>
      <c r="K17" s="24" t="s">
        <v>1896</v>
      </c>
      <c r="L17" s="24" t="s">
        <v>1896</v>
      </c>
      <c r="M17" s="24" t="s">
        <v>1896</v>
      </c>
      <c r="N17" s="104" t="s">
        <v>102</v>
      </c>
      <c r="O17" s="1" t="s">
        <v>2917</v>
      </c>
      <c r="P17" s="24" t="s">
        <v>1896</v>
      </c>
      <c r="Q17" s="12" t="s">
        <v>2891</v>
      </c>
      <c r="R17" s="24" t="s">
        <v>1896</v>
      </c>
      <c r="S17" s="180" t="s">
        <v>2989</v>
      </c>
      <c r="T17" s="24" t="s">
        <v>1896</v>
      </c>
      <c r="U17" s="10" t="s">
        <v>110</v>
      </c>
      <c r="V17" s="72">
        <v>1</v>
      </c>
      <c r="W17" s="24" t="s">
        <v>1896</v>
      </c>
      <c r="X17" s="24" t="s">
        <v>1896</v>
      </c>
      <c r="Y17" s="167">
        <v>47</v>
      </c>
      <c r="Z17" s="167">
        <v>0</v>
      </c>
      <c r="AA17" s="177">
        <v>47</v>
      </c>
      <c r="AB17" s="24" t="s">
        <v>1896</v>
      </c>
      <c r="AC17" s="24" t="s">
        <v>1896</v>
      </c>
      <c r="AD17" s="24" t="s">
        <v>1896</v>
      </c>
      <c r="AE17" s="40"/>
    </row>
    <row r="18" spans="1:31" s="46" customFormat="1" ht="27.95" customHeight="1" x14ac:dyDescent="0.15">
      <c r="A18" s="40">
        <v>16</v>
      </c>
      <c r="B18" s="125">
        <v>15015</v>
      </c>
      <c r="C18" s="24" t="s">
        <v>1896</v>
      </c>
      <c r="D18" s="24" t="s">
        <v>1896</v>
      </c>
      <c r="E18" s="24" t="s">
        <v>1896</v>
      </c>
      <c r="F18" s="29" t="s">
        <v>2704</v>
      </c>
      <c r="G18" s="20" t="s">
        <v>2705</v>
      </c>
      <c r="H18" s="1" t="s">
        <v>994</v>
      </c>
      <c r="I18" s="12" t="s">
        <v>2832</v>
      </c>
      <c r="J18" s="1" t="s">
        <v>2833</v>
      </c>
      <c r="K18" s="24" t="s">
        <v>1896</v>
      </c>
      <c r="L18" s="24" t="s">
        <v>1896</v>
      </c>
      <c r="M18" s="24" t="s">
        <v>1896</v>
      </c>
      <c r="N18" s="104" t="s">
        <v>102</v>
      </c>
      <c r="O18" s="1" t="s">
        <v>463</v>
      </c>
      <c r="P18" s="24" t="s">
        <v>1896</v>
      </c>
      <c r="Q18" s="12" t="s">
        <v>2887</v>
      </c>
      <c r="R18" s="24" t="s">
        <v>1896</v>
      </c>
      <c r="S18" s="180" t="s">
        <v>2990</v>
      </c>
      <c r="T18" s="24" t="s">
        <v>1896</v>
      </c>
      <c r="U18" s="10" t="s">
        <v>110</v>
      </c>
      <c r="V18" s="72">
        <v>1</v>
      </c>
      <c r="W18" s="24" t="s">
        <v>1896</v>
      </c>
      <c r="X18" s="24" t="s">
        <v>1896</v>
      </c>
      <c r="Y18" s="167">
        <v>3.1</v>
      </c>
      <c r="Z18" s="167">
        <v>0</v>
      </c>
      <c r="AA18" s="177">
        <v>3.1</v>
      </c>
      <c r="AB18" s="24" t="s">
        <v>1896</v>
      </c>
      <c r="AC18" s="24" t="s">
        <v>1896</v>
      </c>
      <c r="AD18" s="24" t="s">
        <v>1896</v>
      </c>
      <c r="AE18" s="40"/>
    </row>
    <row r="19" spans="1:31" s="46" customFormat="1" ht="27.95" customHeight="1" x14ac:dyDescent="0.15">
      <c r="A19" s="40">
        <v>17</v>
      </c>
      <c r="B19" s="125">
        <v>15016</v>
      </c>
      <c r="C19" s="24" t="s">
        <v>1896</v>
      </c>
      <c r="D19" s="24" t="s">
        <v>1896</v>
      </c>
      <c r="E19" s="24" t="s">
        <v>1896</v>
      </c>
      <c r="F19" s="29" t="s">
        <v>2706</v>
      </c>
      <c r="G19" s="20" t="s">
        <v>2630</v>
      </c>
      <c r="H19" s="20" t="s">
        <v>94</v>
      </c>
      <c r="I19" s="142" t="s">
        <v>2868</v>
      </c>
      <c r="J19" s="1" t="s">
        <v>2897</v>
      </c>
      <c r="K19" s="24" t="s">
        <v>1896</v>
      </c>
      <c r="L19" s="24" t="s">
        <v>1896</v>
      </c>
      <c r="M19" s="24" t="s">
        <v>1896</v>
      </c>
      <c r="N19" s="104" t="s">
        <v>102</v>
      </c>
      <c r="O19" s="1" t="s">
        <v>2883</v>
      </c>
      <c r="P19" s="24" t="s">
        <v>1896</v>
      </c>
      <c r="Q19" s="12" t="s">
        <v>2891</v>
      </c>
      <c r="R19" s="24" t="s">
        <v>1896</v>
      </c>
      <c r="S19" s="180" t="s">
        <v>2991</v>
      </c>
      <c r="T19" s="24" t="s">
        <v>1896</v>
      </c>
      <c r="U19" s="10" t="s">
        <v>110</v>
      </c>
      <c r="V19" s="72">
        <v>1</v>
      </c>
      <c r="W19" s="24" t="s">
        <v>1896</v>
      </c>
      <c r="X19" s="24" t="s">
        <v>1896</v>
      </c>
      <c r="Y19" s="167">
        <v>71</v>
      </c>
      <c r="Z19" s="167">
        <v>12</v>
      </c>
      <c r="AA19" s="177">
        <v>83</v>
      </c>
      <c r="AB19" s="24" t="s">
        <v>1896</v>
      </c>
      <c r="AC19" s="24" t="s">
        <v>1896</v>
      </c>
      <c r="AD19" s="24" t="s">
        <v>1896</v>
      </c>
      <c r="AE19" s="40"/>
    </row>
    <row r="20" spans="1:31" s="46" customFormat="1" ht="27.95" customHeight="1" x14ac:dyDescent="0.15">
      <c r="A20" s="40">
        <v>18</v>
      </c>
      <c r="B20" s="125">
        <v>15017</v>
      </c>
      <c r="C20" s="24" t="s">
        <v>1896</v>
      </c>
      <c r="D20" s="24" t="s">
        <v>1896</v>
      </c>
      <c r="E20" s="24" t="s">
        <v>1896</v>
      </c>
      <c r="F20" s="29" t="s">
        <v>2665</v>
      </c>
      <c r="G20" s="20" t="s">
        <v>2707</v>
      </c>
      <c r="H20" s="142" t="s">
        <v>1541</v>
      </c>
      <c r="I20" s="142" t="s">
        <v>1952</v>
      </c>
      <c r="J20" s="1" t="s">
        <v>2875</v>
      </c>
      <c r="K20" s="24" t="s">
        <v>1896</v>
      </c>
      <c r="L20" s="1" t="s">
        <v>3674</v>
      </c>
      <c r="M20" s="24" t="s">
        <v>1896</v>
      </c>
      <c r="N20" s="104" t="s">
        <v>102</v>
      </c>
      <c r="O20" s="120" t="s">
        <v>461</v>
      </c>
      <c r="P20" s="24" t="s">
        <v>1896</v>
      </c>
      <c r="Q20" s="12" t="s">
        <v>2892</v>
      </c>
      <c r="R20" s="24" t="s">
        <v>1896</v>
      </c>
      <c r="S20" s="181">
        <v>2015.4</v>
      </c>
      <c r="T20" s="24" t="s">
        <v>1896</v>
      </c>
      <c r="U20" s="10" t="s">
        <v>110</v>
      </c>
      <c r="V20" s="72">
        <v>1</v>
      </c>
      <c r="W20" s="24" t="s">
        <v>1896</v>
      </c>
      <c r="X20" s="24" t="s">
        <v>1896</v>
      </c>
      <c r="Y20" s="167">
        <v>19</v>
      </c>
      <c r="Z20" s="167">
        <v>0</v>
      </c>
      <c r="AA20" s="177">
        <v>19</v>
      </c>
      <c r="AB20" s="24" t="s">
        <v>1896</v>
      </c>
      <c r="AC20" s="24" t="s">
        <v>1896</v>
      </c>
      <c r="AD20" s="24" t="s">
        <v>1896</v>
      </c>
      <c r="AE20" s="40"/>
    </row>
    <row r="21" spans="1:31" s="46" customFormat="1" ht="27.95" customHeight="1" x14ac:dyDescent="0.15">
      <c r="A21" s="40">
        <v>19</v>
      </c>
      <c r="B21" s="125">
        <v>15018</v>
      </c>
      <c r="C21" s="24" t="s">
        <v>1896</v>
      </c>
      <c r="D21" s="24" t="s">
        <v>1896</v>
      </c>
      <c r="E21" s="24" t="s">
        <v>1896</v>
      </c>
      <c r="F21" s="29" t="s">
        <v>2644</v>
      </c>
      <c r="G21" s="20" t="s">
        <v>2708</v>
      </c>
      <c r="H21" s="1" t="s">
        <v>2899</v>
      </c>
      <c r="I21" s="1" t="s">
        <v>2898</v>
      </c>
      <c r="J21" s="1" t="s">
        <v>2900</v>
      </c>
      <c r="K21" s="24" t="s">
        <v>1896</v>
      </c>
      <c r="L21" s="24" t="s">
        <v>1896</v>
      </c>
      <c r="M21" s="24" t="s">
        <v>1896</v>
      </c>
      <c r="N21" s="104" t="s">
        <v>102</v>
      </c>
      <c r="O21" s="1" t="s">
        <v>2856</v>
      </c>
      <c r="P21" s="24" t="s">
        <v>1896</v>
      </c>
      <c r="Q21" s="12" t="s">
        <v>2919</v>
      </c>
      <c r="R21" s="24" t="s">
        <v>1896</v>
      </c>
      <c r="S21" s="181">
        <v>2015.5</v>
      </c>
      <c r="T21" s="24" t="s">
        <v>1896</v>
      </c>
      <c r="U21" s="10" t="s">
        <v>110</v>
      </c>
      <c r="V21" s="72">
        <v>1</v>
      </c>
      <c r="W21" s="24" t="s">
        <v>1896</v>
      </c>
      <c r="X21" s="24" t="s">
        <v>1896</v>
      </c>
      <c r="Y21" s="167">
        <v>45.5</v>
      </c>
      <c r="Z21" s="167">
        <v>0</v>
      </c>
      <c r="AA21" s="177">
        <v>45.5</v>
      </c>
      <c r="AB21" s="24" t="s">
        <v>1896</v>
      </c>
      <c r="AC21" s="24" t="s">
        <v>1896</v>
      </c>
      <c r="AD21" s="24" t="s">
        <v>1896</v>
      </c>
      <c r="AE21" s="40"/>
    </row>
    <row r="22" spans="1:31" s="46" customFormat="1" ht="27.95" customHeight="1" x14ac:dyDescent="0.15">
      <c r="A22" s="40">
        <v>20</v>
      </c>
      <c r="B22" s="125">
        <v>15019</v>
      </c>
      <c r="C22" s="24" t="s">
        <v>1896</v>
      </c>
      <c r="D22" s="24" t="s">
        <v>1896</v>
      </c>
      <c r="E22" s="24" t="s">
        <v>1896</v>
      </c>
      <c r="F22" s="29" t="s">
        <v>2709</v>
      </c>
      <c r="G22" s="20" t="s">
        <v>2710</v>
      </c>
      <c r="H22" s="142" t="s">
        <v>94</v>
      </c>
      <c r="I22" s="142" t="s">
        <v>22</v>
      </c>
      <c r="J22" s="1" t="s">
        <v>2901</v>
      </c>
      <c r="K22" s="24" t="s">
        <v>1896</v>
      </c>
      <c r="L22" s="24" t="s">
        <v>1896</v>
      </c>
      <c r="M22" s="24" t="s">
        <v>1896</v>
      </c>
      <c r="N22" s="104" t="s">
        <v>102</v>
      </c>
      <c r="O22" s="120" t="s">
        <v>461</v>
      </c>
      <c r="P22" s="24" t="s">
        <v>1896</v>
      </c>
      <c r="Q22" s="12" t="s">
        <v>2891</v>
      </c>
      <c r="R22" s="24" t="s">
        <v>1896</v>
      </c>
      <c r="S22" s="180" t="s">
        <v>2992</v>
      </c>
      <c r="T22" s="24" t="s">
        <v>1896</v>
      </c>
      <c r="U22" s="10" t="s">
        <v>110</v>
      </c>
      <c r="V22" s="72">
        <v>2</v>
      </c>
      <c r="W22" s="24" t="s">
        <v>1896</v>
      </c>
      <c r="X22" s="24" t="s">
        <v>1896</v>
      </c>
      <c r="Y22" s="167">
        <v>39.5</v>
      </c>
      <c r="Z22" s="167">
        <v>0</v>
      </c>
      <c r="AA22" s="177">
        <v>39.5</v>
      </c>
      <c r="AB22" s="24" t="s">
        <v>1896</v>
      </c>
      <c r="AC22" s="24" t="s">
        <v>1896</v>
      </c>
      <c r="AD22" s="24" t="s">
        <v>1896</v>
      </c>
      <c r="AE22" s="40"/>
    </row>
    <row r="23" spans="1:31" s="46" customFormat="1" ht="27.95" customHeight="1" x14ac:dyDescent="0.15">
      <c r="A23" s="40">
        <v>21</v>
      </c>
      <c r="B23" s="125">
        <v>15020</v>
      </c>
      <c r="C23" s="24" t="s">
        <v>1896</v>
      </c>
      <c r="D23" s="24" t="s">
        <v>1896</v>
      </c>
      <c r="E23" s="24" t="s">
        <v>1896</v>
      </c>
      <c r="F23" s="29" t="s">
        <v>2711</v>
      </c>
      <c r="G23" s="20" t="s">
        <v>2712</v>
      </c>
      <c r="H23" s="21" t="s">
        <v>94</v>
      </c>
      <c r="I23" s="21" t="s">
        <v>1113</v>
      </c>
      <c r="J23" s="21" t="s">
        <v>1720</v>
      </c>
      <c r="K23" s="24" t="s">
        <v>1896</v>
      </c>
      <c r="L23" s="24" t="s">
        <v>1896</v>
      </c>
      <c r="M23" s="24" t="s">
        <v>1896</v>
      </c>
      <c r="N23" s="104" t="s">
        <v>102</v>
      </c>
      <c r="O23" s="120" t="s">
        <v>461</v>
      </c>
      <c r="P23" s="24" t="s">
        <v>1896</v>
      </c>
      <c r="Q23" s="12" t="s">
        <v>2891</v>
      </c>
      <c r="R23" s="24" t="s">
        <v>1896</v>
      </c>
      <c r="S23" s="180" t="s">
        <v>2993</v>
      </c>
      <c r="T23" s="24" t="s">
        <v>1896</v>
      </c>
      <c r="U23" s="10" t="s">
        <v>110</v>
      </c>
      <c r="V23" s="72">
        <v>3</v>
      </c>
      <c r="W23" s="24" t="s">
        <v>1896</v>
      </c>
      <c r="X23" s="24" t="s">
        <v>1896</v>
      </c>
      <c r="Y23" s="167">
        <v>19</v>
      </c>
      <c r="Z23" s="167">
        <v>0</v>
      </c>
      <c r="AA23" s="177">
        <v>19</v>
      </c>
      <c r="AB23" s="24" t="s">
        <v>1896</v>
      </c>
      <c r="AC23" s="24" t="s">
        <v>1896</v>
      </c>
      <c r="AD23" s="24" t="s">
        <v>1896</v>
      </c>
      <c r="AE23" s="40"/>
    </row>
    <row r="24" spans="1:31" s="46" customFormat="1" ht="27.95" customHeight="1" x14ac:dyDescent="0.15">
      <c r="A24" s="40">
        <v>22</v>
      </c>
      <c r="B24" s="125">
        <v>15021</v>
      </c>
      <c r="C24" s="24" t="s">
        <v>1896</v>
      </c>
      <c r="D24" s="24" t="s">
        <v>1896</v>
      </c>
      <c r="E24" s="24" t="s">
        <v>1896</v>
      </c>
      <c r="F24" s="29" t="s">
        <v>846</v>
      </c>
      <c r="G24" s="21" t="s">
        <v>2713</v>
      </c>
      <c r="H24" s="142" t="s">
        <v>1508</v>
      </c>
      <c r="I24" s="142" t="s">
        <v>819</v>
      </c>
      <c r="J24" s="21" t="s">
        <v>850</v>
      </c>
      <c r="K24" s="24" t="s">
        <v>1896</v>
      </c>
      <c r="L24" s="24" t="s">
        <v>1896</v>
      </c>
      <c r="M24" s="24" t="s">
        <v>1896</v>
      </c>
      <c r="N24" s="21" t="s">
        <v>102</v>
      </c>
      <c r="O24" s="21" t="s">
        <v>851</v>
      </c>
      <c r="P24" s="24" t="s">
        <v>1896</v>
      </c>
      <c r="Q24" s="12" t="s">
        <v>2889</v>
      </c>
      <c r="R24" s="24" t="s">
        <v>1896</v>
      </c>
      <c r="S24" s="180" t="s">
        <v>2994</v>
      </c>
      <c r="T24" s="24" t="s">
        <v>1896</v>
      </c>
      <c r="U24" s="10" t="s">
        <v>108</v>
      </c>
      <c r="V24" s="72">
        <v>1</v>
      </c>
      <c r="W24" s="24" t="s">
        <v>1896</v>
      </c>
      <c r="X24" s="24" t="s">
        <v>1896</v>
      </c>
      <c r="Y24" s="167">
        <v>0</v>
      </c>
      <c r="Z24" s="167">
        <v>10</v>
      </c>
      <c r="AA24" s="177">
        <v>10</v>
      </c>
      <c r="AB24" s="24" t="s">
        <v>1896</v>
      </c>
      <c r="AC24" s="24" t="s">
        <v>1896</v>
      </c>
      <c r="AD24" s="24" t="s">
        <v>1896</v>
      </c>
      <c r="AE24" s="40"/>
    </row>
    <row r="25" spans="1:31" s="46" customFormat="1" ht="27.95" customHeight="1" x14ac:dyDescent="0.15">
      <c r="A25" s="40">
        <v>23</v>
      </c>
      <c r="B25" s="125">
        <v>15022</v>
      </c>
      <c r="C25" s="24" t="s">
        <v>1896</v>
      </c>
      <c r="D25" s="24" t="s">
        <v>1896</v>
      </c>
      <c r="E25" s="24" t="s">
        <v>1896</v>
      </c>
      <c r="F25" s="47" t="s">
        <v>848</v>
      </c>
      <c r="G25" s="21" t="s">
        <v>2713</v>
      </c>
      <c r="H25" s="21" t="s">
        <v>1508</v>
      </c>
      <c r="I25" s="20" t="s">
        <v>819</v>
      </c>
      <c r="J25" s="21" t="s">
        <v>853</v>
      </c>
      <c r="K25" s="24" t="s">
        <v>1896</v>
      </c>
      <c r="L25" s="24" t="s">
        <v>1896</v>
      </c>
      <c r="M25" s="24" t="s">
        <v>1896</v>
      </c>
      <c r="N25" s="21" t="s">
        <v>102</v>
      </c>
      <c r="O25" s="21" t="s">
        <v>851</v>
      </c>
      <c r="P25" s="24" t="s">
        <v>1896</v>
      </c>
      <c r="Q25" s="12" t="s">
        <v>2889</v>
      </c>
      <c r="R25" s="24" t="s">
        <v>1896</v>
      </c>
      <c r="S25" s="180" t="s">
        <v>2994</v>
      </c>
      <c r="T25" s="24" t="s">
        <v>1896</v>
      </c>
      <c r="U25" s="10" t="s">
        <v>108</v>
      </c>
      <c r="V25" s="72">
        <v>1</v>
      </c>
      <c r="W25" s="24" t="s">
        <v>1896</v>
      </c>
      <c r="X25" s="24" t="s">
        <v>1896</v>
      </c>
      <c r="Y25" s="167">
        <v>0</v>
      </c>
      <c r="Z25" s="167">
        <v>10</v>
      </c>
      <c r="AA25" s="177">
        <v>10</v>
      </c>
      <c r="AB25" s="24" t="s">
        <v>1896</v>
      </c>
      <c r="AC25" s="24" t="s">
        <v>1896</v>
      </c>
      <c r="AD25" s="24" t="s">
        <v>1896</v>
      </c>
      <c r="AE25" s="40"/>
    </row>
    <row r="26" spans="1:31" s="46" customFormat="1" ht="27.95" customHeight="1" x14ac:dyDescent="0.15">
      <c r="A26" s="40">
        <v>24</v>
      </c>
      <c r="B26" s="125">
        <v>15023</v>
      </c>
      <c r="C26" s="24" t="s">
        <v>1896</v>
      </c>
      <c r="D26" s="24" t="s">
        <v>1896</v>
      </c>
      <c r="E26" s="24" t="s">
        <v>1896</v>
      </c>
      <c r="F26" s="47" t="s">
        <v>2714</v>
      </c>
      <c r="G26" s="21" t="s">
        <v>2715</v>
      </c>
      <c r="H26" s="21" t="s">
        <v>1508</v>
      </c>
      <c r="I26" s="20" t="s">
        <v>819</v>
      </c>
      <c r="J26" s="23" t="s">
        <v>1727</v>
      </c>
      <c r="K26" s="24" t="s">
        <v>1896</v>
      </c>
      <c r="L26" s="24" t="s">
        <v>1896</v>
      </c>
      <c r="M26" s="24" t="s">
        <v>1896</v>
      </c>
      <c r="N26" s="104" t="s">
        <v>102</v>
      </c>
      <c r="O26" s="1" t="s">
        <v>2844</v>
      </c>
      <c r="P26" s="24" t="s">
        <v>1896</v>
      </c>
      <c r="Q26" s="12" t="s">
        <v>2889</v>
      </c>
      <c r="R26" s="24" t="s">
        <v>1896</v>
      </c>
      <c r="S26" s="180" t="s">
        <v>2995</v>
      </c>
      <c r="T26" s="24" t="s">
        <v>1896</v>
      </c>
      <c r="U26" s="10" t="s">
        <v>110</v>
      </c>
      <c r="V26" s="72">
        <v>1</v>
      </c>
      <c r="W26" s="24" t="s">
        <v>1896</v>
      </c>
      <c r="X26" s="24" t="s">
        <v>1896</v>
      </c>
      <c r="Y26" s="167">
        <v>38.799999999999997</v>
      </c>
      <c r="Z26" s="167">
        <v>0</v>
      </c>
      <c r="AA26" s="177">
        <v>38.799999999999997</v>
      </c>
      <c r="AB26" s="24" t="s">
        <v>1896</v>
      </c>
      <c r="AC26" s="24" t="s">
        <v>1896</v>
      </c>
      <c r="AD26" s="24" t="s">
        <v>1896</v>
      </c>
      <c r="AE26" s="40"/>
    </row>
    <row r="27" spans="1:31" s="46" customFormat="1" ht="27.95" customHeight="1" x14ac:dyDescent="0.15">
      <c r="A27" s="40">
        <v>25</v>
      </c>
      <c r="B27" s="125">
        <v>15024</v>
      </c>
      <c r="C27" s="24" t="s">
        <v>1896</v>
      </c>
      <c r="D27" s="24" t="s">
        <v>1896</v>
      </c>
      <c r="E27" s="24" t="s">
        <v>1896</v>
      </c>
      <c r="F27" s="47" t="s">
        <v>2716</v>
      </c>
      <c r="G27" s="21" t="s">
        <v>2717</v>
      </c>
      <c r="H27" s="142" t="s">
        <v>94</v>
      </c>
      <c r="I27" s="142" t="s">
        <v>1540</v>
      </c>
      <c r="J27" s="23" t="s">
        <v>1694</v>
      </c>
      <c r="K27" s="24" t="s">
        <v>1896</v>
      </c>
      <c r="L27" s="24" t="s">
        <v>1896</v>
      </c>
      <c r="M27" s="24" t="s">
        <v>1896</v>
      </c>
      <c r="N27" s="21" t="s">
        <v>102</v>
      </c>
      <c r="O27" s="21" t="s">
        <v>851</v>
      </c>
      <c r="P27" s="24" t="s">
        <v>1896</v>
      </c>
      <c r="Q27" s="12" t="s">
        <v>2888</v>
      </c>
      <c r="R27" s="24" t="s">
        <v>1896</v>
      </c>
      <c r="S27" s="182" t="s">
        <v>2996</v>
      </c>
      <c r="T27" s="24" t="s">
        <v>1896</v>
      </c>
      <c r="U27" s="10" t="s">
        <v>110</v>
      </c>
      <c r="V27" s="72">
        <v>1</v>
      </c>
      <c r="W27" s="24" t="s">
        <v>1896</v>
      </c>
      <c r="X27" s="24" t="s">
        <v>1896</v>
      </c>
      <c r="Y27" s="167">
        <v>0</v>
      </c>
      <c r="Z27" s="167">
        <v>16</v>
      </c>
      <c r="AA27" s="177">
        <v>16</v>
      </c>
      <c r="AB27" s="24" t="s">
        <v>1896</v>
      </c>
      <c r="AC27" s="24" t="s">
        <v>1896</v>
      </c>
      <c r="AD27" s="24" t="s">
        <v>1896</v>
      </c>
      <c r="AE27" s="40"/>
    </row>
    <row r="28" spans="1:31" s="46" customFormat="1" ht="27.95" customHeight="1" x14ac:dyDescent="0.15">
      <c r="A28" s="40">
        <v>26</v>
      </c>
      <c r="B28" s="125">
        <v>15025</v>
      </c>
      <c r="C28" s="24" t="s">
        <v>1896</v>
      </c>
      <c r="D28" s="24" t="s">
        <v>1896</v>
      </c>
      <c r="E28" s="24" t="s">
        <v>1896</v>
      </c>
      <c r="F28" s="47" t="s">
        <v>2718</v>
      </c>
      <c r="G28" s="21" t="s">
        <v>2717</v>
      </c>
      <c r="H28" s="1" t="s">
        <v>94</v>
      </c>
      <c r="I28" s="1" t="s">
        <v>1540</v>
      </c>
      <c r="J28" s="23" t="s">
        <v>1693</v>
      </c>
      <c r="K28" s="24" t="s">
        <v>1896</v>
      </c>
      <c r="L28" s="24" t="s">
        <v>1896</v>
      </c>
      <c r="M28" s="24" t="s">
        <v>1896</v>
      </c>
      <c r="N28" s="21" t="s">
        <v>102</v>
      </c>
      <c r="O28" s="21" t="s">
        <v>851</v>
      </c>
      <c r="P28" s="24" t="s">
        <v>1896</v>
      </c>
      <c r="Q28" s="12" t="s">
        <v>2888</v>
      </c>
      <c r="R28" s="24" t="s">
        <v>1896</v>
      </c>
      <c r="S28" s="182" t="s">
        <v>2996</v>
      </c>
      <c r="T28" s="24" t="s">
        <v>1896</v>
      </c>
      <c r="U28" s="10" t="s">
        <v>110</v>
      </c>
      <c r="V28" s="72">
        <v>1</v>
      </c>
      <c r="W28" s="24" t="s">
        <v>1896</v>
      </c>
      <c r="X28" s="24" t="s">
        <v>1896</v>
      </c>
      <c r="Y28" s="167">
        <v>0</v>
      </c>
      <c r="Z28" s="167">
        <v>16</v>
      </c>
      <c r="AA28" s="177">
        <v>16</v>
      </c>
      <c r="AB28" s="24" t="s">
        <v>1896</v>
      </c>
      <c r="AC28" s="24" t="s">
        <v>1896</v>
      </c>
      <c r="AD28" s="24" t="s">
        <v>1896</v>
      </c>
      <c r="AE28" s="40"/>
    </row>
    <row r="29" spans="1:31" s="46" customFormat="1" ht="27.95" customHeight="1" x14ac:dyDescent="0.15">
      <c r="A29" s="40">
        <v>27</v>
      </c>
      <c r="B29" s="125">
        <v>15026</v>
      </c>
      <c r="C29" s="24" t="s">
        <v>1896</v>
      </c>
      <c r="D29" s="24" t="s">
        <v>1896</v>
      </c>
      <c r="E29" s="24" t="s">
        <v>1896</v>
      </c>
      <c r="F29" s="29" t="s">
        <v>2719</v>
      </c>
      <c r="G29" s="20" t="s">
        <v>2720</v>
      </c>
      <c r="H29" s="1" t="s">
        <v>1487</v>
      </c>
      <c r="I29" s="142" t="s">
        <v>2898</v>
      </c>
      <c r="J29" s="1" t="s">
        <v>679</v>
      </c>
      <c r="K29" s="24" t="s">
        <v>1896</v>
      </c>
      <c r="L29" s="24" t="s">
        <v>1896</v>
      </c>
      <c r="M29" s="24" t="s">
        <v>1896</v>
      </c>
      <c r="N29" s="104" t="s">
        <v>102</v>
      </c>
      <c r="O29" s="1" t="s">
        <v>1759</v>
      </c>
      <c r="P29" s="24" t="s">
        <v>1896</v>
      </c>
      <c r="Q29" s="12" t="s">
        <v>2890</v>
      </c>
      <c r="R29" s="24" t="s">
        <v>1896</v>
      </c>
      <c r="S29" s="181" t="s">
        <v>2997</v>
      </c>
      <c r="T29" s="24" t="s">
        <v>1896</v>
      </c>
      <c r="U29" s="10" t="s">
        <v>110</v>
      </c>
      <c r="V29" s="72">
        <v>1</v>
      </c>
      <c r="W29" s="24" t="s">
        <v>1896</v>
      </c>
      <c r="X29" s="24" t="s">
        <v>1896</v>
      </c>
      <c r="Y29" s="167">
        <v>34</v>
      </c>
      <c r="Z29" s="167">
        <v>0</v>
      </c>
      <c r="AA29" s="177">
        <v>34</v>
      </c>
      <c r="AB29" s="24" t="s">
        <v>1896</v>
      </c>
      <c r="AC29" s="24" t="s">
        <v>1896</v>
      </c>
      <c r="AD29" s="24" t="s">
        <v>1896</v>
      </c>
      <c r="AE29" s="40"/>
    </row>
    <row r="30" spans="1:31" s="46" customFormat="1" ht="27.95" customHeight="1" x14ac:dyDescent="0.15">
      <c r="A30" s="40">
        <v>28</v>
      </c>
      <c r="B30" s="125">
        <v>15027</v>
      </c>
      <c r="C30" s="24" t="s">
        <v>1896</v>
      </c>
      <c r="D30" s="24" t="s">
        <v>1896</v>
      </c>
      <c r="E30" s="24" t="s">
        <v>1896</v>
      </c>
      <c r="F30" s="47" t="s">
        <v>2721</v>
      </c>
      <c r="G30" s="20" t="s">
        <v>2722</v>
      </c>
      <c r="H30" s="1" t="s">
        <v>1487</v>
      </c>
      <c r="I30" s="1" t="s">
        <v>1463</v>
      </c>
      <c r="J30" s="1" t="s">
        <v>2902</v>
      </c>
      <c r="K30" s="24" t="s">
        <v>1896</v>
      </c>
      <c r="L30" s="24" t="s">
        <v>1896</v>
      </c>
      <c r="M30" s="24" t="s">
        <v>1896</v>
      </c>
      <c r="N30" s="104" t="s">
        <v>102</v>
      </c>
      <c r="O30" s="120" t="s">
        <v>461</v>
      </c>
      <c r="P30" s="24" t="s">
        <v>1896</v>
      </c>
      <c r="Q30" s="12" t="s">
        <v>2890</v>
      </c>
      <c r="R30" s="24" t="s">
        <v>1896</v>
      </c>
      <c r="S30" s="182">
        <v>42125</v>
      </c>
      <c r="T30" s="24" t="s">
        <v>1896</v>
      </c>
      <c r="U30" s="10" t="s">
        <v>110</v>
      </c>
      <c r="V30" s="72">
        <v>1</v>
      </c>
      <c r="W30" s="24" t="s">
        <v>1896</v>
      </c>
      <c r="X30" s="24" t="s">
        <v>1896</v>
      </c>
      <c r="Y30" s="167">
        <v>14.73</v>
      </c>
      <c r="Z30" s="167">
        <v>0</v>
      </c>
      <c r="AA30" s="177">
        <v>14.73</v>
      </c>
      <c r="AB30" s="24" t="s">
        <v>1896</v>
      </c>
      <c r="AC30" s="24" t="s">
        <v>1896</v>
      </c>
      <c r="AD30" s="24" t="s">
        <v>1896</v>
      </c>
      <c r="AE30" s="40"/>
    </row>
    <row r="31" spans="1:31" s="46" customFormat="1" ht="27.95" customHeight="1" x14ac:dyDescent="0.15">
      <c r="A31" s="40">
        <v>29</v>
      </c>
      <c r="B31" s="125">
        <v>15028</v>
      </c>
      <c r="C31" s="24" t="s">
        <v>1896</v>
      </c>
      <c r="D31" s="24" t="s">
        <v>1896</v>
      </c>
      <c r="E31" s="24" t="s">
        <v>1896</v>
      </c>
      <c r="F31" s="47" t="s">
        <v>2648</v>
      </c>
      <c r="G31" s="20" t="s">
        <v>2638</v>
      </c>
      <c r="H31" s="102" t="s">
        <v>994</v>
      </c>
      <c r="I31" s="102" t="s">
        <v>993</v>
      </c>
      <c r="J31" s="23" t="s">
        <v>1686</v>
      </c>
      <c r="K31" s="24" t="s">
        <v>1896</v>
      </c>
      <c r="L31" s="24" t="s">
        <v>1896</v>
      </c>
      <c r="M31" s="24" t="s">
        <v>1896</v>
      </c>
      <c r="N31" s="104" t="s">
        <v>102</v>
      </c>
      <c r="O31" s="1" t="s">
        <v>1760</v>
      </c>
      <c r="P31" s="24" t="s">
        <v>1896</v>
      </c>
      <c r="Q31" s="12" t="s">
        <v>2887</v>
      </c>
      <c r="R31" s="24" t="s">
        <v>1896</v>
      </c>
      <c r="S31" s="181" t="s">
        <v>2998</v>
      </c>
      <c r="T31" s="24" t="s">
        <v>1896</v>
      </c>
      <c r="U31" s="10" t="s">
        <v>110</v>
      </c>
      <c r="V31" s="72">
        <v>1</v>
      </c>
      <c r="W31" s="24" t="s">
        <v>1896</v>
      </c>
      <c r="X31" s="24" t="s">
        <v>1896</v>
      </c>
      <c r="Y31" s="167">
        <v>68</v>
      </c>
      <c r="Z31" s="167">
        <v>0</v>
      </c>
      <c r="AA31" s="177">
        <v>68</v>
      </c>
      <c r="AB31" s="24" t="s">
        <v>1896</v>
      </c>
      <c r="AC31" s="24" t="s">
        <v>1896</v>
      </c>
      <c r="AD31" s="24" t="s">
        <v>1896</v>
      </c>
      <c r="AE31" s="40"/>
    </row>
    <row r="32" spans="1:31" s="46" customFormat="1" ht="27.95" customHeight="1" x14ac:dyDescent="0.15">
      <c r="A32" s="40">
        <v>30</v>
      </c>
      <c r="B32" s="125">
        <v>15029</v>
      </c>
      <c r="C32" s="24" t="s">
        <v>1896</v>
      </c>
      <c r="D32" s="24" t="s">
        <v>1896</v>
      </c>
      <c r="E32" s="24" t="s">
        <v>1896</v>
      </c>
      <c r="F32" s="47" t="s">
        <v>2648</v>
      </c>
      <c r="G32" s="20" t="s">
        <v>2638</v>
      </c>
      <c r="H32" s="102" t="s">
        <v>994</v>
      </c>
      <c r="I32" s="102" t="s">
        <v>993</v>
      </c>
      <c r="J32" s="23" t="s">
        <v>2903</v>
      </c>
      <c r="K32" s="24" t="s">
        <v>1896</v>
      </c>
      <c r="L32" s="24" t="s">
        <v>1896</v>
      </c>
      <c r="M32" s="24" t="s">
        <v>1896</v>
      </c>
      <c r="N32" s="104" t="s">
        <v>102</v>
      </c>
      <c r="O32" s="1" t="s">
        <v>1760</v>
      </c>
      <c r="P32" s="24" t="s">
        <v>1896</v>
      </c>
      <c r="Q32" s="12" t="s">
        <v>2887</v>
      </c>
      <c r="R32" s="24" t="s">
        <v>1896</v>
      </c>
      <c r="S32" s="181" t="s">
        <v>2998</v>
      </c>
      <c r="T32" s="24" t="s">
        <v>1896</v>
      </c>
      <c r="U32" s="10" t="s">
        <v>110</v>
      </c>
      <c r="V32" s="72">
        <v>1</v>
      </c>
      <c r="W32" s="24" t="s">
        <v>1896</v>
      </c>
      <c r="X32" s="24" t="s">
        <v>1896</v>
      </c>
      <c r="Y32" s="167">
        <v>68</v>
      </c>
      <c r="Z32" s="167">
        <v>0</v>
      </c>
      <c r="AA32" s="177">
        <v>68</v>
      </c>
      <c r="AB32" s="24" t="s">
        <v>1896</v>
      </c>
      <c r="AC32" s="24" t="s">
        <v>1896</v>
      </c>
      <c r="AD32" s="24" t="s">
        <v>1896</v>
      </c>
      <c r="AE32" s="40"/>
    </row>
    <row r="33" spans="1:31" s="46" customFormat="1" ht="27.95" customHeight="1" x14ac:dyDescent="0.15">
      <c r="A33" s="40">
        <v>31</v>
      </c>
      <c r="B33" s="125">
        <v>15030</v>
      </c>
      <c r="C33" s="24" t="s">
        <v>1896</v>
      </c>
      <c r="D33" s="24" t="s">
        <v>1896</v>
      </c>
      <c r="E33" s="24" t="s">
        <v>1896</v>
      </c>
      <c r="F33" s="47" t="s">
        <v>2723</v>
      </c>
      <c r="G33" s="20" t="s">
        <v>2724</v>
      </c>
      <c r="H33" s="102" t="s">
        <v>1508</v>
      </c>
      <c r="I33" s="142" t="s">
        <v>819</v>
      </c>
      <c r="J33" s="1" t="s">
        <v>1726</v>
      </c>
      <c r="K33" s="24" t="s">
        <v>1896</v>
      </c>
      <c r="L33" s="24" t="s">
        <v>1896</v>
      </c>
      <c r="M33" s="24" t="s">
        <v>1896</v>
      </c>
      <c r="N33" s="104" t="s">
        <v>102</v>
      </c>
      <c r="O33" s="1" t="s">
        <v>2844</v>
      </c>
      <c r="P33" s="24" t="s">
        <v>1896</v>
      </c>
      <c r="Q33" s="12" t="s">
        <v>2889</v>
      </c>
      <c r="R33" s="24" t="s">
        <v>1896</v>
      </c>
      <c r="S33" s="181" t="s">
        <v>2999</v>
      </c>
      <c r="T33" s="24" t="s">
        <v>1896</v>
      </c>
      <c r="U33" s="10" t="s">
        <v>110</v>
      </c>
      <c r="V33" s="72">
        <v>1</v>
      </c>
      <c r="W33" s="24" t="s">
        <v>1896</v>
      </c>
      <c r="X33" s="24" t="s">
        <v>1896</v>
      </c>
      <c r="Y33" s="204">
        <v>32.22222</v>
      </c>
      <c r="Z33" s="167">
        <v>0</v>
      </c>
      <c r="AA33" s="204">
        <v>32.22222</v>
      </c>
      <c r="AB33" s="24" t="s">
        <v>1896</v>
      </c>
      <c r="AC33" s="24" t="s">
        <v>1896</v>
      </c>
      <c r="AD33" s="24" t="s">
        <v>1896</v>
      </c>
      <c r="AE33" s="9" t="s">
        <v>3584</v>
      </c>
    </row>
    <row r="34" spans="1:31" s="46" customFormat="1" ht="27.95" customHeight="1" x14ac:dyDescent="0.15">
      <c r="A34" s="40">
        <v>32</v>
      </c>
      <c r="B34" s="125">
        <v>15031</v>
      </c>
      <c r="C34" s="24" t="s">
        <v>1896</v>
      </c>
      <c r="D34" s="24" t="s">
        <v>1896</v>
      </c>
      <c r="E34" s="24" t="s">
        <v>1896</v>
      </c>
      <c r="F34" s="29" t="s">
        <v>1161</v>
      </c>
      <c r="G34" s="20" t="s">
        <v>2725</v>
      </c>
      <c r="H34" s="20" t="s">
        <v>94</v>
      </c>
      <c r="I34" s="20" t="s">
        <v>112</v>
      </c>
      <c r="J34" s="1" t="s">
        <v>1661</v>
      </c>
      <c r="K34" s="24" t="s">
        <v>1896</v>
      </c>
      <c r="L34" s="24" t="s">
        <v>1896</v>
      </c>
      <c r="M34" s="24" t="s">
        <v>1896</v>
      </c>
      <c r="N34" s="21" t="s">
        <v>102</v>
      </c>
      <c r="O34" s="21" t="s">
        <v>851</v>
      </c>
      <c r="P34" s="24" t="s">
        <v>1896</v>
      </c>
      <c r="Q34" s="12" t="s">
        <v>2888</v>
      </c>
      <c r="R34" s="24" t="s">
        <v>1896</v>
      </c>
      <c r="S34" s="180" t="s">
        <v>3000</v>
      </c>
      <c r="T34" s="24" t="s">
        <v>1896</v>
      </c>
      <c r="U34" s="10" t="s">
        <v>108</v>
      </c>
      <c r="V34" s="72">
        <v>1</v>
      </c>
      <c r="W34" s="24" t="s">
        <v>1896</v>
      </c>
      <c r="X34" s="24" t="s">
        <v>1896</v>
      </c>
      <c r="Y34" s="167">
        <v>0</v>
      </c>
      <c r="Z34" s="167">
        <v>17</v>
      </c>
      <c r="AA34" s="179">
        <v>17</v>
      </c>
      <c r="AB34" s="24" t="s">
        <v>1896</v>
      </c>
      <c r="AC34" s="24" t="s">
        <v>1896</v>
      </c>
      <c r="AD34" s="24" t="s">
        <v>1896</v>
      </c>
      <c r="AE34" s="40"/>
    </row>
    <row r="35" spans="1:31" s="46" customFormat="1" ht="27.95" customHeight="1" x14ac:dyDescent="0.15">
      <c r="A35" s="40">
        <v>33</v>
      </c>
      <c r="B35" s="125">
        <v>15032</v>
      </c>
      <c r="C35" s="24" t="s">
        <v>1896</v>
      </c>
      <c r="D35" s="24" t="s">
        <v>1896</v>
      </c>
      <c r="E35" s="24" t="s">
        <v>1896</v>
      </c>
      <c r="F35" s="29" t="s">
        <v>1161</v>
      </c>
      <c r="G35" s="20" t="s">
        <v>2726</v>
      </c>
      <c r="H35" s="20" t="s">
        <v>94</v>
      </c>
      <c r="I35" s="20" t="s">
        <v>112</v>
      </c>
      <c r="J35" s="1" t="s">
        <v>1662</v>
      </c>
      <c r="K35" s="24" t="s">
        <v>1896</v>
      </c>
      <c r="L35" s="24" t="s">
        <v>1896</v>
      </c>
      <c r="M35" s="24" t="s">
        <v>1896</v>
      </c>
      <c r="N35" s="21" t="s">
        <v>102</v>
      </c>
      <c r="O35" s="21" t="s">
        <v>851</v>
      </c>
      <c r="P35" s="24" t="s">
        <v>1896</v>
      </c>
      <c r="Q35" s="12" t="s">
        <v>2888</v>
      </c>
      <c r="R35" s="24" t="s">
        <v>1896</v>
      </c>
      <c r="S35" s="180" t="s">
        <v>3000</v>
      </c>
      <c r="T35" s="24" t="s">
        <v>1896</v>
      </c>
      <c r="U35" s="10" t="s">
        <v>108</v>
      </c>
      <c r="V35" s="72">
        <v>1</v>
      </c>
      <c r="W35" s="24" t="s">
        <v>1896</v>
      </c>
      <c r="X35" s="24" t="s">
        <v>1896</v>
      </c>
      <c r="Y35" s="167">
        <v>0</v>
      </c>
      <c r="Z35" s="167">
        <v>17</v>
      </c>
      <c r="AA35" s="179">
        <v>17</v>
      </c>
      <c r="AB35" s="24" t="s">
        <v>1896</v>
      </c>
      <c r="AC35" s="24" t="s">
        <v>1896</v>
      </c>
      <c r="AD35" s="24" t="s">
        <v>1896</v>
      </c>
      <c r="AE35" s="40"/>
    </row>
    <row r="36" spans="1:31" s="46" customFormat="1" ht="27.95" customHeight="1" x14ac:dyDescent="0.15">
      <c r="A36" s="40">
        <v>34</v>
      </c>
      <c r="B36" s="125">
        <v>15033</v>
      </c>
      <c r="C36" s="24" t="s">
        <v>1896</v>
      </c>
      <c r="D36" s="24" t="s">
        <v>1896</v>
      </c>
      <c r="E36" s="24" t="s">
        <v>1896</v>
      </c>
      <c r="F36" s="29" t="s">
        <v>2624</v>
      </c>
      <c r="G36" s="20" t="s">
        <v>2727</v>
      </c>
      <c r="H36" s="20" t="s">
        <v>94</v>
      </c>
      <c r="I36" s="20" t="s">
        <v>112</v>
      </c>
      <c r="J36" s="21" t="s">
        <v>531</v>
      </c>
      <c r="K36" s="24" t="s">
        <v>1896</v>
      </c>
      <c r="L36" s="24" t="s">
        <v>1896</v>
      </c>
      <c r="M36" s="24" t="s">
        <v>1896</v>
      </c>
      <c r="N36" s="21" t="s">
        <v>102</v>
      </c>
      <c r="O36" s="21" t="s">
        <v>851</v>
      </c>
      <c r="P36" s="24" t="s">
        <v>1896</v>
      </c>
      <c r="Q36" s="12" t="s">
        <v>2888</v>
      </c>
      <c r="R36" s="24" t="s">
        <v>1896</v>
      </c>
      <c r="S36" s="180" t="s">
        <v>3000</v>
      </c>
      <c r="T36" s="24" t="s">
        <v>1896</v>
      </c>
      <c r="U36" s="10" t="s">
        <v>108</v>
      </c>
      <c r="V36" s="72">
        <v>1</v>
      </c>
      <c r="W36" s="24" t="s">
        <v>1896</v>
      </c>
      <c r="X36" s="24" t="s">
        <v>1896</v>
      </c>
      <c r="Y36" s="167">
        <v>0</v>
      </c>
      <c r="Z36" s="167">
        <v>17</v>
      </c>
      <c r="AA36" s="179">
        <v>17</v>
      </c>
      <c r="AB36" s="24" t="s">
        <v>1896</v>
      </c>
      <c r="AC36" s="24" t="s">
        <v>1896</v>
      </c>
      <c r="AD36" s="24" t="s">
        <v>1896</v>
      </c>
      <c r="AE36" s="40"/>
    </row>
    <row r="37" spans="1:31" s="46" customFormat="1" ht="27.95" customHeight="1" x14ac:dyDescent="0.15">
      <c r="A37" s="40">
        <v>35</v>
      </c>
      <c r="B37" s="125">
        <v>15034</v>
      </c>
      <c r="C37" s="24" t="s">
        <v>1896</v>
      </c>
      <c r="D37" s="24" t="s">
        <v>1896</v>
      </c>
      <c r="E37" s="24" t="s">
        <v>1896</v>
      </c>
      <c r="F37" s="29" t="s">
        <v>2621</v>
      </c>
      <c r="G37" s="20" t="s">
        <v>2728</v>
      </c>
      <c r="H37" s="20" t="s">
        <v>94</v>
      </c>
      <c r="I37" s="20" t="s">
        <v>112</v>
      </c>
      <c r="J37" s="21" t="s">
        <v>1663</v>
      </c>
      <c r="K37" s="24" t="s">
        <v>1896</v>
      </c>
      <c r="L37" s="24" t="s">
        <v>1896</v>
      </c>
      <c r="M37" s="24" t="s">
        <v>1896</v>
      </c>
      <c r="N37" s="21" t="s">
        <v>102</v>
      </c>
      <c r="O37" s="21" t="s">
        <v>851</v>
      </c>
      <c r="P37" s="24" t="s">
        <v>1896</v>
      </c>
      <c r="Q37" s="12" t="s">
        <v>2888</v>
      </c>
      <c r="R37" s="24" t="s">
        <v>1896</v>
      </c>
      <c r="S37" s="180" t="s">
        <v>3000</v>
      </c>
      <c r="T37" s="24" t="s">
        <v>1896</v>
      </c>
      <c r="U37" s="10" t="s">
        <v>108</v>
      </c>
      <c r="V37" s="72">
        <v>1</v>
      </c>
      <c r="W37" s="24" t="s">
        <v>1896</v>
      </c>
      <c r="X37" s="24" t="s">
        <v>1896</v>
      </c>
      <c r="Y37" s="167">
        <v>0</v>
      </c>
      <c r="Z37" s="167">
        <v>17</v>
      </c>
      <c r="AA37" s="179">
        <v>17</v>
      </c>
      <c r="AB37" s="24" t="s">
        <v>1896</v>
      </c>
      <c r="AC37" s="24" t="s">
        <v>1896</v>
      </c>
      <c r="AD37" s="24" t="s">
        <v>1896</v>
      </c>
      <c r="AE37" s="40"/>
    </row>
    <row r="38" spans="1:31" s="46" customFormat="1" ht="27.95" customHeight="1" x14ac:dyDescent="0.15">
      <c r="A38" s="40">
        <v>36</v>
      </c>
      <c r="B38" s="125">
        <v>15035</v>
      </c>
      <c r="C38" s="24" t="s">
        <v>1896</v>
      </c>
      <c r="D38" s="24" t="s">
        <v>1896</v>
      </c>
      <c r="E38" s="24" t="s">
        <v>1896</v>
      </c>
      <c r="F38" s="29" t="s">
        <v>1166</v>
      </c>
      <c r="G38" s="20" t="s">
        <v>2729</v>
      </c>
      <c r="H38" s="20" t="s">
        <v>94</v>
      </c>
      <c r="I38" s="20" t="s">
        <v>112</v>
      </c>
      <c r="J38" s="21" t="s">
        <v>527</v>
      </c>
      <c r="K38" s="24" t="s">
        <v>1896</v>
      </c>
      <c r="L38" s="24" t="s">
        <v>1896</v>
      </c>
      <c r="M38" s="24" t="s">
        <v>1896</v>
      </c>
      <c r="N38" s="21" t="s">
        <v>102</v>
      </c>
      <c r="O38" s="21" t="s">
        <v>851</v>
      </c>
      <c r="P38" s="24" t="s">
        <v>1896</v>
      </c>
      <c r="Q38" s="12" t="s">
        <v>2888</v>
      </c>
      <c r="R38" s="24" t="s">
        <v>1896</v>
      </c>
      <c r="S38" s="180" t="s">
        <v>3000</v>
      </c>
      <c r="T38" s="24" t="s">
        <v>1896</v>
      </c>
      <c r="U38" s="10" t="s">
        <v>108</v>
      </c>
      <c r="V38" s="72">
        <v>1</v>
      </c>
      <c r="W38" s="24" t="s">
        <v>1896</v>
      </c>
      <c r="X38" s="24" t="s">
        <v>1896</v>
      </c>
      <c r="Y38" s="167">
        <v>0</v>
      </c>
      <c r="Z38" s="167">
        <v>17</v>
      </c>
      <c r="AA38" s="179">
        <v>17</v>
      </c>
      <c r="AB38" s="24" t="s">
        <v>1896</v>
      </c>
      <c r="AC38" s="24" t="s">
        <v>1896</v>
      </c>
      <c r="AD38" s="24" t="s">
        <v>1896</v>
      </c>
      <c r="AE38" s="40"/>
    </row>
    <row r="39" spans="1:31" s="46" customFormat="1" ht="27.95" customHeight="1" x14ac:dyDescent="0.15">
      <c r="A39" s="40">
        <v>37</v>
      </c>
      <c r="B39" s="125">
        <v>15036</v>
      </c>
      <c r="C39" s="24" t="s">
        <v>1896</v>
      </c>
      <c r="D39" s="24" t="s">
        <v>1896</v>
      </c>
      <c r="E39" s="24" t="s">
        <v>1896</v>
      </c>
      <c r="F39" s="65" t="s">
        <v>1170</v>
      </c>
      <c r="G39" s="1" t="s">
        <v>2730</v>
      </c>
      <c r="H39" s="20" t="s">
        <v>94</v>
      </c>
      <c r="I39" s="20" t="s">
        <v>112</v>
      </c>
      <c r="J39" s="21" t="s">
        <v>1664</v>
      </c>
      <c r="K39" s="24" t="s">
        <v>1896</v>
      </c>
      <c r="L39" s="24" t="s">
        <v>1896</v>
      </c>
      <c r="M39" s="24" t="s">
        <v>1896</v>
      </c>
      <c r="N39" s="21" t="s">
        <v>102</v>
      </c>
      <c r="O39" s="21" t="s">
        <v>851</v>
      </c>
      <c r="P39" s="24" t="s">
        <v>1896</v>
      </c>
      <c r="Q39" s="12" t="s">
        <v>2888</v>
      </c>
      <c r="R39" s="24" t="s">
        <v>1896</v>
      </c>
      <c r="S39" s="181" t="s">
        <v>2994</v>
      </c>
      <c r="T39" s="24" t="s">
        <v>1896</v>
      </c>
      <c r="U39" s="10" t="s">
        <v>108</v>
      </c>
      <c r="V39" s="72">
        <v>1</v>
      </c>
      <c r="W39" s="24" t="s">
        <v>1896</v>
      </c>
      <c r="X39" s="24" t="s">
        <v>1896</v>
      </c>
      <c r="Y39" s="167">
        <v>0</v>
      </c>
      <c r="Z39" s="167">
        <v>10</v>
      </c>
      <c r="AA39" s="177">
        <v>10</v>
      </c>
      <c r="AB39" s="24" t="s">
        <v>1896</v>
      </c>
      <c r="AC39" s="24" t="s">
        <v>1896</v>
      </c>
      <c r="AD39" s="24" t="s">
        <v>1896</v>
      </c>
      <c r="AE39" s="40"/>
    </row>
    <row r="40" spans="1:31" s="46" customFormat="1" ht="27.95" customHeight="1" x14ac:dyDescent="0.15">
      <c r="A40" s="40">
        <v>38</v>
      </c>
      <c r="B40" s="125" t="s">
        <v>3109</v>
      </c>
      <c r="C40" s="24" t="s">
        <v>1896</v>
      </c>
      <c r="D40" s="24" t="s">
        <v>1896</v>
      </c>
      <c r="E40" s="24" t="s">
        <v>1896</v>
      </c>
      <c r="F40" s="29" t="s">
        <v>1935</v>
      </c>
      <c r="G40" s="20" t="s">
        <v>1984</v>
      </c>
      <c r="H40" s="142" t="s">
        <v>94</v>
      </c>
      <c r="I40" s="142" t="s">
        <v>1895</v>
      </c>
      <c r="J40" s="21" t="s">
        <v>1918</v>
      </c>
      <c r="K40" s="24" t="s">
        <v>1896</v>
      </c>
      <c r="L40" s="24" t="s">
        <v>1896</v>
      </c>
      <c r="M40" s="24" t="s">
        <v>1896</v>
      </c>
      <c r="N40" s="104" t="s">
        <v>102</v>
      </c>
      <c r="O40" s="21" t="s">
        <v>1744</v>
      </c>
      <c r="P40" s="24" t="s">
        <v>1896</v>
      </c>
      <c r="Q40" s="12" t="s">
        <v>2891</v>
      </c>
      <c r="R40" s="24" t="s">
        <v>1896</v>
      </c>
      <c r="S40" s="24" t="s">
        <v>1896</v>
      </c>
      <c r="T40" s="24" t="s">
        <v>1896</v>
      </c>
      <c r="U40" s="129" t="s">
        <v>3417</v>
      </c>
      <c r="V40" s="129">
        <v>0</v>
      </c>
      <c r="W40" s="24" t="s">
        <v>1896</v>
      </c>
      <c r="X40" s="24" t="s">
        <v>1896</v>
      </c>
      <c r="Y40" s="167">
        <v>0.41499999999999998</v>
      </c>
      <c r="Z40" s="167">
        <v>0</v>
      </c>
      <c r="AA40" s="177">
        <v>0.41499999999999998</v>
      </c>
      <c r="AB40" s="24" t="s">
        <v>1896</v>
      </c>
      <c r="AC40" s="24" t="s">
        <v>1896</v>
      </c>
      <c r="AD40" s="24" t="s">
        <v>1896</v>
      </c>
      <c r="AE40" s="40"/>
    </row>
    <row r="41" spans="1:31" s="46" customFormat="1" ht="27.95" customHeight="1" x14ac:dyDescent="0.15">
      <c r="A41" s="40">
        <v>39</v>
      </c>
      <c r="B41" s="125" t="s">
        <v>3109</v>
      </c>
      <c r="C41" s="24" t="s">
        <v>1896</v>
      </c>
      <c r="D41" s="24" t="s">
        <v>1896</v>
      </c>
      <c r="E41" s="24" t="s">
        <v>1896</v>
      </c>
      <c r="F41" s="65" t="s">
        <v>1207</v>
      </c>
      <c r="G41" s="1" t="s">
        <v>1968</v>
      </c>
      <c r="H41" s="20" t="s">
        <v>94</v>
      </c>
      <c r="I41" s="20" t="s">
        <v>993</v>
      </c>
      <c r="J41" s="21" t="s">
        <v>1673</v>
      </c>
      <c r="K41" s="24" t="s">
        <v>1896</v>
      </c>
      <c r="L41" s="24" t="s">
        <v>1896</v>
      </c>
      <c r="M41" s="24" t="s">
        <v>1896</v>
      </c>
      <c r="N41" s="104" t="s">
        <v>102</v>
      </c>
      <c r="O41" s="21" t="s">
        <v>463</v>
      </c>
      <c r="P41" s="24" t="s">
        <v>1896</v>
      </c>
      <c r="Q41" s="12" t="s">
        <v>2891</v>
      </c>
      <c r="R41" s="24" t="s">
        <v>1896</v>
      </c>
      <c r="S41" s="24" t="s">
        <v>1896</v>
      </c>
      <c r="T41" s="24" t="s">
        <v>1896</v>
      </c>
      <c r="U41" s="129" t="s">
        <v>3417</v>
      </c>
      <c r="V41" s="129">
        <v>0</v>
      </c>
      <c r="W41" s="24" t="s">
        <v>1896</v>
      </c>
      <c r="X41" s="24" t="s">
        <v>1896</v>
      </c>
      <c r="Y41" s="167">
        <v>0.6</v>
      </c>
      <c r="Z41" s="167">
        <v>0</v>
      </c>
      <c r="AA41" s="177">
        <v>0.6</v>
      </c>
      <c r="AB41" s="24" t="s">
        <v>1896</v>
      </c>
      <c r="AC41" s="24" t="s">
        <v>1896</v>
      </c>
      <c r="AD41" s="24" t="s">
        <v>1896</v>
      </c>
      <c r="AE41" s="40"/>
    </row>
    <row r="42" spans="1:31" s="46" customFormat="1" ht="27.95" customHeight="1" x14ac:dyDescent="0.15">
      <c r="A42" s="40">
        <v>40</v>
      </c>
      <c r="B42" s="125" t="s">
        <v>3109</v>
      </c>
      <c r="C42" s="24" t="s">
        <v>1896</v>
      </c>
      <c r="D42" s="24" t="s">
        <v>1896</v>
      </c>
      <c r="E42" s="24" t="s">
        <v>1896</v>
      </c>
      <c r="F42" s="29" t="s">
        <v>1251</v>
      </c>
      <c r="G42" s="20" t="s">
        <v>1977</v>
      </c>
      <c r="H42" s="20" t="s">
        <v>94</v>
      </c>
      <c r="I42" s="20" t="s">
        <v>993</v>
      </c>
      <c r="J42" s="21" t="s">
        <v>1627</v>
      </c>
      <c r="K42" s="24" t="s">
        <v>1896</v>
      </c>
      <c r="L42" s="24" t="s">
        <v>1896</v>
      </c>
      <c r="M42" s="24" t="s">
        <v>1896</v>
      </c>
      <c r="N42" s="104" t="s">
        <v>102</v>
      </c>
      <c r="O42" s="21" t="s">
        <v>461</v>
      </c>
      <c r="P42" s="24" t="s">
        <v>1896</v>
      </c>
      <c r="Q42" s="12" t="s">
        <v>2891</v>
      </c>
      <c r="R42" s="24" t="s">
        <v>1896</v>
      </c>
      <c r="S42" s="24" t="s">
        <v>1896</v>
      </c>
      <c r="T42" s="24" t="s">
        <v>1896</v>
      </c>
      <c r="U42" s="129" t="s">
        <v>3417</v>
      </c>
      <c r="V42" s="129">
        <v>0</v>
      </c>
      <c r="W42" s="24" t="s">
        <v>1896</v>
      </c>
      <c r="X42" s="24" t="s">
        <v>1896</v>
      </c>
      <c r="Y42" s="167">
        <v>1.4</v>
      </c>
      <c r="Z42" s="167">
        <v>0</v>
      </c>
      <c r="AA42" s="177">
        <v>1.4</v>
      </c>
      <c r="AB42" s="24" t="s">
        <v>1896</v>
      </c>
      <c r="AC42" s="24" t="s">
        <v>1896</v>
      </c>
      <c r="AD42" s="24" t="s">
        <v>1896</v>
      </c>
      <c r="AE42" s="40"/>
    </row>
    <row r="43" spans="1:31" s="46" customFormat="1" ht="27.95" customHeight="1" x14ac:dyDescent="0.15">
      <c r="A43" s="40">
        <v>41</v>
      </c>
      <c r="B43" s="125">
        <v>15037</v>
      </c>
      <c r="C43" s="24" t="s">
        <v>1896</v>
      </c>
      <c r="D43" s="24" t="s">
        <v>1896</v>
      </c>
      <c r="E43" s="24" t="s">
        <v>1896</v>
      </c>
      <c r="F43" s="47" t="s">
        <v>2731</v>
      </c>
      <c r="G43" s="20" t="s">
        <v>2732</v>
      </c>
      <c r="H43" s="102" t="s">
        <v>1541</v>
      </c>
      <c r="I43" s="142" t="s">
        <v>1952</v>
      </c>
      <c r="J43" s="1" t="s">
        <v>2904</v>
      </c>
      <c r="K43" s="24" t="s">
        <v>1896</v>
      </c>
      <c r="L43" s="24" t="s">
        <v>3675</v>
      </c>
      <c r="M43" s="24" t="s">
        <v>1896</v>
      </c>
      <c r="N43" s="104" t="s">
        <v>102</v>
      </c>
      <c r="O43" s="1" t="s">
        <v>1760</v>
      </c>
      <c r="P43" s="24" t="s">
        <v>1896</v>
      </c>
      <c r="Q43" s="12" t="s">
        <v>2892</v>
      </c>
      <c r="R43" s="24" t="s">
        <v>1896</v>
      </c>
      <c r="S43" s="182">
        <v>42217</v>
      </c>
      <c r="T43" s="24" t="s">
        <v>1896</v>
      </c>
      <c r="U43" s="72" t="s">
        <v>110</v>
      </c>
      <c r="V43" s="72">
        <v>1</v>
      </c>
      <c r="W43" s="24" t="s">
        <v>1896</v>
      </c>
      <c r="X43" s="24" t="s">
        <v>1896</v>
      </c>
      <c r="Y43" s="167">
        <v>47.5</v>
      </c>
      <c r="Z43" s="167">
        <v>0</v>
      </c>
      <c r="AA43" s="177">
        <v>47.5</v>
      </c>
      <c r="AB43" s="24" t="s">
        <v>1896</v>
      </c>
      <c r="AC43" s="24" t="s">
        <v>1896</v>
      </c>
      <c r="AD43" s="24" t="s">
        <v>1896</v>
      </c>
      <c r="AE43" s="40"/>
    </row>
    <row r="44" spans="1:31" s="46" customFormat="1" ht="27.95" customHeight="1" x14ac:dyDescent="0.15">
      <c r="A44" s="40">
        <v>42</v>
      </c>
      <c r="B44" s="125">
        <v>15038</v>
      </c>
      <c r="C44" s="24" t="s">
        <v>1896</v>
      </c>
      <c r="D44" s="24" t="s">
        <v>1896</v>
      </c>
      <c r="E44" s="24" t="s">
        <v>1896</v>
      </c>
      <c r="F44" s="47" t="s">
        <v>2733</v>
      </c>
      <c r="G44" s="20" t="s">
        <v>2734</v>
      </c>
      <c r="H44" s="102" t="s">
        <v>1508</v>
      </c>
      <c r="I44" s="1" t="s">
        <v>2826</v>
      </c>
      <c r="J44" s="1" t="s">
        <v>2905</v>
      </c>
      <c r="K44" s="24" t="s">
        <v>1896</v>
      </c>
      <c r="L44" s="24" t="s">
        <v>1896</v>
      </c>
      <c r="M44" s="24" t="s">
        <v>1896</v>
      </c>
      <c r="N44" s="104" t="s">
        <v>102</v>
      </c>
      <c r="O44" s="1" t="s">
        <v>1760</v>
      </c>
      <c r="P44" s="24" t="s">
        <v>1896</v>
      </c>
      <c r="Q44" s="12" t="s">
        <v>2889</v>
      </c>
      <c r="R44" s="24" t="s">
        <v>1896</v>
      </c>
      <c r="S44" s="182" t="s">
        <v>3001</v>
      </c>
      <c r="T44" s="24" t="s">
        <v>1896</v>
      </c>
      <c r="U44" s="10" t="s">
        <v>108</v>
      </c>
      <c r="V44" s="72">
        <v>1</v>
      </c>
      <c r="W44" s="24" t="s">
        <v>1896</v>
      </c>
      <c r="X44" s="24" t="s">
        <v>1896</v>
      </c>
      <c r="Y44" s="167">
        <v>44.5</v>
      </c>
      <c r="Z44" s="167">
        <v>0</v>
      </c>
      <c r="AA44" s="177">
        <v>44.5</v>
      </c>
      <c r="AB44" s="24" t="s">
        <v>1896</v>
      </c>
      <c r="AC44" s="24" t="s">
        <v>1896</v>
      </c>
      <c r="AD44" s="24" t="s">
        <v>1896</v>
      </c>
      <c r="AE44" s="40"/>
    </row>
    <row r="45" spans="1:31" s="46" customFormat="1" ht="27.95" customHeight="1" x14ac:dyDescent="0.15">
      <c r="A45" s="40">
        <v>43</v>
      </c>
      <c r="B45" s="125" t="s">
        <v>2681</v>
      </c>
      <c r="C45" s="24" t="s">
        <v>1896</v>
      </c>
      <c r="D45" s="24" t="s">
        <v>1896</v>
      </c>
      <c r="E45" s="24" t="s">
        <v>1896</v>
      </c>
      <c r="F45" s="47" t="s">
        <v>2735</v>
      </c>
      <c r="G45" s="20" t="s">
        <v>2736</v>
      </c>
      <c r="H45" s="20" t="s">
        <v>1537</v>
      </c>
      <c r="I45" s="20" t="s">
        <v>1945</v>
      </c>
      <c r="J45" s="21" t="s">
        <v>2906</v>
      </c>
      <c r="K45" s="24" t="s">
        <v>1896</v>
      </c>
      <c r="L45" s="24" t="s">
        <v>1896</v>
      </c>
      <c r="M45" s="24" t="s">
        <v>1896</v>
      </c>
      <c r="N45" s="104" t="s">
        <v>102</v>
      </c>
      <c r="O45" s="21" t="s">
        <v>1744</v>
      </c>
      <c r="P45" s="24" t="s">
        <v>1896</v>
      </c>
      <c r="Q45" s="12" t="s">
        <v>2864</v>
      </c>
      <c r="R45" s="24" t="s">
        <v>1896</v>
      </c>
      <c r="S45" s="24" t="s">
        <v>1896</v>
      </c>
      <c r="T45" s="24" t="s">
        <v>1896</v>
      </c>
      <c r="U45" s="129" t="s">
        <v>3417</v>
      </c>
      <c r="V45" s="129">
        <v>0</v>
      </c>
      <c r="W45" s="24" t="s">
        <v>1896</v>
      </c>
      <c r="X45" s="24" t="s">
        <v>1896</v>
      </c>
      <c r="Y45" s="167">
        <v>0.24</v>
      </c>
      <c r="Z45" s="167">
        <v>0</v>
      </c>
      <c r="AA45" s="177">
        <v>0.24</v>
      </c>
      <c r="AB45" s="24" t="s">
        <v>1896</v>
      </c>
      <c r="AC45" s="24" t="s">
        <v>1896</v>
      </c>
      <c r="AD45" s="24" t="s">
        <v>1896</v>
      </c>
      <c r="AE45" s="40"/>
    </row>
    <row r="46" spans="1:31" s="46" customFormat="1" ht="27.95" customHeight="1" x14ac:dyDescent="0.15">
      <c r="A46" s="40">
        <v>44</v>
      </c>
      <c r="B46" s="125">
        <v>15039</v>
      </c>
      <c r="C46" s="24" t="s">
        <v>1896</v>
      </c>
      <c r="D46" s="24" t="s">
        <v>1896</v>
      </c>
      <c r="E46" s="24" t="s">
        <v>1896</v>
      </c>
      <c r="F46" s="47" t="s">
        <v>2737</v>
      </c>
      <c r="G46" s="20" t="s">
        <v>2738</v>
      </c>
      <c r="H46" s="102" t="s">
        <v>94</v>
      </c>
      <c r="I46" s="142" t="s">
        <v>1952</v>
      </c>
      <c r="J46" s="1" t="s">
        <v>2907</v>
      </c>
      <c r="K46" s="24" t="s">
        <v>1896</v>
      </c>
      <c r="L46" s="24" t="s">
        <v>1896</v>
      </c>
      <c r="M46" s="24" t="s">
        <v>1896</v>
      </c>
      <c r="N46" s="104" t="s">
        <v>102</v>
      </c>
      <c r="O46" s="1" t="s">
        <v>1759</v>
      </c>
      <c r="P46" s="24" t="s">
        <v>1896</v>
      </c>
      <c r="Q46" s="12" t="s">
        <v>2890</v>
      </c>
      <c r="R46" s="24" t="s">
        <v>1896</v>
      </c>
      <c r="S46" s="182">
        <v>42248</v>
      </c>
      <c r="T46" s="24" t="s">
        <v>1896</v>
      </c>
      <c r="U46" s="72" t="s">
        <v>110</v>
      </c>
      <c r="V46" s="72">
        <v>1</v>
      </c>
      <c r="W46" s="24" t="s">
        <v>1896</v>
      </c>
      <c r="X46" s="24" t="s">
        <v>1896</v>
      </c>
      <c r="Y46" s="167">
        <v>34</v>
      </c>
      <c r="Z46" s="167">
        <v>0</v>
      </c>
      <c r="AA46" s="177">
        <v>34</v>
      </c>
      <c r="AB46" s="24" t="s">
        <v>1896</v>
      </c>
      <c r="AC46" s="24" t="s">
        <v>1896</v>
      </c>
      <c r="AD46" s="24" t="s">
        <v>1896</v>
      </c>
      <c r="AE46" s="40"/>
    </row>
    <row r="47" spans="1:31" s="46" customFormat="1" ht="27.95" customHeight="1" x14ac:dyDescent="0.15">
      <c r="A47" s="40">
        <v>45</v>
      </c>
      <c r="B47" s="125">
        <v>15040</v>
      </c>
      <c r="C47" s="24" t="s">
        <v>1896</v>
      </c>
      <c r="D47" s="24" t="s">
        <v>1896</v>
      </c>
      <c r="E47" s="24" t="s">
        <v>1896</v>
      </c>
      <c r="F47" s="29" t="s">
        <v>1264</v>
      </c>
      <c r="G47" s="20" t="s">
        <v>2657</v>
      </c>
      <c r="H47" s="20" t="s">
        <v>94</v>
      </c>
      <c r="I47" s="20" t="s">
        <v>1925</v>
      </c>
      <c r="J47" s="21" t="s">
        <v>1705</v>
      </c>
      <c r="K47" s="24" t="s">
        <v>1896</v>
      </c>
      <c r="L47" s="24" t="s">
        <v>1896</v>
      </c>
      <c r="M47" s="24" t="s">
        <v>1896</v>
      </c>
      <c r="N47" s="21" t="s">
        <v>102</v>
      </c>
      <c r="O47" s="21" t="s">
        <v>851</v>
      </c>
      <c r="P47" s="24" t="s">
        <v>1896</v>
      </c>
      <c r="Q47" s="12" t="s">
        <v>2891</v>
      </c>
      <c r="R47" s="24" t="s">
        <v>1896</v>
      </c>
      <c r="S47" s="182">
        <v>42278</v>
      </c>
      <c r="T47" s="24" t="s">
        <v>1896</v>
      </c>
      <c r="U47" s="72" t="s">
        <v>110</v>
      </c>
      <c r="V47" s="72">
        <v>1</v>
      </c>
      <c r="W47" s="24" t="s">
        <v>1896</v>
      </c>
      <c r="X47" s="24" t="s">
        <v>1896</v>
      </c>
      <c r="Y47" s="167">
        <v>0</v>
      </c>
      <c r="Z47" s="167">
        <v>12.6</v>
      </c>
      <c r="AA47" s="177">
        <v>12.6</v>
      </c>
      <c r="AB47" s="24" t="s">
        <v>1896</v>
      </c>
      <c r="AC47" s="24" t="s">
        <v>1896</v>
      </c>
      <c r="AD47" s="24" t="s">
        <v>1896</v>
      </c>
      <c r="AE47" s="40"/>
    </row>
    <row r="48" spans="1:31" s="46" customFormat="1" ht="27.95" customHeight="1" x14ac:dyDescent="0.15">
      <c r="A48" s="40">
        <v>46</v>
      </c>
      <c r="B48" s="125">
        <v>15041</v>
      </c>
      <c r="C48" s="24" t="s">
        <v>1896</v>
      </c>
      <c r="D48" s="24" t="s">
        <v>1896</v>
      </c>
      <c r="E48" s="24" t="s">
        <v>1896</v>
      </c>
      <c r="F48" s="29" t="s">
        <v>2739</v>
      </c>
      <c r="G48" s="20" t="s">
        <v>2740</v>
      </c>
      <c r="H48" s="142" t="s">
        <v>1419</v>
      </c>
      <c r="I48" s="142" t="s">
        <v>22</v>
      </c>
      <c r="J48" s="21" t="s">
        <v>1654</v>
      </c>
      <c r="K48" s="24" t="s">
        <v>1896</v>
      </c>
      <c r="L48" s="24" t="s">
        <v>1896</v>
      </c>
      <c r="M48" s="24" t="s">
        <v>1896</v>
      </c>
      <c r="N48" s="21" t="s">
        <v>102</v>
      </c>
      <c r="O48" s="21" t="s">
        <v>851</v>
      </c>
      <c r="P48" s="24" t="s">
        <v>1896</v>
      </c>
      <c r="Q48" s="12" t="s">
        <v>2891</v>
      </c>
      <c r="R48" s="24" t="s">
        <v>1896</v>
      </c>
      <c r="S48" s="182" t="s">
        <v>3002</v>
      </c>
      <c r="T48" s="24" t="s">
        <v>1896</v>
      </c>
      <c r="U48" s="72" t="s">
        <v>110</v>
      </c>
      <c r="V48" s="72">
        <v>2</v>
      </c>
      <c r="W48" s="24" t="s">
        <v>1896</v>
      </c>
      <c r="X48" s="24" t="s">
        <v>1896</v>
      </c>
      <c r="Y48" s="167">
        <v>0</v>
      </c>
      <c r="Z48" s="167">
        <v>14.5</v>
      </c>
      <c r="AA48" s="177">
        <v>14.5</v>
      </c>
      <c r="AB48" s="24" t="s">
        <v>1896</v>
      </c>
      <c r="AC48" s="24" t="s">
        <v>1896</v>
      </c>
      <c r="AD48" s="24" t="s">
        <v>1896</v>
      </c>
      <c r="AE48" s="40"/>
    </row>
    <row r="49" spans="1:31" s="46" customFormat="1" ht="27.95" customHeight="1" x14ac:dyDescent="0.15">
      <c r="A49" s="40">
        <v>47</v>
      </c>
      <c r="B49" s="125">
        <v>15042</v>
      </c>
      <c r="C49" s="24" t="s">
        <v>1896</v>
      </c>
      <c r="D49" s="24" t="s">
        <v>1896</v>
      </c>
      <c r="E49" s="24" t="s">
        <v>1896</v>
      </c>
      <c r="F49" s="29" t="s">
        <v>2739</v>
      </c>
      <c r="G49" s="20" t="s">
        <v>2741</v>
      </c>
      <c r="H49" s="142" t="s">
        <v>1419</v>
      </c>
      <c r="I49" s="142" t="s">
        <v>22</v>
      </c>
      <c r="J49" s="21" t="s">
        <v>1654</v>
      </c>
      <c r="K49" s="24" t="s">
        <v>1896</v>
      </c>
      <c r="L49" s="24" t="s">
        <v>1896</v>
      </c>
      <c r="M49" s="24" t="s">
        <v>1896</v>
      </c>
      <c r="N49" s="104" t="s">
        <v>102</v>
      </c>
      <c r="O49" s="21" t="s">
        <v>463</v>
      </c>
      <c r="P49" s="24" t="s">
        <v>1896</v>
      </c>
      <c r="Q49" s="12" t="s">
        <v>2891</v>
      </c>
      <c r="R49" s="24" t="s">
        <v>1896</v>
      </c>
      <c r="S49" s="182" t="s">
        <v>3002</v>
      </c>
      <c r="T49" s="24" t="s">
        <v>1896</v>
      </c>
      <c r="U49" s="72" t="s">
        <v>110</v>
      </c>
      <c r="V49" s="72">
        <v>2</v>
      </c>
      <c r="W49" s="24" t="s">
        <v>1896</v>
      </c>
      <c r="X49" s="24" t="s">
        <v>1896</v>
      </c>
      <c r="Y49" s="167">
        <v>3.8</v>
      </c>
      <c r="Z49" s="167">
        <v>0</v>
      </c>
      <c r="AA49" s="177">
        <v>3.8</v>
      </c>
      <c r="AB49" s="24" t="s">
        <v>1896</v>
      </c>
      <c r="AC49" s="24" t="s">
        <v>1896</v>
      </c>
      <c r="AD49" s="24" t="s">
        <v>1896</v>
      </c>
      <c r="AE49" s="40"/>
    </row>
    <row r="50" spans="1:31" s="46" customFormat="1" ht="27.95" customHeight="1" x14ac:dyDescent="0.15">
      <c r="A50" s="40">
        <v>48</v>
      </c>
      <c r="B50" s="125">
        <v>15043</v>
      </c>
      <c r="C50" s="24" t="s">
        <v>1896</v>
      </c>
      <c r="D50" s="24" t="s">
        <v>1896</v>
      </c>
      <c r="E50" s="24" t="s">
        <v>1896</v>
      </c>
      <c r="F50" s="29" t="s">
        <v>2639</v>
      </c>
      <c r="G50" s="20" t="s">
        <v>2640</v>
      </c>
      <c r="H50" s="20" t="s">
        <v>994</v>
      </c>
      <c r="I50" s="20" t="s">
        <v>1947</v>
      </c>
      <c r="J50" s="21" t="s">
        <v>1669</v>
      </c>
      <c r="K50" s="24" t="s">
        <v>1896</v>
      </c>
      <c r="L50" s="24" t="s">
        <v>1896</v>
      </c>
      <c r="M50" s="24" t="s">
        <v>1896</v>
      </c>
      <c r="N50" s="21" t="s">
        <v>102</v>
      </c>
      <c r="O50" s="21" t="s">
        <v>851</v>
      </c>
      <c r="P50" s="24" t="s">
        <v>1896</v>
      </c>
      <c r="Q50" s="12" t="s">
        <v>2887</v>
      </c>
      <c r="R50" s="24" t="s">
        <v>1896</v>
      </c>
      <c r="S50" s="182">
        <v>42186</v>
      </c>
      <c r="T50" s="24" t="s">
        <v>1896</v>
      </c>
      <c r="U50" s="10" t="s">
        <v>108</v>
      </c>
      <c r="V50" s="72">
        <v>1</v>
      </c>
      <c r="W50" s="24" t="s">
        <v>1896</v>
      </c>
      <c r="X50" s="24" t="s">
        <v>1896</v>
      </c>
      <c r="Y50" s="167">
        <v>0</v>
      </c>
      <c r="Z50" s="167">
        <v>12</v>
      </c>
      <c r="AA50" s="179">
        <v>12</v>
      </c>
      <c r="AB50" s="24" t="s">
        <v>1896</v>
      </c>
      <c r="AC50" s="24" t="s">
        <v>1896</v>
      </c>
      <c r="AD50" s="24" t="s">
        <v>1896</v>
      </c>
      <c r="AE50" s="40"/>
    </row>
    <row r="51" spans="1:31" s="46" customFormat="1" ht="27.95" customHeight="1" x14ac:dyDescent="0.15">
      <c r="A51" s="40">
        <v>49</v>
      </c>
      <c r="B51" s="125">
        <v>15044</v>
      </c>
      <c r="C51" s="24" t="s">
        <v>1896</v>
      </c>
      <c r="D51" s="24" t="s">
        <v>1896</v>
      </c>
      <c r="E51" s="24" t="s">
        <v>1896</v>
      </c>
      <c r="F51" s="29" t="s">
        <v>2639</v>
      </c>
      <c r="G51" s="20" t="s">
        <v>2742</v>
      </c>
      <c r="H51" s="20" t="s">
        <v>994</v>
      </c>
      <c r="I51" s="20" t="s">
        <v>1947</v>
      </c>
      <c r="J51" s="21" t="s">
        <v>1669</v>
      </c>
      <c r="K51" s="24" t="s">
        <v>1896</v>
      </c>
      <c r="L51" s="24" t="s">
        <v>1896</v>
      </c>
      <c r="M51" s="24" t="s">
        <v>1896</v>
      </c>
      <c r="N51" s="104" t="s">
        <v>102</v>
      </c>
      <c r="O51" s="21" t="s">
        <v>463</v>
      </c>
      <c r="P51" s="24" t="s">
        <v>1896</v>
      </c>
      <c r="Q51" s="12" t="s">
        <v>2887</v>
      </c>
      <c r="R51" s="24" t="s">
        <v>1896</v>
      </c>
      <c r="S51" s="182" t="s">
        <v>3003</v>
      </c>
      <c r="T51" s="24" t="s">
        <v>1896</v>
      </c>
      <c r="U51" s="72" t="s">
        <v>110</v>
      </c>
      <c r="V51" s="72">
        <v>2</v>
      </c>
      <c r="W51" s="24" t="s">
        <v>1896</v>
      </c>
      <c r="X51" s="24" t="s">
        <v>1896</v>
      </c>
      <c r="Y51" s="167">
        <v>1</v>
      </c>
      <c r="Z51" s="167">
        <v>0</v>
      </c>
      <c r="AA51" s="179">
        <v>1</v>
      </c>
      <c r="AB51" s="24" t="s">
        <v>1896</v>
      </c>
      <c r="AC51" s="24" t="s">
        <v>1896</v>
      </c>
      <c r="AD51" s="24" t="s">
        <v>1896</v>
      </c>
      <c r="AE51" s="40"/>
    </row>
    <row r="52" spans="1:31" s="46" customFormat="1" ht="27.95" customHeight="1" x14ac:dyDescent="0.15">
      <c r="A52" s="40">
        <v>50</v>
      </c>
      <c r="B52" s="125">
        <v>15045</v>
      </c>
      <c r="C52" s="24" t="s">
        <v>1896</v>
      </c>
      <c r="D52" s="24" t="s">
        <v>1896</v>
      </c>
      <c r="E52" s="24" t="s">
        <v>1896</v>
      </c>
      <c r="F52" s="29" t="s">
        <v>2683</v>
      </c>
      <c r="G52" s="20" t="s">
        <v>2684</v>
      </c>
      <c r="H52" s="142" t="s">
        <v>2908</v>
      </c>
      <c r="I52" s="142" t="s">
        <v>1113</v>
      </c>
      <c r="J52" s="21" t="s">
        <v>2909</v>
      </c>
      <c r="K52" s="24" t="s">
        <v>1896</v>
      </c>
      <c r="L52" s="24" t="s">
        <v>1896</v>
      </c>
      <c r="M52" s="24" t="s">
        <v>1896</v>
      </c>
      <c r="N52" s="121" t="s">
        <v>102</v>
      </c>
      <c r="O52" s="21" t="s">
        <v>463</v>
      </c>
      <c r="P52" s="24" t="s">
        <v>1896</v>
      </c>
      <c r="Q52" s="23" t="s">
        <v>2887</v>
      </c>
      <c r="R52" s="24" t="s">
        <v>1896</v>
      </c>
      <c r="S52" s="181" t="s">
        <v>3004</v>
      </c>
      <c r="T52" s="24" t="s">
        <v>1896</v>
      </c>
      <c r="U52" s="72" t="s">
        <v>110</v>
      </c>
      <c r="V52" s="72">
        <v>1</v>
      </c>
      <c r="W52" s="24" t="s">
        <v>1896</v>
      </c>
      <c r="X52" s="24" t="s">
        <v>1896</v>
      </c>
      <c r="Y52" s="167">
        <v>0.6</v>
      </c>
      <c r="Z52" s="167">
        <v>0</v>
      </c>
      <c r="AA52" s="179">
        <v>0.6</v>
      </c>
      <c r="AB52" s="24" t="s">
        <v>1896</v>
      </c>
      <c r="AC52" s="24" t="s">
        <v>1896</v>
      </c>
      <c r="AD52" s="24" t="s">
        <v>1896</v>
      </c>
      <c r="AE52" s="40"/>
    </row>
    <row r="53" spans="1:31" s="46" customFormat="1" ht="45.75" customHeight="1" x14ac:dyDescent="0.15">
      <c r="A53" s="40">
        <v>51</v>
      </c>
      <c r="B53" s="125">
        <v>15046</v>
      </c>
      <c r="C53" s="24" t="s">
        <v>1896</v>
      </c>
      <c r="D53" s="24" t="s">
        <v>1896</v>
      </c>
      <c r="E53" s="611" t="s">
        <v>6321</v>
      </c>
      <c r="F53" s="47" t="s">
        <v>2743</v>
      </c>
      <c r="G53" s="20" t="s">
        <v>2744</v>
      </c>
      <c r="H53" s="102" t="s">
        <v>994</v>
      </c>
      <c r="I53" s="1" t="s">
        <v>1463</v>
      </c>
      <c r="J53" s="1" t="s">
        <v>2910</v>
      </c>
      <c r="K53" s="24" t="s">
        <v>1896</v>
      </c>
      <c r="L53" s="24" t="s">
        <v>1896</v>
      </c>
      <c r="M53" s="24" t="s">
        <v>1896</v>
      </c>
      <c r="N53" s="104" t="s">
        <v>102</v>
      </c>
      <c r="O53" s="1" t="s">
        <v>1760</v>
      </c>
      <c r="P53" s="24" t="s">
        <v>1896</v>
      </c>
      <c r="Q53" s="12" t="s">
        <v>2889</v>
      </c>
      <c r="R53" s="24" t="s">
        <v>1896</v>
      </c>
      <c r="S53" s="181" t="s">
        <v>3005</v>
      </c>
      <c r="T53" s="24" t="s">
        <v>1896</v>
      </c>
      <c r="U53" s="10" t="s">
        <v>110</v>
      </c>
      <c r="V53" s="72">
        <v>1</v>
      </c>
      <c r="W53" s="24" t="s">
        <v>1896</v>
      </c>
      <c r="X53" s="24" t="s">
        <v>1896</v>
      </c>
      <c r="Y53" s="167">
        <v>41.8</v>
      </c>
      <c r="Z53" s="167">
        <v>0</v>
      </c>
      <c r="AA53" s="177">
        <v>41.8</v>
      </c>
      <c r="AB53" s="24" t="s">
        <v>1896</v>
      </c>
      <c r="AC53" s="24" t="s">
        <v>1896</v>
      </c>
      <c r="AD53" s="24" t="s">
        <v>1896</v>
      </c>
      <c r="AE53" s="40"/>
    </row>
    <row r="54" spans="1:31" s="46" customFormat="1" ht="27.95" customHeight="1" x14ac:dyDescent="0.15">
      <c r="A54" s="40">
        <v>52</v>
      </c>
      <c r="B54" s="125">
        <v>15047</v>
      </c>
      <c r="C54" s="24" t="s">
        <v>1896</v>
      </c>
      <c r="D54" s="24" t="s">
        <v>1896</v>
      </c>
      <c r="E54" s="24" t="s">
        <v>1896</v>
      </c>
      <c r="F54" s="178" t="s">
        <v>1332</v>
      </c>
      <c r="G54" s="20" t="s">
        <v>2745</v>
      </c>
      <c r="H54" s="142" t="s">
        <v>1419</v>
      </c>
      <c r="I54" s="142" t="s">
        <v>22</v>
      </c>
      <c r="J54" s="1" t="s">
        <v>1679</v>
      </c>
      <c r="K54" s="24" t="s">
        <v>1896</v>
      </c>
      <c r="L54" s="24" t="s">
        <v>1896</v>
      </c>
      <c r="M54" s="24" t="s">
        <v>1896</v>
      </c>
      <c r="N54" s="104" t="s">
        <v>2851</v>
      </c>
      <c r="O54" s="1" t="s">
        <v>2918</v>
      </c>
      <c r="P54" s="24" t="s">
        <v>1896</v>
      </c>
      <c r="Q54" s="12" t="s">
        <v>2891</v>
      </c>
      <c r="R54" s="24" t="s">
        <v>1896</v>
      </c>
      <c r="S54" s="181" t="s">
        <v>3006</v>
      </c>
      <c r="T54" s="24" t="s">
        <v>1896</v>
      </c>
      <c r="U54" s="10" t="s">
        <v>110</v>
      </c>
      <c r="V54" s="72">
        <v>1</v>
      </c>
      <c r="W54" s="24" t="s">
        <v>1896</v>
      </c>
      <c r="X54" s="24" t="s">
        <v>1896</v>
      </c>
      <c r="Y54" s="167">
        <v>19</v>
      </c>
      <c r="Z54" s="167">
        <v>0</v>
      </c>
      <c r="AA54" s="177">
        <v>19</v>
      </c>
      <c r="AB54" s="24" t="s">
        <v>1896</v>
      </c>
      <c r="AC54" s="24" t="s">
        <v>1896</v>
      </c>
      <c r="AD54" s="24" t="s">
        <v>1896</v>
      </c>
      <c r="AE54" s="40"/>
    </row>
    <row r="55" spans="1:31" s="46" customFormat="1" ht="27.95" customHeight="1" x14ac:dyDescent="0.15">
      <c r="A55" s="40">
        <v>53</v>
      </c>
      <c r="B55" s="125">
        <v>15048</v>
      </c>
      <c r="C55" s="24" t="s">
        <v>1896</v>
      </c>
      <c r="D55" s="24" t="s">
        <v>1896</v>
      </c>
      <c r="E55" s="24" t="s">
        <v>1896</v>
      </c>
      <c r="F55" s="183" t="s">
        <v>2679</v>
      </c>
      <c r="G55" s="20" t="s">
        <v>2746</v>
      </c>
      <c r="H55" s="142" t="s">
        <v>1419</v>
      </c>
      <c r="I55" s="102" t="s">
        <v>22</v>
      </c>
      <c r="J55" s="1" t="s">
        <v>1678</v>
      </c>
      <c r="K55" s="24" t="s">
        <v>1896</v>
      </c>
      <c r="L55" s="24" t="s">
        <v>1896</v>
      </c>
      <c r="M55" s="24" t="s">
        <v>1896</v>
      </c>
      <c r="N55" s="104" t="s">
        <v>102</v>
      </c>
      <c r="O55" s="21" t="s">
        <v>463</v>
      </c>
      <c r="P55" s="24" t="s">
        <v>1896</v>
      </c>
      <c r="Q55" s="12" t="s">
        <v>2891</v>
      </c>
      <c r="R55" s="24" t="s">
        <v>1896</v>
      </c>
      <c r="S55" s="181" t="s">
        <v>3007</v>
      </c>
      <c r="T55" s="24" t="s">
        <v>1896</v>
      </c>
      <c r="U55" s="10" t="s">
        <v>110</v>
      </c>
      <c r="V55" s="72">
        <v>1</v>
      </c>
      <c r="W55" s="24" t="s">
        <v>1896</v>
      </c>
      <c r="X55" s="24" t="s">
        <v>1896</v>
      </c>
      <c r="Y55" s="167">
        <v>3.8</v>
      </c>
      <c r="Z55" s="167">
        <v>0</v>
      </c>
      <c r="AA55" s="177">
        <v>3.8</v>
      </c>
      <c r="AB55" s="24" t="s">
        <v>1896</v>
      </c>
      <c r="AC55" s="24" t="s">
        <v>1896</v>
      </c>
      <c r="AD55" s="24" t="s">
        <v>1896</v>
      </c>
      <c r="AE55" s="40"/>
    </row>
    <row r="56" spans="1:31" s="46" customFormat="1" ht="27.95" customHeight="1" x14ac:dyDescent="0.15">
      <c r="A56" s="40">
        <v>54</v>
      </c>
      <c r="B56" s="125">
        <v>15049</v>
      </c>
      <c r="C56" s="24" t="s">
        <v>1896</v>
      </c>
      <c r="D56" s="24" t="s">
        <v>1896</v>
      </c>
      <c r="E56" s="24" t="s">
        <v>1896</v>
      </c>
      <c r="F56" s="29" t="s">
        <v>2679</v>
      </c>
      <c r="G56" s="20" t="s">
        <v>2680</v>
      </c>
      <c r="H56" s="142" t="s">
        <v>1419</v>
      </c>
      <c r="I56" s="102" t="s">
        <v>22</v>
      </c>
      <c r="J56" s="1" t="s">
        <v>1678</v>
      </c>
      <c r="K56" s="24" t="s">
        <v>1896</v>
      </c>
      <c r="L56" s="24" t="s">
        <v>1896</v>
      </c>
      <c r="M56" s="24" t="s">
        <v>1896</v>
      </c>
      <c r="N56" s="21" t="s">
        <v>102</v>
      </c>
      <c r="O56" s="21" t="s">
        <v>851</v>
      </c>
      <c r="P56" s="24" t="s">
        <v>1896</v>
      </c>
      <c r="Q56" s="12" t="s">
        <v>2891</v>
      </c>
      <c r="R56" s="24" t="s">
        <v>1896</v>
      </c>
      <c r="S56" s="181" t="s">
        <v>3008</v>
      </c>
      <c r="T56" s="24" t="s">
        <v>1896</v>
      </c>
      <c r="U56" s="10" t="s">
        <v>110</v>
      </c>
      <c r="V56" s="72">
        <v>1</v>
      </c>
      <c r="W56" s="24" t="s">
        <v>1896</v>
      </c>
      <c r="X56" s="24" t="s">
        <v>1896</v>
      </c>
      <c r="Y56" s="167">
        <v>0</v>
      </c>
      <c r="Z56" s="167">
        <v>17.5</v>
      </c>
      <c r="AA56" s="177">
        <v>17.5</v>
      </c>
      <c r="AB56" s="24" t="s">
        <v>1896</v>
      </c>
      <c r="AC56" s="24" t="s">
        <v>1896</v>
      </c>
      <c r="AD56" s="24" t="s">
        <v>1896</v>
      </c>
      <c r="AE56" s="40"/>
    </row>
    <row r="57" spans="1:31" s="46" customFormat="1" ht="27.95" customHeight="1" x14ac:dyDescent="0.15">
      <c r="A57" s="40">
        <v>55</v>
      </c>
      <c r="B57" s="125">
        <v>15050</v>
      </c>
      <c r="C57" s="24" t="s">
        <v>1896</v>
      </c>
      <c r="D57" s="24" t="s">
        <v>1896</v>
      </c>
      <c r="E57" s="24" t="s">
        <v>1896</v>
      </c>
      <c r="F57" s="29" t="s">
        <v>2747</v>
      </c>
      <c r="G57" s="20" t="s">
        <v>1998</v>
      </c>
      <c r="H57" s="142" t="s">
        <v>1487</v>
      </c>
      <c r="I57" s="142" t="s">
        <v>993</v>
      </c>
      <c r="J57" s="21" t="s">
        <v>1724</v>
      </c>
      <c r="K57" s="24" t="s">
        <v>1896</v>
      </c>
      <c r="L57" s="24" t="s">
        <v>1896</v>
      </c>
      <c r="M57" s="24" t="s">
        <v>1896</v>
      </c>
      <c r="N57" s="21" t="s">
        <v>102</v>
      </c>
      <c r="O57" s="21" t="s">
        <v>851</v>
      </c>
      <c r="P57" s="24" t="s">
        <v>1896</v>
      </c>
      <c r="Q57" s="12" t="s">
        <v>2890</v>
      </c>
      <c r="R57" s="24" t="s">
        <v>1896</v>
      </c>
      <c r="S57" s="181" t="s">
        <v>3009</v>
      </c>
      <c r="T57" s="24" t="s">
        <v>1896</v>
      </c>
      <c r="U57" s="10" t="s">
        <v>110</v>
      </c>
      <c r="V57" s="72">
        <v>1</v>
      </c>
      <c r="W57" s="24" t="s">
        <v>1896</v>
      </c>
      <c r="X57" s="24" t="s">
        <v>1896</v>
      </c>
      <c r="Y57" s="167">
        <v>0</v>
      </c>
      <c r="Z57" s="167">
        <v>10</v>
      </c>
      <c r="AA57" s="177">
        <v>10</v>
      </c>
      <c r="AB57" s="24" t="s">
        <v>1896</v>
      </c>
      <c r="AC57" s="24" t="s">
        <v>1896</v>
      </c>
      <c r="AD57" s="24" t="s">
        <v>1896</v>
      </c>
      <c r="AE57" s="40"/>
    </row>
    <row r="58" spans="1:31" s="46" customFormat="1" ht="27.95" customHeight="1" x14ac:dyDescent="0.15">
      <c r="A58" s="40">
        <v>56</v>
      </c>
      <c r="B58" s="125">
        <v>15051</v>
      </c>
      <c r="C58" s="24" t="s">
        <v>1896</v>
      </c>
      <c r="D58" s="24" t="s">
        <v>1896</v>
      </c>
      <c r="E58" s="24" t="s">
        <v>1896</v>
      </c>
      <c r="F58" s="29" t="s">
        <v>2675</v>
      </c>
      <c r="G58" s="20" t="s">
        <v>1999</v>
      </c>
      <c r="H58" s="20" t="s">
        <v>1487</v>
      </c>
      <c r="I58" s="20" t="s">
        <v>993</v>
      </c>
      <c r="J58" s="21" t="s">
        <v>892</v>
      </c>
      <c r="K58" s="24" t="s">
        <v>1896</v>
      </c>
      <c r="L58" s="24" t="s">
        <v>1896</v>
      </c>
      <c r="M58" s="24" t="s">
        <v>1896</v>
      </c>
      <c r="N58" s="21" t="s">
        <v>102</v>
      </c>
      <c r="O58" s="21" t="s">
        <v>851</v>
      </c>
      <c r="P58" s="24" t="s">
        <v>1896</v>
      </c>
      <c r="Q58" s="12" t="s">
        <v>2890</v>
      </c>
      <c r="R58" s="24" t="s">
        <v>1896</v>
      </c>
      <c r="S58" s="181" t="s">
        <v>3009</v>
      </c>
      <c r="T58" s="24" t="s">
        <v>1896</v>
      </c>
      <c r="U58" s="10" t="s">
        <v>110</v>
      </c>
      <c r="V58" s="72">
        <v>1</v>
      </c>
      <c r="W58" s="24" t="s">
        <v>1896</v>
      </c>
      <c r="X58" s="24" t="s">
        <v>1896</v>
      </c>
      <c r="Y58" s="167">
        <v>0</v>
      </c>
      <c r="Z58" s="167">
        <v>10</v>
      </c>
      <c r="AA58" s="177">
        <v>10</v>
      </c>
      <c r="AB58" s="24" t="s">
        <v>1896</v>
      </c>
      <c r="AC58" s="24" t="s">
        <v>1896</v>
      </c>
      <c r="AD58" s="24" t="s">
        <v>1896</v>
      </c>
      <c r="AE58" s="40"/>
    </row>
    <row r="59" spans="1:31" s="11" customFormat="1" ht="27.95" customHeight="1" x14ac:dyDescent="0.15">
      <c r="A59" s="40">
        <v>57</v>
      </c>
      <c r="B59" s="125">
        <v>15052</v>
      </c>
      <c r="C59" s="24" t="s">
        <v>1896</v>
      </c>
      <c r="D59" s="24" t="s">
        <v>1896</v>
      </c>
      <c r="E59" s="24" t="s">
        <v>1896</v>
      </c>
      <c r="F59" s="29" t="s">
        <v>2748</v>
      </c>
      <c r="G59" s="20" t="s">
        <v>2749</v>
      </c>
      <c r="H59" s="142" t="s">
        <v>1487</v>
      </c>
      <c r="I59" s="142" t="s">
        <v>22</v>
      </c>
      <c r="J59" s="21" t="s">
        <v>1914</v>
      </c>
      <c r="K59" s="24" t="s">
        <v>1896</v>
      </c>
      <c r="L59" s="24" t="s">
        <v>1896</v>
      </c>
      <c r="M59" s="24" t="s">
        <v>1896</v>
      </c>
      <c r="N59" s="21" t="s">
        <v>102</v>
      </c>
      <c r="O59" s="21" t="s">
        <v>851</v>
      </c>
      <c r="P59" s="24" t="s">
        <v>1896</v>
      </c>
      <c r="Q59" s="12" t="s">
        <v>2891</v>
      </c>
      <c r="R59" s="24" t="s">
        <v>1896</v>
      </c>
      <c r="S59" s="181" t="s">
        <v>3010</v>
      </c>
      <c r="T59" s="24" t="s">
        <v>1896</v>
      </c>
      <c r="U59" s="72" t="s">
        <v>110</v>
      </c>
      <c r="V59" s="72">
        <v>2</v>
      </c>
      <c r="W59" s="24" t="s">
        <v>1896</v>
      </c>
      <c r="X59" s="24" t="s">
        <v>1896</v>
      </c>
      <c r="Y59" s="167">
        <v>0</v>
      </c>
      <c r="Z59" s="167">
        <v>14.5</v>
      </c>
      <c r="AA59" s="177">
        <v>14.5</v>
      </c>
      <c r="AB59" s="24" t="s">
        <v>1896</v>
      </c>
      <c r="AC59" s="24" t="s">
        <v>1896</v>
      </c>
      <c r="AD59" s="24" t="s">
        <v>1896</v>
      </c>
      <c r="AE59" s="9"/>
    </row>
    <row r="60" spans="1:31" s="46" customFormat="1" ht="27.95" customHeight="1" x14ac:dyDescent="0.15">
      <c r="A60" s="40">
        <v>58</v>
      </c>
      <c r="B60" s="125">
        <v>15053</v>
      </c>
      <c r="C60" s="24" t="s">
        <v>1896</v>
      </c>
      <c r="D60" s="24" t="s">
        <v>1896</v>
      </c>
      <c r="E60" s="24" t="s">
        <v>1896</v>
      </c>
      <c r="F60" s="29" t="s">
        <v>2644</v>
      </c>
      <c r="G60" s="20" t="s">
        <v>2750</v>
      </c>
      <c r="H60" s="102" t="s">
        <v>94</v>
      </c>
      <c r="I60" s="142" t="s">
        <v>22</v>
      </c>
      <c r="J60" s="1" t="s">
        <v>1677</v>
      </c>
      <c r="K60" s="24" t="s">
        <v>1896</v>
      </c>
      <c r="L60" s="24" t="s">
        <v>1896</v>
      </c>
      <c r="M60" s="24" t="s">
        <v>1896</v>
      </c>
      <c r="N60" s="1" t="s">
        <v>45</v>
      </c>
      <c r="O60" s="1" t="s">
        <v>2440</v>
      </c>
      <c r="P60" s="24" t="s">
        <v>1896</v>
      </c>
      <c r="Q60" s="12" t="s">
        <v>2891</v>
      </c>
      <c r="R60" s="24" t="s">
        <v>1896</v>
      </c>
      <c r="S60" s="181" t="s">
        <v>3011</v>
      </c>
      <c r="T60" s="24" t="s">
        <v>1896</v>
      </c>
      <c r="U60" s="10" t="s">
        <v>108</v>
      </c>
      <c r="V60" s="72">
        <v>1</v>
      </c>
      <c r="W60" s="24" t="s">
        <v>1896</v>
      </c>
      <c r="X60" s="24" t="s">
        <v>1896</v>
      </c>
      <c r="Y60" s="167">
        <v>30</v>
      </c>
      <c r="Z60" s="167">
        <v>0</v>
      </c>
      <c r="AA60" s="177">
        <v>30</v>
      </c>
      <c r="AB60" s="24" t="s">
        <v>1896</v>
      </c>
      <c r="AC60" s="24" t="s">
        <v>1896</v>
      </c>
      <c r="AD60" s="24" t="s">
        <v>1896</v>
      </c>
      <c r="AE60" s="40"/>
    </row>
    <row r="61" spans="1:31" s="46" customFormat="1" ht="27.95" customHeight="1" x14ac:dyDescent="0.15">
      <c r="A61" s="40">
        <v>59</v>
      </c>
      <c r="B61" s="125">
        <v>15054</v>
      </c>
      <c r="C61" s="24" t="s">
        <v>1896</v>
      </c>
      <c r="D61" s="24" t="s">
        <v>1896</v>
      </c>
      <c r="E61" s="24" t="s">
        <v>1896</v>
      </c>
      <c r="F61" s="29" t="s">
        <v>2751</v>
      </c>
      <c r="G61" s="20"/>
      <c r="H61" s="20" t="s">
        <v>1419</v>
      </c>
      <c r="I61" s="21" t="s">
        <v>1463</v>
      </c>
      <c r="J61" s="1" t="s">
        <v>1951</v>
      </c>
      <c r="K61" s="24" t="s">
        <v>1896</v>
      </c>
      <c r="L61" s="24" t="s">
        <v>1896</v>
      </c>
      <c r="M61" s="24" t="s">
        <v>1896</v>
      </c>
      <c r="N61" s="104" t="s">
        <v>102</v>
      </c>
      <c r="O61" s="21" t="s">
        <v>463</v>
      </c>
      <c r="P61" s="24" t="s">
        <v>1896</v>
      </c>
      <c r="Q61" s="12" t="s">
        <v>2891</v>
      </c>
      <c r="R61" s="24" t="s">
        <v>1896</v>
      </c>
      <c r="S61" s="24" t="s">
        <v>1896</v>
      </c>
      <c r="T61" s="24" t="s">
        <v>1896</v>
      </c>
      <c r="U61" s="129" t="s">
        <v>3417</v>
      </c>
      <c r="V61" s="129">
        <v>0</v>
      </c>
      <c r="W61" s="24" t="s">
        <v>1896</v>
      </c>
      <c r="X61" s="24" t="s">
        <v>1896</v>
      </c>
      <c r="Y61" s="167">
        <v>8.9700000000000006</v>
      </c>
      <c r="Z61" s="167">
        <v>0</v>
      </c>
      <c r="AA61" s="177">
        <v>8.9700000000000006</v>
      </c>
      <c r="AB61" s="24" t="s">
        <v>1896</v>
      </c>
      <c r="AC61" s="24" t="s">
        <v>1896</v>
      </c>
      <c r="AD61" s="24" t="s">
        <v>1896</v>
      </c>
      <c r="AE61" s="40"/>
    </row>
    <row r="62" spans="1:31" s="46" customFormat="1" ht="27.95" customHeight="1" x14ac:dyDescent="0.15">
      <c r="A62" s="40">
        <v>60</v>
      </c>
      <c r="B62" s="125">
        <v>15055</v>
      </c>
      <c r="C62" s="24" t="s">
        <v>1896</v>
      </c>
      <c r="D62" s="24" t="s">
        <v>1896</v>
      </c>
      <c r="E62" s="24" t="s">
        <v>1896</v>
      </c>
      <c r="F62" s="29" t="s">
        <v>2752</v>
      </c>
      <c r="G62" s="20" t="s">
        <v>2753</v>
      </c>
      <c r="H62" s="102" t="s">
        <v>994</v>
      </c>
      <c r="I62" s="142" t="s">
        <v>2911</v>
      </c>
      <c r="J62" s="1" t="s">
        <v>2912</v>
      </c>
      <c r="K62" s="24" t="s">
        <v>1896</v>
      </c>
      <c r="L62" s="24" t="s">
        <v>1896</v>
      </c>
      <c r="M62" s="24" t="s">
        <v>1896</v>
      </c>
      <c r="N62" s="104" t="s">
        <v>102</v>
      </c>
      <c r="O62" s="1" t="s">
        <v>1760</v>
      </c>
      <c r="P62" s="24" t="s">
        <v>1896</v>
      </c>
      <c r="Q62" s="12" t="s">
        <v>2887</v>
      </c>
      <c r="R62" s="24" t="s">
        <v>1896</v>
      </c>
      <c r="S62" s="181" t="s">
        <v>3005</v>
      </c>
      <c r="T62" s="24" t="s">
        <v>1896</v>
      </c>
      <c r="U62" s="72" t="s">
        <v>110</v>
      </c>
      <c r="V62" s="72">
        <v>2</v>
      </c>
      <c r="W62" s="24" t="s">
        <v>1896</v>
      </c>
      <c r="X62" s="24" t="s">
        <v>1896</v>
      </c>
      <c r="Y62" s="167">
        <v>29</v>
      </c>
      <c r="Z62" s="167">
        <v>0</v>
      </c>
      <c r="AA62" s="177">
        <v>29</v>
      </c>
      <c r="AB62" s="24" t="s">
        <v>1896</v>
      </c>
      <c r="AC62" s="24" t="s">
        <v>1896</v>
      </c>
      <c r="AD62" s="24" t="s">
        <v>1896</v>
      </c>
      <c r="AE62" s="40"/>
    </row>
    <row r="63" spans="1:31" s="46" customFormat="1" ht="27.95" customHeight="1" x14ac:dyDescent="0.15">
      <c r="A63" s="40">
        <v>61</v>
      </c>
      <c r="B63" s="24">
        <v>15056</v>
      </c>
      <c r="C63" s="24" t="s">
        <v>1896</v>
      </c>
      <c r="D63" s="24" t="s">
        <v>1896</v>
      </c>
      <c r="E63" s="24" t="s">
        <v>1896</v>
      </c>
      <c r="F63" s="29" t="s">
        <v>2635</v>
      </c>
      <c r="G63" s="20" t="s">
        <v>2613</v>
      </c>
      <c r="H63" s="20" t="s">
        <v>1419</v>
      </c>
      <c r="I63" s="142" t="s">
        <v>993</v>
      </c>
      <c r="J63" s="21" t="s">
        <v>1672</v>
      </c>
      <c r="K63" s="24" t="s">
        <v>1896</v>
      </c>
      <c r="L63" s="24" t="s">
        <v>1896</v>
      </c>
      <c r="M63" s="24" t="s">
        <v>1896</v>
      </c>
      <c r="N63" s="21" t="s">
        <v>102</v>
      </c>
      <c r="O63" s="21" t="s">
        <v>851</v>
      </c>
      <c r="P63" s="24" t="s">
        <v>1896</v>
      </c>
      <c r="Q63" s="12" t="s">
        <v>2891</v>
      </c>
      <c r="R63" s="24" t="s">
        <v>1896</v>
      </c>
      <c r="S63" s="182" t="s">
        <v>3012</v>
      </c>
      <c r="T63" s="24" t="s">
        <v>1896</v>
      </c>
      <c r="U63" s="72" t="s">
        <v>110</v>
      </c>
      <c r="V63" s="72">
        <v>2</v>
      </c>
      <c r="W63" s="24" t="s">
        <v>1896</v>
      </c>
      <c r="X63" s="24" t="s">
        <v>1896</v>
      </c>
      <c r="Y63" s="167">
        <v>0</v>
      </c>
      <c r="Z63" s="167">
        <v>17</v>
      </c>
      <c r="AA63" s="179">
        <v>17</v>
      </c>
      <c r="AB63" s="24" t="s">
        <v>1896</v>
      </c>
      <c r="AC63" s="24" t="s">
        <v>1896</v>
      </c>
      <c r="AD63" s="24" t="s">
        <v>1896</v>
      </c>
      <c r="AE63" s="40"/>
    </row>
    <row r="64" spans="1:31" s="46" customFormat="1" ht="27.95" customHeight="1" x14ac:dyDescent="0.15">
      <c r="A64" s="40">
        <v>62</v>
      </c>
      <c r="B64" s="125">
        <v>15057</v>
      </c>
      <c r="C64" s="24" t="s">
        <v>1896</v>
      </c>
      <c r="D64" s="24" t="s">
        <v>1896</v>
      </c>
      <c r="E64" s="24" t="s">
        <v>1896</v>
      </c>
      <c r="F64" s="29" t="s">
        <v>2754</v>
      </c>
      <c r="G64" s="20" t="s">
        <v>2755</v>
      </c>
      <c r="H64" s="1" t="s">
        <v>1737</v>
      </c>
      <c r="I64" s="1" t="s">
        <v>1113</v>
      </c>
      <c r="J64" s="1" t="s">
        <v>1723</v>
      </c>
      <c r="K64" s="24" t="s">
        <v>1896</v>
      </c>
      <c r="L64" s="24" t="s">
        <v>1896</v>
      </c>
      <c r="M64" s="24" t="s">
        <v>1896</v>
      </c>
      <c r="N64" s="104" t="s">
        <v>102</v>
      </c>
      <c r="O64" s="1" t="s">
        <v>851</v>
      </c>
      <c r="P64" s="24" t="s">
        <v>1896</v>
      </c>
      <c r="Q64" s="12" t="s">
        <v>2892</v>
      </c>
      <c r="R64" s="24" t="s">
        <v>1896</v>
      </c>
      <c r="S64" s="181" t="s">
        <v>3013</v>
      </c>
      <c r="T64" s="24" t="s">
        <v>1896</v>
      </c>
      <c r="U64" s="72" t="s">
        <v>110</v>
      </c>
      <c r="V64" s="72">
        <v>1</v>
      </c>
      <c r="W64" s="24" t="s">
        <v>1896</v>
      </c>
      <c r="X64" s="24" t="s">
        <v>1896</v>
      </c>
      <c r="Y64" s="167">
        <v>10.5</v>
      </c>
      <c r="Z64" s="167">
        <v>8</v>
      </c>
      <c r="AA64" s="177">
        <v>18.5</v>
      </c>
      <c r="AB64" s="24" t="s">
        <v>1896</v>
      </c>
      <c r="AC64" s="24" t="s">
        <v>1896</v>
      </c>
      <c r="AD64" s="24" t="s">
        <v>1896</v>
      </c>
      <c r="AE64" s="40"/>
    </row>
    <row r="65" spans="1:31" s="46" customFormat="1" ht="27.95" customHeight="1" x14ac:dyDescent="0.15">
      <c r="A65" s="40">
        <v>63</v>
      </c>
      <c r="B65" s="125">
        <v>15058</v>
      </c>
      <c r="C65" s="24" t="s">
        <v>1896</v>
      </c>
      <c r="D65" s="24" t="s">
        <v>1896</v>
      </c>
      <c r="E65" s="24" t="s">
        <v>1896</v>
      </c>
      <c r="F65" s="29" t="s">
        <v>2659</v>
      </c>
      <c r="G65" s="20" t="s">
        <v>2756</v>
      </c>
      <c r="H65" s="142" t="s">
        <v>94</v>
      </c>
      <c r="I65" s="142" t="s">
        <v>112</v>
      </c>
      <c r="J65" s="21" t="s">
        <v>1601</v>
      </c>
      <c r="K65" s="24" t="s">
        <v>1896</v>
      </c>
      <c r="L65" s="24" t="s">
        <v>1896</v>
      </c>
      <c r="M65" s="24" t="s">
        <v>1896</v>
      </c>
      <c r="N65" s="21" t="s">
        <v>2886</v>
      </c>
      <c r="O65" s="21" t="s">
        <v>2886</v>
      </c>
      <c r="P65" s="24" t="s">
        <v>1896</v>
      </c>
      <c r="Q65" s="23" t="s">
        <v>2888</v>
      </c>
      <c r="R65" s="24" t="s">
        <v>1896</v>
      </c>
      <c r="S65" s="181" t="s">
        <v>3014</v>
      </c>
      <c r="T65" s="24" t="s">
        <v>1896</v>
      </c>
      <c r="U65" s="72" t="s">
        <v>108</v>
      </c>
      <c r="V65" s="72">
        <v>1</v>
      </c>
      <c r="W65" s="24" t="s">
        <v>1896</v>
      </c>
      <c r="X65" s="24" t="s">
        <v>1896</v>
      </c>
      <c r="Y65" s="167">
        <v>16</v>
      </c>
      <c r="Z65" s="167">
        <v>0</v>
      </c>
      <c r="AA65" s="179">
        <v>16</v>
      </c>
      <c r="AB65" s="24" t="s">
        <v>1896</v>
      </c>
      <c r="AC65" s="24" t="s">
        <v>1896</v>
      </c>
      <c r="AD65" s="24" t="s">
        <v>1896</v>
      </c>
      <c r="AE65" s="40"/>
    </row>
    <row r="66" spans="1:31" s="46" customFormat="1" ht="27.95" customHeight="1" x14ac:dyDescent="0.15">
      <c r="A66" s="40">
        <v>64</v>
      </c>
      <c r="B66" s="125">
        <v>15059</v>
      </c>
      <c r="C66" s="24" t="s">
        <v>1896</v>
      </c>
      <c r="D66" s="24" t="s">
        <v>1896</v>
      </c>
      <c r="E66" s="24" t="s">
        <v>1896</v>
      </c>
      <c r="F66" s="29" t="s">
        <v>2757</v>
      </c>
      <c r="G66" s="21" t="s">
        <v>2758</v>
      </c>
      <c r="H66" s="102" t="s">
        <v>1912</v>
      </c>
      <c r="I66" s="142" t="s">
        <v>1540</v>
      </c>
      <c r="J66" s="1" t="s">
        <v>1642</v>
      </c>
      <c r="K66" s="24" t="s">
        <v>1896</v>
      </c>
      <c r="L66" s="24" t="s">
        <v>1896</v>
      </c>
      <c r="M66" s="24" t="s">
        <v>1896</v>
      </c>
      <c r="N66" s="21" t="s">
        <v>102</v>
      </c>
      <c r="O66" s="21" t="s">
        <v>851</v>
      </c>
      <c r="P66" s="24" t="s">
        <v>1896</v>
      </c>
      <c r="Q66" s="12" t="s">
        <v>2864</v>
      </c>
      <c r="R66" s="24" t="s">
        <v>1896</v>
      </c>
      <c r="S66" s="181" t="s">
        <v>3015</v>
      </c>
      <c r="T66" s="24" t="s">
        <v>1896</v>
      </c>
      <c r="U66" s="72" t="s">
        <v>110</v>
      </c>
      <c r="V66" s="72">
        <v>1</v>
      </c>
      <c r="W66" s="24" t="s">
        <v>1896</v>
      </c>
      <c r="X66" s="24" t="s">
        <v>1896</v>
      </c>
      <c r="Y66" s="167">
        <v>0</v>
      </c>
      <c r="Z66" s="167">
        <v>9.99</v>
      </c>
      <c r="AA66" s="177">
        <v>9.99</v>
      </c>
      <c r="AB66" s="24" t="s">
        <v>1896</v>
      </c>
      <c r="AC66" s="24" t="s">
        <v>1896</v>
      </c>
      <c r="AD66" s="24" t="s">
        <v>1896</v>
      </c>
      <c r="AE66" s="40"/>
    </row>
    <row r="67" spans="1:31" s="46" customFormat="1" ht="27.95" customHeight="1" x14ac:dyDescent="0.15">
      <c r="A67" s="40">
        <v>65</v>
      </c>
      <c r="B67" s="125">
        <v>15060</v>
      </c>
      <c r="C67" s="24" t="s">
        <v>1896</v>
      </c>
      <c r="D67" s="24" t="s">
        <v>1896</v>
      </c>
      <c r="E67" s="24" t="s">
        <v>1896</v>
      </c>
      <c r="F67" s="29" t="s">
        <v>2759</v>
      </c>
      <c r="G67" s="20" t="s">
        <v>2610</v>
      </c>
      <c r="H67" s="20" t="s">
        <v>94</v>
      </c>
      <c r="I67" s="20" t="s">
        <v>1895</v>
      </c>
      <c r="J67" s="21" t="s">
        <v>1712</v>
      </c>
      <c r="K67" s="24" t="s">
        <v>1896</v>
      </c>
      <c r="L67" s="24" t="s">
        <v>1896</v>
      </c>
      <c r="M67" s="24" t="s">
        <v>1896</v>
      </c>
      <c r="N67" s="21" t="s">
        <v>102</v>
      </c>
      <c r="O67" s="21" t="s">
        <v>1741</v>
      </c>
      <c r="P67" s="24" t="s">
        <v>1896</v>
      </c>
      <c r="Q67" s="12" t="s">
        <v>2888</v>
      </c>
      <c r="R67" s="24" t="s">
        <v>1896</v>
      </c>
      <c r="S67" s="181" t="s">
        <v>3014</v>
      </c>
      <c r="T67" s="24" t="s">
        <v>1896</v>
      </c>
      <c r="U67" s="72" t="s">
        <v>108</v>
      </c>
      <c r="V67" s="72">
        <v>1</v>
      </c>
      <c r="W67" s="24" t="s">
        <v>1896</v>
      </c>
      <c r="X67" s="24" t="s">
        <v>1896</v>
      </c>
      <c r="Y67" s="167">
        <v>0</v>
      </c>
      <c r="Z67" s="167">
        <v>15</v>
      </c>
      <c r="AA67" s="177">
        <v>15</v>
      </c>
      <c r="AB67" s="24" t="s">
        <v>1896</v>
      </c>
      <c r="AC67" s="24" t="s">
        <v>1896</v>
      </c>
      <c r="AD67" s="24" t="s">
        <v>1896</v>
      </c>
      <c r="AE67" s="40"/>
    </row>
    <row r="68" spans="1:31" s="46" customFormat="1" ht="27.95" customHeight="1" x14ac:dyDescent="0.15">
      <c r="A68" s="40">
        <v>66</v>
      </c>
      <c r="B68" s="125">
        <v>15061</v>
      </c>
      <c r="C68" s="24" t="s">
        <v>1896</v>
      </c>
      <c r="D68" s="24" t="s">
        <v>1896</v>
      </c>
      <c r="E68" s="24" t="s">
        <v>1896</v>
      </c>
      <c r="F68" s="29" t="s">
        <v>2760</v>
      </c>
      <c r="G68" s="20" t="s">
        <v>2761</v>
      </c>
      <c r="H68" s="20" t="s">
        <v>94</v>
      </c>
      <c r="I68" s="20" t="s">
        <v>1895</v>
      </c>
      <c r="J68" s="21" t="s">
        <v>1714</v>
      </c>
      <c r="K68" s="24" t="s">
        <v>1896</v>
      </c>
      <c r="L68" s="24" t="s">
        <v>1896</v>
      </c>
      <c r="M68" s="24" t="s">
        <v>1896</v>
      </c>
      <c r="N68" s="21" t="s">
        <v>102</v>
      </c>
      <c r="O68" s="21" t="s">
        <v>1741</v>
      </c>
      <c r="P68" s="24" t="s">
        <v>1896</v>
      </c>
      <c r="Q68" s="12" t="s">
        <v>2888</v>
      </c>
      <c r="R68" s="24" t="s">
        <v>1896</v>
      </c>
      <c r="S68" s="181" t="s">
        <v>3014</v>
      </c>
      <c r="T68" s="24" t="s">
        <v>1896</v>
      </c>
      <c r="U68" s="72" t="s">
        <v>108</v>
      </c>
      <c r="V68" s="72">
        <v>1</v>
      </c>
      <c r="W68" s="24" t="s">
        <v>1896</v>
      </c>
      <c r="X68" s="24" t="s">
        <v>1896</v>
      </c>
      <c r="Y68" s="167">
        <v>0</v>
      </c>
      <c r="Z68" s="167">
        <v>15</v>
      </c>
      <c r="AA68" s="177">
        <v>15</v>
      </c>
      <c r="AB68" s="24" t="s">
        <v>1896</v>
      </c>
      <c r="AC68" s="24" t="s">
        <v>1896</v>
      </c>
      <c r="AD68" s="24" t="s">
        <v>1896</v>
      </c>
      <c r="AE68" s="40"/>
    </row>
    <row r="69" spans="1:31" s="46" customFormat="1" ht="27.95" customHeight="1" x14ac:dyDescent="0.15">
      <c r="A69" s="40">
        <v>67</v>
      </c>
      <c r="B69" s="125">
        <v>15062</v>
      </c>
      <c r="C69" s="24" t="s">
        <v>1896</v>
      </c>
      <c r="D69" s="24" t="s">
        <v>1896</v>
      </c>
      <c r="E69" s="24" t="s">
        <v>1896</v>
      </c>
      <c r="F69" s="29" t="s">
        <v>2757</v>
      </c>
      <c r="G69" s="20" t="s">
        <v>2762</v>
      </c>
      <c r="H69" s="20" t="s">
        <v>1912</v>
      </c>
      <c r="I69" s="20" t="s">
        <v>1540</v>
      </c>
      <c r="J69" s="21" t="s">
        <v>1642</v>
      </c>
      <c r="K69" s="24" t="s">
        <v>1896</v>
      </c>
      <c r="L69" s="24" t="s">
        <v>1896</v>
      </c>
      <c r="M69" s="24" t="s">
        <v>1896</v>
      </c>
      <c r="N69" s="104" t="s">
        <v>102</v>
      </c>
      <c r="O69" s="120" t="s">
        <v>461</v>
      </c>
      <c r="P69" s="24" t="s">
        <v>1896</v>
      </c>
      <c r="Q69" s="12" t="s">
        <v>2864</v>
      </c>
      <c r="R69" s="24" t="s">
        <v>1896</v>
      </c>
      <c r="S69" s="181" t="s">
        <v>3016</v>
      </c>
      <c r="T69" s="24" t="s">
        <v>1896</v>
      </c>
      <c r="U69" s="72" t="s">
        <v>108</v>
      </c>
      <c r="V69" s="72">
        <v>1</v>
      </c>
      <c r="W69" s="24" t="s">
        <v>1896</v>
      </c>
      <c r="X69" s="24" t="s">
        <v>1896</v>
      </c>
      <c r="Y69" s="167">
        <v>19.899999999999999</v>
      </c>
      <c r="Z69" s="167">
        <v>0</v>
      </c>
      <c r="AA69" s="177">
        <v>19.899999999999999</v>
      </c>
      <c r="AB69" s="24" t="s">
        <v>1896</v>
      </c>
      <c r="AC69" s="24" t="s">
        <v>1896</v>
      </c>
      <c r="AD69" s="24" t="s">
        <v>1896</v>
      </c>
      <c r="AE69" s="40"/>
    </row>
    <row r="70" spans="1:31" s="46" customFormat="1" ht="57" customHeight="1" x14ac:dyDescent="0.15">
      <c r="A70" s="40">
        <v>68</v>
      </c>
      <c r="B70" s="125">
        <v>15063</v>
      </c>
      <c r="C70" s="24" t="s">
        <v>1896</v>
      </c>
      <c r="D70" s="24" t="s">
        <v>1896</v>
      </c>
      <c r="E70" s="24" t="s">
        <v>1896</v>
      </c>
      <c r="F70" s="29" t="s">
        <v>2763</v>
      </c>
      <c r="G70" s="20" t="s">
        <v>2764</v>
      </c>
      <c r="H70" s="142" t="s">
        <v>1737</v>
      </c>
      <c r="I70" s="142" t="s">
        <v>1113</v>
      </c>
      <c r="J70" s="21" t="s">
        <v>2913</v>
      </c>
      <c r="K70" s="24" t="s">
        <v>1896</v>
      </c>
      <c r="L70" s="24" t="s">
        <v>1896</v>
      </c>
      <c r="M70" s="24" t="s">
        <v>1896</v>
      </c>
      <c r="N70" s="104" t="s">
        <v>102</v>
      </c>
      <c r="O70" s="1" t="s">
        <v>1760</v>
      </c>
      <c r="P70" s="24" t="s">
        <v>1896</v>
      </c>
      <c r="Q70" s="12" t="s">
        <v>2892</v>
      </c>
      <c r="R70" s="24" t="s">
        <v>1896</v>
      </c>
      <c r="S70" s="181" t="s">
        <v>3017</v>
      </c>
      <c r="T70" s="24" t="s">
        <v>1896</v>
      </c>
      <c r="U70" s="72" t="s">
        <v>110</v>
      </c>
      <c r="V70" s="72">
        <v>1</v>
      </c>
      <c r="W70" s="24" t="s">
        <v>1896</v>
      </c>
      <c r="X70" s="24" t="s">
        <v>1896</v>
      </c>
      <c r="Y70" s="167">
        <v>49.799999</v>
      </c>
      <c r="Z70" s="167">
        <v>0</v>
      </c>
      <c r="AA70" s="177">
        <v>49.799999</v>
      </c>
      <c r="AB70" s="24" t="s">
        <v>1896</v>
      </c>
      <c r="AC70" s="24" t="s">
        <v>1896</v>
      </c>
      <c r="AD70" s="24" t="s">
        <v>1896</v>
      </c>
      <c r="AE70" s="40"/>
    </row>
    <row r="71" spans="1:31" s="46" customFormat="1" ht="27.95" customHeight="1" x14ac:dyDescent="0.15">
      <c r="A71" s="40">
        <v>69</v>
      </c>
      <c r="B71" s="125">
        <v>15064</v>
      </c>
      <c r="C71" s="24" t="s">
        <v>1896</v>
      </c>
      <c r="D71" s="24" t="s">
        <v>1896</v>
      </c>
      <c r="E71" s="24" t="s">
        <v>1896</v>
      </c>
      <c r="F71" s="29" t="s">
        <v>2765</v>
      </c>
      <c r="G71" s="20" t="s">
        <v>2766</v>
      </c>
      <c r="H71" s="20" t="s">
        <v>1419</v>
      </c>
      <c r="I71" s="20" t="s">
        <v>1416</v>
      </c>
      <c r="J71" s="21" t="s">
        <v>1632</v>
      </c>
      <c r="K71" s="24" t="s">
        <v>1896</v>
      </c>
      <c r="L71" s="24" t="s">
        <v>1896</v>
      </c>
      <c r="M71" s="24" t="s">
        <v>1896</v>
      </c>
      <c r="N71" s="104" t="s">
        <v>102</v>
      </c>
      <c r="O71" s="21" t="s">
        <v>461</v>
      </c>
      <c r="P71" s="24" t="s">
        <v>1896</v>
      </c>
      <c r="Q71" s="12" t="s">
        <v>2891</v>
      </c>
      <c r="R71" s="24" t="s">
        <v>1896</v>
      </c>
      <c r="S71" s="181" t="s">
        <v>3017</v>
      </c>
      <c r="T71" s="24" t="s">
        <v>1896</v>
      </c>
      <c r="U71" s="72" t="s">
        <v>110</v>
      </c>
      <c r="V71" s="72">
        <v>1</v>
      </c>
      <c r="W71" s="24" t="s">
        <v>1896</v>
      </c>
      <c r="X71" s="24" t="s">
        <v>1896</v>
      </c>
      <c r="Y71" s="167">
        <v>30.92</v>
      </c>
      <c r="Z71" s="167">
        <v>0</v>
      </c>
      <c r="AA71" s="177">
        <v>30.92</v>
      </c>
      <c r="AB71" s="24" t="s">
        <v>1896</v>
      </c>
      <c r="AC71" s="24" t="s">
        <v>1896</v>
      </c>
      <c r="AD71" s="24" t="s">
        <v>1896</v>
      </c>
      <c r="AE71" s="40"/>
    </row>
    <row r="72" spans="1:31" s="46" customFormat="1" ht="27.95" customHeight="1" x14ac:dyDescent="0.15">
      <c r="A72" s="40">
        <v>70</v>
      </c>
      <c r="B72" s="125">
        <v>15065</v>
      </c>
      <c r="C72" s="24" t="s">
        <v>1896</v>
      </c>
      <c r="D72" s="24" t="s">
        <v>1896</v>
      </c>
      <c r="E72" s="24" t="s">
        <v>1896</v>
      </c>
      <c r="F72" s="29" t="s">
        <v>2767</v>
      </c>
      <c r="G72" s="21" t="s">
        <v>2768</v>
      </c>
      <c r="H72" s="1" t="s">
        <v>1541</v>
      </c>
      <c r="I72" s="20" t="s">
        <v>2914</v>
      </c>
      <c r="J72" s="21" t="s">
        <v>2915</v>
      </c>
      <c r="K72" s="24" t="s">
        <v>1896</v>
      </c>
      <c r="L72" s="24" t="s">
        <v>1896</v>
      </c>
      <c r="M72" s="24" t="s">
        <v>1896</v>
      </c>
      <c r="N72" s="1" t="s">
        <v>45</v>
      </c>
      <c r="O72" s="1" t="s">
        <v>1886</v>
      </c>
      <c r="P72" s="24" t="s">
        <v>1896</v>
      </c>
      <c r="Q72" s="12" t="s">
        <v>2892</v>
      </c>
      <c r="R72" s="24" t="s">
        <v>1896</v>
      </c>
      <c r="S72" s="181" t="s">
        <v>3018</v>
      </c>
      <c r="T72" s="24" t="s">
        <v>1896</v>
      </c>
      <c r="U72" s="72" t="s">
        <v>110</v>
      </c>
      <c r="V72" s="72">
        <v>3</v>
      </c>
      <c r="W72" s="24" t="s">
        <v>1896</v>
      </c>
      <c r="X72" s="24" t="s">
        <v>1896</v>
      </c>
      <c r="Y72" s="167">
        <v>19</v>
      </c>
      <c r="Z72" s="167">
        <v>0</v>
      </c>
      <c r="AA72" s="177">
        <v>19</v>
      </c>
      <c r="AB72" s="24" t="s">
        <v>1896</v>
      </c>
      <c r="AC72" s="24" t="s">
        <v>1896</v>
      </c>
      <c r="AD72" s="24" t="s">
        <v>1896</v>
      </c>
      <c r="AE72" s="40"/>
    </row>
    <row r="73" spans="1:31" s="154" customFormat="1" ht="27.95" customHeight="1" x14ac:dyDescent="0.15">
      <c r="A73" s="146"/>
      <c r="B73" s="146"/>
      <c r="C73" s="173"/>
      <c r="D73" s="146"/>
      <c r="E73" s="146"/>
      <c r="F73" s="146"/>
      <c r="G73" s="146"/>
      <c r="H73" s="146"/>
      <c r="I73" s="146"/>
      <c r="J73" s="146"/>
      <c r="K73" s="146"/>
      <c r="L73" s="146"/>
      <c r="M73" s="146"/>
      <c r="N73" s="174"/>
      <c r="O73" s="174"/>
      <c r="P73" s="146"/>
      <c r="Q73" s="146"/>
      <c r="R73" s="146"/>
      <c r="S73" s="146"/>
      <c r="T73" s="146"/>
      <c r="U73" s="146" t="s">
        <v>3393</v>
      </c>
      <c r="V73" s="146"/>
      <c r="W73" s="146"/>
      <c r="X73" s="146"/>
      <c r="Y73" s="184">
        <f>SUM(Y3:Y72)</f>
        <v>1080.2772189999998</v>
      </c>
      <c r="Z73" s="184">
        <f>SUM(Z3:Z72)</f>
        <v>443.09000000000003</v>
      </c>
      <c r="AA73" s="184">
        <f>SUM(AA3:AA72)</f>
        <v>1523.367219</v>
      </c>
      <c r="AB73" s="146"/>
      <c r="AC73" s="146"/>
      <c r="AD73" s="146"/>
      <c r="AE73" s="146"/>
    </row>
    <row r="74" spans="1:31" ht="27.95" customHeight="1" x14ac:dyDescent="0.15">
      <c r="C74" s="57"/>
    </row>
    <row r="75" spans="1:31" ht="27.95" customHeight="1" x14ac:dyDescent="0.15">
      <c r="C75" s="57"/>
    </row>
    <row r="76" spans="1:31" ht="27.95" customHeight="1" x14ac:dyDescent="0.15">
      <c r="C76" s="57"/>
    </row>
    <row r="77" spans="1:31" ht="27.95" customHeight="1" x14ac:dyDescent="0.15">
      <c r="C77" s="57"/>
    </row>
    <row r="78" spans="1:31" ht="27.95" customHeight="1" x14ac:dyDescent="0.15">
      <c r="C78" s="57"/>
    </row>
    <row r="79" spans="1:31" ht="27.95" customHeight="1" x14ac:dyDescent="0.15">
      <c r="C79" s="57"/>
    </row>
    <row r="80" spans="1:31" ht="27.95" customHeight="1" x14ac:dyDescent="0.15">
      <c r="C80" s="57"/>
    </row>
    <row r="81" spans="3:3" ht="27.95" customHeight="1" x14ac:dyDescent="0.15">
      <c r="C81" s="57"/>
    </row>
    <row r="82" spans="3:3" ht="27.95" customHeight="1" x14ac:dyDescent="0.15">
      <c r="C82" s="57"/>
    </row>
  </sheetData>
  <autoFilter ref="A2:AD73" xr:uid="{00000000-0009-0000-0000-000007000000}"/>
  <mergeCells count="1">
    <mergeCell ref="A1:AD1"/>
  </mergeCells>
  <phoneticPr fontId="1" type="noConversion"/>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78"/>
  <sheetViews>
    <sheetView workbookViewId="0">
      <pane xSplit="2" ySplit="2" topLeftCell="C72" activePane="bottomRight" state="frozen"/>
      <selection pane="topRight" activeCell="C1" sqref="C1"/>
      <selection pane="bottomLeft" activeCell="A3" sqref="A3"/>
      <selection pane="bottomRight" activeCell="C2" sqref="C1:E1048576"/>
    </sheetView>
  </sheetViews>
  <sheetFormatPr defaultRowHeight="27.95" customHeight="1" x14ac:dyDescent="0.15"/>
  <cols>
    <col min="1" max="1" width="6.375" style="38" customWidth="1"/>
    <col min="2" max="2" width="9.75" style="38" bestFit="1" customWidth="1"/>
    <col min="3" max="3" width="12.875" style="38" customWidth="1"/>
    <col min="4" max="4" width="14.25" style="38" customWidth="1"/>
    <col min="5" max="5" width="12.125" style="38" customWidth="1"/>
    <col min="6" max="6" width="25" style="38" customWidth="1"/>
    <col min="7" max="7" width="23.75" style="38" customWidth="1"/>
    <col min="8" max="9" width="9" style="38"/>
    <col min="10" max="10" width="21.125" style="38" customWidth="1"/>
    <col min="11" max="11" width="9" style="38"/>
    <col min="12" max="12" width="12.625" style="38" customWidth="1"/>
    <col min="13" max="13" width="9" style="38"/>
    <col min="14" max="14" width="11.375" style="5" customWidth="1"/>
    <col min="15" max="15" width="18.125" style="5" customWidth="1"/>
    <col min="16" max="18" width="9" style="38"/>
    <col min="19" max="19" width="12.375" style="38" customWidth="1"/>
    <col min="20" max="20" width="9" style="38"/>
    <col min="21" max="21" width="12" style="38" customWidth="1"/>
    <col min="22" max="24" width="9" style="38"/>
    <col min="25" max="25" width="10.25" style="137" customWidth="1"/>
    <col min="26" max="26" width="12.125" style="137" customWidth="1"/>
    <col min="27" max="27" width="10.875" style="137" customWidth="1"/>
    <col min="28" max="28" width="9" style="38"/>
    <col min="29" max="29" width="12.5" style="38" customWidth="1"/>
    <col min="30" max="30" width="9" style="38"/>
    <col min="31" max="31" width="23" style="38" customWidth="1"/>
    <col min="32" max="16384" width="9" style="38"/>
  </cols>
  <sheetData>
    <row r="1" spans="1:31" s="3" customFormat="1" ht="33" customHeight="1" x14ac:dyDescent="0.15">
      <c r="A1" s="1953" t="s">
        <v>2315</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1" s="4" customFormat="1" ht="27.9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8</v>
      </c>
      <c r="P2" s="25" t="s">
        <v>9</v>
      </c>
      <c r="Q2" s="25" t="s">
        <v>3342</v>
      </c>
      <c r="R2" s="25" t="s">
        <v>3343</v>
      </c>
      <c r="S2" s="25" t="s">
        <v>15</v>
      </c>
      <c r="T2" s="25" t="s">
        <v>16</v>
      </c>
      <c r="U2" s="32" t="s">
        <v>14</v>
      </c>
      <c r="V2" s="32" t="s">
        <v>13</v>
      </c>
      <c r="W2" s="25" t="s">
        <v>11</v>
      </c>
      <c r="X2" s="25" t="s">
        <v>12</v>
      </c>
      <c r="Y2" s="25" t="s">
        <v>429</v>
      </c>
      <c r="Z2" s="25" t="s">
        <v>430</v>
      </c>
      <c r="AA2" s="25" t="s">
        <v>431</v>
      </c>
      <c r="AB2" s="25" t="s">
        <v>3350</v>
      </c>
      <c r="AC2" s="25" t="s">
        <v>2185</v>
      </c>
      <c r="AD2" s="25" t="s">
        <v>2125</v>
      </c>
      <c r="AE2" s="25" t="s">
        <v>3252</v>
      </c>
    </row>
    <row r="3" spans="1:31" s="46" customFormat="1" ht="27.95" customHeight="1" x14ac:dyDescent="0.15">
      <c r="A3" s="40">
        <v>1</v>
      </c>
      <c r="B3" s="125">
        <v>14001</v>
      </c>
      <c r="C3" s="24" t="s">
        <v>1896</v>
      </c>
      <c r="D3" s="24" t="s">
        <v>1896</v>
      </c>
      <c r="E3" s="24" t="s">
        <v>1896</v>
      </c>
      <c r="F3" s="142" t="s">
        <v>1392</v>
      </c>
      <c r="G3" s="142" t="s">
        <v>1999</v>
      </c>
      <c r="H3" s="81" t="s">
        <v>1487</v>
      </c>
      <c r="I3" s="81" t="s">
        <v>993</v>
      </c>
      <c r="J3" s="44" t="s">
        <v>892</v>
      </c>
      <c r="K3" s="24" t="s">
        <v>1896</v>
      </c>
      <c r="L3" s="24" t="s">
        <v>1896</v>
      </c>
      <c r="M3" s="24" t="s">
        <v>1896</v>
      </c>
      <c r="N3" s="110" t="s">
        <v>102</v>
      </c>
      <c r="O3" s="44" t="s">
        <v>851</v>
      </c>
      <c r="P3" s="24" t="s">
        <v>1896</v>
      </c>
      <c r="Q3" s="28" t="s">
        <v>2861</v>
      </c>
      <c r="R3" s="24" t="s">
        <v>1896</v>
      </c>
      <c r="S3" s="29">
        <v>2014.1</v>
      </c>
      <c r="T3" s="24" t="s">
        <v>1896</v>
      </c>
      <c r="U3" s="10" t="s">
        <v>110</v>
      </c>
      <c r="V3" s="72">
        <v>1</v>
      </c>
      <c r="W3" s="24" t="s">
        <v>1896</v>
      </c>
      <c r="X3" s="24" t="s">
        <v>1896</v>
      </c>
      <c r="Y3" s="73">
        <v>0</v>
      </c>
      <c r="Z3" s="73">
        <v>10</v>
      </c>
      <c r="AA3" s="96">
        <v>10</v>
      </c>
      <c r="AB3" s="24" t="s">
        <v>1896</v>
      </c>
      <c r="AC3" s="24" t="s">
        <v>1896</v>
      </c>
      <c r="AD3" s="24" t="s">
        <v>1896</v>
      </c>
      <c r="AE3" s="381"/>
    </row>
    <row r="4" spans="1:31" s="46" customFormat="1" ht="27.95" customHeight="1" x14ac:dyDescent="0.15">
      <c r="A4" s="40">
        <v>2</v>
      </c>
      <c r="B4" s="125">
        <v>14002</v>
      </c>
      <c r="C4" s="24" t="s">
        <v>1896</v>
      </c>
      <c r="D4" s="24" t="s">
        <v>1896</v>
      </c>
      <c r="E4" s="24" t="s">
        <v>1896</v>
      </c>
      <c r="F4" s="142" t="s">
        <v>2601</v>
      </c>
      <c r="G4" s="142" t="s">
        <v>2602</v>
      </c>
      <c r="H4" s="81" t="s">
        <v>1508</v>
      </c>
      <c r="I4" s="81" t="s">
        <v>819</v>
      </c>
      <c r="J4" s="45" t="s">
        <v>1619</v>
      </c>
      <c r="K4" s="24" t="s">
        <v>1896</v>
      </c>
      <c r="L4" s="24" t="s">
        <v>1896</v>
      </c>
      <c r="M4" s="24" t="s">
        <v>1896</v>
      </c>
      <c r="N4" s="108" t="s">
        <v>102</v>
      </c>
      <c r="O4" s="45" t="s">
        <v>2844</v>
      </c>
      <c r="P4" s="24" t="s">
        <v>1896</v>
      </c>
      <c r="Q4" s="111" t="s">
        <v>2860</v>
      </c>
      <c r="R4" s="24" t="s">
        <v>1896</v>
      </c>
      <c r="S4" s="123" t="s">
        <v>2954</v>
      </c>
      <c r="T4" s="24" t="s">
        <v>1896</v>
      </c>
      <c r="U4" s="10" t="s">
        <v>110</v>
      </c>
      <c r="V4" s="72">
        <v>2</v>
      </c>
      <c r="W4" s="24" t="s">
        <v>1896</v>
      </c>
      <c r="X4" s="24" t="s">
        <v>1896</v>
      </c>
      <c r="Y4" s="73">
        <v>37.75</v>
      </c>
      <c r="Z4" s="73">
        <v>0</v>
      </c>
      <c r="AA4" s="96">
        <v>37.75</v>
      </c>
      <c r="AB4" s="24" t="s">
        <v>1896</v>
      </c>
      <c r="AC4" s="24" t="s">
        <v>1896</v>
      </c>
      <c r="AD4" s="24" t="s">
        <v>1896</v>
      </c>
      <c r="AE4" s="381"/>
    </row>
    <row r="5" spans="1:31" s="46" customFormat="1" ht="27.95" customHeight="1" x14ac:dyDescent="0.15">
      <c r="A5" s="40">
        <v>3</v>
      </c>
      <c r="B5" s="125">
        <v>14003</v>
      </c>
      <c r="C5" s="24" t="s">
        <v>1896</v>
      </c>
      <c r="D5" s="24" t="s">
        <v>1896</v>
      </c>
      <c r="E5" s="24" t="s">
        <v>1896</v>
      </c>
      <c r="F5" s="142" t="s">
        <v>2603</v>
      </c>
      <c r="G5" s="142" t="s">
        <v>1989</v>
      </c>
      <c r="H5" s="45" t="s">
        <v>994</v>
      </c>
      <c r="I5" s="45" t="s">
        <v>993</v>
      </c>
      <c r="J5" s="45" t="s">
        <v>1683</v>
      </c>
      <c r="K5" s="24" t="s">
        <v>1896</v>
      </c>
      <c r="L5" s="24" t="s">
        <v>1896</v>
      </c>
      <c r="M5" s="24" t="s">
        <v>1896</v>
      </c>
      <c r="N5" s="108" t="s">
        <v>102</v>
      </c>
      <c r="O5" s="45" t="s">
        <v>1743</v>
      </c>
      <c r="P5" s="24" t="s">
        <v>1896</v>
      </c>
      <c r="Q5" s="111" t="s">
        <v>2887</v>
      </c>
      <c r="R5" s="24" t="s">
        <v>1896</v>
      </c>
      <c r="S5" s="123" t="s">
        <v>2955</v>
      </c>
      <c r="T5" s="24" t="s">
        <v>1896</v>
      </c>
      <c r="U5" s="10" t="s">
        <v>110</v>
      </c>
      <c r="V5" s="72">
        <v>1</v>
      </c>
      <c r="W5" s="24" t="s">
        <v>1896</v>
      </c>
      <c r="X5" s="24" t="s">
        <v>1896</v>
      </c>
      <c r="Y5" s="73">
        <v>14</v>
      </c>
      <c r="Z5" s="73">
        <v>0</v>
      </c>
      <c r="AA5" s="96">
        <v>14</v>
      </c>
      <c r="AB5" s="24" t="s">
        <v>1896</v>
      </c>
      <c r="AC5" s="24" t="s">
        <v>1896</v>
      </c>
      <c r="AD5" s="24" t="s">
        <v>1896</v>
      </c>
      <c r="AE5" s="381"/>
    </row>
    <row r="6" spans="1:31" s="46" customFormat="1" ht="27.95" customHeight="1" x14ac:dyDescent="0.15">
      <c r="A6" s="40">
        <v>4</v>
      </c>
      <c r="B6" s="125">
        <v>14004</v>
      </c>
      <c r="C6" s="24" t="s">
        <v>1896</v>
      </c>
      <c r="D6" s="24" t="s">
        <v>1896</v>
      </c>
      <c r="E6" s="24" t="s">
        <v>1896</v>
      </c>
      <c r="F6" s="142" t="s">
        <v>2603</v>
      </c>
      <c r="G6" s="142" t="s">
        <v>1989</v>
      </c>
      <c r="H6" s="45" t="s">
        <v>994</v>
      </c>
      <c r="I6" s="45" t="s">
        <v>993</v>
      </c>
      <c r="J6" s="109" t="s">
        <v>1684</v>
      </c>
      <c r="K6" s="24" t="s">
        <v>1896</v>
      </c>
      <c r="L6" s="24" t="s">
        <v>1896</v>
      </c>
      <c r="M6" s="24" t="s">
        <v>1896</v>
      </c>
      <c r="N6" s="108" t="s">
        <v>102</v>
      </c>
      <c r="O6" s="45" t="s">
        <v>1767</v>
      </c>
      <c r="P6" s="24" t="s">
        <v>1896</v>
      </c>
      <c r="Q6" s="111" t="s">
        <v>1659</v>
      </c>
      <c r="R6" s="24" t="s">
        <v>1896</v>
      </c>
      <c r="S6" s="123" t="s">
        <v>2955</v>
      </c>
      <c r="T6" s="24" t="s">
        <v>1896</v>
      </c>
      <c r="U6" s="10" t="s">
        <v>110</v>
      </c>
      <c r="V6" s="72">
        <v>1</v>
      </c>
      <c r="W6" s="24" t="s">
        <v>1896</v>
      </c>
      <c r="X6" s="24" t="s">
        <v>1896</v>
      </c>
      <c r="Y6" s="73">
        <v>35</v>
      </c>
      <c r="Z6" s="73">
        <v>32</v>
      </c>
      <c r="AA6" s="171">
        <v>67</v>
      </c>
      <c r="AB6" s="24" t="s">
        <v>1896</v>
      </c>
      <c r="AC6" s="24" t="s">
        <v>1896</v>
      </c>
      <c r="AD6" s="24" t="s">
        <v>1896</v>
      </c>
      <c r="AE6" s="381"/>
    </row>
    <row r="7" spans="1:31" s="46" customFormat="1" ht="27.95" customHeight="1" x14ac:dyDescent="0.15">
      <c r="A7" s="40">
        <v>5</v>
      </c>
      <c r="B7" s="125">
        <v>14005</v>
      </c>
      <c r="C7" s="24" t="s">
        <v>1896</v>
      </c>
      <c r="D7" s="24" t="s">
        <v>1896</v>
      </c>
      <c r="E7" s="24" t="s">
        <v>1896</v>
      </c>
      <c r="F7" s="21" t="s">
        <v>1244</v>
      </c>
      <c r="G7" s="21" t="s">
        <v>2604</v>
      </c>
      <c r="H7" s="83" t="s">
        <v>94</v>
      </c>
      <c r="I7" s="44" t="s">
        <v>1540</v>
      </c>
      <c r="J7" s="108" t="s">
        <v>1693</v>
      </c>
      <c r="K7" s="24" t="s">
        <v>1896</v>
      </c>
      <c r="L7" s="24" t="s">
        <v>1896</v>
      </c>
      <c r="M7" s="24" t="s">
        <v>1896</v>
      </c>
      <c r="N7" s="110" t="s">
        <v>102</v>
      </c>
      <c r="O7" s="44" t="s">
        <v>851</v>
      </c>
      <c r="P7" s="24" t="s">
        <v>1896</v>
      </c>
      <c r="Q7" s="111" t="s">
        <v>2888</v>
      </c>
      <c r="R7" s="24" t="s">
        <v>1896</v>
      </c>
      <c r="S7" s="180" t="s">
        <v>2956</v>
      </c>
      <c r="T7" s="24" t="s">
        <v>1896</v>
      </c>
      <c r="U7" s="10" t="s">
        <v>110</v>
      </c>
      <c r="V7" s="72">
        <v>1</v>
      </c>
      <c r="W7" s="24" t="s">
        <v>1896</v>
      </c>
      <c r="X7" s="24" t="s">
        <v>1896</v>
      </c>
      <c r="Y7" s="73">
        <v>0</v>
      </c>
      <c r="Z7" s="73">
        <v>16</v>
      </c>
      <c r="AA7" s="96">
        <v>16</v>
      </c>
      <c r="AB7" s="24" t="s">
        <v>1896</v>
      </c>
      <c r="AC7" s="24" t="s">
        <v>1896</v>
      </c>
      <c r="AD7" s="24" t="s">
        <v>1896</v>
      </c>
      <c r="AE7" s="381"/>
    </row>
    <row r="8" spans="1:31" s="46" customFormat="1" ht="27.95" customHeight="1" x14ac:dyDescent="0.15">
      <c r="A8" s="40">
        <v>6</v>
      </c>
      <c r="B8" s="125">
        <v>14006</v>
      </c>
      <c r="C8" s="24" t="s">
        <v>1896</v>
      </c>
      <c r="D8" s="24" t="s">
        <v>1896</v>
      </c>
      <c r="E8" s="24" t="s">
        <v>1896</v>
      </c>
      <c r="F8" s="21" t="s">
        <v>1246</v>
      </c>
      <c r="G8" s="21" t="s">
        <v>2604</v>
      </c>
      <c r="H8" s="81" t="s">
        <v>94</v>
      </c>
      <c r="I8" s="81" t="s">
        <v>1540</v>
      </c>
      <c r="J8" s="44" t="s">
        <v>1694</v>
      </c>
      <c r="K8" s="24" t="s">
        <v>1896</v>
      </c>
      <c r="L8" s="24" t="s">
        <v>1896</v>
      </c>
      <c r="M8" s="24" t="s">
        <v>1896</v>
      </c>
      <c r="N8" s="110" t="s">
        <v>102</v>
      </c>
      <c r="O8" s="44" t="s">
        <v>851</v>
      </c>
      <c r="P8" s="24" t="s">
        <v>1896</v>
      </c>
      <c r="Q8" s="111" t="s">
        <v>2888</v>
      </c>
      <c r="R8" s="24" t="s">
        <v>1896</v>
      </c>
      <c r="S8" s="180" t="s">
        <v>2956</v>
      </c>
      <c r="T8" s="24" t="s">
        <v>1896</v>
      </c>
      <c r="U8" s="10" t="s">
        <v>110</v>
      </c>
      <c r="V8" s="72">
        <v>1</v>
      </c>
      <c r="W8" s="24" t="s">
        <v>1896</v>
      </c>
      <c r="X8" s="24" t="s">
        <v>1896</v>
      </c>
      <c r="Y8" s="73">
        <v>0</v>
      </c>
      <c r="Z8" s="73">
        <v>16</v>
      </c>
      <c r="AA8" s="96">
        <v>16</v>
      </c>
      <c r="AB8" s="24" t="s">
        <v>1896</v>
      </c>
      <c r="AC8" s="24" t="s">
        <v>1896</v>
      </c>
      <c r="AD8" s="24" t="s">
        <v>1896</v>
      </c>
      <c r="AE8" s="381"/>
    </row>
    <row r="9" spans="1:31" s="46" customFormat="1" ht="27.95" customHeight="1" x14ac:dyDescent="0.15">
      <c r="A9" s="40">
        <v>7</v>
      </c>
      <c r="B9" s="125">
        <v>14007</v>
      </c>
      <c r="C9" s="24" t="s">
        <v>1896</v>
      </c>
      <c r="D9" s="24" t="s">
        <v>1896</v>
      </c>
      <c r="E9" s="24" t="s">
        <v>1896</v>
      </c>
      <c r="F9" s="105" t="s">
        <v>2605</v>
      </c>
      <c r="G9" s="21" t="s">
        <v>2606</v>
      </c>
      <c r="H9" s="81" t="s">
        <v>2865</v>
      </c>
      <c r="I9" s="81" t="s">
        <v>1540</v>
      </c>
      <c r="J9" s="44" t="s">
        <v>1666</v>
      </c>
      <c r="K9" s="24" t="s">
        <v>1896</v>
      </c>
      <c r="L9" s="24" t="s">
        <v>1896</v>
      </c>
      <c r="M9" s="24" t="s">
        <v>1896</v>
      </c>
      <c r="N9" s="108" t="s">
        <v>102</v>
      </c>
      <c r="O9" s="45" t="s">
        <v>1760</v>
      </c>
      <c r="P9" s="24" t="s">
        <v>1896</v>
      </c>
      <c r="Q9" s="111" t="s">
        <v>2889</v>
      </c>
      <c r="R9" s="24" t="s">
        <v>1896</v>
      </c>
      <c r="S9" s="180" t="s">
        <v>2957</v>
      </c>
      <c r="T9" s="24" t="s">
        <v>1896</v>
      </c>
      <c r="U9" s="10" t="s">
        <v>110</v>
      </c>
      <c r="V9" s="72">
        <v>1</v>
      </c>
      <c r="W9" s="24" t="s">
        <v>1896</v>
      </c>
      <c r="X9" s="24" t="s">
        <v>1896</v>
      </c>
      <c r="Y9" s="73">
        <v>56.145000000000003</v>
      </c>
      <c r="Z9" s="73">
        <v>0</v>
      </c>
      <c r="AA9" s="96">
        <f>54.895+1.25</f>
        <v>56.145000000000003</v>
      </c>
      <c r="AB9" s="24" t="s">
        <v>1896</v>
      </c>
      <c r="AC9" s="24" t="s">
        <v>1896</v>
      </c>
      <c r="AD9" s="24" t="s">
        <v>1896</v>
      </c>
      <c r="AE9" s="381"/>
    </row>
    <row r="10" spans="1:31" s="46" customFormat="1" ht="27.95" customHeight="1" x14ac:dyDescent="0.15">
      <c r="A10" s="40">
        <v>8</v>
      </c>
      <c r="B10" s="125">
        <v>14008</v>
      </c>
      <c r="C10" s="24" t="s">
        <v>1896</v>
      </c>
      <c r="D10" s="24" t="s">
        <v>1896</v>
      </c>
      <c r="E10" s="24" t="s">
        <v>1896</v>
      </c>
      <c r="F10" s="142" t="s">
        <v>2607</v>
      </c>
      <c r="G10" s="142" t="s">
        <v>2608</v>
      </c>
      <c r="H10" s="81" t="s">
        <v>1923</v>
      </c>
      <c r="I10" s="81" t="s">
        <v>1922</v>
      </c>
      <c r="J10" s="45" t="s">
        <v>2866</v>
      </c>
      <c r="K10" s="24" t="s">
        <v>1896</v>
      </c>
      <c r="L10" s="24" t="s">
        <v>1896</v>
      </c>
      <c r="M10" s="24" t="s">
        <v>1896</v>
      </c>
      <c r="N10" s="108" t="s">
        <v>102</v>
      </c>
      <c r="O10" s="45" t="s">
        <v>2844</v>
      </c>
      <c r="P10" s="24" t="s">
        <v>1896</v>
      </c>
      <c r="Q10" s="111" t="s">
        <v>2890</v>
      </c>
      <c r="R10" s="24" t="s">
        <v>1896</v>
      </c>
      <c r="S10" s="180" t="s">
        <v>2958</v>
      </c>
      <c r="T10" s="24" t="s">
        <v>1896</v>
      </c>
      <c r="U10" s="10" t="s">
        <v>110</v>
      </c>
      <c r="V10" s="72">
        <v>1</v>
      </c>
      <c r="W10" s="24" t="s">
        <v>1896</v>
      </c>
      <c r="X10" s="24" t="s">
        <v>1896</v>
      </c>
      <c r="Y10" s="73">
        <v>43.57</v>
      </c>
      <c r="Z10" s="73">
        <v>0</v>
      </c>
      <c r="AA10" s="171">
        <v>43.57</v>
      </c>
      <c r="AB10" s="24" t="s">
        <v>1896</v>
      </c>
      <c r="AC10" s="24" t="s">
        <v>1896</v>
      </c>
      <c r="AD10" s="24" t="s">
        <v>1896</v>
      </c>
      <c r="AE10" s="381"/>
    </row>
    <row r="11" spans="1:31" s="46" customFormat="1" ht="27.95" customHeight="1" x14ac:dyDescent="0.15">
      <c r="A11" s="40">
        <v>9</v>
      </c>
      <c r="B11" s="125">
        <v>14009</v>
      </c>
      <c r="C11" s="24" t="s">
        <v>1896</v>
      </c>
      <c r="D11" s="24" t="s">
        <v>1896</v>
      </c>
      <c r="E11" s="24" t="s">
        <v>1896</v>
      </c>
      <c r="F11" s="142" t="s">
        <v>2609</v>
      </c>
      <c r="G11" s="21" t="s">
        <v>2610</v>
      </c>
      <c r="H11" s="81" t="s">
        <v>94</v>
      </c>
      <c r="I11" s="81" t="s">
        <v>1895</v>
      </c>
      <c r="J11" s="45" t="s">
        <v>1719</v>
      </c>
      <c r="K11" s="24" t="s">
        <v>1896</v>
      </c>
      <c r="L11" s="24" t="s">
        <v>1896</v>
      </c>
      <c r="M11" s="24" t="s">
        <v>1896</v>
      </c>
      <c r="N11" s="108" t="s">
        <v>102</v>
      </c>
      <c r="O11" s="45" t="s">
        <v>2878</v>
      </c>
      <c r="P11" s="24" t="s">
        <v>1896</v>
      </c>
      <c r="Q11" s="111" t="s">
        <v>2863</v>
      </c>
      <c r="R11" s="24" t="s">
        <v>1896</v>
      </c>
      <c r="S11" s="180" t="s">
        <v>2959</v>
      </c>
      <c r="T11" s="24" t="s">
        <v>1896</v>
      </c>
      <c r="U11" s="10" t="s">
        <v>110</v>
      </c>
      <c r="V11" s="72">
        <v>2</v>
      </c>
      <c r="W11" s="24" t="s">
        <v>1896</v>
      </c>
      <c r="X11" s="24" t="s">
        <v>1896</v>
      </c>
      <c r="Y11" s="73">
        <v>40</v>
      </c>
      <c r="Z11" s="73">
        <v>45</v>
      </c>
      <c r="AA11" s="171">
        <v>85</v>
      </c>
      <c r="AB11" s="24" t="s">
        <v>1896</v>
      </c>
      <c r="AC11" s="24" t="s">
        <v>1896</v>
      </c>
      <c r="AD11" s="24" t="s">
        <v>1896</v>
      </c>
      <c r="AE11" s="381"/>
    </row>
    <row r="12" spans="1:31" s="46" customFormat="1" ht="27.95" customHeight="1" x14ac:dyDescent="0.15">
      <c r="A12" s="40">
        <v>10</v>
      </c>
      <c r="B12" s="24">
        <v>14010</v>
      </c>
      <c r="C12" s="24" t="s">
        <v>1896</v>
      </c>
      <c r="D12" s="24" t="s">
        <v>1896</v>
      </c>
      <c r="E12" s="24" t="s">
        <v>1896</v>
      </c>
      <c r="F12" s="142" t="s">
        <v>1287</v>
      </c>
      <c r="G12" s="21" t="s">
        <v>2610</v>
      </c>
      <c r="H12" s="81" t="s">
        <v>94</v>
      </c>
      <c r="I12" s="81" t="s">
        <v>1895</v>
      </c>
      <c r="J12" s="44" t="s">
        <v>3146</v>
      </c>
      <c r="K12" s="24" t="s">
        <v>1896</v>
      </c>
      <c r="L12" s="24" t="s">
        <v>1896</v>
      </c>
      <c r="M12" s="24" t="s">
        <v>1896</v>
      </c>
      <c r="N12" s="110" t="s">
        <v>102</v>
      </c>
      <c r="O12" s="44" t="s">
        <v>1911</v>
      </c>
      <c r="P12" s="24" t="s">
        <v>1896</v>
      </c>
      <c r="Q12" s="111" t="s">
        <v>2863</v>
      </c>
      <c r="R12" s="24" t="s">
        <v>1896</v>
      </c>
      <c r="S12" s="180" t="s">
        <v>2960</v>
      </c>
      <c r="T12" s="24" t="s">
        <v>1896</v>
      </c>
      <c r="U12" s="10" t="s">
        <v>110</v>
      </c>
      <c r="V12" s="72">
        <v>2</v>
      </c>
      <c r="W12" s="24" t="s">
        <v>1896</v>
      </c>
      <c r="X12" s="24" t="s">
        <v>1896</v>
      </c>
      <c r="Y12" s="73">
        <v>0</v>
      </c>
      <c r="Z12" s="73">
        <v>45</v>
      </c>
      <c r="AA12" s="96">
        <v>45</v>
      </c>
      <c r="AB12" s="24" t="s">
        <v>1896</v>
      </c>
      <c r="AC12" s="24" t="s">
        <v>1896</v>
      </c>
      <c r="AD12" s="24" t="s">
        <v>1896</v>
      </c>
      <c r="AE12" s="381"/>
    </row>
    <row r="13" spans="1:31" s="46" customFormat="1" ht="27.95" customHeight="1" x14ac:dyDescent="0.15">
      <c r="A13" s="40">
        <v>11</v>
      </c>
      <c r="B13" s="24">
        <v>14011</v>
      </c>
      <c r="C13" s="24" t="s">
        <v>1896</v>
      </c>
      <c r="D13" s="24" t="s">
        <v>1896</v>
      </c>
      <c r="E13" s="24" t="s">
        <v>1896</v>
      </c>
      <c r="F13" s="142" t="s">
        <v>1985</v>
      </c>
      <c r="G13" s="21" t="s">
        <v>2610</v>
      </c>
      <c r="H13" s="81" t="s">
        <v>94</v>
      </c>
      <c r="I13" s="81" t="s">
        <v>1895</v>
      </c>
      <c r="J13" s="44" t="s">
        <v>1708</v>
      </c>
      <c r="K13" s="24" t="s">
        <v>1896</v>
      </c>
      <c r="L13" s="24" t="s">
        <v>1896</v>
      </c>
      <c r="M13" s="24" t="s">
        <v>1896</v>
      </c>
      <c r="N13" s="110" t="s">
        <v>102</v>
      </c>
      <c r="O13" s="44" t="s">
        <v>1911</v>
      </c>
      <c r="P13" s="24" t="s">
        <v>1896</v>
      </c>
      <c r="Q13" s="111" t="s">
        <v>2863</v>
      </c>
      <c r="R13" s="24" t="s">
        <v>1896</v>
      </c>
      <c r="S13" s="180" t="s">
        <v>2960</v>
      </c>
      <c r="T13" s="24" t="s">
        <v>1896</v>
      </c>
      <c r="U13" s="10" t="s">
        <v>110</v>
      </c>
      <c r="V13" s="72">
        <v>2</v>
      </c>
      <c r="W13" s="24" t="s">
        <v>1896</v>
      </c>
      <c r="X13" s="24" t="s">
        <v>1896</v>
      </c>
      <c r="Y13" s="73">
        <v>0</v>
      </c>
      <c r="Z13" s="73">
        <v>45</v>
      </c>
      <c r="AA13" s="96">
        <v>45</v>
      </c>
      <c r="AB13" s="24" t="s">
        <v>1896</v>
      </c>
      <c r="AC13" s="24" t="s">
        <v>1896</v>
      </c>
      <c r="AD13" s="24" t="s">
        <v>1896</v>
      </c>
      <c r="AE13" s="381"/>
    </row>
    <row r="14" spans="1:31" s="46" customFormat="1" ht="27.95" customHeight="1" x14ac:dyDescent="0.15">
      <c r="A14" s="40">
        <v>12</v>
      </c>
      <c r="B14" s="24">
        <v>14012</v>
      </c>
      <c r="C14" s="24" t="s">
        <v>1896</v>
      </c>
      <c r="D14" s="24" t="s">
        <v>1896</v>
      </c>
      <c r="E14" s="24" t="s">
        <v>1896</v>
      </c>
      <c r="F14" s="142" t="s">
        <v>1931</v>
      </c>
      <c r="G14" s="21" t="s">
        <v>2610</v>
      </c>
      <c r="H14" s="81" t="s">
        <v>94</v>
      </c>
      <c r="I14" s="81" t="s">
        <v>1895</v>
      </c>
      <c r="J14" s="44" t="s">
        <v>1910</v>
      </c>
      <c r="K14" s="24" t="s">
        <v>1896</v>
      </c>
      <c r="L14" s="24" t="s">
        <v>1896</v>
      </c>
      <c r="M14" s="24" t="s">
        <v>1896</v>
      </c>
      <c r="N14" s="110" t="s">
        <v>102</v>
      </c>
      <c r="O14" s="44" t="s">
        <v>1911</v>
      </c>
      <c r="P14" s="24" t="s">
        <v>1896</v>
      </c>
      <c r="Q14" s="111" t="s">
        <v>2863</v>
      </c>
      <c r="R14" s="24" t="s">
        <v>1896</v>
      </c>
      <c r="S14" s="180" t="s">
        <v>2960</v>
      </c>
      <c r="T14" s="24" t="s">
        <v>1896</v>
      </c>
      <c r="U14" s="10" t="s">
        <v>110</v>
      </c>
      <c r="V14" s="72">
        <v>2</v>
      </c>
      <c r="W14" s="24" t="s">
        <v>1896</v>
      </c>
      <c r="X14" s="24" t="s">
        <v>1896</v>
      </c>
      <c r="Y14" s="73">
        <v>0</v>
      </c>
      <c r="Z14" s="73">
        <v>45</v>
      </c>
      <c r="AA14" s="96">
        <v>45</v>
      </c>
      <c r="AB14" s="24" t="s">
        <v>1896</v>
      </c>
      <c r="AC14" s="24" t="s">
        <v>1896</v>
      </c>
      <c r="AD14" s="24" t="s">
        <v>1896</v>
      </c>
      <c r="AE14" s="381"/>
    </row>
    <row r="15" spans="1:31" s="46" customFormat="1" ht="27.95" customHeight="1" x14ac:dyDescent="0.15">
      <c r="A15" s="40">
        <v>13</v>
      </c>
      <c r="B15" s="24">
        <v>14013</v>
      </c>
      <c r="C15" s="24" t="s">
        <v>1896</v>
      </c>
      <c r="D15" s="24" t="s">
        <v>1896</v>
      </c>
      <c r="E15" s="24" t="s">
        <v>1896</v>
      </c>
      <c r="F15" s="142" t="s">
        <v>1277</v>
      </c>
      <c r="G15" s="21" t="s">
        <v>2610</v>
      </c>
      <c r="H15" s="81" t="s">
        <v>94</v>
      </c>
      <c r="I15" s="81" t="s">
        <v>1895</v>
      </c>
      <c r="J15" s="44" t="s">
        <v>3147</v>
      </c>
      <c r="K15" s="24" t="s">
        <v>1896</v>
      </c>
      <c r="L15" s="24" t="s">
        <v>1896</v>
      </c>
      <c r="M15" s="24" t="s">
        <v>1896</v>
      </c>
      <c r="N15" s="110" t="s">
        <v>102</v>
      </c>
      <c r="O15" s="44" t="s">
        <v>1911</v>
      </c>
      <c r="P15" s="24" t="s">
        <v>1896</v>
      </c>
      <c r="Q15" s="111" t="s">
        <v>2863</v>
      </c>
      <c r="R15" s="24" t="s">
        <v>1896</v>
      </c>
      <c r="S15" s="180" t="s">
        <v>2960</v>
      </c>
      <c r="T15" s="24" t="s">
        <v>1896</v>
      </c>
      <c r="U15" s="10" t="s">
        <v>110</v>
      </c>
      <c r="V15" s="72">
        <v>2</v>
      </c>
      <c r="W15" s="24" t="s">
        <v>1896</v>
      </c>
      <c r="X15" s="24" t="s">
        <v>1896</v>
      </c>
      <c r="Y15" s="73">
        <v>0</v>
      </c>
      <c r="Z15" s="73">
        <v>45</v>
      </c>
      <c r="AA15" s="96">
        <v>45</v>
      </c>
      <c r="AB15" s="24" t="s">
        <v>1896</v>
      </c>
      <c r="AC15" s="24" t="s">
        <v>1896</v>
      </c>
      <c r="AD15" s="24" t="s">
        <v>1896</v>
      </c>
      <c r="AE15" s="381"/>
    </row>
    <row r="16" spans="1:31" s="46" customFormat="1" ht="27.95" customHeight="1" x14ac:dyDescent="0.15">
      <c r="A16" s="40">
        <v>14</v>
      </c>
      <c r="B16" s="24">
        <v>14014</v>
      </c>
      <c r="C16" s="24" t="s">
        <v>1896</v>
      </c>
      <c r="D16" s="24" t="s">
        <v>1896</v>
      </c>
      <c r="E16" s="24" t="s">
        <v>1896</v>
      </c>
      <c r="F16" s="142" t="s">
        <v>2611</v>
      </c>
      <c r="G16" s="21" t="s">
        <v>2610</v>
      </c>
      <c r="H16" s="81" t="s">
        <v>94</v>
      </c>
      <c r="I16" s="81" t="s">
        <v>1895</v>
      </c>
      <c r="J16" s="44" t="s">
        <v>1710</v>
      </c>
      <c r="K16" s="24" t="s">
        <v>1896</v>
      </c>
      <c r="L16" s="24" t="s">
        <v>1896</v>
      </c>
      <c r="M16" s="24" t="s">
        <v>1896</v>
      </c>
      <c r="N16" s="110" t="s">
        <v>102</v>
      </c>
      <c r="O16" s="44" t="s">
        <v>1911</v>
      </c>
      <c r="P16" s="24" t="s">
        <v>1896</v>
      </c>
      <c r="Q16" s="111" t="s">
        <v>2863</v>
      </c>
      <c r="R16" s="24" t="s">
        <v>1896</v>
      </c>
      <c r="S16" s="180" t="s">
        <v>2960</v>
      </c>
      <c r="T16" s="24" t="s">
        <v>1896</v>
      </c>
      <c r="U16" s="10" t="s">
        <v>110</v>
      </c>
      <c r="V16" s="72">
        <v>2</v>
      </c>
      <c r="W16" s="24" t="s">
        <v>1896</v>
      </c>
      <c r="X16" s="24" t="s">
        <v>1896</v>
      </c>
      <c r="Y16" s="73">
        <v>0</v>
      </c>
      <c r="Z16" s="73">
        <v>45</v>
      </c>
      <c r="AA16" s="96">
        <v>45</v>
      </c>
      <c r="AB16" s="24" t="s">
        <v>1896</v>
      </c>
      <c r="AC16" s="24" t="s">
        <v>1896</v>
      </c>
      <c r="AD16" s="24" t="s">
        <v>1896</v>
      </c>
      <c r="AE16" s="381"/>
    </row>
    <row r="17" spans="1:31" s="46" customFormat="1" ht="27.95" customHeight="1" x14ac:dyDescent="0.15">
      <c r="A17" s="40">
        <v>15</v>
      </c>
      <c r="B17" s="24">
        <v>14015</v>
      </c>
      <c r="C17" s="24" t="s">
        <v>1896</v>
      </c>
      <c r="D17" s="24" t="s">
        <v>1896</v>
      </c>
      <c r="E17" s="24" t="s">
        <v>1896</v>
      </c>
      <c r="F17" s="142" t="s">
        <v>1289</v>
      </c>
      <c r="G17" s="21" t="s">
        <v>2610</v>
      </c>
      <c r="H17" s="81" t="s">
        <v>94</v>
      </c>
      <c r="I17" s="81" t="s">
        <v>1895</v>
      </c>
      <c r="J17" s="44" t="s">
        <v>1717</v>
      </c>
      <c r="K17" s="24" t="s">
        <v>1896</v>
      </c>
      <c r="L17" s="24" t="s">
        <v>1896</v>
      </c>
      <c r="M17" s="24" t="s">
        <v>1896</v>
      </c>
      <c r="N17" s="110" t="s">
        <v>102</v>
      </c>
      <c r="O17" s="44" t="s">
        <v>1911</v>
      </c>
      <c r="P17" s="24" t="s">
        <v>1896</v>
      </c>
      <c r="Q17" s="111" t="s">
        <v>2863</v>
      </c>
      <c r="R17" s="24" t="s">
        <v>1896</v>
      </c>
      <c r="S17" s="180" t="s">
        <v>2960</v>
      </c>
      <c r="T17" s="24" t="s">
        <v>1896</v>
      </c>
      <c r="U17" s="10" t="s">
        <v>110</v>
      </c>
      <c r="V17" s="72">
        <v>2</v>
      </c>
      <c r="W17" s="24" t="s">
        <v>1896</v>
      </c>
      <c r="X17" s="24" t="s">
        <v>1896</v>
      </c>
      <c r="Y17" s="73">
        <v>0</v>
      </c>
      <c r="Z17" s="73">
        <v>45</v>
      </c>
      <c r="AA17" s="96">
        <v>45</v>
      </c>
      <c r="AB17" s="24" t="s">
        <v>1896</v>
      </c>
      <c r="AC17" s="24" t="s">
        <v>1896</v>
      </c>
      <c r="AD17" s="24" t="s">
        <v>1896</v>
      </c>
      <c r="AE17" s="381"/>
    </row>
    <row r="18" spans="1:31" s="46" customFormat="1" ht="27.95" customHeight="1" x14ac:dyDescent="0.15">
      <c r="A18" s="40">
        <v>16</v>
      </c>
      <c r="B18" s="24">
        <v>14016</v>
      </c>
      <c r="C18" s="24" t="s">
        <v>1896</v>
      </c>
      <c r="D18" s="24" t="s">
        <v>1896</v>
      </c>
      <c r="E18" s="24" t="s">
        <v>1896</v>
      </c>
      <c r="F18" s="142" t="s">
        <v>1281</v>
      </c>
      <c r="G18" s="21" t="s">
        <v>2610</v>
      </c>
      <c r="H18" s="81" t="s">
        <v>94</v>
      </c>
      <c r="I18" s="81" t="s">
        <v>1895</v>
      </c>
      <c r="J18" s="44" t="s">
        <v>1713</v>
      </c>
      <c r="K18" s="24" t="s">
        <v>1896</v>
      </c>
      <c r="L18" s="24" t="s">
        <v>1896</v>
      </c>
      <c r="M18" s="24" t="s">
        <v>1896</v>
      </c>
      <c r="N18" s="110" t="s">
        <v>102</v>
      </c>
      <c r="O18" s="44" t="s">
        <v>1911</v>
      </c>
      <c r="P18" s="24" t="s">
        <v>1896</v>
      </c>
      <c r="Q18" s="111" t="s">
        <v>2863</v>
      </c>
      <c r="R18" s="24" t="s">
        <v>1896</v>
      </c>
      <c r="S18" s="180" t="s">
        <v>2960</v>
      </c>
      <c r="T18" s="24" t="s">
        <v>1896</v>
      </c>
      <c r="U18" s="10" t="s">
        <v>110</v>
      </c>
      <c r="V18" s="72">
        <v>2</v>
      </c>
      <c r="W18" s="24" t="s">
        <v>1896</v>
      </c>
      <c r="X18" s="24" t="s">
        <v>1896</v>
      </c>
      <c r="Y18" s="73">
        <v>0</v>
      </c>
      <c r="Z18" s="73">
        <v>45</v>
      </c>
      <c r="AA18" s="96">
        <v>45</v>
      </c>
      <c r="AB18" s="24" t="s">
        <v>1896</v>
      </c>
      <c r="AC18" s="24" t="s">
        <v>1896</v>
      </c>
      <c r="AD18" s="24" t="s">
        <v>1896</v>
      </c>
      <c r="AE18" s="381"/>
    </row>
    <row r="19" spans="1:31" s="46" customFormat="1" ht="27.95" customHeight="1" x14ac:dyDescent="0.15">
      <c r="A19" s="40">
        <v>17</v>
      </c>
      <c r="B19" s="24">
        <v>14017</v>
      </c>
      <c r="C19" s="24" t="s">
        <v>1896</v>
      </c>
      <c r="D19" s="24" t="s">
        <v>1896</v>
      </c>
      <c r="E19" s="24" t="s">
        <v>1896</v>
      </c>
      <c r="F19" s="142" t="s">
        <v>1273</v>
      </c>
      <c r="G19" s="21" t="s">
        <v>2610</v>
      </c>
      <c r="H19" s="81" t="s">
        <v>94</v>
      </c>
      <c r="I19" s="81" t="s">
        <v>1895</v>
      </c>
      <c r="J19" s="44" t="s">
        <v>1709</v>
      </c>
      <c r="K19" s="24" t="s">
        <v>1896</v>
      </c>
      <c r="L19" s="24" t="s">
        <v>1896</v>
      </c>
      <c r="M19" s="24" t="s">
        <v>1896</v>
      </c>
      <c r="N19" s="110" t="s">
        <v>102</v>
      </c>
      <c r="O19" s="44" t="s">
        <v>1911</v>
      </c>
      <c r="P19" s="24" t="s">
        <v>1896</v>
      </c>
      <c r="Q19" s="111" t="s">
        <v>2863</v>
      </c>
      <c r="R19" s="24" t="s">
        <v>1896</v>
      </c>
      <c r="S19" s="180" t="s">
        <v>2960</v>
      </c>
      <c r="T19" s="24" t="s">
        <v>1896</v>
      </c>
      <c r="U19" s="10" t="s">
        <v>110</v>
      </c>
      <c r="V19" s="72">
        <v>2</v>
      </c>
      <c r="W19" s="24" t="s">
        <v>1896</v>
      </c>
      <c r="X19" s="24" t="s">
        <v>1896</v>
      </c>
      <c r="Y19" s="73">
        <v>0</v>
      </c>
      <c r="Z19" s="73">
        <v>45</v>
      </c>
      <c r="AA19" s="96">
        <v>45</v>
      </c>
      <c r="AB19" s="24" t="s">
        <v>1896</v>
      </c>
      <c r="AC19" s="24" t="s">
        <v>1896</v>
      </c>
      <c r="AD19" s="24" t="s">
        <v>1896</v>
      </c>
      <c r="AE19" s="381"/>
    </row>
    <row r="20" spans="1:31" s="46" customFormat="1" ht="27.95" customHeight="1" x14ac:dyDescent="0.15">
      <c r="A20" s="40">
        <v>18</v>
      </c>
      <c r="B20" s="24">
        <v>14018</v>
      </c>
      <c r="C20" s="24" t="s">
        <v>1896</v>
      </c>
      <c r="D20" s="24" t="s">
        <v>1896</v>
      </c>
      <c r="E20" s="24" t="s">
        <v>1896</v>
      </c>
      <c r="F20" s="142" t="s">
        <v>1934</v>
      </c>
      <c r="G20" s="21" t="s">
        <v>2610</v>
      </c>
      <c r="H20" s="81" t="s">
        <v>94</v>
      </c>
      <c r="I20" s="81" t="s">
        <v>1895</v>
      </c>
      <c r="J20" s="44" t="s">
        <v>1917</v>
      </c>
      <c r="K20" s="24" t="s">
        <v>1896</v>
      </c>
      <c r="L20" s="24" t="s">
        <v>1896</v>
      </c>
      <c r="M20" s="24" t="s">
        <v>1896</v>
      </c>
      <c r="N20" s="110" t="s">
        <v>102</v>
      </c>
      <c r="O20" s="44" t="s">
        <v>1911</v>
      </c>
      <c r="P20" s="24" t="s">
        <v>1896</v>
      </c>
      <c r="Q20" s="111" t="s">
        <v>2863</v>
      </c>
      <c r="R20" s="24" t="s">
        <v>1896</v>
      </c>
      <c r="S20" s="180" t="s">
        <v>2960</v>
      </c>
      <c r="T20" s="24" t="s">
        <v>1896</v>
      </c>
      <c r="U20" s="10" t="s">
        <v>110</v>
      </c>
      <c r="V20" s="72">
        <v>2</v>
      </c>
      <c r="W20" s="24" t="s">
        <v>1896</v>
      </c>
      <c r="X20" s="24" t="s">
        <v>1896</v>
      </c>
      <c r="Y20" s="73">
        <v>0</v>
      </c>
      <c r="Z20" s="73">
        <v>45</v>
      </c>
      <c r="AA20" s="96">
        <v>45</v>
      </c>
      <c r="AB20" s="24" t="s">
        <v>1896</v>
      </c>
      <c r="AC20" s="24" t="s">
        <v>1896</v>
      </c>
      <c r="AD20" s="24" t="s">
        <v>1896</v>
      </c>
      <c r="AE20" s="381"/>
    </row>
    <row r="21" spans="1:31" s="46" customFormat="1" ht="27.95" customHeight="1" x14ac:dyDescent="0.15">
      <c r="A21" s="40">
        <v>19</v>
      </c>
      <c r="B21" s="24">
        <v>14019</v>
      </c>
      <c r="C21" s="24" t="s">
        <v>1896</v>
      </c>
      <c r="D21" s="24" t="s">
        <v>1896</v>
      </c>
      <c r="E21" s="24" t="s">
        <v>1896</v>
      </c>
      <c r="F21" s="142" t="s">
        <v>1269</v>
      </c>
      <c r="G21" s="21" t="s">
        <v>2610</v>
      </c>
      <c r="H21" s="81" t="s">
        <v>94</v>
      </c>
      <c r="I21" s="81" t="s">
        <v>1895</v>
      </c>
      <c r="J21" s="44" t="s">
        <v>1707</v>
      </c>
      <c r="K21" s="24" t="s">
        <v>1896</v>
      </c>
      <c r="L21" s="24" t="s">
        <v>1896</v>
      </c>
      <c r="M21" s="24" t="s">
        <v>1896</v>
      </c>
      <c r="N21" s="110" t="s">
        <v>102</v>
      </c>
      <c r="O21" s="44" t="s">
        <v>1911</v>
      </c>
      <c r="P21" s="24" t="s">
        <v>1896</v>
      </c>
      <c r="Q21" s="111" t="s">
        <v>2863</v>
      </c>
      <c r="R21" s="24" t="s">
        <v>1896</v>
      </c>
      <c r="S21" s="180" t="s">
        <v>2960</v>
      </c>
      <c r="T21" s="24" t="s">
        <v>1896</v>
      </c>
      <c r="U21" s="10" t="s">
        <v>110</v>
      </c>
      <c r="V21" s="72">
        <v>2</v>
      </c>
      <c r="W21" s="24" t="s">
        <v>1896</v>
      </c>
      <c r="X21" s="24" t="s">
        <v>1896</v>
      </c>
      <c r="Y21" s="73">
        <v>0</v>
      </c>
      <c r="Z21" s="73">
        <v>45</v>
      </c>
      <c r="AA21" s="96">
        <v>45</v>
      </c>
      <c r="AB21" s="24" t="s">
        <v>1896</v>
      </c>
      <c r="AC21" s="24" t="s">
        <v>1896</v>
      </c>
      <c r="AD21" s="24" t="s">
        <v>1896</v>
      </c>
      <c r="AE21" s="381"/>
    </row>
    <row r="22" spans="1:31" s="46" customFormat="1" ht="27.95" customHeight="1" x14ac:dyDescent="0.15">
      <c r="A22" s="40">
        <v>20</v>
      </c>
      <c r="B22" s="24">
        <v>14020</v>
      </c>
      <c r="C22" s="24" t="s">
        <v>1896</v>
      </c>
      <c r="D22" s="24" t="s">
        <v>1896</v>
      </c>
      <c r="E22" s="24" t="s">
        <v>1896</v>
      </c>
      <c r="F22" s="142" t="s">
        <v>1935</v>
      </c>
      <c r="G22" s="21" t="s">
        <v>2610</v>
      </c>
      <c r="H22" s="81" t="s">
        <v>94</v>
      </c>
      <c r="I22" s="81" t="s">
        <v>1895</v>
      </c>
      <c r="J22" s="44" t="s">
        <v>1918</v>
      </c>
      <c r="K22" s="24" t="s">
        <v>1896</v>
      </c>
      <c r="L22" s="24" t="s">
        <v>1896</v>
      </c>
      <c r="M22" s="24" t="s">
        <v>1896</v>
      </c>
      <c r="N22" s="110" t="s">
        <v>102</v>
      </c>
      <c r="O22" s="44" t="s">
        <v>1911</v>
      </c>
      <c r="P22" s="24" t="s">
        <v>1896</v>
      </c>
      <c r="Q22" s="111" t="s">
        <v>2863</v>
      </c>
      <c r="R22" s="24" t="s">
        <v>1896</v>
      </c>
      <c r="S22" s="180" t="s">
        <v>2960</v>
      </c>
      <c r="T22" s="24" t="s">
        <v>1896</v>
      </c>
      <c r="U22" s="10" t="s">
        <v>110</v>
      </c>
      <c r="V22" s="72">
        <v>2</v>
      </c>
      <c r="W22" s="24" t="s">
        <v>1896</v>
      </c>
      <c r="X22" s="24" t="s">
        <v>1896</v>
      </c>
      <c r="Y22" s="73">
        <v>0</v>
      </c>
      <c r="Z22" s="73">
        <v>45</v>
      </c>
      <c r="AA22" s="96">
        <v>45</v>
      </c>
      <c r="AB22" s="24" t="s">
        <v>1896</v>
      </c>
      <c r="AC22" s="24" t="s">
        <v>1896</v>
      </c>
      <c r="AD22" s="24" t="s">
        <v>1896</v>
      </c>
      <c r="AE22" s="381"/>
    </row>
    <row r="23" spans="1:31" s="46" customFormat="1" ht="27.95" customHeight="1" x14ac:dyDescent="0.15">
      <c r="A23" s="40">
        <v>21</v>
      </c>
      <c r="B23" s="24">
        <v>14021</v>
      </c>
      <c r="C23" s="24" t="s">
        <v>1896</v>
      </c>
      <c r="D23" s="24" t="s">
        <v>1896</v>
      </c>
      <c r="E23" s="24" t="s">
        <v>1896</v>
      </c>
      <c r="F23" s="24" t="s">
        <v>1361</v>
      </c>
      <c r="G23" s="21" t="s">
        <v>2610</v>
      </c>
      <c r="H23" s="81" t="s">
        <v>94</v>
      </c>
      <c r="I23" s="44" t="s">
        <v>1895</v>
      </c>
      <c r="J23" s="81" t="s">
        <v>3148</v>
      </c>
      <c r="K23" s="24" t="s">
        <v>1896</v>
      </c>
      <c r="L23" s="24" t="s">
        <v>1896</v>
      </c>
      <c r="M23" s="24" t="s">
        <v>1896</v>
      </c>
      <c r="N23" s="110" t="s">
        <v>102</v>
      </c>
      <c r="O23" s="44" t="s">
        <v>1911</v>
      </c>
      <c r="P23" s="24" t="s">
        <v>1896</v>
      </c>
      <c r="Q23" s="111" t="s">
        <v>2863</v>
      </c>
      <c r="R23" s="24" t="s">
        <v>1896</v>
      </c>
      <c r="S23" s="180" t="s">
        <v>2960</v>
      </c>
      <c r="T23" s="24" t="s">
        <v>1896</v>
      </c>
      <c r="U23" s="10" t="s">
        <v>110</v>
      </c>
      <c r="V23" s="72">
        <v>2</v>
      </c>
      <c r="W23" s="24" t="s">
        <v>1896</v>
      </c>
      <c r="X23" s="24" t="s">
        <v>1896</v>
      </c>
      <c r="Y23" s="73">
        <v>0</v>
      </c>
      <c r="Z23" s="73">
        <v>135</v>
      </c>
      <c r="AA23" s="96">
        <v>135</v>
      </c>
      <c r="AB23" s="24" t="s">
        <v>1896</v>
      </c>
      <c r="AC23" s="24" t="s">
        <v>1896</v>
      </c>
      <c r="AD23" s="24" t="s">
        <v>1896</v>
      </c>
      <c r="AE23" s="381"/>
    </row>
    <row r="24" spans="1:31" s="46" customFormat="1" ht="27.95" customHeight="1" x14ac:dyDescent="0.15">
      <c r="A24" s="40">
        <v>22</v>
      </c>
      <c r="B24" s="24">
        <v>14022</v>
      </c>
      <c r="C24" s="24" t="s">
        <v>1896</v>
      </c>
      <c r="D24" s="24" t="s">
        <v>1896</v>
      </c>
      <c r="E24" s="24" t="s">
        <v>1896</v>
      </c>
      <c r="F24" s="20" t="s">
        <v>1937</v>
      </c>
      <c r="G24" s="20" t="s">
        <v>2612</v>
      </c>
      <c r="H24" s="83" t="s">
        <v>1923</v>
      </c>
      <c r="I24" s="83" t="s">
        <v>1922</v>
      </c>
      <c r="J24" s="44" t="s">
        <v>1924</v>
      </c>
      <c r="K24" s="24" t="s">
        <v>1896</v>
      </c>
      <c r="L24" s="24" t="s">
        <v>1896</v>
      </c>
      <c r="M24" s="24" t="s">
        <v>1896</v>
      </c>
      <c r="N24" s="110" t="s">
        <v>102</v>
      </c>
      <c r="O24" s="44" t="s">
        <v>1741</v>
      </c>
      <c r="P24" s="24" t="s">
        <v>1896</v>
      </c>
      <c r="Q24" s="111" t="s">
        <v>2860</v>
      </c>
      <c r="R24" s="24" t="s">
        <v>1896</v>
      </c>
      <c r="S24" s="181" t="s">
        <v>2961</v>
      </c>
      <c r="T24" s="24" t="s">
        <v>1896</v>
      </c>
      <c r="U24" s="10" t="s">
        <v>110</v>
      </c>
      <c r="V24" s="72">
        <v>2</v>
      </c>
      <c r="W24" s="24" t="s">
        <v>1896</v>
      </c>
      <c r="X24" s="24" t="s">
        <v>1896</v>
      </c>
      <c r="Y24" s="73">
        <v>0</v>
      </c>
      <c r="Z24" s="73">
        <v>20</v>
      </c>
      <c r="AA24" s="96">
        <v>20</v>
      </c>
      <c r="AB24" s="24" t="s">
        <v>1896</v>
      </c>
      <c r="AC24" s="24" t="s">
        <v>1896</v>
      </c>
      <c r="AD24" s="24" t="s">
        <v>1896</v>
      </c>
      <c r="AE24" s="381"/>
    </row>
    <row r="25" spans="1:31" s="46" customFormat="1" ht="27.95" customHeight="1" x14ac:dyDescent="0.15">
      <c r="A25" s="40">
        <v>23</v>
      </c>
      <c r="B25" s="24">
        <v>14023</v>
      </c>
      <c r="C25" s="24" t="s">
        <v>1896</v>
      </c>
      <c r="D25" s="24" t="s">
        <v>1896</v>
      </c>
      <c r="E25" s="24" t="s">
        <v>1896</v>
      </c>
      <c r="F25" s="20" t="s">
        <v>1318</v>
      </c>
      <c r="G25" s="20" t="s">
        <v>2613</v>
      </c>
      <c r="H25" s="83" t="s">
        <v>1419</v>
      </c>
      <c r="I25" s="81" t="s">
        <v>993</v>
      </c>
      <c r="J25" s="44" t="s">
        <v>1672</v>
      </c>
      <c r="K25" s="24" t="s">
        <v>1896</v>
      </c>
      <c r="L25" s="24" t="s">
        <v>1896</v>
      </c>
      <c r="M25" s="24" t="s">
        <v>1896</v>
      </c>
      <c r="N25" s="110" t="s">
        <v>102</v>
      </c>
      <c r="O25" s="44" t="s">
        <v>851</v>
      </c>
      <c r="P25" s="24" t="s">
        <v>1896</v>
      </c>
      <c r="Q25" s="111" t="s">
        <v>2891</v>
      </c>
      <c r="R25" s="24" t="s">
        <v>1896</v>
      </c>
      <c r="S25" s="181" t="s">
        <v>2962</v>
      </c>
      <c r="T25" s="24" t="s">
        <v>1896</v>
      </c>
      <c r="U25" s="10" t="s">
        <v>110</v>
      </c>
      <c r="V25" s="72">
        <v>2</v>
      </c>
      <c r="W25" s="24" t="s">
        <v>1896</v>
      </c>
      <c r="X25" s="24" t="s">
        <v>1896</v>
      </c>
      <c r="Y25" s="73">
        <v>0</v>
      </c>
      <c r="Z25" s="73">
        <v>17</v>
      </c>
      <c r="AA25" s="96">
        <v>17</v>
      </c>
      <c r="AB25" s="24" t="s">
        <v>1896</v>
      </c>
      <c r="AC25" s="24" t="s">
        <v>1896</v>
      </c>
      <c r="AD25" s="24" t="s">
        <v>1896</v>
      </c>
      <c r="AE25" s="381"/>
    </row>
    <row r="26" spans="1:31" s="46" customFormat="1" ht="27.95" customHeight="1" x14ac:dyDescent="0.15">
      <c r="A26" s="40">
        <v>24</v>
      </c>
      <c r="B26" s="125" t="s">
        <v>3480</v>
      </c>
      <c r="C26" s="24" t="s">
        <v>1896</v>
      </c>
      <c r="D26" s="24" t="s">
        <v>1896</v>
      </c>
      <c r="E26" s="24" t="s">
        <v>1896</v>
      </c>
      <c r="F26" s="142" t="s">
        <v>2614</v>
      </c>
      <c r="G26" s="142" t="s">
        <v>2615</v>
      </c>
      <c r="H26" s="83" t="s">
        <v>94</v>
      </c>
      <c r="I26" s="81" t="s">
        <v>112</v>
      </c>
      <c r="J26" s="44" t="s">
        <v>2867</v>
      </c>
      <c r="K26" s="24" t="s">
        <v>1896</v>
      </c>
      <c r="L26" s="24" t="s">
        <v>1896</v>
      </c>
      <c r="M26" s="24" t="s">
        <v>1896</v>
      </c>
      <c r="N26" s="110" t="s">
        <v>2879</v>
      </c>
      <c r="O26" s="44" t="s">
        <v>2879</v>
      </c>
      <c r="P26" s="24" t="s">
        <v>1896</v>
      </c>
      <c r="Q26" s="111" t="s">
        <v>1751</v>
      </c>
      <c r="R26" s="24" t="s">
        <v>1896</v>
      </c>
      <c r="S26" s="24" t="s">
        <v>1896</v>
      </c>
      <c r="T26" s="24" t="s">
        <v>1896</v>
      </c>
      <c r="U26" s="72" t="s">
        <v>3417</v>
      </c>
      <c r="V26" s="72">
        <v>0</v>
      </c>
      <c r="W26" s="24" t="s">
        <v>1896</v>
      </c>
      <c r="X26" s="24" t="s">
        <v>1896</v>
      </c>
      <c r="Y26" s="73">
        <v>9.5911000000000008</v>
      </c>
      <c r="Z26" s="73">
        <v>0</v>
      </c>
      <c r="AA26" s="96">
        <v>9.5911000000000008</v>
      </c>
      <c r="AB26" s="24" t="s">
        <v>1896</v>
      </c>
      <c r="AC26" s="24" t="s">
        <v>1896</v>
      </c>
      <c r="AD26" s="24" t="s">
        <v>1896</v>
      </c>
      <c r="AE26" s="381"/>
    </row>
    <row r="27" spans="1:31" s="46" customFormat="1" ht="27.95" customHeight="1" x14ac:dyDescent="0.15">
      <c r="A27" s="40">
        <v>25</v>
      </c>
      <c r="B27" s="125" t="s">
        <v>3480</v>
      </c>
      <c r="C27" s="24" t="s">
        <v>1896</v>
      </c>
      <c r="D27" s="24" t="s">
        <v>1896</v>
      </c>
      <c r="E27" s="24" t="s">
        <v>1896</v>
      </c>
      <c r="F27" s="142" t="s">
        <v>2614</v>
      </c>
      <c r="G27" s="142" t="s">
        <v>2616</v>
      </c>
      <c r="H27" s="83" t="s">
        <v>94</v>
      </c>
      <c r="I27" s="81" t="s">
        <v>112</v>
      </c>
      <c r="J27" s="44" t="s">
        <v>1661</v>
      </c>
      <c r="K27" s="24" t="s">
        <v>1896</v>
      </c>
      <c r="L27" s="24" t="s">
        <v>1896</v>
      </c>
      <c r="M27" s="24" t="s">
        <v>1896</v>
      </c>
      <c r="N27" s="110" t="s">
        <v>2880</v>
      </c>
      <c r="O27" s="44" t="s">
        <v>2880</v>
      </c>
      <c r="P27" s="24" t="s">
        <v>1896</v>
      </c>
      <c r="Q27" s="111" t="s">
        <v>1751</v>
      </c>
      <c r="R27" s="24" t="s">
        <v>1896</v>
      </c>
      <c r="S27" s="24" t="s">
        <v>1896</v>
      </c>
      <c r="T27" s="24" t="s">
        <v>1896</v>
      </c>
      <c r="U27" s="72" t="s">
        <v>3417</v>
      </c>
      <c r="V27" s="72">
        <v>0</v>
      </c>
      <c r="W27" s="24" t="s">
        <v>1896</v>
      </c>
      <c r="X27" s="24" t="s">
        <v>1896</v>
      </c>
      <c r="Y27" s="73">
        <v>8.9710999999999999</v>
      </c>
      <c r="Z27" s="73">
        <v>0</v>
      </c>
      <c r="AA27" s="96">
        <v>8.9710999999999999</v>
      </c>
      <c r="AB27" s="24" t="s">
        <v>1896</v>
      </c>
      <c r="AC27" s="24" t="s">
        <v>1896</v>
      </c>
      <c r="AD27" s="24" t="s">
        <v>1896</v>
      </c>
      <c r="AE27" s="381"/>
    </row>
    <row r="28" spans="1:31" s="46" customFormat="1" ht="27.95" customHeight="1" x14ac:dyDescent="0.15">
      <c r="A28" s="40">
        <v>26</v>
      </c>
      <c r="B28" s="125">
        <v>14024</v>
      </c>
      <c r="C28" s="24" t="s">
        <v>1896</v>
      </c>
      <c r="D28" s="24" t="s">
        <v>1896</v>
      </c>
      <c r="E28" s="24" t="s">
        <v>1896</v>
      </c>
      <c r="F28" s="142" t="s">
        <v>2617</v>
      </c>
      <c r="G28" s="142" t="s">
        <v>2618</v>
      </c>
      <c r="H28" s="83" t="s">
        <v>94</v>
      </c>
      <c r="I28" s="45" t="s">
        <v>1416</v>
      </c>
      <c r="J28" s="108" t="s">
        <v>1667</v>
      </c>
      <c r="K28" s="24" t="s">
        <v>1896</v>
      </c>
      <c r="L28" s="24" t="s">
        <v>1896</v>
      </c>
      <c r="M28" s="24" t="s">
        <v>1896</v>
      </c>
      <c r="N28" s="108" t="s">
        <v>102</v>
      </c>
      <c r="O28" s="45" t="s">
        <v>1743</v>
      </c>
      <c r="P28" s="24" t="s">
        <v>1896</v>
      </c>
      <c r="Q28" s="111" t="s">
        <v>2863</v>
      </c>
      <c r="R28" s="24" t="s">
        <v>1896</v>
      </c>
      <c r="S28" s="182">
        <v>41974</v>
      </c>
      <c r="T28" s="24" t="s">
        <v>1896</v>
      </c>
      <c r="U28" s="10" t="s">
        <v>110</v>
      </c>
      <c r="V28" s="72">
        <v>1</v>
      </c>
      <c r="W28" s="24" t="s">
        <v>1896</v>
      </c>
      <c r="X28" s="24" t="s">
        <v>1896</v>
      </c>
      <c r="Y28" s="73">
        <v>26.8</v>
      </c>
      <c r="Z28" s="73">
        <v>0</v>
      </c>
      <c r="AA28" s="171">
        <v>26.8</v>
      </c>
      <c r="AB28" s="24" t="s">
        <v>1896</v>
      </c>
      <c r="AC28" s="24" t="s">
        <v>1896</v>
      </c>
      <c r="AD28" s="24" t="s">
        <v>1896</v>
      </c>
      <c r="AE28" s="381"/>
    </row>
    <row r="29" spans="1:31" s="46" customFormat="1" ht="27.95" customHeight="1" x14ac:dyDescent="0.15">
      <c r="A29" s="40">
        <v>27</v>
      </c>
      <c r="B29" s="125">
        <v>14025</v>
      </c>
      <c r="C29" s="24" t="s">
        <v>1896</v>
      </c>
      <c r="D29" s="24" t="s">
        <v>1896</v>
      </c>
      <c r="E29" s="24" t="s">
        <v>1896</v>
      </c>
      <c r="F29" s="142" t="s">
        <v>2619</v>
      </c>
      <c r="G29" s="142" t="s">
        <v>2620</v>
      </c>
      <c r="H29" s="142" t="s">
        <v>1487</v>
      </c>
      <c r="I29" s="142" t="s">
        <v>1952</v>
      </c>
      <c r="J29" s="21" t="s">
        <v>1953</v>
      </c>
      <c r="K29" s="24" t="s">
        <v>1896</v>
      </c>
      <c r="L29" s="24" t="s">
        <v>1896</v>
      </c>
      <c r="M29" s="24" t="s">
        <v>1896</v>
      </c>
      <c r="N29" s="108" t="s">
        <v>102</v>
      </c>
      <c r="O29" s="45" t="s">
        <v>2881</v>
      </c>
      <c r="P29" s="24" t="s">
        <v>1896</v>
      </c>
      <c r="Q29" s="111" t="s">
        <v>2890</v>
      </c>
      <c r="R29" s="24" t="s">
        <v>1896</v>
      </c>
      <c r="S29" s="181" t="s">
        <v>2963</v>
      </c>
      <c r="T29" s="24" t="s">
        <v>1896</v>
      </c>
      <c r="U29" s="72" t="s">
        <v>110</v>
      </c>
      <c r="V29" s="72">
        <v>2</v>
      </c>
      <c r="W29" s="24" t="s">
        <v>1896</v>
      </c>
      <c r="X29" s="24" t="s">
        <v>1896</v>
      </c>
      <c r="Y29" s="73">
        <v>12</v>
      </c>
      <c r="Z29" s="73">
        <v>5</v>
      </c>
      <c r="AA29" s="96">
        <v>17</v>
      </c>
      <c r="AB29" s="24" t="s">
        <v>1896</v>
      </c>
      <c r="AC29" s="24" t="s">
        <v>1896</v>
      </c>
      <c r="AD29" s="24" t="s">
        <v>1896</v>
      </c>
      <c r="AE29" s="381"/>
    </row>
    <row r="30" spans="1:31" s="46" customFormat="1" ht="27.95" customHeight="1" x14ac:dyDescent="0.15">
      <c r="A30" s="40">
        <v>28</v>
      </c>
      <c r="B30" s="24">
        <v>14026</v>
      </c>
      <c r="C30" s="24" t="s">
        <v>1896</v>
      </c>
      <c r="D30" s="24" t="s">
        <v>1896</v>
      </c>
      <c r="E30" s="24" t="s">
        <v>1896</v>
      </c>
      <c r="F30" s="20" t="s">
        <v>1161</v>
      </c>
      <c r="G30" s="20" t="s">
        <v>2604</v>
      </c>
      <c r="H30" s="83" t="s">
        <v>94</v>
      </c>
      <c r="I30" s="83" t="s">
        <v>112</v>
      </c>
      <c r="J30" s="44" t="s">
        <v>1661</v>
      </c>
      <c r="K30" s="24" t="s">
        <v>1896</v>
      </c>
      <c r="L30" s="24" t="s">
        <v>1896</v>
      </c>
      <c r="M30" s="24" t="s">
        <v>1896</v>
      </c>
      <c r="N30" s="110" t="s">
        <v>102</v>
      </c>
      <c r="O30" s="44" t="s">
        <v>851</v>
      </c>
      <c r="P30" s="24" t="s">
        <v>1896</v>
      </c>
      <c r="Q30" s="111" t="s">
        <v>2888</v>
      </c>
      <c r="R30" s="24" t="s">
        <v>1896</v>
      </c>
      <c r="S30" s="181" t="s">
        <v>2964</v>
      </c>
      <c r="T30" s="24" t="s">
        <v>1896</v>
      </c>
      <c r="U30" s="10" t="s">
        <v>110</v>
      </c>
      <c r="V30" s="72">
        <v>1</v>
      </c>
      <c r="W30" s="24" t="s">
        <v>1896</v>
      </c>
      <c r="X30" s="24" t="s">
        <v>1896</v>
      </c>
      <c r="Y30" s="73">
        <v>0</v>
      </c>
      <c r="Z30" s="73">
        <v>18</v>
      </c>
      <c r="AA30" s="96">
        <v>18</v>
      </c>
      <c r="AB30" s="24" t="s">
        <v>1896</v>
      </c>
      <c r="AC30" s="24" t="s">
        <v>1896</v>
      </c>
      <c r="AD30" s="24" t="s">
        <v>1896</v>
      </c>
      <c r="AE30" s="381"/>
    </row>
    <row r="31" spans="1:31" s="46" customFormat="1" ht="27.95" customHeight="1" x14ac:dyDescent="0.15">
      <c r="A31" s="40">
        <v>29</v>
      </c>
      <c r="B31" s="24">
        <v>14027</v>
      </c>
      <c r="C31" s="24" t="s">
        <v>1896</v>
      </c>
      <c r="D31" s="24" t="s">
        <v>1896</v>
      </c>
      <c r="E31" s="24" t="s">
        <v>1896</v>
      </c>
      <c r="F31" s="20" t="s">
        <v>1161</v>
      </c>
      <c r="G31" s="20" t="s">
        <v>2604</v>
      </c>
      <c r="H31" s="83" t="s">
        <v>94</v>
      </c>
      <c r="I31" s="83" t="s">
        <v>112</v>
      </c>
      <c r="J31" s="44" t="s">
        <v>1662</v>
      </c>
      <c r="K31" s="24" t="s">
        <v>1896</v>
      </c>
      <c r="L31" s="24" t="s">
        <v>1896</v>
      </c>
      <c r="M31" s="24" t="s">
        <v>1896</v>
      </c>
      <c r="N31" s="110" t="s">
        <v>102</v>
      </c>
      <c r="O31" s="44" t="s">
        <v>851</v>
      </c>
      <c r="P31" s="24" t="s">
        <v>1896</v>
      </c>
      <c r="Q31" s="111" t="s">
        <v>2888</v>
      </c>
      <c r="R31" s="24" t="s">
        <v>1896</v>
      </c>
      <c r="S31" s="181" t="s">
        <v>2964</v>
      </c>
      <c r="T31" s="24" t="s">
        <v>1896</v>
      </c>
      <c r="U31" s="10" t="s">
        <v>110</v>
      </c>
      <c r="V31" s="72">
        <v>1</v>
      </c>
      <c r="W31" s="24" t="s">
        <v>1896</v>
      </c>
      <c r="X31" s="24" t="s">
        <v>1896</v>
      </c>
      <c r="Y31" s="73">
        <v>0</v>
      </c>
      <c r="Z31" s="73">
        <v>18</v>
      </c>
      <c r="AA31" s="96">
        <v>18</v>
      </c>
      <c r="AB31" s="24" t="s">
        <v>1896</v>
      </c>
      <c r="AC31" s="24" t="s">
        <v>1896</v>
      </c>
      <c r="AD31" s="24" t="s">
        <v>1896</v>
      </c>
      <c r="AE31" s="381"/>
    </row>
    <row r="32" spans="1:31" s="46" customFormat="1" ht="27.95" customHeight="1" x14ac:dyDescent="0.15">
      <c r="A32" s="40">
        <v>30</v>
      </c>
      <c r="B32" s="24">
        <v>14028</v>
      </c>
      <c r="C32" s="24" t="s">
        <v>1896</v>
      </c>
      <c r="D32" s="24" t="s">
        <v>1896</v>
      </c>
      <c r="E32" s="24" t="s">
        <v>1896</v>
      </c>
      <c r="F32" s="20" t="s">
        <v>1164</v>
      </c>
      <c r="G32" s="20" t="s">
        <v>2604</v>
      </c>
      <c r="H32" s="83" t="s">
        <v>94</v>
      </c>
      <c r="I32" s="83" t="s">
        <v>112</v>
      </c>
      <c r="J32" s="44" t="s">
        <v>531</v>
      </c>
      <c r="K32" s="24" t="s">
        <v>1896</v>
      </c>
      <c r="L32" s="24" t="s">
        <v>1896</v>
      </c>
      <c r="M32" s="24" t="s">
        <v>1896</v>
      </c>
      <c r="N32" s="110" t="s">
        <v>102</v>
      </c>
      <c r="O32" s="44" t="s">
        <v>851</v>
      </c>
      <c r="P32" s="24" t="s">
        <v>1896</v>
      </c>
      <c r="Q32" s="111" t="s">
        <v>2888</v>
      </c>
      <c r="R32" s="24" t="s">
        <v>1896</v>
      </c>
      <c r="S32" s="181" t="s">
        <v>2964</v>
      </c>
      <c r="T32" s="24" t="s">
        <v>1896</v>
      </c>
      <c r="U32" s="10" t="s">
        <v>110</v>
      </c>
      <c r="V32" s="72">
        <v>1</v>
      </c>
      <c r="W32" s="24" t="s">
        <v>1896</v>
      </c>
      <c r="X32" s="24" t="s">
        <v>1896</v>
      </c>
      <c r="Y32" s="73">
        <v>0</v>
      </c>
      <c r="Z32" s="73">
        <v>18</v>
      </c>
      <c r="AA32" s="96">
        <v>18</v>
      </c>
      <c r="AB32" s="24" t="s">
        <v>1896</v>
      </c>
      <c r="AC32" s="24" t="s">
        <v>1896</v>
      </c>
      <c r="AD32" s="24" t="s">
        <v>1896</v>
      </c>
      <c r="AE32" s="381"/>
    </row>
    <row r="33" spans="1:31" s="46" customFormat="1" ht="27.95" customHeight="1" x14ac:dyDescent="0.15">
      <c r="A33" s="40">
        <v>31</v>
      </c>
      <c r="B33" s="24">
        <v>14029</v>
      </c>
      <c r="C33" s="24" t="s">
        <v>1896</v>
      </c>
      <c r="D33" s="24" t="s">
        <v>1896</v>
      </c>
      <c r="E33" s="24" t="s">
        <v>1896</v>
      </c>
      <c r="F33" s="20" t="s">
        <v>2621</v>
      </c>
      <c r="G33" s="20" t="s">
        <v>2604</v>
      </c>
      <c r="H33" s="83" t="s">
        <v>94</v>
      </c>
      <c r="I33" s="83" t="s">
        <v>112</v>
      </c>
      <c r="J33" s="44" t="s">
        <v>1663</v>
      </c>
      <c r="K33" s="24" t="s">
        <v>1896</v>
      </c>
      <c r="L33" s="24" t="s">
        <v>1896</v>
      </c>
      <c r="M33" s="24" t="s">
        <v>1896</v>
      </c>
      <c r="N33" s="110" t="s">
        <v>102</v>
      </c>
      <c r="O33" s="44" t="s">
        <v>851</v>
      </c>
      <c r="P33" s="24" t="s">
        <v>1896</v>
      </c>
      <c r="Q33" s="111" t="s">
        <v>2888</v>
      </c>
      <c r="R33" s="24" t="s">
        <v>1896</v>
      </c>
      <c r="S33" s="181" t="s">
        <v>2964</v>
      </c>
      <c r="T33" s="24" t="s">
        <v>1896</v>
      </c>
      <c r="U33" s="10" t="s">
        <v>110</v>
      </c>
      <c r="V33" s="72">
        <v>1</v>
      </c>
      <c r="W33" s="24" t="s">
        <v>1896</v>
      </c>
      <c r="X33" s="24" t="s">
        <v>1896</v>
      </c>
      <c r="Y33" s="73">
        <v>0</v>
      </c>
      <c r="Z33" s="73">
        <v>18</v>
      </c>
      <c r="AA33" s="96">
        <v>18</v>
      </c>
      <c r="AB33" s="24" t="s">
        <v>1896</v>
      </c>
      <c r="AC33" s="24" t="s">
        <v>1896</v>
      </c>
      <c r="AD33" s="24" t="s">
        <v>1896</v>
      </c>
      <c r="AE33" s="381"/>
    </row>
    <row r="34" spans="1:31" s="46" customFormat="1" ht="27.95" customHeight="1" x14ac:dyDescent="0.15">
      <c r="A34" s="40">
        <v>32</v>
      </c>
      <c r="B34" s="24">
        <v>14030</v>
      </c>
      <c r="C34" s="24" t="s">
        <v>1896</v>
      </c>
      <c r="D34" s="24" t="s">
        <v>1896</v>
      </c>
      <c r="E34" s="24" t="s">
        <v>1896</v>
      </c>
      <c r="F34" s="20" t="s">
        <v>1166</v>
      </c>
      <c r="G34" s="20" t="s">
        <v>2604</v>
      </c>
      <c r="H34" s="83" t="s">
        <v>94</v>
      </c>
      <c r="I34" s="83" t="s">
        <v>112</v>
      </c>
      <c r="J34" s="44" t="s">
        <v>527</v>
      </c>
      <c r="K34" s="24" t="s">
        <v>1896</v>
      </c>
      <c r="L34" s="24" t="s">
        <v>1896</v>
      </c>
      <c r="M34" s="24" t="s">
        <v>1896</v>
      </c>
      <c r="N34" s="110" t="s">
        <v>102</v>
      </c>
      <c r="O34" s="44" t="s">
        <v>851</v>
      </c>
      <c r="P34" s="24" t="s">
        <v>1896</v>
      </c>
      <c r="Q34" s="111" t="s">
        <v>2888</v>
      </c>
      <c r="R34" s="24" t="s">
        <v>1896</v>
      </c>
      <c r="S34" s="181" t="s">
        <v>2964</v>
      </c>
      <c r="T34" s="24" t="s">
        <v>1896</v>
      </c>
      <c r="U34" s="10" t="s">
        <v>110</v>
      </c>
      <c r="V34" s="72">
        <v>1</v>
      </c>
      <c r="W34" s="24" t="s">
        <v>1896</v>
      </c>
      <c r="X34" s="24" t="s">
        <v>1896</v>
      </c>
      <c r="Y34" s="73">
        <v>0</v>
      </c>
      <c r="Z34" s="73">
        <v>18</v>
      </c>
      <c r="AA34" s="96">
        <v>18</v>
      </c>
      <c r="AB34" s="24" t="s">
        <v>1896</v>
      </c>
      <c r="AC34" s="24" t="s">
        <v>1896</v>
      </c>
      <c r="AD34" s="24" t="s">
        <v>1896</v>
      </c>
      <c r="AE34" s="381"/>
    </row>
    <row r="35" spans="1:31" s="46" customFormat="1" ht="27.95" customHeight="1" x14ac:dyDescent="0.15">
      <c r="A35" s="40">
        <v>33</v>
      </c>
      <c r="B35" s="24">
        <v>14031</v>
      </c>
      <c r="C35" s="24" t="s">
        <v>1896</v>
      </c>
      <c r="D35" s="24" t="s">
        <v>1896</v>
      </c>
      <c r="E35" s="24" t="s">
        <v>1896</v>
      </c>
      <c r="F35" s="20" t="s">
        <v>1161</v>
      </c>
      <c r="G35" s="20" t="s">
        <v>2622</v>
      </c>
      <c r="H35" s="83" t="s">
        <v>94</v>
      </c>
      <c r="I35" s="83" t="s">
        <v>112</v>
      </c>
      <c r="J35" s="45" t="s">
        <v>1661</v>
      </c>
      <c r="K35" s="24" t="s">
        <v>1896</v>
      </c>
      <c r="L35" s="24" t="s">
        <v>1896</v>
      </c>
      <c r="M35" s="24" t="s">
        <v>1896</v>
      </c>
      <c r="N35" s="108" t="s">
        <v>2848</v>
      </c>
      <c r="O35" s="108" t="s">
        <v>1739</v>
      </c>
      <c r="P35" s="24" t="s">
        <v>1896</v>
      </c>
      <c r="Q35" s="111" t="s">
        <v>2888</v>
      </c>
      <c r="R35" s="24" t="s">
        <v>1896</v>
      </c>
      <c r="S35" s="180" t="s">
        <v>2965</v>
      </c>
      <c r="T35" s="24" t="s">
        <v>1896</v>
      </c>
      <c r="U35" s="10" t="s">
        <v>110</v>
      </c>
      <c r="V35" s="72">
        <v>1</v>
      </c>
      <c r="W35" s="24" t="s">
        <v>1896</v>
      </c>
      <c r="X35" s="24" t="s">
        <v>1896</v>
      </c>
      <c r="Y35" s="73">
        <v>9</v>
      </c>
      <c r="Z35" s="73">
        <v>0</v>
      </c>
      <c r="AA35" s="96">
        <v>9</v>
      </c>
      <c r="AB35" s="24" t="s">
        <v>1896</v>
      </c>
      <c r="AC35" s="24" t="s">
        <v>1896</v>
      </c>
      <c r="AD35" s="24" t="s">
        <v>1896</v>
      </c>
      <c r="AE35" s="381"/>
    </row>
    <row r="36" spans="1:31" s="46" customFormat="1" ht="27.95" customHeight="1" x14ac:dyDescent="0.15">
      <c r="A36" s="40">
        <v>34</v>
      </c>
      <c r="B36" s="24">
        <v>14032</v>
      </c>
      <c r="C36" s="24" t="s">
        <v>1896</v>
      </c>
      <c r="D36" s="24" t="s">
        <v>1896</v>
      </c>
      <c r="E36" s="24" t="s">
        <v>1896</v>
      </c>
      <c r="F36" s="20" t="s">
        <v>1161</v>
      </c>
      <c r="G36" s="20" t="s">
        <v>2623</v>
      </c>
      <c r="H36" s="83" t="s">
        <v>94</v>
      </c>
      <c r="I36" s="83" t="s">
        <v>112</v>
      </c>
      <c r="J36" s="45" t="s">
        <v>1662</v>
      </c>
      <c r="K36" s="24" t="s">
        <v>1896</v>
      </c>
      <c r="L36" s="24" t="s">
        <v>1896</v>
      </c>
      <c r="M36" s="24" t="s">
        <v>1896</v>
      </c>
      <c r="N36" s="108" t="s">
        <v>2848</v>
      </c>
      <c r="O36" s="108" t="s">
        <v>1739</v>
      </c>
      <c r="P36" s="24" t="s">
        <v>1896</v>
      </c>
      <c r="Q36" s="111" t="s">
        <v>2888</v>
      </c>
      <c r="R36" s="24" t="s">
        <v>1896</v>
      </c>
      <c r="S36" s="180" t="s">
        <v>2965</v>
      </c>
      <c r="T36" s="24" t="s">
        <v>1896</v>
      </c>
      <c r="U36" s="10" t="s">
        <v>110</v>
      </c>
      <c r="V36" s="72">
        <v>1</v>
      </c>
      <c r="W36" s="24" t="s">
        <v>1896</v>
      </c>
      <c r="X36" s="24" t="s">
        <v>1896</v>
      </c>
      <c r="Y36" s="73">
        <v>9</v>
      </c>
      <c r="Z36" s="73">
        <v>0</v>
      </c>
      <c r="AA36" s="96">
        <v>9</v>
      </c>
      <c r="AB36" s="24" t="s">
        <v>1896</v>
      </c>
      <c r="AC36" s="24" t="s">
        <v>1896</v>
      </c>
      <c r="AD36" s="24" t="s">
        <v>1896</v>
      </c>
      <c r="AE36" s="381"/>
    </row>
    <row r="37" spans="1:31" s="46" customFormat="1" ht="27.95" customHeight="1" x14ac:dyDescent="0.15">
      <c r="A37" s="40">
        <v>35</v>
      </c>
      <c r="B37" s="24">
        <v>14033</v>
      </c>
      <c r="C37" s="24" t="s">
        <v>1896</v>
      </c>
      <c r="D37" s="24" t="s">
        <v>1896</v>
      </c>
      <c r="E37" s="24" t="s">
        <v>1896</v>
      </c>
      <c r="F37" s="20" t="s">
        <v>2624</v>
      </c>
      <c r="G37" s="20" t="s">
        <v>2625</v>
      </c>
      <c r="H37" s="83" t="s">
        <v>94</v>
      </c>
      <c r="I37" s="83" t="s">
        <v>112</v>
      </c>
      <c r="J37" s="44" t="s">
        <v>531</v>
      </c>
      <c r="K37" s="24" t="s">
        <v>1896</v>
      </c>
      <c r="L37" s="24" t="s">
        <v>1896</v>
      </c>
      <c r="M37" s="24" t="s">
        <v>1896</v>
      </c>
      <c r="N37" s="108" t="s">
        <v>2848</v>
      </c>
      <c r="O37" s="108" t="s">
        <v>1739</v>
      </c>
      <c r="P37" s="24" t="s">
        <v>1896</v>
      </c>
      <c r="Q37" s="111" t="s">
        <v>2888</v>
      </c>
      <c r="R37" s="24" t="s">
        <v>1896</v>
      </c>
      <c r="S37" s="180" t="s">
        <v>2965</v>
      </c>
      <c r="T37" s="24" t="s">
        <v>1896</v>
      </c>
      <c r="U37" s="10" t="s">
        <v>110</v>
      </c>
      <c r="V37" s="72">
        <v>1</v>
      </c>
      <c r="W37" s="24" t="s">
        <v>1896</v>
      </c>
      <c r="X37" s="24" t="s">
        <v>1896</v>
      </c>
      <c r="Y37" s="73">
        <v>9.5</v>
      </c>
      <c r="Z37" s="73">
        <v>0</v>
      </c>
      <c r="AA37" s="96">
        <v>9.5</v>
      </c>
      <c r="AB37" s="24" t="s">
        <v>1896</v>
      </c>
      <c r="AC37" s="24" t="s">
        <v>1896</v>
      </c>
      <c r="AD37" s="24" t="s">
        <v>1896</v>
      </c>
      <c r="AE37" s="381"/>
    </row>
    <row r="38" spans="1:31" s="46" customFormat="1" ht="27.95" customHeight="1" x14ac:dyDescent="0.15">
      <c r="A38" s="40">
        <v>36</v>
      </c>
      <c r="B38" s="24">
        <v>14034</v>
      </c>
      <c r="C38" s="24" t="s">
        <v>1896</v>
      </c>
      <c r="D38" s="24" t="s">
        <v>1896</v>
      </c>
      <c r="E38" s="24" t="s">
        <v>1896</v>
      </c>
      <c r="F38" s="197" t="s">
        <v>1341</v>
      </c>
      <c r="G38" s="142" t="s">
        <v>2626</v>
      </c>
      <c r="H38" s="81" t="s">
        <v>1419</v>
      </c>
      <c r="I38" s="114" t="s">
        <v>22</v>
      </c>
      <c r="J38" s="108" t="s">
        <v>1678</v>
      </c>
      <c r="K38" s="24" t="s">
        <v>1896</v>
      </c>
      <c r="L38" s="24" t="s">
        <v>1896</v>
      </c>
      <c r="M38" s="24" t="s">
        <v>1896</v>
      </c>
      <c r="N38" s="108" t="s">
        <v>686</v>
      </c>
      <c r="O38" s="44" t="s">
        <v>2882</v>
      </c>
      <c r="P38" s="24" t="s">
        <v>1896</v>
      </c>
      <c r="Q38" s="111" t="s">
        <v>2891</v>
      </c>
      <c r="R38" s="24" t="s">
        <v>1896</v>
      </c>
      <c r="S38" s="182">
        <v>41821</v>
      </c>
      <c r="T38" s="24" t="s">
        <v>1896</v>
      </c>
      <c r="U38" s="10" t="s">
        <v>110</v>
      </c>
      <c r="V38" s="72">
        <v>2</v>
      </c>
      <c r="W38" s="24" t="s">
        <v>1896</v>
      </c>
      <c r="X38" s="24" t="s">
        <v>1896</v>
      </c>
      <c r="Y38" s="73">
        <v>29</v>
      </c>
      <c r="Z38" s="73">
        <v>0</v>
      </c>
      <c r="AA38" s="96">
        <v>29</v>
      </c>
      <c r="AB38" s="24" t="s">
        <v>1896</v>
      </c>
      <c r="AC38" s="24" t="s">
        <v>1896</v>
      </c>
      <c r="AD38" s="24" t="s">
        <v>1896</v>
      </c>
      <c r="AE38" s="381"/>
    </row>
    <row r="39" spans="1:31" s="46" customFormat="1" ht="27.95" customHeight="1" x14ac:dyDescent="0.15">
      <c r="A39" s="40">
        <v>37</v>
      </c>
      <c r="B39" s="24">
        <v>14035</v>
      </c>
      <c r="C39" s="24" t="s">
        <v>1896</v>
      </c>
      <c r="D39" s="24" t="s">
        <v>1896</v>
      </c>
      <c r="E39" s="24" t="s">
        <v>1896</v>
      </c>
      <c r="F39" s="197" t="s">
        <v>2627</v>
      </c>
      <c r="G39" s="142" t="s">
        <v>2628</v>
      </c>
      <c r="H39" s="81" t="s">
        <v>1419</v>
      </c>
      <c r="I39" s="81" t="s">
        <v>22</v>
      </c>
      <c r="J39" s="44" t="s">
        <v>1654</v>
      </c>
      <c r="K39" s="24" t="s">
        <v>1896</v>
      </c>
      <c r="L39" s="24" t="s">
        <v>1896</v>
      </c>
      <c r="M39" s="24" t="s">
        <v>1896</v>
      </c>
      <c r="N39" s="108" t="s">
        <v>686</v>
      </c>
      <c r="O39" s="44" t="s">
        <v>2882</v>
      </c>
      <c r="P39" s="24" t="s">
        <v>1896</v>
      </c>
      <c r="Q39" s="111" t="s">
        <v>2891</v>
      </c>
      <c r="R39" s="24" t="s">
        <v>1896</v>
      </c>
      <c r="S39" s="181" t="s">
        <v>2966</v>
      </c>
      <c r="T39" s="24" t="s">
        <v>1896</v>
      </c>
      <c r="U39" s="10" t="s">
        <v>110</v>
      </c>
      <c r="V39" s="72">
        <v>1</v>
      </c>
      <c r="W39" s="24" t="s">
        <v>1896</v>
      </c>
      <c r="X39" s="24" t="s">
        <v>1896</v>
      </c>
      <c r="Y39" s="73">
        <v>14.5</v>
      </c>
      <c r="Z39" s="73">
        <v>0</v>
      </c>
      <c r="AA39" s="96">
        <v>14.5</v>
      </c>
      <c r="AB39" s="24" t="s">
        <v>1896</v>
      </c>
      <c r="AC39" s="24" t="s">
        <v>1896</v>
      </c>
      <c r="AD39" s="24" t="s">
        <v>1896</v>
      </c>
      <c r="AE39" s="381"/>
    </row>
    <row r="40" spans="1:31" s="46" customFormat="1" ht="27.95" customHeight="1" x14ac:dyDescent="0.15">
      <c r="A40" s="40">
        <v>38</v>
      </c>
      <c r="B40" s="125">
        <v>14036</v>
      </c>
      <c r="C40" s="24" t="s">
        <v>1896</v>
      </c>
      <c r="D40" s="24" t="s">
        <v>1896</v>
      </c>
      <c r="E40" s="24" t="s">
        <v>1896</v>
      </c>
      <c r="F40" s="142" t="s">
        <v>2629</v>
      </c>
      <c r="G40" s="142" t="s">
        <v>2630</v>
      </c>
      <c r="H40" s="81" t="s">
        <v>94</v>
      </c>
      <c r="I40" s="81" t="s">
        <v>2868</v>
      </c>
      <c r="J40" s="45" t="s">
        <v>2869</v>
      </c>
      <c r="K40" s="24" t="s">
        <v>1896</v>
      </c>
      <c r="L40" s="24" t="s">
        <v>1896</v>
      </c>
      <c r="M40" s="24" t="s">
        <v>1896</v>
      </c>
      <c r="N40" s="108" t="s">
        <v>102</v>
      </c>
      <c r="O40" s="45" t="s">
        <v>2883</v>
      </c>
      <c r="P40" s="24" t="s">
        <v>1896</v>
      </c>
      <c r="Q40" s="111" t="s">
        <v>2863</v>
      </c>
      <c r="R40" s="24" t="s">
        <v>1896</v>
      </c>
      <c r="S40" s="181" t="s">
        <v>2967</v>
      </c>
      <c r="T40" s="24" t="s">
        <v>1896</v>
      </c>
      <c r="U40" s="72" t="s">
        <v>110</v>
      </c>
      <c r="V40" s="72">
        <v>1</v>
      </c>
      <c r="W40" s="24" t="s">
        <v>1896</v>
      </c>
      <c r="X40" s="24" t="s">
        <v>1896</v>
      </c>
      <c r="Y40" s="73">
        <v>101</v>
      </c>
      <c r="Z40" s="73">
        <v>12</v>
      </c>
      <c r="AA40" s="171">
        <v>113</v>
      </c>
      <c r="AB40" s="24" t="s">
        <v>1896</v>
      </c>
      <c r="AC40" s="24" t="s">
        <v>1896</v>
      </c>
      <c r="AD40" s="24" t="s">
        <v>1896</v>
      </c>
      <c r="AE40" s="381"/>
    </row>
    <row r="41" spans="1:31" s="46" customFormat="1" ht="27.95" customHeight="1" x14ac:dyDescent="0.15">
      <c r="A41" s="40">
        <v>39</v>
      </c>
      <c r="B41" s="125">
        <v>14037</v>
      </c>
      <c r="C41" s="24" t="s">
        <v>1896</v>
      </c>
      <c r="D41" s="24" t="s">
        <v>1896</v>
      </c>
      <c r="E41" s="24" t="s">
        <v>1896</v>
      </c>
      <c r="F41" s="142" t="s">
        <v>2631</v>
      </c>
      <c r="G41" s="142" t="s">
        <v>2632</v>
      </c>
      <c r="H41" s="81" t="s">
        <v>1508</v>
      </c>
      <c r="I41" s="81" t="s">
        <v>1945</v>
      </c>
      <c r="J41" s="45" t="s">
        <v>2870</v>
      </c>
      <c r="K41" s="24" t="s">
        <v>1896</v>
      </c>
      <c r="L41" s="24" t="s">
        <v>1896</v>
      </c>
      <c r="M41" s="24" t="s">
        <v>1896</v>
      </c>
      <c r="N41" s="108" t="s">
        <v>102</v>
      </c>
      <c r="O41" s="45" t="s">
        <v>1760</v>
      </c>
      <c r="P41" s="24" t="s">
        <v>1896</v>
      </c>
      <c r="Q41" s="111" t="s">
        <v>2860</v>
      </c>
      <c r="R41" s="24" t="s">
        <v>1896</v>
      </c>
      <c r="S41" s="182">
        <v>41852</v>
      </c>
      <c r="T41" s="24" t="s">
        <v>1896</v>
      </c>
      <c r="U41" s="72" t="s">
        <v>108</v>
      </c>
      <c r="V41" s="72">
        <v>1</v>
      </c>
      <c r="W41" s="24" t="s">
        <v>1896</v>
      </c>
      <c r="X41" s="24" t="s">
        <v>1896</v>
      </c>
      <c r="Y41" s="73">
        <v>46.8</v>
      </c>
      <c r="Z41" s="73">
        <v>0</v>
      </c>
      <c r="AA41" s="171">
        <v>46.8</v>
      </c>
      <c r="AB41" s="24" t="s">
        <v>1896</v>
      </c>
      <c r="AC41" s="24" t="s">
        <v>1896</v>
      </c>
      <c r="AD41" s="24" t="s">
        <v>1896</v>
      </c>
      <c r="AE41" s="381"/>
    </row>
    <row r="42" spans="1:31" s="46" customFormat="1" ht="27.95" customHeight="1" x14ac:dyDescent="0.15">
      <c r="A42" s="40">
        <v>40</v>
      </c>
      <c r="B42" s="125">
        <v>14038</v>
      </c>
      <c r="C42" s="24" t="s">
        <v>1896</v>
      </c>
      <c r="D42" s="24" t="s">
        <v>1896</v>
      </c>
      <c r="E42" s="24" t="s">
        <v>1896</v>
      </c>
      <c r="F42" s="142" t="s">
        <v>2633</v>
      </c>
      <c r="G42" s="142" t="s">
        <v>2634</v>
      </c>
      <c r="H42" s="81" t="s">
        <v>1541</v>
      </c>
      <c r="I42" s="81" t="s">
        <v>1945</v>
      </c>
      <c r="J42" s="45" t="s">
        <v>2871</v>
      </c>
      <c r="K42" s="24" t="s">
        <v>1896</v>
      </c>
      <c r="L42" s="24" t="s">
        <v>1896</v>
      </c>
      <c r="M42" s="24" t="s">
        <v>1896</v>
      </c>
      <c r="N42" s="117" t="s">
        <v>45</v>
      </c>
      <c r="O42" s="45" t="s">
        <v>2440</v>
      </c>
      <c r="P42" s="24" t="s">
        <v>1896</v>
      </c>
      <c r="Q42" s="111" t="s">
        <v>2892</v>
      </c>
      <c r="R42" s="24" t="s">
        <v>1896</v>
      </c>
      <c r="S42" s="181" t="s">
        <v>2968</v>
      </c>
      <c r="T42" s="24" t="s">
        <v>1896</v>
      </c>
      <c r="U42" s="72" t="s">
        <v>110</v>
      </c>
      <c r="V42" s="72">
        <v>1</v>
      </c>
      <c r="W42" s="24" t="s">
        <v>1896</v>
      </c>
      <c r="X42" s="24" t="s">
        <v>1896</v>
      </c>
      <c r="Y42" s="73">
        <v>25.9434</v>
      </c>
      <c r="Z42" s="73">
        <v>0</v>
      </c>
      <c r="AA42" s="171">
        <v>25.9434</v>
      </c>
      <c r="AB42" s="24" t="s">
        <v>1896</v>
      </c>
      <c r="AC42" s="24" t="s">
        <v>1896</v>
      </c>
      <c r="AD42" s="24" t="s">
        <v>1896</v>
      </c>
      <c r="AE42" s="381"/>
    </row>
    <row r="43" spans="1:31" s="46" customFormat="1" ht="27.95" customHeight="1" x14ac:dyDescent="0.15">
      <c r="A43" s="40">
        <v>41</v>
      </c>
      <c r="B43" s="125">
        <v>14039</v>
      </c>
      <c r="C43" s="24" t="s">
        <v>1896</v>
      </c>
      <c r="D43" s="24" t="s">
        <v>1896</v>
      </c>
      <c r="E43" s="24" t="s">
        <v>1896</v>
      </c>
      <c r="F43" s="142" t="s">
        <v>2635</v>
      </c>
      <c r="G43" s="142" t="s">
        <v>2636</v>
      </c>
      <c r="H43" s="83" t="s">
        <v>1419</v>
      </c>
      <c r="I43" s="81" t="s">
        <v>993</v>
      </c>
      <c r="J43" s="45" t="s">
        <v>1672</v>
      </c>
      <c r="K43" s="24" t="s">
        <v>1896</v>
      </c>
      <c r="L43" s="24" t="s">
        <v>1896</v>
      </c>
      <c r="M43" s="24" t="s">
        <v>1896</v>
      </c>
      <c r="N43" s="108" t="s">
        <v>686</v>
      </c>
      <c r="O43" s="44" t="s">
        <v>2882</v>
      </c>
      <c r="P43" s="24" t="s">
        <v>1896</v>
      </c>
      <c r="Q43" s="111" t="s">
        <v>2891</v>
      </c>
      <c r="R43" s="24" t="s">
        <v>1896</v>
      </c>
      <c r="S43" s="181" t="s">
        <v>2969</v>
      </c>
      <c r="T43" s="24" t="s">
        <v>1896</v>
      </c>
      <c r="U43" s="10" t="s">
        <v>110</v>
      </c>
      <c r="V43" s="72">
        <v>3</v>
      </c>
      <c r="W43" s="24" t="s">
        <v>1896</v>
      </c>
      <c r="X43" s="24" t="s">
        <v>1896</v>
      </c>
      <c r="Y43" s="73">
        <v>4.1870000000000003</v>
      </c>
      <c r="Z43" s="73">
        <v>0</v>
      </c>
      <c r="AA43" s="171">
        <v>4.1870000000000003</v>
      </c>
      <c r="AB43" s="24" t="s">
        <v>1896</v>
      </c>
      <c r="AC43" s="24" t="s">
        <v>1896</v>
      </c>
      <c r="AD43" s="24" t="s">
        <v>1896</v>
      </c>
      <c r="AE43" s="381"/>
    </row>
    <row r="44" spans="1:31" s="46" customFormat="1" ht="27.95" customHeight="1" x14ac:dyDescent="0.15">
      <c r="A44" s="40">
        <v>42</v>
      </c>
      <c r="B44" s="125">
        <v>14040</v>
      </c>
      <c r="C44" s="24" t="s">
        <v>1896</v>
      </c>
      <c r="D44" s="24" t="s">
        <v>1896</v>
      </c>
      <c r="E44" s="24" t="s">
        <v>1896</v>
      </c>
      <c r="F44" s="105" t="s">
        <v>2637</v>
      </c>
      <c r="G44" s="142" t="s">
        <v>2638</v>
      </c>
      <c r="H44" s="81" t="s">
        <v>994</v>
      </c>
      <c r="I44" s="81" t="s">
        <v>993</v>
      </c>
      <c r="J44" s="45" t="s">
        <v>3149</v>
      </c>
      <c r="K44" s="24" t="s">
        <v>1896</v>
      </c>
      <c r="L44" s="24" t="s">
        <v>1896</v>
      </c>
      <c r="M44" s="24" t="s">
        <v>1896</v>
      </c>
      <c r="N44" s="108" t="s">
        <v>102</v>
      </c>
      <c r="O44" s="44" t="s">
        <v>461</v>
      </c>
      <c r="P44" s="24" t="s">
        <v>1896</v>
      </c>
      <c r="Q44" s="111" t="s">
        <v>2887</v>
      </c>
      <c r="R44" s="24" t="s">
        <v>1896</v>
      </c>
      <c r="S44" s="181" t="s">
        <v>2970</v>
      </c>
      <c r="T44" s="24" t="s">
        <v>1896</v>
      </c>
      <c r="U44" s="10" t="s">
        <v>110</v>
      </c>
      <c r="V44" s="72">
        <v>2</v>
      </c>
      <c r="W44" s="24" t="s">
        <v>1896</v>
      </c>
      <c r="X44" s="24" t="s">
        <v>1896</v>
      </c>
      <c r="Y44" s="73">
        <v>14.2</v>
      </c>
      <c r="Z44" s="73">
        <v>0</v>
      </c>
      <c r="AA44" s="171">
        <v>14.2</v>
      </c>
      <c r="AB44" s="24" t="s">
        <v>1896</v>
      </c>
      <c r="AC44" s="24" t="s">
        <v>1896</v>
      </c>
      <c r="AD44" s="24" t="s">
        <v>1896</v>
      </c>
      <c r="AE44" s="381"/>
    </row>
    <row r="45" spans="1:31" s="46" customFormat="1" ht="27.95" customHeight="1" x14ac:dyDescent="0.15">
      <c r="A45" s="40">
        <v>43</v>
      </c>
      <c r="B45" s="125" t="s">
        <v>3480</v>
      </c>
      <c r="C45" s="24" t="s">
        <v>1896</v>
      </c>
      <c r="D45" s="24" t="s">
        <v>1896</v>
      </c>
      <c r="E45" s="24" t="s">
        <v>1896</v>
      </c>
      <c r="F45" s="142" t="s">
        <v>1251</v>
      </c>
      <c r="G45" s="142" t="s">
        <v>1977</v>
      </c>
      <c r="H45" s="115" t="s">
        <v>94</v>
      </c>
      <c r="I45" s="83" t="s">
        <v>993</v>
      </c>
      <c r="J45" s="110" t="s">
        <v>1627</v>
      </c>
      <c r="K45" s="24" t="s">
        <v>1896</v>
      </c>
      <c r="L45" s="24" t="s">
        <v>1896</v>
      </c>
      <c r="M45" s="24" t="s">
        <v>1896</v>
      </c>
      <c r="N45" s="108" t="s">
        <v>102</v>
      </c>
      <c r="O45" s="44" t="s">
        <v>2884</v>
      </c>
      <c r="P45" s="24" t="s">
        <v>1896</v>
      </c>
      <c r="Q45" s="111" t="s">
        <v>2863</v>
      </c>
      <c r="R45" s="24" t="s">
        <v>1896</v>
      </c>
      <c r="S45" s="24" t="s">
        <v>1896</v>
      </c>
      <c r="T45" s="24" t="s">
        <v>1896</v>
      </c>
      <c r="U45" s="129" t="s">
        <v>3417</v>
      </c>
      <c r="V45" s="129">
        <v>0</v>
      </c>
      <c r="W45" s="24" t="s">
        <v>1896</v>
      </c>
      <c r="X45" s="24" t="s">
        <v>1896</v>
      </c>
      <c r="Y45" s="73">
        <v>1.911</v>
      </c>
      <c r="Z45" s="73">
        <v>0</v>
      </c>
      <c r="AA45" s="171">
        <v>1.911</v>
      </c>
      <c r="AB45" s="24" t="s">
        <v>1896</v>
      </c>
      <c r="AC45" s="24" t="s">
        <v>1896</v>
      </c>
      <c r="AD45" s="24" t="s">
        <v>1896</v>
      </c>
      <c r="AE45" s="381"/>
    </row>
    <row r="46" spans="1:31" s="46" customFormat="1" ht="27.95" customHeight="1" x14ac:dyDescent="0.15">
      <c r="A46" s="40">
        <v>44</v>
      </c>
      <c r="B46" s="125" t="s">
        <v>3480</v>
      </c>
      <c r="C46" s="24" t="s">
        <v>1896</v>
      </c>
      <c r="D46" s="24" t="s">
        <v>1896</v>
      </c>
      <c r="E46" s="24" t="s">
        <v>1896</v>
      </c>
      <c r="F46" s="20" t="s">
        <v>1203</v>
      </c>
      <c r="G46" s="1" t="s">
        <v>2004</v>
      </c>
      <c r="H46" s="115" t="s">
        <v>94</v>
      </c>
      <c r="I46" s="83" t="s">
        <v>993</v>
      </c>
      <c r="J46" s="110" t="s">
        <v>1626</v>
      </c>
      <c r="K46" s="24" t="s">
        <v>1896</v>
      </c>
      <c r="L46" s="24" t="s">
        <v>1896</v>
      </c>
      <c r="M46" s="24" t="s">
        <v>1896</v>
      </c>
      <c r="N46" s="108" t="s">
        <v>102</v>
      </c>
      <c r="O46" s="44" t="s">
        <v>2885</v>
      </c>
      <c r="P46" s="24" t="s">
        <v>1896</v>
      </c>
      <c r="Q46" s="111" t="s">
        <v>2863</v>
      </c>
      <c r="R46" s="24" t="s">
        <v>1896</v>
      </c>
      <c r="S46" s="24" t="s">
        <v>1896</v>
      </c>
      <c r="T46" s="24" t="s">
        <v>1896</v>
      </c>
      <c r="U46" s="129" t="s">
        <v>3417</v>
      </c>
      <c r="V46" s="129">
        <v>0</v>
      </c>
      <c r="W46" s="24" t="s">
        <v>1896</v>
      </c>
      <c r="X46" s="24" t="s">
        <v>1896</v>
      </c>
      <c r="Y46" s="73">
        <v>4.58</v>
      </c>
      <c r="Z46" s="73">
        <v>0</v>
      </c>
      <c r="AA46" s="171">
        <v>4.58</v>
      </c>
      <c r="AB46" s="24" t="s">
        <v>1896</v>
      </c>
      <c r="AC46" s="24" t="s">
        <v>1896</v>
      </c>
      <c r="AD46" s="24" t="s">
        <v>1896</v>
      </c>
      <c r="AE46" s="381"/>
    </row>
    <row r="47" spans="1:31" s="46" customFormat="1" ht="27.95" customHeight="1" x14ac:dyDescent="0.15">
      <c r="A47" s="40">
        <v>45</v>
      </c>
      <c r="B47" s="24">
        <v>14041</v>
      </c>
      <c r="C47" s="24" t="s">
        <v>1896</v>
      </c>
      <c r="D47" s="24" t="s">
        <v>1896</v>
      </c>
      <c r="E47" s="24" t="s">
        <v>1896</v>
      </c>
      <c r="F47" s="142" t="s">
        <v>1308</v>
      </c>
      <c r="G47" s="21" t="s">
        <v>3150</v>
      </c>
      <c r="H47" s="116" t="s">
        <v>94</v>
      </c>
      <c r="I47" s="116" t="s">
        <v>1416</v>
      </c>
      <c r="J47" s="110" t="s">
        <v>3151</v>
      </c>
      <c r="K47" s="24" t="s">
        <v>1896</v>
      </c>
      <c r="L47" s="24" t="s">
        <v>1896</v>
      </c>
      <c r="M47" s="24" t="s">
        <v>1896</v>
      </c>
      <c r="N47" s="110" t="s">
        <v>102</v>
      </c>
      <c r="O47" s="44" t="s">
        <v>851</v>
      </c>
      <c r="P47" s="24" t="s">
        <v>1896</v>
      </c>
      <c r="Q47" s="119" t="s">
        <v>1752</v>
      </c>
      <c r="R47" s="24" t="s">
        <v>1896</v>
      </c>
      <c r="S47" s="182">
        <v>41883</v>
      </c>
      <c r="T47" s="24" t="s">
        <v>1896</v>
      </c>
      <c r="U47" s="10" t="s">
        <v>110</v>
      </c>
      <c r="V47" s="72">
        <v>1</v>
      </c>
      <c r="W47" s="24" t="s">
        <v>1896</v>
      </c>
      <c r="X47" s="24" t="s">
        <v>1896</v>
      </c>
      <c r="Y47" s="73">
        <v>0</v>
      </c>
      <c r="Z47" s="73">
        <v>11.5</v>
      </c>
      <c r="AA47" s="96">
        <v>11.5</v>
      </c>
      <c r="AB47" s="24" t="s">
        <v>1896</v>
      </c>
      <c r="AC47" s="24" t="s">
        <v>1896</v>
      </c>
      <c r="AD47" s="24" t="s">
        <v>1896</v>
      </c>
      <c r="AE47" s="381"/>
    </row>
    <row r="48" spans="1:31" s="46" customFormat="1" ht="27.95" customHeight="1" x14ac:dyDescent="0.15">
      <c r="A48" s="40">
        <v>46</v>
      </c>
      <c r="B48" s="24">
        <v>14042</v>
      </c>
      <c r="C48" s="24" t="s">
        <v>1896</v>
      </c>
      <c r="D48" s="24" t="s">
        <v>1896</v>
      </c>
      <c r="E48" s="24" t="s">
        <v>1896</v>
      </c>
      <c r="F48" s="142" t="s">
        <v>1307</v>
      </c>
      <c r="G48" s="21" t="s">
        <v>2588</v>
      </c>
      <c r="H48" s="116" t="s">
        <v>94</v>
      </c>
      <c r="I48" s="116" t="s">
        <v>1416</v>
      </c>
      <c r="J48" s="110" t="s">
        <v>3152</v>
      </c>
      <c r="K48" s="24" t="s">
        <v>1896</v>
      </c>
      <c r="L48" s="24" t="s">
        <v>1896</v>
      </c>
      <c r="M48" s="24" t="s">
        <v>1896</v>
      </c>
      <c r="N48" s="110" t="s">
        <v>102</v>
      </c>
      <c r="O48" s="44" t="s">
        <v>851</v>
      </c>
      <c r="P48" s="24" t="s">
        <v>1896</v>
      </c>
      <c r="Q48" s="119" t="s">
        <v>1752</v>
      </c>
      <c r="R48" s="24" t="s">
        <v>1896</v>
      </c>
      <c r="S48" s="182">
        <v>41884</v>
      </c>
      <c r="T48" s="24" t="s">
        <v>1896</v>
      </c>
      <c r="U48" s="10" t="s">
        <v>110</v>
      </c>
      <c r="V48" s="72">
        <v>1</v>
      </c>
      <c r="W48" s="24" t="s">
        <v>1896</v>
      </c>
      <c r="X48" s="24" t="s">
        <v>1896</v>
      </c>
      <c r="Y48" s="73">
        <v>0</v>
      </c>
      <c r="Z48" s="73">
        <v>11.5</v>
      </c>
      <c r="AA48" s="96">
        <v>11.5</v>
      </c>
      <c r="AB48" s="24" t="s">
        <v>1896</v>
      </c>
      <c r="AC48" s="24" t="s">
        <v>1896</v>
      </c>
      <c r="AD48" s="24" t="s">
        <v>1896</v>
      </c>
      <c r="AE48" s="381"/>
    </row>
    <row r="49" spans="1:31" s="46" customFormat="1" ht="27.95" customHeight="1" x14ac:dyDescent="0.15">
      <c r="A49" s="40">
        <v>47</v>
      </c>
      <c r="B49" s="24">
        <v>14043</v>
      </c>
      <c r="C49" s="24" t="s">
        <v>1896</v>
      </c>
      <c r="D49" s="24" t="s">
        <v>1896</v>
      </c>
      <c r="E49" s="24" t="s">
        <v>1896</v>
      </c>
      <c r="F49" s="142" t="s">
        <v>3154</v>
      </c>
      <c r="G49" s="21" t="s">
        <v>3150</v>
      </c>
      <c r="H49" s="116" t="s">
        <v>94</v>
      </c>
      <c r="I49" s="116" t="s">
        <v>1416</v>
      </c>
      <c r="J49" s="110" t="s">
        <v>3153</v>
      </c>
      <c r="K49" s="24" t="s">
        <v>1896</v>
      </c>
      <c r="L49" s="24" t="s">
        <v>1896</v>
      </c>
      <c r="M49" s="24" t="s">
        <v>1896</v>
      </c>
      <c r="N49" s="110" t="s">
        <v>102</v>
      </c>
      <c r="O49" s="44" t="s">
        <v>851</v>
      </c>
      <c r="P49" s="24" t="s">
        <v>1896</v>
      </c>
      <c r="Q49" s="119" t="s">
        <v>1752</v>
      </c>
      <c r="R49" s="24" t="s">
        <v>1896</v>
      </c>
      <c r="S49" s="182">
        <v>41885</v>
      </c>
      <c r="T49" s="24" t="s">
        <v>1896</v>
      </c>
      <c r="U49" s="10" t="s">
        <v>110</v>
      </c>
      <c r="V49" s="72">
        <v>1</v>
      </c>
      <c r="W49" s="24" t="s">
        <v>1896</v>
      </c>
      <c r="X49" s="24" t="s">
        <v>1896</v>
      </c>
      <c r="Y49" s="73">
        <v>0</v>
      </c>
      <c r="Z49" s="73">
        <v>11.5</v>
      </c>
      <c r="AA49" s="96">
        <v>11.5</v>
      </c>
      <c r="AB49" s="24" t="s">
        <v>1896</v>
      </c>
      <c r="AC49" s="24" t="s">
        <v>1896</v>
      </c>
      <c r="AD49" s="24" t="s">
        <v>1896</v>
      </c>
      <c r="AE49" s="381"/>
    </row>
    <row r="50" spans="1:31" s="46" customFormat="1" ht="27.95" customHeight="1" x14ac:dyDescent="0.15">
      <c r="A50" s="40">
        <v>48</v>
      </c>
      <c r="B50" s="24">
        <v>14044</v>
      </c>
      <c r="C50" s="24" t="s">
        <v>1896</v>
      </c>
      <c r="D50" s="24" t="s">
        <v>1896</v>
      </c>
      <c r="E50" s="24" t="s">
        <v>1896</v>
      </c>
      <c r="F50" s="20" t="s">
        <v>2639</v>
      </c>
      <c r="G50" s="20" t="s">
        <v>2640</v>
      </c>
      <c r="H50" s="83" t="s">
        <v>994</v>
      </c>
      <c r="I50" s="83" t="s">
        <v>1947</v>
      </c>
      <c r="J50" s="110" t="s">
        <v>1669</v>
      </c>
      <c r="K50" s="24" t="s">
        <v>1896</v>
      </c>
      <c r="L50" s="24" t="s">
        <v>1896</v>
      </c>
      <c r="M50" s="24" t="s">
        <v>1896</v>
      </c>
      <c r="N50" s="110" t="s">
        <v>102</v>
      </c>
      <c r="O50" s="44" t="s">
        <v>851</v>
      </c>
      <c r="P50" s="24" t="s">
        <v>1896</v>
      </c>
      <c r="Q50" s="119" t="s">
        <v>2887</v>
      </c>
      <c r="R50" s="24" t="s">
        <v>1896</v>
      </c>
      <c r="S50" s="181" t="s">
        <v>2825</v>
      </c>
      <c r="T50" s="24" t="s">
        <v>1896</v>
      </c>
      <c r="U50" s="72" t="s">
        <v>108</v>
      </c>
      <c r="V50" s="72">
        <v>1</v>
      </c>
      <c r="W50" s="24" t="s">
        <v>1896</v>
      </c>
      <c r="X50" s="24" t="s">
        <v>1896</v>
      </c>
      <c r="Y50" s="73">
        <v>0</v>
      </c>
      <c r="Z50" s="73">
        <v>12</v>
      </c>
      <c r="AA50" s="96">
        <v>12</v>
      </c>
      <c r="AB50" s="24" t="s">
        <v>1896</v>
      </c>
      <c r="AC50" s="24" t="s">
        <v>1896</v>
      </c>
      <c r="AD50" s="24" t="s">
        <v>1896</v>
      </c>
      <c r="AE50" s="381"/>
    </row>
    <row r="51" spans="1:31" s="46" customFormat="1" ht="27.95" customHeight="1" x14ac:dyDescent="0.15">
      <c r="A51" s="40">
        <v>49</v>
      </c>
      <c r="B51" s="24">
        <v>14045</v>
      </c>
      <c r="C51" s="24" t="s">
        <v>1896</v>
      </c>
      <c r="D51" s="24" t="s">
        <v>1896</v>
      </c>
      <c r="E51" s="24" t="s">
        <v>1896</v>
      </c>
      <c r="F51" s="142" t="s">
        <v>2641</v>
      </c>
      <c r="G51" s="1" t="s">
        <v>2642</v>
      </c>
      <c r="H51" s="81" t="s">
        <v>94</v>
      </c>
      <c r="I51" s="81" t="s">
        <v>1416</v>
      </c>
      <c r="J51" s="44" t="s">
        <v>1658</v>
      </c>
      <c r="K51" s="24" t="s">
        <v>1896</v>
      </c>
      <c r="L51" s="24" t="s">
        <v>1896</v>
      </c>
      <c r="M51" s="24" t="s">
        <v>1896</v>
      </c>
      <c r="N51" s="110" t="s">
        <v>102</v>
      </c>
      <c r="O51" s="44" t="s">
        <v>851</v>
      </c>
      <c r="P51" s="24" t="s">
        <v>1896</v>
      </c>
      <c r="Q51" s="119" t="s">
        <v>1752</v>
      </c>
      <c r="R51" s="24" t="s">
        <v>1896</v>
      </c>
      <c r="S51" s="181" t="s">
        <v>2971</v>
      </c>
      <c r="T51" s="24" t="s">
        <v>1896</v>
      </c>
      <c r="U51" s="10" t="s">
        <v>110</v>
      </c>
      <c r="V51" s="72">
        <v>1</v>
      </c>
      <c r="W51" s="24" t="s">
        <v>1896</v>
      </c>
      <c r="X51" s="24" t="s">
        <v>1896</v>
      </c>
      <c r="Y51" s="73">
        <v>0</v>
      </c>
      <c r="Z51" s="73">
        <v>14.5</v>
      </c>
      <c r="AA51" s="96">
        <v>14.5</v>
      </c>
      <c r="AB51" s="24" t="s">
        <v>1896</v>
      </c>
      <c r="AC51" s="24" t="s">
        <v>1896</v>
      </c>
      <c r="AD51" s="24" t="s">
        <v>1896</v>
      </c>
      <c r="AE51" s="381"/>
    </row>
    <row r="52" spans="1:31" s="46" customFormat="1" ht="27.95" customHeight="1" x14ac:dyDescent="0.15">
      <c r="A52" s="40">
        <v>50</v>
      </c>
      <c r="B52" s="24">
        <v>14046</v>
      </c>
      <c r="C52" s="24" t="s">
        <v>1896</v>
      </c>
      <c r="D52" s="24" t="s">
        <v>1896</v>
      </c>
      <c r="E52" s="24" t="s">
        <v>1896</v>
      </c>
      <c r="F52" s="1" t="s">
        <v>86</v>
      </c>
      <c r="G52" s="1" t="s">
        <v>2588</v>
      </c>
      <c r="H52" s="115" t="s">
        <v>94</v>
      </c>
      <c r="I52" s="45" t="s">
        <v>1416</v>
      </c>
      <c r="J52" s="110" t="s">
        <v>3160</v>
      </c>
      <c r="K52" s="24" t="s">
        <v>1896</v>
      </c>
      <c r="L52" s="24" t="s">
        <v>1896</v>
      </c>
      <c r="M52" s="24" t="s">
        <v>1896</v>
      </c>
      <c r="N52" s="110" t="s">
        <v>102</v>
      </c>
      <c r="O52" s="44" t="s">
        <v>851</v>
      </c>
      <c r="P52" s="24" t="s">
        <v>1896</v>
      </c>
      <c r="Q52" s="119" t="s">
        <v>1752</v>
      </c>
      <c r="R52" s="24" t="s">
        <v>1896</v>
      </c>
      <c r="S52" s="181" t="s">
        <v>2972</v>
      </c>
      <c r="T52" s="24" t="s">
        <v>1896</v>
      </c>
      <c r="U52" s="10" t="s">
        <v>110</v>
      </c>
      <c r="V52" s="72">
        <v>1</v>
      </c>
      <c r="W52" s="24" t="s">
        <v>1896</v>
      </c>
      <c r="X52" s="24" t="s">
        <v>1896</v>
      </c>
      <c r="Y52" s="73">
        <v>0</v>
      </c>
      <c r="Z52" s="73">
        <v>11.5</v>
      </c>
      <c r="AA52" s="96">
        <v>11.5</v>
      </c>
      <c r="AB52" s="24" t="s">
        <v>1896</v>
      </c>
      <c r="AC52" s="24" t="s">
        <v>1896</v>
      </c>
      <c r="AD52" s="24" t="s">
        <v>1896</v>
      </c>
      <c r="AE52" s="381"/>
    </row>
    <row r="53" spans="1:31" s="46" customFormat="1" ht="27.95" customHeight="1" x14ac:dyDescent="0.15">
      <c r="A53" s="40">
        <v>51</v>
      </c>
      <c r="B53" s="24">
        <v>14047</v>
      </c>
      <c r="C53" s="24" t="s">
        <v>1896</v>
      </c>
      <c r="D53" s="24" t="s">
        <v>1896</v>
      </c>
      <c r="E53" s="24" t="s">
        <v>1896</v>
      </c>
      <c r="F53" s="1" t="s">
        <v>1303</v>
      </c>
      <c r="G53" s="1" t="s">
        <v>2587</v>
      </c>
      <c r="H53" s="115" t="s">
        <v>94</v>
      </c>
      <c r="I53" s="45" t="s">
        <v>1416</v>
      </c>
      <c r="J53" s="110" t="s">
        <v>1667</v>
      </c>
      <c r="K53" s="24" t="s">
        <v>1896</v>
      </c>
      <c r="L53" s="24" t="s">
        <v>1896</v>
      </c>
      <c r="M53" s="24" t="s">
        <v>1896</v>
      </c>
      <c r="N53" s="110" t="s">
        <v>102</v>
      </c>
      <c r="O53" s="44" t="s">
        <v>851</v>
      </c>
      <c r="P53" s="24" t="s">
        <v>1896</v>
      </c>
      <c r="Q53" s="119" t="s">
        <v>1752</v>
      </c>
      <c r="R53" s="24" t="s">
        <v>1896</v>
      </c>
      <c r="S53" s="181" t="s">
        <v>2972</v>
      </c>
      <c r="T53" s="24" t="s">
        <v>1896</v>
      </c>
      <c r="U53" s="10" t="s">
        <v>110</v>
      </c>
      <c r="V53" s="72">
        <v>1</v>
      </c>
      <c r="W53" s="24" t="s">
        <v>1896</v>
      </c>
      <c r="X53" s="24" t="s">
        <v>1896</v>
      </c>
      <c r="Y53" s="73">
        <v>0</v>
      </c>
      <c r="Z53" s="73">
        <v>11.5</v>
      </c>
      <c r="AA53" s="96">
        <v>11.5</v>
      </c>
      <c r="AB53" s="24" t="s">
        <v>1896</v>
      </c>
      <c r="AC53" s="24" t="s">
        <v>1896</v>
      </c>
      <c r="AD53" s="24" t="s">
        <v>1896</v>
      </c>
      <c r="AE53" s="381"/>
    </row>
    <row r="54" spans="1:31" s="46" customFormat="1" ht="27.95" customHeight="1" x14ac:dyDescent="0.15">
      <c r="A54" s="40">
        <v>52</v>
      </c>
      <c r="B54" s="24">
        <v>14048</v>
      </c>
      <c r="C54" s="24" t="s">
        <v>1896</v>
      </c>
      <c r="D54" s="24" t="s">
        <v>1896</v>
      </c>
      <c r="E54" s="24" t="s">
        <v>1896</v>
      </c>
      <c r="F54" s="142" t="s">
        <v>2617</v>
      </c>
      <c r="G54" s="142" t="s">
        <v>2643</v>
      </c>
      <c r="H54" s="115" t="s">
        <v>94</v>
      </c>
      <c r="I54" s="45" t="s">
        <v>1416</v>
      </c>
      <c r="J54" s="108" t="s">
        <v>3159</v>
      </c>
      <c r="K54" s="24" t="s">
        <v>1896</v>
      </c>
      <c r="L54" s="24" t="s">
        <v>1896</v>
      </c>
      <c r="M54" s="24" t="s">
        <v>1896</v>
      </c>
      <c r="N54" s="108" t="s">
        <v>102</v>
      </c>
      <c r="O54" s="108" t="s">
        <v>851</v>
      </c>
      <c r="P54" s="24" t="s">
        <v>1896</v>
      </c>
      <c r="Q54" s="119" t="s">
        <v>1752</v>
      </c>
      <c r="R54" s="24" t="s">
        <v>1896</v>
      </c>
      <c r="S54" s="181" t="s">
        <v>2973</v>
      </c>
      <c r="T54" s="24" t="s">
        <v>1896</v>
      </c>
      <c r="U54" s="10" t="s">
        <v>110</v>
      </c>
      <c r="V54" s="72">
        <v>1</v>
      </c>
      <c r="W54" s="24" t="s">
        <v>1896</v>
      </c>
      <c r="X54" s="24" t="s">
        <v>1896</v>
      </c>
      <c r="Y54" s="73">
        <v>0</v>
      </c>
      <c r="Z54" s="73">
        <v>11.5</v>
      </c>
      <c r="AA54" s="96">
        <v>11.5</v>
      </c>
      <c r="AB54" s="24" t="s">
        <v>1896</v>
      </c>
      <c r="AC54" s="24" t="s">
        <v>1896</v>
      </c>
      <c r="AD54" s="24" t="s">
        <v>1896</v>
      </c>
      <c r="AE54" s="381"/>
    </row>
    <row r="55" spans="1:31" s="46" customFormat="1" ht="27.95" customHeight="1" x14ac:dyDescent="0.15">
      <c r="A55" s="40">
        <v>53</v>
      </c>
      <c r="B55" s="125">
        <v>14049</v>
      </c>
      <c r="C55" s="24" t="s">
        <v>1896</v>
      </c>
      <c r="D55" s="24" t="s">
        <v>1896</v>
      </c>
      <c r="E55" s="24" t="s">
        <v>1896</v>
      </c>
      <c r="F55" s="142" t="s">
        <v>2644</v>
      </c>
      <c r="G55" s="142" t="s">
        <v>2645</v>
      </c>
      <c r="H55" s="81" t="s">
        <v>1923</v>
      </c>
      <c r="I55" s="81" t="s">
        <v>1113</v>
      </c>
      <c r="J55" s="108" t="s">
        <v>2872</v>
      </c>
      <c r="K55" s="24" t="s">
        <v>1896</v>
      </c>
      <c r="L55" s="24" t="s">
        <v>1896</v>
      </c>
      <c r="M55" s="24" t="s">
        <v>1896</v>
      </c>
      <c r="N55" s="108" t="s">
        <v>102</v>
      </c>
      <c r="O55" s="45" t="s">
        <v>1759</v>
      </c>
      <c r="P55" s="24" t="s">
        <v>1896</v>
      </c>
      <c r="Q55" s="111" t="s">
        <v>2890</v>
      </c>
      <c r="R55" s="24" t="s">
        <v>1896</v>
      </c>
      <c r="S55" s="181" t="s">
        <v>2972</v>
      </c>
      <c r="T55" s="24" t="s">
        <v>1896</v>
      </c>
      <c r="U55" s="10" t="s">
        <v>110</v>
      </c>
      <c r="V55" s="72">
        <v>1</v>
      </c>
      <c r="W55" s="24" t="s">
        <v>1896</v>
      </c>
      <c r="X55" s="24" t="s">
        <v>1896</v>
      </c>
      <c r="Y55" s="73">
        <v>22</v>
      </c>
      <c r="Z55" s="73">
        <v>0</v>
      </c>
      <c r="AA55" s="171">
        <v>22</v>
      </c>
      <c r="AB55" s="24" t="s">
        <v>1896</v>
      </c>
      <c r="AC55" s="24" t="s">
        <v>1896</v>
      </c>
      <c r="AD55" s="24" t="s">
        <v>1896</v>
      </c>
      <c r="AE55" s="381"/>
    </row>
    <row r="56" spans="1:31" s="46" customFormat="1" ht="27.95" customHeight="1" x14ac:dyDescent="0.15">
      <c r="A56" s="40">
        <v>54</v>
      </c>
      <c r="B56" s="125">
        <v>14050</v>
      </c>
      <c r="C56" s="24" t="s">
        <v>1896</v>
      </c>
      <c r="D56" s="24" t="s">
        <v>1896</v>
      </c>
      <c r="E56" s="24" t="s">
        <v>1896</v>
      </c>
      <c r="F56" s="142" t="s">
        <v>2646</v>
      </c>
      <c r="G56" s="142" t="s">
        <v>2647</v>
      </c>
      <c r="H56" s="115" t="s">
        <v>94</v>
      </c>
      <c r="I56" s="45" t="s">
        <v>1416</v>
      </c>
      <c r="J56" s="108" t="s">
        <v>3158</v>
      </c>
      <c r="K56" s="24" t="s">
        <v>1896</v>
      </c>
      <c r="L56" s="24" t="s">
        <v>1896</v>
      </c>
      <c r="M56" s="24" t="s">
        <v>1896</v>
      </c>
      <c r="N56" s="110" t="s">
        <v>102</v>
      </c>
      <c r="O56" s="44" t="s">
        <v>851</v>
      </c>
      <c r="P56" s="24" t="s">
        <v>1896</v>
      </c>
      <c r="Q56" s="119" t="s">
        <v>1752</v>
      </c>
      <c r="R56" s="24" t="s">
        <v>1896</v>
      </c>
      <c r="S56" s="182">
        <v>41913</v>
      </c>
      <c r="T56" s="24" t="s">
        <v>1896</v>
      </c>
      <c r="U56" s="10" t="s">
        <v>110</v>
      </c>
      <c r="V56" s="72">
        <v>1</v>
      </c>
      <c r="W56" s="24" t="s">
        <v>1896</v>
      </c>
      <c r="X56" s="24" t="s">
        <v>1896</v>
      </c>
      <c r="Y56" s="73">
        <v>0</v>
      </c>
      <c r="Z56" s="73">
        <v>11.5</v>
      </c>
      <c r="AA56" s="96">
        <v>11.5</v>
      </c>
      <c r="AB56" s="24" t="s">
        <v>1896</v>
      </c>
      <c r="AC56" s="24" t="s">
        <v>1896</v>
      </c>
      <c r="AD56" s="24" t="s">
        <v>1896</v>
      </c>
      <c r="AE56" s="381"/>
    </row>
    <row r="57" spans="1:31" s="46" customFormat="1" ht="27.95" customHeight="1" x14ac:dyDescent="0.15">
      <c r="A57" s="40">
        <v>55</v>
      </c>
      <c r="B57" s="125">
        <v>14051</v>
      </c>
      <c r="C57" s="24" t="s">
        <v>1896</v>
      </c>
      <c r="D57" s="24" t="s">
        <v>1896</v>
      </c>
      <c r="E57" s="24" t="s">
        <v>1896</v>
      </c>
      <c r="F57" s="142" t="s">
        <v>2648</v>
      </c>
      <c r="G57" s="142" t="s">
        <v>2638</v>
      </c>
      <c r="H57" s="45" t="s">
        <v>994</v>
      </c>
      <c r="I57" s="45" t="s">
        <v>993</v>
      </c>
      <c r="J57" s="108" t="s">
        <v>2873</v>
      </c>
      <c r="K57" s="24" t="s">
        <v>1896</v>
      </c>
      <c r="L57" s="24" t="s">
        <v>1896</v>
      </c>
      <c r="M57" s="24" t="s">
        <v>1896</v>
      </c>
      <c r="N57" s="108" t="s">
        <v>102</v>
      </c>
      <c r="O57" s="45" t="s">
        <v>1759</v>
      </c>
      <c r="P57" s="24" t="s">
        <v>1896</v>
      </c>
      <c r="Q57" s="111" t="s">
        <v>2887</v>
      </c>
      <c r="R57" s="24" t="s">
        <v>1896</v>
      </c>
      <c r="S57" s="181" t="s">
        <v>2974</v>
      </c>
      <c r="T57" s="24" t="s">
        <v>1896</v>
      </c>
      <c r="U57" s="10" t="s">
        <v>110</v>
      </c>
      <c r="V57" s="72">
        <v>1</v>
      </c>
      <c r="W57" s="24" t="s">
        <v>1896</v>
      </c>
      <c r="X57" s="24" t="s">
        <v>1896</v>
      </c>
      <c r="Y57" s="73">
        <v>204</v>
      </c>
      <c r="Z57" s="73">
        <v>0</v>
      </c>
      <c r="AA57" s="198">
        <v>204</v>
      </c>
      <c r="AB57" s="24" t="s">
        <v>1896</v>
      </c>
      <c r="AC57" s="24" t="s">
        <v>1896</v>
      </c>
      <c r="AD57" s="24" t="s">
        <v>1896</v>
      </c>
      <c r="AE57" s="381"/>
    </row>
    <row r="58" spans="1:31" s="46" customFormat="1" ht="27.95" customHeight="1" x14ac:dyDescent="0.15">
      <c r="A58" s="40">
        <v>56</v>
      </c>
      <c r="B58" s="125">
        <v>14052</v>
      </c>
      <c r="C58" s="24" t="s">
        <v>1896</v>
      </c>
      <c r="D58" s="24" t="s">
        <v>1896</v>
      </c>
      <c r="E58" s="24" t="s">
        <v>1896</v>
      </c>
      <c r="F58" s="142" t="s">
        <v>2649</v>
      </c>
      <c r="G58" s="142" t="s">
        <v>2638</v>
      </c>
      <c r="H58" s="81" t="s">
        <v>1419</v>
      </c>
      <c r="I58" s="81" t="s">
        <v>22</v>
      </c>
      <c r="J58" s="117" t="s">
        <v>1679</v>
      </c>
      <c r="K58" s="24" t="s">
        <v>1896</v>
      </c>
      <c r="L58" s="24" t="s">
        <v>1896</v>
      </c>
      <c r="M58" s="24" t="s">
        <v>1896</v>
      </c>
      <c r="N58" s="45" t="s">
        <v>2851</v>
      </c>
      <c r="O58" s="45" t="s">
        <v>2852</v>
      </c>
      <c r="P58" s="24" t="s">
        <v>1896</v>
      </c>
      <c r="Q58" s="111" t="s">
        <v>2891</v>
      </c>
      <c r="R58" s="24" t="s">
        <v>1896</v>
      </c>
      <c r="S58" s="181" t="s">
        <v>2975</v>
      </c>
      <c r="T58" s="24" t="s">
        <v>1896</v>
      </c>
      <c r="U58" s="10" t="s">
        <v>108</v>
      </c>
      <c r="V58" s="72">
        <v>1</v>
      </c>
      <c r="W58" s="24" t="s">
        <v>1896</v>
      </c>
      <c r="X58" s="24" t="s">
        <v>1896</v>
      </c>
      <c r="Y58" s="73">
        <v>47</v>
      </c>
      <c r="Z58" s="73">
        <v>0</v>
      </c>
      <c r="AA58" s="171">
        <v>47</v>
      </c>
      <c r="AB58" s="24" t="s">
        <v>1896</v>
      </c>
      <c r="AC58" s="24" t="s">
        <v>1896</v>
      </c>
      <c r="AD58" s="24" t="s">
        <v>1896</v>
      </c>
      <c r="AE58" s="380" t="s">
        <v>5363</v>
      </c>
    </row>
    <row r="59" spans="1:31" s="11" customFormat="1" ht="27.95" customHeight="1" x14ac:dyDescent="0.15">
      <c r="A59" s="40">
        <v>57</v>
      </c>
      <c r="B59" s="125">
        <v>14053</v>
      </c>
      <c r="C59" s="24" t="s">
        <v>1896</v>
      </c>
      <c r="D59" s="24" t="s">
        <v>1896</v>
      </c>
      <c r="E59" s="24" t="s">
        <v>1896</v>
      </c>
      <c r="F59" s="142" t="s">
        <v>2650</v>
      </c>
      <c r="G59" s="142" t="s">
        <v>2651</v>
      </c>
      <c r="H59" s="81" t="s">
        <v>1923</v>
      </c>
      <c r="I59" s="81" t="s">
        <v>993</v>
      </c>
      <c r="J59" s="117" t="s">
        <v>2874</v>
      </c>
      <c r="K59" s="24" t="s">
        <v>1896</v>
      </c>
      <c r="L59" s="24" t="s">
        <v>1896</v>
      </c>
      <c r="M59" s="24" t="s">
        <v>1896</v>
      </c>
      <c r="N59" s="117" t="s">
        <v>45</v>
      </c>
      <c r="O59" s="45" t="s">
        <v>2440</v>
      </c>
      <c r="P59" s="24" t="s">
        <v>1896</v>
      </c>
      <c r="Q59" s="111" t="s">
        <v>2890</v>
      </c>
      <c r="R59" s="24" t="s">
        <v>1896</v>
      </c>
      <c r="S59" s="181" t="s">
        <v>2976</v>
      </c>
      <c r="T59" s="24" t="s">
        <v>1896</v>
      </c>
      <c r="U59" s="10" t="s">
        <v>110</v>
      </c>
      <c r="V59" s="72">
        <v>1</v>
      </c>
      <c r="W59" s="24" t="s">
        <v>1896</v>
      </c>
      <c r="X59" s="24" t="s">
        <v>1896</v>
      </c>
      <c r="Y59" s="73">
        <v>36</v>
      </c>
      <c r="Z59" s="73">
        <v>0</v>
      </c>
      <c r="AA59" s="171">
        <v>36</v>
      </c>
      <c r="AB59" s="24" t="s">
        <v>1896</v>
      </c>
      <c r="AC59" s="24" t="s">
        <v>1896</v>
      </c>
      <c r="AD59" s="24" t="s">
        <v>1896</v>
      </c>
      <c r="AE59" s="381"/>
    </row>
    <row r="60" spans="1:31" s="46" customFormat="1" ht="27.95" customHeight="1" x14ac:dyDescent="0.15">
      <c r="A60" s="40">
        <v>58</v>
      </c>
      <c r="B60" s="125">
        <v>14054</v>
      </c>
      <c r="C60" s="24" t="s">
        <v>1896</v>
      </c>
      <c r="D60" s="24" t="s">
        <v>1896</v>
      </c>
      <c r="E60" s="24" t="s">
        <v>1896</v>
      </c>
      <c r="F60" s="142" t="s">
        <v>2652</v>
      </c>
      <c r="G60" s="142" t="s">
        <v>2653</v>
      </c>
      <c r="H60" s="142" t="s">
        <v>1537</v>
      </c>
      <c r="I60" s="142" t="s">
        <v>1895</v>
      </c>
      <c r="J60" s="78" t="s">
        <v>1706</v>
      </c>
      <c r="K60" s="24" t="s">
        <v>1896</v>
      </c>
      <c r="L60" s="24" t="s">
        <v>1896</v>
      </c>
      <c r="M60" s="24" t="s">
        <v>1896</v>
      </c>
      <c r="N60" s="110" t="s">
        <v>102</v>
      </c>
      <c r="O60" s="44" t="s">
        <v>851</v>
      </c>
      <c r="P60" s="24" t="s">
        <v>1896</v>
      </c>
      <c r="Q60" s="112" t="s">
        <v>2864</v>
      </c>
      <c r="R60" s="24" t="s">
        <v>1896</v>
      </c>
      <c r="S60" s="181">
        <v>2014.7</v>
      </c>
      <c r="T60" s="24" t="s">
        <v>1896</v>
      </c>
      <c r="U60" s="10" t="s">
        <v>110</v>
      </c>
      <c r="V60" s="72">
        <v>1</v>
      </c>
      <c r="W60" s="24" t="s">
        <v>1896</v>
      </c>
      <c r="X60" s="24" t="s">
        <v>1896</v>
      </c>
      <c r="Y60" s="73">
        <v>0</v>
      </c>
      <c r="Z60" s="73">
        <v>16</v>
      </c>
      <c r="AA60" s="96">
        <v>16</v>
      </c>
      <c r="AB60" s="24" t="s">
        <v>1896</v>
      </c>
      <c r="AC60" s="24" t="s">
        <v>1896</v>
      </c>
      <c r="AD60" s="24" t="s">
        <v>1896</v>
      </c>
      <c r="AE60" s="381"/>
    </row>
    <row r="61" spans="1:31" s="46" customFormat="1" ht="27.95" customHeight="1" x14ac:dyDescent="0.15">
      <c r="A61" s="40">
        <v>59</v>
      </c>
      <c r="B61" s="125">
        <v>14055</v>
      </c>
      <c r="C61" s="24" t="s">
        <v>1896</v>
      </c>
      <c r="D61" s="24" t="s">
        <v>1896</v>
      </c>
      <c r="E61" s="24" t="s">
        <v>1896</v>
      </c>
      <c r="F61" s="1" t="s">
        <v>2571</v>
      </c>
      <c r="G61" s="1" t="s">
        <v>3157</v>
      </c>
      <c r="H61" s="83" t="s">
        <v>94</v>
      </c>
      <c r="I61" s="45" t="s">
        <v>1926</v>
      </c>
      <c r="J61" s="110" t="s">
        <v>1607</v>
      </c>
      <c r="K61" s="24" t="s">
        <v>1896</v>
      </c>
      <c r="L61" s="24" t="s">
        <v>1896</v>
      </c>
      <c r="M61" s="24" t="s">
        <v>1896</v>
      </c>
      <c r="N61" s="110" t="s">
        <v>102</v>
      </c>
      <c r="O61" s="44" t="s">
        <v>851</v>
      </c>
      <c r="P61" s="24" t="s">
        <v>1896</v>
      </c>
      <c r="Q61" s="119" t="s">
        <v>1752</v>
      </c>
      <c r="R61" s="24" t="s">
        <v>1896</v>
      </c>
      <c r="S61" s="181" t="s">
        <v>2977</v>
      </c>
      <c r="T61" s="24" t="s">
        <v>1896</v>
      </c>
      <c r="U61" s="10" t="s">
        <v>110</v>
      </c>
      <c r="V61" s="72">
        <v>1</v>
      </c>
      <c r="W61" s="24" t="s">
        <v>1896</v>
      </c>
      <c r="X61" s="24" t="s">
        <v>1896</v>
      </c>
      <c r="Y61" s="73">
        <v>0</v>
      </c>
      <c r="Z61" s="73">
        <v>12</v>
      </c>
      <c r="AA61" s="96">
        <v>12</v>
      </c>
      <c r="AB61" s="24" t="s">
        <v>1896</v>
      </c>
      <c r="AC61" s="24" t="s">
        <v>1896</v>
      </c>
      <c r="AD61" s="24" t="s">
        <v>1896</v>
      </c>
      <c r="AE61" s="381"/>
    </row>
    <row r="62" spans="1:31" s="46" customFormat="1" ht="27.95" customHeight="1" x14ac:dyDescent="0.15">
      <c r="A62" s="40">
        <v>60</v>
      </c>
      <c r="B62" s="125">
        <v>14056</v>
      </c>
      <c r="C62" s="24" t="s">
        <v>1896</v>
      </c>
      <c r="D62" s="24" t="s">
        <v>1896</v>
      </c>
      <c r="E62" s="24" t="s">
        <v>1896</v>
      </c>
      <c r="F62" s="142" t="s">
        <v>1394</v>
      </c>
      <c r="G62" s="131" t="s">
        <v>2654</v>
      </c>
      <c r="H62" s="81" t="s">
        <v>1487</v>
      </c>
      <c r="I62" s="81" t="s">
        <v>993</v>
      </c>
      <c r="J62" s="110" t="s">
        <v>1724</v>
      </c>
      <c r="K62" s="24" t="s">
        <v>1896</v>
      </c>
      <c r="L62" s="24" t="s">
        <v>1896</v>
      </c>
      <c r="M62" s="24" t="s">
        <v>1896</v>
      </c>
      <c r="N62" s="110" t="s">
        <v>102</v>
      </c>
      <c r="O62" s="44" t="s">
        <v>851</v>
      </c>
      <c r="P62" s="24" t="s">
        <v>1896</v>
      </c>
      <c r="Q62" s="111" t="s">
        <v>2890</v>
      </c>
      <c r="R62" s="24" t="s">
        <v>1896</v>
      </c>
      <c r="S62" s="182">
        <v>41821</v>
      </c>
      <c r="T62" s="24" t="s">
        <v>1896</v>
      </c>
      <c r="U62" s="10" t="s">
        <v>110</v>
      </c>
      <c r="V62" s="72">
        <v>1</v>
      </c>
      <c r="W62" s="24" t="s">
        <v>1896</v>
      </c>
      <c r="X62" s="24" t="s">
        <v>1896</v>
      </c>
      <c r="Y62" s="73">
        <v>0</v>
      </c>
      <c r="Z62" s="73">
        <v>10</v>
      </c>
      <c r="AA62" s="96">
        <v>10</v>
      </c>
      <c r="AB62" s="24" t="s">
        <v>1896</v>
      </c>
      <c r="AC62" s="24" t="s">
        <v>1896</v>
      </c>
      <c r="AD62" s="24" t="s">
        <v>1896</v>
      </c>
      <c r="AE62" s="381"/>
    </row>
    <row r="63" spans="1:31" s="46" customFormat="1" ht="27.95" customHeight="1" x14ac:dyDescent="0.15">
      <c r="A63" s="40">
        <v>61</v>
      </c>
      <c r="B63" s="125">
        <v>14057</v>
      </c>
      <c r="C63" s="24" t="s">
        <v>1896</v>
      </c>
      <c r="D63" s="24" t="s">
        <v>1896</v>
      </c>
      <c r="E63" s="24" t="s">
        <v>1896</v>
      </c>
      <c r="F63" s="142" t="s">
        <v>2655</v>
      </c>
      <c r="G63" s="142" t="s">
        <v>2656</v>
      </c>
      <c r="H63" s="81" t="s">
        <v>994</v>
      </c>
      <c r="I63" s="81" t="s">
        <v>993</v>
      </c>
      <c r="J63" s="118" t="s">
        <v>1655</v>
      </c>
      <c r="K63" s="24" t="s">
        <v>1896</v>
      </c>
      <c r="L63" s="24" t="s">
        <v>1896</v>
      </c>
      <c r="M63" s="24" t="s">
        <v>1896</v>
      </c>
      <c r="N63" s="117" t="s">
        <v>45</v>
      </c>
      <c r="O63" s="45" t="s">
        <v>2440</v>
      </c>
      <c r="P63" s="24" t="s">
        <v>1896</v>
      </c>
      <c r="Q63" s="111" t="s">
        <v>2887</v>
      </c>
      <c r="R63" s="24" t="s">
        <v>1896</v>
      </c>
      <c r="S63" s="181" t="s">
        <v>2978</v>
      </c>
      <c r="T63" s="24" t="s">
        <v>1896</v>
      </c>
      <c r="U63" s="10" t="s">
        <v>110</v>
      </c>
      <c r="V63" s="72">
        <v>1</v>
      </c>
      <c r="W63" s="24" t="s">
        <v>1896</v>
      </c>
      <c r="X63" s="24" t="s">
        <v>1896</v>
      </c>
      <c r="Y63" s="73">
        <v>20</v>
      </c>
      <c r="Z63" s="73">
        <v>0</v>
      </c>
      <c r="AA63" s="96">
        <v>20</v>
      </c>
      <c r="AB63" s="24" t="s">
        <v>1896</v>
      </c>
      <c r="AC63" s="24" t="s">
        <v>1896</v>
      </c>
      <c r="AD63" s="24" t="s">
        <v>1896</v>
      </c>
      <c r="AE63" s="381"/>
    </row>
    <row r="64" spans="1:31" s="46" customFormat="1" ht="27.95" customHeight="1" x14ac:dyDescent="0.15">
      <c r="A64" s="40">
        <v>62</v>
      </c>
      <c r="B64" s="125">
        <v>14058</v>
      </c>
      <c r="C64" s="24" t="s">
        <v>1896</v>
      </c>
      <c r="D64" s="24" t="s">
        <v>1896</v>
      </c>
      <c r="E64" s="24" t="s">
        <v>1896</v>
      </c>
      <c r="F64" s="20" t="s">
        <v>1264</v>
      </c>
      <c r="G64" s="20" t="s">
        <v>2657</v>
      </c>
      <c r="H64" s="83" t="s">
        <v>94</v>
      </c>
      <c r="I64" s="83" t="s">
        <v>1925</v>
      </c>
      <c r="J64" s="118" t="s">
        <v>1705</v>
      </c>
      <c r="K64" s="24" t="s">
        <v>1896</v>
      </c>
      <c r="L64" s="24" t="s">
        <v>1896</v>
      </c>
      <c r="M64" s="24" t="s">
        <v>1896</v>
      </c>
      <c r="N64" s="110" t="s">
        <v>102</v>
      </c>
      <c r="O64" s="44" t="s">
        <v>851</v>
      </c>
      <c r="P64" s="24" t="s">
        <v>1896</v>
      </c>
      <c r="Q64" s="111" t="s">
        <v>2863</v>
      </c>
      <c r="R64" s="24" t="s">
        <v>1896</v>
      </c>
      <c r="S64" s="24" t="s">
        <v>1896</v>
      </c>
      <c r="T64" s="24" t="s">
        <v>1896</v>
      </c>
      <c r="U64" s="10" t="s">
        <v>110</v>
      </c>
      <c r="V64" s="72">
        <v>1</v>
      </c>
      <c r="W64" s="24" t="s">
        <v>1896</v>
      </c>
      <c r="X64" s="24" t="s">
        <v>1896</v>
      </c>
      <c r="Y64" s="73">
        <v>0</v>
      </c>
      <c r="Z64" s="73">
        <v>12.6</v>
      </c>
      <c r="AA64" s="96">
        <v>12.6</v>
      </c>
      <c r="AB64" s="24" t="s">
        <v>1896</v>
      </c>
      <c r="AC64" s="24" t="s">
        <v>1896</v>
      </c>
      <c r="AD64" s="24" t="s">
        <v>1896</v>
      </c>
      <c r="AE64" s="381"/>
    </row>
    <row r="65" spans="1:31" s="46" customFormat="1" ht="27.95" customHeight="1" x14ac:dyDescent="0.15">
      <c r="A65" s="40">
        <v>63</v>
      </c>
      <c r="B65" s="125">
        <v>14059</v>
      </c>
      <c r="C65" s="24" t="s">
        <v>1896</v>
      </c>
      <c r="D65" s="24" t="s">
        <v>1896</v>
      </c>
      <c r="E65" s="24" t="s">
        <v>1896</v>
      </c>
      <c r="F65" s="142" t="s">
        <v>2619</v>
      </c>
      <c r="G65" s="131" t="s">
        <v>2658</v>
      </c>
      <c r="H65" s="81" t="s">
        <v>1487</v>
      </c>
      <c r="I65" s="81" t="s">
        <v>1952</v>
      </c>
      <c r="J65" s="44" t="s">
        <v>1953</v>
      </c>
      <c r="K65" s="24" t="s">
        <v>1896</v>
      </c>
      <c r="L65" s="24" t="s">
        <v>1896</v>
      </c>
      <c r="M65" s="24" t="s">
        <v>1896</v>
      </c>
      <c r="N65" s="110" t="s">
        <v>102</v>
      </c>
      <c r="O65" s="44" t="s">
        <v>851</v>
      </c>
      <c r="P65" s="24" t="s">
        <v>1896</v>
      </c>
      <c r="Q65" s="111" t="s">
        <v>2890</v>
      </c>
      <c r="R65" s="24" t="s">
        <v>1896</v>
      </c>
      <c r="S65" s="24" t="s">
        <v>1896</v>
      </c>
      <c r="T65" s="24" t="s">
        <v>1896</v>
      </c>
      <c r="U65" s="72" t="s">
        <v>108</v>
      </c>
      <c r="V65" s="72">
        <v>1</v>
      </c>
      <c r="W65" s="24" t="s">
        <v>1896</v>
      </c>
      <c r="X65" s="24" t="s">
        <v>1896</v>
      </c>
      <c r="Y65" s="73">
        <v>0</v>
      </c>
      <c r="Z65" s="73">
        <v>5</v>
      </c>
      <c r="AA65" s="96">
        <v>5</v>
      </c>
      <c r="AB65" s="24" t="s">
        <v>1896</v>
      </c>
      <c r="AC65" s="24" t="s">
        <v>1896</v>
      </c>
      <c r="AD65" s="24" t="s">
        <v>1896</v>
      </c>
      <c r="AE65" s="381"/>
    </row>
    <row r="66" spans="1:31" s="46" customFormat="1" ht="27.95" customHeight="1" x14ac:dyDescent="0.15">
      <c r="A66" s="40">
        <v>64</v>
      </c>
      <c r="B66" s="125">
        <v>14060</v>
      </c>
      <c r="C66" s="24" t="s">
        <v>1896</v>
      </c>
      <c r="D66" s="24" t="s">
        <v>1896</v>
      </c>
      <c r="E66" s="24" t="s">
        <v>1896</v>
      </c>
      <c r="F66" s="142" t="s">
        <v>2659</v>
      </c>
      <c r="G66" s="20" t="s">
        <v>2660</v>
      </c>
      <c r="H66" s="81" t="s">
        <v>94</v>
      </c>
      <c r="I66" s="81" t="s">
        <v>112</v>
      </c>
      <c r="J66" s="44" t="s">
        <v>1601</v>
      </c>
      <c r="K66" s="24" t="s">
        <v>1896</v>
      </c>
      <c r="L66" s="24" t="s">
        <v>1896</v>
      </c>
      <c r="M66" s="24" t="s">
        <v>1896</v>
      </c>
      <c r="N66" s="44" t="s">
        <v>2886</v>
      </c>
      <c r="O66" s="44" t="s">
        <v>2886</v>
      </c>
      <c r="P66" s="24" t="s">
        <v>1896</v>
      </c>
      <c r="Q66" s="111" t="s">
        <v>2888</v>
      </c>
      <c r="R66" s="24" t="s">
        <v>1896</v>
      </c>
      <c r="S66" s="181" t="s">
        <v>2979</v>
      </c>
      <c r="T66" s="24" t="s">
        <v>1896</v>
      </c>
      <c r="U66" s="10" t="s">
        <v>110</v>
      </c>
      <c r="V66" s="72">
        <v>1</v>
      </c>
      <c r="W66" s="24" t="s">
        <v>1896</v>
      </c>
      <c r="X66" s="24" t="s">
        <v>1896</v>
      </c>
      <c r="Y66" s="73">
        <v>7</v>
      </c>
      <c r="Z66" s="73">
        <v>0</v>
      </c>
      <c r="AA66" s="171">
        <v>7</v>
      </c>
      <c r="AB66" s="24" t="s">
        <v>1896</v>
      </c>
      <c r="AC66" s="24" t="s">
        <v>1896</v>
      </c>
      <c r="AD66" s="24" t="s">
        <v>1896</v>
      </c>
      <c r="AE66" s="381"/>
    </row>
    <row r="67" spans="1:31" s="46" customFormat="1" ht="27.95" customHeight="1" x14ac:dyDescent="0.15">
      <c r="A67" s="40">
        <v>65</v>
      </c>
      <c r="B67" s="125">
        <v>14061</v>
      </c>
      <c r="C67" s="24" t="s">
        <v>1896</v>
      </c>
      <c r="D67" s="24" t="s">
        <v>1896</v>
      </c>
      <c r="E67" s="24" t="s">
        <v>1896</v>
      </c>
      <c r="F67" s="142" t="s">
        <v>2661</v>
      </c>
      <c r="G67" s="142" t="s">
        <v>2662</v>
      </c>
      <c r="H67" s="81" t="s">
        <v>1487</v>
      </c>
      <c r="I67" s="81" t="s">
        <v>1416</v>
      </c>
      <c r="J67" s="117" t="s">
        <v>1671</v>
      </c>
      <c r="K67" s="24" t="s">
        <v>1896</v>
      </c>
      <c r="L67" s="24" t="s">
        <v>1896</v>
      </c>
      <c r="M67" s="24" t="s">
        <v>1896</v>
      </c>
      <c r="N67" s="108" t="s">
        <v>102</v>
      </c>
      <c r="O67" s="45" t="s">
        <v>1759</v>
      </c>
      <c r="P67" s="24" t="s">
        <v>1896</v>
      </c>
      <c r="Q67" s="111" t="s">
        <v>2890</v>
      </c>
      <c r="R67" s="24" t="s">
        <v>1896</v>
      </c>
      <c r="S67" s="182">
        <v>41974</v>
      </c>
      <c r="T67" s="24" t="s">
        <v>1896</v>
      </c>
      <c r="U67" s="10" t="s">
        <v>110</v>
      </c>
      <c r="V67" s="72">
        <v>2</v>
      </c>
      <c r="W67" s="24" t="s">
        <v>1896</v>
      </c>
      <c r="X67" s="24" t="s">
        <v>1896</v>
      </c>
      <c r="Y67" s="73">
        <v>0</v>
      </c>
      <c r="Z67" s="73">
        <v>23</v>
      </c>
      <c r="AA67" s="171">
        <v>23</v>
      </c>
      <c r="AB67" s="24" t="s">
        <v>1896</v>
      </c>
      <c r="AC67" s="24" t="s">
        <v>1896</v>
      </c>
      <c r="AD67" s="24" t="s">
        <v>1896</v>
      </c>
      <c r="AE67" s="381"/>
    </row>
    <row r="68" spans="1:31" s="46" customFormat="1" ht="27.95" customHeight="1" x14ac:dyDescent="0.15">
      <c r="A68" s="40">
        <v>66</v>
      </c>
      <c r="B68" s="125">
        <v>14062</v>
      </c>
      <c r="C68" s="24" t="s">
        <v>1896</v>
      </c>
      <c r="D68" s="24" t="s">
        <v>1896</v>
      </c>
      <c r="E68" s="24" t="s">
        <v>1896</v>
      </c>
      <c r="F68" s="142" t="s">
        <v>2663</v>
      </c>
      <c r="G68" s="142" t="s">
        <v>2664</v>
      </c>
      <c r="H68" s="81" t="s">
        <v>94</v>
      </c>
      <c r="I68" s="81" t="s">
        <v>1416</v>
      </c>
      <c r="J68" s="108" t="s">
        <v>3156</v>
      </c>
      <c r="K68" s="24" t="s">
        <v>1896</v>
      </c>
      <c r="L68" s="24" t="s">
        <v>1896</v>
      </c>
      <c r="M68" s="24" t="s">
        <v>1896</v>
      </c>
      <c r="N68" s="108" t="s">
        <v>102</v>
      </c>
      <c r="O68" s="45" t="s">
        <v>1743</v>
      </c>
      <c r="P68" s="24" t="s">
        <v>1896</v>
      </c>
      <c r="Q68" s="111" t="s">
        <v>2863</v>
      </c>
      <c r="R68" s="24" t="s">
        <v>1896</v>
      </c>
      <c r="S68" s="182" t="s">
        <v>2980</v>
      </c>
      <c r="T68" s="24" t="s">
        <v>1896</v>
      </c>
      <c r="U68" s="10" t="s">
        <v>108</v>
      </c>
      <c r="V68" s="72">
        <v>1</v>
      </c>
      <c r="W68" s="24" t="s">
        <v>1896</v>
      </c>
      <c r="X68" s="24" t="s">
        <v>1896</v>
      </c>
      <c r="Y68" s="73">
        <v>17.5</v>
      </c>
      <c r="Z68" s="73">
        <v>0</v>
      </c>
      <c r="AA68" s="171">
        <v>17.5</v>
      </c>
      <c r="AB68" s="24" t="s">
        <v>1896</v>
      </c>
      <c r="AC68" s="24" t="s">
        <v>1896</v>
      </c>
      <c r="AD68" s="24" t="s">
        <v>1896</v>
      </c>
      <c r="AE68" s="381"/>
    </row>
    <row r="69" spans="1:31" s="46" customFormat="1" ht="27.95" customHeight="1" x14ac:dyDescent="0.15">
      <c r="A69" s="40">
        <v>67</v>
      </c>
      <c r="B69" s="125">
        <v>14063</v>
      </c>
      <c r="C69" s="24" t="s">
        <v>1896</v>
      </c>
      <c r="D69" s="24" t="s">
        <v>1896</v>
      </c>
      <c r="E69" s="24" t="s">
        <v>1896</v>
      </c>
      <c r="F69" s="142" t="s">
        <v>2665</v>
      </c>
      <c r="G69" s="142" t="s">
        <v>2666</v>
      </c>
      <c r="H69" s="81" t="s">
        <v>1541</v>
      </c>
      <c r="I69" s="81" t="s">
        <v>1952</v>
      </c>
      <c r="J69" s="117" t="s">
        <v>2875</v>
      </c>
      <c r="K69" s="24" t="s">
        <v>1896</v>
      </c>
      <c r="L69" s="24" t="s">
        <v>3674</v>
      </c>
      <c r="M69" s="24" t="s">
        <v>1896</v>
      </c>
      <c r="N69" s="108" t="s">
        <v>102</v>
      </c>
      <c r="O69" s="45" t="s">
        <v>1759</v>
      </c>
      <c r="P69" s="24" t="s">
        <v>1896</v>
      </c>
      <c r="Q69" s="111" t="s">
        <v>2892</v>
      </c>
      <c r="R69" s="24" t="s">
        <v>1896</v>
      </c>
      <c r="S69" s="180" t="s">
        <v>2981</v>
      </c>
      <c r="T69" s="24" t="s">
        <v>1896</v>
      </c>
      <c r="U69" s="10" t="s">
        <v>110</v>
      </c>
      <c r="V69" s="72">
        <v>1</v>
      </c>
      <c r="W69" s="24" t="s">
        <v>1896</v>
      </c>
      <c r="X69" s="24" t="s">
        <v>1896</v>
      </c>
      <c r="Y69" s="73">
        <v>29</v>
      </c>
      <c r="Z69" s="73">
        <v>0</v>
      </c>
      <c r="AA69" s="96">
        <v>29</v>
      </c>
      <c r="AB69" s="24" t="s">
        <v>1896</v>
      </c>
      <c r="AC69" s="24" t="s">
        <v>1896</v>
      </c>
      <c r="AD69" s="24" t="s">
        <v>1896</v>
      </c>
      <c r="AE69" s="381"/>
    </row>
    <row r="70" spans="1:31" s="46" customFormat="1" ht="27.95" customHeight="1" x14ac:dyDescent="0.15">
      <c r="A70" s="40">
        <v>68</v>
      </c>
      <c r="B70" s="125">
        <v>14064</v>
      </c>
      <c r="C70" s="24" t="s">
        <v>1896</v>
      </c>
      <c r="D70" s="24" t="s">
        <v>1896</v>
      </c>
      <c r="E70" s="24" t="s">
        <v>1896</v>
      </c>
      <c r="F70" s="142" t="s">
        <v>2667</v>
      </c>
      <c r="G70" s="142" t="s">
        <v>2668</v>
      </c>
      <c r="H70" s="81" t="s">
        <v>94</v>
      </c>
      <c r="I70" s="81" t="s">
        <v>993</v>
      </c>
      <c r="J70" s="117" t="s">
        <v>1626</v>
      </c>
      <c r="K70" s="24" t="s">
        <v>1896</v>
      </c>
      <c r="L70" s="24" t="s">
        <v>1896</v>
      </c>
      <c r="M70" s="24" t="s">
        <v>1896</v>
      </c>
      <c r="N70" s="110" t="s">
        <v>102</v>
      </c>
      <c r="O70" s="44" t="s">
        <v>851</v>
      </c>
      <c r="P70" s="24" t="s">
        <v>1896</v>
      </c>
      <c r="Q70" s="111" t="s">
        <v>2863</v>
      </c>
      <c r="R70" s="24" t="s">
        <v>1896</v>
      </c>
      <c r="S70" s="182">
        <v>41974</v>
      </c>
      <c r="T70" s="24" t="s">
        <v>1896</v>
      </c>
      <c r="U70" s="10" t="s">
        <v>110</v>
      </c>
      <c r="V70" s="72">
        <v>1</v>
      </c>
      <c r="W70" s="24" t="s">
        <v>1896</v>
      </c>
      <c r="X70" s="24" t="s">
        <v>1896</v>
      </c>
      <c r="Y70" s="73">
        <v>0</v>
      </c>
      <c r="Z70" s="73">
        <v>16</v>
      </c>
      <c r="AA70" s="96">
        <v>16</v>
      </c>
      <c r="AB70" s="24" t="s">
        <v>1896</v>
      </c>
      <c r="AC70" s="24" t="s">
        <v>1896</v>
      </c>
      <c r="AD70" s="24" t="s">
        <v>1896</v>
      </c>
      <c r="AE70" s="381"/>
    </row>
    <row r="71" spans="1:31" s="46" customFormat="1" ht="27.95" customHeight="1" x14ac:dyDescent="0.15">
      <c r="A71" s="40">
        <v>69</v>
      </c>
      <c r="B71" s="125">
        <v>14065</v>
      </c>
      <c r="C71" s="24" t="s">
        <v>1896</v>
      </c>
      <c r="D71" s="24" t="s">
        <v>1896</v>
      </c>
      <c r="E71" s="24" t="s">
        <v>1896</v>
      </c>
      <c r="F71" s="142" t="s">
        <v>2669</v>
      </c>
      <c r="G71" s="142" t="s">
        <v>2670</v>
      </c>
      <c r="H71" s="81" t="s">
        <v>94</v>
      </c>
      <c r="I71" s="81" t="s">
        <v>993</v>
      </c>
      <c r="J71" s="117" t="s">
        <v>1673</v>
      </c>
      <c r="K71" s="24" t="s">
        <v>1896</v>
      </c>
      <c r="L71" s="24" t="s">
        <v>1896</v>
      </c>
      <c r="M71" s="24" t="s">
        <v>1896</v>
      </c>
      <c r="N71" s="110" t="s">
        <v>102</v>
      </c>
      <c r="O71" s="44" t="s">
        <v>851</v>
      </c>
      <c r="P71" s="24" t="s">
        <v>1896</v>
      </c>
      <c r="Q71" s="111" t="s">
        <v>2863</v>
      </c>
      <c r="R71" s="24" t="s">
        <v>1896</v>
      </c>
      <c r="S71" s="182">
        <v>41974</v>
      </c>
      <c r="T71" s="24" t="s">
        <v>1896</v>
      </c>
      <c r="U71" s="10" t="s">
        <v>110</v>
      </c>
      <c r="V71" s="72">
        <v>1</v>
      </c>
      <c r="W71" s="24" t="s">
        <v>1896</v>
      </c>
      <c r="X71" s="24" t="s">
        <v>1896</v>
      </c>
      <c r="Y71" s="73">
        <v>0</v>
      </c>
      <c r="Z71" s="73">
        <v>16</v>
      </c>
      <c r="AA71" s="96">
        <v>16</v>
      </c>
      <c r="AB71" s="24" t="s">
        <v>1896</v>
      </c>
      <c r="AC71" s="24" t="s">
        <v>1896</v>
      </c>
      <c r="AD71" s="24" t="s">
        <v>1896</v>
      </c>
      <c r="AE71" s="381"/>
    </row>
    <row r="72" spans="1:31" s="46" customFormat="1" ht="27.95" customHeight="1" x14ac:dyDescent="0.15">
      <c r="A72" s="40">
        <v>70</v>
      </c>
      <c r="B72" s="125">
        <v>14066</v>
      </c>
      <c r="C72" s="24" t="s">
        <v>1896</v>
      </c>
      <c r="D72" s="24" t="s">
        <v>1896</v>
      </c>
      <c r="E72" s="24" t="s">
        <v>1896</v>
      </c>
      <c r="F72" s="20" t="s">
        <v>2671</v>
      </c>
      <c r="G72" s="20" t="s">
        <v>2672</v>
      </c>
      <c r="H72" s="83" t="s">
        <v>94</v>
      </c>
      <c r="I72" s="83" t="s">
        <v>993</v>
      </c>
      <c r="J72" s="117" t="s">
        <v>3155</v>
      </c>
      <c r="K72" s="24" t="s">
        <v>1896</v>
      </c>
      <c r="L72" s="24" t="s">
        <v>1896</v>
      </c>
      <c r="M72" s="24" t="s">
        <v>1896</v>
      </c>
      <c r="N72" s="110" t="s">
        <v>102</v>
      </c>
      <c r="O72" s="44" t="s">
        <v>851</v>
      </c>
      <c r="P72" s="24" t="s">
        <v>1896</v>
      </c>
      <c r="Q72" s="111" t="s">
        <v>2863</v>
      </c>
      <c r="R72" s="24" t="s">
        <v>1896</v>
      </c>
      <c r="S72" s="182">
        <v>41974</v>
      </c>
      <c r="T72" s="24" t="s">
        <v>1896</v>
      </c>
      <c r="U72" s="10" t="s">
        <v>110</v>
      </c>
      <c r="V72" s="72">
        <v>1</v>
      </c>
      <c r="W72" s="24" t="s">
        <v>1896</v>
      </c>
      <c r="X72" s="24" t="s">
        <v>1896</v>
      </c>
      <c r="Y72" s="73">
        <v>0</v>
      </c>
      <c r="Z72" s="73">
        <v>16</v>
      </c>
      <c r="AA72" s="96">
        <v>16</v>
      </c>
      <c r="AB72" s="24" t="s">
        <v>1896</v>
      </c>
      <c r="AC72" s="24" t="s">
        <v>1896</v>
      </c>
      <c r="AD72" s="24" t="s">
        <v>1896</v>
      </c>
      <c r="AE72" s="381"/>
    </row>
    <row r="73" spans="1:31" s="46" customFormat="1" ht="27.95" customHeight="1" x14ac:dyDescent="0.15">
      <c r="A73" s="40">
        <v>71</v>
      </c>
      <c r="B73" s="125">
        <v>14067</v>
      </c>
      <c r="C73" s="24" t="s">
        <v>1896</v>
      </c>
      <c r="D73" s="24" t="s">
        <v>1896</v>
      </c>
      <c r="E73" s="24" t="s">
        <v>1896</v>
      </c>
      <c r="F73" s="20" t="s">
        <v>2673</v>
      </c>
      <c r="G73" s="20" t="s">
        <v>2674</v>
      </c>
      <c r="H73" s="83" t="s">
        <v>94</v>
      </c>
      <c r="I73" s="83" t="s">
        <v>993</v>
      </c>
      <c r="J73" s="45" t="s">
        <v>1627</v>
      </c>
      <c r="K73" s="24" t="s">
        <v>1896</v>
      </c>
      <c r="L73" s="24" t="s">
        <v>1896</v>
      </c>
      <c r="M73" s="24" t="s">
        <v>1896</v>
      </c>
      <c r="N73" s="110" t="s">
        <v>102</v>
      </c>
      <c r="O73" s="44" t="s">
        <v>851</v>
      </c>
      <c r="P73" s="24" t="s">
        <v>1896</v>
      </c>
      <c r="Q73" s="111" t="s">
        <v>2863</v>
      </c>
      <c r="R73" s="24" t="s">
        <v>1896</v>
      </c>
      <c r="S73" s="182">
        <v>41974</v>
      </c>
      <c r="T73" s="24" t="s">
        <v>1896</v>
      </c>
      <c r="U73" s="10" t="s">
        <v>110</v>
      </c>
      <c r="V73" s="72">
        <v>1</v>
      </c>
      <c r="W73" s="24" t="s">
        <v>1896</v>
      </c>
      <c r="X73" s="24" t="s">
        <v>1896</v>
      </c>
      <c r="Y73" s="73">
        <v>0</v>
      </c>
      <c r="Z73" s="73">
        <v>16</v>
      </c>
      <c r="AA73" s="96">
        <v>16</v>
      </c>
      <c r="AB73" s="24" t="s">
        <v>1896</v>
      </c>
      <c r="AC73" s="24" t="s">
        <v>1896</v>
      </c>
      <c r="AD73" s="24" t="s">
        <v>1896</v>
      </c>
      <c r="AE73" s="381"/>
    </row>
    <row r="74" spans="1:31" s="46" customFormat="1" ht="27.95" customHeight="1" x14ac:dyDescent="0.15">
      <c r="A74" s="40">
        <v>72</v>
      </c>
      <c r="B74" s="125">
        <v>14068</v>
      </c>
      <c r="C74" s="24" t="s">
        <v>1896</v>
      </c>
      <c r="D74" s="24" t="s">
        <v>1896</v>
      </c>
      <c r="E74" s="24" t="s">
        <v>1896</v>
      </c>
      <c r="F74" s="20" t="s">
        <v>2675</v>
      </c>
      <c r="G74" s="20" t="s">
        <v>2676</v>
      </c>
      <c r="H74" s="83" t="s">
        <v>1487</v>
      </c>
      <c r="I74" s="83" t="s">
        <v>993</v>
      </c>
      <c r="J74" s="44" t="s">
        <v>892</v>
      </c>
      <c r="K74" s="24" t="s">
        <v>1896</v>
      </c>
      <c r="L74" s="24" t="s">
        <v>1896</v>
      </c>
      <c r="M74" s="24" t="s">
        <v>1896</v>
      </c>
      <c r="N74" s="110" t="s">
        <v>102</v>
      </c>
      <c r="O74" s="44" t="s">
        <v>1743</v>
      </c>
      <c r="P74" s="24" t="s">
        <v>1896</v>
      </c>
      <c r="Q74" s="111" t="s">
        <v>2890</v>
      </c>
      <c r="R74" s="24" t="s">
        <v>1896</v>
      </c>
      <c r="S74" s="182" t="s">
        <v>2982</v>
      </c>
      <c r="T74" s="24" t="s">
        <v>1896</v>
      </c>
      <c r="U74" s="10" t="s">
        <v>110</v>
      </c>
      <c r="V74" s="72">
        <v>2</v>
      </c>
      <c r="W74" s="24" t="s">
        <v>1896</v>
      </c>
      <c r="X74" s="24" t="s">
        <v>1896</v>
      </c>
      <c r="Y74" s="73">
        <v>12</v>
      </c>
      <c r="Z74" s="73">
        <v>0</v>
      </c>
      <c r="AA74" s="171">
        <v>12</v>
      </c>
      <c r="AB74" s="24" t="s">
        <v>1896</v>
      </c>
      <c r="AC74" s="24" t="s">
        <v>1896</v>
      </c>
      <c r="AD74" s="24" t="s">
        <v>1896</v>
      </c>
      <c r="AE74" s="381"/>
    </row>
    <row r="75" spans="1:31" s="46" customFormat="1" ht="27.95" customHeight="1" x14ac:dyDescent="0.15">
      <c r="A75" s="40">
        <v>73</v>
      </c>
      <c r="B75" s="125">
        <v>14069</v>
      </c>
      <c r="C75" s="24" t="s">
        <v>1896</v>
      </c>
      <c r="D75" s="24" t="s">
        <v>1896</v>
      </c>
      <c r="E75" s="24" t="s">
        <v>1896</v>
      </c>
      <c r="F75" s="20" t="s">
        <v>2677</v>
      </c>
      <c r="G75" s="20" t="s">
        <v>2678</v>
      </c>
      <c r="H75" s="83" t="s">
        <v>1541</v>
      </c>
      <c r="I75" s="83" t="s">
        <v>1540</v>
      </c>
      <c r="J75" s="45" t="s">
        <v>1623</v>
      </c>
      <c r="K75" s="24" t="s">
        <v>1896</v>
      </c>
      <c r="L75" s="24" t="s">
        <v>1896</v>
      </c>
      <c r="M75" s="24" t="s">
        <v>1896</v>
      </c>
      <c r="N75" s="108" t="s">
        <v>102</v>
      </c>
      <c r="O75" s="45" t="s">
        <v>2856</v>
      </c>
      <c r="P75" s="24" t="s">
        <v>1896</v>
      </c>
      <c r="Q75" s="111" t="s">
        <v>2892</v>
      </c>
      <c r="R75" s="24" t="s">
        <v>1896</v>
      </c>
      <c r="S75" s="182" t="s">
        <v>2983</v>
      </c>
      <c r="T75" s="24" t="s">
        <v>1896</v>
      </c>
      <c r="U75" s="72" t="s">
        <v>108</v>
      </c>
      <c r="V75" s="72">
        <v>1</v>
      </c>
      <c r="W75" s="24" t="s">
        <v>1896</v>
      </c>
      <c r="X75" s="24" t="s">
        <v>1896</v>
      </c>
      <c r="Y75" s="73">
        <v>39.5</v>
      </c>
      <c r="Z75" s="73">
        <v>0</v>
      </c>
      <c r="AA75" s="96">
        <v>39.5</v>
      </c>
      <c r="AB75" s="24" t="s">
        <v>1896</v>
      </c>
      <c r="AC75" s="24" t="s">
        <v>1896</v>
      </c>
      <c r="AD75" s="24" t="s">
        <v>1896</v>
      </c>
      <c r="AE75" s="381"/>
    </row>
    <row r="76" spans="1:31" s="46" customFormat="1" ht="27.95" customHeight="1" x14ac:dyDescent="0.15">
      <c r="A76" s="40">
        <v>74</v>
      </c>
      <c r="B76" s="125">
        <v>14070</v>
      </c>
      <c r="C76" s="24" t="s">
        <v>1896</v>
      </c>
      <c r="D76" s="24" t="s">
        <v>1896</v>
      </c>
      <c r="E76" s="24" t="s">
        <v>1896</v>
      </c>
      <c r="F76" s="20" t="s">
        <v>2679</v>
      </c>
      <c r="G76" s="20" t="s">
        <v>2680</v>
      </c>
      <c r="H76" s="83" t="s">
        <v>1419</v>
      </c>
      <c r="I76" s="45" t="s">
        <v>22</v>
      </c>
      <c r="J76" s="45" t="s">
        <v>2876</v>
      </c>
      <c r="K76" s="24" t="s">
        <v>1896</v>
      </c>
      <c r="L76" s="24" t="s">
        <v>1896</v>
      </c>
      <c r="M76" s="24" t="s">
        <v>1896</v>
      </c>
      <c r="N76" s="110" t="s">
        <v>102</v>
      </c>
      <c r="O76" s="44" t="s">
        <v>851</v>
      </c>
      <c r="P76" s="24" t="s">
        <v>1896</v>
      </c>
      <c r="Q76" s="111" t="s">
        <v>2891</v>
      </c>
      <c r="R76" s="24" t="s">
        <v>1896</v>
      </c>
      <c r="S76" s="182" t="s">
        <v>2984</v>
      </c>
      <c r="T76" s="24" t="s">
        <v>1896</v>
      </c>
      <c r="U76" s="10" t="s">
        <v>110</v>
      </c>
      <c r="V76" s="72">
        <v>1</v>
      </c>
      <c r="W76" s="24" t="s">
        <v>1896</v>
      </c>
      <c r="X76" s="24" t="s">
        <v>1896</v>
      </c>
      <c r="Y76" s="73">
        <v>0</v>
      </c>
      <c r="Z76" s="73">
        <v>19</v>
      </c>
      <c r="AA76" s="171">
        <v>19</v>
      </c>
      <c r="AB76" s="24" t="s">
        <v>1896</v>
      </c>
      <c r="AC76" s="24" t="s">
        <v>1896</v>
      </c>
      <c r="AD76" s="24" t="s">
        <v>1896</v>
      </c>
      <c r="AE76" s="381"/>
    </row>
    <row r="77" spans="1:31" s="143" customFormat="1" ht="27.95" customHeight="1" x14ac:dyDescent="0.15">
      <c r="A77" s="72">
        <v>75</v>
      </c>
      <c r="B77" s="72" t="s">
        <v>3110</v>
      </c>
      <c r="C77" s="24" t="s">
        <v>3084</v>
      </c>
      <c r="D77" s="24" t="s">
        <v>3084</v>
      </c>
      <c r="E77" s="24" t="s">
        <v>3084</v>
      </c>
      <c r="F77" s="24" t="s">
        <v>3084</v>
      </c>
      <c r="G77" s="24" t="s">
        <v>3084</v>
      </c>
      <c r="H77" s="20" t="s">
        <v>2859</v>
      </c>
      <c r="I77" s="21" t="s">
        <v>2859</v>
      </c>
      <c r="J77" s="21" t="s">
        <v>2877</v>
      </c>
      <c r="K77" s="24" t="s">
        <v>3084</v>
      </c>
      <c r="L77" s="24" t="s">
        <v>3084</v>
      </c>
      <c r="M77" s="24" t="s">
        <v>3084</v>
      </c>
      <c r="N77" s="20" t="s">
        <v>2859</v>
      </c>
      <c r="O77" s="20" t="s">
        <v>2859</v>
      </c>
      <c r="P77" s="24" t="s">
        <v>3084</v>
      </c>
      <c r="Q77" s="119" t="s">
        <v>2888</v>
      </c>
      <c r="R77" s="24" t="s">
        <v>3084</v>
      </c>
      <c r="S77" s="24" t="s">
        <v>3084</v>
      </c>
      <c r="T77" s="24" t="s">
        <v>3084</v>
      </c>
      <c r="U77" s="72" t="s">
        <v>3417</v>
      </c>
      <c r="V77" s="72">
        <v>0</v>
      </c>
      <c r="W77" s="24" t="s">
        <v>3084</v>
      </c>
      <c r="X77" s="24" t="s">
        <v>3084</v>
      </c>
      <c r="Y77" s="172">
        <v>60</v>
      </c>
      <c r="Z77" s="172">
        <v>0</v>
      </c>
      <c r="AA77" s="30">
        <v>60</v>
      </c>
      <c r="AB77" s="24" t="s">
        <v>3084</v>
      </c>
      <c r="AC77" s="24" t="s">
        <v>3084</v>
      </c>
      <c r="AD77" s="24" t="s">
        <v>3084</v>
      </c>
      <c r="AE77" s="72"/>
    </row>
    <row r="78" spans="1:31" s="154" customFormat="1" ht="27.95" customHeight="1" x14ac:dyDescent="0.15">
      <c r="A78" s="146"/>
      <c r="B78" s="146"/>
      <c r="C78" s="146"/>
      <c r="D78" s="146"/>
      <c r="E78" s="146"/>
      <c r="F78" s="146"/>
      <c r="G78" s="146"/>
      <c r="H78" s="146"/>
      <c r="I78" s="146"/>
      <c r="J78" s="146"/>
      <c r="K78" s="146"/>
      <c r="L78" s="146"/>
      <c r="M78" s="146"/>
      <c r="N78" s="174"/>
      <c r="O78" s="174"/>
      <c r="P78" s="146"/>
      <c r="Q78" s="146"/>
      <c r="R78" s="146"/>
      <c r="S78" s="146"/>
      <c r="T78" s="146"/>
      <c r="U78" s="146" t="s">
        <v>3393</v>
      </c>
      <c r="V78" s="146"/>
      <c r="W78" s="146"/>
      <c r="X78" s="146"/>
      <c r="Y78" s="176">
        <f>SUM(Y3:Y77)</f>
        <v>1047.4486000000002</v>
      </c>
      <c r="Z78" s="176">
        <f>SUM(Z3:Z77)</f>
        <v>1161.5999999999999</v>
      </c>
      <c r="AA78" s="176">
        <f>SUM(AA3:AA77)</f>
        <v>2209.0486000000001</v>
      </c>
      <c r="AB78" s="146"/>
      <c r="AC78" s="146"/>
      <c r="AD78" s="146"/>
      <c r="AE78" s="146"/>
    </row>
  </sheetData>
  <autoFilter ref="A2:AE78" xr:uid="{00000000-0009-0000-0000-000008000000}"/>
  <mergeCells count="1">
    <mergeCell ref="A1:AD1"/>
  </mergeCells>
  <phoneticPr fontId="1" type="noConversion"/>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53"/>
  <sheetViews>
    <sheetView workbookViewId="0">
      <pane xSplit="2" ySplit="2" topLeftCell="C45" activePane="bottomRight" state="frozen"/>
      <selection pane="topRight" activeCell="C1" sqref="C1"/>
      <selection pane="bottomLeft" activeCell="A3" sqref="A3"/>
      <selection pane="bottomRight" activeCell="M16" sqref="M16"/>
    </sheetView>
  </sheetViews>
  <sheetFormatPr defaultRowHeight="27.95" customHeight="1" x14ac:dyDescent="0.15"/>
  <cols>
    <col min="1" max="1" width="6.375" style="38" customWidth="1"/>
    <col min="2" max="2" width="9.75" style="38" bestFit="1" customWidth="1"/>
    <col min="3" max="3" width="12.875" style="38" customWidth="1"/>
    <col min="4" max="4" width="14.25" style="38" customWidth="1"/>
    <col min="5" max="5" width="12.125" style="38" customWidth="1"/>
    <col min="6" max="6" width="25" style="38" customWidth="1"/>
    <col min="7" max="7" width="23.5" style="38" customWidth="1"/>
    <col min="8" max="9" width="9" style="38"/>
    <col min="10" max="10" width="14" style="38" customWidth="1"/>
    <col min="11" max="13" width="9" style="38"/>
    <col min="14" max="14" width="11.375" style="5" customWidth="1"/>
    <col min="15" max="15" width="22.875" style="5" customWidth="1"/>
    <col min="16" max="20" width="9" style="38"/>
    <col min="21" max="21" width="13.125" style="38" customWidth="1"/>
    <col min="22" max="24" width="9" style="38"/>
    <col min="25" max="25" width="9.875" style="137" customWidth="1"/>
    <col min="26" max="26" width="11" style="137" customWidth="1"/>
    <col min="27" max="27" width="11.125" style="137" customWidth="1"/>
    <col min="28" max="28" width="9" style="38"/>
    <col min="29" max="29" width="11.875" style="38" customWidth="1"/>
    <col min="30" max="30" width="9" style="38"/>
    <col min="31" max="31" width="31" style="38" customWidth="1"/>
    <col min="32" max="16384" width="9" style="38"/>
  </cols>
  <sheetData>
    <row r="1" spans="1:31" s="3" customFormat="1" ht="33" customHeight="1" x14ac:dyDescent="0.15">
      <c r="A1" s="1953" t="s">
        <v>2316</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1" s="4" customFormat="1" ht="27.9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8</v>
      </c>
      <c r="P2" s="25" t="s">
        <v>9</v>
      </c>
      <c r="Q2" s="25" t="s">
        <v>3342</v>
      </c>
      <c r="R2" s="25" t="s">
        <v>3343</v>
      </c>
      <c r="S2" s="25" t="s">
        <v>15</v>
      </c>
      <c r="T2" s="25" t="s">
        <v>16</v>
      </c>
      <c r="U2" s="32" t="s">
        <v>14</v>
      </c>
      <c r="V2" s="32" t="s">
        <v>3351</v>
      </c>
      <c r="W2" s="25" t="s">
        <v>3352</v>
      </c>
      <c r="X2" s="25" t="s">
        <v>3353</v>
      </c>
      <c r="Y2" s="25" t="s">
        <v>429</v>
      </c>
      <c r="Z2" s="25" t="s">
        <v>430</v>
      </c>
      <c r="AA2" s="25" t="s">
        <v>431</v>
      </c>
      <c r="AB2" s="25" t="s">
        <v>3350</v>
      </c>
      <c r="AC2" s="25" t="s">
        <v>2185</v>
      </c>
      <c r="AD2" s="25" t="s">
        <v>2125</v>
      </c>
      <c r="AE2" s="25" t="s">
        <v>3252</v>
      </c>
    </row>
    <row r="3" spans="1:31" s="46" customFormat="1" ht="27.95" customHeight="1" x14ac:dyDescent="0.15">
      <c r="A3" s="40">
        <v>1</v>
      </c>
      <c r="B3" s="125">
        <v>13001</v>
      </c>
      <c r="C3" s="24" t="s">
        <v>1896</v>
      </c>
      <c r="D3" s="24" t="s">
        <v>1896</v>
      </c>
      <c r="E3" s="24" t="s">
        <v>1896</v>
      </c>
      <c r="F3" s="185" t="s">
        <v>2541</v>
      </c>
      <c r="G3" s="185" t="s">
        <v>2542</v>
      </c>
      <c r="H3" s="1" t="s">
        <v>1508</v>
      </c>
      <c r="I3" s="1" t="s">
        <v>2826</v>
      </c>
      <c r="J3" s="78" t="s">
        <v>2827</v>
      </c>
      <c r="K3" s="24" t="s">
        <v>1896</v>
      </c>
      <c r="L3" s="24" t="s">
        <v>1896</v>
      </c>
      <c r="M3" s="24" t="s">
        <v>1896</v>
      </c>
      <c r="N3" s="108" t="s">
        <v>102</v>
      </c>
      <c r="O3" s="45" t="s">
        <v>1760</v>
      </c>
      <c r="P3" s="24" t="s">
        <v>1896</v>
      </c>
      <c r="Q3" s="111" t="s">
        <v>2860</v>
      </c>
      <c r="R3" s="24" t="s">
        <v>1896</v>
      </c>
      <c r="S3" s="180" t="s">
        <v>2794</v>
      </c>
      <c r="T3" s="24" t="s">
        <v>1896</v>
      </c>
      <c r="U3" s="72" t="s">
        <v>110</v>
      </c>
      <c r="V3" s="72">
        <v>1</v>
      </c>
      <c r="W3" s="24" t="s">
        <v>1896</v>
      </c>
      <c r="X3" s="24" t="s">
        <v>1896</v>
      </c>
      <c r="Y3" s="73">
        <v>56.896500000000003</v>
      </c>
      <c r="Z3" s="73">
        <v>0</v>
      </c>
      <c r="AA3" s="171">
        <f>56.5+0.0365+0.36</f>
        <v>56.896499999999996</v>
      </c>
      <c r="AB3" s="24" t="s">
        <v>1896</v>
      </c>
      <c r="AC3" s="24" t="s">
        <v>1896</v>
      </c>
      <c r="AD3" s="24" t="s">
        <v>1896</v>
      </c>
      <c r="AE3" s="40"/>
    </row>
    <row r="4" spans="1:31" s="46" customFormat="1" ht="27.95" customHeight="1" x14ac:dyDescent="0.15">
      <c r="A4" s="40">
        <v>2</v>
      </c>
      <c r="B4" s="125">
        <v>13002</v>
      </c>
      <c r="C4" s="24" t="s">
        <v>1896</v>
      </c>
      <c r="D4" s="24" t="s">
        <v>1896</v>
      </c>
      <c r="E4" s="24" t="s">
        <v>1896</v>
      </c>
      <c r="F4" s="185" t="s">
        <v>1382</v>
      </c>
      <c r="G4" s="185" t="s">
        <v>2543</v>
      </c>
      <c r="H4" s="1" t="s">
        <v>94</v>
      </c>
      <c r="I4" s="1" t="s">
        <v>1113</v>
      </c>
      <c r="J4" s="78" t="s">
        <v>1720</v>
      </c>
      <c r="K4" s="24" t="s">
        <v>1896</v>
      </c>
      <c r="L4" s="24" t="s">
        <v>1896</v>
      </c>
      <c r="M4" s="24" t="s">
        <v>1896</v>
      </c>
      <c r="N4" s="108" t="s">
        <v>102</v>
      </c>
      <c r="O4" s="45" t="s">
        <v>1759</v>
      </c>
      <c r="P4" s="24" t="s">
        <v>1896</v>
      </c>
      <c r="Q4" s="111" t="s">
        <v>1752</v>
      </c>
      <c r="R4" s="24" t="s">
        <v>1896</v>
      </c>
      <c r="S4" s="180" t="s">
        <v>2795</v>
      </c>
      <c r="T4" s="24" t="s">
        <v>1896</v>
      </c>
      <c r="U4" s="72" t="s">
        <v>110</v>
      </c>
      <c r="V4" s="72">
        <v>1</v>
      </c>
      <c r="W4" s="24" t="s">
        <v>1896</v>
      </c>
      <c r="X4" s="24" t="s">
        <v>1896</v>
      </c>
      <c r="Y4" s="73">
        <v>27.52</v>
      </c>
      <c r="Z4" s="73">
        <v>6</v>
      </c>
      <c r="AA4" s="171">
        <f>33.52</f>
        <v>33.520000000000003</v>
      </c>
      <c r="AB4" s="24" t="s">
        <v>1896</v>
      </c>
      <c r="AC4" s="24" t="s">
        <v>1896</v>
      </c>
      <c r="AD4" s="24" t="s">
        <v>1896</v>
      </c>
      <c r="AE4" s="40"/>
    </row>
    <row r="5" spans="1:31" s="46" customFormat="1" ht="27.95" customHeight="1" x14ac:dyDescent="0.15">
      <c r="A5" s="40">
        <v>3</v>
      </c>
      <c r="B5" s="125">
        <v>13003</v>
      </c>
      <c r="C5" s="24" t="s">
        <v>1896</v>
      </c>
      <c r="D5" s="24" t="s">
        <v>1896</v>
      </c>
      <c r="E5" s="24" t="s">
        <v>1896</v>
      </c>
      <c r="F5" s="186" t="s">
        <v>2544</v>
      </c>
      <c r="G5" s="185" t="s">
        <v>2545</v>
      </c>
      <c r="H5" s="142" t="s">
        <v>1487</v>
      </c>
      <c r="I5" s="142" t="s">
        <v>1952</v>
      </c>
      <c r="J5" s="21" t="s">
        <v>1953</v>
      </c>
      <c r="K5" s="24" t="s">
        <v>1896</v>
      </c>
      <c r="L5" s="24" t="s">
        <v>1896</v>
      </c>
      <c r="M5" s="24" t="s">
        <v>1896</v>
      </c>
      <c r="N5" s="108" t="s">
        <v>102</v>
      </c>
      <c r="O5" s="45" t="s">
        <v>461</v>
      </c>
      <c r="P5" s="24" t="s">
        <v>1896</v>
      </c>
      <c r="Q5" s="28" t="s">
        <v>2861</v>
      </c>
      <c r="R5" s="24" t="s">
        <v>1896</v>
      </c>
      <c r="S5" s="180" t="s">
        <v>2796</v>
      </c>
      <c r="T5" s="24" t="s">
        <v>1896</v>
      </c>
      <c r="U5" s="72" t="s">
        <v>110</v>
      </c>
      <c r="V5" s="72">
        <v>1</v>
      </c>
      <c r="W5" s="24" t="s">
        <v>1896</v>
      </c>
      <c r="X5" s="24" t="s">
        <v>1896</v>
      </c>
      <c r="Y5" s="73">
        <v>18.600000000000001</v>
      </c>
      <c r="Z5" s="73">
        <v>0</v>
      </c>
      <c r="AA5" s="171">
        <v>18.600000000000001</v>
      </c>
      <c r="AB5" s="24" t="s">
        <v>1896</v>
      </c>
      <c r="AC5" s="24" t="s">
        <v>1896</v>
      </c>
      <c r="AD5" s="24" t="s">
        <v>1896</v>
      </c>
      <c r="AE5" s="40"/>
    </row>
    <row r="6" spans="1:31" s="46" customFormat="1" ht="27.95" customHeight="1" x14ac:dyDescent="0.15">
      <c r="A6" s="40">
        <v>4</v>
      </c>
      <c r="B6" s="125">
        <v>13004</v>
      </c>
      <c r="C6" s="24" t="s">
        <v>1896</v>
      </c>
      <c r="D6" s="24" t="s">
        <v>1896</v>
      </c>
      <c r="E6" s="24" t="s">
        <v>1896</v>
      </c>
      <c r="F6" s="185" t="s">
        <v>2546</v>
      </c>
      <c r="G6" s="185" t="s">
        <v>2547</v>
      </c>
      <c r="H6" s="142" t="s">
        <v>1487</v>
      </c>
      <c r="I6" s="142" t="s">
        <v>1463</v>
      </c>
      <c r="J6" s="21" t="s">
        <v>2828</v>
      </c>
      <c r="K6" s="24" t="s">
        <v>1896</v>
      </c>
      <c r="L6" s="24" t="s">
        <v>1896</v>
      </c>
      <c r="M6" s="24" t="s">
        <v>1896</v>
      </c>
      <c r="N6" s="109" t="s">
        <v>102</v>
      </c>
      <c r="O6" s="44" t="s">
        <v>2843</v>
      </c>
      <c r="P6" s="24" t="s">
        <v>1896</v>
      </c>
      <c r="Q6" s="112" t="s">
        <v>2861</v>
      </c>
      <c r="R6" s="24" t="s">
        <v>1896</v>
      </c>
      <c r="S6" s="180" t="s">
        <v>2797</v>
      </c>
      <c r="T6" s="24" t="s">
        <v>1896</v>
      </c>
      <c r="U6" s="72" t="s">
        <v>108</v>
      </c>
      <c r="V6" s="72">
        <v>1</v>
      </c>
      <c r="W6" s="24" t="s">
        <v>1896</v>
      </c>
      <c r="X6" s="24" t="s">
        <v>1896</v>
      </c>
      <c r="Y6" s="73">
        <v>96</v>
      </c>
      <c r="Z6" s="73">
        <v>0</v>
      </c>
      <c r="AA6" s="96">
        <v>96</v>
      </c>
      <c r="AB6" s="24" t="s">
        <v>1896</v>
      </c>
      <c r="AC6" s="24" t="s">
        <v>1896</v>
      </c>
      <c r="AD6" s="24" t="s">
        <v>1896</v>
      </c>
      <c r="AE6" s="40"/>
    </row>
    <row r="7" spans="1:31" s="46" customFormat="1" ht="27.95" customHeight="1" x14ac:dyDescent="0.15">
      <c r="A7" s="40">
        <v>5</v>
      </c>
      <c r="B7" s="125">
        <v>13005</v>
      </c>
      <c r="C7" s="24" t="s">
        <v>1896</v>
      </c>
      <c r="D7" s="24" t="s">
        <v>1896</v>
      </c>
      <c r="E7" s="24" t="s">
        <v>1896</v>
      </c>
      <c r="F7" s="185" t="s">
        <v>1318</v>
      </c>
      <c r="G7" s="185" t="s">
        <v>2548</v>
      </c>
      <c r="H7" s="142" t="s">
        <v>1419</v>
      </c>
      <c r="I7" s="142" t="s">
        <v>993</v>
      </c>
      <c r="J7" s="21" t="s">
        <v>1672</v>
      </c>
      <c r="K7" s="24" t="s">
        <v>1896</v>
      </c>
      <c r="L7" s="24" t="s">
        <v>1896</v>
      </c>
      <c r="M7" s="24" t="s">
        <v>1896</v>
      </c>
      <c r="N7" s="108" t="s">
        <v>102</v>
      </c>
      <c r="O7" s="45" t="s">
        <v>1743</v>
      </c>
      <c r="P7" s="24" t="s">
        <v>1896</v>
      </c>
      <c r="Q7" s="28" t="s">
        <v>1752</v>
      </c>
      <c r="R7" s="24" t="s">
        <v>1896</v>
      </c>
      <c r="S7" s="180" t="s">
        <v>2798</v>
      </c>
      <c r="T7" s="24" t="s">
        <v>1896</v>
      </c>
      <c r="U7" s="72" t="s">
        <v>110</v>
      </c>
      <c r="V7" s="72">
        <v>1</v>
      </c>
      <c r="W7" s="24" t="s">
        <v>1896</v>
      </c>
      <c r="X7" s="24" t="s">
        <v>1896</v>
      </c>
      <c r="Y7" s="73">
        <v>10</v>
      </c>
      <c r="Z7" s="73">
        <v>0</v>
      </c>
      <c r="AA7" s="171">
        <v>10</v>
      </c>
      <c r="AB7" s="24" t="s">
        <v>1896</v>
      </c>
      <c r="AC7" s="24" t="s">
        <v>1896</v>
      </c>
      <c r="AD7" s="24" t="s">
        <v>1896</v>
      </c>
      <c r="AE7" s="40"/>
    </row>
    <row r="8" spans="1:31" s="46" customFormat="1" ht="27.95" customHeight="1" x14ac:dyDescent="0.15">
      <c r="A8" s="40">
        <v>6</v>
      </c>
      <c r="B8" s="125">
        <v>13006</v>
      </c>
      <c r="C8" s="24" t="s">
        <v>1896</v>
      </c>
      <c r="D8" s="24" t="s">
        <v>1896</v>
      </c>
      <c r="E8" s="24" t="s">
        <v>1896</v>
      </c>
      <c r="F8" s="185" t="s">
        <v>1318</v>
      </c>
      <c r="G8" s="185" t="s">
        <v>2549</v>
      </c>
      <c r="H8" s="142" t="s">
        <v>1419</v>
      </c>
      <c r="I8" s="142" t="s">
        <v>993</v>
      </c>
      <c r="J8" s="21" t="s">
        <v>1672</v>
      </c>
      <c r="K8" s="24" t="s">
        <v>1896</v>
      </c>
      <c r="L8" s="24" t="s">
        <v>1896</v>
      </c>
      <c r="M8" s="24" t="s">
        <v>1896</v>
      </c>
      <c r="N8" s="110" t="s">
        <v>102</v>
      </c>
      <c r="O8" s="44" t="s">
        <v>851</v>
      </c>
      <c r="P8" s="24" t="s">
        <v>1896</v>
      </c>
      <c r="Q8" s="28" t="s">
        <v>1752</v>
      </c>
      <c r="R8" s="24" t="s">
        <v>1896</v>
      </c>
      <c r="S8" s="180" t="s">
        <v>2798</v>
      </c>
      <c r="T8" s="24" t="s">
        <v>1896</v>
      </c>
      <c r="U8" s="72" t="s">
        <v>110</v>
      </c>
      <c r="V8" s="72">
        <v>1</v>
      </c>
      <c r="W8" s="24" t="s">
        <v>1896</v>
      </c>
      <c r="X8" s="24" t="s">
        <v>1896</v>
      </c>
      <c r="Y8" s="73">
        <v>0</v>
      </c>
      <c r="Z8" s="73">
        <v>17</v>
      </c>
      <c r="AA8" s="171">
        <v>17</v>
      </c>
      <c r="AB8" s="24" t="s">
        <v>1896</v>
      </c>
      <c r="AC8" s="24" t="s">
        <v>1896</v>
      </c>
      <c r="AD8" s="24" t="s">
        <v>1896</v>
      </c>
      <c r="AE8" s="40"/>
    </row>
    <row r="9" spans="1:31" s="46" customFormat="1" ht="27.95" customHeight="1" x14ac:dyDescent="0.15">
      <c r="A9" s="40">
        <v>7</v>
      </c>
      <c r="B9" s="125">
        <v>13007</v>
      </c>
      <c r="C9" s="24" t="s">
        <v>1896</v>
      </c>
      <c r="D9" s="24" t="s">
        <v>1896</v>
      </c>
      <c r="E9" s="24" t="s">
        <v>1896</v>
      </c>
      <c r="F9" s="185" t="s">
        <v>846</v>
      </c>
      <c r="G9" s="185" t="s">
        <v>2550</v>
      </c>
      <c r="H9" s="142" t="s">
        <v>1508</v>
      </c>
      <c r="I9" s="142" t="s">
        <v>819</v>
      </c>
      <c r="J9" s="21" t="s">
        <v>850</v>
      </c>
      <c r="K9" s="24" t="s">
        <v>1896</v>
      </c>
      <c r="L9" s="24" t="s">
        <v>1896</v>
      </c>
      <c r="M9" s="24" t="s">
        <v>1896</v>
      </c>
      <c r="N9" s="108" t="s">
        <v>102</v>
      </c>
      <c r="O9" s="45" t="s">
        <v>2844</v>
      </c>
      <c r="P9" s="24" t="s">
        <v>1896</v>
      </c>
      <c r="Q9" s="28" t="s">
        <v>2860</v>
      </c>
      <c r="R9" s="24" t="s">
        <v>1896</v>
      </c>
      <c r="S9" s="180" t="s">
        <v>2799</v>
      </c>
      <c r="T9" s="24" t="s">
        <v>1896</v>
      </c>
      <c r="U9" s="72" t="s">
        <v>110</v>
      </c>
      <c r="V9" s="72">
        <v>2</v>
      </c>
      <c r="W9" s="24" t="s">
        <v>1896</v>
      </c>
      <c r="X9" s="24" t="s">
        <v>1896</v>
      </c>
      <c r="Y9" s="73">
        <v>42</v>
      </c>
      <c r="Z9" s="73">
        <v>0</v>
      </c>
      <c r="AA9" s="171">
        <v>42</v>
      </c>
      <c r="AB9" s="24" t="s">
        <v>1896</v>
      </c>
      <c r="AC9" s="24" t="s">
        <v>1896</v>
      </c>
      <c r="AD9" s="24" t="s">
        <v>1896</v>
      </c>
      <c r="AE9" s="40"/>
    </row>
    <row r="10" spans="1:31" s="46" customFormat="1" ht="27.95" customHeight="1" x14ac:dyDescent="0.15">
      <c r="A10" s="40">
        <v>8</v>
      </c>
      <c r="B10" s="125">
        <v>13008</v>
      </c>
      <c r="C10" s="24" t="s">
        <v>1896</v>
      </c>
      <c r="D10" s="24" t="s">
        <v>1896</v>
      </c>
      <c r="E10" s="24" t="s">
        <v>1896</v>
      </c>
      <c r="F10" s="185" t="s">
        <v>33</v>
      </c>
      <c r="G10" s="185" t="s">
        <v>2551</v>
      </c>
      <c r="H10" s="142" t="s">
        <v>1419</v>
      </c>
      <c r="I10" s="142" t="s">
        <v>22</v>
      </c>
      <c r="J10" s="21" t="s">
        <v>1654</v>
      </c>
      <c r="K10" s="24" t="s">
        <v>1896</v>
      </c>
      <c r="L10" s="24" t="s">
        <v>1896</v>
      </c>
      <c r="M10" s="24" t="s">
        <v>1896</v>
      </c>
      <c r="N10" s="44" t="s">
        <v>686</v>
      </c>
      <c r="O10" s="44" t="s">
        <v>2845</v>
      </c>
      <c r="P10" s="24" t="s">
        <v>1896</v>
      </c>
      <c r="Q10" s="28" t="s">
        <v>1752</v>
      </c>
      <c r="R10" s="24" t="s">
        <v>1896</v>
      </c>
      <c r="S10" s="180" t="s">
        <v>2800</v>
      </c>
      <c r="T10" s="24" t="s">
        <v>1896</v>
      </c>
      <c r="U10" s="72" t="s">
        <v>110</v>
      </c>
      <c r="V10" s="72">
        <v>1</v>
      </c>
      <c r="W10" s="24" t="s">
        <v>1896</v>
      </c>
      <c r="X10" s="24" t="s">
        <v>1896</v>
      </c>
      <c r="Y10" s="73">
        <v>37.938000000000002</v>
      </c>
      <c r="Z10" s="73">
        <v>0</v>
      </c>
      <c r="AA10" s="166">
        <v>37.938000000000002</v>
      </c>
      <c r="AB10" s="24" t="s">
        <v>1896</v>
      </c>
      <c r="AC10" s="24" t="s">
        <v>1896</v>
      </c>
      <c r="AD10" s="24" t="s">
        <v>1896</v>
      </c>
      <c r="AE10" s="40"/>
    </row>
    <row r="11" spans="1:31" s="46" customFormat="1" ht="27.95" customHeight="1" x14ac:dyDescent="0.15">
      <c r="A11" s="40">
        <v>9</v>
      </c>
      <c r="B11" s="125">
        <v>13009</v>
      </c>
      <c r="C11" s="24" t="s">
        <v>1896</v>
      </c>
      <c r="D11" s="24" t="s">
        <v>1896</v>
      </c>
      <c r="E11" s="24" t="s">
        <v>1896</v>
      </c>
      <c r="F11" s="185" t="s">
        <v>2552</v>
      </c>
      <c r="G11" s="185" t="s">
        <v>2553</v>
      </c>
      <c r="H11" s="142" t="s">
        <v>1419</v>
      </c>
      <c r="I11" s="142" t="s">
        <v>22</v>
      </c>
      <c r="J11" s="21" t="s">
        <v>1654</v>
      </c>
      <c r="K11" s="24" t="s">
        <v>1896</v>
      </c>
      <c r="L11" s="24" t="s">
        <v>1896</v>
      </c>
      <c r="M11" s="24" t="s">
        <v>1896</v>
      </c>
      <c r="N11" s="108" t="s">
        <v>102</v>
      </c>
      <c r="O11" s="45" t="s">
        <v>2844</v>
      </c>
      <c r="P11" s="24" t="s">
        <v>1896</v>
      </c>
      <c r="Q11" s="28" t="s">
        <v>1752</v>
      </c>
      <c r="R11" s="24" t="s">
        <v>1896</v>
      </c>
      <c r="S11" s="180" t="s">
        <v>2801</v>
      </c>
      <c r="T11" s="24" t="s">
        <v>1896</v>
      </c>
      <c r="U11" s="72" t="s">
        <v>108</v>
      </c>
      <c r="V11" s="72">
        <v>1</v>
      </c>
      <c r="W11" s="24" t="s">
        <v>1896</v>
      </c>
      <c r="X11" s="24" t="s">
        <v>1896</v>
      </c>
      <c r="Y11" s="73">
        <v>73</v>
      </c>
      <c r="Z11" s="73">
        <v>17</v>
      </c>
      <c r="AA11" s="171">
        <v>90</v>
      </c>
      <c r="AB11" s="24" t="s">
        <v>1896</v>
      </c>
      <c r="AC11" s="24" t="s">
        <v>1896</v>
      </c>
      <c r="AD11" s="24" t="s">
        <v>1896</v>
      </c>
      <c r="AE11" s="40"/>
    </row>
    <row r="12" spans="1:31" s="46" customFormat="1" ht="27.95" customHeight="1" x14ac:dyDescent="0.15">
      <c r="A12" s="40">
        <v>10</v>
      </c>
      <c r="B12" s="125">
        <v>13010</v>
      </c>
      <c r="C12" s="24" t="s">
        <v>1896</v>
      </c>
      <c r="D12" s="24" t="s">
        <v>1896</v>
      </c>
      <c r="E12" s="24" t="s">
        <v>1896</v>
      </c>
      <c r="F12" s="185" t="s">
        <v>1940</v>
      </c>
      <c r="G12" s="185" t="s">
        <v>2554</v>
      </c>
      <c r="H12" s="142" t="s">
        <v>1419</v>
      </c>
      <c r="I12" s="142" t="s">
        <v>1540</v>
      </c>
      <c r="J12" s="37" t="s">
        <v>1915</v>
      </c>
      <c r="K12" s="24" t="s">
        <v>1896</v>
      </c>
      <c r="L12" s="24" t="s">
        <v>1896</v>
      </c>
      <c r="M12" s="24" t="s">
        <v>1896</v>
      </c>
      <c r="N12" s="110" t="s">
        <v>102</v>
      </c>
      <c r="O12" s="44" t="s">
        <v>2846</v>
      </c>
      <c r="P12" s="24" t="s">
        <v>1896</v>
      </c>
      <c r="Q12" s="28" t="s">
        <v>1752</v>
      </c>
      <c r="R12" s="24" t="s">
        <v>1896</v>
      </c>
      <c r="S12" s="180" t="s">
        <v>2802</v>
      </c>
      <c r="T12" s="24" t="s">
        <v>1896</v>
      </c>
      <c r="U12" s="72" t="s">
        <v>110</v>
      </c>
      <c r="V12" s="72">
        <v>3</v>
      </c>
      <c r="W12" s="24" t="s">
        <v>1896</v>
      </c>
      <c r="X12" s="24" t="s">
        <v>1896</v>
      </c>
      <c r="Y12" s="73">
        <v>0</v>
      </c>
      <c r="Z12" s="73">
        <v>14.8</v>
      </c>
      <c r="AA12" s="171">
        <v>14.8</v>
      </c>
      <c r="AB12" s="24" t="s">
        <v>1896</v>
      </c>
      <c r="AC12" s="24" t="s">
        <v>1896</v>
      </c>
      <c r="AD12" s="24" t="s">
        <v>1896</v>
      </c>
      <c r="AE12" s="40"/>
    </row>
    <row r="13" spans="1:31" s="46" customFormat="1" ht="27.95" customHeight="1" x14ac:dyDescent="0.15">
      <c r="A13" s="40">
        <v>11</v>
      </c>
      <c r="B13" s="125">
        <v>13011</v>
      </c>
      <c r="C13" s="24" t="s">
        <v>1896</v>
      </c>
      <c r="D13" s="24" t="s">
        <v>1896</v>
      </c>
      <c r="E13" s="24" t="s">
        <v>1896</v>
      </c>
      <c r="F13" s="185" t="s">
        <v>2555</v>
      </c>
      <c r="G13" s="185" t="s">
        <v>2556</v>
      </c>
      <c r="H13" s="1" t="s">
        <v>2829</v>
      </c>
      <c r="I13" s="1" t="s">
        <v>1113</v>
      </c>
      <c r="J13" s="1" t="s">
        <v>1609</v>
      </c>
      <c r="K13" s="24" t="s">
        <v>1896</v>
      </c>
      <c r="L13" s="24" t="s">
        <v>1896</v>
      </c>
      <c r="M13" s="24" t="s">
        <v>1896</v>
      </c>
      <c r="N13" s="108" t="s">
        <v>102</v>
      </c>
      <c r="O13" s="45" t="s">
        <v>1770</v>
      </c>
      <c r="P13" s="24" t="s">
        <v>1896</v>
      </c>
      <c r="Q13" s="28" t="s">
        <v>2862</v>
      </c>
      <c r="R13" s="24" t="s">
        <v>1896</v>
      </c>
      <c r="S13" s="180" t="s">
        <v>2803</v>
      </c>
      <c r="T13" s="24" t="s">
        <v>1896</v>
      </c>
      <c r="U13" s="72" t="s">
        <v>108</v>
      </c>
      <c r="V13" s="72">
        <v>1</v>
      </c>
      <c r="W13" s="24" t="s">
        <v>1896</v>
      </c>
      <c r="X13" s="24" t="s">
        <v>1896</v>
      </c>
      <c r="Y13" s="73">
        <v>75.555000000000007</v>
      </c>
      <c r="Z13" s="73">
        <v>0</v>
      </c>
      <c r="AA13" s="171">
        <v>75.555000000000007</v>
      </c>
      <c r="AB13" s="24" t="s">
        <v>1896</v>
      </c>
      <c r="AC13" s="24" t="s">
        <v>1896</v>
      </c>
      <c r="AD13" s="24" t="s">
        <v>1896</v>
      </c>
      <c r="AE13" s="40"/>
    </row>
    <row r="14" spans="1:31" s="46" customFormat="1" ht="27.95" customHeight="1" x14ac:dyDescent="0.15">
      <c r="A14" s="40">
        <v>12</v>
      </c>
      <c r="B14" s="125">
        <v>13012</v>
      </c>
      <c r="C14" s="24" t="s">
        <v>1896</v>
      </c>
      <c r="D14" s="24" t="s">
        <v>1896</v>
      </c>
      <c r="E14" s="24" t="s">
        <v>1896</v>
      </c>
      <c r="F14" s="185" t="s">
        <v>1331</v>
      </c>
      <c r="G14" s="185" t="s">
        <v>2557</v>
      </c>
      <c r="H14" s="1" t="s">
        <v>1419</v>
      </c>
      <c r="I14" s="142" t="s">
        <v>1416</v>
      </c>
      <c r="J14" s="1" t="s">
        <v>1676</v>
      </c>
      <c r="K14" s="24" t="s">
        <v>1896</v>
      </c>
      <c r="L14" s="24" t="s">
        <v>1896</v>
      </c>
      <c r="M14" s="24" t="s">
        <v>1896</v>
      </c>
      <c r="N14" s="108" t="s">
        <v>102</v>
      </c>
      <c r="O14" s="45" t="s">
        <v>2843</v>
      </c>
      <c r="P14" s="24" t="s">
        <v>1896</v>
      </c>
      <c r="Q14" s="14" t="s">
        <v>2863</v>
      </c>
      <c r="R14" s="24" t="s">
        <v>1896</v>
      </c>
      <c r="S14" s="180" t="s">
        <v>2804</v>
      </c>
      <c r="T14" s="24" t="s">
        <v>1896</v>
      </c>
      <c r="U14" s="72" t="s">
        <v>110</v>
      </c>
      <c r="V14" s="72">
        <v>2</v>
      </c>
      <c r="W14" s="24" t="s">
        <v>1896</v>
      </c>
      <c r="X14" s="24" t="s">
        <v>1896</v>
      </c>
      <c r="Y14" s="73">
        <v>79.849999999999994</v>
      </c>
      <c r="Z14" s="73">
        <v>0</v>
      </c>
      <c r="AA14" s="171">
        <v>79.849999999999994</v>
      </c>
      <c r="AB14" s="24" t="s">
        <v>1896</v>
      </c>
      <c r="AC14" s="24" t="s">
        <v>1896</v>
      </c>
      <c r="AD14" s="24" t="s">
        <v>1896</v>
      </c>
      <c r="AE14" s="40"/>
    </row>
    <row r="15" spans="1:31" s="46" customFormat="1" ht="27.95" customHeight="1" x14ac:dyDescent="0.15">
      <c r="A15" s="40">
        <v>13</v>
      </c>
      <c r="B15" s="125">
        <v>13013</v>
      </c>
      <c r="C15" s="24" t="s">
        <v>1896</v>
      </c>
      <c r="D15" s="24" t="s">
        <v>1896</v>
      </c>
      <c r="E15" s="24" t="s">
        <v>1896</v>
      </c>
      <c r="F15" s="185" t="s">
        <v>2558</v>
      </c>
      <c r="G15" s="185" t="s">
        <v>2559</v>
      </c>
      <c r="H15" s="102" t="s">
        <v>94</v>
      </c>
      <c r="I15" s="142" t="s">
        <v>2830</v>
      </c>
      <c r="J15" s="1" t="s">
        <v>2831</v>
      </c>
      <c r="K15" s="24" t="s">
        <v>1896</v>
      </c>
      <c r="L15" s="24" t="s">
        <v>1896</v>
      </c>
      <c r="M15" s="24" t="s">
        <v>1896</v>
      </c>
      <c r="N15" s="108" t="s">
        <v>102</v>
      </c>
      <c r="O15" s="45" t="s">
        <v>1759</v>
      </c>
      <c r="P15" s="24" t="s">
        <v>1896</v>
      </c>
      <c r="Q15" s="28" t="s">
        <v>1752</v>
      </c>
      <c r="R15" s="24" t="s">
        <v>1896</v>
      </c>
      <c r="S15" s="180" t="s">
        <v>2805</v>
      </c>
      <c r="T15" s="24" t="s">
        <v>1896</v>
      </c>
      <c r="U15" s="72" t="s">
        <v>110</v>
      </c>
      <c r="V15" s="72">
        <v>2</v>
      </c>
      <c r="W15" s="24" t="s">
        <v>1896</v>
      </c>
      <c r="X15" s="24" t="s">
        <v>1896</v>
      </c>
      <c r="Y15" s="73">
        <v>55.26</v>
      </c>
      <c r="Z15" s="73">
        <v>0</v>
      </c>
      <c r="AA15" s="171">
        <v>55.26</v>
      </c>
      <c r="AB15" s="24" t="s">
        <v>1896</v>
      </c>
      <c r="AC15" s="24" t="s">
        <v>1896</v>
      </c>
      <c r="AD15" s="24" t="s">
        <v>1896</v>
      </c>
      <c r="AE15" s="40"/>
    </row>
    <row r="16" spans="1:31" s="46" customFormat="1" ht="27.95" customHeight="1" x14ac:dyDescent="0.15">
      <c r="A16" s="40">
        <v>14</v>
      </c>
      <c r="B16" s="125">
        <v>13014</v>
      </c>
      <c r="C16" s="24" t="s">
        <v>1896</v>
      </c>
      <c r="D16" s="24" t="s">
        <v>1896</v>
      </c>
      <c r="E16" s="24" t="s">
        <v>1896</v>
      </c>
      <c r="F16" s="185" t="s">
        <v>2558</v>
      </c>
      <c r="G16" s="185" t="s">
        <v>2560</v>
      </c>
      <c r="H16" s="102" t="s">
        <v>94</v>
      </c>
      <c r="I16" s="142" t="s">
        <v>2830</v>
      </c>
      <c r="J16" s="1" t="s">
        <v>2831</v>
      </c>
      <c r="K16" s="24" t="s">
        <v>1896</v>
      </c>
      <c r="L16" s="24" t="s">
        <v>1896</v>
      </c>
      <c r="M16" s="24" t="s">
        <v>1896</v>
      </c>
      <c r="N16" s="108" t="s">
        <v>102</v>
      </c>
      <c r="O16" s="45" t="s">
        <v>461</v>
      </c>
      <c r="P16" s="24" t="s">
        <v>1896</v>
      </c>
      <c r="Q16" s="28" t="s">
        <v>1752</v>
      </c>
      <c r="R16" s="24" t="s">
        <v>1896</v>
      </c>
      <c r="S16" s="180" t="s">
        <v>2805</v>
      </c>
      <c r="T16" s="24" t="s">
        <v>1896</v>
      </c>
      <c r="U16" s="72" t="s">
        <v>110</v>
      </c>
      <c r="V16" s="72">
        <v>2</v>
      </c>
      <c r="W16" s="24" t="s">
        <v>1896</v>
      </c>
      <c r="X16" s="24" t="s">
        <v>1896</v>
      </c>
      <c r="Y16" s="73">
        <v>22.5</v>
      </c>
      <c r="Z16" s="73">
        <v>0</v>
      </c>
      <c r="AA16" s="171">
        <v>22.5</v>
      </c>
      <c r="AB16" s="24" t="s">
        <v>1896</v>
      </c>
      <c r="AC16" s="24" t="s">
        <v>1896</v>
      </c>
      <c r="AD16" s="24" t="s">
        <v>1896</v>
      </c>
      <c r="AE16" s="40"/>
    </row>
    <row r="17" spans="1:31" s="46" customFormat="1" ht="27.95" customHeight="1" x14ac:dyDescent="0.15">
      <c r="A17" s="40">
        <v>15</v>
      </c>
      <c r="B17" s="125">
        <v>13015</v>
      </c>
      <c r="C17" s="24" t="s">
        <v>1896</v>
      </c>
      <c r="D17" s="24" t="s">
        <v>1896</v>
      </c>
      <c r="E17" s="24" t="s">
        <v>1896</v>
      </c>
      <c r="F17" s="185" t="s">
        <v>1300</v>
      </c>
      <c r="G17" s="185" t="s">
        <v>2561</v>
      </c>
      <c r="H17" s="1" t="s">
        <v>94</v>
      </c>
      <c r="I17" s="142" t="s">
        <v>22</v>
      </c>
      <c r="J17" s="1" t="s">
        <v>1665</v>
      </c>
      <c r="K17" s="24" t="s">
        <v>1896</v>
      </c>
      <c r="L17" s="24" t="s">
        <v>1896</v>
      </c>
      <c r="M17" s="24" t="s">
        <v>1896</v>
      </c>
      <c r="N17" s="108" t="s">
        <v>102</v>
      </c>
      <c r="O17" s="45" t="s">
        <v>2847</v>
      </c>
      <c r="P17" s="24" t="s">
        <v>1896</v>
      </c>
      <c r="Q17" s="28" t="s">
        <v>1752</v>
      </c>
      <c r="R17" s="24" t="s">
        <v>1896</v>
      </c>
      <c r="S17" s="180" t="s">
        <v>2806</v>
      </c>
      <c r="T17" s="24" t="s">
        <v>1896</v>
      </c>
      <c r="U17" s="72" t="s">
        <v>110</v>
      </c>
      <c r="V17" s="72">
        <v>2</v>
      </c>
      <c r="W17" s="24" t="s">
        <v>1896</v>
      </c>
      <c r="X17" s="24" t="s">
        <v>1896</v>
      </c>
      <c r="Y17" s="73">
        <v>48.6</v>
      </c>
      <c r="Z17" s="73">
        <v>0</v>
      </c>
      <c r="AA17" s="171">
        <v>48.6</v>
      </c>
      <c r="AB17" s="24" t="s">
        <v>1896</v>
      </c>
      <c r="AC17" s="24" t="s">
        <v>1896</v>
      </c>
      <c r="AD17" s="24" t="s">
        <v>1896</v>
      </c>
      <c r="AE17" s="40"/>
    </row>
    <row r="18" spans="1:31" s="46" customFormat="1" ht="27.95" customHeight="1" x14ac:dyDescent="0.15">
      <c r="A18" s="40">
        <v>16</v>
      </c>
      <c r="B18" s="125">
        <v>13016</v>
      </c>
      <c r="C18" s="24" t="s">
        <v>1896</v>
      </c>
      <c r="D18" s="24" t="s">
        <v>1896</v>
      </c>
      <c r="E18" s="24" t="s">
        <v>1896</v>
      </c>
      <c r="F18" s="185" t="s">
        <v>2562</v>
      </c>
      <c r="G18" s="185" t="s">
        <v>2563</v>
      </c>
      <c r="H18" s="1" t="s">
        <v>994</v>
      </c>
      <c r="I18" s="12" t="s">
        <v>2832</v>
      </c>
      <c r="J18" s="1" t="s">
        <v>2833</v>
      </c>
      <c r="K18" s="24" t="s">
        <v>1896</v>
      </c>
      <c r="L18" s="24" t="s">
        <v>1896</v>
      </c>
      <c r="M18" s="24" t="s">
        <v>1896</v>
      </c>
      <c r="N18" s="108" t="s">
        <v>102</v>
      </c>
      <c r="O18" s="45" t="s">
        <v>1760</v>
      </c>
      <c r="P18" s="24" t="s">
        <v>1896</v>
      </c>
      <c r="Q18" s="111" t="s">
        <v>1659</v>
      </c>
      <c r="R18" s="24" t="s">
        <v>1896</v>
      </c>
      <c r="S18" s="180" t="s">
        <v>2807</v>
      </c>
      <c r="T18" s="24" t="s">
        <v>1896</v>
      </c>
      <c r="U18" s="72" t="s">
        <v>110</v>
      </c>
      <c r="V18" s="72">
        <v>1</v>
      </c>
      <c r="W18" s="24" t="s">
        <v>1896</v>
      </c>
      <c r="X18" s="24" t="s">
        <v>1896</v>
      </c>
      <c r="Y18" s="73">
        <v>46.021000000000001</v>
      </c>
      <c r="Z18" s="73">
        <v>0</v>
      </c>
      <c r="AA18" s="171">
        <v>46.021000000000001</v>
      </c>
      <c r="AB18" s="24" t="s">
        <v>1896</v>
      </c>
      <c r="AC18" s="24" t="s">
        <v>1896</v>
      </c>
      <c r="AD18" s="24" t="s">
        <v>1896</v>
      </c>
      <c r="AE18" s="40"/>
    </row>
    <row r="19" spans="1:31" s="46" customFormat="1" ht="27.95" customHeight="1" x14ac:dyDescent="0.15">
      <c r="A19" s="40">
        <v>17</v>
      </c>
      <c r="B19" s="125">
        <v>13017</v>
      </c>
      <c r="C19" s="24" t="s">
        <v>1896</v>
      </c>
      <c r="D19" s="24" t="s">
        <v>1896</v>
      </c>
      <c r="E19" s="24" t="s">
        <v>1896</v>
      </c>
      <c r="F19" s="185" t="s">
        <v>1203</v>
      </c>
      <c r="G19" s="185" t="s">
        <v>2564</v>
      </c>
      <c r="H19" s="142" t="s">
        <v>94</v>
      </c>
      <c r="I19" s="142" t="s">
        <v>993</v>
      </c>
      <c r="J19" s="142" t="s">
        <v>1626</v>
      </c>
      <c r="K19" s="24" t="s">
        <v>1896</v>
      </c>
      <c r="L19" s="24" t="s">
        <v>1896</v>
      </c>
      <c r="M19" s="24" t="s">
        <v>1896</v>
      </c>
      <c r="N19" s="108" t="s">
        <v>2848</v>
      </c>
      <c r="O19" s="81" t="s">
        <v>1739</v>
      </c>
      <c r="P19" s="24" t="s">
        <v>1896</v>
      </c>
      <c r="Q19" s="28" t="s">
        <v>1752</v>
      </c>
      <c r="R19" s="24" t="s">
        <v>1896</v>
      </c>
      <c r="S19" s="181" t="s">
        <v>2808</v>
      </c>
      <c r="T19" s="24" t="s">
        <v>1896</v>
      </c>
      <c r="U19" s="72" t="s">
        <v>108</v>
      </c>
      <c r="V19" s="72">
        <v>1</v>
      </c>
      <c r="W19" s="24" t="s">
        <v>1896</v>
      </c>
      <c r="X19" s="24" t="s">
        <v>1896</v>
      </c>
      <c r="Y19" s="73">
        <v>0</v>
      </c>
      <c r="Z19" s="73">
        <v>20</v>
      </c>
      <c r="AA19" s="171">
        <v>20</v>
      </c>
      <c r="AB19" s="24" t="s">
        <v>1896</v>
      </c>
      <c r="AC19" s="24" t="s">
        <v>1896</v>
      </c>
      <c r="AD19" s="24" t="s">
        <v>1896</v>
      </c>
      <c r="AE19" s="40"/>
    </row>
    <row r="20" spans="1:31" s="46" customFormat="1" ht="27.95" customHeight="1" x14ac:dyDescent="0.15">
      <c r="A20" s="40">
        <v>18</v>
      </c>
      <c r="B20" s="125">
        <v>13018</v>
      </c>
      <c r="C20" s="24" t="s">
        <v>1896</v>
      </c>
      <c r="D20" s="24" t="s">
        <v>1896</v>
      </c>
      <c r="E20" s="24" t="s">
        <v>1896</v>
      </c>
      <c r="F20" s="187" t="s">
        <v>1237</v>
      </c>
      <c r="G20" s="187" t="s">
        <v>2565</v>
      </c>
      <c r="H20" s="1" t="s">
        <v>1923</v>
      </c>
      <c r="I20" s="20" t="s">
        <v>112</v>
      </c>
      <c r="J20" s="21" t="s">
        <v>2834</v>
      </c>
      <c r="K20" s="24" t="s">
        <v>1896</v>
      </c>
      <c r="L20" s="24" t="s">
        <v>1896</v>
      </c>
      <c r="M20" s="24" t="s">
        <v>1896</v>
      </c>
      <c r="N20" s="108" t="s">
        <v>102</v>
      </c>
      <c r="O20" s="45" t="s">
        <v>1760</v>
      </c>
      <c r="P20" s="24" t="s">
        <v>1896</v>
      </c>
      <c r="Q20" s="28" t="s">
        <v>1659</v>
      </c>
      <c r="R20" s="24" t="s">
        <v>1896</v>
      </c>
      <c r="S20" s="180" t="s">
        <v>2809</v>
      </c>
      <c r="T20" s="24" t="s">
        <v>1896</v>
      </c>
      <c r="U20" s="72" t="s">
        <v>110</v>
      </c>
      <c r="V20" s="72">
        <v>1</v>
      </c>
      <c r="W20" s="24" t="s">
        <v>1896</v>
      </c>
      <c r="X20" s="24" t="s">
        <v>1896</v>
      </c>
      <c r="Y20" s="73">
        <v>49.75</v>
      </c>
      <c r="Z20" s="73">
        <v>0</v>
      </c>
      <c r="AA20" s="171">
        <v>49.75</v>
      </c>
      <c r="AB20" s="24" t="s">
        <v>1896</v>
      </c>
      <c r="AC20" s="24" t="s">
        <v>1896</v>
      </c>
      <c r="AD20" s="24" t="s">
        <v>1896</v>
      </c>
      <c r="AE20" s="40"/>
    </row>
    <row r="21" spans="1:31" s="46" customFormat="1" ht="27.95" customHeight="1" x14ac:dyDescent="0.15">
      <c r="A21" s="40">
        <v>19</v>
      </c>
      <c r="B21" s="125">
        <v>13019</v>
      </c>
      <c r="C21" s="24" t="s">
        <v>1896</v>
      </c>
      <c r="D21" s="24" t="s">
        <v>1896</v>
      </c>
      <c r="E21" s="24" t="s">
        <v>1896</v>
      </c>
      <c r="F21" s="185" t="s">
        <v>1155</v>
      </c>
      <c r="G21" s="185" t="s">
        <v>2566</v>
      </c>
      <c r="H21" s="142" t="s">
        <v>94</v>
      </c>
      <c r="I21" s="142" t="s">
        <v>1416</v>
      </c>
      <c r="J21" s="21" t="s">
        <v>1658</v>
      </c>
      <c r="K21" s="24" t="s">
        <v>1896</v>
      </c>
      <c r="L21" s="24" t="s">
        <v>1896</v>
      </c>
      <c r="M21" s="24" t="s">
        <v>1896</v>
      </c>
      <c r="N21" s="108" t="s">
        <v>102</v>
      </c>
      <c r="O21" s="45" t="s">
        <v>461</v>
      </c>
      <c r="P21" s="24" t="s">
        <v>1896</v>
      </c>
      <c r="Q21" s="111" t="s">
        <v>1752</v>
      </c>
      <c r="R21" s="24" t="s">
        <v>1896</v>
      </c>
      <c r="S21" s="181">
        <v>2013.6</v>
      </c>
      <c r="T21" s="24" t="s">
        <v>1896</v>
      </c>
      <c r="U21" s="72" t="s">
        <v>110</v>
      </c>
      <c r="V21" s="72">
        <v>1</v>
      </c>
      <c r="W21" s="24" t="s">
        <v>1896</v>
      </c>
      <c r="X21" s="24" t="s">
        <v>1896</v>
      </c>
      <c r="Y21" s="73">
        <v>85.787999999999997</v>
      </c>
      <c r="Z21" s="73">
        <v>0</v>
      </c>
      <c r="AA21" s="171">
        <f>85.788</f>
        <v>85.787999999999997</v>
      </c>
      <c r="AB21" s="24" t="s">
        <v>1896</v>
      </c>
      <c r="AC21" s="24" t="s">
        <v>1896</v>
      </c>
      <c r="AD21" s="24" t="s">
        <v>1896</v>
      </c>
      <c r="AE21" s="40"/>
    </row>
    <row r="22" spans="1:31" s="46" customFormat="1" ht="27.95" customHeight="1" x14ac:dyDescent="0.15">
      <c r="A22" s="40">
        <v>20</v>
      </c>
      <c r="B22" s="125">
        <v>13020</v>
      </c>
      <c r="C22" s="24" t="s">
        <v>1896</v>
      </c>
      <c r="D22" s="24" t="s">
        <v>1896</v>
      </c>
      <c r="E22" s="24" t="s">
        <v>1896</v>
      </c>
      <c r="F22" s="185" t="s">
        <v>2567</v>
      </c>
      <c r="G22" s="185" t="s">
        <v>2568</v>
      </c>
      <c r="H22" s="103" t="s">
        <v>994</v>
      </c>
      <c r="I22" s="102" t="s">
        <v>993</v>
      </c>
      <c r="J22" s="20" t="s">
        <v>1682</v>
      </c>
      <c r="K22" s="24" t="s">
        <v>1896</v>
      </c>
      <c r="L22" s="24" t="s">
        <v>1896</v>
      </c>
      <c r="M22" s="24" t="s">
        <v>1896</v>
      </c>
      <c r="N22" s="108" t="s">
        <v>45</v>
      </c>
      <c r="O22" s="45" t="s">
        <v>2440</v>
      </c>
      <c r="P22" s="24" t="s">
        <v>1896</v>
      </c>
      <c r="Q22" s="28" t="s">
        <v>1659</v>
      </c>
      <c r="R22" s="24" t="s">
        <v>1896</v>
      </c>
      <c r="S22" s="181" t="s">
        <v>2810</v>
      </c>
      <c r="T22" s="24" t="s">
        <v>1896</v>
      </c>
      <c r="U22" s="72" t="s">
        <v>108</v>
      </c>
      <c r="V22" s="72">
        <v>1</v>
      </c>
      <c r="W22" s="24" t="s">
        <v>1896</v>
      </c>
      <c r="X22" s="24" t="s">
        <v>1896</v>
      </c>
      <c r="Y22" s="73">
        <v>27.94</v>
      </c>
      <c r="Z22" s="73">
        <v>0</v>
      </c>
      <c r="AA22" s="171">
        <v>27.94</v>
      </c>
      <c r="AB22" s="24" t="s">
        <v>1896</v>
      </c>
      <c r="AC22" s="24" t="s">
        <v>1896</v>
      </c>
      <c r="AD22" s="24" t="s">
        <v>1896</v>
      </c>
      <c r="AE22" s="40"/>
    </row>
    <row r="23" spans="1:31" s="46" customFormat="1" ht="27.95" customHeight="1" x14ac:dyDescent="0.15">
      <c r="A23" s="40">
        <v>21</v>
      </c>
      <c r="B23" s="125">
        <v>13021</v>
      </c>
      <c r="C23" s="24" t="s">
        <v>1896</v>
      </c>
      <c r="D23" s="24" t="s">
        <v>1896</v>
      </c>
      <c r="E23" s="24" t="s">
        <v>1896</v>
      </c>
      <c r="F23" s="185" t="s">
        <v>2569</v>
      </c>
      <c r="G23" s="185" t="s">
        <v>2570</v>
      </c>
      <c r="H23" s="12" t="s">
        <v>94</v>
      </c>
      <c r="I23" s="12" t="s">
        <v>112</v>
      </c>
      <c r="J23" s="104" t="s">
        <v>2835</v>
      </c>
      <c r="K23" s="24" t="s">
        <v>1896</v>
      </c>
      <c r="L23" s="24" t="s">
        <v>1896</v>
      </c>
      <c r="M23" s="24" t="s">
        <v>1896</v>
      </c>
      <c r="N23" s="108" t="s">
        <v>2849</v>
      </c>
      <c r="O23" s="108" t="s">
        <v>2850</v>
      </c>
      <c r="P23" s="24" t="s">
        <v>1896</v>
      </c>
      <c r="Q23" s="111" t="s">
        <v>1751</v>
      </c>
      <c r="R23" s="24" t="s">
        <v>1896</v>
      </c>
      <c r="S23" s="181">
        <v>2013.6</v>
      </c>
      <c r="T23" s="24" t="s">
        <v>1896</v>
      </c>
      <c r="U23" s="72" t="s">
        <v>110</v>
      </c>
      <c r="V23" s="72">
        <v>2</v>
      </c>
      <c r="W23" s="24" t="s">
        <v>1896</v>
      </c>
      <c r="X23" s="24" t="s">
        <v>1896</v>
      </c>
      <c r="Y23" s="73">
        <v>159.5</v>
      </c>
      <c r="Z23" s="73">
        <v>0</v>
      </c>
      <c r="AA23" s="171">
        <v>159.5</v>
      </c>
      <c r="AB23" s="24" t="s">
        <v>1896</v>
      </c>
      <c r="AC23" s="24" t="s">
        <v>1896</v>
      </c>
      <c r="AD23" s="24" t="s">
        <v>1896</v>
      </c>
      <c r="AE23" s="1027" t="s">
        <v>7764</v>
      </c>
    </row>
    <row r="24" spans="1:31" s="46" customFormat="1" ht="27.95" customHeight="1" x14ac:dyDescent="0.15">
      <c r="A24" s="40">
        <v>22</v>
      </c>
      <c r="B24" s="125">
        <v>13022</v>
      </c>
      <c r="C24" s="24" t="s">
        <v>1896</v>
      </c>
      <c r="D24" s="24" t="s">
        <v>1896</v>
      </c>
      <c r="E24" s="24" t="s">
        <v>1896</v>
      </c>
      <c r="F24" s="65" t="s">
        <v>2571</v>
      </c>
      <c r="G24" s="187" t="s">
        <v>1938</v>
      </c>
      <c r="H24" s="20" t="s">
        <v>94</v>
      </c>
      <c r="I24" s="1" t="s">
        <v>1926</v>
      </c>
      <c r="J24" s="21" t="s">
        <v>1607</v>
      </c>
      <c r="K24" s="24" t="s">
        <v>1896</v>
      </c>
      <c r="L24" s="24" t="s">
        <v>1896</v>
      </c>
      <c r="M24" s="24" t="s">
        <v>1896</v>
      </c>
      <c r="N24" s="110" t="s">
        <v>102</v>
      </c>
      <c r="O24" s="44" t="s">
        <v>851</v>
      </c>
      <c r="P24" s="24" t="s">
        <v>1896</v>
      </c>
      <c r="Q24" s="28" t="s">
        <v>1752</v>
      </c>
      <c r="R24" s="24" t="s">
        <v>1896</v>
      </c>
      <c r="S24" s="181" t="s">
        <v>2811</v>
      </c>
      <c r="T24" s="24" t="s">
        <v>1896</v>
      </c>
      <c r="U24" s="72" t="s">
        <v>110</v>
      </c>
      <c r="V24" s="72">
        <v>1</v>
      </c>
      <c r="W24" s="24" t="s">
        <v>1896</v>
      </c>
      <c r="X24" s="24" t="s">
        <v>1896</v>
      </c>
      <c r="Y24" s="73">
        <v>0</v>
      </c>
      <c r="Z24" s="73">
        <v>12</v>
      </c>
      <c r="AA24" s="171">
        <v>12</v>
      </c>
      <c r="AB24" s="24" t="s">
        <v>1896</v>
      </c>
      <c r="AC24" s="24" t="s">
        <v>1896</v>
      </c>
      <c r="AD24" s="24" t="s">
        <v>1896</v>
      </c>
      <c r="AE24" s="40"/>
    </row>
    <row r="25" spans="1:31" s="46" customFormat="1" ht="27.95" customHeight="1" x14ac:dyDescent="0.15">
      <c r="A25" s="40">
        <v>23</v>
      </c>
      <c r="B25" s="138">
        <v>13023</v>
      </c>
      <c r="C25" s="24" t="s">
        <v>1896</v>
      </c>
      <c r="D25" s="24" t="s">
        <v>1896</v>
      </c>
      <c r="E25" s="24" t="s">
        <v>1896</v>
      </c>
      <c r="F25" s="188" t="s">
        <v>2572</v>
      </c>
      <c r="G25" s="189" t="s">
        <v>2573</v>
      </c>
      <c r="H25" s="102" t="s">
        <v>994</v>
      </c>
      <c r="I25" s="102" t="s">
        <v>1540</v>
      </c>
      <c r="J25" s="105" t="s">
        <v>852</v>
      </c>
      <c r="K25" s="24" t="s">
        <v>1896</v>
      </c>
      <c r="L25" s="24" t="s">
        <v>1896</v>
      </c>
      <c r="M25" s="24" t="s">
        <v>1896</v>
      </c>
      <c r="N25" s="108" t="s">
        <v>102</v>
      </c>
      <c r="O25" s="45" t="s">
        <v>1759</v>
      </c>
      <c r="P25" s="24" t="s">
        <v>1896</v>
      </c>
      <c r="Q25" s="113" t="s">
        <v>1659</v>
      </c>
      <c r="R25" s="24" t="s">
        <v>1896</v>
      </c>
      <c r="S25" s="181" t="s">
        <v>2812</v>
      </c>
      <c r="T25" s="24" t="s">
        <v>1896</v>
      </c>
      <c r="U25" s="72" t="s">
        <v>110</v>
      </c>
      <c r="V25" s="72">
        <v>2</v>
      </c>
      <c r="W25" s="24" t="s">
        <v>1896</v>
      </c>
      <c r="X25" s="24" t="s">
        <v>1896</v>
      </c>
      <c r="Y25" s="73">
        <v>18</v>
      </c>
      <c r="Z25" s="73">
        <v>0</v>
      </c>
      <c r="AA25" s="171">
        <v>18</v>
      </c>
      <c r="AB25" s="24" t="s">
        <v>1896</v>
      </c>
      <c r="AC25" s="24" t="s">
        <v>1896</v>
      </c>
      <c r="AD25" s="24" t="s">
        <v>1896</v>
      </c>
      <c r="AE25" s="40"/>
    </row>
    <row r="26" spans="1:31" s="46" customFormat="1" ht="27.95" customHeight="1" x14ac:dyDescent="0.15">
      <c r="A26" s="40">
        <v>24</v>
      </c>
      <c r="B26" s="125">
        <v>13024</v>
      </c>
      <c r="C26" s="24" t="s">
        <v>1896</v>
      </c>
      <c r="D26" s="24" t="s">
        <v>1896</v>
      </c>
      <c r="E26" s="24" t="s">
        <v>1896</v>
      </c>
      <c r="F26" s="183" t="s">
        <v>2574</v>
      </c>
      <c r="G26" s="65" t="s">
        <v>2547</v>
      </c>
      <c r="H26" s="104" t="s">
        <v>94</v>
      </c>
      <c r="I26" s="1" t="s">
        <v>22</v>
      </c>
      <c r="J26" s="1" t="s">
        <v>2836</v>
      </c>
      <c r="K26" s="24" t="s">
        <v>1896</v>
      </c>
      <c r="L26" s="24" t="s">
        <v>1896</v>
      </c>
      <c r="M26" s="24" t="s">
        <v>1896</v>
      </c>
      <c r="N26" s="108" t="s">
        <v>2851</v>
      </c>
      <c r="O26" s="45" t="s">
        <v>2852</v>
      </c>
      <c r="P26" s="24" t="s">
        <v>1896</v>
      </c>
      <c r="Q26" s="28" t="s">
        <v>1752</v>
      </c>
      <c r="R26" s="24" t="s">
        <v>1896</v>
      </c>
      <c r="S26" s="181" t="s">
        <v>2813</v>
      </c>
      <c r="T26" s="24" t="s">
        <v>1896</v>
      </c>
      <c r="U26" s="72" t="s">
        <v>108</v>
      </c>
      <c r="V26" s="72">
        <v>1</v>
      </c>
      <c r="W26" s="24" t="s">
        <v>1896</v>
      </c>
      <c r="X26" s="24" t="s">
        <v>1896</v>
      </c>
      <c r="Y26" s="73">
        <v>68</v>
      </c>
      <c r="Z26" s="73">
        <v>0</v>
      </c>
      <c r="AA26" s="190">
        <v>68</v>
      </c>
      <c r="AB26" s="24" t="s">
        <v>1896</v>
      </c>
      <c r="AC26" s="24" t="s">
        <v>1896</v>
      </c>
      <c r="AD26" s="24" t="s">
        <v>1896</v>
      </c>
      <c r="AE26" s="40"/>
    </row>
    <row r="27" spans="1:31" s="46" customFormat="1" ht="27.95" customHeight="1" x14ac:dyDescent="0.15">
      <c r="A27" s="40">
        <v>25</v>
      </c>
      <c r="B27" s="139">
        <v>13025</v>
      </c>
      <c r="C27" s="24" t="s">
        <v>1896</v>
      </c>
      <c r="D27" s="24" t="s">
        <v>1896</v>
      </c>
      <c r="E27" s="24" t="s">
        <v>1896</v>
      </c>
      <c r="F27" s="191" t="s">
        <v>2575</v>
      </c>
      <c r="G27" s="192" t="s">
        <v>2576</v>
      </c>
      <c r="H27" s="106" t="s">
        <v>1737</v>
      </c>
      <c r="I27" s="106" t="s">
        <v>1463</v>
      </c>
      <c r="J27" s="107" t="s">
        <v>1738</v>
      </c>
      <c r="K27" s="24" t="s">
        <v>1896</v>
      </c>
      <c r="L27" s="24" t="s">
        <v>1896</v>
      </c>
      <c r="M27" s="24" t="s">
        <v>1896</v>
      </c>
      <c r="N27" s="108" t="s">
        <v>45</v>
      </c>
      <c r="O27" s="45" t="s">
        <v>2440</v>
      </c>
      <c r="P27" s="24" t="s">
        <v>1896</v>
      </c>
      <c r="Q27" s="31" t="s">
        <v>1752</v>
      </c>
      <c r="R27" s="24" t="s">
        <v>1896</v>
      </c>
      <c r="S27" s="181" t="s">
        <v>2814</v>
      </c>
      <c r="T27" s="24" t="s">
        <v>1896</v>
      </c>
      <c r="U27" s="72" t="s">
        <v>110</v>
      </c>
      <c r="V27" s="72">
        <v>1</v>
      </c>
      <c r="W27" s="24" t="s">
        <v>1896</v>
      </c>
      <c r="X27" s="24" t="s">
        <v>1896</v>
      </c>
      <c r="Y27" s="73">
        <v>25.693000000000001</v>
      </c>
      <c r="Z27" s="73">
        <v>0</v>
      </c>
      <c r="AA27" s="193">
        <v>25.693000000000001</v>
      </c>
      <c r="AB27" s="24" t="s">
        <v>1896</v>
      </c>
      <c r="AC27" s="24" t="s">
        <v>1896</v>
      </c>
      <c r="AD27" s="24" t="s">
        <v>1896</v>
      </c>
      <c r="AE27" s="40"/>
    </row>
    <row r="28" spans="1:31" s="46" customFormat="1" ht="27.95" customHeight="1" x14ac:dyDescent="0.15">
      <c r="A28" s="40">
        <v>26</v>
      </c>
      <c r="B28" s="125">
        <v>13026</v>
      </c>
      <c r="C28" s="24" t="s">
        <v>1896</v>
      </c>
      <c r="D28" s="24" t="s">
        <v>1896</v>
      </c>
      <c r="E28" s="24" t="s">
        <v>1896</v>
      </c>
      <c r="F28" s="183" t="s">
        <v>2577</v>
      </c>
      <c r="G28" s="185" t="s">
        <v>2578</v>
      </c>
      <c r="H28" s="1" t="s">
        <v>1419</v>
      </c>
      <c r="I28" s="106" t="s">
        <v>1463</v>
      </c>
      <c r="J28" s="104" t="s">
        <v>2837</v>
      </c>
      <c r="K28" s="24" t="s">
        <v>1896</v>
      </c>
      <c r="L28" s="24" t="s">
        <v>1896</v>
      </c>
      <c r="M28" s="24" t="s">
        <v>1896</v>
      </c>
      <c r="N28" s="108" t="s">
        <v>45</v>
      </c>
      <c r="O28" s="45" t="s">
        <v>2440</v>
      </c>
      <c r="P28" s="24" t="s">
        <v>1896</v>
      </c>
      <c r="Q28" s="111" t="s">
        <v>1752</v>
      </c>
      <c r="R28" s="24" t="s">
        <v>1896</v>
      </c>
      <c r="S28" s="181" t="s">
        <v>2815</v>
      </c>
      <c r="T28" s="24" t="s">
        <v>1896</v>
      </c>
      <c r="U28" s="72" t="s">
        <v>110</v>
      </c>
      <c r="V28" s="72">
        <v>2</v>
      </c>
      <c r="W28" s="24" t="s">
        <v>1896</v>
      </c>
      <c r="X28" s="24" t="s">
        <v>1896</v>
      </c>
      <c r="Y28" s="73">
        <v>33.590000000000003</v>
      </c>
      <c r="Z28" s="73">
        <v>0</v>
      </c>
      <c r="AA28" s="171">
        <v>33.590000000000003</v>
      </c>
      <c r="AB28" s="24" t="s">
        <v>1896</v>
      </c>
      <c r="AC28" s="24" t="s">
        <v>1896</v>
      </c>
      <c r="AD28" s="24" t="s">
        <v>1896</v>
      </c>
      <c r="AE28" s="40"/>
    </row>
    <row r="29" spans="1:31" s="46" customFormat="1" ht="27.95" customHeight="1" x14ac:dyDescent="0.15">
      <c r="A29" s="40">
        <v>27</v>
      </c>
      <c r="B29" s="125">
        <v>13027</v>
      </c>
      <c r="C29" s="24" t="s">
        <v>1896</v>
      </c>
      <c r="D29" s="24" t="s">
        <v>1896</v>
      </c>
      <c r="E29" s="24" t="s">
        <v>1896</v>
      </c>
      <c r="F29" s="183" t="s">
        <v>2577</v>
      </c>
      <c r="G29" s="185" t="s">
        <v>2579</v>
      </c>
      <c r="H29" s="1" t="s">
        <v>1419</v>
      </c>
      <c r="I29" s="106" t="s">
        <v>1463</v>
      </c>
      <c r="J29" s="104" t="s">
        <v>2837</v>
      </c>
      <c r="K29" s="24" t="s">
        <v>1896</v>
      </c>
      <c r="L29" s="24" t="s">
        <v>1896</v>
      </c>
      <c r="M29" s="24" t="s">
        <v>1896</v>
      </c>
      <c r="N29" s="108" t="s">
        <v>45</v>
      </c>
      <c r="O29" s="45" t="s">
        <v>851</v>
      </c>
      <c r="P29" s="24" t="s">
        <v>1896</v>
      </c>
      <c r="Q29" s="111" t="s">
        <v>1752</v>
      </c>
      <c r="R29" s="24" t="s">
        <v>1896</v>
      </c>
      <c r="S29" s="180"/>
      <c r="T29" s="24" t="s">
        <v>1896</v>
      </c>
      <c r="U29" s="72" t="s">
        <v>110</v>
      </c>
      <c r="V29" s="72">
        <v>2</v>
      </c>
      <c r="W29" s="24" t="s">
        <v>1896</v>
      </c>
      <c r="X29" s="24" t="s">
        <v>1896</v>
      </c>
      <c r="Y29" s="73">
        <v>0</v>
      </c>
      <c r="Z29" s="73">
        <v>15</v>
      </c>
      <c r="AA29" s="171">
        <v>15</v>
      </c>
      <c r="AB29" s="24" t="s">
        <v>1896</v>
      </c>
      <c r="AC29" s="24" t="s">
        <v>1896</v>
      </c>
      <c r="AD29" s="24" t="s">
        <v>1896</v>
      </c>
      <c r="AE29" s="40"/>
    </row>
    <row r="30" spans="1:31" s="46" customFormat="1" ht="27.95" customHeight="1" x14ac:dyDescent="0.15">
      <c r="A30" s="40">
        <v>28</v>
      </c>
      <c r="B30" s="125">
        <v>13028</v>
      </c>
      <c r="C30" s="24" t="s">
        <v>1896</v>
      </c>
      <c r="D30" s="24" t="s">
        <v>1896</v>
      </c>
      <c r="E30" s="24" t="s">
        <v>1896</v>
      </c>
      <c r="F30" s="183" t="s">
        <v>2580</v>
      </c>
      <c r="G30" s="185" t="s">
        <v>2581</v>
      </c>
      <c r="H30" s="1" t="s">
        <v>994</v>
      </c>
      <c r="I30" s="1" t="s">
        <v>993</v>
      </c>
      <c r="J30" s="104" t="s">
        <v>1685</v>
      </c>
      <c r="K30" s="24" t="s">
        <v>1896</v>
      </c>
      <c r="L30" s="24" t="s">
        <v>1896</v>
      </c>
      <c r="M30" s="24" t="s">
        <v>1896</v>
      </c>
      <c r="N30" s="108" t="s">
        <v>102</v>
      </c>
      <c r="O30" s="45" t="s">
        <v>1767</v>
      </c>
      <c r="P30" s="24" t="s">
        <v>1896</v>
      </c>
      <c r="Q30" s="111" t="s">
        <v>1659</v>
      </c>
      <c r="R30" s="24" t="s">
        <v>1896</v>
      </c>
      <c r="S30" s="180" t="s">
        <v>2816</v>
      </c>
      <c r="T30" s="24" t="s">
        <v>1896</v>
      </c>
      <c r="U30" s="72" t="s">
        <v>110</v>
      </c>
      <c r="V30" s="72">
        <v>1</v>
      </c>
      <c r="W30" s="24" t="s">
        <v>1896</v>
      </c>
      <c r="X30" s="24" t="s">
        <v>1896</v>
      </c>
      <c r="Y30" s="73">
        <v>28.5</v>
      </c>
      <c r="Z30" s="73">
        <v>10</v>
      </c>
      <c r="AA30" s="171">
        <v>38.5</v>
      </c>
      <c r="AB30" s="24" t="s">
        <v>1896</v>
      </c>
      <c r="AC30" s="24" t="s">
        <v>1896</v>
      </c>
      <c r="AD30" s="24" t="s">
        <v>1896</v>
      </c>
      <c r="AE30" s="40"/>
    </row>
    <row r="31" spans="1:31" s="46" customFormat="1" ht="27.95" customHeight="1" x14ac:dyDescent="0.15">
      <c r="A31" s="40">
        <v>29</v>
      </c>
      <c r="B31" s="125">
        <v>13029</v>
      </c>
      <c r="C31" s="24" t="s">
        <v>1896</v>
      </c>
      <c r="D31" s="24" t="s">
        <v>1896</v>
      </c>
      <c r="E31" s="24" t="s">
        <v>1896</v>
      </c>
      <c r="F31" s="194" t="s">
        <v>1246</v>
      </c>
      <c r="G31" s="185" t="s">
        <v>2582</v>
      </c>
      <c r="H31" s="142" t="s">
        <v>94</v>
      </c>
      <c r="I31" s="142" t="s">
        <v>1540</v>
      </c>
      <c r="J31" s="104" t="s">
        <v>1694</v>
      </c>
      <c r="K31" s="24" t="s">
        <v>1896</v>
      </c>
      <c r="L31" s="24" t="s">
        <v>1896</v>
      </c>
      <c r="M31" s="24" t="s">
        <v>1896</v>
      </c>
      <c r="N31" s="108" t="s">
        <v>102</v>
      </c>
      <c r="O31" s="45" t="s">
        <v>2853</v>
      </c>
      <c r="P31" s="24" t="s">
        <v>1896</v>
      </c>
      <c r="Q31" s="112" t="s">
        <v>1751</v>
      </c>
      <c r="R31" s="24" t="s">
        <v>1896</v>
      </c>
      <c r="S31" s="181" t="s">
        <v>2817</v>
      </c>
      <c r="T31" s="24" t="s">
        <v>1896</v>
      </c>
      <c r="U31" s="72" t="s">
        <v>108</v>
      </c>
      <c r="V31" s="72">
        <v>1</v>
      </c>
      <c r="W31" s="24" t="s">
        <v>1896</v>
      </c>
      <c r="X31" s="24" t="s">
        <v>1896</v>
      </c>
      <c r="Y31" s="73">
        <v>110</v>
      </c>
      <c r="Z31" s="73">
        <v>0</v>
      </c>
      <c r="AA31" s="171">
        <v>110</v>
      </c>
      <c r="AB31" s="24" t="s">
        <v>1896</v>
      </c>
      <c r="AC31" s="24" t="s">
        <v>1896</v>
      </c>
      <c r="AD31" s="24" t="s">
        <v>1896</v>
      </c>
      <c r="AE31" s="40"/>
    </row>
    <row r="32" spans="1:31" s="46" customFormat="1" ht="27.95" customHeight="1" x14ac:dyDescent="0.15">
      <c r="A32" s="40">
        <v>30</v>
      </c>
      <c r="B32" s="125">
        <v>13030</v>
      </c>
      <c r="C32" s="24" t="s">
        <v>1896</v>
      </c>
      <c r="D32" s="24" t="s">
        <v>1896</v>
      </c>
      <c r="E32" s="24" t="s">
        <v>1896</v>
      </c>
      <c r="F32" s="194" t="s">
        <v>1244</v>
      </c>
      <c r="G32" s="185" t="s">
        <v>2583</v>
      </c>
      <c r="H32" s="1" t="s">
        <v>94</v>
      </c>
      <c r="I32" s="1" t="s">
        <v>1540</v>
      </c>
      <c r="J32" s="104" t="s">
        <v>2838</v>
      </c>
      <c r="K32" s="24" t="s">
        <v>1896</v>
      </c>
      <c r="L32" s="24" t="s">
        <v>1896</v>
      </c>
      <c r="M32" s="24" t="s">
        <v>1896</v>
      </c>
      <c r="N32" s="108" t="s">
        <v>102</v>
      </c>
      <c r="O32" s="45" t="s">
        <v>2854</v>
      </c>
      <c r="P32" s="24" t="s">
        <v>1896</v>
      </c>
      <c r="Q32" s="111" t="s">
        <v>1751</v>
      </c>
      <c r="R32" s="24" t="s">
        <v>1896</v>
      </c>
      <c r="S32" s="181" t="s">
        <v>2817</v>
      </c>
      <c r="T32" s="24" t="s">
        <v>1896</v>
      </c>
      <c r="U32" s="72" t="s">
        <v>108</v>
      </c>
      <c r="V32" s="72">
        <v>1</v>
      </c>
      <c r="W32" s="24" t="s">
        <v>1896</v>
      </c>
      <c r="X32" s="24" t="s">
        <v>1896</v>
      </c>
      <c r="Y32" s="73">
        <v>249</v>
      </c>
      <c r="Z32" s="73">
        <v>0</v>
      </c>
      <c r="AA32" s="171">
        <v>249</v>
      </c>
      <c r="AB32" s="24" t="s">
        <v>1896</v>
      </c>
      <c r="AC32" s="24" t="s">
        <v>1896</v>
      </c>
      <c r="AD32" s="24" t="s">
        <v>1896</v>
      </c>
      <c r="AE32" s="40"/>
    </row>
    <row r="33" spans="1:31" s="46" customFormat="1" ht="27.95" customHeight="1" x14ac:dyDescent="0.15">
      <c r="A33" s="40">
        <v>31</v>
      </c>
      <c r="B33" s="125">
        <v>13031</v>
      </c>
      <c r="C33" s="24" t="s">
        <v>1896</v>
      </c>
      <c r="D33" s="24" t="s">
        <v>1896</v>
      </c>
      <c r="E33" s="24" t="s">
        <v>1896</v>
      </c>
      <c r="F33" s="183" t="s">
        <v>1159</v>
      </c>
      <c r="G33" s="185" t="s">
        <v>2584</v>
      </c>
      <c r="H33" s="1" t="s">
        <v>1419</v>
      </c>
      <c r="I33" s="1" t="s">
        <v>1463</v>
      </c>
      <c r="J33" s="104" t="s">
        <v>2839</v>
      </c>
      <c r="K33" s="24" t="s">
        <v>1896</v>
      </c>
      <c r="L33" s="24" t="s">
        <v>1896</v>
      </c>
      <c r="M33" s="24" t="s">
        <v>1896</v>
      </c>
      <c r="N33" s="108" t="s">
        <v>102</v>
      </c>
      <c r="O33" s="45" t="s">
        <v>1760</v>
      </c>
      <c r="P33" s="24" t="s">
        <v>1896</v>
      </c>
      <c r="Q33" s="111" t="s">
        <v>1752</v>
      </c>
      <c r="R33" s="24" t="s">
        <v>1896</v>
      </c>
      <c r="S33" s="180" t="s">
        <v>2818</v>
      </c>
      <c r="T33" s="24" t="s">
        <v>1896</v>
      </c>
      <c r="U33" s="72" t="s">
        <v>110</v>
      </c>
      <c r="V33" s="72">
        <v>2</v>
      </c>
      <c r="W33" s="24" t="s">
        <v>1896</v>
      </c>
      <c r="X33" s="24" t="s">
        <v>1896</v>
      </c>
      <c r="Y33" s="73">
        <v>67</v>
      </c>
      <c r="Z33" s="73">
        <v>0</v>
      </c>
      <c r="AA33" s="171">
        <v>67</v>
      </c>
      <c r="AB33" s="24" t="s">
        <v>1896</v>
      </c>
      <c r="AC33" s="24" t="s">
        <v>1896</v>
      </c>
      <c r="AD33" s="24" t="s">
        <v>1896</v>
      </c>
      <c r="AE33" s="40"/>
    </row>
    <row r="34" spans="1:31" s="46" customFormat="1" ht="27.95" customHeight="1" x14ac:dyDescent="0.15">
      <c r="A34" s="40">
        <v>32</v>
      </c>
      <c r="B34" s="125">
        <v>13032</v>
      </c>
      <c r="C34" s="24" t="s">
        <v>1896</v>
      </c>
      <c r="D34" s="24" t="s">
        <v>1896</v>
      </c>
      <c r="E34" s="24" t="s">
        <v>1896</v>
      </c>
      <c r="F34" s="195" t="s">
        <v>1341</v>
      </c>
      <c r="G34" s="185" t="s">
        <v>2585</v>
      </c>
      <c r="H34" s="142" t="s">
        <v>1419</v>
      </c>
      <c r="I34" s="102" t="s">
        <v>22</v>
      </c>
      <c r="J34" s="21" t="s">
        <v>1678</v>
      </c>
      <c r="K34" s="24" t="s">
        <v>1896</v>
      </c>
      <c r="L34" s="24" t="s">
        <v>1896</v>
      </c>
      <c r="M34" s="24" t="s">
        <v>1896</v>
      </c>
      <c r="N34" s="110" t="s">
        <v>67</v>
      </c>
      <c r="O34" s="44" t="s">
        <v>2855</v>
      </c>
      <c r="P34" s="24" t="s">
        <v>1896</v>
      </c>
      <c r="Q34" s="111" t="s">
        <v>1752</v>
      </c>
      <c r="R34" s="24" t="s">
        <v>1896</v>
      </c>
      <c r="S34" s="181">
        <v>2013.11</v>
      </c>
      <c r="T34" s="24" t="s">
        <v>1896</v>
      </c>
      <c r="U34" s="72" t="s">
        <v>110</v>
      </c>
      <c r="V34" s="72">
        <v>3</v>
      </c>
      <c r="W34" s="24" t="s">
        <v>1896</v>
      </c>
      <c r="X34" s="24" t="s">
        <v>1896</v>
      </c>
      <c r="Y34" s="73">
        <v>45</v>
      </c>
      <c r="Z34" s="73">
        <v>0</v>
      </c>
      <c r="AA34" s="171">
        <v>45</v>
      </c>
      <c r="AB34" s="24" t="s">
        <v>1896</v>
      </c>
      <c r="AC34" s="24" t="s">
        <v>1896</v>
      </c>
      <c r="AD34" s="24" t="s">
        <v>1896</v>
      </c>
      <c r="AE34" s="40"/>
    </row>
    <row r="35" spans="1:31" s="46" customFormat="1" ht="27.95" customHeight="1" x14ac:dyDescent="0.15">
      <c r="A35" s="40">
        <v>33</v>
      </c>
      <c r="B35" s="125">
        <v>13033</v>
      </c>
      <c r="C35" s="24" t="s">
        <v>1896</v>
      </c>
      <c r="D35" s="24" t="s">
        <v>1896</v>
      </c>
      <c r="E35" s="24" t="s">
        <v>1896</v>
      </c>
      <c r="F35" s="195" t="s">
        <v>1341</v>
      </c>
      <c r="G35" s="185" t="s">
        <v>2586</v>
      </c>
      <c r="H35" s="142" t="s">
        <v>1419</v>
      </c>
      <c r="I35" s="102" t="s">
        <v>22</v>
      </c>
      <c r="J35" s="104" t="s">
        <v>1678</v>
      </c>
      <c r="K35" s="24" t="s">
        <v>1896</v>
      </c>
      <c r="L35" s="24" t="s">
        <v>1896</v>
      </c>
      <c r="M35" s="24" t="s">
        <v>1896</v>
      </c>
      <c r="N35" s="110" t="s">
        <v>67</v>
      </c>
      <c r="O35" s="44" t="s">
        <v>2855</v>
      </c>
      <c r="P35" s="24" t="s">
        <v>1896</v>
      </c>
      <c r="Q35" s="111" t="s">
        <v>1752</v>
      </c>
      <c r="R35" s="24" t="s">
        <v>1896</v>
      </c>
      <c r="S35" s="181">
        <v>2013.11</v>
      </c>
      <c r="T35" s="24" t="s">
        <v>1896</v>
      </c>
      <c r="U35" s="72" t="s">
        <v>110</v>
      </c>
      <c r="V35" s="72">
        <v>3</v>
      </c>
      <c r="W35" s="24" t="s">
        <v>1896</v>
      </c>
      <c r="X35" s="24" t="s">
        <v>1896</v>
      </c>
      <c r="Y35" s="73">
        <v>45</v>
      </c>
      <c r="Z35" s="73">
        <v>0</v>
      </c>
      <c r="AA35" s="171">
        <v>45</v>
      </c>
      <c r="AB35" s="24" t="s">
        <v>1896</v>
      </c>
      <c r="AC35" s="24" t="s">
        <v>1896</v>
      </c>
      <c r="AD35" s="24" t="s">
        <v>1896</v>
      </c>
      <c r="AE35" s="40"/>
    </row>
    <row r="36" spans="1:31" s="46" customFormat="1" ht="27.95" customHeight="1" x14ac:dyDescent="0.15">
      <c r="A36" s="40">
        <v>34</v>
      </c>
      <c r="B36" s="125">
        <v>13034</v>
      </c>
      <c r="C36" s="24" t="s">
        <v>1896</v>
      </c>
      <c r="D36" s="24" t="s">
        <v>1896</v>
      </c>
      <c r="E36" s="24" t="s">
        <v>1896</v>
      </c>
      <c r="F36" s="185" t="s">
        <v>1394</v>
      </c>
      <c r="G36" s="185" t="s">
        <v>1998</v>
      </c>
      <c r="H36" s="142" t="s">
        <v>1487</v>
      </c>
      <c r="I36" s="142" t="s">
        <v>993</v>
      </c>
      <c r="J36" s="21" t="s">
        <v>1724</v>
      </c>
      <c r="K36" s="24" t="s">
        <v>1896</v>
      </c>
      <c r="L36" s="24" t="s">
        <v>1896</v>
      </c>
      <c r="M36" s="24" t="s">
        <v>1896</v>
      </c>
      <c r="N36" s="110" t="s">
        <v>102</v>
      </c>
      <c r="O36" s="44" t="s">
        <v>851</v>
      </c>
      <c r="P36" s="24" t="s">
        <v>1896</v>
      </c>
      <c r="Q36" s="28" t="s">
        <v>2861</v>
      </c>
      <c r="R36" s="24" t="s">
        <v>1896</v>
      </c>
      <c r="S36" s="180" t="s">
        <v>2819</v>
      </c>
      <c r="T36" s="24" t="s">
        <v>1896</v>
      </c>
      <c r="U36" s="72" t="s">
        <v>110</v>
      </c>
      <c r="V36" s="72">
        <v>1</v>
      </c>
      <c r="W36" s="24" t="s">
        <v>1896</v>
      </c>
      <c r="X36" s="24" t="s">
        <v>1896</v>
      </c>
      <c r="Y36" s="73">
        <v>0</v>
      </c>
      <c r="Z36" s="73">
        <v>10</v>
      </c>
      <c r="AA36" s="171">
        <v>10</v>
      </c>
      <c r="AB36" s="24" t="s">
        <v>1896</v>
      </c>
      <c r="AC36" s="24" t="s">
        <v>1896</v>
      </c>
      <c r="AD36" s="24" t="s">
        <v>1896</v>
      </c>
      <c r="AE36" s="40"/>
    </row>
    <row r="37" spans="1:31" s="46" customFormat="1" ht="27.95" customHeight="1" x14ac:dyDescent="0.15">
      <c r="A37" s="40">
        <v>35</v>
      </c>
      <c r="B37" s="125">
        <v>13035</v>
      </c>
      <c r="C37" s="24" t="s">
        <v>1896</v>
      </c>
      <c r="D37" s="24" t="s">
        <v>1896</v>
      </c>
      <c r="E37" s="24" t="s">
        <v>1896</v>
      </c>
      <c r="F37" s="185" t="s">
        <v>1392</v>
      </c>
      <c r="G37" s="185" t="s">
        <v>1999</v>
      </c>
      <c r="H37" s="142" t="s">
        <v>1487</v>
      </c>
      <c r="I37" s="142" t="s">
        <v>993</v>
      </c>
      <c r="J37" s="21" t="s">
        <v>892</v>
      </c>
      <c r="K37" s="24" t="s">
        <v>1896</v>
      </c>
      <c r="L37" s="24" t="s">
        <v>1896</v>
      </c>
      <c r="M37" s="24" t="s">
        <v>1896</v>
      </c>
      <c r="N37" s="110" t="s">
        <v>102</v>
      </c>
      <c r="O37" s="44" t="s">
        <v>851</v>
      </c>
      <c r="P37" s="24" t="s">
        <v>1896</v>
      </c>
      <c r="Q37" s="28" t="s">
        <v>2861</v>
      </c>
      <c r="R37" s="24" t="s">
        <v>1896</v>
      </c>
      <c r="S37" s="180" t="s">
        <v>2820</v>
      </c>
      <c r="T37" s="24" t="s">
        <v>1896</v>
      </c>
      <c r="U37" s="72" t="s">
        <v>110</v>
      </c>
      <c r="V37" s="72">
        <v>1</v>
      </c>
      <c r="W37" s="24" t="s">
        <v>1896</v>
      </c>
      <c r="X37" s="24" t="s">
        <v>1896</v>
      </c>
      <c r="Y37" s="73">
        <v>0</v>
      </c>
      <c r="Z37" s="73">
        <v>10</v>
      </c>
      <c r="AA37" s="171">
        <v>10</v>
      </c>
      <c r="AB37" s="24" t="s">
        <v>1896</v>
      </c>
      <c r="AC37" s="24" t="s">
        <v>1896</v>
      </c>
      <c r="AD37" s="24" t="s">
        <v>1896</v>
      </c>
      <c r="AE37" s="40"/>
    </row>
    <row r="38" spans="1:31" s="46" customFormat="1" ht="27.95" customHeight="1" x14ac:dyDescent="0.15">
      <c r="A38" s="40">
        <v>36</v>
      </c>
      <c r="B38" s="125">
        <v>13036</v>
      </c>
      <c r="C38" s="24" t="s">
        <v>1896</v>
      </c>
      <c r="D38" s="24" t="s">
        <v>1896</v>
      </c>
      <c r="E38" s="24" t="s">
        <v>1896</v>
      </c>
      <c r="F38" s="187" t="s">
        <v>1303</v>
      </c>
      <c r="G38" s="187" t="s">
        <v>2587</v>
      </c>
      <c r="H38" s="20" t="s">
        <v>94</v>
      </c>
      <c r="I38" s="1" t="s">
        <v>1416</v>
      </c>
      <c r="J38" s="21" t="s">
        <v>1667</v>
      </c>
      <c r="K38" s="24" t="s">
        <v>1896</v>
      </c>
      <c r="L38" s="24" t="s">
        <v>1896</v>
      </c>
      <c r="M38" s="24" t="s">
        <v>1896</v>
      </c>
      <c r="N38" s="110" t="s">
        <v>102</v>
      </c>
      <c r="O38" s="44" t="s">
        <v>851</v>
      </c>
      <c r="P38" s="24" t="s">
        <v>1896</v>
      </c>
      <c r="Q38" s="111" t="s">
        <v>1752</v>
      </c>
      <c r="R38" s="24" t="s">
        <v>1896</v>
      </c>
      <c r="S38" s="181">
        <v>2013.12</v>
      </c>
      <c r="T38" s="24" t="s">
        <v>1896</v>
      </c>
      <c r="U38" s="72" t="s">
        <v>110</v>
      </c>
      <c r="V38" s="72">
        <v>1</v>
      </c>
      <c r="W38" s="24" t="s">
        <v>1896</v>
      </c>
      <c r="X38" s="24" t="s">
        <v>1896</v>
      </c>
      <c r="Y38" s="73">
        <v>0</v>
      </c>
      <c r="Z38" s="73">
        <v>14.5</v>
      </c>
      <c r="AA38" s="171">
        <v>14.5</v>
      </c>
      <c r="AB38" s="24" t="s">
        <v>1896</v>
      </c>
      <c r="AC38" s="24" t="s">
        <v>1896</v>
      </c>
      <c r="AD38" s="24" t="s">
        <v>1896</v>
      </c>
      <c r="AE38" s="40"/>
    </row>
    <row r="39" spans="1:31" s="46" customFormat="1" ht="27.95" customHeight="1" x14ac:dyDescent="0.15">
      <c r="A39" s="40">
        <v>37</v>
      </c>
      <c r="B39" s="125">
        <v>13037</v>
      </c>
      <c r="C39" s="24" t="s">
        <v>1896</v>
      </c>
      <c r="D39" s="24" t="s">
        <v>1896</v>
      </c>
      <c r="E39" s="24" t="s">
        <v>1896</v>
      </c>
      <c r="F39" s="187" t="s">
        <v>86</v>
      </c>
      <c r="G39" s="187" t="s">
        <v>2587</v>
      </c>
      <c r="H39" s="20" t="s">
        <v>94</v>
      </c>
      <c r="I39" s="1" t="s">
        <v>1416</v>
      </c>
      <c r="J39" s="21" t="s">
        <v>1667</v>
      </c>
      <c r="K39" s="24" t="s">
        <v>1896</v>
      </c>
      <c r="L39" s="24" t="s">
        <v>1896</v>
      </c>
      <c r="M39" s="24" t="s">
        <v>1896</v>
      </c>
      <c r="N39" s="110" t="s">
        <v>102</v>
      </c>
      <c r="O39" s="44" t="s">
        <v>851</v>
      </c>
      <c r="P39" s="24" t="s">
        <v>1896</v>
      </c>
      <c r="Q39" s="111" t="s">
        <v>1752</v>
      </c>
      <c r="R39" s="24" t="s">
        <v>1896</v>
      </c>
      <c r="S39" s="181">
        <v>2013.12</v>
      </c>
      <c r="T39" s="24" t="s">
        <v>1896</v>
      </c>
      <c r="U39" s="72" t="s">
        <v>110</v>
      </c>
      <c r="V39" s="72">
        <v>1</v>
      </c>
      <c r="W39" s="24" t="s">
        <v>1896</v>
      </c>
      <c r="X39" s="24" t="s">
        <v>1896</v>
      </c>
      <c r="Y39" s="73">
        <v>0</v>
      </c>
      <c r="Z39" s="73">
        <v>14.5</v>
      </c>
      <c r="AA39" s="171">
        <v>14.5</v>
      </c>
      <c r="AB39" s="24" t="s">
        <v>1896</v>
      </c>
      <c r="AC39" s="24" t="s">
        <v>1896</v>
      </c>
      <c r="AD39" s="24" t="s">
        <v>1896</v>
      </c>
      <c r="AE39" s="40"/>
    </row>
    <row r="40" spans="1:31" s="46" customFormat="1" ht="27.95" customHeight="1" x14ac:dyDescent="0.15">
      <c r="A40" s="40">
        <v>38</v>
      </c>
      <c r="B40" s="125">
        <v>13038</v>
      </c>
      <c r="C40" s="24" t="s">
        <v>1896</v>
      </c>
      <c r="D40" s="24" t="s">
        <v>1896</v>
      </c>
      <c r="E40" s="24" t="s">
        <v>1896</v>
      </c>
      <c r="F40" s="185" t="s">
        <v>1155</v>
      </c>
      <c r="G40" s="187" t="s">
        <v>2588</v>
      </c>
      <c r="H40" s="142" t="s">
        <v>94</v>
      </c>
      <c r="I40" s="142" t="s">
        <v>1416</v>
      </c>
      <c r="J40" s="21" t="s">
        <v>1658</v>
      </c>
      <c r="K40" s="24" t="s">
        <v>1896</v>
      </c>
      <c r="L40" s="24" t="s">
        <v>1896</v>
      </c>
      <c r="M40" s="24" t="s">
        <v>1896</v>
      </c>
      <c r="N40" s="110" t="s">
        <v>102</v>
      </c>
      <c r="O40" s="44" t="s">
        <v>851</v>
      </c>
      <c r="P40" s="24" t="s">
        <v>1896</v>
      </c>
      <c r="Q40" s="111" t="s">
        <v>1752</v>
      </c>
      <c r="R40" s="24" t="s">
        <v>1896</v>
      </c>
      <c r="S40" s="181">
        <v>2013.12</v>
      </c>
      <c r="T40" s="24" t="s">
        <v>1896</v>
      </c>
      <c r="U40" s="72" t="s">
        <v>110</v>
      </c>
      <c r="V40" s="72">
        <v>1</v>
      </c>
      <c r="W40" s="24" t="s">
        <v>1896</v>
      </c>
      <c r="X40" s="24" t="s">
        <v>1896</v>
      </c>
      <c r="Y40" s="73">
        <v>0</v>
      </c>
      <c r="Z40" s="73">
        <v>12.5</v>
      </c>
      <c r="AA40" s="171">
        <v>12.5</v>
      </c>
      <c r="AB40" s="24" t="s">
        <v>1896</v>
      </c>
      <c r="AC40" s="24" t="s">
        <v>1896</v>
      </c>
      <c r="AD40" s="24" t="s">
        <v>1896</v>
      </c>
      <c r="AE40" s="40"/>
    </row>
    <row r="41" spans="1:31" s="46" customFormat="1" ht="27.95" customHeight="1" x14ac:dyDescent="0.15">
      <c r="A41" s="40">
        <v>39</v>
      </c>
      <c r="B41" s="24">
        <v>13039</v>
      </c>
      <c r="C41" s="24" t="s">
        <v>1896</v>
      </c>
      <c r="D41" s="24" t="s">
        <v>1896</v>
      </c>
      <c r="E41" s="24" t="s">
        <v>1896</v>
      </c>
      <c r="F41" s="185" t="s">
        <v>1308</v>
      </c>
      <c r="G41" s="187" t="s">
        <v>2587</v>
      </c>
      <c r="H41" s="102" t="s">
        <v>94</v>
      </c>
      <c r="I41" s="102" t="s">
        <v>1416</v>
      </c>
      <c r="J41" s="21" t="s">
        <v>1668</v>
      </c>
      <c r="K41" s="24" t="s">
        <v>1896</v>
      </c>
      <c r="L41" s="24" t="s">
        <v>1896</v>
      </c>
      <c r="M41" s="24" t="s">
        <v>1896</v>
      </c>
      <c r="N41" s="110" t="s">
        <v>102</v>
      </c>
      <c r="O41" s="44" t="s">
        <v>851</v>
      </c>
      <c r="P41" s="24" t="s">
        <v>1896</v>
      </c>
      <c r="Q41" s="111" t="s">
        <v>1752</v>
      </c>
      <c r="R41" s="24" t="s">
        <v>1896</v>
      </c>
      <c r="S41" s="181">
        <v>2013.12</v>
      </c>
      <c r="T41" s="24" t="s">
        <v>1896</v>
      </c>
      <c r="U41" s="72" t="s">
        <v>110</v>
      </c>
      <c r="V41" s="72">
        <v>1</v>
      </c>
      <c r="W41" s="24" t="s">
        <v>1896</v>
      </c>
      <c r="X41" s="24" t="s">
        <v>1896</v>
      </c>
      <c r="Y41" s="73">
        <v>0</v>
      </c>
      <c r="Z41" s="73">
        <v>11</v>
      </c>
      <c r="AA41" s="171">
        <v>11</v>
      </c>
      <c r="AB41" s="24" t="s">
        <v>1896</v>
      </c>
      <c r="AC41" s="24" t="s">
        <v>1896</v>
      </c>
      <c r="AD41" s="24" t="s">
        <v>1896</v>
      </c>
      <c r="AE41" s="40"/>
    </row>
    <row r="42" spans="1:31" s="46" customFormat="1" ht="27.95" customHeight="1" x14ac:dyDescent="0.15">
      <c r="A42" s="40">
        <v>40</v>
      </c>
      <c r="B42" s="24">
        <v>13040</v>
      </c>
      <c r="C42" s="24" t="s">
        <v>1896</v>
      </c>
      <c r="D42" s="24" t="s">
        <v>1896</v>
      </c>
      <c r="E42" s="24" t="s">
        <v>1896</v>
      </c>
      <c r="F42" s="185" t="s">
        <v>1307</v>
      </c>
      <c r="G42" s="187" t="s">
        <v>2588</v>
      </c>
      <c r="H42" s="102" t="s">
        <v>94</v>
      </c>
      <c r="I42" s="102" t="s">
        <v>1416</v>
      </c>
      <c r="J42" s="21" t="s">
        <v>1668</v>
      </c>
      <c r="K42" s="24" t="s">
        <v>1896</v>
      </c>
      <c r="L42" s="24" t="s">
        <v>1896</v>
      </c>
      <c r="M42" s="24" t="s">
        <v>1896</v>
      </c>
      <c r="N42" s="110" t="s">
        <v>102</v>
      </c>
      <c r="O42" s="44" t="s">
        <v>851</v>
      </c>
      <c r="P42" s="24" t="s">
        <v>1896</v>
      </c>
      <c r="Q42" s="111" t="s">
        <v>1752</v>
      </c>
      <c r="R42" s="24" t="s">
        <v>1896</v>
      </c>
      <c r="S42" s="181">
        <v>2013.12</v>
      </c>
      <c r="T42" s="24" t="s">
        <v>1896</v>
      </c>
      <c r="U42" s="72" t="s">
        <v>110</v>
      </c>
      <c r="V42" s="72">
        <v>1</v>
      </c>
      <c r="W42" s="24" t="s">
        <v>1896</v>
      </c>
      <c r="X42" s="24" t="s">
        <v>1896</v>
      </c>
      <c r="Y42" s="73">
        <v>0</v>
      </c>
      <c r="Z42" s="73">
        <v>11</v>
      </c>
      <c r="AA42" s="171">
        <v>11</v>
      </c>
      <c r="AB42" s="24" t="s">
        <v>1896</v>
      </c>
      <c r="AC42" s="24" t="s">
        <v>1896</v>
      </c>
      <c r="AD42" s="24" t="s">
        <v>1896</v>
      </c>
      <c r="AE42" s="40"/>
    </row>
    <row r="43" spans="1:31" s="46" customFormat="1" ht="27.95" customHeight="1" x14ac:dyDescent="0.15">
      <c r="A43" s="40">
        <v>41</v>
      </c>
      <c r="B43" s="24">
        <v>13041</v>
      </c>
      <c r="C43" s="24" t="s">
        <v>1896</v>
      </c>
      <c r="D43" s="24" t="s">
        <v>1896</v>
      </c>
      <c r="E43" s="24" t="s">
        <v>1896</v>
      </c>
      <c r="F43" s="123" t="s">
        <v>1309</v>
      </c>
      <c r="G43" s="187" t="s">
        <v>2587</v>
      </c>
      <c r="H43" s="1" t="s">
        <v>94</v>
      </c>
      <c r="I43" s="1" t="s">
        <v>1416</v>
      </c>
      <c r="J43" s="21" t="s">
        <v>1668</v>
      </c>
      <c r="K43" s="24" t="s">
        <v>1896</v>
      </c>
      <c r="L43" s="24" t="s">
        <v>1896</v>
      </c>
      <c r="M43" s="24" t="s">
        <v>1896</v>
      </c>
      <c r="N43" s="110" t="s">
        <v>102</v>
      </c>
      <c r="O43" s="44" t="s">
        <v>851</v>
      </c>
      <c r="P43" s="24" t="s">
        <v>1896</v>
      </c>
      <c r="Q43" s="111" t="s">
        <v>1752</v>
      </c>
      <c r="R43" s="24" t="s">
        <v>1896</v>
      </c>
      <c r="S43" s="181">
        <v>2013.12</v>
      </c>
      <c r="T43" s="24" t="s">
        <v>1896</v>
      </c>
      <c r="U43" s="72" t="s">
        <v>110</v>
      </c>
      <c r="V43" s="72">
        <v>1</v>
      </c>
      <c r="W43" s="24" t="s">
        <v>1896</v>
      </c>
      <c r="X43" s="24" t="s">
        <v>1896</v>
      </c>
      <c r="Y43" s="73">
        <v>0</v>
      </c>
      <c r="Z43" s="73">
        <v>11</v>
      </c>
      <c r="AA43" s="171">
        <v>11</v>
      </c>
      <c r="AB43" s="24" t="s">
        <v>1896</v>
      </c>
      <c r="AC43" s="24" t="s">
        <v>1896</v>
      </c>
      <c r="AD43" s="24" t="s">
        <v>1896</v>
      </c>
      <c r="AE43" s="40"/>
    </row>
    <row r="44" spans="1:31" s="46" customFormat="1" ht="27.95" customHeight="1" x14ac:dyDescent="0.15">
      <c r="A44" s="40">
        <v>42</v>
      </c>
      <c r="B44" s="125">
        <v>13042</v>
      </c>
      <c r="C44" s="24" t="s">
        <v>1896</v>
      </c>
      <c r="D44" s="24" t="s">
        <v>1896</v>
      </c>
      <c r="E44" s="24" t="s">
        <v>1896</v>
      </c>
      <c r="F44" s="183" t="s">
        <v>2589</v>
      </c>
      <c r="G44" s="123" t="s">
        <v>2590</v>
      </c>
      <c r="H44" s="1" t="s">
        <v>994</v>
      </c>
      <c r="I44" s="1" t="s">
        <v>993</v>
      </c>
      <c r="J44" s="104" t="s">
        <v>1681</v>
      </c>
      <c r="K44" s="24" t="s">
        <v>1896</v>
      </c>
      <c r="L44" s="24" t="s">
        <v>1896</v>
      </c>
      <c r="M44" s="24" t="s">
        <v>1896</v>
      </c>
      <c r="N44" s="108" t="s">
        <v>45</v>
      </c>
      <c r="O44" s="45" t="s">
        <v>2440</v>
      </c>
      <c r="P44" s="24" t="s">
        <v>1896</v>
      </c>
      <c r="Q44" s="111" t="s">
        <v>1659</v>
      </c>
      <c r="R44" s="24" t="s">
        <v>1896</v>
      </c>
      <c r="S44" s="180" t="s">
        <v>2821</v>
      </c>
      <c r="T44" s="24" t="s">
        <v>1896</v>
      </c>
      <c r="U44" s="72" t="s">
        <v>108</v>
      </c>
      <c r="V44" s="72">
        <v>2</v>
      </c>
      <c r="W44" s="24" t="s">
        <v>1896</v>
      </c>
      <c r="X44" s="24" t="s">
        <v>1896</v>
      </c>
      <c r="Y44" s="73">
        <v>27.8</v>
      </c>
      <c r="Z44" s="73">
        <v>0</v>
      </c>
      <c r="AA44" s="171">
        <v>27.8</v>
      </c>
      <c r="AB44" s="24" t="s">
        <v>1896</v>
      </c>
      <c r="AC44" s="24" t="s">
        <v>1896</v>
      </c>
      <c r="AD44" s="24" t="s">
        <v>1896</v>
      </c>
      <c r="AE44" s="40"/>
    </row>
    <row r="45" spans="1:31" s="46" customFormat="1" ht="27.95" customHeight="1" x14ac:dyDescent="0.15">
      <c r="A45" s="40">
        <v>43</v>
      </c>
      <c r="B45" s="125">
        <v>13043</v>
      </c>
      <c r="C45" s="24" t="s">
        <v>1896</v>
      </c>
      <c r="D45" s="24" t="s">
        <v>1896</v>
      </c>
      <c r="E45" s="24" t="s">
        <v>1896</v>
      </c>
      <c r="F45" s="123" t="s">
        <v>2591</v>
      </c>
      <c r="G45" s="187" t="s">
        <v>2592</v>
      </c>
      <c r="H45" s="1" t="s">
        <v>1541</v>
      </c>
      <c r="I45" s="1" t="s">
        <v>1895</v>
      </c>
      <c r="J45" s="21" t="s">
        <v>1670</v>
      </c>
      <c r="K45" s="24" t="s">
        <v>1896</v>
      </c>
      <c r="L45" s="24" t="s">
        <v>1896</v>
      </c>
      <c r="M45" s="24" t="s">
        <v>1896</v>
      </c>
      <c r="N45" s="108" t="s">
        <v>102</v>
      </c>
      <c r="O45" s="45" t="s">
        <v>1759</v>
      </c>
      <c r="P45" s="24" t="s">
        <v>1896</v>
      </c>
      <c r="Q45" s="28" t="s">
        <v>1752</v>
      </c>
      <c r="R45" s="24" t="s">
        <v>1896</v>
      </c>
      <c r="S45" s="180" t="s">
        <v>2822</v>
      </c>
      <c r="T45" s="24" t="s">
        <v>1896</v>
      </c>
      <c r="U45" s="72" t="s">
        <v>110</v>
      </c>
      <c r="V45" s="72">
        <v>2</v>
      </c>
      <c r="W45" s="24" t="s">
        <v>1896</v>
      </c>
      <c r="X45" s="24" t="s">
        <v>1896</v>
      </c>
      <c r="Y45" s="73">
        <v>30</v>
      </c>
      <c r="Z45" s="73">
        <v>0</v>
      </c>
      <c r="AA45" s="171">
        <v>30</v>
      </c>
      <c r="AB45" s="24" t="s">
        <v>1896</v>
      </c>
      <c r="AC45" s="24" t="s">
        <v>1896</v>
      </c>
      <c r="AD45" s="24" t="s">
        <v>1896</v>
      </c>
      <c r="AE45" s="40"/>
    </row>
    <row r="46" spans="1:31" s="46" customFormat="1" ht="27.95" customHeight="1" x14ac:dyDescent="0.15">
      <c r="A46" s="40">
        <v>44</v>
      </c>
      <c r="B46" s="125">
        <v>13044</v>
      </c>
      <c r="C46" s="24" t="s">
        <v>1896</v>
      </c>
      <c r="D46" s="24" t="s">
        <v>1896</v>
      </c>
      <c r="E46" s="24" t="s">
        <v>1896</v>
      </c>
      <c r="F46" s="123" t="s">
        <v>1385</v>
      </c>
      <c r="G46" s="123" t="s">
        <v>2593</v>
      </c>
      <c r="H46" s="20" t="s">
        <v>1537</v>
      </c>
      <c r="I46" s="20" t="s">
        <v>1416</v>
      </c>
      <c r="J46" s="21" t="s">
        <v>787</v>
      </c>
      <c r="K46" s="24" t="s">
        <v>1896</v>
      </c>
      <c r="L46" s="24" t="s">
        <v>1896</v>
      </c>
      <c r="M46" s="24" t="s">
        <v>1896</v>
      </c>
      <c r="N46" s="108" t="s">
        <v>102</v>
      </c>
      <c r="O46" s="45" t="s">
        <v>461</v>
      </c>
      <c r="P46" s="24" t="s">
        <v>1896</v>
      </c>
      <c r="Q46" s="28" t="s">
        <v>2864</v>
      </c>
      <c r="R46" s="24" t="s">
        <v>1896</v>
      </c>
      <c r="S46" s="180" t="s">
        <v>2823</v>
      </c>
      <c r="T46" s="24" t="s">
        <v>1896</v>
      </c>
      <c r="U46" s="72" t="s">
        <v>110</v>
      </c>
      <c r="V46" s="72">
        <v>1</v>
      </c>
      <c r="W46" s="24" t="s">
        <v>1896</v>
      </c>
      <c r="X46" s="24" t="s">
        <v>1896</v>
      </c>
      <c r="Y46" s="73">
        <v>40.049999999999997</v>
      </c>
      <c r="Z46" s="73">
        <v>0</v>
      </c>
      <c r="AA46" s="171">
        <v>40.049999999999997</v>
      </c>
      <c r="AB46" s="24" t="s">
        <v>1896</v>
      </c>
      <c r="AC46" s="24" t="s">
        <v>1896</v>
      </c>
      <c r="AD46" s="24" t="s">
        <v>1896</v>
      </c>
      <c r="AE46" s="40"/>
    </row>
    <row r="47" spans="1:31" s="46" customFormat="1" ht="27.95" customHeight="1" x14ac:dyDescent="0.15">
      <c r="A47" s="40">
        <v>45</v>
      </c>
      <c r="B47" s="125">
        <v>13045</v>
      </c>
      <c r="C47" s="24" t="s">
        <v>1896</v>
      </c>
      <c r="D47" s="24" t="s">
        <v>1896</v>
      </c>
      <c r="E47" s="24" t="s">
        <v>1896</v>
      </c>
      <c r="F47" s="123" t="s">
        <v>2555</v>
      </c>
      <c r="G47" s="187" t="s">
        <v>2594</v>
      </c>
      <c r="H47" s="1" t="s">
        <v>1737</v>
      </c>
      <c r="I47" s="1" t="s">
        <v>1113</v>
      </c>
      <c r="J47" s="21" t="s">
        <v>1723</v>
      </c>
      <c r="K47" s="24" t="s">
        <v>1896</v>
      </c>
      <c r="L47" s="24" t="s">
        <v>1896</v>
      </c>
      <c r="M47" s="24" t="s">
        <v>1896</v>
      </c>
      <c r="N47" s="108" t="s">
        <v>102</v>
      </c>
      <c r="O47" s="45" t="s">
        <v>2856</v>
      </c>
      <c r="P47" s="24" t="s">
        <v>1896</v>
      </c>
      <c r="Q47" s="111" t="s">
        <v>1752</v>
      </c>
      <c r="R47" s="24" t="s">
        <v>1896</v>
      </c>
      <c r="S47" s="181">
        <v>2013.12</v>
      </c>
      <c r="T47" s="24" t="s">
        <v>1896</v>
      </c>
      <c r="U47" s="72" t="s">
        <v>110</v>
      </c>
      <c r="V47" s="72">
        <v>3</v>
      </c>
      <c r="W47" s="24" t="s">
        <v>1896</v>
      </c>
      <c r="X47" s="24" t="s">
        <v>1896</v>
      </c>
      <c r="Y47" s="73">
        <v>38.423999999999999</v>
      </c>
      <c r="Z47" s="73">
        <v>0</v>
      </c>
      <c r="AA47" s="171">
        <v>38.423999999999999</v>
      </c>
      <c r="AB47" s="24" t="s">
        <v>1896</v>
      </c>
      <c r="AC47" s="24" t="s">
        <v>1896</v>
      </c>
      <c r="AD47" s="24" t="s">
        <v>1896</v>
      </c>
      <c r="AE47" s="40"/>
    </row>
    <row r="48" spans="1:31" s="46" customFormat="1" ht="27.95" customHeight="1" x14ac:dyDescent="0.15">
      <c r="A48" s="40">
        <v>46</v>
      </c>
      <c r="B48" s="125">
        <v>13046</v>
      </c>
      <c r="C48" s="24" t="s">
        <v>1896</v>
      </c>
      <c r="D48" s="24" t="s">
        <v>1896</v>
      </c>
      <c r="E48" s="24" t="s">
        <v>1896</v>
      </c>
      <c r="F48" s="123" t="s">
        <v>2595</v>
      </c>
      <c r="G48" s="123" t="s">
        <v>2596</v>
      </c>
      <c r="H48" s="1" t="s">
        <v>94</v>
      </c>
      <c r="I48" s="1" t="s">
        <v>22</v>
      </c>
      <c r="J48" s="104" t="s">
        <v>2840</v>
      </c>
      <c r="K48" s="24" t="s">
        <v>1896</v>
      </c>
      <c r="L48" s="24" t="s">
        <v>1896</v>
      </c>
      <c r="M48" s="24" t="s">
        <v>1896</v>
      </c>
      <c r="N48" s="108" t="s">
        <v>102</v>
      </c>
      <c r="O48" s="45" t="s">
        <v>1760</v>
      </c>
      <c r="P48" s="24" t="s">
        <v>1896</v>
      </c>
      <c r="Q48" s="111" t="s">
        <v>1752</v>
      </c>
      <c r="R48" s="24" t="s">
        <v>1896</v>
      </c>
      <c r="S48" s="181" t="s">
        <v>2824</v>
      </c>
      <c r="T48" s="24" t="s">
        <v>1896</v>
      </c>
      <c r="U48" s="72" t="s">
        <v>110</v>
      </c>
      <c r="V48" s="72">
        <v>2</v>
      </c>
      <c r="W48" s="24" t="s">
        <v>1896</v>
      </c>
      <c r="X48" s="24" t="s">
        <v>1896</v>
      </c>
      <c r="Y48" s="73">
        <v>79.8</v>
      </c>
      <c r="Z48" s="73">
        <v>0</v>
      </c>
      <c r="AA48" s="171">
        <v>79.8</v>
      </c>
      <c r="AB48" s="24" t="s">
        <v>1896</v>
      </c>
      <c r="AC48" s="24" t="s">
        <v>1896</v>
      </c>
      <c r="AD48" s="24" t="s">
        <v>1896</v>
      </c>
      <c r="AE48" s="40"/>
    </row>
    <row r="49" spans="1:31" s="46" customFormat="1" ht="27.95" customHeight="1" x14ac:dyDescent="0.15">
      <c r="A49" s="40">
        <v>47</v>
      </c>
      <c r="B49" s="125">
        <v>13047</v>
      </c>
      <c r="C49" s="24" t="s">
        <v>1896</v>
      </c>
      <c r="D49" s="24" t="s">
        <v>1896</v>
      </c>
      <c r="E49" s="24" t="s">
        <v>1896</v>
      </c>
      <c r="F49" s="123" t="s">
        <v>2597</v>
      </c>
      <c r="G49" s="123" t="s">
        <v>2598</v>
      </c>
      <c r="H49" s="1" t="s">
        <v>994</v>
      </c>
      <c r="I49" s="1" t="s">
        <v>993</v>
      </c>
      <c r="J49" s="104" t="s">
        <v>2841</v>
      </c>
      <c r="K49" s="24" t="s">
        <v>1896</v>
      </c>
      <c r="L49" s="24" t="s">
        <v>1896</v>
      </c>
      <c r="M49" s="24" t="s">
        <v>1896</v>
      </c>
      <c r="N49" s="108" t="s">
        <v>102</v>
      </c>
      <c r="O49" s="45" t="s">
        <v>2857</v>
      </c>
      <c r="P49" s="24" t="s">
        <v>1896</v>
      </c>
      <c r="Q49" s="111" t="s">
        <v>1659</v>
      </c>
      <c r="R49" s="24" t="s">
        <v>1896</v>
      </c>
      <c r="S49" s="181">
        <v>2014.1</v>
      </c>
      <c r="T49" s="24" t="s">
        <v>1896</v>
      </c>
      <c r="U49" s="72" t="s">
        <v>110</v>
      </c>
      <c r="V49" s="72">
        <v>2</v>
      </c>
      <c r="W49" s="24" t="s">
        <v>1896</v>
      </c>
      <c r="X49" s="24" t="s">
        <v>1896</v>
      </c>
      <c r="Y49" s="73">
        <v>43.26</v>
      </c>
      <c r="Z49" s="73">
        <v>0</v>
      </c>
      <c r="AA49" s="171">
        <v>43.26</v>
      </c>
      <c r="AB49" s="24" t="s">
        <v>1896</v>
      </c>
      <c r="AC49" s="24" t="s">
        <v>1896</v>
      </c>
      <c r="AD49" s="24" t="s">
        <v>1896</v>
      </c>
      <c r="AE49" s="40"/>
    </row>
    <row r="50" spans="1:31" s="46" customFormat="1" ht="27.95" customHeight="1" x14ac:dyDescent="0.15">
      <c r="A50" s="40">
        <v>48</v>
      </c>
      <c r="B50" s="125">
        <v>13048</v>
      </c>
      <c r="C50" s="24" t="s">
        <v>1896</v>
      </c>
      <c r="D50" s="24" t="s">
        <v>1896</v>
      </c>
      <c r="E50" s="24" t="s">
        <v>1896</v>
      </c>
      <c r="F50" s="123" t="s">
        <v>2599</v>
      </c>
      <c r="G50" s="29" t="s">
        <v>2600</v>
      </c>
      <c r="H50" s="1" t="s">
        <v>2829</v>
      </c>
      <c r="I50" s="1" t="s">
        <v>1113</v>
      </c>
      <c r="J50" s="104" t="s">
        <v>2842</v>
      </c>
      <c r="K50" s="24" t="s">
        <v>1896</v>
      </c>
      <c r="L50" s="24" t="s">
        <v>1896</v>
      </c>
      <c r="M50" s="24" t="s">
        <v>1896</v>
      </c>
      <c r="N50" s="108" t="s">
        <v>102</v>
      </c>
      <c r="O50" s="45" t="s">
        <v>2858</v>
      </c>
      <c r="P50" s="24" t="s">
        <v>1896</v>
      </c>
      <c r="Q50" s="111" t="s">
        <v>2862</v>
      </c>
      <c r="R50" s="24" t="s">
        <v>1896</v>
      </c>
      <c r="S50" s="181" t="s">
        <v>2825</v>
      </c>
      <c r="T50" s="24" t="s">
        <v>1896</v>
      </c>
      <c r="U50" s="72" t="s">
        <v>110</v>
      </c>
      <c r="V50" s="72">
        <v>1</v>
      </c>
      <c r="W50" s="24" t="s">
        <v>1896</v>
      </c>
      <c r="X50" s="24" t="s">
        <v>1896</v>
      </c>
      <c r="Y50" s="210">
        <v>105.405528</v>
      </c>
      <c r="Z50" s="73">
        <v>0</v>
      </c>
      <c r="AA50" s="210">
        <v>105.405528</v>
      </c>
      <c r="AB50" s="24" t="s">
        <v>1896</v>
      </c>
      <c r="AC50" s="24" t="s">
        <v>1896</v>
      </c>
      <c r="AD50" s="24" t="s">
        <v>1896</v>
      </c>
      <c r="AE50" s="9" t="s">
        <v>4408</v>
      </c>
    </row>
    <row r="51" spans="1:31" s="128" customFormat="1" ht="27.95" customHeight="1" x14ac:dyDescent="0.15">
      <c r="A51" s="72">
        <v>49</v>
      </c>
      <c r="B51" s="72" t="s">
        <v>3087</v>
      </c>
      <c r="C51" s="72" t="s">
        <v>3088</v>
      </c>
      <c r="D51" s="72" t="s">
        <v>3088</v>
      </c>
      <c r="E51" s="72" t="s">
        <v>3088</v>
      </c>
      <c r="F51" s="72" t="s">
        <v>3088</v>
      </c>
      <c r="G51" s="72" t="s">
        <v>3088</v>
      </c>
      <c r="H51" s="21" t="s">
        <v>3090</v>
      </c>
      <c r="I51" s="21" t="s">
        <v>3089</v>
      </c>
      <c r="J51" s="121" t="s">
        <v>3091</v>
      </c>
      <c r="K51" s="72" t="s">
        <v>3088</v>
      </c>
      <c r="L51" s="72" t="s">
        <v>3088</v>
      </c>
      <c r="M51" s="72" t="s">
        <v>3088</v>
      </c>
      <c r="N51" s="121" t="s">
        <v>3092</v>
      </c>
      <c r="O51" s="21" t="s">
        <v>3093</v>
      </c>
      <c r="P51" s="72" t="s">
        <v>3088</v>
      </c>
      <c r="Q51" s="119" t="s">
        <v>3094</v>
      </c>
      <c r="R51" s="72" t="s">
        <v>3088</v>
      </c>
      <c r="S51" s="72" t="s">
        <v>3088</v>
      </c>
      <c r="T51" s="72" t="s">
        <v>3088</v>
      </c>
      <c r="U51" s="129" t="s">
        <v>3417</v>
      </c>
      <c r="V51" s="129">
        <v>0</v>
      </c>
      <c r="W51" s="72" t="s">
        <v>3088</v>
      </c>
      <c r="X51" s="72" t="s">
        <v>3088</v>
      </c>
      <c r="Y51" s="172">
        <v>2</v>
      </c>
      <c r="Z51" s="172">
        <v>0</v>
      </c>
      <c r="AA51" s="30">
        <v>2</v>
      </c>
      <c r="AB51" s="72" t="s">
        <v>3088</v>
      </c>
      <c r="AC51" s="72" t="s">
        <v>3088</v>
      </c>
      <c r="AD51" s="72" t="s">
        <v>3088</v>
      </c>
      <c r="AE51" s="129"/>
    </row>
    <row r="52" spans="1:31" s="128" customFormat="1" ht="27.95" customHeight="1" x14ac:dyDescent="0.15">
      <c r="A52" s="72">
        <v>50</v>
      </c>
      <c r="B52" s="72" t="s">
        <v>3087</v>
      </c>
      <c r="C52" s="72" t="s">
        <v>3088</v>
      </c>
      <c r="D52" s="72" t="s">
        <v>3088</v>
      </c>
      <c r="E52" s="72" t="s">
        <v>3088</v>
      </c>
      <c r="F52" s="72" t="s">
        <v>3088</v>
      </c>
      <c r="G52" s="72" t="s">
        <v>3088</v>
      </c>
      <c r="H52" s="21" t="s">
        <v>3090</v>
      </c>
      <c r="I52" s="21" t="s">
        <v>3095</v>
      </c>
      <c r="J52" s="121" t="s">
        <v>3096</v>
      </c>
      <c r="K52" s="72" t="s">
        <v>3088</v>
      </c>
      <c r="L52" s="72" t="s">
        <v>3088</v>
      </c>
      <c r="M52" s="72" t="s">
        <v>3088</v>
      </c>
      <c r="N52" s="121" t="s">
        <v>3092</v>
      </c>
      <c r="O52" s="21" t="s">
        <v>3093</v>
      </c>
      <c r="P52" s="72" t="s">
        <v>3088</v>
      </c>
      <c r="Q52" s="119" t="s">
        <v>3094</v>
      </c>
      <c r="R52" s="72" t="s">
        <v>3088</v>
      </c>
      <c r="S52" s="72" t="s">
        <v>3088</v>
      </c>
      <c r="T52" s="72" t="s">
        <v>3088</v>
      </c>
      <c r="U52" s="129" t="s">
        <v>3417</v>
      </c>
      <c r="V52" s="129">
        <v>0</v>
      </c>
      <c r="W52" s="72" t="s">
        <v>3088</v>
      </c>
      <c r="X52" s="72" t="s">
        <v>3088</v>
      </c>
      <c r="Y52" s="172">
        <v>3</v>
      </c>
      <c r="Z52" s="172">
        <v>0</v>
      </c>
      <c r="AA52" s="30">
        <v>3</v>
      </c>
      <c r="AB52" s="72" t="s">
        <v>3088</v>
      </c>
      <c r="AC52" s="72" t="s">
        <v>3088</v>
      </c>
      <c r="AD52" s="72" t="s">
        <v>3088</v>
      </c>
      <c r="AE52" s="129"/>
    </row>
    <row r="53" spans="1:31" s="154" customFormat="1" ht="27.95" customHeight="1" x14ac:dyDescent="0.15">
      <c r="A53" s="146"/>
      <c r="B53" s="146"/>
      <c r="C53" s="146"/>
      <c r="D53" s="146"/>
      <c r="E53" s="146"/>
      <c r="F53" s="146"/>
      <c r="G53" s="146"/>
      <c r="H53" s="146"/>
      <c r="I53" s="146"/>
      <c r="J53" s="146"/>
      <c r="K53" s="146"/>
      <c r="L53" s="146"/>
      <c r="M53" s="146"/>
      <c r="N53" s="174"/>
      <c r="O53" s="174"/>
      <c r="P53" s="146"/>
      <c r="Q53" s="146"/>
      <c r="R53" s="146"/>
      <c r="S53" s="146"/>
      <c r="T53" s="146"/>
      <c r="U53" s="146" t="s">
        <v>3393</v>
      </c>
      <c r="V53" s="146"/>
      <c r="W53" s="146"/>
      <c r="X53" s="146"/>
      <c r="Y53" s="176">
        <f>SUM(Y3:Y52)</f>
        <v>2072.2410279999995</v>
      </c>
      <c r="Z53" s="176">
        <f>SUM(Z3:Z52)</f>
        <v>206.3</v>
      </c>
      <c r="AA53" s="176">
        <f>SUM(AA3:AA52)</f>
        <v>2278.5410280000006</v>
      </c>
      <c r="AB53" s="146"/>
      <c r="AC53" s="146"/>
      <c r="AD53" s="146"/>
      <c r="AE53" s="146"/>
    </row>
  </sheetData>
  <autoFilter ref="A2:AD53" xr:uid="{00000000-0009-0000-0000-000009000000}"/>
  <mergeCells count="1">
    <mergeCell ref="A1:AD1"/>
  </mergeCells>
  <phoneticPr fontId="1"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64"/>
  <sheetViews>
    <sheetView zoomScaleNormal="100" workbookViewId="0">
      <pane xSplit="2" ySplit="2" topLeftCell="C45" activePane="bottomRight" state="frozen"/>
      <selection pane="topRight" activeCell="C1" sqref="C1"/>
      <selection pane="bottomLeft" activeCell="A3" sqref="A3"/>
      <selection pane="bottomRight" activeCell="M2" sqref="H1:M1048576"/>
    </sheetView>
  </sheetViews>
  <sheetFormatPr defaultRowHeight="24.95" customHeight="1" x14ac:dyDescent="0.15"/>
  <cols>
    <col min="1" max="1" width="6.375" style="38" customWidth="1"/>
    <col min="2" max="2" width="11" style="38" customWidth="1"/>
    <col min="3" max="3" width="12.875" style="38" customWidth="1"/>
    <col min="4" max="4" width="14.25" style="38" customWidth="1"/>
    <col min="5" max="5" width="12.125" style="38" customWidth="1"/>
    <col min="6" max="6" width="24.125" style="57" customWidth="1"/>
    <col min="7" max="7" width="23.875" style="57" customWidth="1"/>
    <col min="8" max="9" width="9" style="38"/>
    <col min="10" max="11" width="13.25" style="38" customWidth="1"/>
    <col min="12" max="13" width="14" style="38" customWidth="1"/>
    <col min="14" max="14" width="13.75" style="5" customWidth="1"/>
    <col min="15" max="15" width="25.125" style="69" customWidth="1"/>
    <col min="16" max="18" width="9" style="38"/>
    <col min="19" max="19" width="15.125" style="38" customWidth="1"/>
    <col min="20" max="20" width="9" style="38"/>
    <col min="21" max="21" width="14.625" style="38" customWidth="1"/>
    <col min="22" max="24" width="9" style="38"/>
    <col min="25" max="25" width="10.75" style="38" customWidth="1"/>
    <col min="26" max="26" width="11.25" style="38" customWidth="1"/>
    <col min="27" max="27" width="10.25" style="38" customWidth="1"/>
    <col min="28" max="28" width="9" style="38"/>
    <col min="29" max="29" width="11.375" style="38" customWidth="1"/>
    <col min="30" max="16384" width="9" style="38"/>
  </cols>
  <sheetData>
    <row r="1" spans="1:30" s="3" customFormat="1" ht="33" customHeight="1" x14ac:dyDescent="0.15">
      <c r="A1" s="1953" t="s">
        <v>2317</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0" s="4" customFormat="1" ht="27.9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8</v>
      </c>
      <c r="P2" s="25" t="s">
        <v>9</v>
      </c>
      <c r="Q2" s="25" t="s">
        <v>3342</v>
      </c>
      <c r="R2" s="25" t="s">
        <v>3343</v>
      </c>
      <c r="S2" s="25" t="s">
        <v>15</v>
      </c>
      <c r="T2" s="25" t="s">
        <v>16</v>
      </c>
      <c r="U2" s="32" t="s">
        <v>14</v>
      </c>
      <c r="V2" s="32" t="s">
        <v>13</v>
      </c>
      <c r="W2" s="25" t="s">
        <v>11</v>
      </c>
      <c r="X2" s="25" t="s">
        <v>12</v>
      </c>
      <c r="Y2" s="25" t="s">
        <v>429</v>
      </c>
      <c r="Z2" s="25" t="s">
        <v>430</v>
      </c>
      <c r="AA2" s="25" t="s">
        <v>431</v>
      </c>
      <c r="AB2" s="25" t="s">
        <v>2184</v>
      </c>
      <c r="AC2" s="25" t="s">
        <v>2185</v>
      </c>
      <c r="AD2" s="25" t="s">
        <v>2125</v>
      </c>
    </row>
    <row r="3" spans="1:30" s="46" customFormat="1" ht="24.95" customHeight="1" x14ac:dyDescent="0.15">
      <c r="A3" s="40">
        <v>1</v>
      </c>
      <c r="B3" s="71">
        <v>12001</v>
      </c>
      <c r="C3" s="71" t="s">
        <v>448</v>
      </c>
      <c r="D3" s="71" t="s">
        <v>448</v>
      </c>
      <c r="E3" s="71" t="s">
        <v>448</v>
      </c>
      <c r="F3" s="76" t="s">
        <v>1954</v>
      </c>
      <c r="G3" s="76" t="s">
        <v>1955</v>
      </c>
      <c r="H3" s="71" t="s">
        <v>1537</v>
      </c>
      <c r="I3" s="71" t="s">
        <v>1945</v>
      </c>
      <c r="J3" s="71" t="s">
        <v>1689</v>
      </c>
      <c r="K3" s="71" t="s">
        <v>448</v>
      </c>
      <c r="L3" s="71" t="s">
        <v>448</v>
      </c>
      <c r="M3" s="71" t="s">
        <v>448</v>
      </c>
      <c r="N3" s="71" t="s">
        <v>102</v>
      </c>
      <c r="O3" s="76" t="s">
        <v>1928</v>
      </c>
      <c r="P3" s="71" t="s">
        <v>448</v>
      </c>
      <c r="Q3" s="71" t="s">
        <v>1913</v>
      </c>
      <c r="R3" s="71" t="s">
        <v>1913</v>
      </c>
      <c r="S3" s="180" t="s">
        <v>2923</v>
      </c>
      <c r="T3" s="71" t="s">
        <v>448</v>
      </c>
      <c r="U3" s="72" t="s">
        <v>110</v>
      </c>
      <c r="V3" s="72">
        <v>1</v>
      </c>
      <c r="W3" s="71" t="s">
        <v>448</v>
      </c>
      <c r="X3" s="71" t="s">
        <v>448</v>
      </c>
      <c r="Y3" s="73">
        <v>173</v>
      </c>
      <c r="Z3" s="73">
        <v>32</v>
      </c>
      <c r="AA3" s="73">
        <v>205</v>
      </c>
      <c r="AB3" s="71" t="s">
        <v>448</v>
      </c>
      <c r="AC3" s="71" t="s">
        <v>448</v>
      </c>
      <c r="AD3" s="71" t="s">
        <v>448</v>
      </c>
    </row>
    <row r="4" spans="1:30" s="46" customFormat="1" ht="24.95" customHeight="1" x14ac:dyDescent="0.15">
      <c r="A4" s="40">
        <v>2</v>
      </c>
      <c r="B4" s="71">
        <v>12002</v>
      </c>
      <c r="C4" s="71" t="s">
        <v>448</v>
      </c>
      <c r="D4" s="71" t="s">
        <v>448</v>
      </c>
      <c r="E4" s="71" t="s">
        <v>448</v>
      </c>
      <c r="F4" s="76" t="s">
        <v>1172</v>
      </c>
      <c r="G4" s="76" t="s">
        <v>1956</v>
      </c>
      <c r="H4" s="71" t="s">
        <v>94</v>
      </c>
      <c r="I4" s="71" t="s">
        <v>112</v>
      </c>
      <c r="J4" s="71" t="s">
        <v>1600</v>
      </c>
      <c r="K4" s="71" t="s">
        <v>448</v>
      </c>
      <c r="L4" s="71" t="s">
        <v>448</v>
      </c>
      <c r="M4" s="71" t="s">
        <v>448</v>
      </c>
      <c r="N4" s="71" t="s">
        <v>102</v>
      </c>
      <c r="O4" s="76" t="s">
        <v>2186</v>
      </c>
      <c r="P4" s="71" t="s">
        <v>448</v>
      </c>
      <c r="Q4" s="71" t="s">
        <v>2187</v>
      </c>
      <c r="R4" s="71" t="s">
        <v>2187</v>
      </c>
      <c r="S4" s="180" t="s">
        <v>2924</v>
      </c>
      <c r="T4" s="71" t="s">
        <v>448</v>
      </c>
      <c r="U4" s="72" t="s">
        <v>110</v>
      </c>
      <c r="V4" s="72">
        <v>1</v>
      </c>
      <c r="W4" s="71" t="s">
        <v>448</v>
      </c>
      <c r="X4" s="71" t="s">
        <v>448</v>
      </c>
      <c r="Y4" s="73">
        <v>29.7</v>
      </c>
      <c r="Z4" s="73">
        <v>0</v>
      </c>
      <c r="AA4" s="73">
        <v>29.7</v>
      </c>
      <c r="AB4" s="71" t="s">
        <v>448</v>
      </c>
      <c r="AC4" s="71" t="s">
        <v>448</v>
      </c>
      <c r="AD4" s="71" t="s">
        <v>448</v>
      </c>
    </row>
    <row r="5" spans="1:30" s="46" customFormat="1" ht="24.95" customHeight="1" x14ac:dyDescent="0.15">
      <c r="A5" s="40">
        <v>3</v>
      </c>
      <c r="B5" s="71">
        <v>12003</v>
      </c>
      <c r="C5" s="71" t="s">
        <v>2189</v>
      </c>
      <c r="D5" s="71" t="s">
        <v>2189</v>
      </c>
      <c r="E5" s="71" t="s">
        <v>2189</v>
      </c>
      <c r="F5" s="76" t="s">
        <v>1954</v>
      </c>
      <c r="G5" s="76" t="s">
        <v>1955</v>
      </c>
      <c r="H5" s="71" t="s">
        <v>1537</v>
      </c>
      <c r="I5" s="71" t="s">
        <v>1945</v>
      </c>
      <c r="J5" s="71" t="s">
        <v>1946</v>
      </c>
      <c r="K5" s="71" t="s">
        <v>448</v>
      </c>
      <c r="L5" s="71" t="s">
        <v>448</v>
      </c>
      <c r="M5" s="71" t="s">
        <v>448</v>
      </c>
      <c r="N5" s="71" t="s">
        <v>102</v>
      </c>
      <c r="O5" s="76" t="s">
        <v>2186</v>
      </c>
      <c r="P5" s="71" t="s">
        <v>448</v>
      </c>
      <c r="Q5" s="71" t="s">
        <v>2190</v>
      </c>
      <c r="R5" s="71" t="s">
        <v>2190</v>
      </c>
      <c r="S5" s="180" t="s">
        <v>2925</v>
      </c>
      <c r="T5" s="71" t="s">
        <v>448</v>
      </c>
      <c r="U5" s="72" t="s">
        <v>110</v>
      </c>
      <c r="V5" s="72">
        <v>1</v>
      </c>
      <c r="W5" s="71" t="s">
        <v>448</v>
      </c>
      <c r="X5" s="71" t="s">
        <v>448</v>
      </c>
      <c r="Y5" s="73">
        <v>145.19999999999999</v>
      </c>
      <c r="Z5" s="73">
        <v>32</v>
      </c>
      <c r="AA5" s="73">
        <v>177.2</v>
      </c>
      <c r="AB5" s="71" t="s">
        <v>448</v>
      </c>
      <c r="AC5" s="71" t="s">
        <v>448</v>
      </c>
      <c r="AD5" s="71" t="s">
        <v>448</v>
      </c>
    </row>
    <row r="6" spans="1:30" s="46" customFormat="1" ht="24.95" customHeight="1" x14ac:dyDescent="0.15">
      <c r="A6" s="40">
        <v>4</v>
      </c>
      <c r="B6" s="71">
        <v>12004</v>
      </c>
      <c r="C6" s="71" t="s">
        <v>2189</v>
      </c>
      <c r="D6" s="71" t="s">
        <v>2189</v>
      </c>
      <c r="E6" s="71" t="s">
        <v>2189</v>
      </c>
      <c r="F6" s="76" t="s">
        <v>1318</v>
      </c>
      <c r="G6" s="76" t="s">
        <v>1957</v>
      </c>
      <c r="H6" s="71" t="s">
        <v>1419</v>
      </c>
      <c r="I6" s="71" t="s">
        <v>993</v>
      </c>
      <c r="J6" s="71" t="s">
        <v>1672</v>
      </c>
      <c r="K6" s="71" t="s">
        <v>448</v>
      </c>
      <c r="L6" s="71" t="s">
        <v>448</v>
      </c>
      <c r="M6" s="71" t="s">
        <v>448</v>
      </c>
      <c r="N6" s="71" t="s">
        <v>102</v>
      </c>
      <c r="O6" s="76" t="s">
        <v>851</v>
      </c>
      <c r="P6" s="71" t="s">
        <v>448</v>
      </c>
      <c r="Q6" s="71" t="s">
        <v>2191</v>
      </c>
      <c r="R6" s="71" t="s">
        <v>2191</v>
      </c>
      <c r="S6" s="180" t="s">
        <v>2926</v>
      </c>
      <c r="T6" s="71" t="s">
        <v>448</v>
      </c>
      <c r="U6" s="72" t="s">
        <v>110</v>
      </c>
      <c r="V6" s="72">
        <v>1</v>
      </c>
      <c r="W6" s="71" t="s">
        <v>448</v>
      </c>
      <c r="X6" s="71" t="s">
        <v>448</v>
      </c>
      <c r="Y6" s="73">
        <v>0</v>
      </c>
      <c r="Z6" s="73">
        <v>17</v>
      </c>
      <c r="AA6" s="73">
        <v>17</v>
      </c>
      <c r="AB6" s="71" t="s">
        <v>448</v>
      </c>
      <c r="AC6" s="71" t="s">
        <v>448</v>
      </c>
      <c r="AD6" s="71" t="s">
        <v>448</v>
      </c>
    </row>
    <row r="7" spans="1:30" s="46" customFormat="1" ht="24.95" customHeight="1" x14ac:dyDescent="0.15">
      <c r="A7" s="40">
        <v>5</v>
      </c>
      <c r="B7" s="71">
        <v>12005</v>
      </c>
      <c r="C7" s="71" t="s">
        <v>2189</v>
      </c>
      <c r="D7" s="71" t="s">
        <v>2189</v>
      </c>
      <c r="E7" s="71" t="s">
        <v>2189</v>
      </c>
      <c r="F7" s="76" t="s">
        <v>1237</v>
      </c>
      <c r="G7" s="76" t="s">
        <v>1958</v>
      </c>
      <c r="H7" s="71" t="s">
        <v>994</v>
      </c>
      <c r="I7" s="71" t="s">
        <v>1947</v>
      </c>
      <c r="J7" s="71" t="s">
        <v>1669</v>
      </c>
      <c r="K7" s="71" t="s">
        <v>448</v>
      </c>
      <c r="L7" s="71" t="s">
        <v>448</v>
      </c>
      <c r="M7" s="71" t="s">
        <v>448</v>
      </c>
      <c r="N7" s="71" t="s">
        <v>102</v>
      </c>
      <c r="O7" s="76" t="s">
        <v>2192</v>
      </c>
      <c r="P7" s="71" t="s">
        <v>448</v>
      </c>
      <c r="Q7" s="71" t="s">
        <v>2193</v>
      </c>
      <c r="R7" s="71" t="s">
        <v>2193</v>
      </c>
      <c r="S7" s="180" t="s">
        <v>2927</v>
      </c>
      <c r="T7" s="71" t="s">
        <v>448</v>
      </c>
      <c r="U7" s="72" t="s">
        <v>110</v>
      </c>
      <c r="V7" s="72">
        <v>1</v>
      </c>
      <c r="W7" s="71" t="s">
        <v>448</v>
      </c>
      <c r="X7" s="71" t="s">
        <v>448</v>
      </c>
      <c r="Y7" s="73">
        <v>49.75</v>
      </c>
      <c r="Z7" s="73">
        <v>0</v>
      </c>
      <c r="AA7" s="73">
        <v>49.75</v>
      </c>
      <c r="AB7" s="71" t="s">
        <v>448</v>
      </c>
      <c r="AC7" s="71" t="s">
        <v>448</v>
      </c>
      <c r="AD7" s="71" t="s">
        <v>448</v>
      </c>
    </row>
    <row r="8" spans="1:30" s="46" customFormat="1" ht="24.95" customHeight="1" x14ac:dyDescent="0.15">
      <c r="A8" s="40">
        <v>6</v>
      </c>
      <c r="B8" s="71">
        <v>12006</v>
      </c>
      <c r="C8" s="71" t="s">
        <v>2189</v>
      </c>
      <c r="D8" s="71" t="s">
        <v>2189</v>
      </c>
      <c r="E8" s="71" t="s">
        <v>2189</v>
      </c>
      <c r="F8" s="76" t="s">
        <v>1259</v>
      </c>
      <c r="G8" s="76" t="s">
        <v>2002</v>
      </c>
      <c r="H8" s="71" t="s">
        <v>1537</v>
      </c>
      <c r="I8" s="71" t="s">
        <v>112</v>
      </c>
      <c r="J8" s="71" t="s">
        <v>1701</v>
      </c>
      <c r="K8" s="71" t="s">
        <v>448</v>
      </c>
      <c r="L8" s="71" t="s">
        <v>448</v>
      </c>
      <c r="M8" s="71" t="s">
        <v>448</v>
      </c>
      <c r="N8" s="71" t="s">
        <v>102</v>
      </c>
      <c r="O8" s="76" t="s">
        <v>2194</v>
      </c>
      <c r="P8" s="71" t="s">
        <v>448</v>
      </c>
      <c r="Q8" s="71" t="s">
        <v>2190</v>
      </c>
      <c r="R8" s="71" t="s">
        <v>2190</v>
      </c>
      <c r="S8" s="180" t="s">
        <v>2928</v>
      </c>
      <c r="T8" s="71" t="s">
        <v>448</v>
      </c>
      <c r="U8" s="72" t="s">
        <v>108</v>
      </c>
      <c r="V8" s="72">
        <v>1</v>
      </c>
      <c r="W8" s="71" t="s">
        <v>448</v>
      </c>
      <c r="X8" s="71" t="s">
        <v>448</v>
      </c>
      <c r="Y8" s="73">
        <v>166</v>
      </c>
      <c r="Z8" s="73">
        <v>32</v>
      </c>
      <c r="AA8" s="73">
        <v>198</v>
      </c>
      <c r="AB8" s="71" t="s">
        <v>448</v>
      </c>
      <c r="AC8" s="71" t="s">
        <v>448</v>
      </c>
      <c r="AD8" s="71" t="s">
        <v>448</v>
      </c>
    </row>
    <row r="9" spans="1:30" s="46" customFormat="1" ht="24.95" customHeight="1" x14ac:dyDescent="0.15">
      <c r="A9" s="40">
        <v>7</v>
      </c>
      <c r="B9" s="71">
        <v>12007</v>
      </c>
      <c r="C9" s="71" t="s">
        <v>2189</v>
      </c>
      <c r="D9" s="71" t="s">
        <v>2189</v>
      </c>
      <c r="E9" s="71" t="s">
        <v>2189</v>
      </c>
      <c r="F9" s="76" t="s">
        <v>1959</v>
      </c>
      <c r="G9" s="76" t="s">
        <v>2003</v>
      </c>
      <c r="H9" s="71" t="s">
        <v>1537</v>
      </c>
      <c r="I9" s="71" t="s">
        <v>112</v>
      </c>
      <c r="J9" s="71" t="s">
        <v>1948</v>
      </c>
      <c r="K9" s="71" t="s">
        <v>448</v>
      </c>
      <c r="L9" s="71" t="s">
        <v>448</v>
      </c>
      <c r="M9" s="71" t="s">
        <v>448</v>
      </c>
      <c r="N9" s="71" t="s">
        <v>102</v>
      </c>
      <c r="O9" s="76" t="s">
        <v>2194</v>
      </c>
      <c r="P9" s="71" t="s">
        <v>448</v>
      </c>
      <c r="Q9" s="71" t="s">
        <v>2190</v>
      </c>
      <c r="R9" s="71" t="s">
        <v>2190</v>
      </c>
      <c r="S9" s="180" t="s">
        <v>2928</v>
      </c>
      <c r="T9" s="71" t="s">
        <v>448</v>
      </c>
      <c r="U9" s="72" t="s">
        <v>110</v>
      </c>
      <c r="V9" s="72">
        <v>1</v>
      </c>
      <c r="W9" s="71" t="s">
        <v>448</v>
      </c>
      <c r="X9" s="71" t="s">
        <v>448</v>
      </c>
      <c r="Y9" s="73">
        <v>166</v>
      </c>
      <c r="Z9" s="73">
        <v>32</v>
      </c>
      <c r="AA9" s="73">
        <v>198</v>
      </c>
      <c r="AB9" s="71" t="s">
        <v>448</v>
      </c>
      <c r="AC9" s="71" t="s">
        <v>448</v>
      </c>
      <c r="AD9" s="71" t="s">
        <v>448</v>
      </c>
    </row>
    <row r="10" spans="1:30" s="46" customFormat="1" ht="24.95" customHeight="1" x14ac:dyDescent="0.15">
      <c r="A10" s="40">
        <v>8</v>
      </c>
      <c r="B10" s="71">
        <v>12008</v>
      </c>
      <c r="C10" s="71" t="s">
        <v>2189</v>
      </c>
      <c r="D10" s="71" t="s">
        <v>2189</v>
      </c>
      <c r="E10" s="71" t="s">
        <v>2189</v>
      </c>
      <c r="F10" s="76" t="s">
        <v>1279</v>
      </c>
      <c r="G10" s="76" t="s">
        <v>1960</v>
      </c>
      <c r="H10" s="71" t="s">
        <v>94</v>
      </c>
      <c r="I10" s="71" t="s">
        <v>1895</v>
      </c>
      <c r="J10" s="71" t="s">
        <v>1712</v>
      </c>
      <c r="K10" s="71" t="s">
        <v>448</v>
      </c>
      <c r="L10" s="71" t="s">
        <v>448</v>
      </c>
      <c r="M10" s="71" t="s">
        <v>448</v>
      </c>
      <c r="N10" s="71" t="s">
        <v>102</v>
      </c>
      <c r="O10" s="76" t="s">
        <v>2196</v>
      </c>
      <c r="P10" s="71" t="s">
        <v>448</v>
      </c>
      <c r="Q10" s="71" t="s">
        <v>2191</v>
      </c>
      <c r="R10" s="71" t="s">
        <v>2191</v>
      </c>
      <c r="S10" s="180" t="s">
        <v>2929</v>
      </c>
      <c r="T10" s="71" t="s">
        <v>448</v>
      </c>
      <c r="U10" s="72" t="s">
        <v>110</v>
      </c>
      <c r="V10" s="72">
        <v>2</v>
      </c>
      <c r="W10" s="71" t="s">
        <v>448</v>
      </c>
      <c r="X10" s="71" t="s">
        <v>448</v>
      </c>
      <c r="Y10" s="73">
        <v>40</v>
      </c>
      <c r="Z10" s="73">
        <v>45</v>
      </c>
      <c r="AA10" s="73">
        <v>85</v>
      </c>
      <c r="AB10" s="71" t="s">
        <v>448</v>
      </c>
      <c r="AC10" s="71" t="s">
        <v>448</v>
      </c>
      <c r="AD10" s="71" t="s">
        <v>448</v>
      </c>
    </row>
    <row r="11" spans="1:30" s="46" customFormat="1" ht="24.95" customHeight="1" x14ac:dyDescent="0.15">
      <c r="A11" s="40">
        <v>9</v>
      </c>
      <c r="B11" s="71">
        <v>12009</v>
      </c>
      <c r="C11" s="71" t="s">
        <v>2189</v>
      </c>
      <c r="D11" s="71" t="s">
        <v>2189</v>
      </c>
      <c r="E11" s="71" t="s">
        <v>2189</v>
      </c>
      <c r="F11" s="76" t="s">
        <v>1283</v>
      </c>
      <c r="G11" s="76" t="s">
        <v>1961</v>
      </c>
      <c r="H11" s="71" t="s">
        <v>94</v>
      </c>
      <c r="I11" s="71" t="s">
        <v>1895</v>
      </c>
      <c r="J11" s="71" t="s">
        <v>1714</v>
      </c>
      <c r="K11" s="71" t="s">
        <v>448</v>
      </c>
      <c r="L11" s="71" t="s">
        <v>448</v>
      </c>
      <c r="M11" s="71" t="s">
        <v>448</v>
      </c>
      <c r="N11" s="71" t="s">
        <v>102</v>
      </c>
      <c r="O11" s="76" t="s">
        <v>2196</v>
      </c>
      <c r="P11" s="71" t="s">
        <v>448</v>
      </c>
      <c r="Q11" s="71" t="s">
        <v>2191</v>
      </c>
      <c r="R11" s="71" t="s">
        <v>2191</v>
      </c>
      <c r="S11" s="180" t="s">
        <v>2930</v>
      </c>
      <c r="T11" s="71" t="s">
        <v>448</v>
      </c>
      <c r="U11" s="72" t="s">
        <v>110</v>
      </c>
      <c r="V11" s="72">
        <v>2</v>
      </c>
      <c r="W11" s="71" t="s">
        <v>448</v>
      </c>
      <c r="X11" s="71" t="s">
        <v>448</v>
      </c>
      <c r="Y11" s="73">
        <v>40</v>
      </c>
      <c r="Z11" s="73">
        <v>45</v>
      </c>
      <c r="AA11" s="73">
        <v>85</v>
      </c>
      <c r="AB11" s="71" t="s">
        <v>448</v>
      </c>
      <c r="AC11" s="71" t="s">
        <v>448</v>
      </c>
      <c r="AD11" s="71" t="s">
        <v>448</v>
      </c>
    </row>
    <row r="12" spans="1:30" s="46" customFormat="1" ht="24.95" customHeight="1" x14ac:dyDescent="0.15">
      <c r="A12" s="40">
        <v>10</v>
      </c>
      <c r="B12" s="71">
        <v>12010</v>
      </c>
      <c r="C12" s="71" t="s">
        <v>2189</v>
      </c>
      <c r="D12" s="71" t="s">
        <v>2189</v>
      </c>
      <c r="E12" s="71" t="s">
        <v>2189</v>
      </c>
      <c r="F12" s="76" t="s">
        <v>1244</v>
      </c>
      <c r="G12" s="76" t="s">
        <v>1897</v>
      </c>
      <c r="H12" s="71" t="s">
        <v>94</v>
      </c>
      <c r="I12" s="71" t="s">
        <v>1540</v>
      </c>
      <c r="J12" s="71" t="s">
        <v>1693</v>
      </c>
      <c r="K12" s="71" t="s">
        <v>448</v>
      </c>
      <c r="L12" s="71" t="s">
        <v>448</v>
      </c>
      <c r="M12" s="71" t="s">
        <v>448</v>
      </c>
      <c r="N12" s="71" t="s">
        <v>102</v>
      </c>
      <c r="O12" s="76" t="s">
        <v>2197</v>
      </c>
      <c r="P12" s="71" t="s">
        <v>448</v>
      </c>
      <c r="Q12" s="71" t="s">
        <v>2187</v>
      </c>
      <c r="R12" s="71" t="s">
        <v>2187</v>
      </c>
      <c r="S12" s="180" t="s">
        <v>2931</v>
      </c>
      <c r="T12" s="71" t="s">
        <v>448</v>
      </c>
      <c r="U12" s="72" t="s">
        <v>110</v>
      </c>
      <c r="V12" s="72">
        <v>1</v>
      </c>
      <c r="W12" s="71" t="s">
        <v>448</v>
      </c>
      <c r="X12" s="71" t="s">
        <v>448</v>
      </c>
      <c r="Y12" s="73">
        <v>29.8</v>
      </c>
      <c r="Z12" s="73">
        <v>0</v>
      </c>
      <c r="AA12" s="73">
        <v>29.8</v>
      </c>
      <c r="AB12" s="71" t="s">
        <v>448</v>
      </c>
      <c r="AC12" s="71" t="s">
        <v>448</v>
      </c>
      <c r="AD12" s="71" t="s">
        <v>448</v>
      </c>
    </row>
    <row r="13" spans="1:30" s="46" customFormat="1" ht="24.95" customHeight="1" x14ac:dyDescent="0.15">
      <c r="A13" s="40">
        <v>11</v>
      </c>
      <c r="B13" s="71">
        <v>12011</v>
      </c>
      <c r="C13" s="71" t="s">
        <v>2189</v>
      </c>
      <c r="D13" s="71" t="s">
        <v>2189</v>
      </c>
      <c r="E13" s="71" t="s">
        <v>2189</v>
      </c>
      <c r="F13" s="76" t="s">
        <v>86</v>
      </c>
      <c r="G13" s="76" t="s">
        <v>1962</v>
      </c>
      <c r="H13" s="71" t="s">
        <v>94</v>
      </c>
      <c r="I13" s="71" t="s">
        <v>1416</v>
      </c>
      <c r="J13" s="71" t="s">
        <v>1667</v>
      </c>
      <c r="K13" s="71" t="s">
        <v>448</v>
      </c>
      <c r="L13" s="71" t="s">
        <v>448</v>
      </c>
      <c r="M13" s="71" t="s">
        <v>448</v>
      </c>
      <c r="N13" s="71" t="s">
        <v>102</v>
      </c>
      <c r="O13" s="76" t="s">
        <v>851</v>
      </c>
      <c r="P13" s="71" t="s">
        <v>448</v>
      </c>
      <c r="Q13" s="71" t="s">
        <v>2198</v>
      </c>
      <c r="R13" s="71" t="s">
        <v>2198</v>
      </c>
      <c r="S13" s="180" t="s">
        <v>2932</v>
      </c>
      <c r="T13" s="71" t="s">
        <v>448</v>
      </c>
      <c r="U13" s="72" t="s">
        <v>110</v>
      </c>
      <c r="V13" s="72">
        <v>1</v>
      </c>
      <c r="W13" s="71" t="s">
        <v>448</v>
      </c>
      <c r="X13" s="71" t="s">
        <v>448</v>
      </c>
      <c r="Y13" s="73">
        <v>0</v>
      </c>
      <c r="Z13" s="73">
        <v>14.5</v>
      </c>
      <c r="AA13" s="73">
        <v>14.5</v>
      </c>
      <c r="AB13" s="71" t="s">
        <v>448</v>
      </c>
      <c r="AC13" s="71" t="s">
        <v>448</v>
      </c>
      <c r="AD13" s="71" t="s">
        <v>448</v>
      </c>
    </row>
    <row r="14" spans="1:30" s="46" customFormat="1" ht="24.95" customHeight="1" x14ac:dyDescent="0.15">
      <c r="A14" s="40">
        <v>12</v>
      </c>
      <c r="B14" s="71">
        <v>12012</v>
      </c>
      <c r="C14" s="71" t="s">
        <v>2200</v>
      </c>
      <c r="D14" s="71" t="s">
        <v>2200</v>
      </c>
      <c r="E14" s="71" t="s">
        <v>2200</v>
      </c>
      <c r="F14" s="76" t="s">
        <v>1303</v>
      </c>
      <c r="G14" s="76" t="s">
        <v>1963</v>
      </c>
      <c r="H14" s="71" t="s">
        <v>94</v>
      </c>
      <c r="I14" s="71" t="s">
        <v>1416</v>
      </c>
      <c r="J14" s="71" t="s">
        <v>1667</v>
      </c>
      <c r="K14" s="71" t="s">
        <v>448</v>
      </c>
      <c r="L14" s="71" t="s">
        <v>448</v>
      </c>
      <c r="M14" s="71" t="s">
        <v>448</v>
      </c>
      <c r="N14" s="71" t="s">
        <v>102</v>
      </c>
      <c r="O14" s="76" t="s">
        <v>851</v>
      </c>
      <c r="P14" s="71" t="s">
        <v>448</v>
      </c>
      <c r="Q14" s="71" t="s">
        <v>2198</v>
      </c>
      <c r="R14" s="71" t="s">
        <v>2198</v>
      </c>
      <c r="S14" s="180" t="s">
        <v>2932</v>
      </c>
      <c r="T14" s="71" t="s">
        <v>448</v>
      </c>
      <c r="U14" s="72" t="s">
        <v>110</v>
      </c>
      <c r="V14" s="72">
        <v>1</v>
      </c>
      <c r="W14" s="71" t="s">
        <v>448</v>
      </c>
      <c r="X14" s="71" t="s">
        <v>448</v>
      </c>
      <c r="Y14" s="73">
        <v>0</v>
      </c>
      <c r="Z14" s="73">
        <v>14.5</v>
      </c>
      <c r="AA14" s="73">
        <v>14.5</v>
      </c>
      <c r="AB14" s="71" t="s">
        <v>448</v>
      </c>
      <c r="AC14" s="71" t="s">
        <v>448</v>
      </c>
      <c r="AD14" s="71" t="s">
        <v>448</v>
      </c>
    </row>
    <row r="15" spans="1:30" s="46" customFormat="1" ht="24.95" customHeight="1" x14ac:dyDescent="0.15">
      <c r="A15" s="40">
        <v>13</v>
      </c>
      <c r="B15" s="71">
        <v>12013</v>
      </c>
      <c r="C15" s="71" t="s">
        <v>2200</v>
      </c>
      <c r="D15" s="71" t="s">
        <v>2200</v>
      </c>
      <c r="E15" s="71" t="s">
        <v>2200</v>
      </c>
      <c r="F15" s="76" t="s">
        <v>1341</v>
      </c>
      <c r="G15" s="76" t="s">
        <v>1964</v>
      </c>
      <c r="H15" s="71" t="s">
        <v>1419</v>
      </c>
      <c r="I15" s="71" t="s">
        <v>22</v>
      </c>
      <c r="J15" s="71" t="s">
        <v>1678</v>
      </c>
      <c r="K15" s="71" t="s">
        <v>448</v>
      </c>
      <c r="L15" s="71" t="s">
        <v>448</v>
      </c>
      <c r="M15" s="71" t="s">
        <v>448</v>
      </c>
      <c r="N15" s="71" t="s">
        <v>102</v>
      </c>
      <c r="O15" s="76" t="s">
        <v>2201</v>
      </c>
      <c r="P15" s="71" t="s">
        <v>448</v>
      </c>
      <c r="Q15" s="71" t="s">
        <v>2198</v>
      </c>
      <c r="R15" s="71" t="s">
        <v>2198</v>
      </c>
      <c r="S15" s="181">
        <v>2012.5</v>
      </c>
      <c r="T15" s="71" t="s">
        <v>448</v>
      </c>
      <c r="U15" s="72" t="s">
        <v>110</v>
      </c>
      <c r="V15" s="72">
        <v>1</v>
      </c>
      <c r="W15" s="71" t="s">
        <v>448</v>
      </c>
      <c r="X15" s="71" t="s">
        <v>448</v>
      </c>
      <c r="Y15" s="73">
        <v>19</v>
      </c>
      <c r="Z15" s="73">
        <v>0</v>
      </c>
      <c r="AA15" s="73">
        <v>19</v>
      </c>
      <c r="AB15" s="71" t="s">
        <v>448</v>
      </c>
      <c r="AC15" s="71" t="s">
        <v>448</v>
      </c>
      <c r="AD15" s="71" t="s">
        <v>448</v>
      </c>
    </row>
    <row r="16" spans="1:30" s="46" customFormat="1" ht="24.95" customHeight="1" x14ac:dyDescent="0.15">
      <c r="A16" s="40">
        <v>14</v>
      </c>
      <c r="B16" s="71">
        <v>12014</v>
      </c>
      <c r="C16" s="71" t="s">
        <v>2200</v>
      </c>
      <c r="D16" s="71" t="s">
        <v>2200</v>
      </c>
      <c r="E16" s="71" t="s">
        <v>2200</v>
      </c>
      <c r="F16" s="76" t="s">
        <v>1965</v>
      </c>
      <c r="G16" s="76" t="s">
        <v>1966</v>
      </c>
      <c r="H16" s="71" t="s">
        <v>1923</v>
      </c>
      <c r="I16" s="71" t="s">
        <v>22</v>
      </c>
      <c r="J16" s="71" t="s">
        <v>1949</v>
      </c>
      <c r="K16" s="71" t="s">
        <v>448</v>
      </c>
      <c r="L16" s="71" t="s">
        <v>448</v>
      </c>
      <c r="M16" s="71" t="s">
        <v>448</v>
      </c>
      <c r="N16" s="71" t="s">
        <v>102</v>
      </c>
      <c r="O16" s="76" t="s">
        <v>2202</v>
      </c>
      <c r="P16" s="71" t="s">
        <v>448</v>
      </c>
      <c r="Q16" s="71" t="s">
        <v>2203</v>
      </c>
      <c r="R16" s="71" t="s">
        <v>2203</v>
      </c>
      <c r="S16" s="181" t="s">
        <v>2933</v>
      </c>
      <c r="T16" s="71" t="s">
        <v>448</v>
      </c>
      <c r="U16" s="72" t="s">
        <v>110</v>
      </c>
      <c r="V16" s="72">
        <v>1</v>
      </c>
      <c r="W16" s="71" t="s">
        <v>448</v>
      </c>
      <c r="X16" s="71" t="s">
        <v>448</v>
      </c>
      <c r="Y16" s="73">
        <v>74.989999999999995</v>
      </c>
      <c r="Z16" s="73">
        <v>15</v>
      </c>
      <c r="AA16" s="73">
        <v>89.99</v>
      </c>
      <c r="AB16" s="71" t="s">
        <v>448</v>
      </c>
      <c r="AC16" s="71" t="s">
        <v>448</v>
      </c>
      <c r="AD16" s="71" t="s">
        <v>448</v>
      </c>
    </row>
    <row r="17" spans="1:30" s="46" customFormat="1" ht="24.95" customHeight="1" x14ac:dyDescent="0.15">
      <c r="A17" s="40">
        <v>15</v>
      </c>
      <c r="B17" s="71">
        <v>12015</v>
      </c>
      <c r="C17" s="71" t="s">
        <v>2200</v>
      </c>
      <c r="D17" s="71" t="s">
        <v>2200</v>
      </c>
      <c r="E17" s="71" t="s">
        <v>2200</v>
      </c>
      <c r="F17" s="76" t="s">
        <v>1267</v>
      </c>
      <c r="G17" s="76" t="s">
        <v>1967</v>
      </c>
      <c r="H17" s="71" t="s">
        <v>1537</v>
      </c>
      <c r="I17" s="71" t="s">
        <v>1895</v>
      </c>
      <c r="J17" s="71" t="s">
        <v>1706</v>
      </c>
      <c r="K17" s="71" t="s">
        <v>448</v>
      </c>
      <c r="L17" s="71" t="s">
        <v>448</v>
      </c>
      <c r="M17" s="71" t="s">
        <v>448</v>
      </c>
      <c r="N17" s="71" t="s">
        <v>102</v>
      </c>
      <c r="O17" s="76" t="s">
        <v>2202</v>
      </c>
      <c r="P17" s="71" t="s">
        <v>448</v>
      </c>
      <c r="Q17" s="71" t="s">
        <v>2204</v>
      </c>
      <c r="R17" s="71" t="s">
        <v>2204</v>
      </c>
      <c r="S17" s="181" t="s">
        <v>2934</v>
      </c>
      <c r="T17" s="71" t="s">
        <v>448</v>
      </c>
      <c r="U17" s="72" t="s">
        <v>110</v>
      </c>
      <c r="V17" s="72">
        <v>1</v>
      </c>
      <c r="W17" s="71" t="s">
        <v>448</v>
      </c>
      <c r="X17" s="71" t="s">
        <v>448</v>
      </c>
      <c r="Y17" s="73">
        <v>204</v>
      </c>
      <c r="Z17" s="73">
        <v>16</v>
      </c>
      <c r="AA17" s="73">
        <v>220</v>
      </c>
      <c r="AB17" s="71" t="s">
        <v>448</v>
      </c>
      <c r="AC17" s="71" t="s">
        <v>448</v>
      </c>
      <c r="AD17" s="71" t="s">
        <v>448</v>
      </c>
    </row>
    <row r="18" spans="1:30" s="46" customFormat="1" ht="24.95" customHeight="1" x14ac:dyDescent="0.15">
      <c r="A18" s="40">
        <v>16</v>
      </c>
      <c r="B18" s="71">
        <v>12016</v>
      </c>
      <c r="C18" s="71" t="s">
        <v>2200</v>
      </c>
      <c r="D18" s="71" t="s">
        <v>2200</v>
      </c>
      <c r="E18" s="71" t="s">
        <v>2200</v>
      </c>
      <c r="F18" s="76" t="s">
        <v>1207</v>
      </c>
      <c r="G18" s="76" t="s">
        <v>1968</v>
      </c>
      <c r="H18" s="71" t="s">
        <v>94</v>
      </c>
      <c r="I18" s="71" t="s">
        <v>993</v>
      </c>
      <c r="J18" s="71" t="s">
        <v>1673</v>
      </c>
      <c r="K18" s="71" t="s">
        <v>448</v>
      </c>
      <c r="L18" s="71" t="s">
        <v>448</v>
      </c>
      <c r="M18" s="71" t="s">
        <v>448</v>
      </c>
      <c r="N18" s="71" t="s">
        <v>102</v>
      </c>
      <c r="O18" s="76" t="s">
        <v>2205</v>
      </c>
      <c r="P18" s="71" t="s">
        <v>448</v>
      </c>
      <c r="Q18" s="71" t="s">
        <v>2191</v>
      </c>
      <c r="R18" s="71" t="s">
        <v>2191</v>
      </c>
      <c r="S18" s="181">
        <v>2012.4</v>
      </c>
      <c r="T18" s="71" t="s">
        <v>448</v>
      </c>
      <c r="U18" s="72" t="s">
        <v>110</v>
      </c>
      <c r="V18" s="72">
        <v>2</v>
      </c>
      <c r="W18" s="71" t="s">
        <v>448</v>
      </c>
      <c r="X18" s="71" t="s">
        <v>448</v>
      </c>
      <c r="Y18" s="73">
        <v>69</v>
      </c>
      <c r="Z18" s="73">
        <v>0</v>
      </c>
      <c r="AA18" s="73">
        <v>69</v>
      </c>
      <c r="AB18" s="71" t="s">
        <v>448</v>
      </c>
      <c r="AC18" s="71" t="s">
        <v>448</v>
      </c>
      <c r="AD18" s="71" t="s">
        <v>448</v>
      </c>
    </row>
    <row r="19" spans="1:30" s="46" customFormat="1" ht="24.95" customHeight="1" x14ac:dyDescent="0.15">
      <c r="A19" s="40">
        <v>17</v>
      </c>
      <c r="B19" s="71">
        <v>12017</v>
      </c>
      <c r="C19" s="71" t="s">
        <v>2189</v>
      </c>
      <c r="D19" s="71" t="s">
        <v>2189</v>
      </c>
      <c r="E19" s="71" t="s">
        <v>2189</v>
      </c>
      <c r="F19" s="76" t="s">
        <v>1205</v>
      </c>
      <c r="G19" s="76" t="s">
        <v>1969</v>
      </c>
      <c r="H19" s="71" t="s">
        <v>94</v>
      </c>
      <c r="I19" s="71" t="s">
        <v>993</v>
      </c>
      <c r="J19" s="71" t="s">
        <v>1627</v>
      </c>
      <c r="K19" s="71" t="s">
        <v>448</v>
      </c>
      <c r="L19" s="71" t="s">
        <v>448</v>
      </c>
      <c r="M19" s="71" t="s">
        <v>448</v>
      </c>
      <c r="N19" s="71" t="s">
        <v>102</v>
      </c>
      <c r="O19" s="76" t="s">
        <v>2205</v>
      </c>
      <c r="P19" s="71" t="s">
        <v>448</v>
      </c>
      <c r="Q19" s="71" t="s">
        <v>2191</v>
      </c>
      <c r="R19" s="71" t="s">
        <v>2191</v>
      </c>
      <c r="S19" s="181">
        <v>2012.4</v>
      </c>
      <c r="T19" s="71" t="s">
        <v>448</v>
      </c>
      <c r="U19" s="72" t="s">
        <v>110</v>
      </c>
      <c r="V19" s="72">
        <v>2</v>
      </c>
      <c r="W19" s="71" t="s">
        <v>448</v>
      </c>
      <c r="X19" s="71" t="s">
        <v>448</v>
      </c>
      <c r="Y19" s="73">
        <v>73.195999999999998</v>
      </c>
      <c r="Z19" s="73">
        <v>0</v>
      </c>
      <c r="AA19" s="73">
        <v>73.195999999999998</v>
      </c>
      <c r="AB19" s="71" t="s">
        <v>448</v>
      </c>
      <c r="AC19" s="71" t="s">
        <v>448</v>
      </c>
      <c r="AD19" s="71" t="s">
        <v>448</v>
      </c>
    </row>
    <row r="20" spans="1:30" s="46" customFormat="1" ht="24.95" customHeight="1" x14ac:dyDescent="0.15">
      <c r="A20" s="40">
        <v>18</v>
      </c>
      <c r="B20" s="71">
        <v>12018</v>
      </c>
      <c r="C20" s="71" t="s">
        <v>2189</v>
      </c>
      <c r="D20" s="71" t="s">
        <v>2189</v>
      </c>
      <c r="E20" s="71" t="s">
        <v>2189</v>
      </c>
      <c r="F20" s="76" t="s">
        <v>1203</v>
      </c>
      <c r="G20" s="76" t="s">
        <v>1970</v>
      </c>
      <c r="H20" s="71" t="s">
        <v>94</v>
      </c>
      <c r="I20" s="71" t="s">
        <v>993</v>
      </c>
      <c r="J20" s="71" t="s">
        <v>1626</v>
      </c>
      <c r="K20" s="71" t="s">
        <v>448</v>
      </c>
      <c r="L20" s="71" t="s">
        <v>448</v>
      </c>
      <c r="M20" s="71" t="s">
        <v>448</v>
      </c>
      <c r="N20" s="71" t="s">
        <v>102</v>
      </c>
      <c r="O20" s="76" t="s">
        <v>2206</v>
      </c>
      <c r="P20" s="71" t="s">
        <v>448</v>
      </c>
      <c r="Q20" s="71" t="s">
        <v>2207</v>
      </c>
      <c r="R20" s="71" t="s">
        <v>2207</v>
      </c>
      <c r="S20" s="181">
        <v>2012.4</v>
      </c>
      <c r="T20" s="71" t="s">
        <v>448</v>
      </c>
      <c r="U20" s="72" t="s">
        <v>110</v>
      </c>
      <c r="V20" s="72">
        <v>2</v>
      </c>
      <c r="W20" s="71" t="s">
        <v>448</v>
      </c>
      <c r="X20" s="71" t="s">
        <v>448</v>
      </c>
      <c r="Y20" s="73">
        <v>42.585000000000001</v>
      </c>
      <c r="Z20" s="73">
        <v>0</v>
      </c>
      <c r="AA20" s="73">
        <v>42.585000000000001</v>
      </c>
      <c r="AB20" s="71" t="s">
        <v>448</v>
      </c>
      <c r="AC20" s="71" t="s">
        <v>448</v>
      </c>
      <c r="AD20" s="71" t="s">
        <v>448</v>
      </c>
    </row>
    <row r="21" spans="1:30" s="46" customFormat="1" ht="24.95" customHeight="1" x14ac:dyDescent="0.15">
      <c r="A21" s="40">
        <v>19</v>
      </c>
      <c r="B21" s="71">
        <v>12019</v>
      </c>
      <c r="C21" s="71" t="s">
        <v>2209</v>
      </c>
      <c r="D21" s="71" t="s">
        <v>2209</v>
      </c>
      <c r="E21" s="71" t="s">
        <v>2209</v>
      </c>
      <c r="F21" s="76" t="s">
        <v>1203</v>
      </c>
      <c r="G21" s="76" t="s">
        <v>2004</v>
      </c>
      <c r="H21" s="71" t="s">
        <v>94</v>
      </c>
      <c r="I21" s="71" t="s">
        <v>993</v>
      </c>
      <c r="J21" s="71" t="s">
        <v>1626</v>
      </c>
      <c r="K21" s="71" t="s">
        <v>448</v>
      </c>
      <c r="L21" s="71" t="s">
        <v>448</v>
      </c>
      <c r="M21" s="71" t="s">
        <v>448</v>
      </c>
      <c r="N21" s="71" t="s">
        <v>102</v>
      </c>
      <c r="O21" s="76" t="s">
        <v>2210</v>
      </c>
      <c r="P21" s="71" t="s">
        <v>448</v>
      </c>
      <c r="Q21" s="71" t="s">
        <v>2207</v>
      </c>
      <c r="R21" s="71" t="s">
        <v>2207</v>
      </c>
      <c r="S21" s="181" t="s">
        <v>2934</v>
      </c>
      <c r="T21" s="71" t="s">
        <v>448</v>
      </c>
      <c r="U21" s="72" t="s">
        <v>110</v>
      </c>
      <c r="V21" s="72">
        <v>1</v>
      </c>
      <c r="W21" s="71" t="s">
        <v>448</v>
      </c>
      <c r="X21" s="71" t="s">
        <v>448</v>
      </c>
      <c r="Y21" s="73">
        <v>10</v>
      </c>
      <c r="Z21" s="73">
        <v>0</v>
      </c>
      <c r="AA21" s="73">
        <v>10</v>
      </c>
      <c r="AB21" s="71" t="s">
        <v>448</v>
      </c>
      <c r="AC21" s="71" t="s">
        <v>448</v>
      </c>
      <c r="AD21" s="71" t="s">
        <v>448</v>
      </c>
    </row>
    <row r="22" spans="1:30" s="46" customFormat="1" ht="24.95" customHeight="1" x14ac:dyDescent="0.15">
      <c r="A22" s="40">
        <v>20</v>
      </c>
      <c r="B22" s="71">
        <v>12020</v>
      </c>
      <c r="C22" s="71" t="s">
        <v>2209</v>
      </c>
      <c r="D22" s="71" t="s">
        <v>2209</v>
      </c>
      <c r="E22" s="71" t="s">
        <v>2209</v>
      </c>
      <c r="F22" s="76" t="s">
        <v>1940</v>
      </c>
      <c r="G22" s="76" t="s">
        <v>1971</v>
      </c>
      <c r="H22" s="71" t="s">
        <v>1419</v>
      </c>
      <c r="I22" s="71" t="s">
        <v>1540</v>
      </c>
      <c r="J22" s="71" t="s">
        <v>1915</v>
      </c>
      <c r="K22" s="71" t="s">
        <v>448</v>
      </c>
      <c r="L22" s="71" t="s">
        <v>448</v>
      </c>
      <c r="M22" s="71" t="s">
        <v>448</v>
      </c>
      <c r="N22" s="71" t="s">
        <v>102</v>
      </c>
      <c r="O22" s="76" t="s">
        <v>2211</v>
      </c>
      <c r="P22" s="71" t="s">
        <v>448</v>
      </c>
      <c r="Q22" s="71" t="s">
        <v>2212</v>
      </c>
      <c r="R22" s="71" t="s">
        <v>2212</v>
      </c>
      <c r="S22" s="181">
        <v>2012.6</v>
      </c>
      <c r="T22" s="71" t="s">
        <v>448</v>
      </c>
      <c r="U22" s="72" t="s">
        <v>110</v>
      </c>
      <c r="V22" s="72">
        <v>1</v>
      </c>
      <c r="W22" s="71" t="s">
        <v>448</v>
      </c>
      <c r="X22" s="71" t="s">
        <v>448</v>
      </c>
      <c r="Y22" s="73">
        <v>7.8</v>
      </c>
      <c r="Z22" s="73">
        <v>0</v>
      </c>
      <c r="AA22" s="73">
        <v>7.8</v>
      </c>
      <c r="AB22" s="71" t="s">
        <v>448</v>
      </c>
      <c r="AC22" s="71" t="s">
        <v>448</v>
      </c>
      <c r="AD22" s="71" t="s">
        <v>448</v>
      </c>
    </row>
    <row r="23" spans="1:30" s="46" customFormat="1" ht="24.95" customHeight="1" x14ac:dyDescent="0.15">
      <c r="A23" s="40">
        <v>21</v>
      </c>
      <c r="B23" s="71">
        <v>12021</v>
      </c>
      <c r="C23" s="71" t="s">
        <v>2214</v>
      </c>
      <c r="D23" s="71" t="s">
        <v>2214</v>
      </c>
      <c r="E23" s="71" t="s">
        <v>2214</v>
      </c>
      <c r="F23" s="76" t="s">
        <v>1303</v>
      </c>
      <c r="G23" s="76" t="s">
        <v>1972</v>
      </c>
      <c r="H23" s="71" t="s">
        <v>94</v>
      </c>
      <c r="I23" s="71" t="s">
        <v>1416</v>
      </c>
      <c r="J23" s="71" t="s">
        <v>1667</v>
      </c>
      <c r="K23" s="71" t="s">
        <v>448</v>
      </c>
      <c r="L23" s="71" t="s">
        <v>448</v>
      </c>
      <c r="M23" s="71" t="s">
        <v>448</v>
      </c>
      <c r="N23" s="71" t="s">
        <v>102</v>
      </c>
      <c r="O23" s="76" t="s">
        <v>2215</v>
      </c>
      <c r="P23" s="71" t="s">
        <v>448</v>
      </c>
      <c r="Q23" s="71" t="s">
        <v>2198</v>
      </c>
      <c r="R23" s="71" t="s">
        <v>2198</v>
      </c>
      <c r="S23" s="181" t="s">
        <v>2935</v>
      </c>
      <c r="T23" s="71" t="s">
        <v>448</v>
      </c>
      <c r="U23" s="72" t="s">
        <v>110</v>
      </c>
      <c r="V23" s="72">
        <v>1</v>
      </c>
      <c r="W23" s="71" t="s">
        <v>448</v>
      </c>
      <c r="X23" s="71" t="s">
        <v>448</v>
      </c>
      <c r="Y23" s="73">
        <v>76.7</v>
      </c>
      <c r="Z23" s="73">
        <v>0</v>
      </c>
      <c r="AA23" s="73">
        <v>76.7</v>
      </c>
      <c r="AB23" s="71" t="s">
        <v>448</v>
      </c>
      <c r="AC23" s="71" t="s">
        <v>448</v>
      </c>
      <c r="AD23" s="71" t="s">
        <v>448</v>
      </c>
    </row>
    <row r="24" spans="1:30" s="46" customFormat="1" ht="24.95" customHeight="1" x14ac:dyDescent="0.15">
      <c r="A24" s="40">
        <v>22</v>
      </c>
      <c r="B24" s="71">
        <v>12022</v>
      </c>
      <c r="C24" s="71" t="s">
        <v>2200</v>
      </c>
      <c r="D24" s="71" t="s">
        <v>2200</v>
      </c>
      <c r="E24" s="71" t="s">
        <v>2200</v>
      </c>
      <c r="F24" s="76" t="s">
        <v>1170</v>
      </c>
      <c r="G24" s="76" t="s">
        <v>1973</v>
      </c>
      <c r="H24" s="71" t="s">
        <v>94</v>
      </c>
      <c r="I24" s="71" t="s">
        <v>112</v>
      </c>
      <c r="J24" s="71" t="s">
        <v>1664</v>
      </c>
      <c r="K24" s="71" t="s">
        <v>448</v>
      </c>
      <c r="L24" s="71" t="s">
        <v>448</v>
      </c>
      <c r="M24" s="71" t="s">
        <v>448</v>
      </c>
      <c r="N24" s="71" t="s">
        <v>102</v>
      </c>
      <c r="O24" s="76" t="s">
        <v>2192</v>
      </c>
      <c r="P24" s="71" t="s">
        <v>448</v>
      </c>
      <c r="Q24" s="71" t="s">
        <v>2191</v>
      </c>
      <c r="R24" s="71" t="s">
        <v>2191</v>
      </c>
      <c r="S24" s="181" t="s">
        <v>2924</v>
      </c>
      <c r="T24" s="71" t="s">
        <v>448</v>
      </c>
      <c r="U24" s="72" t="s">
        <v>110</v>
      </c>
      <c r="V24" s="72">
        <v>2</v>
      </c>
      <c r="W24" s="71" t="s">
        <v>448</v>
      </c>
      <c r="X24" s="71" t="s">
        <v>448</v>
      </c>
      <c r="Y24" s="73">
        <v>51</v>
      </c>
      <c r="Z24" s="73">
        <v>0</v>
      </c>
      <c r="AA24" s="73">
        <v>51</v>
      </c>
      <c r="AB24" s="71" t="s">
        <v>448</v>
      </c>
      <c r="AC24" s="71" t="s">
        <v>448</v>
      </c>
      <c r="AD24" s="71" t="s">
        <v>448</v>
      </c>
    </row>
    <row r="25" spans="1:30" s="46" customFormat="1" ht="24.95" customHeight="1" x14ac:dyDescent="0.15">
      <c r="A25" s="40">
        <v>23</v>
      </c>
      <c r="B25" s="71">
        <v>12023</v>
      </c>
      <c r="C25" s="71" t="s">
        <v>2189</v>
      </c>
      <c r="D25" s="71" t="s">
        <v>2189</v>
      </c>
      <c r="E25" s="71" t="s">
        <v>2189</v>
      </c>
      <c r="F25" s="76" t="s">
        <v>1174</v>
      </c>
      <c r="G25" s="76" t="s">
        <v>1974</v>
      </c>
      <c r="H25" s="71" t="s">
        <v>94</v>
      </c>
      <c r="I25" s="71" t="s">
        <v>112</v>
      </c>
      <c r="J25" s="71" t="s">
        <v>1601</v>
      </c>
      <c r="K25" s="71" t="s">
        <v>448</v>
      </c>
      <c r="L25" s="71" t="s">
        <v>448</v>
      </c>
      <c r="M25" s="71" t="s">
        <v>448</v>
      </c>
      <c r="N25" s="71" t="s">
        <v>102</v>
      </c>
      <c r="O25" s="76" t="s">
        <v>2216</v>
      </c>
      <c r="P25" s="71" t="s">
        <v>448</v>
      </c>
      <c r="Q25" s="71" t="s">
        <v>2217</v>
      </c>
      <c r="R25" s="71" t="s">
        <v>2217</v>
      </c>
      <c r="S25" s="181" t="s">
        <v>2924</v>
      </c>
      <c r="T25" s="71" t="s">
        <v>448</v>
      </c>
      <c r="U25" s="72" t="s">
        <v>110</v>
      </c>
      <c r="V25" s="72">
        <v>1</v>
      </c>
      <c r="W25" s="71" t="s">
        <v>448</v>
      </c>
      <c r="X25" s="71" t="s">
        <v>448</v>
      </c>
      <c r="Y25" s="73">
        <v>29.7</v>
      </c>
      <c r="Z25" s="73">
        <v>0</v>
      </c>
      <c r="AA25" s="73">
        <v>29.7</v>
      </c>
      <c r="AB25" s="71" t="s">
        <v>448</v>
      </c>
      <c r="AC25" s="71" t="s">
        <v>448</v>
      </c>
      <c r="AD25" s="71" t="s">
        <v>448</v>
      </c>
    </row>
    <row r="26" spans="1:30" s="46" customFormat="1" ht="24.95" customHeight="1" x14ac:dyDescent="0.15">
      <c r="A26" s="40">
        <v>24</v>
      </c>
      <c r="B26" s="71">
        <v>12024</v>
      </c>
      <c r="C26" s="71" t="s">
        <v>2209</v>
      </c>
      <c r="D26" s="71" t="s">
        <v>2209</v>
      </c>
      <c r="E26" s="71" t="s">
        <v>2209</v>
      </c>
      <c r="F26" s="76" t="s">
        <v>848</v>
      </c>
      <c r="G26" s="76" t="s">
        <v>1975</v>
      </c>
      <c r="H26" s="71" t="s">
        <v>1508</v>
      </c>
      <c r="I26" s="71" t="s">
        <v>819</v>
      </c>
      <c r="J26" s="71" t="s">
        <v>853</v>
      </c>
      <c r="K26" s="71" t="s">
        <v>448</v>
      </c>
      <c r="L26" s="71" t="s">
        <v>448</v>
      </c>
      <c r="M26" s="71" t="s">
        <v>448</v>
      </c>
      <c r="N26" s="71" t="s">
        <v>102</v>
      </c>
      <c r="O26" s="76" t="s">
        <v>2218</v>
      </c>
      <c r="P26" s="71" t="s">
        <v>448</v>
      </c>
      <c r="Q26" s="71" t="s">
        <v>2219</v>
      </c>
      <c r="R26" s="71" t="s">
        <v>2219</v>
      </c>
      <c r="S26" s="180" t="s">
        <v>2936</v>
      </c>
      <c r="T26" s="71" t="s">
        <v>448</v>
      </c>
      <c r="U26" s="72" t="s">
        <v>110</v>
      </c>
      <c r="V26" s="72">
        <v>2</v>
      </c>
      <c r="W26" s="71" t="s">
        <v>448</v>
      </c>
      <c r="X26" s="71" t="s">
        <v>448</v>
      </c>
      <c r="Y26" s="73">
        <v>42.53</v>
      </c>
      <c r="Z26" s="73">
        <v>0</v>
      </c>
      <c r="AA26" s="73">
        <v>42.53</v>
      </c>
      <c r="AB26" s="71" t="s">
        <v>448</v>
      </c>
      <c r="AC26" s="71" t="s">
        <v>448</v>
      </c>
      <c r="AD26" s="71" t="s">
        <v>448</v>
      </c>
    </row>
    <row r="27" spans="1:30" s="46" customFormat="1" ht="24.95" customHeight="1" x14ac:dyDescent="0.15">
      <c r="A27" s="40">
        <v>25</v>
      </c>
      <c r="B27" s="71">
        <v>12025</v>
      </c>
      <c r="C27" s="71" t="s">
        <v>2209</v>
      </c>
      <c r="D27" s="71" t="s">
        <v>2209</v>
      </c>
      <c r="E27" s="71" t="s">
        <v>2209</v>
      </c>
      <c r="F27" s="76" t="s">
        <v>1933</v>
      </c>
      <c r="G27" s="76" t="s">
        <v>1976</v>
      </c>
      <c r="H27" s="71" t="s">
        <v>1487</v>
      </c>
      <c r="I27" s="71" t="s">
        <v>22</v>
      </c>
      <c r="J27" s="71" t="s">
        <v>1914</v>
      </c>
      <c r="K27" s="71" t="s">
        <v>448</v>
      </c>
      <c r="L27" s="71" t="s">
        <v>448</v>
      </c>
      <c r="M27" s="71" t="s">
        <v>448</v>
      </c>
      <c r="N27" s="71" t="s">
        <v>102</v>
      </c>
      <c r="O27" s="76" t="s">
        <v>463</v>
      </c>
      <c r="P27" s="71" t="s">
        <v>448</v>
      </c>
      <c r="Q27" s="71" t="s">
        <v>2207</v>
      </c>
      <c r="R27" s="71" t="s">
        <v>2207</v>
      </c>
      <c r="S27" s="180" t="s">
        <v>2937</v>
      </c>
      <c r="T27" s="71" t="s">
        <v>448</v>
      </c>
      <c r="U27" s="72" t="s">
        <v>110</v>
      </c>
      <c r="V27" s="72">
        <v>1</v>
      </c>
      <c r="W27" s="71" t="s">
        <v>448</v>
      </c>
      <c r="X27" s="71" t="s">
        <v>448</v>
      </c>
      <c r="Y27" s="73">
        <v>15.98</v>
      </c>
      <c r="Z27" s="73">
        <v>0</v>
      </c>
      <c r="AA27" s="73">
        <v>15.98</v>
      </c>
      <c r="AB27" s="71" t="s">
        <v>448</v>
      </c>
      <c r="AC27" s="71" t="s">
        <v>448</v>
      </c>
      <c r="AD27" s="71" t="s">
        <v>448</v>
      </c>
    </row>
    <row r="28" spans="1:30" s="46" customFormat="1" ht="24.95" customHeight="1" x14ac:dyDescent="0.15">
      <c r="A28" s="40">
        <v>26</v>
      </c>
      <c r="B28" s="71">
        <v>12026</v>
      </c>
      <c r="C28" s="71" t="s">
        <v>2209</v>
      </c>
      <c r="D28" s="71" t="s">
        <v>2209</v>
      </c>
      <c r="E28" s="71" t="s">
        <v>2209</v>
      </c>
      <c r="F28" s="76" t="s">
        <v>1251</v>
      </c>
      <c r="G28" s="76" t="s">
        <v>1977</v>
      </c>
      <c r="H28" s="71" t="s">
        <v>94</v>
      </c>
      <c r="I28" s="71" t="s">
        <v>993</v>
      </c>
      <c r="J28" s="71" t="s">
        <v>1627</v>
      </c>
      <c r="K28" s="71" t="s">
        <v>448</v>
      </c>
      <c r="L28" s="71" t="s">
        <v>448</v>
      </c>
      <c r="M28" s="71" t="s">
        <v>448</v>
      </c>
      <c r="N28" s="71" t="s">
        <v>102</v>
      </c>
      <c r="O28" s="76" t="s">
        <v>2205</v>
      </c>
      <c r="P28" s="71" t="s">
        <v>448</v>
      </c>
      <c r="Q28" s="71" t="s">
        <v>2191</v>
      </c>
      <c r="R28" s="71" t="s">
        <v>2191</v>
      </c>
      <c r="S28" s="180" t="s">
        <v>2938</v>
      </c>
      <c r="T28" s="71" t="s">
        <v>448</v>
      </c>
      <c r="U28" s="72" t="s">
        <v>110</v>
      </c>
      <c r="V28" s="72">
        <v>2</v>
      </c>
      <c r="W28" s="71" t="s">
        <v>448</v>
      </c>
      <c r="X28" s="71" t="s">
        <v>448</v>
      </c>
      <c r="Y28" s="73">
        <v>63.1</v>
      </c>
      <c r="Z28" s="73">
        <v>0</v>
      </c>
      <c r="AA28" s="73">
        <v>63.1</v>
      </c>
      <c r="AB28" s="71" t="s">
        <v>448</v>
      </c>
      <c r="AC28" s="71" t="s">
        <v>448</v>
      </c>
      <c r="AD28" s="71" t="s">
        <v>448</v>
      </c>
    </row>
    <row r="29" spans="1:30" s="46" customFormat="1" ht="24.95" customHeight="1" x14ac:dyDescent="0.15">
      <c r="A29" s="40">
        <v>27</v>
      </c>
      <c r="B29" s="71">
        <v>12027</v>
      </c>
      <c r="C29" s="71" t="s">
        <v>2189</v>
      </c>
      <c r="D29" s="71" t="s">
        <v>2189</v>
      </c>
      <c r="E29" s="71" t="s">
        <v>2189</v>
      </c>
      <c r="F29" s="76" t="s">
        <v>1172</v>
      </c>
      <c r="G29" s="76" t="s">
        <v>1978</v>
      </c>
      <c r="H29" s="71" t="s">
        <v>94</v>
      </c>
      <c r="I29" s="71" t="s">
        <v>112</v>
      </c>
      <c r="J29" s="71" t="s">
        <v>1600</v>
      </c>
      <c r="K29" s="71" t="s">
        <v>448</v>
      </c>
      <c r="L29" s="71" t="s">
        <v>448</v>
      </c>
      <c r="M29" s="71" t="s">
        <v>448</v>
      </c>
      <c r="N29" s="71" t="s">
        <v>102</v>
      </c>
      <c r="O29" s="76" t="s">
        <v>2220</v>
      </c>
      <c r="P29" s="71" t="s">
        <v>448</v>
      </c>
      <c r="Q29" s="71" t="s">
        <v>2187</v>
      </c>
      <c r="R29" s="71" t="s">
        <v>2187</v>
      </c>
      <c r="S29" s="180" t="s">
        <v>2939</v>
      </c>
      <c r="T29" s="71" t="s">
        <v>448</v>
      </c>
      <c r="U29" s="72" t="s">
        <v>110</v>
      </c>
      <c r="V29" s="72">
        <v>1</v>
      </c>
      <c r="W29" s="71" t="s">
        <v>448</v>
      </c>
      <c r="X29" s="71" t="s">
        <v>448</v>
      </c>
      <c r="Y29" s="73">
        <v>56.8</v>
      </c>
      <c r="Z29" s="73">
        <v>0</v>
      </c>
      <c r="AA29" s="73">
        <v>56.8</v>
      </c>
      <c r="AB29" s="71" t="s">
        <v>448</v>
      </c>
      <c r="AC29" s="71" t="s">
        <v>448</v>
      </c>
      <c r="AD29" s="71" t="s">
        <v>448</v>
      </c>
    </row>
    <row r="30" spans="1:30" s="46" customFormat="1" ht="24.95" customHeight="1" x14ac:dyDescent="0.15">
      <c r="A30" s="40">
        <v>28</v>
      </c>
      <c r="B30" s="71">
        <v>12028</v>
      </c>
      <c r="C30" s="71" t="s">
        <v>2189</v>
      </c>
      <c r="D30" s="71" t="s">
        <v>2189</v>
      </c>
      <c r="E30" s="71" t="s">
        <v>2189</v>
      </c>
      <c r="F30" s="76" t="s">
        <v>1174</v>
      </c>
      <c r="G30" s="76" t="s">
        <v>1979</v>
      </c>
      <c r="H30" s="71" t="s">
        <v>94</v>
      </c>
      <c r="I30" s="71" t="s">
        <v>112</v>
      </c>
      <c r="J30" s="71" t="s">
        <v>1601</v>
      </c>
      <c r="K30" s="71" t="s">
        <v>448</v>
      </c>
      <c r="L30" s="71" t="s">
        <v>448</v>
      </c>
      <c r="M30" s="71" t="s">
        <v>448</v>
      </c>
      <c r="N30" s="71" t="s">
        <v>102</v>
      </c>
      <c r="O30" s="76" t="s">
        <v>2221</v>
      </c>
      <c r="P30" s="71" t="s">
        <v>448</v>
      </c>
      <c r="Q30" s="71" t="s">
        <v>2217</v>
      </c>
      <c r="R30" s="71" t="s">
        <v>2217</v>
      </c>
      <c r="S30" s="180" t="s">
        <v>2939</v>
      </c>
      <c r="T30" s="71" t="s">
        <v>448</v>
      </c>
      <c r="U30" s="72" t="s">
        <v>110</v>
      </c>
      <c r="V30" s="72">
        <v>1</v>
      </c>
      <c r="W30" s="71" t="s">
        <v>448</v>
      </c>
      <c r="X30" s="71" t="s">
        <v>448</v>
      </c>
      <c r="Y30" s="73">
        <v>59.3</v>
      </c>
      <c r="Z30" s="73">
        <v>0</v>
      </c>
      <c r="AA30" s="73">
        <v>59.3</v>
      </c>
      <c r="AB30" s="71" t="s">
        <v>448</v>
      </c>
      <c r="AC30" s="71" t="s">
        <v>448</v>
      </c>
      <c r="AD30" s="71" t="s">
        <v>448</v>
      </c>
    </row>
    <row r="31" spans="1:30" s="46" customFormat="1" ht="24.95" customHeight="1" x14ac:dyDescent="0.15">
      <c r="A31" s="40">
        <v>29</v>
      </c>
      <c r="B31" s="71">
        <v>12029</v>
      </c>
      <c r="C31" s="71" t="s">
        <v>2209</v>
      </c>
      <c r="D31" s="71" t="s">
        <v>2209</v>
      </c>
      <c r="E31" s="71" t="s">
        <v>2209</v>
      </c>
      <c r="F31" s="76" t="s">
        <v>1980</v>
      </c>
      <c r="G31" s="76" t="s">
        <v>1981</v>
      </c>
      <c r="H31" s="71" t="s">
        <v>1537</v>
      </c>
      <c r="I31" s="71" t="s">
        <v>1540</v>
      </c>
      <c r="J31" s="71" t="s">
        <v>1950</v>
      </c>
      <c r="K31" s="71" t="s">
        <v>448</v>
      </c>
      <c r="L31" s="71" t="s">
        <v>448</v>
      </c>
      <c r="M31" s="71" t="s">
        <v>448</v>
      </c>
      <c r="N31" s="71" t="s">
        <v>102</v>
      </c>
      <c r="O31" s="76" t="s">
        <v>2222</v>
      </c>
      <c r="P31" s="71" t="s">
        <v>448</v>
      </c>
      <c r="Q31" s="71" t="s">
        <v>2223</v>
      </c>
      <c r="R31" s="71" t="s">
        <v>2223</v>
      </c>
      <c r="S31" s="181" t="s">
        <v>2940</v>
      </c>
      <c r="T31" s="71" t="s">
        <v>448</v>
      </c>
      <c r="U31" s="72" t="s">
        <v>110</v>
      </c>
      <c r="V31" s="72">
        <v>2</v>
      </c>
      <c r="W31" s="71" t="s">
        <v>448</v>
      </c>
      <c r="X31" s="71" t="s">
        <v>448</v>
      </c>
      <c r="Y31" s="73">
        <v>166</v>
      </c>
      <c r="Z31" s="73">
        <v>32</v>
      </c>
      <c r="AA31" s="73">
        <v>198</v>
      </c>
      <c r="AB31" s="71" t="s">
        <v>448</v>
      </c>
      <c r="AC31" s="71" t="s">
        <v>448</v>
      </c>
      <c r="AD31" s="71" t="s">
        <v>448</v>
      </c>
    </row>
    <row r="32" spans="1:30" s="46" customFormat="1" ht="24.95" customHeight="1" x14ac:dyDescent="0.15">
      <c r="A32" s="40">
        <v>30</v>
      </c>
      <c r="B32" s="71">
        <v>12030</v>
      </c>
      <c r="C32" s="71" t="s">
        <v>2209</v>
      </c>
      <c r="D32" s="71" t="s">
        <v>2209</v>
      </c>
      <c r="E32" s="71" t="s">
        <v>2209</v>
      </c>
      <c r="F32" s="76" t="s">
        <v>1329</v>
      </c>
      <c r="G32" s="76" t="s">
        <v>1982</v>
      </c>
      <c r="H32" s="71" t="s">
        <v>1419</v>
      </c>
      <c r="I32" s="71" t="s">
        <v>1416</v>
      </c>
      <c r="J32" s="71" t="s">
        <v>1632</v>
      </c>
      <c r="K32" s="71" t="s">
        <v>448</v>
      </c>
      <c r="L32" s="71" t="s">
        <v>448</v>
      </c>
      <c r="M32" s="71" t="s">
        <v>448</v>
      </c>
      <c r="N32" s="71" t="s">
        <v>102</v>
      </c>
      <c r="O32" s="76" t="s">
        <v>2224</v>
      </c>
      <c r="P32" s="71" t="s">
        <v>448</v>
      </c>
      <c r="Q32" s="71" t="s">
        <v>2207</v>
      </c>
      <c r="R32" s="71" t="s">
        <v>2207</v>
      </c>
      <c r="S32" s="180" t="s">
        <v>2941</v>
      </c>
      <c r="T32" s="71" t="s">
        <v>448</v>
      </c>
      <c r="U32" s="72" t="s">
        <v>110</v>
      </c>
      <c r="V32" s="72">
        <v>1</v>
      </c>
      <c r="W32" s="71" t="s">
        <v>448</v>
      </c>
      <c r="X32" s="71" t="s">
        <v>448</v>
      </c>
      <c r="Y32" s="73">
        <v>75.05</v>
      </c>
      <c r="Z32" s="73">
        <v>0</v>
      </c>
      <c r="AA32" s="73">
        <v>75.05</v>
      </c>
      <c r="AB32" s="71" t="s">
        <v>448</v>
      </c>
      <c r="AC32" s="71" t="s">
        <v>448</v>
      </c>
      <c r="AD32" s="71" t="s">
        <v>448</v>
      </c>
    </row>
    <row r="33" spans="1:30" s="46" customFormat="1" ht="24.95" customHeight="1" x14ac:dyDescent="0.15">
      <c r="A33" s="40">
        <v>31</v>
      </c>
      <c r="B33" s="71">
        <v>12031</v>
      </c>
      <c r="C33" s="71" t="s">
        <v>2209</v>
      </c>
      <c r="D33" s="71" t="s">
        <v>2209</v>
      </c>
      <c r="E33" s="71" t="s">
        <v>2209</v>
      </c>
      <c r="F33" s="76" t="s">
        <v>1318</v>
      </c>
      <c r="G33" s="76" t="s">
        <v>1318</v>
      </c>
      <c r="H33" s="71" t="s">
        <v>1419</v>
      </c>
      <c r="I33" s="71" t="s">
        <v>993</v>
      </c>
      <c r="J33" s="71" t="s">
        <v>1672</v>
      </c>
      <c r="K33" s="71" t="s">
        <v>448</v>
      </c>
      <c r="L33" s="71" t="s">
        <v>448</v>
      </c>
      <c r="M33" s="71" t="s">
        <v>448</v>
      </c>
      <c r="N33" s="71" t="s">
        <v>102</v>
      </c>
      <c r="O33" s="76" t="s">
        <v>2225</v>
      </c>
      <c r="P33" s="71" t="s">
        <v>448</v>
      </c>
      <c r="Q33" s="71" t="s">
        <v>2207</v>
      </c>
      <c r="R33" s="71" t="s">
        <v>2207</v>
      </c>
      <c r="S33" s="181">
        <v>2012.5</v>
      </c>
      <c r="T33" s="71" t="s">
        <v>448</v>
      </c>
      <c r="U33" s="72" t="s">
        <v>110</v>
      </c>
      <c r="V33" s="72">
        <v>2</v>
      </c>
      <c r="W33" s="71" t="s">
        <v>448</v>
      </c>
      <c r="X33" s="71" t="s">
        <v>448</v>
      </c>
      <c r="Y33" s="73">
        <v>9</v>
      </c>
      <c r="Z33" s="73">
        <v>0</v>
      </c>
      <c r="AA33" s="73">
        <v>9</v>
      </c>
      <c r="AB33" s="71" t="s">
        <v>448</v>
      </c>
      <c r="AC33" s="71" t="s">
        <v>448</v>
      </c>
      <c r="AD33" s="71" t="s">
        <v>448</v>
      </c>
    </row>
    <row r="34" spans="1:30" s="46" customFormat="1" ht="24.95" customHeight="1" x14ac:dyDescent="0.15">
      <c r="A34" s="40">
        <v>32</v>
      </c>
      <c r="B34" s="71">
        <v>12032</v>
      </c>
      <c r="C34" s="71" t="s">
        <v>2209</v>
      </c>
      <c r="D34" s="71" t="s">
        <v>2209</v>
      </c>
      <c r="E34" s="71" t="s">
        <v>2209</v>
      </c>
      <c r="F34" s="76" t="s">
        <v>1983</v>
      </c>
      <c r="G34" s="76" t="s">
        <v>1984</v>
      </c>
      <c r="H34" s="71" t="s">
        <v>94</v>
      </c>
      <c r="I34" s="71" t="s">
        <v>1895</v>
      </c>
      <c r="J34" s="71" t="s">
        <v>1710</v>
      </c>
      <c r="K34" s="71" t="s">
        <v>448</v>
      </c>
      <c r="L34" s="71" t="s">
        <v>448</v>
      </c>
      <c r="M34" s="71" t="s">
        <v>448</v>
      </c>
      <c r="N34" s="71" t="s">
        <v>102</v>
      </c>
      <c r="O34" s="76" t="s">
        <v>2225</v>
      </c>
      <c r="P34" s="71" t="s">
        <v>448</v>
      </c>
      <c r="Q34" s="71" t="s">
        <v>2207</v>
      </c>
      <c r="R34" s="71" t="s">
        <v>2207</v>
      </c>
      <c r="S34" s="180" t="s">
        <v>2942</v>
      </c>
      <c r="T34" s="71" t="s">
        <v>448</v>
      </c>
      <c r="U34" s="72" t="s">
        <v>110</v>
      </c>
      <c r="V34" s="72">
        <v>1</v>
      </c>
      <c r="W34" s="71" t="s">
        <v>448</v>
      </c>
      <c r="X34" s="71" t="s">
        <v>448</v>
      </c>
      <c r="Y34" s="73">
        <v>20.3</v>
      </c>
      <c r="Z34" s="73">
        <v>0</v>
      </c>
      <c r="AA34" s="73">
        <v>20.3</v>
      </c>
      <c r="AB34" s="71" t="s">
        <v>448</v>
      </c>
      <c r="AC34" s="71" t="s">
        <v>448</v>
      </c>
      <c r="AD34" s="71" t="s">
        <v>448</v>
      </c>
    </row>
    <row r="35" spans="1:30" s="46" customFormat="1" ht="24.95" customHeight="1" x14ac:dyDescent="0.15">
      <c r="A35" s="40">
        <v>33</v>
      </c>
      <c r="B35" s="71">
        <v>12033</v>
      </c>
      <c r="C35" s="71" t="s">
        <v>2209</v>
      </c>
      <c r="D35" s="71" t="s">
        <v>2209</v>
      </c>
      <c r="E35" s="71" t="s">
        <v>2209</v>
      </c>
      <c r="F35" s="76" t="s">
        <v>1275</v>
      </c>
      <c r="G35" s="76" t="s">
        <v>1984</v>
      </c>
      <c r="H35" s="71" t="s">
        <v>94</v>
      </c>
      <c r="I35" s="71" t="s">
        <v>1895</v>
      </c>
      <c r="J35" s="71" t="s">
        <v>1710</v>
      </c>
      <c r="K35" s="71" t="s">
        <v>448</v>
      </c>
      <c r="L35" s="71" t="s">
        <v>448</v>
      </c>
      <c r="M35" s="71" t="s">
        <v>448</v>
      </c>
      <c r="N35" s="71" t="s">
        <v>102</v>
      </c>
      <c r="O35" s="76" t="s">
        <v>2225</v>
      </c>
      <c r="P35" s="71" t="s">
        <v>448</v>
      </c>
      <c r="Q35" s="71" t="s">
        <v>2207</v>
      </c>
      <c r="R35" s="71" t="s">
        <v>2207</v>
      </c>
      <c r="S35" s="180" t="s">
        <v>2942</v>
      </c>
      <c r="T35" s="71" t="s">
        <v>448</v>
      </c>
      <c r="U35" s="72" t="s">
        <v>110</v>
      </c>
      <c r="V35" s="72">
        <v>1</v>
      </c>
      <c r="W35" s="71" t="s">
        <v>448</v>
      </c>
      <c r="X35" s="71" t="s">
        <v>448</v>
      </c>
      <c r="Y35" s="73">
        <v>8.3000000000000007</v>
      </c>
      <c r="Z35" s="73">
        <v>0</v>
      </c>
      <c r="AA35" s="73">
        <v>8.3000000000000007</v>
      </c>
      <c r="AB35" s="71" t="s">
        <v>448</v>
      </c>
      <c r="AC35" s="71" t="s">
        <v>448</v>
      </c>
      <c r="AD35" s="71" t="s">
        <v>448</v>
      </c>
    </row>
    <row r="36" spans="1:30" s="46" customFormat="1" ht="24.95" customHeight="1" x14ac:dyDescent="0.15">
      <c r="A36" s="40">
        <v>34</v>
      </c>
      <c r="B36" s="71">
        <v>12034</v>
      </c>
      <c r="C36" s="71" t="s">
        <v>2209</v>
      </c>
      <c r="D36" s="71" t="s">
        <v>2209</v>
      </c>
      <c r="E36" s="71" t="s">
        <v>2209</v>
      </c>
      <c r="F36" s="76" t="s">
        <v>1289</v>
      </c>
      <c r="G36" s="76" t="s">
        <v>1984</v>
      </c>
      <c r="H36" s="71" t="s">
        <v>94</v>
      </c>
      <c r="I36" s="71" t="s">
        <v>1895</v>
      </c>
      <c r="J36" s="71" t="s">
        <v>1717</v>
      </c>
      <c r="K36" s="71" t="s">
        <v>448</v>
      </c>
      <c r="L36" s="71" t="s">
        <v>448</v>
      </c>
      <c r="M36" s="71" t="s">
        <v>448</v>
      </c>
      <c r="N36" s="71" t="s">
        <v>102</v>
      </c>
      <c r="O36" s="76" t="s">
        <v>2225</v>
      </c>
      <c r="P36" s="71" t="s">
        <v>448</v>
      </c>
      <c r="Q36" s="71" t="s">
        <v>2207</v>
      </c>
      <c r="R36" s="71" t="s">
        <v>2207</v>
      </c>
      <c r="S36" s="180" t="s">
        <v>2942</v>
      </c>
      <c r="T36" s="71" t="s">
        <v>448</v>
      </c>
      <c r="U36" s="72" t="s">
        <v>110</v>
      </c>
      <c r="V36" s="72">
        <v>1</v>
      </c>
      <c r="W36" s="71" t="s">
        <v>448</v>
      </c>
      <c r="X36" s="71" t="s">
        <v>448</v>
      </c>
      <c r="Y36" s="73">
        <v>24.84</v>
      </c>
      <c r="Z36" s="73">
        <v>0</v>
      </c>
      <c r="AA36" s="73">
        <v>24.84</v>
      </c>
      <c r="AB36" s="71" t="s">
        <v>448</v>
      </c>
      <c r="AC36" s="71" t="s">
        <v>448</v>
      </c>
      <c r="AD36" s="71" t="s">
        <v>448</v>
      </c>
    </row>
    <row r="37" spans="1:30" s="46" customFormat="1" ht="24.95" customHeight="1" x14ac:dyDescent="0.15">
      <c r="A37" s="40">
        <v>35</v>
      </c>
      <c r="B37" s="71">
        <v>12035</v>
      </c>
      <c r="C37" s="71" t="s">
        <v>2209</v>
      </c>
      <c r="D37" s="71" t="s">
        <v>2209</v>
      </c>
      <c r="E37" s="71" t="s">
        <v>2209</v>
      </c>
      <c r="F37" s="76" t="s">
        <v>1931</v>
      </c>
      <c r="G37" s="76" t="s">
        <v>1984</v>
      </c>
      <c r="H37" s="71" t="s">
        <v>94</v>
      </c>
      <c r="I37" s="71" t="s">
        <v>1895</v>
      </c>
      <c r="J37" s="71" t="s">
        <v>1910</v>
      </c>
      <c r="K37" s="71" t="s">
        <v>448</v>
      </c>
      <c r="L37" s="71" t="s">
        <v>448</v>
      </c>
      <c r="M37" s="71" t="s">
        <v>448</v>
      </c>
      <c r="N37" s="71" t="s">
        <v>102</v>
      </c>
      <c r="O37" s="76" t="s">
        <v>2225</v>
      </c>
      <c r="P37" s="71" t="s">
        <v>448</v>
      </c>
      <c r="Q37" s="71" t="s">
        <v>2207</v>
      </c>
      <c r="R37" s="71" t="s">
        <v>2207</v>
      </c>
      <c r="S37" s="180" t="s">
        <v>2942</v>
      </c>
      <c r="T37" s="71" t="s">
        <v>448</v>
      </c>
      <c r="U37" s="72" t="s">
        <v>110</v>
      </c>
      <c r="V37" s="72">
        <v>1</v>
      </c>
      <c r="W37" s="71" t="s">
        <v>448</v>
      </c>
      <c r="X37" s="71" t="s">
        <v>448</v>
      </c>
      <c r="Y37" s="73">
        <v>25.3</v>
      </c>
      <c r="Z37" s="73">
        <v>0</v>
      </c>
      <c r="AA37" s="73">
        <v>25.3</v>
      </c>
      <c r="AB37" s="71" t="s">
        <v>448</v>
      </c>
      <c r="AC37" s="71" t="s">
        <v>448</v>
      </c>
      <c r="AD37" s="71" t="s">
        <v>448</v>
      </c>
    </row>
    <row r="38" spans="1:30" s="46" customFormat="1" ht="24.95" customHeight="1" x14ac:dyDescent="0.15">
      <c r="A38" s="40">
        <v>36</v>
      </c>
      <c r="B38" s="71">
        <v>12036</v>
      </c>
      <c r="C38" s="71" t="s">
        <v>2209</v>
      </c>
      <c r="D38" s="71" t="s">
        <v>2209</v>
      </c>
      <c r="E38" s="71" t="s">
        <v>2209</v>
      </c>
      <c r="F38" s="76" t="s">
        <v>1281</v>
      </c>
      <c r="G38" s="76" t="s">
        <v>1984</v>
      </c>
      <c r="H38" s="71" t="s">
        <v>94</v>
      </c>
      <c r="I38" s="71" t="s">
        <v>1895</v>
      </c>
      <c r="J38" s="71" t="s">
        <v>1713</v>
      </c>
      <c r="K38" s="71" t="s">
        <v>448</v>
      </c>
      <c r="L38" s="71" t="s">
        <v>448</v>
      </c>
      <c r="M38" s="71" t="s">
        <v>448</v>
      </c>
      <c r="N38" s="71" t="s">
        <v>102</v>
      </c>
      <c r="O38" s="76" t="s">
        <v>2226</v>
      </c>
      <c r="P38" s="71" t="s">
        <v>448</v>
      </c>
      <c r="Q38" s="71" t="s">
        <v>2191</v>
      </c>
      <c r="R38" s="71" t="s">
        <v>2191</v>
      </c>
      <c r="S38" s="180" t="s">
        <v>2942</v>
      </c>
      <c r="T38" s="71" t="s">
        <v>448</v>
      </c>
      <c r="U38" s="72" t="s">
        <v>110</v>
      </c>
      <c r="V38" s="72">
        <v>1</v>
      </c>
      <c r="W38" s="71" t="s">
        <v>448</v>
      </c>
      <c r="X38" s="71" t="s">
        <v>448</v>
      </c>
      <c r="Y38" s="73">
        <v>24.84</v>
      </c>
      <c r="Z38" s="73">
        <v>0</v>
      </c>
      <c r="AA38" s="73">
        <v>24.84</v>
      </c>
      <c r="AB38" s="71" t="s">
        <v>448</v>
      </c>
      <c r="AC38" s="71" t="s">
        <v>448</v>
      </c>
      <c r="AD38" s="71" t="s">
        <v>448</v>
      </c>
    </row>
    <row r="39" spans="1:30" s="46" customFormat="1" ht="24.95" customHeight="1" x14ac:dyDescent="0.15">
      <c r="A39" s="40">
        <v>37</v>
      </c>
      <c r="B39" s="71">
        <v>12037</v>
      </c>
      <c r="C39" s="71" t="s">
        <v>2189</v>
      </c>
      <c r="D39" s="71" t="s">
        <v>2189</v>
      </c>
      <c r="E39" s="71" t="s">
        <v>2189</v>
      </c>
      <c r="F39" s="76" t="s">
        <v>1273</v>
      </c>
      <c r="G39" s="76" t="s">
        <v>1984</v>
      </c>
      <c r="H39" s="71" t="s">
        <v>94</v>
      </c>
      <c r="I39" s="71" t="s">
        <v>1895</v>
      </c>
      <c r="J39" s="71" t="s">
        <v>1709</v>
      </c>
      <c r="K39" s="71" t="s">
        <v>448</v>
      </c>
      <c r="L39" s="71" t="s">
        <v>448</v>
      </c>
      <c r="M39" s="71" t="s">
        <v>448</v>
      </c>
      <c r="N39" s="71" t="s">
        <v>102</v>
      </c>
      <c r="O39" s="76" t="s">
        <v>2227</v>
      </c>
      <c r="P39" s="71" t="s">
        <v>448</v>
      </c>
      <c r="Q39" s="71" t="s">
        <v>2228</v>
      </c>
      <c r="R39" s="71" t="s">
        <v>2228</v>
      </c>
      <c r="S39" s="180" t="s">
        <v>2942</v>
      </c>
      <c r="T39" s="71" t="s">
        <v>448</v>
      </c>
      <c r="U39" s="72" t="s">
        <v>110</v>
      </c>
      <c r="V39" s="72">
        <v>1</v>
      </c>
      <c r="W39" s="71" t="s">
        <v>448</v>
      </c>
      <c r="X39" s="71" t="s">
        <v>448</v>
      </c>
      <c r="Y39" s="73">
        <v>24.84</v>
      </c>
      <c r="Z39" s="73">
        <v>0</v>
      </c>
      <c r="AA39" s="73">
        <v>24.84</v>
      </c>
      <c r="AB39" s="71" t="s">
        <v>448</v>
      </c>
      <c r="AC39" s="71" t="s">
        <v>448</v>
      </c>
      <c r="AD39" s="71" t="s">
        <v>448</v>
      </c>
    </row>
    <row r="40" spans="1:30" s="46" customFormat="1" ht="24.95" customHeight="1" x14ac:dyDescent="0.15">
      <c r="A40" s="40">
        <v>38</v>
      </c>
      <c r="B40" s="71">
        <v>12038</v>
      </c>
      <c r="C40" s="71" t="s">
        <v>2230</v>
      </c>
      <c r="D40" s="71" t="s">
        <v>2230</v>
      </c>
      <c r="E40" s="71" t="s">
        <v>2230</v>
      </c>
      <c r="F40" s="76" t="s">
        <v>1277</v>
      </c>
      <c r="G40" s="76" t="s">
        <v>1984</v>
      </c>
      <c r="H40" s="71" t="s">
        <v>94</v>
      </c>
      <c r="I40" s="71" t="s">
        <v>1895</v>
      </c>
      <c r="J40" s="71" t="s">
        <v>1711</v>
      </c>
      <c r="K40" s="71" t="s">
        <v>448</v>
      </c>
      <c r="L40" s="71" t="s">
        <v>448</v>
      </c>
      <c r="M40" s="71" t="s">
        <v>448</v>
      </c>
      <c r="N40" s="71" t="s">
        <v>102</v>
      </c>
      <c r="O40" s="76" t="s">
        <v>2225</v>
      </c>
      <c r="P40" s="71" t="s">
        <v>448</v>
      </c>
      <c r="Q40" s="71" t="s">
        <v>2207</v>
      </c>
      <c r="R40" s="71" t="s">
        <v>2207</v>
      </c>
      <c r="S40" s="180" t="s">
        <v>2942</v>
      </c>
      <c r="T40" s="71" t="s">
        <v>448</v>
      </c>
      <c r="U40" s="72" t="s">
        <v>110</v>
      </c>
      <c r="V40" s="72">
        <v>1</v>
      </c>
      <c r="W40" s="71" t="s">
        <v>448</v>
      </c>
      <c r="X40" s="71" t="s">
        <v>448</v>
      </c>
      <c r="Y40" s="73">
        <v>25.3</v>
      </c>
      <c r="Z40" s="73">
        <v>0</v>
      </c>
      <c r="AA40" s="73">
        <v>25.3</v>
      </c>
      <c r="AB40" s="71" t="s">
        <v>448</v>
      </c>
      <c r="AC40" s="71" t="s">
        <v>448</v>
      </c>
      <c r="AD40" s="71" t="s">
        <v>448</v>
      </c>
    </row>
    <row r="41" spans="1:30" s="46" customFormat="1" ht="24.95" customHeight="1" x14ac:dyDescent="0.15">
      <c r="A41" s="40">
        <v>39</v>
      </c>
      <c r="B41" s="71">
        <v>12039</v>
      </c>
      <c r="C41" s="71" t="s">
        <v>2209</v>
      </c>
      <c r="D41" s="71" t="s">
        <v>2209</v>
      </c>
      <c r="E41" s="71" t="s">
        <v>2209</v>
      </c>
      <c r="F41" s="76" t="s">
        <v>1287</v>
      </c>
      <c r="G41" s="76" t="s">
        <v>1984</v>
      </c>
      <c r="H41" s="71" t="s">
        <v>94</v>
      </c>
      <c r="I41" s="71" t="s">
        <v>1895</v>
      </c>
      <c r="J41" s="71" t="s">
        <v>1716</v>
      </c>
      <c r="K41" s="71" t="s">
        <v>448</v>
      </c>
      <c r="L41" s="71" t="s">
        <v>448</v>
      </c>
      <c r="M41" s="71" t="s">
        <v>448</v>
      </c>
      <c r="N41" s="71" t="s">
        <v>102</v>
      </c>
      <c r="O41" s="76" t="s">
        <v>2225</v>
      </c>
      <c r="P41" s="71" t="s">
        <v>448</v>
      </c>
      <c r="Q41" s="71" t="s">
        <v>2207</v>
      </c>
      <c r="R41" s="71" t="s">
        <v>2207</v>
      </c>
      <c r="S41" s="180" t="s">
        <v>2942</v>
      </c>
      <c r="T41" s="71" t="s">
        <v>448</v>
      </c>
      <c r="U41" s="72" t="s">
        <v>110</v>
      </c>
      <c r="V41" s="72">
        <v>1</v>
      </c>
      <c r="W41" s="71" t="s">
        <v>448</v>
      </c>
      <c r="X41" s="71" t="s">
        <v>448</v>
      </c>
      <c r="Y41" s="73">
        <v>24.84</v>
      </c>
      <c r="Z41" s="73">
        <v>0</v>
      </c>
      <c r="AA41" s="73">
        <v>24.84</v>
      </c>
      <c r="AB41" s="71" t="s">
        <v>448</v>
      </c>
      <c r="AC41" s="71" t="s">
        <v>448</v>
      </c>
      <c r="AD41" s="71" t="s">
        <v>448</v>
      </c>
    </row>
    <row r="42" spans="1:30" s="46" customFormat="1" ht="24.95" customHeight="1" x14ac:dyDescent="0.15">
      <c r="A42" s="40">
        <v>40</v>
      </c>
      <c r="B42" s="71">
        <v>12040</v>
      </c>
      <c r="C42" s="71" t="s">
        <v>2209</v>
      </c>
      <c r="D42" s="71" t="s">
        <v>2209</v>
      </c>
      <c r="E42" s="71" t="s">
        <v>2209</v>
      </c>
      <c r="F42" s="76" t="s">
        <v>1269</v>
      </c>
      <c r="G42" s="76" t="s">
        <v>1984</v>
      </c>
      <c r="H42" s="71" t="s">
        <v>94</v>
      </c>
      <c r="I42" s="71" t="s">
        <v>1895</v>
      </c>
      <c r="J42" s="71" t="s">
        <v>1707</v>
      </c>
      <c r="K42" s="71" t="s">
        <v>448</v>
      </c>
      <c r="L42" s="71" t="s">
        <v>448</v>
      </c>
      <c r="M42" s="71" t="s">
        <v>448</v>
      </c>
      <c r="N42" s="71" t="s">
        <v>102</v>
      </c>
      <c r="O42" s="76" t="s">
        <v>2225</v>
      </c>
      <c r="P42" s="71" t="s">
        <v>448</v>
      </c>
      <c r="Q42" s="71" t="s">
        <v>2207</v>
      </c>
      <c r="R42" s="71" t="s">
        <v>2207</v>
      </c>
      <c r="S42" s="180" t="s">
        <v>2942</v>
      </c>
      <c r="T42" s="71" t="s">
        <v>448</v>
      </c>
      <c r="U42" s="72" t="s">
        <v>110</v>
      </c>
      <c r="V42" s="72">
        <v>1</v>
      </c>
      <c r="W42" s="71" t="s">
        <v>448</v>
      </c>
      <c r="X42" s="71" t="s">
        <v>448</v>
      </c>
      <c r="Y42" s="73">
        <v>25.24</v>
      </c>
      <c r="Z42" s="73">
        <v>0</v>
      </c>
      <c r="AA42" s="73">
        <v>25.24</v>
      </c>
      <c r="AB42" s="71" t="s">
        <v>448</v>
      </c>
      <c r="AC42" s="71" t="s">
        <v>448</v>
      </c>
      <c r="AD42" s="71" t="s">
        <v>448</v>
      </c>
    </row>
    <row r="43" spans="1:30" s="46" customFormat="1" ht="24.95" customHeight="1" x14ac:dyDescent="0.15">
      <c r="A43" s="40">
        <v>41</v>
      </c>
      <c r="B43" s="71">
        <v>12041</v>
      </c>
      <c r="C43" s="71" t="s">
        <v>2209</v>
      </c>
      <c r="D43" s="71" t="s">
        <v>2209</v>
      </c>
      <c r="E43" s="71" t="s">
        <v>2209</v>
      </c>
      <c r="F43" s="76" t="s">
        <v>1985</v>
      </c>
      <c r="G43" s="76" t="s">
        <v>1984</v>
      </c>
      <c r="H43" s="71" t="s">
        <v>94</v>
      </c>
      <c r="I43" s="71" t="s">
        <v>1895</v>
      </c>
      <c r="J43" s="71" t="s">
        <v>1708</v>
      </c>
      <c r="K43" s="71" t="s">
        <v>448</v>
      </c>
      <c r="L43" s="71" t="s">
        <v>448</v>
      </c>
      <c r="M43" s="71" t="s">
        <v>448</v>
      </c>
      <c r="N43" s="71" t="s">
        <v>102</v>
      </c>
      <c r="O43" s="76" t="s">
        <v>2226</v>
      </c>
      <c r="P43" s="71" t="s">
        <v>448</v>
      </c>
      <c r="Q43" s="71" t="s">
        <v>2191</v>
      </c>
      <c r="R43" s="71" t="s">
        <v>2191</v>
      </c>
      <c r="S43" s="180" t="s">
        <v>2942</v>
      </c>
      <c r="T43" s="71" t="s">
        <v>448</v>
      </c>
      <c r="U43" s="72" t="s">
        <v>110</v>
      </c>
      <c r="V43" s="72">
        <v>1</v>
      </c>
      <c r="W43" s="71" t="s">
        <v>448</v>
      </c>
      <c r="X43" s="71" t="s">
        <v>448</v>
      </c>
      <c r="Y43" s="73">
        <v>11.6</v>
      </c>
      <c r="Z43" s="73">
        <v>0</v>
      </c>
      <c r="AA43" s="73">
        <v>11.6</v>
      </c>
      <c r="AB43" s="71" t="s">
        <v>448</v>
      </c>
      <c r="AC43" s="71" t="s">
        <v>448</v>
      </c>
      <c r="AD43" s="71" t="s">
        <v>448</v>
      </c>
    </row>
    <row r="44" spans="1:30" s="46" customFormat="1" ht="24.95" customHeight="1" x14ac:dyDescent="0.15">
      <c r="A44" s="40">
        <v>42</v>
      </c>
      <c r="B44" s="71">
        <v>12042</v>
      </c>
      <c r="C44" s="71" t="s">
        <v>2189</v>
      </c>
      <c r="D44" s="71" t="s">
        <v>2189</v>
      </c>
      <c r="E44" s="71" t="s">
        <v>2189</v>
      </c>
      <c r="F44" s="76" t="s">
        <v>1271</v>
      </c>
      <c r="G44" s="76" t="s">
        <v>1984</v>
      </c>
      <c r="H44" s="71" t="s">
        <v>94</v>
      </c>
      <c r="I44" s="71" t="s">
        <v>1895</v>
      </c>
      <c r="J44" s="71" t="s">
        <v>1708</v>
      </c>
      <c r="K44" s="71" t="s">
        <v>448</v>
      </c>
      <c r="L44" s="71" t="s">
        <v>448</v>
      </c>
      <c r="M44" s="71" t="s">
        <v>448</v>
      </c>
      <c r="N44" s="71" t="s">
        <v>102</v>
      </c>
      <c r="O44" s="76" t="s">
        <v>2226</v>
      </c>
      <c r="P44" s="71" t="s">
        <v>448</v>
      </c>
      <c r="Q44" s="71" t="s">
        <v>2191</v>
      </c>
      <c r="R44" s="71" t="s">
        <v>2191</v>
      </c>
      <c r="S44" s="180" t="s">
        <v>2942</v>
      </c>
      <c r="T44" s="71" t="s">
        <v>448</v>
      </c>
      <c r="U44" s="72" t="s">
        <v>110</v>
      </c>
      <c r="V44" s="72">
        <v>1</v>
      </c>
      <c r="W44" s="71" t="s">
        <v>448</v>
      </c>
      <c r="X44" s="71" t="s">
        <v>448</v>
      </c>
      <c r="Y44" s="73">
        <v>17</v>
      </c>
      <c r="Z44" s="73">
        <v>0</v>
      </c>
      <c r="AA44" s="73">
        <v>17</v>
      </c>
      <c r="AB44" s="71" t="s">
        <v>448</v>
      </c>
      <c r="AC44" s="71" t="s">
        <v>448</v>
      </c>
      <c r="AD44" s="71" t="s">
        <v>448</v>
      </c>
    </row>
    <row r="45" spans="1:30" s="46" customFormat="1" ht="24.95" customHeight="1" x14ac:dyDescent="0.15">
      <c r="A45" s="40">
        <v>43</v>
      </c>
      <c r="B45" s="71">
        <v>12043</v>
      </c>
      <c r="C45" s="71" t="s">
        <v>2189</v>
      </c>
      <c r="D45" s="71" t="s">
        <v>2189</v>
      </c>
      <c r="E45" s="71" t="s">
        <v>2189</v>
      </c>
      <c r="F45" s="76" t="s">
        <v>1935</v>
      </c>
      <c r="G45" s="76" t="s">
        <v>1984</v>
      </c>
      <c r="H45" s="71" t="s">
        <v>94</v>
      </c>
      <c r="I45" s="71" t="s">
        <v>1895</v>
      </c>
      <c r="J45" s="71" t="s">
        <v>1918</v>
      </c>
      <c r="K45" s="71" t="s">
        <v>448</v>
      </c>
      <c r="L45" s="71" t="s">
        <v>448</v>
      </c>
      <c r="M45" s="71" t="s">
        <v>448</v>
      </c>
      <c r="N45" s="71" t="s">
        <v>102</v>
      </c>
      <c r="O45" s="76" t="s">
        <v>2231</v>
      </c>
      <c r="P45" s="71" t="s">
        <v>448</v>
      </c>
      <c r="Q45" s="71" t="s">
        <v>2232</v>
      </c>
      <c r="R45" s="71" t="s">
        <v>2232</v>
      </c>
      <c r="S45" s="180" t="s">
        <v>2942</v>
      </c>
      <c r="T45" s="71" t="s">
        <v>448</v>
      </c>
      <c r="U45" s="72" t="s">
        <v>110</v>
      </c>
      <c r="V45" s="72">
        <v>1</v>
      </c>
      <c r="W45" s="71" t="s">
        <v>448</v>
      </c>
      <c r="X45" s="71" t="s">
        <v>448</v>
      </c>
      <c r="Y45" s="73">
        <v>7.84</v>
      </c>
      <c r="Z45" s="73">
        <v>0</v>
      </c>
      <c r="AA45" s="73">
        <v>7.84</v>
      </c>
      <c r="AB45" s="71" t="s">
        <v>448</v>
      </c>
      <c r="AC45" s="71" t="s">
        <v>448</v>
      </c>
      <c r="AD45" s="71" t="s">
        <v>448</v>
      </c>
    </row>
    <row r="46" spans="1:30" s="46" customFormat="1" ht="24.95" customHeight="1" x14ac:dyDescent="0.15">
      <c r="A46" s="40">
        <v>44</v>
      </c>
      <c r="B46" s="71">
        <v>12044</v>
      </c>
      <c r="C46" s="71" t="s">
        <v>2234</v>
      </c>
      <c r="D46" s="71" t="s">
        <v>2234</v>
      </c>
      <c r="E46" s="71" t="s">
        <v>2234</v>
      </c>
      <c r="F46" s="76" t="s">
        <v>1934</v>
      </c>
      <c r="G46" s="76" t="s">
        <v>1984</v>
      </c>
      <c r="H46" s="71" t="s">
        <v>94</v>
      </c>
      <c r="I46" s="71" t="s">
        <v>1895</v>
      </c>
      <c r="J46" s="71" t="s">
        <v>1917</v>
      </c>
      <c r="K46" s="71" t="s">
        <v>448</v>
      </c>
      <c r="L46" s="71" t="s">
        <v>448</v>
      </c>
      <c r="M46" s="71" t="s">
        <v>448</v>
      </c>
      <c r="N46" s="71" t="s">
        <v>102</v>
      </c>
      <c r="O46" s="76" t="s">
        <v>2225</v>
      </c>
      <c r="P46" s="71" t="s">
        <v>448</v>
      </c>
      <c r="Q46" s="71" t="s">
        <v>2207</v>
      </c>
      <c r="R46" s="71" t="s">
        <v>2207</v>
      </c>
      <c r="S46" s="180" t="s">
        <v>2942</v>
      </c>
      <c r="T46" s="71" t="s">
        <v>448</v>
      </c>
      <c r="U46" s="72" t="s">
        <v>110</v>
      </c>
      <c r="V46" s="72">
        <v>1</v>
      </c>
      <c r="W46" s="71" t="s">
        <v>448</v>
      </c>
      <c r="X46" s="71" t="s">
        <v>448</v>
      </c>
      <c r="Y46" s="73">
        <v>7.84</v>
      </c>
      <c r="Z46" s="73">
        <v>0</v>
      </c>
      <c r="AA46" s="73">
        <v>7.84</v>
      </c>
      <c r="AB46" s="71" t="s">
        <v>448</v>
      </c>
      <c r="AC46" s="71" t="s">
        <v>448</v>
      </c>
      <c r="AD46" s="71" t="s">
        <v>448</v>
      </c>
    </row>
    <row r="47" spans="1:30" s="46" customFormat="1" ht="24.95" customHeight="1" x14ac:dyDescent="0.15">
      <c r="A47" s="40">
        <v>45</v>
      </c>
      <c r="B47" s="71">
        <v>12045</v>
      </c>
      <c r="C47" s="71" t="s">
        <v>2209</v>
      </c>
      <c r="D47" s="71" t="s">
        <v>2209</v>
      </c>
      <c r="E47" s="71" t="s">
        <v>2209</v>
      </c>
      <c r="F47" s="76" t="s">
        <v>1361</v>
      </c>
      <c r="G47" s="76" t="s">
        <v>1984</v>
      </c>
      <c r="H47" s="71" t="s">
        <v>94</v>
      </c>
      <c r="I47" s="71" t="s">
        <v>1895</v>
      </c>
      <c r="J47" s="71" t="s">
        <v>1916</v>
      </c>
      <c r="K47" s="71" t="s">
        <v>448</v>
      </c>
      <c r="L47" s="71" t="s">
        <v>448</v>
      </c>
      <c r="M47" s="71" t="s">
        <v>448</v>
      </c>
      <c r="N47" s="71" t="s">
        <v>102</v>
      </c>
      <c r="O47" s="76" t="s">
        <v>2226</v>
      </c>
      <c r="P47" s="71" t="s">
        <v>448</v>
      </c>
      <c r="Q47" s="71" t="s">
        <v>2191</v>
      </c>
      <c r="R47" s="71" t="s">
        <v>2191</v>
      </c>
      <c r="S47" s="180" t="s">
        <v>2942</v>
      </c>
      <c r="T47" s="71" t="s">
        <v>448</v>
      </c>
      <c r="U47" s="72" t="s">
        <v>110</v>
      </c>
      <c r="V47" s="72">
        <v>1</v>
      </c>
      <c r="W47" s="71" t="s">
        <v>448</v>
      </c>
      <c r="X47" s="71" t="s">
        <v>448</v>
      </c>
      <c r="Y47" s="73">
        <v>23.8</v>
      </c>
      <c r="Z47" s="73">
        <v>0</v>
      </c>
      <c r="AA47" s="73">
        <v>23.8</v>
      </c>
      <c r="AB47" s="71" t="s">
        <v>448</v>
      </c>
      <c r="AC47" s="71" t="s">
        <v>448</v>
      </c>
      <c r="AD47" s="71" t="s">
        <v>448</v>
      </c>
    </row>
    <row r="48" spans="1:30" s="46" customFormat="1" ht="24.95" customHeight="1" x14ac:dyDescent="0.15">
      <c r="A48" s="40">
        <v>46</v>
      </c>
      <c r="B48" s="71">
        <v>12046</v>
      </c>
      <c r="C48" s="71" t="s">
        <v>2189</v>
      </c>
      <c r="D48" s="71" t="s">
        <v>2189</v>
      </c>
      <c r="E48" s="71" t="s">
        <v>2189</v>
      </c>
      <c r="F48" s="76" t="s">
        <v>1172</v>
      </c>
      <c r="G48" s="76" t="s">
        <v>1986</v>
      </c>
      <c r="H48" s="71" t="s">
        <v>94</v>
      </c>
      <c r="I48" s="71" t="s">
        <v>112</v>
      </c>
      <c r="J48" s="71" t="s">
        <v>1600</v>
      </c>
      <c r="K48" s="71" t="s">
        <v>448</v>
      </c>
      <c r="L48" s="71" t="s">
        <v>448</v>
      </c>
      <c r="M48" s="71" t="s">
        <v>448</v>
      </c>
      <c r="N48" s="71" t="s">
        <v>102</v>
      </c>
      <c r="O48" s="76" t="s">
        <v>463</v>
      </c>
      <c r="P48" s="71" t="s">
        <v>448</v>
      </c>
      <c r="Q48" s="71" t="s">
        <v>2187</v>
      </c>
      <c r="R48" s="71" t="s">
        <v>2187</v>
      </c>
      <c r="S48" s="181" t="s">
        <v>2943</v>
      </c>
      <c r="T48" s="71" t="s">
        <v>448</v>
      </c>
      <c r="U48" s="72" t="s">
        <v>110</v>
      </c>
      <c r="V48" s="72">
        <v>1</v>
      </c>
      <c r="W48" s="71" t="s">
        <v>448</v>
      </c>
      <c r="X48" s="71" t="s">
        <v>448</v>
      </c>
      <c r="Y48" s="73">
        <v>1.5</v>
      </c>
      <c r="Z48" s="73">
        <v>0</v>
      </c>
      <c r="AA48" s="73">
        <v>1.5</v>
      </c>
      <c r="AB48" s="71" t="s">
        <v>448</v>
      </c>
      <c r="AC48" s="71" t="s">
        <v>448</v>
      </c>
      <c r="AD48" s="71" t="s">
        <v>448</v>
      </c>
    </row>
    <row r="49" spans="1:16383" s="46" customFormat="1" ht="24.95" customHeight="1" x14ac:dyDescent="0.15">
      <c r="A49" s="40">
        <v>47</v>
      </c>
      <c r="B49" s="71">
        <v>12047</v>
      </c>
      <c r="C49" s="71" t="s">
        <v>2189</v>
      </c>
      <c r="D49" s="71" t="s">
        <v>2189</v>
      </c>
      <c r="E49" s="71" t="s">
        <v>2189</v>
      </c>
      <c r="F49" s="76" t="s">
        <v>1307</v>
      </c>
      <c r="G49" s="76" t="s">
        <v>1987</v>
      </c>
      <c r="H49" s="71" t="s">
        <v>94</v>
      </c>
      <c r="I49" s="71" t="s">
        <v>1416</v>
      </c>
      <c r="J49" s="71" t="s">
        <v>1668</v>
      </c>
      <c r="K49" s="71" t="s">
        <v>448</v>
      </c>
      <c r="L49" s="71" t="s">
        <v>448</v>
      </c>
      <c r="M49" s="71" t="s">
        <v>448</v>
      </c>
      <c r="N49" s="71" t="s">
        <v>102</v>
      </c>
      <c r="O49" s="76" t="s">
        <v>2235</v>
      </c>
      <c r="P49" s="71" t="s">
        <v>448</v>
      </c>
      <c r="Q49" s="71" t="s">
        <v>2236</v>
      </c>
      <c r="R49" s="71" t="s">
        <v>2236</v>
      </c>
      <c r="S49" s="181" t="s">
        <v>2944</v>
      </c>
      <c r="T49" s="71" t="s">
        <v>448</v>
      </c>
      <c r="U49" s="72" t="s">
        <v>110</v>
      </c>
      <c r="V49" s="72">
        <v>2</v>
      </c>
      <c r="W49" s="71" t="s">
        <v>448</v>
      </c>
      <c r="X49" s="71" t="s">
        <v>448</v>
      </c>
      <c r="Y49" s="73">
        <v>39</v>
      </c>
      <c r="Z49" s="73">
        <v>0</v>
      </c>
      <c r="AA49" s="73">
        <v>39</v>
      </c>
      <c r="AB49" s="71" t="s">
        <v>448</v>
      </c>
      <c r="AC49" s="71" t="s">
        <v>448</v>
      </c>
      <c r="AD49" s="71" t="s">
        <v>448</v>
      </c>
    </row>
    <row r="50" spans="1:16383" s="46" customFormat="1" ht="24.95" customHeight="1" x14ac:dyDescent="0.15">
      <c r="A50" s="40">
        <v>48</v>
      </c>
      <c r="B50" s="71">
        <v>12048</v>
      </c>
      <c r="C50" s="71" t="s">
        <v>2237</v>
      </c>
      <c r="D50" s="71" t="s">
        <v>2237</v>
      </c>
      <c r="E50" s="71" t="s">
        <v>2237</v>
      </c>
      <c r="F50" s="76" t="s">
        <v>1988</v>
      </c>
      <c r="G50" s="76" t="s">
        <v>1989</v>
      </c>
      <c r="H50" s="71" t="s">
        <v>994</v>
      </c>
      <c r="I50" s="71" t="s">
        <v>993</v>
      </c>
      <c r="J50" s="71" t="s">
        <v>1683</v>
      </c>
      <c r="K50" s="71" t="s">
        <v>448</v>
      </c>
      <c r="L50" s="71" t="s">
        <v>448</v>
      </c>
      <c r="M50" s="71" t="s">
        <v>448</v>
      </c>
      <c r="N50" s="71" t="s">
        <v>102</v>
      </c>
      <c r="O50" s="76" t="s">
        <v>2238</v>
      </c>
      <c r="P50" s="71" t="s">
        <v>448</v>
      </c>
      <c r="Q50" s="71" t="s">
        <v>2239</v>
      </c>
      <c r="R50" s="71" t="s">
        <v>2239</v>
      </c>
      <c r="S50" s="181" t="s">
        <v>2945</v>
      </c>
      <c r="T50" s="71" t="s">
        <v>448</v>
      </c>
      <c r="U50" s="72" t="s">
        <v>110</v>
      </c>
      <c r="V50" s="72">
        <v>1</v>
      </c>
      <c r="W50" s="71" t="s">
        <v>448</v>
      </c>
      <c r="X50" s="71" t="s">
        <v>448</v>
      </c>
      <c r="Y50" s="73">
        <v>75</v>
      </c>
      <c r="Z50" s="73">
        <v>0</v>
      </c>
      <c r="AA50" s="73">
        <v>75</v>
      </c>
      <c r="AB50" s="71" t="s">
        <v>448</v>
      </c>
      <c r="AC50" s="71" t="s">
        <v>448</v>
      </c>
      <c r="AD50" s="71" t="s">
        <v>448</v>
      </c>
    </row>
    <row r="51" spans="1:16383" s="46" customFormat="1" ht="24.95" customHeight="1" x14ac:dyDescent="0.15">
      <c r="A51" s="40">
        <v>49</v>
      </c>
      <c r="B51" s="71">
        <v>12049</v>
      </c>
      <c r="C51" s="71" t="s">
        <v>2237</v>
      </c>
      <c r="D51" s="71" t="s">
        <v>2237</v>
      </c>
      <c r="E51" s="71" t="s">
        <v>2237</v>
      </c>
      <c r="F51" s="76" t="s">
        <v>1341</v>
      </c>
      <c r="G51" s="76" t="s">
        <v>1990</v>
      </c>
      <c r="H51" s="71" t="s">
        <v>1419</v>
      </c>
      <c r="I51" s="71" t="s">
        <v>22</v>
      </c>
      <c r="J51" s="71" t="s">
        <v>2240</v>
      </c>
      <c r="K51" s="71" t="s">
        <v>448</v>
      </c>
      <c r="L51" s="71" t="s">
        <v>448</v>
      </c>
      <c r="M51" s="71" t="s">
        <v>448</v>
      </c>
      <c r="N51" s="71" t="s">
        <v>686</v>
      </c>
      <c r="O51" s="76" t="s">
        <v>2241</v>
      </c>
      <c r="P51" s="71" t="s">
        <v>448</v>
      </c>
      <c r="Q51" s="71" t="s">
        <v>2236</v>
      </c>
      <c r="R51" s="71" t="s">
        <v>2236</v>
      </c>
      <c r="S51" s="196" t="s">
        <v>2946</v>
      </c>
      <c r="T51" s="71" t="s">
        <v>448</v>
      </c>
      <c r="U51" s="72" t="s">
        <v>110</v>
      </c>
      <c r="V51" s="72">
        <v>1</v>
      </c>
      <c r="W51" s="71" t="s">
        <v>448</v>
      </c>
      <c r="X51" s="71" t="s">
        <v>448</v>
      </c>
      <c r="Y51" s="73">
        <v>120</v>
      </c>
      <c r="Z51" s="73">
        <v>0</v>
      </c>
      <c r="AA51" s="73">
        <v>120</v>
      </c>
      <c r="AB51" s="71" t="s">
        <v>448</v>
      </c>
      <c r="AC51" s="71" t="s">
        <v>448</v>
      </c>
      <c r="AD51" s="71" t="s">
        <v>448</v>
      </c>
    </row>
    <row r="52" spans="1:16383" s="46" customFormat="1" ht="24.95" customHeight="1" x14ac:dyDescent="0.15">
      <c r="A52" s="40">
        <v>50</v>
      </c>
      <c r="B52" s="71">
        <v>12050</v>
      </c>
      <c r="C52" s="71" t="s">
        <v>2237</v>
      </c>
      <c r="D52" s="71" t="s">
        <v>2237</v>
      </c>
      <c r="E52" s="71" t="s">
        <v>2237</v>
      </c>
      <c r="F52" s="76" t="s">
        <v>1991</v>
      </c>
      <c r="G52" s="76" t="s">
        <v>1992</v>
      </c>
      <c r="H52" s="71" t="s">
        <v>1419</v>
      </c>
      <c r="I52" s="71" t="s">
        <v>1463</v>
      </c>
      <c r="J52" s="71" t="s">
        <v>1951</v>
      </c>
      <c r="K52" s="71" t="s">
        <v>448</v>
      </c>
      <c r="L52" s="71" t="s">
        <v>448</v>
      </c>
      <c r="M52" s="71" t="s">
        <v>448</v>
      </c>
      <c r="N52" s="71" t="s">
        <v>102</v>
      </c>
      <c r="O52" s="76" t="s">
        <v>2242</v>
      </c>
      <c r="P52" s="71" t="s">
        <v>448</v>
      </c>
      <c r="Q52" s="71" t="s">
        <v>2236</v>
      </c>
      <c r="R52" s="71" t="s">
        <v>2236</v>
      </c>
      <c r="S52" s="181" t="s">
        <v>2944</v>
      </c>
      <c r="T52" s="71" t="s">
        <v>448</v>
      </c>
      <c r="U52" s="72" t="s">
        <v>108</v>
      </c>
      <c r="V52" s="72">
        <v>1</v>
      </c>
      <c r="W52" s="71" t="s">
        <v>448</v>
      </c>
      <c r="X52" s="71" t="s">
        <v>448</v>
      </c>
      <c r="Y52" s="73">
        <v>60</v>
      </c>
      <c r="Z52" s="73">
        <v>27</v>
      </c>
      <c r="AA52" s="73">
        <v>87</v>
      </c>
      <c r="AB52" s="71" t="s">
        <v>448</v>
      </c>
      <c r="AC52" s="71" t="s">
        <v>448</v>
      </c>
      <c r="AD52" s="71" t="s">
        <v>448</v>
      </c>
    </row>
    <row r="53" spans="1:16383" s="46" customFormat="1" ht="24.95" customHeight="1" x14ac:dyDescent="0.15">
      <c r="A53" s="40">
        <v>51</v>
      </c>
      <c r="B53" s="71">
        <v>12051</v>
      </c>
      <c r="C53" s="71" t="s">
        <v>2237</v>
      </c>
      <c r="D53" s="71" t="s">
        <v>2237</v>
      </c>
      <c r="E53" s="71" t="s">
        <v>2237</v>
      </c>
      <c r="F53" s="76" t="s">
        <v>1993</v>
      </c>
      <c r="G53" s="76" t="s">
        <v>1994</v>
      </c>
      <c r="H53" s="71" t="s">
        <v>1487</v>
      </c>
      <c r="I53" s="71" t="s">
        <v>1952</v>
      </c>
      <c r="J53" s="71" t="s">
        <v>1953</v>
      </c>
      <c r="K53" s="71" t="s">
        <v>448</v>
      </c>
      <c r="L53" s="71" t="s">
        <v>448</v>
      </c>
      <c r="M53" s="71" t="s">
        <v>448</v>
      </c>
      <c r="N53" s="71" t="s">
        <v>102</v>
      </c>
      <c r="O53" s="76" t="s">
        <v>2243</v>
      </c>
      <c r="P53" s="71" t="s">
        <v>448</v>
      </c>
      <c r="Q53" s="71" t="s">
        <v>2244</v>
      </c>
      <c r="R53" s="71" t="s">
        <v>2244</v>
      </c>
      <c r="S53" s="181" t="s">
        <v>2947</v>
      </c>
      <c r="T53" s="71" t="s">
        <v>448</v>
      </c>
      <c r="U53" s="72" t="s">
        <v>110</v>
      </c>
      <c r="V53" s="72">
        <v>1</v>
      </c>
      <c r="W53" s="71" t="s">
        <v>448</v>
      </c>
      <c r="X53" s="71" t="s">
        <v>448</v>
      </c>
      <c r="Y53" s="73">
        <v>57.5</v>
      </c>
      <c r="Z53" s="73">
        <v>0</v>
      </c>
      <c r="AA53" s="73">
        <v>57.5</v>
      </c>
      <c r="AB53" s="71" t="s">
        <v>448</v>
      </c>
      <c r="AC53" s="71" t="s">
        <v>448</v>
      </c>
      <c r="AD53" s="71" t="s">
        <v>448</v>
      </c>
    </row>
    <row r="54" spans="1:16383" s="46" customFormat="1" ht="24.95" customHeight="1" x14ac:dyDescent="0.15">
      <c r="A54" s="40">
        <v>52</v>
      </c>
      <c r="B54" s="71">
        <v>12052</v>
      </c>
      <c r="C54" s="71" t="s">
        <v>2237</v>
      </c>
      <c r="D54" s="71" t="s">
        <v>2237</v>
      </c>
      <c r="E54" s="71" t="s">
        <v>2237</v>
      </c>
      <c r="F54" s="76" t="s">
        <v>1385</v>
      </c>
      <c r="G54" s="76" t="s">
        <v>1995</v>
      </c>
      <c r="H54" s="71" t="s">
        <v>1537</v>
      </c>
      <c r="I54" s="71" t="s">
        <v>1416</v>
      </c>
      <c r="J54" s="71" t="s">
        <v>787</v>
      </c>
      <c r="K54" s="71" t="s">
        <v>448</v>
      </c>
      <c r="L54" s="71" t="s">
        <v>448</v>
      </c>
      <c r="M54" s="71" t="s">
        <v>448</v>
      </c>
      <c r="N54" s="71" t="s">
        <v>102</v>
      </c>
      <c r="O54" s="76" t="s">
        <v>2245</v>
      </c>
      <c r="P54" s="71" t="s">
        <v>448</v>
      </c>
      <c r="Q54" s="71" t="s">
        <v>2246</v>
      </c>
      <c r="R54" s="71" t="s">
        <v>2246</v>
      </c>
      <c r="S54" s="196" t="s">
        <v>2946</v>
      </c>
      <c r="T54" s="71" t="s">
        <v>448</v>
      </c>
      <c r="U54" s="72" t="s">
        <v>108</v>
      </c>
      <c r="V54" s="72">
        <v>1</v>
      </c>
      <c r="W54" s="71" t="s">
        <v>448</v>
      </c>
      <c r="X54" s="71" t="s">
        <v>448</v>
      </c>
      <c r="Y54" s="73">
        <v>135.96</v>
      </c>
      <c r="Z54" s="73">
        <v>32</v>
      </c>
      <c r="AA54" s="73">
        <v>167.96</v>
      </c>
      <c r="AB54" s="71" t="s">
        <v>448</v>
      </c>
      <c r="AC54" s="71" t="s">
        <v>448</v>
      </c>
      <c r="AD54" s="71" t="s">
        <v>448</v>
      </c>
    </row>
    <row r="55" spans="1:16383" s="46" customFormat="1" ht="24.95" customHeight="1" x14ac:dyDescent="0.15">
      <c r="A55" s="40">
        <v>53</v>
      </c>
      <c r="B55" s="71">
        <v>12053</v>
      </c>
      <c r="C55" s="71" t="s">
        <v>2247</v>
      </c>
      <c r="D55" s="71" t="s">
        <v>2247</v>
      </c>
      <c r="E55" s="71" t="s">
        <v>2247</v>
      </c>
      <c r="F55" s="76" t="s">
        <v>1318</v>
      </c>
      <c r="G55" s="76" t="s">
        <v>1996</v>
      </c>
      <c r="H55" s="71" t="s">
        <v>1419</v>
      </c>
      <c r="I55" s="71" t="s">
        <v>993</v>
      </c>
      <c r="J55" s="71" t="s">
        <v>1672</v>
      </c>
      <c r="K55" s="71" t="s">
        <v>448</v>
      </c>
      <c r="L55" s="71" t="s">
        <v>448</v>
      </c>
      <c r="M55" s="71" t="s">
        <v>448</v>
      </c>
      <c r="N55" s="71" t="s">
        <v>686</v>
      </c>
      <c r="O55" s="76" t="s">
        <v>2248</v>
      </c>
      <c r="P55" s="71" t="s">
        <v>448</v>
      </c>
      <c r="Q55" s="71" t="s">
        <v>2249</v>
      </c>
      <c r="R55" s="71" t="s">
        <v>2249</v>
      </c>
      <c r="S55" s="180" t="s">
        <v>2948</v>
      </c>
      <c r="T55" s="71" t="s">
        <v>448</v>
      </c>
      <c r="U55" s="72" t="s">
        <v>110</v>
      </c>
      <c r="V55" s="72">
        <v>2</v>
      </c>
      <c r="W55" s="71" t="s">
        <v>448</v>
      </c>
      <c r="X55" s="71" t="s">
        <v>448</v>
      </c>
      <c r="Y55" s="73">
        <v>10</v>
      </c>
      <c r="Z55" s="73">
        <v>0</v>
      </c>
      <c r="AA55" s="73">
        <v>10</v>
      </c>
      <c r="AB55" s="71" t="s">
        <v>448</v>
      </c>
      <c r="AC55" s="71" t="s">
        <v>448</v>
      </c>
      <c r="AD55" s="71" t="s">
        <v>448</v>
      </c>
    </row>
    <row r="56" spans="1:16383" s="46" customFormat="1" ht="24.95" customHeight="1" x14ac:dyDescent="0.15">
      <c r="A56" s="40">
        <v>54</v>
      </c>
      <c r="B56" s="71">
        <v>12054</v>
      </c>
      <c r="C56" s="71" t="s">
        <v>2247</v>
      </c>
      <c r="D56" s="71" t="s">
        <v>2247</v>
      </c>
      <c r="E56" s="71" t="s">
        <v>2247</v>
      </c>
      <c r="F56" s="76" t="s">
        <v>1155</v>
      </c>
      <c r="G56" s="76" t="s">
        <v>1997</v>
      </c>
      <c r="H56" s="71" t="s">
        <v>94</v>
      </c>
      <c r="I56" s="71" t="s">
        <v>1416</v>
      </c>
      <c r="J56" s="71" t="s">
        <v>1658</v>
      </c>
      <c r="K56" s="71" t="s">
        <v>448</v>
      </c>
      <c r="L56" s="71" t="s">
        <v>448</v>
      </c>
      <c r="M56" s="71" t="s">
        <v>448</v>
      </c>
      <c r="N56" s="71" t="s">
        <v>102</v>
      </c>
      <c r="O56" s="76" t="s">
        <v>2250</v>
      </c>
      <c r="P56" s="71" t="s">
        <v>448</v>
      </c>
      <c r="Q56" s="71" t="s">
        <v>2251</v>
      </c>
      <c r="R56" s="71" t="s">
        <v>2251</v>
      </c>
      <c r="S56" s="181" t="s">
        <v>2949</v>
      </c>
      <c r="T56" s="71" t="s">
        <v>448</v>
      </c>
      <c r="U56" s="72" t="s">
        <v>110</v>
      </c>
      <c r="V56" s="72">
        <v>2</v>
      </c>
      <c r="W56" s="71" t="s">
        <v>448</v>
      </c>
      <c r="X56" s="71" t="s">
        <v>448</v>
      </c>
      <c r="Y56" s="73">
        <v>31.5</v>
      </c>
      <c r="Z56" s="73">
        <v>0</v>
      </c>
      <c r="AA56" s="73">
        <v>31.5</v>
      </c>
      <c r="AB56" s="71" t="s">
        <v>448</v>
      </c>
      <c r="AC56" s="71" t="s">
        <v>448</v>
      </c>
      <c r="AD56" s="71" t="s">
        <v>448</v>
      </c>
    </row>
    <row r="57" spans="1:16383" s="46" customFormat="1" ht="24.95" customHeight="1" x14ac:dyDescent="0.15">
      <c r="A57" s="40">
        <v>55</v>
      </c>
      <c r="B57" s="71">
        <v>12055</v>
      </c>
      <c r="C57" s="71" t="s">
        <v>2252</v>
      </c>
      <c r="D57" s="71" t="s">
        <v>2252</v>
      </c>
      <c r="E57" s="71" t="s">
        <v>2252</v>
      </c>
      <c r="F57" s="76" t="s">
        <v>1174</v>
      </c>
      <c r="G57" s="76" t="s">
        <v>1984</v>
      </c>
      <c r="H57" s="71" t="s">
        <v>94</v>
      </c>
      <c r="I57" s="71" t="s">
        <v>112</v>
      </c>
      <c r="J57" s="71" t="s">
        <v>1601</v>
      </c>
      <c r="K57" s="71" t="s">
        <v>448</v>
      </c>
      <c r="L57" s="71" t="s">
        <v>448</v>
      </c>
      <c r="M57" s="71" t="s">
        <v>448</v>
      </c>
      <c r="N57" s="71" t="s">
        <v>102</v>
      </c>
      <c r="O57" s="76" t="s">
        <v>1911</v>
      </c>
      <c r="P57" s="71" t="s">
        <v>448</v>
      </c>
      <c r="Q57" s="71" t="s">
        <v>2217</v>
      </c>
      <c r="R57" s="71" t="s">
        <v>2217</v>
      </c>
      <c r="S57" s="181" t="s">
        <v>2950</v>
      </c>
      <c r="T57" s="71" t="s">
        <v>448</v>
      </c>
      <c r="U57" s="72" t="s">
        <v>110</v>
      </c>
      <c r="V57" s="72">
        <v>1</v>
      </c>
      <c r="W57" s="71" t="s">
        <v>448</v>
      </c>
      <c r="X57" s="71" t="s">
        <v>448</v>
      </c>
      <c r="Y57" s="73">
        <v>0</v>
      </c>
      <c r="Z57" s="73">
        <v>54</v>
      </c>
      <c r="AA57" s="73">
        <v>54</v>
      </c>
      <c r="AB57" s="71" t="s">
        <v>448</v>
      </c>
      <c r="AC57" s="71" t="s">
        <v>448</v>
      </c>
      <c r="AD57" s="71" t="s">
        <v>448</v>
      </c>
    </row>
    <row r="58" spans="1:16383" s="46" customFormat="1" ht="24.95" customHeight="1" x14ac:dyDescent="0.15">
      <c r="A58" s="40">
        <v>56</v>
      </c>
      <c r="B58" s="71">
        <v>12056</v>
      </c>
      <c r="C58" s="71" t="s">
        <v>2209</v>
      </c>
      <c r="D58" s="71" t="s">
        <v>2209</v>
      </c>
      <c r="E58" s="71" t="s">
        <v>2209</v>
      </c>
      <c r="F58" s="76" t="s">
        <v>1172</v>
      </c>
      <c r="G58" s="76" t="s">
        <v>1984</v>
      </c>
      <c r="H58" s="71" t="s">
        <v>94</v>
      </c>
      <c r="I58" s="71" t="s">
        <v>112</v>
      </c>
      <c r="J58" s="71" t="s">
        <v>1600</v>
      </c>
      <c r="K58" s="71" t="s">
        <v>448</v>
      </c>
      <c r="L58" s="71" t="s">
        <v>448</v>
      </c>
      <c r="M58" s="71" t="s">
        <v>448</v>
      </c>
      <c r="N58" s="71" t="s">
        <v>102</v>
      </c>
      <c r="O58" s="76" t="s">
        <v>1911</v>
      </c>
      <c r="P58" s="71" t="s">
        <v>448</v>
      </c>
      <c r="Q58" s="71" t="s">
        <v>2187</v>
      </c>
      <c r="R58" s="71" t="s">
        <v>2187</v>
      </c>
      <c r="S58" s="181" t="s">
        <v>2950</v>
      </c>
      <c r="T58" s="71" t="s">
        <v>448</v>
      </c>
      <c r="U58" s="72" t="s">
        <v>110</v>
      </c>
      <c r="V58" s="72">
        <v>1</v>
      </c>
      <c r="W58" s="71" t="s">
        <v>448</v>
      </c>
      <c r="X58" s="71" t="s">
        <v>448</v>
      </c>
      <c r="Y58" s="73">
        <v>0</v>
      </c>
      <c r="Z58" s="73">
        <v>54</v>
      </c>
      <c r="AA58" s="73">
        <v>54</v>
      </c>
      <c r="AB58" s="71" t="s">
        <v>448</v>
      </c>
      <c r="AC58" s="71" t="s">
        <v>448</v>
      </c>
      <c r="AD58" s="71" t="s">
        <v>448</v>
      </c>
    </row>
    <row r="59" spans="1:16383" s="11" customFormat="1" ht="24.95" customHeight="1" x14ac:dyDescent="0.15">
      <c r="A59" s="40">
        <v>57</v>
      </c>
      <c r="B59" s="71">
        <v>12057</v>
      </c>
      <c r="C59" s="71" t="s">
        <v>2189</v>
      </c>
      <c r="D59" s="71" t="s">
        <v>2189</v>
      </c>
      <c r="E59" s="71" t="s">
        <v>2189</v>
      </c>
      <c r="F59" s="76" t="s">
        <v>1394</v>
      </c>
      <c r="G59" s="76" t="s">
        <v>1998</v>
      </c>
      <c r="H59" s="71" t="s">
        <v>1487</v>
      </c>
      <c r="I59" s="71" t="s">
        <v>993</v>
      </c>
      <c r="J59" s="71" t="s">
        <v>1724</v>
      </c>
      <c r="K59" s="71" t="s">
        <v>448</v>
      </c>
      <c r="L59" s="71" t="s">
        <v>448</v>
      </c>
      <c r="M59" s="71" t="s">
        <v>448</v>
      </c>
      <c r="N59" s="71" t="s">
        <v>102</v>
      </c>
      <c r="O59" s="76" t="s">
        <v>851</v>
      </c>
      <c r="P59" s="71" t="s">
        <v>448</v>
      </c>
      <c r="Q59" s="71" t="s">
        <v>2253</v>
      </c>
      <c r="R59" s="71" t="s">
        <v>2253</v>
      </c>
      <c r="S59" s="180" t="s">
        <v>2951</v>
      </c>
      <c r="T59" s="71" t="s">
        <v>448</v>
      </c>
      <c r="U59" s="72" t="s">
        <v>110</v>
      </c>
      <c r="V59" s="72">
        <v>3</v>
      </c>
      <c r="W59" s="71" t="s">
        <v>448</v>
      </c>
      <c r="X59" s="71" t="s">
        <v>448</v>
      </c>
      <c r="Y59" s="73">
        <v>0</v>
      </c>
      <c r="Z59" s="73">
        <v>10</v>
      </c>
      <c r="AA59" s="73">
        <v>10</v>
      </c>
      <c r="AB59" s="71" t="s">
        <v>448</v>
      </c>
      <c r="AC59" s="71" t="s">
        <v>448</v>
      </c>
      <c r="AD59" s="71" t="s">
        <v>448</v>
      </c>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46"/>
      <c r="DR59" s="46"/>
      <c r="DS59" s="46"/>
      <c r="DT59" s="46"/>
      <c r="DU59" s="46"/>
      <c r="DV59" s="46"/>
      <c r="DW59" s="46"/>
      <c r="DX59" s="46"/>
      <c r="DY59" s="46"/>
      <c r="DZ59" s="46"/>
      <c r="EA59" s="46"/>
      <c r="EB59" s="46"/>
      <c r="EC59" s="46"/>
      <c r="ED59" s="46"/>
      <c r="EE59" s="46"/>
      <c r="EF59" s="46"/>
      <c r="EG59" s="46"/>
      <c r="EH59" s="46"/>
      <c r="EI59" s="46"/>
      <c r="EJ59" s="46"/>
      <c r="EK59" s="46"/>
      <c r="EL59" s="46"/>
      <c r="EM59" s="46"/>
      <c r="EN59" s="46"/>
      <c r="EO59" s="46"/>
      <c r="EP59" s="46"/>
      <c r="EQ59" s="46"/>
      <c r="ER59" s="46"/>
      <c r="ES59" s="46"/>
      <c r="ET59" s="46"/>
      <c r="EU59" s="46"/>
      <c r="EV59" s="46"/>
      <c r="EW59" s="46"/>
      <c r="EX59" s="46"/>
      <c r="EY59" s="46"/>
      <c r="EZ59" s="46"/>
      <c r="FA59" s="46"/>
      <c r="FB59" s="46"/>
      <c r="FC59" s="46"/>
      <c r="FD59" s="46"/>
      <c r="FE59" s="46"/>
      <c r="FF59" s="46"/>
      <c r="FG59" s="46"/>
      <c r="FH59" s="46"/>
      <c r="FI59" s="46"/>
      <c r="FJ59" s="46"/>
      <c r="FK59" s="46"/>
      <c r="FL59" s="46"/>
      <c r="FM59" s="46"/>
      <c r="FN59" s="46"/>
      <c r="FO59" s="46"/>
      <c r="FP59" s="46"/>
      <c r="FQ59" s="46"/>
      <c r="FR59" s="46"/>
      <c r="FS59" s="46"/>
      <c r="FT59" s="46"/>
      <c r="FU59" s="46"/>
      <c r="FV59" s="46"/>
      <c r="FW59" s="46"/>
      <c r="FX59" s="46"/>
      <c r="FY59" s="46"/>
      <c r="FZ59" s="46"/>
      <c r="GA59" s="46"/>
      <c r="GB59" s="46"/>
      <c r="GC59" s="46"/>
      <c r="GD59" s="46"/>
      <c r="GE59" s="46"/>
      <c r="GF59" s="46"/>
      <c r="GG59" s="46"/>
      <c r="GH59" s="46"/>
      <c r="GI59" s="46"/>
      <c r="GJ59" s="46"/>
      <c r="GK59" s="46"/>
      <c r="GL59" s="46"/>
      <c r="GM59" s="46"/>
      <c r="GN59" s="46"/>
      <c r="GO59" s="46"/>
      <c r="GP59" s="46"/>
      <c r="GQ59" s="46"/>
      <c r="GR59" s="46"/>
      <c r="GS59" s="46"/>
      <c r="GT59" s="46"/>
      <c r="GU59" s="46"/>
      <c r="GV59" s="46"/>
      <c r="GW59" s="46"/>
      <c r="GX59" s="46"/>
      <c r="GY59" s="46"/>
      <c r="GZ59" s="46"/>
      <c r="HA59" s="46"/>
      <c r="HB59" s="46"/>
      <c r="HC59" s="46"/>
      <c r="HD59" s="46"/>
      <c r="HE59" s="46"/>
      <c r="HF59" s="46"/>
      <c r="HG59" s="46"/>
      <c r="HH59" s="46"/>
      <c r="HI59" s="46"/>
      <c r="HJ59" s="46"/>
      <c r="HK59" s="46"/>
      <c r="HL59" s="46"/>
      <c r="HM59" s="46"/>
      <c r="HN59" s="46"/>
      <c r="HO59" s="46"/>
      <c r="HP59" s="46"/>
      <c r="HQ59" s="46"/>
      <c r="HR59" s="46"/>
      <c r="HS59" s="46"/>
      <c r="HT59" s="46"/>
      <c r="HU59" s="46"/>
      <c r="HV59" s="46"/>
      <c r="HW59" s="46"/>
      <c r="HX59" s="46"/>
      <c r="HY59" s="46"/>
      <c r="HZ59" s="46"/>
      <c r="IA59" s="46"/>
      <c r="IB59" s="46"/>
      <c r="IC59" s="46"/>
      <c r="ID59" s="46"/>
      <c r="IE59" s="46"/>
      <c r="IF59" s="46"/>
      <c r="IG59" s="46"/>
      <c r="IH59" s="46"/>
      <c r="II59" s="46"/>
      <c r="IJ59" s="46"/>
      <c r="IK59" s="46"/>
      <c r="IL59" s="46"/>
      <c r="IM59" s="46"/>
      <c r="IN59" s="46"/>
      <c r="IO59" s="46"/>
      <c r="IP59" s="46"/>
      <c r="IQ59" s="46"/>
      <c r="IR59" s="46"/>
      <c r="IS59" s="46"/>
      <c r="IT59" s="46"/>
      <c r="IU59" s="46"/>
      <c r="IV59" s="46"/>
      <c r="IW59" s="46"/>
      <c r="IX59" s="46"/>
      <c r="IY59" s="46"/>
      <c r="IZ59" s="46"/>
      <c r="JA59" s="46"/>
      <c r="JB59" s="46"/>
      <c r="JC59" s="46"/>
      <c r="JD59" s="46"/>
      <c r="JE59" s="46"/>
      <c r="JF59" s="46"/>
      <c r="JG59" s="46"/>
      <c r="JH59" s="46"/>
      <c r="JI59" s="46"/>
      <c r="JJ59" s="46"/>
      <c r="JK59" s="46"/>
      <c r="JL59" s="46"/>
      <c r="JM59" s="46"/>
      <c r="JN59" s="46"/>
      <c r="JO59" s="46"/>
      <c r="JP59" s="46"/>
      <c r="JQ59" s="46"/>
      <c r="JR59" s="46"/>
      <c r="JS59" s="46"/>
      <c r="JT59" s="46"/>
      <c r="JU59" s="46"/>
      <c r="JV59" s="46"/>
      <c r="JW59" s="46"/>
      <c r="JX59" s="46"/>
      <c r="JY59" s="46"/>
      <c r="JZ59" s="46"/>
      <c r="KA59" s="46"/>
      <c r="KB59" s="46"/>
      <c r="KC59" s="46"/>
      <c r="KD59" s="46"/>
      <c r="KE59" s="46"/>
      <c r="KF59" s="46"/>
      <c r="KG59" s="46"/>
      <c r="KH59" s="46"/>
      <c r="KI59" s="46"/>
      <c r="KJ59" s="46"/>
      <c r="KK59" s="46"/>
      <c r="KL59" s="46"/>
      <c r="KM59" s="46"/>
      <c r="KN59" s="46"/>
      <c r="KO59" s="46"/>
      <c r="KP59" s="46"/>
      <c r="KQ59" s="46"/>
      <c r="KR59" s="46"/>
      <c r="KS59" s="46"/>
      <c r="KT59" s="46"/>
      <c r="KU59" s="46"/>
      <c r="KV59" s="46"/>
      <c r="KW59" s="46"/>
      <c r="KX59" s="46"/>
      <c r="KY59" s="46"/>
      <c r="KZ59" s="46"/>
      <c r="LA59" s="46"/>
      <c r="LB59" s="46"/>
      <c r="LC59" s="46"/>
      <c r="LD59" s="46"/>
      <c r="LE59" s="46"/>
      <c r="LF59" s="46"/>
      <c r="LG59" s="46"/>
      <c r="LH59" s="46"/>
      <c r="LI59" s="46"/>
      <c r="LJ59" s="46"/>
      <c r="LK59" s="46"/>
      <c r="LL59" s="46"/>
      <c r="LM59" s="46"/>
      <c r="LN59" s="46"/>
      <c r="LO59" s="46"/>
      <c r="LP59" s="46"/>
      <c r="LQ59" s="46"/>
      <c r="LR59" s="46"/>
      <c r="LS59" s="46"/>
      <c r="LT59" s="46"/>
      <c r="LU59" s="46"/>
      <c r="LV59" s="46"/>
      <c r="LW59" s="46"/>
      <c r="LX59" s="46"/>
      <c r="LY59" s="46"/>
      <c r="LZ59" s="46"/>
      <c r="MA59" s="46"/>
      <c r="MB59" s="46"/>
      <c r="MC59" s="46"/>
      <c r="MD59" s="46"/>
      <c r="ME59" s="46"/>
      <c r="MF59" s="46"/>
      <c r="MG59" s="46"/>
      <c r="MH59" s="46"/>
      <c r="MI59" s="46"/>
      <c r="MJ59" s="46"/>
      <c r="MK59" s="46"/>
      <c r="ML59" s="46"/>
      <c r="MM59" s="46"/>
      <c r="MN59" s="46"/>
      <c r="MO59" s="46"/>
      <c r="MP59" s="46"/>
      <c r="MQ59" s="46"/>
      <c r="MR59" s="46"/>
      <c r="MS59" s="46"/>
      <c r="MT59" s="46"/>
      <c r="MU59" s="46"/>
      <c r="MV59" s="46"/>
      <c r="MW59" s="46"/>
      <c r="MX59" s="46"/>
      <c r="MY59" s="46"/>
      <c r="MZ59" s="46"/>
      <c r="NA59" s="46"/>
      <c r="NB59" s="46"/>
      <c r="NC59" s="46"/>
      <c r="ND59" s="46"/>
      <c r="NE59" s="46"/>
      <c r="NF59" s="46"/>
      <c r="NG59" s="46"/>
      <c r="NH59" s="46"/>
      <c r="NI59" s="46"/>
      <c r="NJ59" s="46"/>
      <c r="NK59" s="46"/>
      <c r="NL59" s="46"/>
      <c r="NM59" s="46"/>
      <c r="NN59" s="46"/>
      <c r="NO59" s="46"/>
      <c r="NP59" s="46"/>
      <c r="NQ59" s="46"/>
      <c r="NR59" s="46"/>
      <c r="NS59" s="46"/>
      <c r="NT59" s="46"/>
      <c r="NU59" s="46"/>
      <c r="NV59" s="46"/>
      <c r="NW59" s="46"/>
      <c r="NX59" s="46"/>
      <c r="NY59" s="46"/>
      <c r="NZ59" s="46"/>
      <c r="OA59" s="46"/>
      <c r="OB59" s="46"/>
      <c r="OC59" s="46"/>
      <c r="OD59" s="46"/>
      <c r="OE59" s="46"/>
      <c r="OF59" s="46"/>
      <c r="OG59" s="46"/>
      <c r="OH59" s="46"/>
      <c r="OI59" s="46"/>
      <c r="OJ59" s="46"/>
      <c r="OK59" s="46"/>
      <c r="OL59" s="46"/>
      <c r="OM59" s="46"/>
      <c r="ON59" s="46"/>
      <c r="OO59" s="46"/>
      <c r="OP59" s="46"/>
      <c r="OQ59" s="46"/>
      <c r="OR59" s="46"/>
      <c r="OS59" s="46"/>
      <c r="OT59" s="46"/>
      <c r="OU59" s="46"/>
      <c r="OV59" s="46"/>
      <c r="OW59" s="46"/>
      <c r="OX59" s="46"/>
      <c r="OY59" s="46"/>
      <c r="OZ59" s="46"/>
      <c r="PA59" s="46"/>
      <c r="PB59" s="46"/>
      <c r="PC59" s="46"/>
      <c r="PD59" s="46"/>
      <c r="PE59" s="46"/>
      <c r="PF59" s="46"/>
      <c r="PG59" s="46"/>
      <c r="PH59" s="46"/>
      <c r="PI59" s="46"/>
      <c r="PJ59" s="46"/>
      <c r="PK59" s="46"/>
      <c r="PL59" s="46"/>
      <c r="PM59" s="46"/>
      <c r="PN59" s="46"/>
      <c r="PO59" s="46"/>
      <c r="PP59" s="46"/>
      <c r="PQ59" s="46"/>
      <c r="PR59" s="46"/>
      <c r="PS59" s="46"/>
      <c r="PT59" s="46"/>
      <c r="PU59" s="46"/>
      <c r="PV59" s="46"/>
      <c r="PW59" s="46"/>
      <c r="PX59" s="46"/>
      <c r="PY59" s="46"/>
      <c r="PZ59" s="46"/>
      <c r="QA59" s="46"/>
      <c r="QB59" s="46"/>
      <c r="QC59" s="46"/>
      <c r="QD59" s="46"/>
      <c r="QE59" s="46"/>
      <c r="QF59" s="46"/>
      <c r="QG59" s="46"/>
      <c r="QH59" s="46"/>
      <c r="QI59" s="46"/>
      <c r="QJ59" s="46"/>
      <c r="QK59" s="46"/>
      <c r="QL59" s="46"/>
      <c r="QM59" s="46"/>
      <c r="QN59" s="46"/>
      <c r="QO59" s="46"/>
      <c r="QP59" s="46"/>
      <c r="QQ59" s="46"/>
      <c r="QR59" s="46"/>
      <c r="QS59" s="46"/>
      <c r="QT59" s="46"/>
      <c r="QU59" s="46"/>
      <c r="QV59" s="46"/>
      <c r="QW59" s="46"/>
      <c r="QX59" s="46"/>
      <c r="QY59" s="46"/>
      <c r="QZ59" s="46"/>
      <c r="RA59" s="46"/>
      <c r="RB59" s="46"/>
      <c r="RC59" s="46"/>
      <c r="RD59" s="46"/>
      <c r="RE59" s="46"/>
      <c r="RF59" s="46"/>
      <c r="RG59" s="46"/>
      <c r="RH59" s="46"/>
      <c r="RI59" s="46"/>
      <c r="RJ59" s="46"/>
      <c r="RK59" s="46"/>
      <c r="RL59" s="46"/>
      <c r="RM59" s="46"/>
      <c r="RN59" s="46"/>
      <c r="RO59" s="46"/>
      <c r="RP59" s="46"/>
      <c r="RQ59" s="46"/>
      <c r="RR59" s="46"/>
      <c r="RS59" s="46"/>
      <c r="RT59" s="46"/>
      <c r="RU59" s="46"/>
      <c r="RV59" s="46"/>
      <c r="RW59" s="46"/>
      <c r="RX59" s="46"/>
      <c r="RY59" s="46"/>
      <c r="RZ59" s="46"/>
      <c r="SA59" s="46"/>
      <c r="SB59" s="46"/>
      <c r="SC59" s="46"/>
      <c r="SD59" s="46"/>
      <c r="SE59" s="46"/>
      <c r="SF59" s="46"/>
      <c r="SG59" s="46"/>
      <c r="SH59" s="46"/>
      <c r="SI59" s="46"/>
      <c r="SJ59" s="46"/>
      <c r="SK59" s="46"/>
      <c r="SL59" s="46"/>
      <c r="SM59" s="46"/>
      <c r="SN59" s="46"/>
      <c r="SO59" s="46"/>
      <c r="SP59" s="46"/>
      <c r="SQ59" s="46"/>
      <c r="SR59" s="46"/>
      <c r="SS59" s="46"/>
      <c r="ST59" s="46"/>
      <c r="SU59" s="46"/>
      <c r="SV59" s="46"/>
      <c r="SW59" s="46"/>
      <c r="SX59" s="46"/>
      <c r="SY59" s="46"/>
      <c r="SZ59" s="46"/>
      <c r="TA59" s="46"/>
      <c r="TB59" s="46"/>
      <c r="TC59" s="46"/>
      <c r="TD59" s="46"/>
      <c r="TE59" s="46"/>
      <c r="TF59" s="46"/>
      <c r="TG59" s="46"/>
      <c r="TH59" s="46"/>
      <c r="TI59" s="46"/>
      <c r="TJ59" s="46"/>
      <c r="TK59" s="46"/>
      <c r="TL59" s="46"/>
      <c r="TM59" s="46"/>
      <c r="TN59" s="46"/>
      <c r="TO59" s="46"/>
      <c r="TP59" s="46"/>
      <c r="TQ59" s="46"/>
      <c r="TR59" s="46"/>
      <c r="TS59" s="46"/>
      <c r="TT59" s="46"/>
      <c r="TU59" s="46"/>
      <c r="TV59" s="46"/>
      <c r="TW59" s="46"/>
      <c r="TX59" s="46"/>
      <c r="TY59" s="46"/>
      <c r="TZ59" s="46"/>
      <c r="UA59" s="46"/>
      <c r="UB59" s="46"/>
      <c r="UC59" s="46"/>
      <c r="UD59" s="46"/>
      <c r="UE59" s="46"/>
      <c r="UF59" s="46"/>
      <c r="UG59" s="46"/>
      <c r="UH59" s="46"/>
      <c r="UI59" s="46"/>
      <c r="UJ59" s="46"/>
      <c r="UK59" s="46"/>
      <c r="UL59" s="46"/>
      <c r="UM59" s="46"/>
      <c r="UN59" s="46"/>
      <c r="UO59" s="46"/>
      <c r="UP59" s="46"/>
      <c r="UQ59" s="46"/>
      <c r="UR59" s="46"/>
      <c r="US59" s="46"/>
      <c r="UT59" s="46"/>
      <c r="UU59" s="46"/>
      <c r="UV59" s="46"/>
      <c r="UW59" s="46"/>
      <c r="UX59" s="46"/>
      <c r="UY59" s="46"/>
      <c r="UZ59" s="46"/>
      <c r="VA59" s="46"/>
      <c r="VB59" s="46"/>
      <c r="VC59" s="46"/>
      <c r="VD59" s="46"/>
      <c r="VE59" s="46"/>
      <c r="VF59" s="46"/>
      <c r="VG59" s="46"/>
      <c r="VH59" s="46"/>
      <c r="VI59" s="46"/>
      <c r="VJ59" s="46"/>
      <c r="VK59" s="46"/>
      <c r="VL59" s="46"/>
      <c r="VM59" s="46"/>
      <c r="VN59" s="46"/>
      <c r="VO59" s="46"/>
      <c r="VP59" s="46"/>
      <c r="VQ59" s="46"/>
      <c r="VR59" s="46"/>
      <c r="VS59" s="46"/>
      <c r="VT59" s="46"/>
      <c r="VU59" s="46"/>
      <c r="VV59" s="46"/>
      <c r="VW59" s="46"/>
      <c r="VX59" s="46"/>
      <c r="VY59" s="46"/>
      <c r="VZ59" s="46"/>
      <c r="WA59" s="46"/>
      <c r="WB59" s="46"/>
      <c r="WC59" s="46"/>
      <c r="WD59" s="46"/>
      <c r="WE59" s="46"/>
      <c r="WF59" s="46"/>
      <c r="WG59" s="46"/>
      <c r="WH59" s="46"/>
      <c r="WI59" s="46"/>
      <c r="WJ59" s="46"/>
      <c r="WK59" s="46"/>
      <c r="WL59" s="46"/>
      <c r="WM59" s="46"/>
      <c r="WN59" s="46"/>
      <c r="WO59" s="46"/>
      <c r="WP59" s="46"/>
      <c r="WQ59" s="46"/>
      <c r="WR59" s="46"/>
      <c r="WS59" s="46"/>
      <c r="WT59" s="46"/>
      <c r="WU59" s="46"/>
      <c r="WV59" s="46"/>
      <c r="WW59" s="46"/>
      <c r="WX59" s="46"/>
      <c r="WY59" s="46"/>
      <c r="WZ59" s="46"/>
      <c r="XA59" s="46"/>
      <c r="XB59" s="46"/>
      <c r="XC59" s="46"/>
      <c r="XD59" s="46"/>
      <c r="XE59" s="46"/>
      <c r="XF59" s="46"/>
      <c r="XG59" s="46"/>
      <c r="XH59" s="46"/>
      <c r="XI59" s="46"/>
      <c r="XJ59" s="46"/>
      <c r="XK59" s="46"/>
      <c r="XL59" s="46"/>
      <c r="XM59" s="46"/>
      <c r="XN59" s="46"/>
      <c r="XO59" s="46"/>
      <c r="XP59" s="46"/>
      <c r="XQ59" s="46"/>
      <c r="XR59" s="46"/>
      <c r="XS59" s="46"/>
      <c r="XT59" s="46"/>
      <c r="XU59" s="46"/>
      <c r="XV59" s="46"/>
      <c r="XW59" s="46"/>
      <c r="XX59" s="46"/>
      <c r="XY59" s="46"/>
      <c r="XZ59" s="46"/>
      <c r="YA59" s="46"/>
      <c r="YB59" s="46"/>
      <c r="YC59" s="46"/>
      <c r="YD59" s="46"/>
      <c r="YE59" s="46"/>
      <c r="YF59" s="46"/>
      <c r="YG59" s="46"/>
      <c r="YH59" s="46"/>
      <c r="YI59" s="46"/>
      <c r="YJ59" s="46"/>
      <c r="YK59" s="46"/>
      <c r="YL59" s="46"/>
      <c r="YM59" s="46"/>
      <c r="YN59" s="46"/>
      <c r="YO59" s="46"/>
      <c r="YP59" s="46"/>
      <c r="YQ59" s="46"/>
      <c r="YR59" s="46"/>
      <c r="YS59" s="46"/>
      <c r="YT59" s="46"/>
      <c r="YU59" s="46"/>
      <c r="YV59" s="46"/>
      <c r="YW59" s="46"/>
      <c r="YX59" s="46"/>
      <c r="YY59" s="46"/>
      <c r="YZ59" s="46"/>
      <c r="ZA59" s="46"/>
      <c r="ZB59" s="46"/>
      <c r="ZC59" s="46"/>
      <c r="ZD59" s="46"/>
      <c r="ZE59" s="46"/>
      <c r="ZF59" s="46"/>
      <c r="ZG59" s="46"/>
      <c r="ZH59" s="46"/>
      <c r="ZI59" s="46"/>
      <c r="ZJ59" s="46"/>
      <c r="ZK59" s="46"/>
      <c r="ZL59" s="46"/>
      <c r="ZM59" s="46"/>
      <c r="ZN59" s="46"/>
      <c r="ZO59" s="46"/>
      <c r="ZP59" s="46"/>
      <c r="ZQ59" s="46"/>
      <c r="ZR59" s="46"/>
      <c r="ZS59" s="46"/>
      <c r="ZT59" s="46"/>
      <c r="ZU59" s="46"/>
      <c r="ZV59" s="46"/>
      <c r="ZW59" s="46"/>
      <c r="ZX59" s="46"/>
      <c r="ZY59" s="46"/>
      <c r="ZZ59" s="46"/>
      <c r="AAA59" s="46"/>
      <c r="AAB59" s="46"/>
      <c r="AAC59" s="46"/>
      <c r="AAD59" s="46"/>
      <c r="AAE59" s="46"/>
      <c r="AAF59" s="46"/>
      <c r="AAG59" s="46"/>
      <c r="AAH59" s="46"/>
      <c r="AAI59" s="46"/>
      <c r="AAJ59" s="46"/>
      <c r="AAK59" s="46"/>
      <c r="AAL59" s="46"/>
      <c r="AAM59" s="46"/>
      <c r="AAN59" s="46"/>
      <c r="AAO59" s="46"/>
      <c r="AAP59" s="46"/>
      <c r="AAQ59" s="46"/>
      <c r="AAR59" s="46"/>
      <c r="AAS59" s="46"/>
      <c r="AAT59" s="46"/>
      <c r="AAU59" s="46"/>
      <c r="AAV59" s="46"/>
      <c r="AAW59" s="46"/>
      <c r="AAX59" s="46"/>
      <c r="AAY59" s="46"/>
      <c r="AAZ59" s="46"/>
      <c r="ABA59" s="46"/>
      <c r="ABB59" s="46"/>
      <c r="ABC59" s="46"/>
      <c r="ABD59" s="46"/>
      <c r="ABE59" s="46"/>
      <c r="ABF59" s="46"/>
      <c r="ABG59" s="46"/>
      <c r="ABH59" s="46"/>
      <c r="ABI59" s="46"/>
      <c r="ABJ59" s="46"/>
      <c r="ABK59" s="46"/>
      <c r="ABL59" s="46"/>
      <c r="ABM59" s="46"/>
      <c r="ABN59" s="46"/>
      <c r="ABO59" s="46"/>
      <c r="ABP59" s="46"/>
      <c r="ABQ59" s="46"/>
      <c r="ABR59" s="46"/>
      <c r="ABS59" s="46"/>
      <c r="ABT59" s="46"/>
      <c r="ABU59" s="46"/>
      <c r="ABV59" s="46"/>
      <c r="ABW59" s="46"/>
      <c r="ABX59" s="46"/>
      <c r="ABY59" s="46"/>
      <c r="ABZ59" s="46"/>
      <c r="ACA59" s="46"/>
      <c r="ACB59" s="46"/>
      <c r="ACC59" s="46"/>
      <c r="ACD59" s="46"/>
      <c r="ACE59" s="46"/>
      <c r="ACF59" s="46"/>
      <c r="ACG59" s="46"/>
      <c r="ACH59" s="46"/>
      <c r="ACI59" s="46"/>
      <c r="ACJ59" s="46"/>
      <c r="ACK59" s="46"/>
      <c r="ACL59" s="46"/>
      <c r="ACM59" s="46"/>
      <c r="ACN59" s="46"/>
      <c r="ACO59" s="46"/>
      <c r="ACP59" s="46"/>
      <c r="ACQ59" s="46"/>
      <c r="ACR59" s="46"/>
      <c r="ACS59" s="46"/>
      <c r="ACT59" s="46"/>
      <c r="ACU59" s="46"/>
      <c r="ACV59" s="46"/>
      <c r="ACW59" s="46"/>
      <c r="ACX59" s="46"/>
      <c r="ACY59" s="46"/>
      <c r="ACZ59" s="46"/>
      <c r="ADA59" s="46"/>
      <c r="ADB59" s="46"/>
      <c r="ADC59" s="46"/>
      <c r="ADD59" s="46"/>
      <c r="ADE59" s="46"/>
      <c r="ADF59" s="46"/>
      <c r="ADG59" s="46"/>
      <c r="ADH59" s="46"/>
      <c r="ADI59" s="46"/>
      <c r="ADJ59" s="46"/>
      <c r="ADK59" s="46"/>
      <c r="ADL59" s="46"/>
      <c r="ADM59" s="46"/>
      <c r="ADN59" s="46"/>
      <c r="ADO59" s="46"/>
      <c r="ADP59" s="46"/>
      <c r="ADQ59" s="46"/>
      <c r="ADR59" s="46"/>
      <c r="ADS59" s="46"/>
      <c r="ADT59" s="46"/>
      <c r="ADU59" s="46"/>
      <c r="ADV59" s="46"/>
      <c r="ADW59" s="46"/>
      <c r="ADX59" s="46"/>
      <c r="ADY59" s="46"/>
      <c r="ADZ59" s="46"/>
      <c r="AEA59" s="46"/>
      <c r="AEB59" s="46"/>
      <c r="AEC59" s="46"/>
      <c r="AED59" s="46"/>
      <c r="AEE59" s="46"/>
      <c r="AEF59" s="46"/>
      <c r="AEG59" s="46"/>
      <c r="AEH59" s="46"/>
      <c r="AEI59" s="46"/>
      <c r="AEJ59" s="46"/>
      <c r="AEK59" s="46"/>
      <c r="AEL59" s="46"/>
      <c r="AEM59" s="46"/>
      <c r="AEN59" s="46"/>
      <c r="AEO59" s="46"/>
      <c r="AEP59" s="46"/>
      <c r="AEQ59" s="46"/>
      <c r="AER59" s="46"/>
      <c r="AES59" s="46"/>
      <c r="AET59" s="46"/>
      <c r="AEU59" s="46"/>
      <c r="AEV59" s="46"/>
      <c r="AEW59" s="46"/>
      <c r="AEX59" s="46"/>
      <c r="AEY59" s="46"/>
      <c r="AEZ59" s="46"/>
      <c r="AFA59" s="46"/>
      <c r="AFB59" s="46"/>
      <c r="AFC59" s="46"/>
      <c r="AFD59" s="46"/>
      <c r="AFE59" s="46"/>
      <c r="AFF59" s="46"/>
      <c r="AFG59" s="46"/>
      <c r="AFH59" s="46"/>
      <c r="AFI59" s="46"/>
      <c r="AFJ59" s="46"/>
      <c r="AFK59" s="46"/>
      <c r="AFL59" s="46"/>
      <c r="AFM59" s="46"/>
      <c r="AFN59" s="46"/>
      <c r="AFO59" s="46"/>
      <c r="AFP59" s="46"/>
      <c r="AFQ59" s="46"/>
      <c r="AFR59" s="46"/>
      <c r="AFS59" s="46"/>
      <c r="AFT59" s="46"/>
      <c r="AFU59" s="46"/>
      <c r="AFV59" s="46"/>
      <c r="AFW59" s="46"/>
      <c r="AFX59" s="46"/>
      <c r="AFY59" s="46"/>
      <c r="AFZ59" s="46"/>
      <c r="AGA59" s="46"/>
      <c r="AGB59" s="46"/>
      <c r="AGC59" s="46"/>
      <c r="AGD59" s="46"/>
      <c r="AGE59" s="46"/>
      <c r="AGF59" s="46"/>
      <c r="AGG59" s="46"/>
      <c r="AGH59" s="46"/>
      <c r="AGI59" s="46"/>
      <c r="AGJ59" s="46"/>
      <c r="AGK59" s="46"/>
      <c r="AGL59" s="46"/>
      <c r="AGM59" s="46"/>
      <c r="AGN59" s="46"/>
      <c r="AGO59" s="46"/>
      <c r="AGP59" s="46"/>
      <c r="AGQ59" s="46"/>
      <c r="AGR59" s="46"/>
      <c r="AGS59" s="46"/>
      <c r="AGT59" s="46"/>
      <c r="AGU59" s="46"/>
      <c r="AGV59" s="46"/>
      <c r="AGW59" s="46"/>
      <c r="AGX59" s="46"/>
      <c r="AGY59" s="46"/>
      <c r="AGZ59" s="46"/>
      <c r="AHA59" s="46"/>
      <c r="AHB59" s="46"/>
      <c r="AHC59" s="46"/>
      <c r="AHD59" s="46"/>
      <c r="AHE59" s="46"/>
      <c r="AHF59" s="46"/>
      <c r="AHG59" s="46"/>
      <c r="AHH59" s="46"/>
      <c r="AHI59" s="46"/>
      <c r="AHJ59" s="46"/>
      <c r="AHK59" s="46"/>
      <c r="AHL59" s="46"/>
      <c r="AHM59" s="46"/>
      <c r="AHN59" s="46"/>
      <c r="AHO59" s="46"/>
      <c r="AHP59" s="46"/>
      <c r="AHQ59" s="46"/>
      <c r="AHR59" s="46"/>
      <c r="AHS59" s="46"/>
      <c r="AHT59" s="46"/>
      <c r="AHU59" s="46"/>
      <c r="AHV59" s="46"/>
      <c r="AHW59" s="46"/>
      <c r="AHX59" s="46"/>
      <c r="AHY59" s="46"/>
      <c r="AHZ59" s="46"/>
      <c r="AIA59" s="46"/>
      <c r="AIB59" s="46"/>
      <c r="AIC59" s="46"/>
      <c r="AID59" s="46"/>
      <c r="AIE59" s="46"/>
      <c r="AIF59" s="46"/>
      <c r="AIG59" s="46"/>
      <c r="AIH59" s="46"/>
      <c r="AII59" s="46"/>
      <c r="AIJ59" s="46"/>
      <c r="AIK59" s="46"/>
      <c r="AIL59" s="46"/>
      <c r="AIM59" s="46"/>
      <c r="AIN59" s="46"/>
      <c r="AIO59" s="46"/>
      <c r="AIP59" s="46"/>
      <c r="AIQ59" s="46"/>
      <c r="AIR59" s="46"/>
      <c r="AIS59" s="46"/>
      <c r="AIT59" s="46"/>
      <c r="AIU59" s="46"/>
      <c r="AIV59" s="46"/>
      <c r="AIW59" s="46"/>
      <c r="AIX59" s="46"/>
      <c r="AIY59" s="46"/>
      <c r="AIZ59" s="46"/>
      <c r="AJA59" s="46"/>
      <c r="AJB59" s="46"/>
      <c r="AJC59" s="46"/>
      <c r="AJD59" s="46"/>
      <c r="AJE59" s="46"/>
      <c r="AJF59" s="46"/>
      <c r="AJG59" s="46"/>
      <c r="AJH59" s="46"/>
      <c r="AJI59" s="46"/>
      <c r="AJJ59" s="46"/>
      <c r="AJK59" s="46"/>
      <c r="AJL59" s="46"/>
      <c r="AJM59" s="46"/>
      <c r="AJN59" s="46"/>
      <c r="AJO59" s="46"/>
      <c r="AJP59" s="46"/>
      <c r="AJQ59" s="46"/>
      <c r="AJR59" s="46"/>
      <c r="AJS59" s="46"/>
      <c r="AJT59" s="46"/>
      <c r="AJU59" s="46"/>
      <c r="AJV59" s="46"/>
      <c r="AJW59" s="46"/>
      <c r="AJX59" s="46"/>
      <c r="AJY59" s="46"/>
      <c r="AJZ59" s="46"/>
      <c r="AKA59" s="46"/>
      <c r="AKB59" s="46"/>
      <c r="AKC59" s="46"/>
      <c r="AKD59" s="46"/>
      <c r="AKE59" s="46"/>
      <c r="AKF59" s="46"/>
      <c r="AKG59" s="46"/>
      <c r="AKH59" s="46"/>
      <c r="AKI59" s="46"/>
      <c r="AKJ59" s="46"/>
      <c r="AKK59" s="46"/>
      <c r="AKL59" s="46"/>
      <c r="AKM59" s="46"/>
      <c r="AKN59" s="46"/>
      <c r="AKO59" s="46"/>
      <c r="AKP59" s="46"/>
      <c r="AKQ59" s="46"/>
      <c r="AKR59" s="46"/>
      <c r="AKS59" s="46"/>
      <c r="AKT59" s="46"/>
      <c r="AKU59" s="46"/>
      <c r="AKV59" s="46"/>
      <c r="AKW59" s="46"/>
      <c r="AKX59" s="46"/>
      <c r="AKY59" s="46"/>
      <c r="AKZ59" s="46"/>
      <c r="ALA59" s="46"/>
      <c r="ALB59" s="46"/>
      <c r="ALC59" s="46"/>
      <c r="ALD59" s="46"/>
      <c r="ALE59" s="46"/>
      <c r="ALF59" s="46"/>
      <c r="ALG59" s="46"/>
      <c r="ALH59" s="46"/>
      <c r="ALI59" s="46"/>
      <c r="ALJ59" s="46"/>
      <c r="ALK59" s="46"/>
      <c r="ALL59" s="46"/>
      <c r="ALM59" s="46"/>
      <c r="ALN59" s="46"/>
      <c r="ALO59" s="46"/>
      <c r="ALP59" s="46"/>
      <c r="ALQ59" s="46"/>
      <c r="ALR59" s="46"/>
      <c r="ALS59" s="46"/>
      <c r="ALT59" s="46"/>
      <c r="ALU59" s="46"/>
      <c r="ALV59" s="46"/>
      <c r="ALW59" s="46"/>
      <c r="ALX59" s="46"/>
      <c r="ALY59" s="46"/>
      <c r="ALZ59" s="46"/>
      <c r="AMA59" s="46"/>
      <c r="AMB59" s="46"/>
      <c r="AMC59" s="46"/>
      <c r="AMD59" s="46"/>
      <c r="AME59" s="46"/>
      <c r="AMF59" s="46"/>
      <c r="AMG59" s="46"/>
      <c r="AMH59" s="46"/>
      <c r="AMI59" s="46"/>
      <c r="AMJ59" s="46"/>
      <c r="AMK59" s="46"/>
      <c r="AML59" s="46"/>
      <c r="AMM59" s="46"/>
      <c r="AMN59" s="46"/>
      <c r="AMO59" s="46"/>
      <c r="AMP59" s="46"/>
      <c r="AMQ59" s="46"/>
      <c r="AMR59" s="46"/>
      <c r="AMS59" s="46"/>
      <c r="AMT59" s="46"/>
      <c r="AMU59" s="46"/>
      <c r="AMV59" s="46"/>
      <c r="AMW59" s="46"/>
      <c r="AMX59" s="46"/>
      <c r="AMY59" s="46"/>
      <c r="AMZ59" s="46"/>
      <c r="ANA59" s="46"/>
      <c r="ANB59" s="46"/>
      <c r="ANC59" s="46"/>
      <c r="AND59" s="46"/>
      <c r="ANE59" s="46"/>
      <c r="ANF59" s="46"/>
      <c r="ANG59" s="46"/>
      <c r="ANH59" s="46"/>
      <c r="ANI59" s="46"/>
      <c r="ANJ59" s="46"/>
      <c r="ANK59" s="46"/>
      <c r="ANL59" s="46"/>
      <c r="ANM59" s="46"/>
      <c r="ANN59" s="46"/>
      <c r="ANO59" s="46"/>
      <c r="ANP59" s="46"/>
      <c r="ANQ59" s="46"/>
      <c r="ANR59" s="46"/>
      <c r="ANS59" s="46"/>
      <c r="ANT59" s="46"/>
      <c r="ANU59" s="46"/>
      <c r="ANV59" s="46"/>
      <c r="ANW59" s="46"/>
      <c r="ANX59" s="46"/>
      <c r="ANY59" s="46"/>
      <c r="ANZ59" s="46"/>
      <c r="AOA59" s="46"/>
      <c r="AOB59" s="46"/>
      <c r="AOC59" s="46"/>
      <c r="AOD59" s="46"/>
      <c r="AOE59" s="46"/>
      <c r="AOF59" s="46"/>
      <c r="AOG59" s="46"/>
      <c r="AOH59" s="46"/>
      <c r="AOI59" s="46"/>
      <c r="AOJ59" s="46"/>
      <c r="AOK59" s="46"/>
      <c r="AOL59" s="46"/>
      <c r="AOM59" s="46"/>
      <c r="AON59" s="46"/>
      <c r="AOO59" s="46"/>
      <c r="AOP59" s="46"/>
      <c r="AOQ59" s="46"/>
      <c r="AOR59" s="46"/>
      <c r="AOS59" s="46"/>
      <c r="AOT59" s="46"/>
      <c r="AOU59" s="46"/>
      <c r="AOV59" s="46"/>
      <c r="AOW59" s="46"/>
      <c r="AOX59" s="46"/>
      <c r="AOY59" s="46"/>
      <c r="AOZ59" s="46"/>
      <c r="APA59" s="46"/>
      <c r="APB59" s="46"/>
      <c r="APC59" s="46"/>
      <c r="APD59" s="46"/>
      <c r="APE59" s="46"/>
      <c r="APF59" s="46"/>
      <c r="APG59" s="46"/>
      <c r="APH59" s="46"/>
      <c r="API59" s="46"/>
      <c r="APJ59" s="46"/>
      <c r="APK59" s="46"/>
      <c r="APL59" s="46"/>
      <c r="APM59" s="46"/>
      <c r="APN59" s="46"/>
      <c r="APO59" s="46"/>
      <c r="APP59" s="46"/>
      <c r="APQ59" s="46"/>
      <c r="APR59" s="46"/>
      <c r="APS59" s="46"/>
      <c r="APT59" s="46"/>
      <c r="APU59" s="46"/>
      <c r="APV59" s="46"/>
      <c r="APW59" s="46"/>
      <c r="APX59" s="46"/>
      <c r="APY59" s="46"/>
      <c r="APZ59" s="46"/>
      <c r="AQA59" s="46"/>
      <c r="AQB59" s="46"/>
      <c r="AQC59" s="46"/>
      <c r="AQD59" s="46"/>
      <c r="AQE59" s="46"/>
      <c r="AQF59" s="46"/>
      <c r="AQG59" s="46"/>
      <c r="AQH59" s="46"/>
      <c r="AQI59" s="46"/>
      <c r="AQJ59" s="46"/>
      <c r="AQK59" s="46"/>
      <c r="AQL59" s="46"/>
      <c r="AQM59" s="46"/>
      <c r="AQN59" s="46"/>
      <c r="AQO59" s="46"/>
      <c r="AQP59" s="46"/>
      <c r="AQQ59" s="46"/>
      <c r="AQR59" s="46"/>
      <c r="AQS59" s="46"/>
      <c r="AQT59" s="46"/>
      <c r="AQU59" s="46"/>
      <c r="AQV59" s="46"/>
      <c r="AQW59" s="46"/>
      <c r="AQX59" s="46"/>
      <c r="AQY59" s="46"/>
      <c r="AQZ59" s="46"/>
      <c r="ARA59" s="46"/>
      <c r="ARB59" s="46"/>
      <c r="ARC59" s="46"/>
      <c r="ARD59" s="46"/>
      <c r="ARE59" s="46"/>
      <c r="ARF59" s="46"/>
      <c r="ARG59" s="46"/>
      <c r="ARH59" s="46"/>
      <c r="ARI59" s="46"/>
      <c r="ARJ59" s="46"/>
      <c r="ARK59" s="46"/>
      <c r="ARL59" s="46"/>
      <c r="ARM59" s="46"/>
      <c r="ARN59" s="46"/>
      <c r="ARO59" s="46"/>
      <c r="ARP59" s="46"/>
      <c r="ARQ59" s="46"/>
      <c r="ARR59" s="46"/>
      <c r="ARS59" s="46"/>
      <c r="ART59" s="46"/>
      <c r="ARU59" s="46"/>
      <c r="ARV59" s="46"/>
      <c r="ARW59" s="46"/>
      <c r="ARX59" s="46"/>
      <c r="ARY59" s="46"/>
      <c r="ARZ59" s="46"/>
      <c r="ASA59" s="46"/>
      <c r="ASB59" s="46"/>
      <c r="ASC59" s="46"/>
      <c r="ASD59" s="46"/>
      <c r="ASE59" s="46"/>
      <c r="ASF59" s="46"/>
      <c r="ASG59" s="46"/>
      <c r="ASH59" s="46"/>
      <c r="ASI59" s="46"/>
      <c r="ASJ59" s="46"/>
      <c r="ASK59" s="46"/>
      <c r="ASL59" s="46"/>
      <c r="ASM59" s="46"/>
      <c r="ASN59" s="46"/>
      <c r="ASO59" s="46"/>
      <c r="ASP59" s="46"/>
      <c r="ASQ59" s="46"/>
      <c r="ASR59" s="46"/>
      <c r="ASS59" s="46"/>
      <c r="AST59" s="46"/>
      <c r="ASU59" s="46"/>
      <c r="ASV59" s="46"/>
      <c r="ASW59" s="46"/>
      <c r="ASX59" s="46"/>
      <c r="ASY59" s="46"/>
      <c r="ASZ59" s="46"/>
      <c r="ATA59" s="46"/>
      <c r="ATB59" s="46"/>
      <c r="ATC59" s="46"/>
      <c r="ATD59" s="46"/>
      <c r="ATE59" s="46"/>
      <c r="ATF59" s="46"/>
      <c r="ATG59" s="46"/>
      <c r="ATH59" s="46"/>
      <c r="ATI59" s="46"/>
      <c r="ATJ59" s="46"/>
      <c r="ATK59" s="46"/>
      <c r="ATL59" s="46"/>
      <c r="ATM59" s="46"/>
      <c r="ATN59" s="46"/>
      <c r="ATO59" s="46"/>
      <c r="ATP59" s="46"/>
      <c r="ATQ59" s="46"/>
      <c r="ATR59" s="46"/>
      <c r="ATS59" s="46"/>
      <c r="ATT59" s="46"/>
      <c r="ATU59" s="46"/>
      <c r="ATV59" s="46"/>
      <c r="ATW59" s="46"/>
      <c r="ATX59" s="46"/>
      <c r="ATY59" s="46"/>
      <c r="ATZ59" s="46"/>
      <c r="AUA59" s="46"/>
      <c r="AUB59" s="46"/>
      <c r="AUC59" s="46"/>
      <c r="AUD59" s="46"/>
      <c r="AUE59" s="46"/>
      <c r="AUF59" s="46"/>
      <c r="AUG59" s="46"/>
      <c r="AUH59" s="46"/>
      <c r="AUI59" s="46"/>
      <c r="AUJ59" s="46"/>
      <c r="AUK59" s="46"/>
      <c r="AUL59" s="46"/>
      <c r="AUM59" s="46"/>
      <c r="AUN59" s="46"/>
      <c r="AUO59" s="46"/>
      <c r="AUP59" s="46"/>
      <c r="AUQ59" s="46"/>
      <c r="AUR59" s="46"/>
      <c r="AUS59" s="46"/>
      <c r="AUT59" s="46"/>
      <c r="AUU59" s="46"/>
      <c r="AUV59" s="46"/>
      <c r="AUW59" s="46"/>
      <c r="AUX59" s="46"/>
      <c r="AUY59" s="46"/>
      <c r="AUZ59" s="46"/>
      <c r="AVA59" s="46"/>
      <c r="AVB59" s="46"/>
      <c r="AVC59" s="46"/>
      <c r="AVD59" s="46"/>
      <c r="AVE59" s="46"/>
      <c r="AVF59" s="46"/>
      <c r="AVG59" s="46"/>
      <c r="AVH59" s="46"/>
      <c r="AVI59" s="46"/>
      <c r="AVJ59" s="46"/>
      <c r="AVK59" s="46"/>
      <c r="AVL59" s="46"/>
      <c r="AVM59" s="46"/>
      <c r="AVN59" s="46"/>
      <c r="AVO59" s="46"/>
      <c r="AVP59" s="46"/>
      <c r="AVQ59" s="46"/>
      <c r="AVR59" s="46"/>
      <c r="AVS59" s="46"/>
      <c r="AVT59" s="46"/>
      <c r="AVU59" s="46"/>
      <c r="AVV59" s="46"/>
      <c r="AVW59" s="46"/>
      <c r="AVX59" s="46"/>
      <c r="AVY59" s="46"/>
      <c r="AVZ59" s="46"/>
      <c r="AWA59" s="46"/>
      <c r="AWB59" s="46"/>
      <c r="AWC59" s="46"/>
      <c r="AWD59" s="46"/>
      <c r="AWE59" s="46"/>
      <c r="AWF59" s="46"/>
      <c r="AWG59" s="46"/>
      <c r="AWH59" s="46"/>
      <c r="AWI59" s="46"/>
      <c r="AWJ59" s="46"/>
      <c r="AWK59" s="46"/>
      <c r="AWL59" s="46"/>
      <c r="AWM59" s="46"/>
      <c r="AWN59" s="46"/>
      <c r="AWO59" s="46"/>
      <c r="AWP59" s="46"/>
      <c r="AWQ59" s="46"/>
      <c r="AWR59" s="46"/>
      <c r="AWS59" s="46"/>
      <c r="AWT59" s="46"/>
      <c r="AWU59" s="46"/>
      <c r="AWV59" s="46"/>
      <c r="AWW59" s="46"/>
      <c r="AWX59" s="46"/>
      <c r="AWY59" s="46"/>
      <c r="AWZ59" s="46"/>
      <c r="AXA59" s="46"/>
      <c r="AXB59" s="46"/>
      <c r="AXC59" s="46"/>
      <c r="AXD59" s="46"/>
      <c r="AXE59" s="46"/>
      <c r="AXF59" s="46"/>
      <c r="AXG59" s="46"/>
      <c r="AXH59" s="46"/>
      <c r="AXI59" s="46"/>
      <c r="AXJ59" s="46"/>
      <c r="AXK59" s="46"/>
      <c r="AXL59" s="46"/>
      <c r="AXM59" s="46"/>
      <c r="AXN59" s="46"/>
      <c r="AXO59" s="46"/>
      <c r="AXP59" s="46"/>
      <c r="AXQ59" s="46"/>
      <c r="AXR59" s="46"/>
      <c r="AXS59" s="46"/>
      <c r="AXT59" s="46"/>
      <c r="AXU59" s="46"/>
      <c r="AXV59" s="46"/>
      <c r="AXW59" s="46"/>
      <c r="AXX59" s="46"/>
      <c r="AXY59" s="46"/>
      <c r="AXZ59" s="46"/>
      <c r="AYA59" s="46"/>
      <c r="AYB59" s="46"/>
      <c r="AYC59" s="46"/>
      <c r="AYD59" s="46"/>
      <c r="AYE59" s="46"/>
      <c r="AYF59" s="46"/>
      <c r="AYG59" s="46"/>
      <c r="AYH59" s="46"/>
      <c r="AYI59" s="46"/>
      <c r="AYJ59" s="46"/>
      <c r="AYK59" s="46"/>
      <c r="AYL59" s="46"/>
      <c r="AYM59" s="46"/>
      <c r="AYN59" s="46"/>
      <c r="AYO59" s="46"/>
      <c r="AYP59" s="46"/>
      <c r="AYQ59" s="46"/>
      <c r="AYR59" s="46"/>
      <c r="AYS59" s="46"/>
      <c r="AYT59" s="46"/>
      <c r="AYU59" s="46"/>
      <c r="AYV59" s="46"/>
      <c r="AYW59" s="46"/>
      <c r="AYX59" s="46"/>
      <c r="AYY59" s="46"/>
      <c r="AYZ59" s="46"/>
      <c r="AZA59" s="46"/>
      <c r="AZB59" s="46"/>
      <c r="AZC59" s="46"/>
      <c r="AZD59" s="46"/>
      <c r="AZE59" s="46"/>
      <c r="AZF59" s="46"/>
      <c r="AZG59" s="46"/>
      <c r="AZH59" s="46"/>
      <c r="AZI59" s="46"/>
      <c r="AZJ59" s="46"/>
      <c r="AZK59" s="46"/>
      <c r="AZL59" s="46"/>
      <c r="AZM59" s="46"/>
      <c r="AZN59" s="46"/>
      <c r="AZO59" s="46"/>
      <c r="AZP59" s="46"/>
      <c r="AZQ59" s="46"/>
      <c r="AZR59" s="46"/>
      <c r="AZS59" s="46"/>
      <c r="AZT59" s="46"/>
      <c r="AZU59" s="46"/>
      <c r="AZV59" s="46"/>
      <c r="AZW59" s="46"/>
      <c r="AZX59" s="46"/>
      <c r="AZY59" s="46"/>
      <c r="AZZ59" s="46"/>
      <c r="BAA59" s="46"/>
      <c r="BAB59" s="46"/>
      <c r="BAC59" s="46"/>
      <c r="BAD59" s="46"/>
      <c r="BAE59" s="46"/>
      <c r="BAF59" s="46"/>
      <c r="BAG59" s="46"/>
      <c r="BAH59" s="46"/>
      <c r="BAI59" s="46"/>
      <c r="BAJ59" s="46"/>
      <c r="BAK59" s="46"/>
      <c r="BAL59" s="46"/>
      <c r="BAM59" s="46"/>
      <c r="BAN59" s="46"/>
      <c r="BAO59" s="46"/>
      <c r="BAP59" s="46"/>
      <c r="BAQ59" s="46"/>
      <c r="BAR59" s="46"/>
      <c r="BAS59" s="46"/>
      <c r="BAT59" s="46"/>
      <c r="BAU59" s="46"/>
      <c r="BAV59" s="46"/>
      <c r="BAW59" s="46"/>
      <c r="BAX59" s="46"/>
      <c r="BAY59" s="46"/>
      <c r="BAZ59" s="46"/>
      <c r="BBA59" s="46"/>
      <c r="BBB59" s="46"/>
      <c r="BBC59" s="46"/>
      <c r="BBD59" s="46"/>
      <c r="BBE59" s="46"/>
      <c r="BBF59" s="46"/>
      <c r="BBG59" s="46"/>
      <c r="BBH59" s="46"/>
      <c r="BBI59" s="46"/>
      <c r="BBJ59" s="46"/>
      <c r="BBK59" s="46"/>
      <c r="BBL59" s="46"/>
      <c r="BBM59" s="46"/>
      <c r="BBN59" s="46"/>
      <c r="BBO59" s="46"/>
      <c r="BBP59" s="46"/>
      <c r="BBQ59" s="46"/>
      <c r="BBR59" s="46"/>
      <c r="BBS59" s="46"/>
      <c r="BBT59" s="46"/>
      <c r="BBU59" s="46"/>
      <c r="BBV59" s="46"/>
      <c r="BBW59" s="46"/>
      <c r="BBX59" s="46"/>
      <c r="BBY59" s="46"/>
      <c r="BBZ59" s="46"/>
      <c r="BCA59" s="46"/>
      <c r="BCB59" s="46"/>
      <c r="BCC59" s="46"/>
      <c r="BCD59" s="46"/>
      <c r="BCE59" s="46"/>
      <c r="BCF59" s="46"/>
      <c r="BCG59" s="46"/>
      <c r="BCH59" s="46"/>
      <c r="BCI59" s="46"/>
      <c r="BCJ59" s="46"/>
      <c r="BCK59" s="46"/>
      <c r="BCL59" s="46"/>
      <c r="BCM59" s="46"/>
      <c r="BCN59" s="46"/>
      <c r="BCO59" s="46"/>
      <c r="BCP59" s="46"/>
      <c r="BCQ59" s="46"/>
      <c r="BCR59" s="46"/>
      <c r="BCS59" s="46"/>
      <c r="BCT59" s="46"/>
      <c r="BCU59" s="46"/>
      <c r="BCV59" s="46"/>
      <c r="BCW59" s="46"/>
      <c r="BCX59" s="46"/>
      <c r="BCY59" s="46"/>
      <c r="BCZ59" s="46"/>
      <c r="BDA59" s="46"/>
      <c r="BDB59" s="46"/>
      <c r="BDC59" s="46"/>
      <c r="BDD59" s="46"/>
      <c r="BDE59" s="46"/>
      <c r="BDF59" s="46"/>
      <c r="BDG59" s="46"/>
      <c r="BDH59" s="46"/>
      <c r="BDI59" s="46"/>
      <c r="BDJ59" s="46"/>
      <c r="BDK59" s="46"/>
      <c r="BDL59" s="46"/>
      <c r="BDM59" s="46"/>
      <c r="BDN59" s="46"/>
      <c r="BDO59" s="46"/>
      <c r="BDP59" s="46"/>
      <c r="BDQ59" s="46"/>
      <c r="BDR59" s="46"/>
      <c r="BDS59" s="46"/>
      <c r="BDT59" s="46"/>
      <c r="BDU59" s="46"/>
      <c r="BDV59" s="46"/>
      <c r="BDW59" s="46"/>
      <c r="BDX59" s="46"/>
      <c r="BDY59" s="46"/>
      <c r="BDZ59" s="46"/>
      <c r="BEA59" s="46"/>
      <c r="BEB59" s="46"/>
      <c r="BEC59" s="46"/>
      <c r="BED59" s="46"/>
      <c r="BEE59" s="46"/>
      <c r="BEF59" s="46"/>
      <c r="BEG59" s="46"/>
      <c r="BEH59" s="46"/>
      <c r="BEI59" s="46"/>
      <c r="BEJ59" s="46"/>
      <c r="BEK59" s="46"/>
      <c r="BEL59" s="46"/>
      <c r="BEM59" s="46"/>
      <c r="BEN59" s="46"/>
      <c r="BEO59" s="46"/>
      <c r="BEP59" s="46"/>
      <c r="BEQ59" s="46"/>
      <c r="BER59" s="46"/>
      <c r="BES59" s="46"/>
      <c r="BET59" s="46"/>
      <c r="BEU59" s="46"/>
      <c r="BEV59" s="46"/>
      <c r="BEW59" s="46"/>
      <c r="BEX59" s="46"/>
      <c r="BEY59" s="46"/>
      <c r="BEZ59" s="46"/>
      <c r="BFA59" s="46"/>
      <c r="BFB59" s="46"/>
      <c r="BFC59" s="46"/>
      <c r="BFD59" s="46"/>
      <c r="BFE59" s="46"/>
      <c r="BFF59" s="46"/>
      <c r="BFG59" s="46"/>
      <c r="BFH59" s="46"/>
      <c r="BFI59" s="46"/>
      <c r="BFJ59" s="46"/>
      <c r="BFK59" s="46"/>
      <c r="BFL59" s="46"/>
      <c r="BFM59" s="46"/>
      <c r="BFN59" s="46"/>
      <c r="BFO59" s="46"/>
      <c r="BFP59" s="46"/>
      <c r="BFQ59" s="46"/>
      <c r="BFR59" s="46"/>
      <c r="BFS59" s="46"/>
      <c r="BFT59" s="46"/>
      <c r="BFU59" s="46"/>
      <c r="BFV59" s="46"/>
      <c r="BFW59" s="46"/>
      <c r="BFX59" s="46"/>
      <c r="BFY59" s="46"/>
      <c r="BFZ59" s="46"/>
      <c r="BGA59" s="46"/>
      <c r="BGB59" s="46"/>
      <c r="BGC59" s="46"/>
      <c r="BGD59" s="46"/>
      <c r="BGE59" s="46"/>
      <c r="BGF59" s="46"/>
      <c r="BGG59" s="46"/>
      <c r="BGH59" s="46"/>
      <c r="BGI59" s="46"/>
      <c r="BGJ59" s="46"/>
      <c r="BGK59" s="46"/>
      <c r="BGL59" s="46"/>
      <c r="BGM59" s="46"/>
      <c r="BGN59" s="46"/>
      <c r="BGO59" s="46"/>
      <c r="BGP59" s="46"/>
      <c r="BGQ59" s="46"/>
      <c r="BGR59" s="46"/>
      <c r="BGS59" s="46"/>
      <c r="BGT59" s="46"/>
      <c r="BGU59" s="46"/>
      <c r="BGV59" s="46"/>
      <c r="BGW59" s="46"/>
      <c r="BGX59" s="46"/>
      <c r="BGY59" s="46"/>
      <c r="BGZ59" s="46"/>
      <c r="BHA59" s="46"/>
      <c r="BHB59" s="46"/>
      <c r="BHC59" s="46"/>
      <c r="BHD59" s="46"/>
      <c r="BHE59" s="46"/>
      <c r="BHF59" s="46"/>
      <c r="BHG59" s="46"/>
      <c r="BHH59" s="46"/>
      <c r="BHI59" s="46"/>
      <c r="BHJ59" s="46"/>
      <c r="BHK59" s="46"/>
      <c r="BHL59" s="46"/>
      <c r="BHM59" s="46"/>
      <c r="BHN59" s="46"/>
      <c r="BHO59" s="46"/>
      <c r="BHP59" s="46"/>
      <c r="BHQ59" s="46"/>
      <c r="BHR59" s="46"/>
      <c r="BHS59" s="46"/>
      <c r="BHT59" s="46"/>
      <c r="BHU59" s="46"/>
      <c r="BHV59" s="46"/>
      <c r="BHW59" s="46"/>
      <c r="BHX59" s="46"/>
      <c r="BHY59" s="46"/>
      <c r="BHZ59" s="46"/>
      <c r="BIA59" s="46"/>
      <c r="BIB59" s="46"/>
      <c r="BIC59" s="46"/>
      <c r="BID59" s="46"/>
      <c r="BIE59" s="46"/>
      <c r="BIF59" s="46"/>
      <c r="BIG59" s="46"/>
      <c r="BIH59" s="46"/>
      <c r="BII59" s="46"/>
      <c r="BIJ59" s="46"/>
      <c r="BIK59" s="46"/>
      <c r="BIL59" s="46"/>
      <c r="BIM59" s="46"/>
      <c r="BIN59" s="46"/>
      <c r="BIO59" s="46"/>
      <c r="BIP59" s="46"/>
      <c r="BIQ59" s="46"/>
      <c r="BIR59" s="46"/>
      <c r="BIS59" s="46"/>
      <c r="BIT59" s="46"/>
      <c r="BIU59" s="46"/>
      <c r="BIV59" s="46"/>
      <c r="BIW59" s="46"/>
      <c r="BIX59" s="46"/>
      <c r="BIY59" s="46"/>
      <c r="BIZ59" s="46"/>
      <c r="BJA59" s="46"/>
      <c r="BJB59" s="46"/>
      <c r="BJC59" s="46"/>
      <c r="BJD59" s="46"/>
      <c r="BJE59" s="46"/>
      <c r="BJF59" s="46"/>
      <c r="BJG59" s="46"/>
      <c r="BJH59" s="46"/>
      <c r="BJI59" s="46"/>
      <c r="BJJ59" s="46"/>
      <c r="BJK59" s="46"/>
      <c r="BJL59" s="46"/>
      <c r="BJM59" s="46"/>
      <c r="BJN59" s="46"/>
      <c r="BJO59" s="46"/>
      <c r="BJP59" s="46"/>
      <c r="BJQ59" s="46"/>
      <c r="BJR59" s="46"/>
      <c r="BJS59" s="46"/>
      <c r="BJT59" s="46"/>
      <c r="BJU59" s="46"/>
      <c r="BJV59" s="46"/>
      <c r="BJW59" s="46"/>
      <c r="BJX59" s="46"/>
      <c r="BJY59" s="46"/>
      <c r="BJZ59" s="46"/>
      <c r="BKA59" s="46"/>
      <c r="BKB59" s="46"/>
      <c r="BKC59" s="46"/>
      <c r="BKD59" s="46"/>
      <c r="BKE59" s="46"/>
      <c r="BKF59" s="46"/>
      <c r="BKG59" s="46"/>
      <c r="BKH59" s="46"/>
      <c r="BKI59" s="46"/>
      <c r="BKJ59" s="46"/>
      <c r="BKK59" s="46"/>
      <c r="BKL59" s="46"/>
      <c r="BKM59" s="46"/>
      <c r="BKN59" s="46"/>
      <c r="BKO59" s="46"/>
      <c r="BKP59" s="46"/>
      <c r="BKQ59" s="46"/>
      <c r="BKR59" s="46"/>
      <c r="BKS59" s="46"/>
      <c r="BKT59" s="46"/>
      <c r="BKU59" s="46"/>
      <c r="BKV59" s="46"/>
      <c r="BKW59" s="46"/>
      <c r="BKX59" s="46"/>
      <c r="BKY59" s="46"/>
      <c r="BKZ59" s="46"/>
      <c r="BLA59" s="46"/>
      <c r="BLB59" s="46"/>
      <c r="BLC59" s="46"/>
      <c r="BLD59" s="46"/>
      <c r="BLE59" s="46"/>
      <c r="BLF59" s="46"/>
      <c r="BLG59" s="46"/>
      <c r="BLH59" s="46"/>
      <c r="BLI59" s="46"/>
      <c r="BLJ59" s="46"/>
      <c r="BLK59" s="46"/>
      <c r="BLL59" s="46"/>
      <c r="BLM59" s="46"/>
      <c r="BLN59" s="46"/>
      <c r="BLO59" s="46"/>
      <c r="BLP59" s="46"/>
      <c r="BLQ59" s="46"/>
      <c r="BLR59" s="46"/>
      <c r="BLS59" s="46"/>
      <c r="BLT59" s="46"/>
      <c r="BLU59" s="46"/>
      <c r="BLV59" s="46"/>
      <c r="BLW59" s="46"/>
      <c r="BLX59" s="46"/>
      <c r="BLY59" s="46"/>
      <c r="BLZ59" s="46"/>
      <c r="BMA59" s="46"/>
      <c r="BMB59" s="46"/>
      <c r="BMC59" s="46"/>
      <c r="BMD59" s="46"/>
      <c r="BME59" s="46"/>
      <c r="BMF59" s="46"/>
      <c r="BMG59" s="46"/>
      <c r="BMH59" s="46"/>
      <c r="BMI59" s="46"/>
      <c r="BMJ59" s="46"/>
      <c r="BMK59" s="46"/>
      <c r="BML59" s="46"/>
      <c r="BMM59" s="46"/>
      <c r="BMN59" s="46"/>
      <c r="BMO59" s="46"/>
      <c r="BMP59" s="46"/>
      <c r="BMQ59" s="46"/>
      <c r="BMR59" s="46"/>
      <c r="BMS59" s="46"/>
      <c r="BMT59" s="46"/>
      <c r="BMU59" s="46"/>
      <c r="BMV59" s="46"/>
      <c r="BMW59" s="46"/>
      <c r="BMX59" s="46"/>
      <c r="BMY59" s="46"/>
      <c r="BMZ59" s="46"/>
      <c r="BNA59" s="46"/>
      <c r="BNB59" s="46"/>
      <c r="BNC59" s="46"/>
      <c r="BND59" s="46"/>
      <c r="BNE59" s="46"/>
      <c r="BNF59" s="46"/>
      <c r="BNG59" s="46"/>
      <c r="BNH59" s="46"/>
      <c r="BNI59" s="46"/>
      <c r="BNJ59" s="46"/>
      <c r="BNK59" s="46"/>
      <c r="BNL59" s="46"/>
      <c r="BNM59" s="46"/>
      <c r="BNN59" s="46"/>
      <c r="BNO59" s="46"/>
      <c r="BNP59" s="46"/>
      <c r="BNQ59" s="46"/>
      <c r="BNR59" s="46"/>
      <c r="BNS59" s="46"/>
      <c r="BNT59" s="46"/>
      <c r="BNU59" s="46"/>
      <c r="BNV59" s="46"/>
      <c r="BNW59" s="46"/>
      <c r="BNX59" s="46"/>
      <c r="BNY59" s="46"/>
      <c r="BNZ59" s="46"/>
      <c r="BOA59" s="46"/>
      <c r="BOB59" s="46"/>
      <c r="BOC59" s="46"/>
      <c r="BOD59" s="46"/>
      <c r="BOE59" s="46"/>
      <c r="BOF59" s="46"/>
      <c r="BOG59" s="46"/>
      <c r="BOH59" s="46"/>
      <c r="BOI59" s="46"/>
      <c r="BOJ59" s="46"/>
      <c r="BOK59" s="46"/>
      <c r="BOL59" s="46"/>
      <c r="BOM59" s="46"/>
      <c r="BON59" s="46"/>
      <c r="BOO59" s="46"/>
      <c r="BOP59" s="46"/>
      <c r="BOQ59" s="46"/>
      <c r="BOR59" s="46"/>
      <c r="BOS59" s="46"/>
      <c r="BOT59" s="46"/>
      <c r="BOU59" s="46"/>
      <c r="BOV59" s="46"/>
      <c r="BOW59" s="46"/>
      <c r="BOX59" s="46"/>
      <c r="BOY59" s="46"/>
      <c r="BOZ59" s="46"/>
      <c r="BPA59" s="46"/>
      <c r="BPB59" s="46"/>
      <c r="BPC59" s="46"/>
      <c r="BPD59" s="46"/>
      <c r="BPE59" s="46"/>
      <c r="BPF59" s="46"/>
      <c r="BPG59" s="46"/>
      <c r="BPH59" s="46"/>
      <c r="BPI59" s="46"/>
      <c r="BPJ59" s="46"/>
      <c r="BPK59" s="46"/>
      <c r="BPL59" s="46"/>
      <c r="BPM59" s="46"/>
      <c r="BPN59" s="46"/>
      <c r="BPO59" s="46"/>
      <c r="BPP59" s="46"/>
      <c r="BPQ59" s="46"/>
      <c r="BPR59" s="46"/>
      <c r="BPS59" s="46"/>
      <c r="BPT59" s="46"/>
      <c r="BPU59" s="46"/>
      <c r="BPV59" s="46"/>
      <c r="BPW59" s="46"/>
      <c r="BPX59" s="46"/>
      <c r="BPY59" s="46"/>
      <c r="BPZ59" s="46"/>
      <c r="BQA59" s="46"/>
      <c r="BQB59" s="46"/>
      <c r="BQC59" s="46"/>
      <c r="BQD59" s="46"/>
      <c r="BQE59" s="46"/>
      <c r="BQF59" s="46"/>
      <c r="BQG59" s="46"/>
      <c r="BQH59" s="46"/>
      <c r="BQI59" s="46"/>
      <c r="BQJ59" s="46"/>
      <c r="BQK59" s="46"/>
      <c r="BQL59" s="46"/>
      <c r="BQM59" s="46"/>
      <c r="BQN59" s="46"/>
      <c r="BQO59" s="46"/>
      <c r="BQP59" s="46"/>
      <c r="BQQ59" s="46"/>
      <c r="BQR59" s="46"/>
      <c r="BQS59" s="46"/>
      <c r="BQT59" s="46"/>
      <c r="BQU59" s="46"/>
      <c r="BQV59" s="46"/>
      <c r="BQW59" s="46"/>
      <c r="BQX59" s="46"/>
      <c r="BQY59" s="46"/>
      <c r="BQZ59" s="46"/>
      <c r="BRA59" s="46"/>
      <c r="BRB59" s="46"/>
      <c r="BRC59" s="46"/>
      <c r="BRD59" s="46"/>
      <c r="BRE59" s="46"/>
      <c r="BRF59" s="46"/>
      <c r="BRG59" s="46"/>
      <c r="BRH59" s="46"/>
      <c r="BRI59" s="46"/>
      <c r="BRJ59" s="46"/>
      <c r="BRK59" s="46"/>
      <c r="BRL59" s="46"/>
      <c r="BRM59" s="46"/>
      <c r="BRN59" s="46"/>
      <c r="BRO59" s="46"/>
      <c r="BRP59" s="46"/>
      <c r="BRQ59" s="46"/>
      <c r="BRR59" s="46"/>
      <c r="BRS59" s="46"/>
      <c r="BRT59" s="46"/>
      <c r="BRU59" s="46"/>
      <c r="BRV59" s="46"/>
      <c r="BRW59" s="46"/>
      <c r="BRX59" s="46"/>
      <c r="BRY59" s="46"/>
      <c r="BRZ59" s="46"/>
      <c r="BSA59" s="46"/>
      <c r="BSB59" s="46"/>
      <c r="BSC59" s="46"/>
      <c r="BSD59" s="46"/>
      <c r="BSE59" s="46"/>
      <c r="BSF59" s="46"/>
      <c r="BSG59" s="46"/>
      <c r="BSH59" s="46"/>
      <c r="BSI59" s="46"/>
      <c r="BSJ59" s="46"/>
      <c r="BSK59" s="46"/>
      <c r="BSL59" s="46"/>
      <c r="BSM59" s="46"/>
      <c r="BSN59" s="46"/>
      <c r="BSO59" s="46"/>
      <c r="BSP59" s="46"/>
      <c r="BSQ59" s="46"/>
      <c r="BSR59" s="46"/>
      <c r="BSS59" s="46"/>
      <c r="BST59" s="46"/>
      <c r="BSU59" s="46"/>
      <c r="BSV59" s="46"/>
      <c r="BSW59" s="46"/>
      <c r="BSX59" s="46"/>
      <c r="BSY59" s="46"/>
      <c r="BSZ59" s="46"/>
      <c r="BTA59" s="46"/>
      <c r="BTB59" s="46"/>
      <c r="BTC59" s="46"/>
      <c r="BTD59" s="46"/>
      <c r="BTE59" s="46"/>
      <c r="BTF59" s="46"/>
      <c r="BTG59" s="46"/>
      <c r="BTH59" s="46"/>
      <c r="BTI59" s="46"/>
      <c r="BTJ59" s="46"/>
      <c r="BTK59" s="46"/>
      <c r="BTL59" s="46"/>
      <c r="BTM59" s="46"/>
      <c r="BTN59" s="46"/>
      <c r="BTO59" s="46"/>
      <c r="BTP59" s="46"/>
      <c r="BTQ59" s="46"/>
      <c r="BTR59" s="46"/>
      <c r="BTS59" s="46"/>
      <c r="BTT59" s="46"/>
      <c r="BTU59" s="46"/>
      <c r="BTV59" s="46"/>
      <c r="BTW59" s="46"/>
      <c r="BTX59" s="46"/>
      <c r="BTY59" s="46"/>
      <c r="BTZ59" s="46"/>
      <c r="BUA59" s="46"/>
      <c r="BUB59" s="46"/>
      <c r="BUC59" s="46"/>
      <c r="BUD59" s="46"/>
      <c r="BUE59" s="46"/>
      <c r="BUF59" s="46"/>
      <c r="BUG59" s="46"/>
      <c r="BUH59" s="46"/>
      <c r="BUI59" s="46"/>
      <c r="BUJ59" s="46"/>
      <c r="BUK59" s="46"/>
      <c r="BUL59" s="46"/>
      <c r="BUM59" s="46"/>
      <c r="BUN59" s="46"/>
      <c r="BUO59" s="46"/>
      <c r="BUP59" s="46"/>
      <c r="BUQ59" s="46"/>
      <c r="BUR59" s="46"/>
      <c r="BUS59" s="46"/>
      <c r="BUT59" s="46"/>
      <c r="BUU59" s="46"/>
      <c r="BUV59" s="46"/>
      <c r="BUW59" s="46"/>
      <c r="BUX59" s="46"/>
      <c r="BUY59" s="46"/>
      <c r="BUZ59" s="46"/>
      <c r="BVA59" s="46"/>
      <c r="BVB59" s="46"/>
      <c r="BVC59" s="46"/>
      <c r="BVD59" s="46"/>
      <c r="BVE59" s="46"/>
      <c r="BVF59" s="46"/>
      <c r="BVG59" s="46"/>
      <c r="BVH59" s="46"/>
      <c r="BVI59" s="46"/>
      <c r="BVJ59" s="46"/>
      <c r="BVK59" s="46"/>
      <c r="BVL59" s="46"/>
      <c r="BVM59" s="46"/>
      <c r="BVN59" s="46"/>
      <c r="BVO59" s="46"/>
      <c r="BVP59" s="46"/>
      <c r="BVQ59" s="46"/>
      <c r="BVR59" s="46"/>
      <c r="BVS59" s="46"/>
      <c r="BVT59" s="46"/>
      <c r="BVU59" s="46"/>
      <c r="BVV59" s="46"/>
      <c r="BVW59" s="46"/>
      <c r="BVX59" s="46"/>
      <c r="BVY59" s="46"/>
      <c r="BVZ59" s="46"/>
      <c r="BWA59" s="46"/>
      <c r="BWB59" s="46"/>
      <c r="BWC59" s="46"/>
      <c r="BWD59" s="46"/>
      <c r="BWE59" s="46"/>
      <c r="BWF59" s="46"/>
      <c r="BWG59" s="46"/>
      <c r="BWH59" s="46"/>
      <c r="BWI59" s="46"/>
      <c r="BWJ59" s="46"/>
      <c r="BWK59" s="46"/>
      <c r="BWL59" s="46"/>
      <c r="BWM59" s="46"/>
      <c r="BWN59" s="46"/>
      <c r="BWO59" s="46"/>
      <c r="BWP59" s="46"/>
      <c r="BWQ59" s="46"/>
      <c r="BWR59" s="46"/>
      <c r="BWS59" s="46"/>
      <c r="BWT59" s="46"/>
      <c r="BWU59" s="46"/>
      <c r="BWV59" s="46"/>
      <c r="BWW59" s="46"/>
      <c r="BWX59" s="46"/>
      <c r="BWY59" s="46"/>
      <c r="BWZ59" s="46"/>
      <c r="BXA59" s="46"/>
      <c r="BXB59" s="46"/>
      <c r="BXC59" s="46"/>
      <c r="BXD59" s="46"/>
      <c r="BXE59" s="46"/>
      <c r="BXF59" s="46"/>
      <c r="BXG59" s="46"/>
      <c r="BXH59" s="46"/>
      <c r="BXI59" s="46"/>
      <c r="BXJ59" s="46"/>
      <c r="BXK59" s="46"/>
      <c r="BXL59" s="46"/>
      <c r="BXM59" s="46"/>
      <c r="BXN59" s="46"/>
      <c r="BXO59" s="46"/>
      <c r="BXP59" s="46"/>
      <c r="BXQ59" s="46"/>
      <c r="BXR59" s="46"/>
      <c r="BXS59" s="46"/>
      <c r="BXT59" s="46"/>
      <c r="BXU59" s="46"/>
      <c r="BXV59" s="46"/>
      <c r="BXW59" s="46"/>
      <c r="BXX59" s="46"/>
      <c r="BXY59" s="46"/>
      <c r="BXZ59" s="46"/>
      <c r="BYA59" s="46"/>
      <c r="BYB59" s="46"/>
      <c r="BYC59" s="46"/>
      <c r="BYD59" s="46"/>
      <c r="BYE59" s="46"/>
      <c r="BYF59" s="46"/>
      <c r="BYG59" s="46"/>
      <c r="BYH59" s="46"/>
      <c r="BYI59" s="46"/>
      <c r="BYJ59" s="46"/>
      <c r="BYK59" s="46"/>
      <c r="BYL59" s="46"/>
      <c r="BYM59" s="46"/>
      <c r="BYN59" s="46"/>
      <c r="BYO59" s="46"/>
      <c r="BYP59" s="46"/>
      <c r="BYQ59" s="46"/>
      <c r="BYR59" s="46"/>
      <c r="BYS59" s="46"/>
      <c r="BYT59" s="46"/>
      <c r="BYU59" s="46"/>
      <c r="BYV59" s="46"/>
      <c r="BYW59" s="46"/>
      <c r="BYX59" s="46"/>
      <c r="BYY59" s="46"/>
      <c r="BYZ59" s="46"/>
      <c r="BZA59" s="46"/>
      <c r="BZB59" s="46"/>
      <c r="BZC59" s="46"/>
      <c r="BZD59" s="46"/>
      <c r="BZE59" s="46"/>
      <c r="BZF59" s="46"/>
      <c r="BZG59" s="46"/>
      <c r="BZH59" s="46"/>
      <c r="BZI59" s="46"/>
      <c r="BZJ59" s="46"/>
      <c r="BZK59" s="46"/>
      <c r="BZL59" s="46"/>
      <c r="BZM59" s="46"/>
      <c r="BZN59" s="46"/>
      <c r="BZO59" s="46"/>
      <c r="BZP59" s="46"/>
      <c r="BZQ59" s="46"/>
      <c r="BZR59" s="46"/>
      <c r="BZS59" s="46"/>
      <c r="BZT59" s="46"/>
      <c r="BZU59" s="46"/>
      <c r="BZV59" s="46"/>
      <c r="BZW59" s="46"/>
      <c r="BZX59" s="46"/>
      <c r="BZY59" s="46"/>
      <c r="BZZ59" s="46"/>
      <c r="CAA59" s="46"/>
      <c r="CAB59" s="46"/>
      <c r="CAC59" s="46"/>
      <c r="CAD59" s="46"/>
      <c r="CAE59" s="46"/>
      <c r="CAF59" s="46"/>
      <c r="CAG59" s="46"/>
      <c r="CAH59" s="46"/>
      <c r="CAI59" s="46"/>
      <c r="CAJ59" s="46"/>
      <c r="CAK59" s="46"/>
      <c r="CAL59" s="46"/>
      <c r="CAM59" s="46"/>
      <c r="CAN59" s="46"/>
      <c r="CAO59" s="46"/>
      <c r="CAP59" s="46"/>
      <c r="CAQ59" s="46"/>
      <c r="CAR59" s="46"/>
      <c r="CAS59" s="46"/>
      <c r="CAT59" s="46"/>
      <c r="CAU59" s="46"/>
      <c r="CAV59" s="46"/>
      <c r="CAW59" s="46"/>
      <c r="CAX59" s="46"/>
      <c r="CAY59" s="46"/>
      <c r="CAZ59" s="46"/>
      <c r="CBA59" s="46"/>
      <c r="CBB59" s="46"/>
      <c r="CBC59" s="46"/>
      <c r="CBD59" s="46"/>
      <c r="CBE59" s="46"/>
      <c r="CBF59" s="46"/>
      <c r="CBG59" s="46"/>
      <c r="CBH59" s="46"/>
      <c r="CBI59" s="46"/>
      <c r="CBJ59" s="46"/>
      <c r="CBK59" s="46"/>
      <c r="CBL59" s="46"/>
      <c r="CBM59" s="46"/>
      <c r="CBN59" s="46"/>
      <c r="CBO59" s="46"/>
      <c r="CBP59" s="46"/>
      <c r="CBQ59" s="46"/>
      <c r="CBR59" s="46"/>
      <c r="CBS59" s="46"/>
      <c r="CBT59" s="46"/>
      <c r="CBU59" s="46"/>
      <c r="CBV59" s="46"/>
      <c r="CBW59" s="46"/>
      <c r="CBX59" s="46"/>
      <c r="CBY59" s="46"/>
      <c r="CBZ59" s="46"/>
      <c r="CCA59" s="46"/>
      <c r="CCB59" s="46"/>
      <c r="CCC59" s="46"/>
      <c r="CCD59" s="46"/>
      <c r="CCE59" s="46"/>
      <c r="CCF59" s="46"/>
      <c r="CCG59" s="46"/>
      <c r="CCH59" s="46"/>
      <c r="CCI59" s="46"/>
      <c r="CCJ59" s="46"/>
      <c r="CCK59" s="46"/>
      <c r="CCL59" s="46"/>
      <c r="CCM59" s="46"/>
      <c r="CCN59" s="46"/>
      <c r="CCO59" s="46"/>
      <c r="CCP59" s="46"/>
      <c r="CCQ59" s="46"/>
      <c r="CCR59" s="46"/>
      <c r="CCS59" s="46"/>
      <c r="CCT59" s="46"/>
      <c r="CCU59" s="46"/>
      <c r="CCV59" s="46"/>
      <c r="CCW59" s="46"/>
      <c r="CCX59" s="46"/>
      <c r="CCY59" s="46"/>
      <c r="CCZ59" s="46"/>
      <c r="CDA59" s="46"/>
      <c r="CDB59" s="46"/>
      <c r="CDC59" s="46"/>
      <c r="CDD59" s="46"/>
      <c r="CDE59" s="46"/>
      <c r="CDF59" s="46"/>
      <c r="CDG59" s="46"/>
      <c r="CDH59" s="46"/>
      <c r="CDI59" s="46"/>
      <c r="CDJ59" s="46"/>
      <c r="CDK59" s="46"/>
      <c r="CDL59" s="46"/>
      <c r="CDM59" s="46"/>
      <c r="CDN59" s="46"/>
      <c r="CDO59" s="46"/>
      <c r="CDP59" s="46"/>
      <c r="CDQ59" s="46"/>
      <c r="CDR59" s="46"/>
      <c r="CDS59" s="46"/>
      <c r="CDT59" s="46"/>
      <c r="CDU59" s="46"/>
      <c r="CDV59" s="46"/>
      <c r="CDW59" s="46"/>
      <c r="CDX59" s="46"/>
      <c r="CDY59" s="46"/>
      <c r="CDZ59" s="46"/>
      <c r="CEA59" s="46"/>
      <c r="CEB59" s="46"/>
      <c r="CEC59" s="46"/>
      <c r="CED59" s="46"/>
      <c r="CEE59" s="46"/>
      <c r="CEF59" s="46"/>
      <c r="CEG59" s="46"/>
      <c r="CEH59" s="46"/>
      <c r="CEI59" s="46"/>
      <c r="CEJ59" s="46"/>
      <c r="CEK59" s="46"/>
      <c r="CEL59" s="46"/>
      <c r="CEM59" s="46"/>
      <c r="CEN59" s="46"/>
      <c r="CEO59" s="46"/>
      <c r="CEP59" s="46"/>
      <c r="CEQ59" s="46"/>
      <c r="CER59" s="46"/>
      <c r="CES59" s="46"/>
      <c r="CET59" s="46"/>
      <c r="CEU59" s="46"/>
      <c r="CEV59" s="46"/>
      <c r="CEW59" s="46"/>
      <c r="CEX59" s="46"/>
      <c r="CEY59" s="46"/>
      <c r="CEZ59" s="46"/>
      <c r="CFA59" s="46"/>
      <c r="CFB59" s="46"/>
      <c r="CFC59" s="46"/>
      <c r="CFD59" s="46"/>
      <c r="CFE59" s="46"/>
      <c r="CFF59" s="46"/>
      <c r="CFG59" s="46"/>
      <c r="CFH59" s="46"/>
      <c r="CFI59" s="46"/>
      <c r="CFJ59" s="46"/>
      <c r="CFK59" s="46"/>
      <c r="CFL59" s="46"/>
      <c r="CFM59" s="46"/>
      <c r="CFN59" s="46"/>
      <c r="CFO59" s="46"/>
      <c r="CFP59" s="46"/>
      <c r="CFQ59" s="46"/>
      <c r="CFR59" s="46"/>
      <c r="CFS59" s="46"/>
      <c r="CFT59" s="46"/>
      <c r="CFU59" s="46"/>
      <c r="CFV59" s="46"/>
      <c r="CFW59" s="46"/>
      <c r="CFX59" s="46"/>
      <c r="CFY59" s="46"/>
      <c r="CFZ59" s="46"/>
      <c r="CGA59" s="46"/>
      <c r="CGB59" s="46"/>
      <c r="CGC59" s="46"/>
      <c r="CGD59" s="46"/>
      <c r="CGE59" s="46"/>
      <c r="CGF59" s="46"/>
      <c r="CGG59" s="46"/>
      <c r="CGH59" s="46"/>
      <c r="CGI59" s="46"/>
      <c r="CGJ59" s="46"/>
      <c r="CGK59" s="46"/>
      <c r="CGL59" s="46"/>
      <c r="CGM59" s="46"/>
      <c r="CGN59" s="46"/>
      <c r="CGO59" s="46"/>
      <c r="CGP59" s="46"/>
      <c r="CGQ59" s="46"/>
      <c r="CGR59" s="46"/>
      <c r="CGS59" s="46"/>
      <c r="CGT59" s="46"/>
      <c r="CGU59" s="46"/>
      <c r="CGV59" s="46"/>
      <c r="CGW59" s="46"/>
      <c r="CGX59" s="46"/>
      <c r="CGY59" s="46"/>
      <c r="CGZ59" s="46"/>
      <c r="CHA59" s="46"/>
      <c r="CHB59" s="46"/>
      <c r="CHC59" s="46"/>
      <c r="CHD59" s="46"/>
      <c r="CHE59" s="46"/>
      <c r="CHF59" s="46"/>
      <c r="CHG59" s="46"/>
      <c r="CHH59" s="46"/>
      <c r="CHI59" s="46"/>
      <c r="CHJ59" s="46"/>
      <c r="CHK59" s="46"/>
      <c r="CHL59" s="46"/>
      <c r="CHM59" s="46"/>
      <c r="CHN59" s="46"/>
      <c r="CHO59" s="46"/>
      <c r="CHP59" s="46"/>
      <c r="CHQ59" s="46"/>
      <c r="CHR59" s="46"/>
      <c r="CHS59" s="46"/>
      <c r="CHT59" s="46"/>
      <c r="CHU59" s="46"/>
      <c r="CHV59" s="46"/>
      <c r="CHW59" s="46"/>
      <c r="CHX59" s="46"/>
      <c r="CHY59" s="46"/>
      <c r="CHZ59" s="46"/>
      <c r="CIA59" s="46"/>
      <c r="CIB59" s="46"/>
      <c r="CIC59" s="46"/>
      <c r="CID59" s="46"/>
      <c r="CIE59" s="46"/>
      <c r="CIF59" s="46"/>
      <c r="CIG59" s="46"/>
      <c r="CIH59" s="46"/>
      <c r="CII59" s="46"/>
      <c r="CIJ59" s="46"/>
      <c r="CIK59" s="46"/>
      <c r="CIL59" s="46"/>
      <c r="CIM59" s="46"/>
      <c r="CIN59" s="46"/>
      <c r="CIO59" s="46"/>
      <c r="CIP59" s="46"/>
      <c r="CIQ59" s="46"/>
      <c r="CIR59" s="46"/>
      <c r="CIS59" s="46"/>
      <c r="CIT59" s="46"/>
      <c r="CIU59" s="46"/>
      <c r="CIV59" s="46"/>
      <c r="CIW59" s="46"/>
      <c r="CIX59" s="46"/>
      <c r="CIY59" s="46"/>
      <c r="CIZ59" s="46"/>
      <c r="CJA59" s="46"/>
      <c r="CJB59" s="46"/>
      <c r="CJC59" s="46"/>
      <c r="CJD59" s="46"/>
      <c r="CJE59" s="46"/>
      <c r="CJF59" s="46"/>
      <c r="CJG59" s="46"/>
      <c r="CJH59" s="46"/>
      <c r="CJI59" s="46"/>
      <c r="CJJ59" s="46"/>
      <c r="CJK59" s="46"/>
      <c r="CJL59" s="46"/>
      <c r="CJM59" s="46"/>
      <c r="CJN59" s="46"/>
      <c r="CJO59" s="46"/>
      <c r="CJP59" s="46"/>
      <c r="CJQ59" s="46"/>
      <c r="CJR59" s="46"/>
      <c r="CJS59" s="46"/>
      <c r="CJT59" s="46"/>
      <c r="CJU59" s="46"/>
      <c r="CJV59" s="46"/>
      <c r="CJW59" s="46"/>
      <c r="CJX59" s="46"/>
      <c r="CJY59" s="46"/>
      <c r="CJZ59" s="46"/>
      <c r="CKA59" s="46"/>
      <c r="CKB59" s="46"/>
      <c r="CKC59" s="46"/>
      <c r="CKD59" s="46"/>
      <c r="CKE59" s="46"/>
      <c r="CKF59" s="46"/>
      <c r="CKG59" s="46"/>
      <c r="CKH59" s="46"/>
      <c r="CKI59" s="46"/>
      <c r="CKJ59" s="46"/>
      <c r="CKK59" s="46"/>
      <c r="CKL59" s="46"/>
      <c r="CKM59" s="46"/>
      <c r="CKN59" s="46"/>
      <c r="CKO59" s="46"/>
      <c r="CKP59" s="46"/>
      <c r="CKQ59" s="46"/>
      <c r="CKR59" s="46"/>
      <c r="CKS59" s="46"/>
      <c r="CKT59" s="46"/>
      <c r="CKU59" s="46"/>
      <c r="CKV59" s="46"/>
      <c r="CKW59" s="46"/>
      <c r="CKX59" s="46"/>
      <c r="CKY59" s="46"/>
      <c r="CKZ59" s="46"/>
      <c r="CLA59" s="46"/>
      <c r="CLB59" s="46"/>
      <c r="CLC59" s="46"/>
      <c r="CLD59" s="46"/>
      <c r="CLE59" s="46"/>
      <c r="CLF59" s="46"/>
      <c r="CLG59" s="46"/>
      <c r="CLH59" s="46"/>
      <c r="CLI59" s="46"/>
      <c r="CLJ59" s="46"/>
      <c r="CLK59" s="46"/>
      <c r="CLL59" s="46"/>
      <c r="CLM59" s="46"/>
      <c r="CLN59" s="46"/>
      <c r="CLO59" s="46"/>
      <c r="CLP59" s="46"/>
      <c r="CLQ59" s="46"/>
      <c r="CLR59" s="46"/>
      <c r="CLS59" s="46"/>
      <c r="CLT59" s="46"/>
      <c r="CLU59" s="46"/>
      <c r="CLV59" s="46"/>
      <c r="CLW59" s="46"/>
      <c r="CLX59" s="46"/>
      <c r="CLY59" s="46"/>
      <c r="CLZ59" s="46"/>
      <c r="CMA59" s="46"/>
      <c r="CMB59" s="46"/>
      <c r="CMC59" s="46"/>
      <c r="CMD59" s="46"/>
      <c r="CME59" s="46"/>
      <c r="CMF59" s="46"/>
      <c r="CMG59" s="46"/>
      <c r="CMH59" s="46"/>
      <c r="CMI59" s="46"/>
      <c r="CMJ59" s="46"/>
      <c r="CMK59" s="46"/>
      <c r="CML59" s="46"/>
      <c r="CMM59" s="46"/>
      <c r="CMN59" s="46"/>
      <c r="CMO59" s="46"/>
      <c r="CMP59" s="46"/>
      <c r="CMQ59" s="46"/>
      <c r="CMR59" s="46"/>
      <c r="CMS59" s="46"/>
      <c r="CMT59" s="46"/>
      <c r="CMU59" s="46"/>
      <c r="CMV59" s="46"/>
      <c r="CMW59" s="46"/>
      <c r="CMX59" s="46"/>
      <c r="CMY59" s="46"/>
      <c r="CMZ59" s="46"/>
      <c r="CNA59" s="46"/>
      <c r="CNB59" s="46"/>
      <c r="CNC59" s="46"/>
      <c r="CND59" s="46"/>
      <c r="CNE59" s="46"/>
      <c r="CNF59" s="46"/>
      <c r="CNG59" s="46"/>
      <c r="CNH59" s="46"/>
      <c r="CNI59" s="46"/>
      <c r="CNJ59" s="46"/>
      <c r="CNK59" s="46"/>
      <c r="CNL59" s="46"/>
      <c r="CNM59" s="46"/>
      <c r="CNN59" s="46"/>
      <c r="CNO59" s="46"/>
      <c r="CNP59" s="46"/>
      <c r="CNQ59" s="46"/>
      <c r="CNR59" s="46"/>
      <c r="CNS59" s="46"/>
      <c r="CNT59" s="46"/>
      <c r="CNU59" s="46"/>
      <c r="CNV59" s="46"/>
      <c r="CNW59" s="46"/>
      <c r="CNX59" s="46"/>
      <c r="CNY59" s="46"/>
      <c r="CNZ59" s="46"/>
      <c r="COA59" s="46"/>
      <c r="COB59" s="46"/>
      <c r="COC59" s="46"/>
      <c r="COD59" s="46"/>
      <c r="COE59" s="46"/>
      <c r="COF59" s="46"/>
      <c r="COG59" s="46"/>
      <c r="COH59" s="46"/>
      <c r="COI59" s="46"/>
      <c r="COJ59" s="46"/>
      <c r="COK59" s="46"/>
      <c r="COL59" s="46"/>
      <c r="COM59" s="46"/>
      <c r="CON59" s="46"/>
      <c r="COO59" s="46"/>
      <c r="COP59" s="46"/>
      <c r="COQ59" s="46"/>
      <c r="COR59" s="46"/>
      <c r="COS59" s="46"/>
      <c r="COT59" s="46"/>
      <c r="COU59" s="46"/>
      <c r="COV59" s="46"/>
      <c r="COW59" s="46"/>
      <c r="COX59" s="46"/>
      <c r="COY59" s="46"/>
      <c r="COZ59" s="46"/>
      <c r="CPA59" s="46"/>
      <c r="CPB59" s="46"/>
      <c r="CPC59" s="46"/>
      <c r="CPD59" s="46"/>
      <c r="CPE59" s="46"/>
      <c r="CPF59" s="46"/>
      <c r="CPG59" s="46"/>
      <c r="CPH59" s="46"/>
      <c r="CPI59" s="46"/>
      <c r="CPJ59" s="46"/>
      <c r="CPK59" s="46"/>
      <c r="CPL59" s="46"/>
      <c r="CPM59" s="46"/>
      <c r="CPN59" s="46"/>
      <c r="CPO59" s="46"/>
      <c r="CPP59" s="46"/>
      <c r="CPQ59" s="46"/>
      <c r="CPR59" s="46"/>
      <c r="CPS59" s="46"/>
      <c r="CPT59" s="46"/>
      <c r="CPU59" s="46"/>
      <c r="CPV59" s="46"/>
      <c r="CPW59" s="46"/>
      <c r="CPX59" s="46"/>
      <c r="CPY59" s="46"/>
      <c r="CPZ59" s="46"/>
      <c r="CQA59" s="46"/>
      <c r="CQB59" s="46"/>
      <c r="CQC59" s="46"/>
      <c r="CQD59" s="46"/>
      <c r="CQE59" s="46"/>
      <c r="CQF59" s="46"/>
      <c r="CQG59" s="46"/>
      <c r="CQH59" s="46"/>
      <c r="CQI59" s="46"/>
      <c r="CQJ59" s="46"/>
      <c r="CQK59" s="46"/>
      <c r="CQL59" s="46"/>
      <c r="CQM59" s="46"/>
      <c r="CQN59" s="46"/>
      <c r="CQO59" s="46"/>
      <c r="CQP59" s="46"/>
      <c r="CQQ59" s="46"/>
      <c r="CQR59" s="46"/>
      <c r="CQS59" s="46"/>
      <c r="CQT59" s="46"/>
      <c r="CQU59" s="46"/>
      <c r="CQV59" s="46"/>
      <c r="CQW59" s="46"/>
      <c r="CQX59" s="46"/>
      <c r="CQY59" s="46"/>
      <c r="CQZ59" s="46"/>
      <c r="CRA59" s="46"/>
      <c r="CRB59" s="46"/>
      <c r="CRC59" s="46"/>
      <c r="CRD59" s="46"/>
      <c r="CRE59" s="46"/>
      <c r="CRF59" s="46"/>
      <c r="CRG59" s="46"/>
      <c r="CRH59" s="46"/>
      <c r="CRI59" s="46"/>
      <c r="CRJ59" s="46"/>
      <c r="CRK59" s="46"/>
      <c r="CRL59" s="46"/>
      <c r="CRM59" s="46"/>
      <c r="CRN59" s="46"/>
      <c r="CRO59" s="46"/>
      <c r="CRP59" s="46"/>
      <c r="CRQ59" s="46"/>
      <c r="CRR59" s="46"/>
      <c r="CRS59" s="46"/>
      <c r="CRT59" s="46"/>
      <c r="CRU59" s="46"/>
      <c r="CRV59" s="46"/>
      <c r="CRW59" s="46"/>
      <c r="CRX59" s="46"/>
      <c r="CRY59" s="46"/>
      <c r="CRZ59" s="46"/>
      <c r="CSA59" s="46"/>
      <c r="CSB59" s="46"/>
      <c r="CSC59" s="46"/>
      <c r="CSD59" s="46"/>
      <c r="CSE59" s="46"/>
      <c r="CSF59" s="46"/>
      <c r="CSG59" s="46"/>
      <c r="CSH59" s="46"/>
      <c r="CSI59" s="46"/>
      <c r="CSJ59" s="46"/>
      <c r="CSK59" s="46"/>
      <c r="CSL59" s="46"/>
      <c r="CSM59" s="46"/>
      <c r="CSN59" s="46"/>
      <c r="CSO59" s="46"/>
      <c r="CSP59" s="46"/>
      <c r="CSQ59" s="46"/>
      <c r="CSR59" s="46"/>
      <c r="CSS59" s="46"/>
      <c r="CST59" s="46"/>
      <c r="CSU59" s="46"/>
      <c r="CSV59" s="46"/>
      <c r="CSW59" s="46"/>
      <c r="CSX59" s="46"/>
      <c r="CSY59" s="46"/>
      <c r="CSZ59" s="46"/>
      <c r="CTA59" s="46"/>
      <c r="CTB59" s="46"/>
      <c r="CTC59" s="46"/>
      <c r="CTD59" s="46"/>
      <c r="CTE59" s="46"/>
      <c r="CTF59" s="46"/>
      <c r="CTG59" s="46"/>
      <c r="CTH59" s="46"/>
      <c r="CTI59" s="46"/>
      <c r="CTJ59" s="46"/>
      <c r="CTK59" s="46"/>
      <c r="CTL59" s="46"/>
      <c r="CTM59" s="46"/>
      <c r="CTN59" s="46"/>
      <c r="CTO59" s="46"/>
      <c r="CTP59" s="46"/>
      <c r="CTQ59" s="46"/>
      <c r="CTR59" s="46"/>
      <c r="CTS59" s="46"/>
      <c r="CTT59" s="46"/>
      <c r="CTU59" s="46"/>
      <c r="CTV59" s="46"/>
      <c r="CTW59" s="46"/>
      <c r="CTX59" s="46"/>
      <c r="CTY59" s="46"/>
      <c r="CTZ59" s="46"/>
      <c r="CUA59" s="46"/>
      <c r="CUB59" s="46"/>
      <c r="CUC59" s="46"/>
      <c r="CUD59" s="46"/>
      <c r="CUE59" s="46"/>
      <c r="CUF59" s="46"/>
      <c r="CUG59" s="46"/>
      <c r="CUH59" s="46"/>
      <c r="CUI59" s="46"/>
      <c r="CUJ59" s="46"/>
      <c r="CUK59" s="46"/>
      <c r="CUL59" s="46"/>
      <c r="CUM59" s="46"/>
      <c r="CUN59" s="46"/>
      <c r="CUO59" s="46"/>
      <c r="CUP59" s="46"/>
      <c r="CUQ59" s="46"/>
      <c r="CUR59" s="46"/>
      <c r="CUS59" s="46"/>
      <c r="CUT59" s="46"/>
      <c r="CUU59" s="46"/>
      <c r="CUV59" s="46"/>
      <c r="CUW59" s="46"/>
      <c r="CUX59" s="46"/>
      <c r="CUY59" s="46"/>
      <c r="CUZ59" s="46"/>
      <c r="CVA59" s="46"/>
      <c r="CVB59" s="46"/>
      <c r="CVC59" s="46"/>
      <c r="CVD59" s="46"/>
      <c r="CVE59" s="46"/>
      <c r="CVF59" s="46"/>
      <c r="CVG59" s="46"/>
      <c r="CVH59" s="46"/>
      <c r="CVI59" s="46"/>
      <c r="CVJ59" s="46"/>
      <c r="CVK59" s="46"/>
      <c r="CVL59" s="46"/>
      <c r="CVM59" s="46"/>
      <c r="CVN59" s="46"/>
      <c r="CVO59" s="46"/>
      <c r="CVP59" s="46"/>
      <c r="CVQ59" s="46"/>
      <c r="CVR59" s="46"/>
      <c r="CVS59" s="46"/>
      <c r="CVT59" s="46"/>
      <c r="CVU59" s="46"/>
      <c r="CVV59" s="46"/>
      <c r="CVW59" s="46"/>
      <c r="CVX59" s="46"/>
      <c r="CVY59" s="46"/>
      <c r="CVZ59" s="46"/>
      <c r="CWA59" s="46"/>
      <c r="CWB59" s="46"/>
      <c r="CWC59" s="46"/>
      <c r="CWD59" s="46"/>
      <c r="CWE59" s="46"/>
      <c r="CWF59" s="46"/>
      <c r="CWG59" s="46"/>
      <c r="CWH59" s="46"/>
      <c r="CWI59" s="46"/>
      <c r="CWJ59" s="46"/>
      <c r="CWK59" s="46"/>
      <c r="CWL59" s="46"/>
      <c r="CWM59" s="46"/>
      <c r="CWN59" s="46"/>
      <c r="CWO59" s="46"/>
      <c r="CWP59" s="46"/>
      <c r="CWQ59" s="46"/>
      <c r="CWR59" s="46"/>
      <c r="CWS59" s="46"/>
      <c r="CWT59" s="46"/>
      <c r="CWU59" s="46"/>
      <c r="CWV59" s="46"/>
      <c r="CWW59" s="46"/>
      <c r="CWX59" s="46"/>
      <c r="CWY59" s="46"/>
      <c r="CWZ59" s="46"/>
      <c r="CXA59" s="46"/>
      <c r="CXB59" s="46"/>
      <c r="CXC59" s="46"/>
      <c r="CXD59" s="46"/>
      <c r="CXE59" s="46"/>
      <c r="CXF59" s="46"/>
      <c r="CXG59" s="46"/>
      <c r="CXH59" s="46"/>
      <c r="CXI59" s="46"/>
      <c r="CXJ59" s="46"/>
      <c r="CXK59" s="46"/>
      <c r="CXL59" s="46"/>
      <c r="CXM59" s="46"/>
      <c r="CXN59" s="46"/>
      <c r="CXO59" s="46"/>
      <c r="CXP59" s="46"/>
      <c r="CXQ59" s="46"/>
      <c r="CXR59" s="46"/>
      <c r="CXS59" s="46"/>
      <c r="CXT59" s="46"/>
      <c r="CXU59" s="46"/>
      <c r="CXV59" s="46"/>
      <c r="CXW59" s="46"/>
      <c r="CXX59" s="46"/>
      <c r="CXY59" s="46"/>
      <c r="CXZ59" s="46"/>
      <c r="CYA59" s="46"/>
      <c r="CYB59" s="46"/>
      <c r="CYC59" s="46"/>
      <c r="CYD59" s="46"/>
      <c r="CYE59" s="46"/>
      <c r="CYF59" s="46"/>
      <c r="CYG59" s="46"/>
      <c r="CYH59" s="46"/>
      <c r="CYI59" s="46"/>
      <c r="CYJ59" s="46"/>
      <c r="CYK59" s="46"/>
      <c r="CYL59" s="46"/>
      <c r="CYM59" s="46"/>
      <c r="CYN59" s="46"/>
      <c r="CYO59" s="46"/>
      <c r="CYP59" s="46"/>
      <c r="CYQ59" s="46"/>
      <c r="CYR59" s="46"/>
      <c r="CYS59" s="46"/>
      <c r="CYT59" s="46"/>
      <c r="CYU59" s="46"/>
      <c r="CYV59" s="46"/>
      <c r="CYW59" s="46"/>
      <c r="CYX59" s="46"/>
      <c r="CYY59" s="46"/>
      <c r="CYZ59" s="46"/>
      <c r="CZA59" s="46"/>
      <c r="CZB59" s="46"/>
      <c r="CZC59" s="46"/>
      <c r="CZD59" s="46"/>
      <c r="CZE59" s="46"/>
      <c r="CZF59" s="46"/>
      <c r="CZG59" s="46"/>
      <c r="CZH59" s="46"/>
      <c r="CZI59" s="46"/>
      <c r="CZJ59" s="46"/>
      <c r="CZK59" s="46"/>
      <c r="CZL59" s="46"/>
      <c r="CZM59" s="46"/>
      <c r="CZN59" s="46"/>
      <c r="CZO59" s="46"/>
      <c r="CZP59" s="46"/>
      <c r="CZQ59" s="46"/>
      <c r="CZR59" s="46"/>
      <c r="CZS59" s="46"/>
      <c r="CZT59" s="46"/>
      <c r="CZU59" s="46"/>
      <c r="CZV59" s="46"/>
      <c r="CZW59" s="46"/>
      <c r="CZX59" s="46"/>
      <c r="CZY59" s="46"/>
      <c r="CZZ59" s="46"/>
      <c r="DAA59" s="46"/>
      <c r="DAB59" s="46"/>
      <c r="DAC59" s="46"/>
      <c r="DAD59" s="46"/>
      <c r="DAE59" s="46"/>
      <c r="DAF59" s="46"/>
      <c r="DAG59" s="46"/>
      <c r="DAH59" s="46"/>
      <c r="DAI59" s="46"/>
      <c r="DAJ59" s="46"/>
      <c r="DAK59" s="46"/>
      <c r="DAL59" s="46"/>
      <c r="DAM59" s="46"/>
      <c r="DAN59" s="46"/>
      <c r="DAO59" s="46"/>
      <c r="DAP59" s="46"/>
      <c r="DAQ59" s="46"/>
      <c r="DAR59" s="46"/>
      <c r="DAS59" s="46"/>
      <c r="DAT59" s="46"/>
      <c r="DAU59" s="46"/>
      <c r="DAV59" s="46"/>
      <c r="DAW59" s="46"/>
      <c r="DAX59" s="46"/>
      <c r="DAY59" s="46"/>
      <c r="DAZ59" s="46"/>
      <c r="DBA59" s="46"/>
      <c r="DBB59" s="46"/>
      <c r="DBC59" s="46"/>
      <c r="DBD59" s="46"/>
      <c r="DBE59" s="46"/>
      <c r="DBF59" s="46"/>
      <c r="DBG59" s="46"/>
      <c r="DBH59" s="46"/>
      <c r="DBI59" s="46"/>
      <c r="DBJ59" s="46"/>
      <c r="DBK59" s="46"/>
      <c r="DBL59" s="46"/>
      <c r="DBM59" s="46"/>
      <c r="DBN59" s="46"/>
      <c r="DBO59" s="46"/>
      <c r="DBP59" s="46"/>
      <c r="DBQ59" s="46"/>
      <c r="DBR59" s="46"/>
      <c r="DBS59" s="46"/>
      <c r="DBT59" s="46"/>
      <c r="DBU59" s="46"/>
      <c r="DBV59" s="46"/>
      <c r="DBW59" s="46"/>
      <c r="DBX59" s="46"/>
      <c r="DBY59" s="46"/>
      <c r="DBZ59" s="46"/>
      <c r="DCA59" s="46"/>
      <c r="DCB59" s="46"/>
      <c r="DCC59" s="46"/>
      <c r="DCD59" s="46"/>
      <c r="DCE59" s="46"/>
      <c r="DCF59" s="46"/>
      <c r="DCG59" s="46"/>
      <c r="DCH59" s="46"/>
      <c r="DCI59" s="46"/>
      <c r="DCJ59" s="46"/>
      <c r="DCK59" s="46"/>
      <c r="DCL59" s="46"/>
      <c r="DCM59" s="46"/>
      <c r="DCN59" s="46"/>
      <c r="DCO59" s="46"/>
      <c r="DCP59" s="46"/>
      <c r="DCQ59" s="46"/>
      <c r="DCR59" s="46"/>
      <c r="DCS59" s="46"/>
      <c r="DCT59" s="46"/>
      <c r="DCU59" s="46"/>
      <c r="DCV59" s="46"/>
      <c r="DCW59" s="46"/>
      <c r="DCX59" s="46"/>
      <c r="DCY59" s="46"/>
      <c r="DCZ59" s="46"/>
      <c r="DDA59" s="46"/>
      <c r="DDB59" s="46"/>
      <c r="DDC59" s="46"/>
      <c r="DDD59" s="46"/>
      <c r="DDE59" s="46"/>
      <c r="DDF59" s="46"/>
      <c r="DDG59" s="46"/>
      <c r="DDH59" s="46"/>
      <c r="DDI59" s="46"/>
      <c r="DDJ59" s="46"/>
      <c r="DDK59" s="46"/>
      <c r="DDL59" s="46"/>
      <c r="DDM59" s="46"/>
      <c r="DDN59" s="46"/>
      <c r="DDO59" s="46"/>
      <c r="DDP59" s="46"/>
      <c r="DDQ59" s="46"/>
      <c r="DDR59" s="46"/>
      <c r="DDS59" s="46"/>
      <c r="DDT59" s="46"/>
      <c r="DDU59" s="46"/>
      <c r="DDV59" s="46"/>
      <c r="DDW59" s="46"/>
      <c r="DDX59" s="46"/>
      <c r="DDY59" s="46"/>
      <c r="DDZ59" s="46"/>
      <c r="DEA59" s="46"/>
      <c r="DEB59" s="46"/>
      <c r="DEC59" s="46"/>
      <c r="DED59" s="46"/>
      <c r="DEE59" s="46"/>
      <c r="DEF59" s="46"/>
      <c r="DEG59" s="46"/>
      <c r="DEH59" s="46"/>
      <c r="DEI59" s="46"/>
      <c r="DEJ59" s="46"/>
      <c r="DEK59" s="46"/>
      <c r="DEL59" s="46"/>
      <c r="DEM59" s="46"/>
      <c r="DEN59" s="46"/>
      <c r="DEO59" s="46"/>
      <c r="DEP59" s="46"/>
      <c r="DEQ59" s="46"/>
      <c r="DER59" s="46"/>
      <c r="DES59" s="46"/>
      <c r="DET59" s="46"/>
      <c r="DEU59" s="46"/>
      <c r="DEV59" s="46"/>
      <c r="DEW59" s="46"/>
      <c r="DEX59" s="46"/>
      <c r="DEY59" s="46"/>
      <c r="DEZ59" s="46"/>
      <c r="DFA59" s="46"/>
      <c r="DFB59" s="46"/>
      <c r="DFC59" s="46"/>
      <c r="DFD59" s="46"/>
      <c r="DFE59" s="46"/>
      <c r="DFF59" s="46"/>
      <c r="DFG59" s="46"/>
      <c r="DFH59" s="46"/>
      <c r="DFI59" s="46"/>
      <c r="DFJ59" s="46"/>
      <c r="DFK59" s="46"/>
      <c r="DFL59" s="46"/>
      <c r="DFM59" s="46"/>
      <c r="DFN59" s="46"/>
      <c r="DFO59" s="46"/>
      <c r="DFP59" s="46"/>
      <c r="DFQ59" s="46"/>
      <c r="DFR59" s="46"/>
      <c r="DFS59" s="46"/>
      <c r="DFT59" s="46"/>
      <c r="DFU59" s="46"/>
      <c r="DFV59" s="46"/>
      <c r="DFW59" s="46"/>
      <c r="DFX59" s="46"/>
      <c r="DFY59" s="46"/>
      <c r="DFZ59" s="46"/>
      <c r="DGA59" s="46"/>
      <c r="DGB59" s="46"/>
      <c r="DGC59" s="46"/>
      <c r="DGD59" s="46"/>
      <c r="DGE59" s="46"/>
      <c r="DGF59" s="46"/>
      <c r="DGG59" s="46"/>
      <c r="DGH59" s="46"/>
      <c r="DGI59" s="46"/>
      <c r="DGJ59" s="46"/>
      <c r="DGK59" s="46"/>
      <c r="DGL59" s="46"/>
      <c r="DGM59" s="46"/>
      <c r="DGN59" s="46"/>
      <c r="DGO59" s="46"/>
      <c r="DGP59" s="46"/>
      <c r="DGQ59" s="46"/>
      <c r="DGR59" s="46"/>
      <c r="DGS59" s="46"/>
      <c r="DGT59" s="46"/>
      <c r="DGU59" s="46"/>
      <c r="DGV59" s="46"/>
      <c r="DGW59" s="46"/>
      <c r="DGX59" s="46"/>
      <c r="DGY59" s="46"/>
      <c r="DGZ59" s="46"/>
      <c r="DHA59" s="46"/>
      <c r="DHB59" s="46"/>
      <c r="DHC59" s="46"/>
      <c r="DHD59" s="46"/>
      <c r="DHE59" s="46"/>
      <c r="DHF59" s="46"/>
      <c r="DHG59" s="46"/>
      <c r="DHH59" s="46"/>
      <c r="DHI59" s="46"/>
      <c r="DHJ59" s="46"/>
      <c r="DHK59" s="46"/>
      <c r="DHL59" s="46"/>
      <c r="DHM59" s="46"/>
      <c r="DHN59" s="46"/>
      <c r="DHO59" s="46"/>
      <c r="DHP59" s="46"/>
      <c r="DHQ59" s="46"/>
      <c r="DHR59" s="46"/>
      <c r="DHS59" s="46"/>
      <c r="DHT59" s="46"/>
      <c r="DHU59" s="46"/>
      <c r="DHV59" s="46"/>
      <c r="DHW59" s="46"/>
      <c r="DHX59" s="46"/>
      <c r="DHY59" s="46"/>
      <c r="DHZ59" s="46"/>
      <c r="DIA59" s="46"/>
      <c r="DIB59" s="46"/>
      <c r="DIC59" s="46"/>
      <c r="DID59" s="46"/>
      <c r="DIE59" s="46"/>
      <c r="DIF59" s="46"/>
      <c r="DIG59" s="46"/>
      <c r="DIH59" s="46"/>
      <c r="DII59" s="46"/>
      <c r="DIJ59" s="46"/>
      <c r="DIK59" s="46"/>
      <c r="DIL59" s="46"/>
      <c r="DIM59" s="46"/>
      <c r="DIN59" s="46"/>
      <c r="DIO59" s="46"/>
      <c r="DIP59" s="46"/>
      <c r="DIQ59" s="46"/>
      <c r="DIR59" s="46"/>
      <c r="DIS59" s="46"/>
      <c r="DIT59" s="46"/>
      <c r="DIU59" s="46"/>
      <c r="DIV59" s="46"/>
      <c r="DIW59" s="46"/>
      <c r="DIX59" s="46"/>
      <c r="DIY59" s="46"/>
      <c r="DIZ59" s="46"/>
      <c r="DJA59" s="46"/>
      <c r="DJB59" s="46"/>
      <c r="DJC59" s="46"/>
      <c r="DJD59" s="46"/>
      <c r="DJE59" s="46"/>
      <c r="DJF59" s="46"/>
      <c r="DJG59" s="46"/>
      <c r="DJH59" s="46"/>
      <c r="DJI59" s="46"/>
      <c r="DJJ59" s="46"/>
      <c r="DJK59" s="46"/>
      <c r="DJL59" s="46"/>
      <c r="DJM59" s="46"/>
      <c r="DJN59" s="46"/>
      <c r="DJO59" s="46"/>
      <c r="DJP59" s="46"/>
      <c r="DJQ59" s="46"/>
      <c r="DJR59" s="46"/>
      <c r="DJS59" s="46"/>
      <c r="DJT59" s="46"/>
      <c r="DJU59" s="46"/>
      <c r="DJV59" s="46"/>
      <c r="DJW59" s="46"/>
      <c r="DJX59" s="46"/>
      <c r="DJY59" s="46"/>
      <c r="DJZ59" s="46"/>
      <c r="DKA59" s="46"/>
      <c r="DKB59" s="46"/>
      <c r="DKC59" s="46"/>
      <c r="DKD59" s="46"/>
      <c r="DKE59" s="46"/>
      <c r="DKF59" s="46"/>
      <c r="DKG59" s="46"/>
      <c r="DKH59" s="46"/>
      <c r="DKI59" s="46"/>
      <c r="DKJ59" s="46"/>
      <c r="DKK59" s="46"/>
      <c r="DKL59" s="46"/>
      <c r="DKM59" s="46"/>
      <c r="DKN59" s="46"/>
      <c r="DKO59" s="46"/>
      <c r="DKP59" s="46"/>
      <c r="DKQ59" s="46"/>
      <c r="DKR59" s="46"/>
      <c r="DKS59" s="46"/>
      <c r="DKT59" s="46"/>
      <c r="DKU59" s="46"/>
      <c r="DKV59" s="46"/>
      <c r="DKW59" s="46"/>
      <c r="DKX59" s="46"/>
      <c r="DKY59" s="46"/>
      <c r="DKZ59" s="46"/>
      <c r="DLA59" s="46"/>
      <c r="DLB59" s="46"/>
      <c r="DLC59" s="46"/>
      <c r="DLD59" s="46"/>
      <c r="DLE59" s="46"/>
      <c r="DLF59" s="46"/>
      <c r="DLG59" s="46"/>
      <c r="DLH59" s="46"/>
      <c r="DLI59" s="46"/>
      <c r="DLJ59" s="46"/>
      <c r="DLK59" s="46"/>
      <c r="DLL59" s="46"/>
      <c r="DLM59" s="46"/>
      <c r="DLN59" s="46"/>
      <c r="DLO59" s="46"/>
      <c r="DLP59" s="46"/>
      <c r="DLQ59" s="46"/>
      <c r="DLR59" s="46"/>
      <c r="DLS59" s="46"/>
      <c r="DLT59" s="46"/>
      <c r="DLU59" s="46"/>
      <c r="DLV59" s="46"/>
      <c r="DLW59" s="46"/>
      <c r="DLX59" s="46"/>
      <c r="DLY59" s="46"/>
      <c r="DLZ59" s="46"/>
      <c r="DMA59" s="46"/>
      <c r="DMB59" s="46"/>
      <c r="DMC59" s="46"/>
      <c r="DMD59" s="46"/>
      <c r="DME59" s="46"/>
      <c r="DMF59" s="46"/>
      <c r="DMG59" s="46"/>
      <c r="DMH59" s="46"/>
      <c r="DMI59" s="46"/>
      <c r="DMJ59" s="46"/>
      <c r="DMK59" s="46"/>
      <c r="DML59" s="46"/>
      <c r="DMM59" s="46"/>
      <c r="DMN59" s="46"/>
      <c r="DMO59" s="46"/>
      <c r="DMP59" s="46"/>
      <c r="DMQ59" s="46"/>
      <c r="DMR59" s="46"/>
      <c r="DMS59" s="46"/>
      <c r="DMT59" s="46"/>
      <c r="DMU59" s="46"/>
      <c r="DMV59" s="46"/>
      <c r="DMW59" s="46"/>
      <c r="DMX59" s="46"/>
      <c r="DMY59" s="46"/>
      <c r="DMZ59" s="46"/>
      <c r="DNA59" s="46"/>
      <c r="DNB59" s="46"/>
      <c r="DNC59" s="46"/>
      <c r="DND59" s="46"/>
      <c r="DNE59" s="46"/>
      <c r="DNF59" s="46"/>
      <c r="DNG59" s="46"/>
      <c r="DNH59" s="46"/>
      <c r="DNI59" s="46"/>
      <c r="DNJ59" s="46"/>
      <c r="DNK59" s="46"/>
      <c r="DNL59" s="46"/>
      <c r="DNM59" s="46"/>
      <c r="DNN59" s="46"/>
      <c r="DNO59" s="46"/>
      <c r="DNP59" s="46"/>
      <c r="DNQ59" s="46"/>
      <c r="DNR59" s="46"/>
      <c r="DNS59" s="46"/>
      <c r="DNT59" s="46"/>
      <c r="DNU59" s="46"/>
      <c r="DNV59" s="46"/>
      <c r="DNW59" s="46"/>
      <c r="DNX59" s="46"/>
      <c r="DNY59" s="46"/>
      <c r="DNZ59" s="46"/>
      <c r="DOA59" s="46"/>
      <c r="DOB59" s="46"/>
      <c r="DOC59" s="46"/>
      <c r="DOD59" s="46"/>
      <c r="DOE59" s="46"/>
      <c r="DOF59" s="46"/>
      <c r="DOG59" s="46"/>
      <c r="DOH59" s="46"/>
      <c r="DOI59" s="46"/>
      <c r="DOJ59" s="46"/>
      <c r="DOK59" s="46"/>
      <c r="DOL59" s="46"/>
      <c r="DOM59" s="46"/>
      <c r="DON59" s="46"/>
      <c r="DOO59" s="46"/>
      <c r="DOP59" s="46"/>
      <c r="DOQ59" s="46"/>
      <c r="DOR59" s="46"/>
      <c r="DOS59" s="46"/>
      <c r="DOT59" s="46"/>
      <c r="DOU59" s="46"/>
      <c r="DOV59" s="46"/>
      <c r="DOW59" s="46"/>
      <c r="DOX59" s="46"/>
      <c r="DOY59" s="46"/>
      <c r="DOZ59" s="46"/>
      <c r="DPA59" s="46"/>
      <c r="DPB59" s="46"/>
      <c r="DPC59" s="46"/>
      <c r="DPD59" s="46"/>
      <c r="DPE59" s="46"/>
      <c r="DPF59" s="46"/>
      <c r="DPG59" s="46"/>
      <c r="DPH59" s="46"/>
      <c r="DPI59" s="46"/>
      <c r="DPJ59" s="46"/>
      <c r="DPK59" s="46"/>
      <c r="DPL59" s="46"/>
      <c r="DPM59" s="46"/>
      <c r="DPN59" s="46"/>
      <c r="DPO59" s="46"/>
      <c r="DPP59" s="46"/>
      <c r="DPQ59" s="46"/>
      <c r="DPR59" s="46"/>
      <c r="DPS59" s="46"/>
      <c r="DPT59" s="46"/>
      <c r="DPU59" s="46"/>
      <c r="DPV59" s="46"/>
      <c r="DPW59" s="46"/>
      <c r="DPX59" s="46"/>
      <c r="DPY59" s="46"/>
      <c r="DPZ59" s="46"/>
      <c r="DQA59" s="46"/>
      <c r="DQB59" s="46"/>
      <c r="DQC59" s="46"/>
      <c r="DQD59" s="46"/>
      <c r="DQE59" s="46"/>
      <c r="DQF59" s="46"/>
      <c r="DQG59" s="46"/>
      <c r="DQH59" s="46"/>
      <c r="DQI59" s="46"/>
      <c r="DQJ59" s="46"/>
      <c r="DQK59" s="46"/>
      <c r="DQL59" s="46"/>
      <c r="DQM59" s="46"/>
      <c r="DQN59" s="46"/>
      <c r="DQO59" s="46"/>
      <c r="DQP59" s="46"/>
      <c r="DQQ59" s="46"/>
      <c r="DQR59" s="46"/>
      <c r="DQS59" s="46"/>
      <c r="DQT59" s="46"/>
      <c r="DQU59" s="46"/>
      <c r="DQV59" s="46"/>
      <c r="DQW59" s="46"/>
      <c r="DQX59" s="46"/>
      <c r="DQY59" s="46"/>
      <c r="DQZ59" s="46"/>
      <c r="DRA59" s="46"/>
      <c r="DRB59" s="46"/>
      <c r="DRC59" s="46"/>
      <c r="DRD59" s="46"/>
      <c r="DRE59" s="46"/>
      <c r="DRF59" s="46"/>
      <c r="DRG59" s="46"/>
      <c r="DRH59" s="46"/>
      <c r="DRI59" s="46"/>
      <c r="DRJ59" s="46"/>
      <c r="DRK59" s="46"/>
      <c r="DRL59" s="46"/>
      <c r="DRM59" s="46"/>
      <c r="DRN59" s="46"/>
      <c r="DRO59" s="46"/>
      <c r="DRP59" s="46"/>
      <c r="DRQ59" s="46"/>
      <c r="DRR59" s="46"/>
      <c r="DRS59" s="46"/>
      <c r="DRT59" s="46"/>
      <c r="DRU59" s="46"/>
      <c r="DRV59" s="46"/>
      <c r="DRW59" s="46"/>
      <c r="DRX59" s="46"/>
      <c r="DRY59" s="46"/>
      <c r="DRZ59" s="46"/>
      <c r="DSA59" s="46"/>
      <c r="DSB59" s="46"/>
      <c r="DSC59" s="46"/>
      <c r="DSD59" s="46"/>
      <c r="DSE59" s="46"/>
      <c r="DSF59" s="46"/>
      <c r="DSG59" s="46"/>
      <c r="DSH59" s="46"/>
      <c r="DSI59" s="46"/>
      <c r="DSJ59" s="46"/>
      <c r="DSK59" s="46"/>
      <c r="DSL59" s="46"/>
      <c r="DSM59" s="46"/>
      <c r="DSN59" s="46"/>
      <c r="DSO59" s="46"/>
      <c r="DSP59" s="46"/>
      <c r="DSQ59" s="46"/>
      <c r="DSR59" s="46"/>
      <c r="DSS59" s="46"/>
      <c r="DST59" s="46"/>
      <c r="DSU59" s="46"/>
      <c r="DSV59" s="46"/>
      <c r="DSW59" s="46"/>
      <c r="DSX59" s="46"/>
      <c r="DSY59" s="46"/>
      <c r="DSZ59" s="46"/>
      <c r="DTA59" s="46"/>
      <c r="DTB59" s="46"/>
      <c r="DTC59" s="46"/>
      <c r="DTD59" s="46"/>
      <c r="DTE59" s="46"/>
      <c r="DTF59" s="46"/>
      <c r="DTG59" s="46"/>
      <c r="DTH59" s="46"/>
      <c r="DTI59" s="46"/>
      <c r="DTJ59" s="46"/>
      <c r="DTK59" s="46"/>
      <c r="DTL59" s="46"/>
      <c r="DTM59" s="46"/>
      <c r="DTN59" s="46"/>
      <c r="DTO59" s="46"/>
      <c r="DTP59" s="46"/>
      <c r="DTQ59" s="46"/>
      <c r="DTR59" s="46"/>
      <c r="DTS59" s="46"/>
      <c r="DTT59" s="46"/>
      <c r="DTU59" s="46"/>
      <c r="DTV59" s="46"/>
      <c r="DTW59" s="46"/>
      <c r="DTX59" s="46"/>
      <c r="DTY59" s="46"/>
      <c r="DTZ59" s="46"/>
      <c r="DUA59" s="46"/>
      <c r="DUB59" s="46"/>
      <c r="DUC59" s="46"/>
      <c r="DUD59" s="46"/>
      <c r="DUE59" s="46"/>
      <c r="DUF59" s="46"/>
      <c r="DUG59" s="46"/>
      <c r="DUH59" s="46"/>
      <c r="DUI59" s="46"/>
      <c r="DUJ59" s="46"/>
      <c r="DUK59" s="46"/>
      <c r="DUL59" s="46"/>
      <c r="DUM59" s="46"/>
      <c r="DUN59" s="46"/>
      <c r="DUO59" s="46"/>
      <c r="DUP59" s="46"/>
      <c r="DUQ59" s="46"/>
      <c r="DUR59" s="46"/>
      <c r="DUS59" s="46"/>
      <c r="DUT59" s="46"/>
      <c r="DUU59" s="46"/>
      <c r="DUV59" s="46"/>
      <c r="DUW59" s="46"/>
      <c r="DUX59" s="46"/>
      <c r="DUY59" s="46"/>
      <c r="DUZ59" s="46"/>
      <c r="DVA59" s="46"/>
      <c r="DVB59" s="46"/>
      <c r="DVC59" s="46"/>
      <c r="DVD59" s="46"/>
      <c r="DVE59" s="46"/>
      <c r="DVF59" s="46"/>
      <c r="DVG59" s="46"/>
      <c r="DVH59" s="46"/>
      <c r="DVI59" s="46"/>
      <c r="DVJ59" s="46"/>
      <c r="DVK59" s="46"/>
      <c r="DVL59" s="46"/>
      <c r="DVM59" s="46"/>
      <c r="DVN59" s="46"/>
      <c r="DVO59" s="46"/>
      <c r="DVP59" s="46"/>
      <c r="DVQ59" s="46"/>
      <c r="DVR59" s="46"/>
      <c r="DVS59" s="46"/>
      <c r="DVT59" s="46"/>
      <c r="DVU59" s="46"/>
      <c r="DVV59" s="46"/>
      <c r="DVW59" s="46"/>
      <c r="DVX59" s="46"/>
      <c r="DVY59" s="46"/>
      <c r="DVZ59" s="46"/>
      <c r="DWA59" s="46"/>
      <c r="DWB59" s="46"/>
      <c r="DWC59" s="46"/>
      <c r="DWD59" s="46"/>
      <c r="DWE59" s="46"/>
      <c r="DWF59" s="46"/>
      <c r="DWG59" s="46"/>
      <c r="DWH59" s="46"/>
      <c r="DWI59" s="46"/>
      <c r="DWJ59" s="46"/>
      <c r="DWK59" s="46"/>
      <c r="DWL59" s="46"/>
      <c r="DWM59" s="46"/>
      <c r="DWN59" s="46"/>
      <c r="DWO59" s="46"/>
      <c r="DWP59" s="46"/>
      <c r="DWQ59" s="46"/>
      <c r="DWR59" s="46"/>
      <c r="DWS59" s="46"/>
      <c r="DWT59" s="46"/>
      <c r="DWU59" s="46"/>
      <c r="DWV59" s="46"/>
      <c r="DWW59" s="46"/>
      <c r="DWX59" s="46"/>
      <c r="DWY59" s="46"/>
      <c r="DWZ59" s="46"/>
      <c r="DXA59" s="46"/>
      <c r="DXB59" s="46"/>
      <c r="DXC59" s="46"/>
      <c r="DXD59" s="46"/>
      <c r="DXE59" s="46"/>
      <c r="DXF59" s="46"/>
      <c r="DXG59" s="46"/>
      <c r="DXH59" s="46"/>
      <c r="DXI59" s="46"/>
      <c r="DXJ59" s="46"/>
      <c r="DXK59" s="46"/>
      <c r="DXL59" s="46"/>
      <c r="DXM59" s="46"/>
      <c r="DXN59" s="46"/>
      <c r="DXO59" s="46"/>
      <c r="DXP59" s="46"/>
      <c r="DXQ59" s="46"/>
      <c r="DXR59" s="46"/>
      <c r="DXS59" s="46"/>
      <c r="DXT59" s="46"/>
      <c r="DXU59" s="46"/>
      <c r="DXV59" s="46"/>
      <c r="DXW59" s="46"/>
      <c r="DXX59" s="46"/>
      <c r="DXY59" s="46"/>
      <c r="DXZ59" s="46"/>
      <c r="DYA59" s="46"/>
      <c r="DYB59" s="46"/>
      <c r="DYC59" s="46"/>
      <c r="DYD59" s="46"/>
      <c r="DYE59" s="46"/>
      <c r="DYF59" s="46"/>
      <c r="DYG59" s="46"/>
      <c r="DYH59" s="46"/>
      <c r="DYI59" s="46"/>
      <c r="DYJ59" s="46"/>
      <c r="DYK59" s="46"/>
      <c r="DYL59" s="46"/>
      <c r="DYM59" s="46"/>
      <c r="DYN59" s="46"/>
      <c r="DYO59" s="46"/>
      <c r="DYP59" s="46"/>
      <c r="DYQ59" s="46"/>
      <c r="DYR59" s="46"/>
      <c r="DYS59" s="46"/>
      <c r="DYT59" s="46"/>
      <c r="DYU59" s="46"/>
      <c r="DYV59" s="46"/>
      <c r="DYW59" s="46"/>
      <c r="DYX59" s="46"/>
      <c r="DYY59" s="46"/>
      <c r="DYZ59" s="46"/>
      <c r="DZA59" s="46"/>
      <c r="DZB59" s="46"/>
      <c r="DZC59" s="46"/>
      <c r="DZD59" s="46"/>
      <c r="DZE59" s="46"/>
      <c r="DZF59" s="46"/>
      <c r="DZG59" s="46"/>
      <c r="DZH59" s="46"/>
      <c r="DZI59" s="46"/>
      <c r="DZJ59" s="46"/>
      <c r="DZK59" s="46"/>
      <c r="DZL59" s="46"/>
      <c r="DZM59" s="46"/>
      <c r="DZN59" s="46"/>
      <c r="DZO59" s="46"/>
      <c r="DZP59" s="46"/>
      <c r="DZQ59" s="46"/>
      <c r="DZR59" s="46"/>
      <c r="DZS59" s="46"/>
      <c r="DZT59" s="46"/>
      <c r="DZU59" s="46"/>
      <c r="DZV59" s="46"/>
      <c r="DZW59" s="46"/>
      <c r="DZX59" s="46"/>
      <c r="DZY59" s="46"/>
      <c r="DZZ59" s="46"/>
      <c r="EAA59" s="46"/>
      <c r="EAB59" s="46"/>
      <c r="EAC59" s="46"/>
      <c r="EAD59" s="46"/>
      <c r="EAE59" s="46"/>
      <c r="EAF59" s="46"/>
      <c r="EAG59" s="46"/>
      <c r="EAH59" s="46"/>
      <c r="EAI59" s="46"/>
      <c r="EAJ59" s="46"/>
      <c r="EAK59" s="46"/>
      <c r="EAL59" s="46"/>
      <c r="EAM59" s="46"/>
      <c r="EAN59" s="46"/>
      <c r="EAO59" s="46"/>
      <c r="EAP59" s="46"/>
      <c r="EAQ59" s="46"/>
      <c r="EAR59" s="46"/>
      <c r="EAS59" s="46"/>
      <c r="EAT59" s="46"/>
      <c r="EAU59" s="46"/>
      <c r="EAV59" s="46"/>
      <c r="EAW59" s="46"/>
      <c r="EAX59" s="46"/>
      <c r="EAY59" s="46"/>
      <c r="EAZ59" s="46"/>
      <c r="EBA59" s="46"/>
      <c r="EBB59" s="46"/>
      <c r="EBC59" s="46"/>
      <c r="EBD59" s="46"/>
      <c r="EBE59" s="46"/>
      <c r="EBF59" s="46"/>
      <c r="EBG59" s="46"/>
      <c r="EBH59" s="46"/>
      <c r="EBI59" s="46"/>
      <c r="EBJ59" s="46"/>
      <c r="EBK59" s="46"/>
      <c r="EBL59" s="46"/>
      <c r="EBM59" s="46"/>
      <c r="EBN59" s="46"/>
      <c r="EBO59" s="46"/>
      <c r="EBP59" s="46"/>
      <c r="EBQ59" s="46"/>
      <c r="EBR59" s="46"/>
      <c r="EBS59" s="46"/>
      <c r="EBT59" s="46"/>
      <c r="EBU59" s="46"/>
      <c r="EBV59" s="46"/>
      <c r="EBW59" s="46"/>
      <c r="EBX59" s="46"/>
      <c r="EBY59" s="46"/>
      <c r="EBZ59" s="46"/>
      <c r="ECA59" s="46"/>
      <c r="ECB59" s="46"/>
      <c r="ECC59" s="46"/>
      <c r="ECD59" s="46"/>
      <c r="ECE59" s="46"/>
      <c r="ECF59" s="46"/>
      <c r="ECG59" s="46"/>
      <c r="ECH59" s="46"/>
      <c r="ECI59" s="46"/>
      <c r="ECJ59" s="46"/>
      <c r="ECK59" s="46"/>
      <c r="ECL59" s="46"/>
      <c r="ECM59" s="46"/>
      <c r="ECN59" s="46"/>
      <c r="ECO59" s="46"/>
      <c r="ECP59" s="46"/>
      <c r="ECQ59" s="46"/>
      <c r="ECR59" s="46"/>
      <c r="ECS59" s="46"/>
      <c r="ECT59" s="46"/>
      <c r="ECU59" s="46"/>
      <c r="ECV59" s="46"/>
      <c r="ECW59" s="46"/>
      <c r="ECX59" s="46"/>
      <c r="ECY59" s="46"/>
      <c r="ECZ59" s="46"/>
      <c r="EDA59" s="46"/>
      <c r="EDB59" s="46"/>
      <c r="EDC59" s="46"/>
      <c r="EDD59" s="46"/>
      <c r="EDE59" s="46"/>
      <c r="EDF59" s="46"/>
      <c r="EDG59" s="46"/>
      <c r="EDH59" s="46"/>
      <c r="EDI59" s="46"/>
      <c r="EDJ59" s="46"/>
      <c r="EDK59" s="46"/>
      <c r="EDL59" s="46"/>
      <c r="EDM59" s="46"/>
      <c r="EDN59" s="46"/>
      <c r="EDO59" s="46"/>
      <c r="EDP59" s="46"/>
      <c r="EDQ59" s="46"/>
      <c r="EDR59" s="46"/>
      <c r="EDS59" s="46"/>
      <c r="EDT59" s="46"/>
      <c r="EDU59" s="46"/>
      <c r="EDV59" s="46"/>
      <c r="EDW59" s="46"/>
      <c r="EDX59" s="46"/>
      <c r="EDY59" s="46"/>
      <c r="EDZ59" s="46"/>
      <c r="EEA59" s="46"/>
      <c r="EEB59" s="46"/>
      <c r="EEC59" s="46"/>
      <c r="EED59" s="46"/>
      <c r="EEE59" s="46"/>
      <c r="EEF59" s="46"/>
      <c r="EEG59" s="46"/>
      <c r="EEH59" s="46"/>
      <c r="EEI59" s="46"/>
      <c r="EEJ59" s="46"/>
      <c r="EEK59" s="46"/>
      <c r="EEL59" s="46"/>
      <c r="EEM59" s="46"/>
      <c r="EEN59" s="46"/>
      <c r="EEO59" s="46"/>
      <c r="EEP59" s="46"/>
      <c r="EEQ59" s="46"/>
      <c r="EER59" s="46"/>
      <c r="EES59" s="46"/>
      <c r="EET59" s="46"/>
      <c r="EEU59" s="46"/>
      <c r="EEV59" s="46"/>
      <c r="EEW59" s="46"/>
      <c r="EEX59" s="46"/>
      <c r="EEY59" s="46"/>
      <c r="EEZ59" s="46"/>
      <c r="EFA59" s="46"/>
      <c r="EFB59" s="46"/>
      <c r="EFC59" s="46"/>
      <c r="EFD59" s="46"/>
      <c r="EFE59" s="46"/>
      <c r="EFF59" s="46"/>
      <c r="EFG59" s="46"/>
      <c r="EFH59" s="46"/>
      <c r="EFI59" s="46"/>
      <c r="EFJ59" s="46"/>
      <c r="EFK59" s="46"/>
      <c r="EFL59" s="46"/>
      <c r="EFM59" s="46"/>
      <c r="EFN59" s="46"/>
      <c r="EFO59" s="46"/>
      <c r="EFP59" s="46"/>
      <c r="EFQ59" s="46"/>
      <c r="EFR59" s="46"/>
      <c r="EFS59" s="46"/>
      <c r="EFT59" s="46"/>
      <c r="EFU59" s="46"/>
      <c r="EFV59" s="46"/>
      <c r="EFW59" s="46"/>
      <c r="EFX59" s="46"/>
      <c r="EFY59" s="46"/>
      <c r="EFZ59" s="46"/>
      <c r="EGA59" s="46"/>
      <c r="EGB59" s="46"/>
      <c r="EGC59" s="46"/>
      <c r="EGD59" s="46"/>
      <c r="EGE59" s="46"/>
      <c r="EGF59" s="46"/>
      <c r="EGG59" s="46"/>
      <c r="EGH59" s="46"/>
      <c r="EGI59" s="46"/>
      <c r="EGJ59" s="46"/>
      <c r="EGK59" s="46"/>
      <c r="EGL59" s="46"/>
      <c r="EGM59" s="46"/>
      <c r="EGN59" s="46"/>
      <c r="EGO59" s="46"/>
      <c r="EGP59" s="46"/>
      <c r="EGQ59" s="46"/>
      <c r="EGR59" s="46"/>
      <c r="EGS59" s="46"/>
      <c r="EGT59" s="46"/>
      <c r="EGU59" s="46"/>
      <c r="EGV59" s="46"/>
      <c r="EGW59" s="46"/>
      <c r="EGX59" s="46"/>
      <c r="EGY59" s="46"/>
      <c r="EGZ59" s="46"/>
      <c r="EHA59" s="46"/>
      <c r="EHB59" s="46"/>
      <c r="EHC59" s="46"/>
      <c r="EHD59" s="46"/>
      <c r="EHE59" s="46"/>
      <c r="EHF59" s="46"/>
      <c r="EHG59" s="46"/>
      <c r="EHH59" s="46"/>
      <c r="EHI59" s="46"/>
      <c r="EHJ59" s="46"/>
      <c r="EHK59" s="46"/>
      <c r="EHL59" s="46"/>
      <c r="EHM59" s="46"/>
      <c r="EHN59" s="46"/>
      <c r="EHO59" s="46"/>
      <c r="EHP59" s="46"/>
      <c r="EHQ59" s="46"/>
      <c r="EHR59" s="46"/>
      <c r="EHS59" s="46"/>
      <c r="EHT59" s="46"/>
      <c r="EHU59" s="46"/>
      <c r="EHV59" s="46"/>
      <c r="EHW59" s="46"/>
      <c r="EHX59" s="46"/>
      <c r="EHY59" s="46"/>
      <c r="EHZ59" s="46"/>
      <c r="EIA59" s="46"/>
      <c r="EIB59" s="46"/>
      <c r="EIC59" s="46"/>
      <c r="EID59" s="46"/>
      <c r="EIE59" s="46"/>
      <c r="EIF59" s="46"/>
      <c r="EIG59" s="46"/>
      <c r="EIH59" s="46"/>
      <c r="EII59" s="46"/>
      <c r="EIJ59" s="46"/>
      <c r="EIK59" s="46"/>
      <c r="EIL59" s="46"/>
      <c r="EIM59" s="46"/>
      <c r="EIN59" s="46"/>
      <c r="EIO59" s="46"/>
      <c r="EIP59" s="46"/>
      <c r="EIQ59" s="46"/>
      <c r="EIR59" s="46"/>
      <c r="EIS59" s="46"/>
      <c r="EIT59" s="46"/>
      <c r="EIU59" s="46"/>
      <c r="EIV59" s="46"/>
      <c r="EIW59" s="46"/>
      <c r="EIX59" s="46"/>
      <c r="EIY59" s="46"/>
      <c r="EIZ59" s="46"/>
      <c r="EJA59" s="46"/>
      <c r="EJB59" s="46"/>
      <c r="EJC59" s="46"/>
      <c r="EJD59" s="46"/>
      <c r="EJE59" s="46"/>
      <c r="EJF59" s="46"/>
      <c r="EJG59" s="46"/>
      <c r="EJH59" s="46"/>
      <c r="EJI59" s="46"/>
      <c r="EJJ59" s="46"/>
      <c r="EJK59" s="46"/>
      <c r="EJL59" s="46"/>
      <c r="EJM59" s="46"/>
      <c r="EJN59" s="46"/>
      <c r="EJO59" s="46"/>
      <c r="EJP59" s="46"/>
      <c r="EJQ59" s="46"/>
      <c r="EJR59" s="46"/>
      <c r="EJS59" s="46"/>
      <c r="EJT59" s="46"/>
      <c r="EJU59" s="46"/>
      <c r="EJV59" s="46"/>
      <c r="EJW59" s="46"/>
      <c r="EJX59" s="46"/>
      <c r="EJY59" s="46"/>
      <c r="EJZ59" s="46"/>
      <c r="EKA59" s="46"/>
      <c r="EKB59" s="46"/>
      <c r="EKC59" s="46"/>
      <c r="EKD59" s="46"/>
      <c r="EKE59" s="46"/>
      <c r="EKF59" s="46"/>
      <c r="EKG59" s="46"/>
      <c r="EKH59" s="46"/>
      <c r="EKI59" s="46"/>
      <c r="EKJ59" s="46"/>
      <c r="EKK59" s="46"/>
      <c r="EKL59" s="46"/>
      <c r="EKM59" s="46"/>
      <c r="EKN59" s="46"/>
      <c r="EKO59" s="46"/>
      <c r="EKP59" s="46"/>
      <c r="EKQ59" s="46"/>
      <c r="EKR59" s="46"/>
      <c r="EKS59" s="46"/>
      <c r="EKT59" s="46"/>
      <c r="EKU59" s="46"/>
      <c r="EKV59" s="46"/>
      <c r="EKW59" s="46"/>
      <c r="EKX59" s="46"/>
      <c r="EKY59" s="46"/>
      <c r="EKZ59" s="46"/>
      <c r="ELA59" s="46"/>
      <c r="ELB59" s="46"/>
      <c r="ELC59" s="46"/>
      <c r="ELD59" s="46"/>
      <c r="ELE59" s="46"/>
      <c r="ELF59" s="46"/>
      <c r="ELG59" s="46"/>
      <c r="ELH59" s="46"/>
      <c r="ELI59" s="46"/>
      <c r="ELJ59" s="46"/>
      <c r="ELK59" s="46"/>
      <c r="ELL59" s="46"/>
      <c r="ELM59" s="46"/>
      <c r="ELN59" s="46"/>
      <c r="ELO59" s="46"/>
      <c r="ELP59" s="46"/>
      <c r="ELQ59" s="46"/>
      <c r="ELR59" s="46"/>
      <c r="ELS59" s="46"/>
      <c r="ELT59" s="46"/>
      <c r="ELU59" s="46"/>
      <c r="ELV59" s="46"/>
      <c r="ELW59" s="46"/>
      <c r="ELX59" s="46"/>
      <c r="ELY59" s="46"/>
      <c r="ELZ59" s="46"/>
      <c r="EMA59" s="46"/>
      <c r="EMB59" s="46"/>
      <c r="EMC59" s="46"/>
      <c r="EMD59" s="46"/>
      <c r="EME59" s="46"/>
      <c r="EMF59" s="46"/>
      <c r="EMG59" s="46"/>
      <c r="EMH59" s="46"/>
      <c r="EMI59" s="46"/>
      <c r="EMJ59" s="46"/>
      <c r="EMK59" s="46"/>
      <c r="EML59" s="46"/>
      <c r="EMM59" s="46"/>
      <c r="EMN59" s="46"/>
      <c r="EMO59" s="46"/>
      <c r="EMP59" s="46"/>
      <c r="EMQ59" s="46"/>
      <c r="EMR59" s="46"/>
      <c r="EMS59" s="46"/>
      <c r="EMT59" s="46"/>
      <c r="EMU59" s="46"/>
      <c r="EMV59" s="46"/>
      <c r="EMW59" s="46"/>
      <c r="EMX59" s="46"/>
      <c r="EMY59" s="46"/>
      <c r="EMZ59" s="46"/>
      <c r="ENA59" s="46"/>
      <c r="ENB59" s="46"/>
      <c r="ENC59" s="46"/>
      <c r="END59" s="46"/>
      <c r="ENE59" s="46"/>
      <c r="ENF59" s="46"/>
      <c r="ENG59" s="46"/>
      <c r="ENH59" s="46"/>
      <c r="ENI59" s="46"/>
      <c r="ENJ59" s="46"/>
      <c r="ENK59" s="46"/>
      <c r="ENL59" s="46"/>
      <c r="ENM59" s="46"/>
      <c r="ENN59" s="46"/>
      <c r="ENO59" s="46"/>
      <c r="ENP59" s="46"/>
      <c r="ENQ59" s="46"/>
      <c r="ENR59" s="46"/>
      <c r="ENS59" s="46"/>
      <c r="ENT59" s="46"/>
      <c r="ENU59" s="46"/>
      <c r="ENV59" s="46"/>
      <c r="ENW59" s="46"/>
      <c r="ENX59" s="46"/>
      <c r="ENY59" s="46"/>
      <c r="ENZ59" s="46"/>
      <c r="EOA59" s="46"/>
      <c r="EOB59" s="46"/>
      <c r="EOC59" s="46"/>
      <c r="EOD59" s="46"/>
      <c r="EOE59" s="46"/>
      <c r="EOF59" s="46"/>
      <c r="EOG59" s="46"/>
      <c r="EOH59" s="46"/>
      <c r="EOI59" s="46"/>
      <c r="EOJ59" s="46"/>
      <c r="EOK59" s="46"/>
      <c r="EOL59" s="46"/>
      <c r="EOM59" s="46"/>
      <c r="EON59" s="46"/>
      <c r="EOO59" s="46"/>
      <c r="EOP59" s="46"/>
      <c r="EOQ59" s="46"/>
      <c r="EOR59" s="46"/>
      <c r="EOS59" s="46"/>
      <c r="EOT59" s="46"/>
      <c r="EOU59" s="46"/>
      <c r="EOV59" s="46"/>
      <c r="EOW59" s="46"/>
      <c r="EOX59" s="46"/>
      <c r="EOY59" s="46"/>
      <c r="EOZ59" s="46"/>
      <c r="EPA59" s="46"/>
      <c r="EPB59" s="46"/>
      <c r="EPC59" s="46"/>
      <c r="EPD59" s="46"/>
      <c r="EPE59" s="46"/>
      <c r="EPF59" s="46"/>
      <c r="EPG59" s="46"/>
      <c r="EPH59" s="46"/>
      <c r="EPI59" s="46"/>
      <c r="EPJ59" s="46"/>
      <c r="EPK59" s="46"/>
      <c r="EPL59" s="46"/>
      <c r="EPM59" s="46"/>
      <c r="EPN59" s="46"/>
      <c r="EPO59" s="46"/>
      <c r="EPP59" s="46"/>
      <c r="EPQ59" s="46"/>
      <c r="EPR59" s="46"/>
      <c r="EPS59" s="46"/>
      <c r="EPT59" s="46"/>
      <c r="EPU59" s="46"/>
      <c r="EPV59" s="46"/>
      <c r="EPW59" s="46"/>
      <c r="EPX59" s="46"/>
      <c r="EPY59" s="46"/>
      <c r="EPZ59" s="46"/>
      <c r="EQA59" s="46"/>
      <c r="EQB59" s="46"/>
      <c r="EQC59" s="46"/>
      <c r="EQD59" s="46"/>
      <c r="EQE59" s="46"/>
      <c r="EQF59" s="46"/>
      <c r="EQG59" s="46"/>
      <c r="EQH59" s="46"/>
      <c r="EQI59" s="46"/>
      <c r="EQJ59" s="46"/>
      <c r="EQK59" s="46"/>
      <c r="EQL59" s="46"/>
      <c r="EQM59" s="46"/>
      <c r="EQN59" s="46"/>
      <c r="EQO59" s="46"/>
      <c r="EQP59" s="46"/>
      <c r="EQQ59" s="46"/>
      <c r="EQR59" s="46"/>
      <c r="EQS59" s="46"/>
      <c r="EQT59" s="46"/>
      <c r="EQU59" s="46"/>
      <c r="EQV59" s="46"/>
      <c r="EQW59" s="46"/>
      <c r="EQX59" s="46"/>
      <c r="EQY59" s="46"/>
      <c r="EQZ59" s="46"/>
      <c r="ERA59" s="46"/>
      <c r="ERB59" s="46"/>
      <c r="ERC59" s="46"/>
      <c r="ERD59" s="46"/>
      <c r="ERE59" s="46"/>
      <c r="ERF59" s="46"/>
      <c r="ERG59" s="46"/>
      <c r="ERH59" s="46"/>
      <c r="ERI59" s="46"/>
      <c r="ERJ59" s="46"/>
      <c r="ERK59" s="46"/>
      <c r="ERL59" s="46"/>
      <c r="ERM59" s="46"/>
      <c r="ERN59" s="46"/>
      <c r="ERO59" s="46"/>
      <c r="ERP59" s="46"/>
      <c r="ERQ59" s="46"/>
      <c r="ERR59" s="46"/>
      <c r="ERS59" s="46"/>
      <c r="ERT59" s="46"/>
      <c r="ERU59" s="46"/>
      <c r="ERV59" s="46"/>
      <c r="ERW59" s="46"/>
      <c r="ERX59" s="46"/>
      <c r="ERY59" s="46"/>
      <c r="ERZ59" s="46"/>
      <c r="ESA59" s="46"/>
      <c r="ESB59" s="46"/>
      <c r="ESC59" s="46"/>
      <c r="ESD59" s="46"/>
      <c r="ESE59" s="46"/>
      <c r="ESF59" s="46"/>
      <c r="ESG59" s="46"/>
      <c r="ESH59" s="46"/>
      <c r="ESI59" s="46"/>
      <c r="ESJ59" s="46"/>
      <c r="ESK59" s="46"/>
      <c r="ESL59" s="46"/>
      <c r="ESM59" s="46"/>
      <c r="ESN59" s="46"/>
      <c r="ESO59" s="46"/>
      <c r="ESP59" s="46"/>
      <c r="ESQ59" s="46"/>
      <c r="ESR59" s="46"/>
      <c r="ESS59" s="46"/>
      <c r="EST59" s="46"/>
      <c r="ESU59" s="46"/>
      <c r="ESV59" s="46"/>
      <c r="ESW59" s="46"/>
      <c r="ESX59" s="46"/>
      <c r="ESY59" s="46"/>
      <c r="ESZ59" s="46"/>
      <c r="ETA59" s="46"/>
      <c r="ETB59" s="46"/>
      <c r="ETC59" s="46"/>
      <c r="ETD59" s="46"/>
      <c r="ETE59" s="46"/>
      <c r="ETF59" s="46"/>
      <c r="ETG59" s="46"/>
      <c r="ETH59" s="46"/>
      <c r="ETI59" s="46"/>
      <c r="ETJ59" s="46"/>
      <c r="ETK59" s="46"/>
      <c r="ETL59" s="46"/>
      <c r="ETM59" s="46"/>
      <c r="ETN59" s="46"/>
      <c r="ETO59" s="46"/>
      <c r="ETP59" s="46"/>
      <c r="ETQ59" s="46"/>
      <c r="ETR59" s="46"/>
      <c r="ETS59" s="46"/>
      <c r="ETT59" s="46"/>
      <c r="ETU59" s="46"/>
      <c r="ETV59" s="46"/>
      <c r="ETW59" s="46"/>
      <c r="ETX59" s="46"/>
      <c r="ETY59" s="46"/>
      <c r="ETZ59" s="46"/>
      <c r="EUA59" s="46"/>
      <c r="EUB59" s="46"/>
      <c r="EUC59" s="46"/>
      <c r="EUD59" s="46"/>
      <c r="EUE59" s="46"/>
      <c r="EUF59" s="46"/>
      <c r="EUG59" s="46"/>
      <c r="EUH59" s="46"/>
      <c r="EUI59" s="46"/>
      <c r="EUJ59" s="46"/>
      <c r="EUK59" s="46"/>
      <c r="EUL59" s="46"/>
      <c r="EUM59" s="46"/>
      <c r="EUN59" s="46"/>
      <c r="EUO59" s="46"/>
      <c r="EUP59" s="46"/>
      <c r="EUQ59" s="46"/>
      <c r="EUR59" s="46"/>
      <c r="EUS59" s="46"/>
      <c r="EUT59" s="46"/>
      <c r="EUU59" s="46"/>
      <c r="EUV59" s="46"/>
      <c r="EUW59" s="46"/>
      <c r="EUX59" s="46"/>
      <c r="EUY59" s="46"/>
      <c r="EUZ59" s="46"/>
      <c r="EVA59" s="46"/>
      <c r="EVB59" s="46"/>
      <c r="EVC59" s="46"/>
      <c r="EVD59" s="46"/>
      <c r="EVE59" s="46"/>
      <c r="EVF59" s="46"/>
      <c r="EVG59" s="46"/>
      <c r="EVH59" s="46"/>
      <c r="EVI59" s="46"/>
      <c r="EVJ59" s="46"/>
      <c r="EVK59" s="46"/>
      <c r="EVL59" s="46"/>
      <c r="EVM59" s="46"/>
      <c r="EVN59" s="46"/>
      <c r="EVO59" s="46"/>
      <c r="EVP59" s="46"/>
      <c r="EVQ59" s="46"/>
      <c r="EVR59" s="46"/>
      <c r="EVS59" s="46"/>
      <c r="EVT59" s="46"/>
      <c r="EVU59" s="46"/>
      <c r="EVV59" s="46"/>
      <c r="EVW59" s="46"/>
      <c r="EVX59" s="46"/>
      <c r="EVY59" s="46"/>
      <c r="EVZ59" s="46"/>
      <c r="EWA59" s="46"/>
      <c r="EWB59" s="46"/>
      <c r="EWC59" s="46"/>
      <c r="EWD59" s="46"/>
      <c r="EWE59" s="46"/>
      <c r="EWF59" s="46"/>
      <c r="EWG59" s="46"/>
      <c r="EWH59" s="46"/>
      <c r="EWI59" s="46"/>
      <c r="EWJ59" s="46"/>
      <c r="EWK59" s="46"/>
      <c r="EWL59" s="46"/>
      <c r="EWM59" s="46"/>
      <c r="EWN59" s="46"/>
      <c r="EWO59" s="46"/>
      <c r="EWP59" s="46"/>
      <c r="EWQ59" s="46"/>
      <c r="EWR59" s="46"/>
      <c r="EWS59" s="46"/>
      <c r="EWT59" s="46"/>
      <c r="EWU59" s="46"/>
      <c r="EWV59" s="46"/>
      <c r="EWW59" s="46"/>
      <c r="EWX59" s="46"/>
      <c r="EWY59" s="46"/>
      <c r="EWZ59" s="46"/>
      <c r="EXA59" s="46"/>
      <c r="EXB59" s="46"/>
      <c r="EXC59" s="46"/>
      <c r="EXD59" s="46"/>
      <c r="EXE59" s="46"/>
      <c r="EXF59" s="46"/>
      <c r="EXG59" s="46"/>
      <c r="EXH59" s="46"/>
      <c r="EXI59" s="46"/>
      <c r="EXJ59" s="46"/>
      <c r="EXK59" s="46"/>
      <c r="EXL59" s="46"/>
      <c r="EXM59" s="46"/>
      <c r="EXN59" s="46"/>
      <c r="EXO59" s="46"/>
      <c r="EXP59" s="46"/>
      <c r="EXQ59" s="46"/>
      <c r="EXR59" s="46"/>
      <c r="EXS59" s="46"/>
      <c r="EXT59" s="46"/>
      <c r="EXU59" s="46"/>
      <c r="EXV59" s="46"/>
      <c r="EXW59" s="46"/>
      <c r="EXX59" s="46"/>
      <c r="EXY59" s="46"/>
      <c r="EXZ59" s="46"/>
      <c r="EYA59" s="46"/>
      <c r="EYB59" s="46"/>
      <c r="EYC59" s="46"/>
      <c r="EYD59" s="46"/>
      <c r="EYE59" s="46"/>
      <c r="EYF59" s="46"/>
      <c r="EYG59" s="46"/>
      <c r="EYH59" s="46"/>
      <c r="EYI59" s="46"/>
      <c r="EYJ59" s="46"/>
      <c r="EYK59" s="46"/>
      <c r="EYL59" s="46"/>
      <c r="EYM59" s="46"/>
      <c r="EYN59" s="46"/>
      <c r="EYO59" s="46"/>
      <c r="EYP59" s="46"/>
      <c r="EYQ59" s="46"/>
      <c r="EYR59" s="46"/>
      <c r="EYS59" s="46"/>
      <c r="EYT59" s="46"/>
      <c r="EYU59" s="46"/>
      <c r="EYV59" s="46"/>
      <c r="EYW59" s="46"/>
      <c r="EYX59" s="46"/>
      <c r="EYY59" s="46"/>
      <c r="EYZ59" s="46"/>
      <c r="EZA59" s="46"/>
      <c r="EZB59" s="46"/>
      <c r="EZC59" s="46"/>
      <c r="EZD59" s="46"/>
      <c r="EZE59" s="46"/>
      <c r="EZF59" s="46"/>
      <c r="EZG59" s="46"/>
      <c r="EZH59" s="46"/>
      <c r="EZI59" s="46"/>
      <c r="EZJ59" s="46"/>
      <c r="EZK59" s="46"/>
      <c r="EZL59" s="46"/>
      <c r="EZM59" s="46"/>
      <c r="EZN59" s="46"/>
      <c r="EZO59" s="46"/>
      <c r="EZP59" s="46"/>
      <c r="EZQ59" s="46"/>
      <c r="EZR59" s="46"/>
      <c r="EZS59" s="46"/>
      <c r="EZT59" s="46"/>
      <c r="EZU59" s="46"/>
      <c r="EZV59" s="46"/>
      <c r="EZW59" s="46"/>
      <c r="EZX59" s="46"/>
      <c r="EZY59" s="46"/>
      <c r="EZZ59" s="46"/>
      <c r="FAA59" s="46"/>
      <c r="FAB59" s="46"/>
      <c r="FAC59" s="46"/>
      <c r="FAD59" s="46"/>
      <c r="FAE59" s="46"/>
      <c r="FAF59" s="46"/>
      <c r="FAG59" s="46"/>
      <c r="FAH59" s="46"/>
      <c r="FAI59" s="46"/>
      <c r="FAJ59" s="46"/>
      <c r="FAK59" s="46"/>
      <c r="FAL59" s="46"/>
      <c r="FAM59" s="46"/>
      <c r="FAN59" s="46"/>
      <c r="FAO59" s="46"/>
      <c r="FAP59" s="46"/>
      <c r="FAQ59" s="46"/>
      <c r="FAR59" s="46"/>
      <c r="FAS59" s="46"/>
      <c r="FAT59" s="46"/>
      <c r="FAU59" s="46"/>
      <c r="FAV59" s="46"/>
      <c r="FAW59" s="46"/>
      <c r="FAX59" s="46"/>
      <c r="FAY59" s="46"/>
      <c r="FAZ59" s="46"/>
      <c r="FBA59" s="46"/>
      <c r="FBB59" s="46"/>
      <c r="FBC59" s="46"/>
      <c r="FBD59" s="46"/>
      <c r="FBE59" s="46"/>
      <c r="FBF59" s="46"/>
      <c r="FBG59" s="46"/>
      <c r="FBH59" s="46"/>
      <c r="FBI59" s="46"/>
      <c r="FBJ59" s="46"/>
      <c r="FBK59" s="46"/>
      <c r="FBL59" s="46"/>
      <c r="FBM59" s="46"/>
      <c r="FBN59" s="46"/>
      <c r="FBO59" s="46"/>
      <c r="FBP59" s="46"/>
      <c r="FBQ59" s="46"/>
      <c r="FBR59" s="46"/>
      <c r="FBS59" s="46"/>
      <c r="FBT59" s="46"/>
      <c r="FBU59" s="46"/>
      <c r="FBV59" s="46"/>
      <c r="FBW59" s="46"/>
      <c r="FBX59" s="46"/>
      <c r="FBY59" s="46"/>
      <c r="FBZ59" s="46"/>
      <c r="FCA59" s="46"/>
      <c r="FCB59" s="46"/>
      <c r="FCC59" s="46"/>
      <c r="FCD59" s="46"/>
      <c r="FCE59" s="46"/>
      <c r="FCF59" s="46"/>
      <c r="FCG59" s="46"/>
      <c r="FCH59" s="46"/>
      <c r="FCI59" s="46"/>
      <c r="FCJ59" s="46"/>
      <c r="FCK59" s="46"/>
      <c r="FCL59" s="46"/>
      <c r="FCM59" s="46"/>
      <c r="FCN59" s="46"/>
      <c r="FCO59" s="46"/>
      <c r="FCP59" s="46"/>
      <c r="FCQ59" s="46"/>
      <c r="FCR59" s="46"/>
      <c r="FCS59" s="46"/>
      <c r="FCT59" s="46"/>
      <c r="FCU59" s="46"/>
      <c r="FCV59" s="46"/>
      <c r="FCW59" s="46"/>
      <c r="FCX59" s="46"/>
      <c r="FCY59" s="46"/>
      <c r="FCZ59" s="46"/>
      <c r="FDA59" s="46"/>
      <c r="FDB59" s="46"/>
      <c r="FDC59" s="46"/>
      <c r="FDD59" s="46"/>
      <c r="FDE59" s="46"/>
      <c r="FDF59" s="46"/>
      <c r="FDG59" s="46"/>
      <c r="FDH59" s="46"/>
      <c r="FDI59" s="46"/>
      <c r="FDJ59" s="46"/>
      <c r="FDK59" s="46"/>
      <c r="FDL59" s="46"/>
      <c r="FDM59" s="46"/>
      <c r="FDN59" s="46"/>
      <c r="FDO59" s="46"/>
      <c r="FDP59" s="46"/>
      <c r="FDQ59" s="46"/>
      <c r="FDR59" s="46"/>
      <c r="FDS59" s="46"/>
      <c r="FDT59" s="46"/>
      <c r="FDU59" s="46"/>
      <c r="FDV59" s="46"/>
      <c r="FDW59" s="46"/>
      <c r="FDX59" s="46"/>
      <c r="FDY59" s="46"/>
      <c r="FDZ59" s="46"/>
      <c r="FEA59" s="46"/>
      <c r="FEB59" s="46"/>
      <c r="FEC59" s="46"/>
      <c r="FED59" s="46"/>
      <c r="FEE59" s="46"/>
      <c r="FEF59" s="46"/>
      <c r="FEG59" s="46"/>
      <c r="FEH59" s="46"/>
      <c r="FEI59" s="46"/>
      <c r="FEJ59" s="46"/>
      <c r="FEK59" s="46"/>
      <c r="FEL59" s="46"/>
      <c r="FEM59" s="46"/>
      <c r="FEN59" s="46"/>
      <c r="FEO59" s="46"/>
      <c r="FEP59" s="46"/>
      <c r="FEQ59" s="46"/>
      <c r="FER59" s="46"/>
      <c r="FES59" s="46"/>
      <c r="FET59" s="46"/>
      <c r="FEU59" s="46"/>
      <c r="FEV59" s="46"/>
      <c r="FEW59" s="46"/>
      <c r="FEX59" s="46"/>
      <c r="FEY59" s="46"/>
      <c r="FEZ59" s="46"/>
      <c r="FFA59" s="46"/>
      <c r="FFB59" s="46"/>
      <c r="FFC59" s="46"/>
      <c r="FFD59" s="46"/>
      <c r="FFE59" s="46"/>
      <c r="FFF59" s="46"/>
      <c r="FFG59" s="46"/>
      <c r="FFH59" s="46"/>
      <c r="FFI59" s="46"/>
      <c r="FFJ59" s="46"/>
      <c r="FFK59" s="46"/>
      <c r="FFL59" s="46"/>
      <c r="FFM59" s="46"/>
      <c r="FFN59" s="46"/>
      <c r="FFO59" s="46"/>
      <c r="FFP59" s="46"/>
      <c r="FFQ59" s="46"/>
      <c r="FFR59" s="46"/>
      <c r="FFS59" s="46"/>
      <c r="FFT59" s="46"/>
      <c r="FFU59" s="46"/>
      <c r="FFV59" s="46"/>
      <c r="FFW59" s="46"/>
      <c r="FFX59" s="46"/>
      <c r="FFY59" s="46"/>
      <c r="FFZ59" s="46"/>
      <c r="FGA59" s="46"/>
      <c r="FGB59" s="46"/>
      <c r="FGC59" s="46"/>
      <c r="FGD59" s="46"/>
      <c r="FGE59" s="46"/>
      <c r="FGF59" s="46"/>
      <c r="FGG59" s="46"/>
      <c r="FGH59" s="46"/>
      <c r="FGI59" s="46"/>
      <c r="FGJ59" s="46"/>
      <c r="FGK59" s="46"/>
      <c r="FGL59" s="46"/>
      <c r="FGM59" s="46"/>
      <c r="FGN59" s="46"/>
      <c r="FGO59" s="46"/>
      <c r="FGP59" s="46"/>
      <c r="FGQ59" s="46"/>
      <c r="FGR59" s="46"/>
      <c r="FGS59" s="46"/>
      <c r="FGT59" s="46"/>
      <c r="FGU59" s="46"/>
      <c r="FGV59" s="46"/>
      <c r="FGW59" s="46"/>
      <c r="FGX59" s="46"/>
      <c r="FGY59" s="46"/>
      <c r="FGZ59" s="46"/>
      <c r="FHA59" s="46"/>
      <c r="FHB59" s="46"/>
      <c r="FHC59" s="46"/>
      <c r="FHD59" s="46"/>
      <c r="FHE59" s="46"/>
      <c r="FHF59" s="46"/>
      <c r="FHG59" s="46"/>
      <c r="FHH59" s="46"/>
      <c r="FHI59" s="46"/>
      <c r="FHJ59" s="46"/>
      <c r="FHK59" s="46"/>
      <c r="FHL59" s="46"/>
      <c r="FHM59" s="46"/>
      <c r="FHN59" s="46"/>
      <c r="FHO59" s="46"/>
      <c r="FHP59" s="46"/>
      <c r="FHQ59" s="46"/>
      <c r="FHR59" s="46"/>
      <c r="FHS59" s="46"/>
      <c r="FHT59" s="46"/>
      <c r="FHU59" s="46"/>
      <c r="FHV59" s="46"/>
      <c r="FHW59" s="46"/>
      <c r="FHX59" s="46"/>
      <c r="FHY59" s="46"/>
      <c r="FHZ59" s="46"/>
      <c r="FIA59" s="46"/>
      <c r="FIB59" s="46"/>
      <c r="FIC59" s="46"/>
      <c r="FID59" s="46"/>
      <c r="FIE59" s="46"/>
      <c r="FIF59" s="46"/>
      <c r="FIG59" s="46"/>
      <c r="FIH59" s="46"/>
      <c r="FII59" s="46"/>
      <c r="FIJ59" s="46"/>
      <c r="FIK59" s="46"/>
      <c r="FIL59" s="46"/>
      <c r="FIM59" s="46"/>
      <c r="FIN59" s="46"/>
      <c r="FIO59" s="46"/>
      <c r="FIP59" s="46"/>
      <c r="FIQ59" s="46"/>
      <c r="FIR59" s="46"/>
      <c r="FIS59" s="46"/>
      <c r="FIT59" s="46"/>
      <c r="FIU59" s="46"/>
      <c r="FIV59" s="46"/>
      <c r="FIW59" s="46"/>
      <c r="FIX59" s="46"/>
      <c r="FIY59" s="46"/>
      <c r="FIZ59" s="46"/>
      <c r="FJA59" s="46"/>
      <c r="FJB59" s="46"/>
      <c r="FJC59" s="46"/>
      <c r="FJD59" s="46"/>
      <c r="FJE59" s="46"/>
      <c r="FJF59" s="46"/>
      <c r="FJG59" s="46"/>
      <c r="FJH59" s="46"/>
      <c r="FJI59" s="46"/>
      <c r="FJJ59" s="46"/>
      <c r="FJK59" s="46"/>
      <c r="FJL59" s="46"/>
      <c r="FJM59" s="46"/>
      <c r="FJN59" s="46"/>
      <c r="FJO59" s="46"/>
      <c r="FJP59" s="46"/>
      <c r="FJQ59" s="46"/>
      <c r="FJR59" s="46"/>
      <c r="FJS59" s="46"/>
      <c r="FJT59" s="46"/>
      <c r="FJU59" s="46"/>
      <c r="FJV59" s="46"/>
      <c r="FJW59" s="46"/>
      <c r="FJX59" s="46"/>
      <c r="FJY59" s="46"/>
      <c r="FJZ59" s="46"/>
      <c r="FKA59" s="46"/>
      <c r="FKB59" s="46"/>
      <c r="FKC59" s="46"/>
      <c r="FKD59" s="46"/>
      <c r="FKE59" s="46"/>
      <c r="FKF59" s="46"/>
      <c r="FKG59" s="46"/>
      <c r="FKH59" s="46"/>
      <c r="FKI59" s="46"/>
      <c r="FKJ59" s="46"/>
      <c r="FKK59" s="46"/>
      <c r="FKL59" s="46"/>
      <c r="FKM59" s="46"/>
      <c r="FKN59" s="46"/>
      <c r="FKO59" s="46"/>
      <c r="FKP59" s="46"/>
      <c r="FKQ59" s="46"/>
      <c r="FKR59" s="46"/>
      <c r="FKS59" s="46"/>
      <c r="FKT59" s="46"/>
      <c r="FKU59" s="46"/>
      <c r="FKV59" s="46"/>
      <c r="FKW59" s="46"/>
      <c r="FKX59" s="46"/>
      <c r="FKY59" s="46"/>
      <c r="FKZ59" s="46"/>
      <c r="FLA59" s="46"/>
      <c r="FLB59" s="46"/>
      <c r="FLC59" s="46"/>
      <c r="FLD59" s="46"/>
      <c r="FLE59" s="46"/>
      <c r="FLF59" s="46"/>
      <c r="FLG59" s="46"/>
      <c r="FLH59" s="46"/>
      <c r="FLI59" s="46"/>
      <c r="FLJ59" s="46"/>
      <c r="FLK59" s="46"/>
      <c r="FLL59" s="46"/>
      <c r="FLM59" s="46"/>
      <c r="FLN59" s="46"/>
      <c r="FLO59" s="46"/>
      <c r="FLP59" s="46"/>
      <c r="FLQ59" s="46"/>
      <c r="FLR59" s="46"/>
      <c r="FLS59" s="46"/>
      <c r="FLT59" s="46"/>
      <c r="FLU59" s="46"/>
      <c r="FLV59" s="46"/>
      <c r="FLW59" s="46"/>
      <c r="FLX59" s="46"/>
      <c r="FLY59" s="46"/>
      <c r="FLZ59" s="46"/>
      <c r="FMA59" s="46"/>
      <c r="FMB59" s="46"/>
      <c r="FMC59" s="46"/>
      <c r="FMD59" s="46"/>
      <c r="FME59" s="46"/>
      <c r="FMF59" s="46"/>
      <c r="FMG59" s="46"/>
      <c r="FMH59" s="46"/>
      <c r="FMI59" s="46"/>
      <c r="FMJ59" s="46"/>
      <c r="FMK59" s="46"/>
      <c r="FML59" s="46"/>
      <c r="FMM59" s="46"/>
      <c r="FMN59" s="46"/>
      <c r="FMO59" s="46"/>
      <c r="FMP59" s="46"/>
      <c r="FMQ59" s="46"/>
      <c r="FMR59" s="46"/>
      <c r="FMS59" s="46"/>
      <c r="FMT59" s="46"/>
      <c r="FMU59" s="46"/>
      <c r="FMV59" s="46"/>
      <c r="FMW59" s="46"/>
      <c r="FMX59" s="46"/>
      <c r="FMY59" s="46"/>
      <c r="FMZ59" s="46"/>
      <c r="FNA59" s="46"/>
      <c r="FNB59" s="46"/>
      <c r="FNC59" s="46"/>
      <c r="FND59" s="46"/>
      <c r="FNE59" s="46"/>
      <c r="FNF59" s="46"/>
      <c r="FNG59" s="46"/>
      <c r="FNH59" s="46"/>
      <c r="FNI59" s="46"/>
      <c r="FNJ59" s="46"/>
      <c r="FNK59" s="46"/>
      <c r="FNL59" s="46"/>
      <c r="FNM59" s="46"/>
      <c r="FNN59" s="46"/>
      <c r="FNO59" s="46"/>
      <c r="FNP59" s="46"/>
      <c r="FNQ59" s="46"/>
      <c r="FNR59" s="46"/>
      <c r="FNS59" s="46"/>
      <c r="FNT59" s="46"/>
      <c r="FNU59" s="46"/>
      <c r="FNV59" s="46"/>
      <c r="FNW59" s="46"/>
      <c r="FNX59" s="46"/>
      <c r="FNY59" s="46"/>
      <c r="FNZ59" s="46"/>
      <c r="FOA59" s="46"/>
      <c r="FOB59" s="46"/>
      <c r="FOC59" s="46"/>
      <c r="FOD59" s="46"/>
      <c r="FOE59" s="46"/>
      <c r="FOF59" s="46"/>
      <c r="FOG59" s="46"/>
      <c r="FOH59" s="46"/>
      <c r="FOI59" s="46"/>
      <c r="FOJ59" s="46"/>
      <c r="FOK59" s="46"/>
      <c r="FOL59" s="46"/>
      <c r="FOM59" s="46"/>
      <c r="FON59" s="46"/>
      <c r="FOO59" s="46"/>
      <c r="FOP59" s="46"/>
      <c r="FOQ59" s="46"/>
      <c r="FOR59" s="46"/>
      <c r="FOS59" s="46"/>
      <c r="FOT59" s="46"/>
      <c r="FOU59" s="46"/>
      <c r="FOV59" s="46"/>
      <c r="FOW59" s="46"/>
      <c r="FOX59" s="46"/>
      <c r="FOY59" s="46"/>
      <c r="FOZ59" s="46"/>
      <c r="FPA59" s="46"/>
      <c r="FPB59" s="46"/>
      <c r="FPC59" s="46"/>
      <c r="FPD59" s="46"/>
      <c r="FPE59" s="46"/>
      <c r="FPF59" s="46"/>
      <c r="FPG59" s="46"/>
      <c r="FPH59" s="46"/>
      <c r="FPI59" s="46"/>
      <c r="FPJ59" s="46"/>
      <c r="FPK59" s="46"/>
      <c r="FPL59" s="46"/>
      <c r="FPM59" s="46"/>
      <c r="FPN59" s="46"/>
      <c r="FPO59" s="46"/>
      <c r="FPP59" s="46"/>
      <c r="FPQ59" s="46"/>
      <c r="FPR59" s="46"/>
      <c r="FPS59" s="46"/>
      <c r="FPT59" s="46"/>
      <c r="FPU59" s="46"/>
      <c r="FPV59" s="46"/>
      <c r="FPW59" s="46"/>
      <c r="FPX59" s="46"/>
      <c r="FPY59" s="46"/>
      <c r="FPZ59" s="46"/>
      <c r="FQA59" s="46"/>
      <c r="FQB59" s="46"/>
      <c r="FQC59" s="46"/>
      <c r="FQD59" s="46"/>
      <c r="FQE59" s="46"/>
      <c r="FQF59" s="46"/>
      <c r="FQG59" s="46"/>
      <c r="FQH59" s="46"/>
      <c r="FQI59" s="46"/>
      <c r="FQJ59" s="46"/>
      <c r="FQK59" s="46"/>
      <c r="FQL59" s="46"/>
      <c r="FQM59" s="46"/>
      <c r="FQN59" s="46"/>
      <c r="FQO59" s="46"/>
      <c r="FQP59" s="46"/>
      <c r="FQQ59" s="46"/>
      <c r="FQR59" s="46"/>
      <c r="FQS59" s="46"/>
      <c r="FQT59" s="46"/>
      <c r="FQU59" s="46"/>
      <c r="FQV59" s="46"/>
      <c r="FQW59" s="46"/>
      <c r="FQX59" s="46"/>
      <c r="FQY59" s="46"/>
      <c r="FQZ59" s="46"/>
      <c r="FRA59" s="46"/>
      <c r="FRB59" s="46"/>
      <c r="FRC59" s="46"/>
      <c r="FRD59" s="46"/>
      <c r="FRE59" s="46"/>
      <c r="FRF59" s="46"/>
      <c r="FRG59" s="46"/>
      <c r="FRH59" s="46"/>
      <c r="FRI59" s="46"/>
      <c r="FRJ59" s="46"/>
      <c r="FRK59" s="46"/>
      <c r="FRL59" s="46"/>
      <c r="FRM59" s="46"/>
      <c r="FRN59" s="46"/>
      <c r="FRO59" s="46"/>
      <c r="FRP59" s="46"/>
      <c r="FRQ59" s="46"/>
      <c r="FRR59" s="46"/>
      <c r="FRS59" s="46"/>
      <c r="FRT59" s="46"/>
      <c r="FRU59" s="46"/>
      <c r="FRV59" s="46"/>
      <c r="FRW59" s="46"/>
      <c r="FRX59" s="46"/>
      <c r="FRY59" s="46"/>
      <c r="FRZ59" s="46"/>
      <c r="FSA59" s="46"/>
      <c r="FSB59" s="46"/>
      <c r="FSC59" s="46"/>
      <c r="FSD59" s="46"/>
      <c r="FSE59" s="46"/>
      <c r="FSF59" s="46"/>
      <c r="FSG59" s="46"/>
      <c r="FSH59" s="46"/>
      <c r="FSI59" s="46"/>
      <c r="FSJ59" s="46"/>
      <c r="FSK59" s="46"/>
      <c r="FSL59" s="46"/>
      <c r="FSM59" s="46"/>
      <c r="FSN59" s="46"/>
      <c r="FSO59" s="46"/>
      <c r="FSP59" s="46"/>
      <c r="FSQ59" s="46"/>
      <c r="FSR59" s="46"/>
      <c r="FSS59" s="46"/>
      <c r="FST59" s="46"/>
      <c r="FSU59" s="46"/>
      <c r="FSV59" s="46"/>
      <c r="FSW59" s="46"/>
      <c r="FSX59" s="46"/>
      <c r="FSY59" s="46"/>
      <c r="FSZ59" s="46"/>
      <c r="FTA59" s="46"/>
      <c r="FTB59" s="46"/>
      <c r="FTC59" s="46"/>
      <c r="FTD59" s="46"/>
      <c r="FTE59" s="46"/>
      <c r="FTF59" s="46"/>
      <c r="FTG59" s="46"/>
      <c r="FTH59" s="46"/>
      <c r="FTI59" s="46"/>
      <c r="FTJ59" s="46"/>
      <c r="FTK59" s="46"/>
      <c r="FTL59" s="46"/>
      <c r="FTM59" s="46"/>
      <c r="FTN59" s="46"/>
      <c r="FTO59" s="46"/>
      <c r="FTP59" s="46"/>
      <c r="FTQ59" s="46"/>
      <c r="FTR59" s="46"/>
      <c r="FTS59" s="46"/>
      <c r="FTT59" s="46"/>
      <c r="FTU59" s="46"/>
      <c r="FTV59" s="46"/>
      <c r="FTW59" s="46"/>
      <c r="FTX59" s="46"/>
      <c r="FTY59" s="46"/>
      <c r="FTZ59" s="46"/>
      <c r="FUA59" s="46"/>
      <c r="FUB59" s="46"/>
      <c r="FUC59" s="46"/>
      <c r="FUD59" s="46"/>
      <c r="FUE59" s="46"/>
      <c r="FUF59" s="46"/>
      <c r="FUG59" s="46"/>
      <c r="FUH59" s="46"/>
      <c r="FUI59" s="46"/>
      <c r="FUJ59" s="46"/>
      <c r="FUK59" s="46"/>
      <c r="FUL59" s="46"/>
      <c r="FUM59" s="46"/>
      <c r="FUN59" s="46"/>
      <c r="FUO59" s="46"/>
      <c r="FUP59" s="46"/>
      <c r="FUQ59" s="46"/>
      <c r="FUR59" s="46"/>
      <c r="FUS59" s="46"/>
      <c r="FUT59" s="46"/>
      <c r="FUU59" s="46"/>
      <c r="FUV59" s="46"/>
      <c r="FUW59" s="46"/>
      <c r="FUX59" s="46"/>
      <c r="FUY59" s="46"/>
      <c r="FUZ59" s="46"/>
      <c r="FVA59" s="46"/>
      <c r="FVB59" s="46"/>
      <c r="FVC59" s="46"/>
      <c r="FVD59" s="46"/>
      <c r="FVE59" s="46"/>
      <c r="FVF59" s="46"/>
      <c r="FVG59" s="46"/>
      <c r="FVH59" s="46"/>
      <c r="FVI59" s="46"/>
      <c r="FVJ59" s="46"/>
      <c r="FVK59" s="46"/>
      <c r="FVL59" s="46"/>
      <c r="FVM59" s="46"/>
      <c r="FVN59" s="46"/>
      <c r="FVO59" s="46"/>
      <c r="FVP59" s="46"/>
      <c r="FVQ59" s="46"/>
      <c r="FVR59" s="46"/>
      <c r="FVS59" s="46"/>
      <c r="FVT59" s="46"/>
      <c r="FVU59" s="46"/>
      <c r="FVV59" s="46"/>
      <c r="FVW59" s="46"/>
      <c r="FVX59" s="46"/>
      <c r="FVY59" s="46"/>
      <c r="FVZ59" s="46"/>
      <c r="FWA59" s="46"/>
      <c r="FWB59" s="46"/>
      <c r="FWC59" s="46"/>
      <c r="FWD59" s="46"/>
      <c r="FWE59" s="46"/>
      <c r="FWF59" s="46"/>
      <c r="FWG59" s="46"/>
      <c r="FWH59" s="46"/>
      <c r="FWI59" s="46"/>
      <c r="FWJ59" s="46"/>
      <c r="FWK59" s="46"/>
      <c r="FWL59" s="46"/>
      <c r="FWM59" s="46"/>
      <c r="FWN59" s="46"/>
      <c r="FWO59" s="46"/>
      <c r="FWP59" s="46"/>
      <c r="FWQ59" s="46"/>
      <c r="FWR59" s="46"/>
      <c r="FWS59" s="46"/>
      <c r="FWT59" s="46"/>
      <c r="FWU59" s="46"/>
      <c r="FWV59" s="46"/>
      <c r="FWW59" s="46"/>
      <c r="FWX59" s="46"/>
      <c r="FWY59" s="46"/>
      <c r="FWZ59" s="46"/>
      <c r="FXA59" s="46"/>
      <c r="FXB59" s="46"/>
      <c r="FXC59" s="46"/>
      <c r="FXD59" s="46"/>
      <c r="FXE59" s="46"/>
      <c r="FXF59" s="46"/>
      <c r="FXG59" s="46"/>
      <c r="FXH59" s="46"/>
      <c r="FXI59" s="46"/>
      <c r="FXJ59" s="46"/>
      <c r="FXK59" s="46"/>
      <c r="FXL59" s="46"/>
      <c r="FXM59" s="46"/>
      <c r="FXN59" s="46"/>
      <c r="FXO59" s="46"/>
      <c r="FXP59" s="46"/>
      <c r="FXQ59" s="46"/>
      <c r="FXR59" s="46"/>
      <c r="FXS59" s="46"/>
      <c r="FXT59" s="46"/>
      <c r="FXU59" s="46"/>
      <c r="FXV59" s="46"/>
      <c r="FXW59" s="46"/>
      <c r="FXX59" s="46"/>
      <c r="FXY59" s="46"/>
      <c r="FXZ59" s="46"/>
      <c r="FYA59" s="46"/>
      <c r="FYB59" s="46"/>
      <c r="FYC59" s="46"/>
      <c r="FYD59" s="46"/>
      <c r="FYE59" s="46"/>
      <c r="FYF59" s="46"/>
      <c r="FYG59" s="46"/>
      <c r="FYH59" s="46"/>
      <c r="FYI59" s="46"/>
      <c r="FYJ59" s="46"/>
      <c r="FYK59" s="46"/>
      <c r="FYL59" s="46"/>
      <c r="FYM59" s="46"/>
      <c r="FYN59" s="46"/>
      <c r="FYO59" s="46"/>
      <c r="FYP59" s="46"/>
      <c r="FYQ59" s="46"/>
      <c r="FYR59" s="46"/>
      <c r="FYS59" s="46"/>
      <c r="FYT59" s="46"/>
      <c r="FYU59" s="46"/>
      <c r="FYV59" s="46"/>
      <c r="FYW59" s="46"/>
      <c r="FYX59" s="46"/>
      <c r="FYY59" s="46"/>
      <c r="FYZ59" s="46"/>
      <c r="FZA59" s="46"/>
      <c r="FZB59" s="46"/>
      <c r="FZC59" s="46"/>
      <c r="FZD59" s="46"/>
      <c r="FZE59" s="46"/>
      <c r="FZF59" s="46"/>
      <c r="FZG59" s="46"/>
      <c r="FZH59" s="46"/>
      <c r="FZI59" s="46"/>
      <c r="FZJ59" s="46"/>
      <c r="FZK59" s="46"/>
      <c r="FZL59" s="46"/>
      <c r="FZM59" s="46"/>
      <c r="FZN59" s="46"/>
      <c r="FZO59" s="46"/>
      <c r="FZP59" s="46"/>
      <c r="FZQ59" s="46"/>
      <c r="FZR59" s="46"/>
      <c r="FZS59" s="46"/>
      <c r="FZT59" s="46"/>
      <c r="FZU59" s="46"/>
      <c r="FZV59" s="46"/>
      <c r="FZW59" s="46"/>
      <c r="FZX59" s="46"/>
      <c r="FZY59" s="46"/>
      <c r="FZZ59" s="46"/>
      <c r="GAA59" s="46"/>
      <c r="GAB59" s="46"/>
      <c r="GAC59" s="46"/>
      <c r="GAD59" s="46"/>
      <c r="GAE59" s="46"/>
      <c r="GAF59" s="46"/>
      <c r="GAG59" s="46"/>
      <c r="GAH59" s="46"/>
      <c r="GAI59" s="46"/>
      <c r="GAJ59" s="46"/>
      <c r="GAK59" s="46"/>
      <c r="GAL59" s="46"/>
      <c r="GAM59" s="46"/>
      <c r="GAN59" s="46"/>
      <c r="GAO59" s="46"/>
      <c r="GAP59" s="46"/>
      <c r="GAQ59" s="46"/>
      <c r="GAR59" s="46"/>
      <c r="GAS59" s="46"/>
      <c r="GAT59" s="46"/>
      <c r="GAU59" s="46"/>
      <c r="GAV59" s="46"/>
      <c r="GAW59" s="46"/>
      <c r="GAX59" s="46"/>
      <c r="GAY59" s="46"/>
      <c r="GAZ59" s="46"/>
      <c r="GBA59" s="46"/>
      <c r="GBB59" s="46"/>
      <c r="GBC59" s="46"/>
      <c r="GBD59" s="46"/>
      <c r="GBE59" s="46"/>
      <c r="GBF59" s="46"/>
      <c r="GBG59" s="46"/>
      <c r="GBH59" s="46"/>
      <c r="GBI59" s="46"/>
      <c r="GBJ59" s="46"/>
      <c r="GBK59" s="46"/>
      <c r="GBL59" s="46"/>
      <c r="GBM59" s="46"/>
      <c r="GBN59" s="46"/>
      <c r="GBO59" s="46"/>
      <c r="GBP59" s="46"/>
      <c r="GBQ59" s="46"/>
      <c r="GBR59" s="46"/>
      <c r="GBS59" s="46"/>
      <c r="GBT59" s="46"/>
      <c r="GBU59" s="46"/>
      <c r="GBV59" s="46"/>
      <c r="GBW59" s="46"/>
      <c r="GBX59" s="46"/>
      <c r="GBY59" s="46"/>
      <c r="GBZ59" s="46"/>
      <c r="GCA59" s="46"/>
      <c r="GCB59" s="46"/>
      <c r="GCC59" s="46"/>
      <c r="GCD59" s="46"/>
      <c r="GCE59" s="46"/>
      <c r="GCF59" s="46"/>
      <c r="GCG59" s="46"/>
      <c r="GCH59" s="46"/>
      <c r="GCI59" s="46"/>
      <c r="GCJ59" s="46"/>
      <c r="GCK59" s="46"/>
      <c r="GCL59" s="46"/>
      <c r="GCM59" s="46"/>
      <c r="GCN59" s="46"/>
      <c r="GCO59" s="46"/>
      <c r="GCP59" s="46"/>
      <c r="GCQ59" s="46"/>
      <c r="GCR59" s="46"/>
      <c r="GCS59" s="46"/>
      <c r="GCT59" s="46"/>
      <c r="GCU59" s="46"/>
      <c r="GCV59" s="46"/>
      <c r="GCW59" s="46"/>
      <c r="GCX59" s="46"/>
      <c r="GCY59" s="46"/>
      <c r="GCZ59" s="46"/>
      <c r="GDA59" s="46"/>
      <c r="GDB59" s="46"/>
      <c r="GDC59" s="46"/>
      <c r="GDD59" s="46"/>
      <c r="GDE59" s="46"/>
      <c r="GDF59" s="46"/>
      <c r="GDG59" s="46"/>
      <c r="GDH59" s="46"/>
      <c r="GDI59" s="46"/>
      <c r="GDJ59" s="46"/>
      <c r="GDK59" s="46"/>
      <c r="GDL59" s="46"/>
      <c r="GDM59" s="46"/>
      <c r="GDN59" s="46"/>
      <c r="GDO59" s="46"/>
      <c r="GDP59" s="46"/>
      <c r="GDQ59" s="46"/>
      <c r="GDR59" s="46"/>
      <c r="GDS59" s="46"/>
      <c r="GDT59" s="46"/>
      <c r="GDU59" s="46"/>
      <c r="GDV59" s="46"/>
      <c r="GDW59" s="46"/>
      <c r="GDX59" s="46"/>
      <c r="GDY59" s="46"/>
      <c r="GDZ59" s="46"/>
      <c r="GEA59" s="46"/>
      <c r="GEB59" s="46"/>
      <c r="GEC59" s="46"/>
      <c r="GED59" s="46"/>
      <c r="GEE59" s="46"/>
      <c r="GEF59" s="46"/>
      <c r="GEG59" s="46"/>
      <c r="GEH59" s="46"/>
      <c r="GEI59" s="46"/>
      <c r="GEJ59" s="46"/>
      <c r="GEK59" s="46"/>
      <c r="GEL59" s="46"/>
      <c r="GEM59" s="46"/>
      <c r="GEN59" s="46"/>
      <c r="GEO59" s="46"/>
      <c r="GEP59" s="46"/>
      <c r="GEQ59" s="46"/>
      <c r="GER59" s="46"/>
      <c r="GES59" s="46"/>
      <c r="GET59" s="46"/>
      <c r="GEU59" s="46"/>
      <c r="GEV59" s="46"/>
      <c r="GEW59" s="46"/>
      <c r="GEX59" s="46"/>
      <c r="GEY59" s="46"/>
      <c r="GEZ59" s="46"/>
      <c r="GFA59" s="46"/>
      <c r="GFB59" s="46"/>
      <c r="GFC59" s="46"/>
      <c r="GFD59" s="46"/>
      <c r="GFE59" s="46"/>
      <c r="GFF59" s="46"/>
      <c r="GFG59" s="46"/>
      <c r="GFH59" s="46"/>
      <c r="GFI59" s="46"/>
      <c r="GFJ59" s="46"/>
      <c r="GFK59" s="46"/>
      <c r="GFL59" s="46"/>
      <c r="GFM59" s="46"/>
      <c r="GFN59" s="46"/>
      <c r="GFO59" s="46"/>
      <c r="GFP59" s="46"/>
      <c r="GFQ59" s="46"/>
      <c r="GFR59" s="46"/>
      <c r="GFS59" s="46"/>
      <c r="GFT59" s="46"/>
      <c r="GFU59" s="46"/>
      <c r="GFV59" s="46"/>
      <c r="GFW59" s="46"/>
      <c r="GFX59" s="46"/>
      <c r="GFY59" s="46"/>
      <c r="GFZ59" s="46"/>
      <c r="GGA59" s="46"/>
      <c r="GGB59" s="46"/>
      <c r="GGC59" s="46"/>
      <c r="GGD59" s="46"/>
      <c r="GGE59" s="46"/>
      <c r="GGF59" s="46"/>
      <c r="GGG59" s="46"/>
      <c r="GGH59" s="46"/>
      <c r="GGI59" s="46"/>
      <c r="GGJ59" s="46"/>
      <c r="GGK59" s="46"/>
      <c r="GGL59" s="46"/>
      <c r="GGM59" s="46"/>
      <c r="GGN59" s="46"/>
      <c r="GGO59" s="46"/>
      <c r="GGP59" s="46"/>
      <c r="GGQ59" s="46"/>
      <c r="GGR59" s="46"/>
      <c r="GGS59" s="46"/>
      <c r="GGT59" s="46"/>
      <c r="GGU59" s="46"/>
      <c r="GGV59" s="46"/>
      <c r="GGW59" s="46"/>
      <c r="GGX59" s="46"/>
      <c r="GGY59" s="46"/>
      <c r="GGZ59" s="46"/>
      <c r="GHA59" s="46"/>
      <c r="GHB59" s="46"/>
      <c r="GHC59" s="46"/>
      <c r="GHD59" s="46"/>
      <c r="GHE59" s="46"/>
      <c r="GHF59" s="46"/>
      <c r="GHG59" s="46"/>
      <c r="GHH59" s="46"/>
      <c r="GHI59" s="46"/>
      <c r="GHJ59" s="46"/>
      <c r="GHK59" s="46"/>
      <c r="GHL59" s="46"/>
      <c r="GHM59" s="46"/>
      <c r="GHN59" s="46"/>
      <c r="GHO59" s="46"/>
      <c r="GHP59" s="46"/>
      <c r="GHQ59" s="46"/>
      <c r="GHR59" s="46"/>
      <c r="GHS59" s="46"/>
      <c r="GHT59" s="46"/>
      <c r="GHU59" s="46"/>
      <c r="GHV59" s="46"/>
      <c r="GHW59" s="46"/>
      <c r="GHX59" s="46"/>
      <c r="GHY59" s="46"/>
      <c r="GHZ59" s="46"/>
      <c r="GIA59" s="46"/>
      <c r="GIB59" s="46"/>
      <c r="GIC59" s="46"/>
      <c r="GID59" s="46"/>
      <c r="GIE59" s="46"/>
      <c r="GIF59" s="46"/>
      <c r="GIG59" s="46"/>
      <c r="GIH59" s="46"/>
      <c r="GII59" s="46"/>
      <c r="GIJ59" s="46"/>
      <c r="GIK59" s="46"/>
      <c r="GIL59" s="46"/>
      <c r="GIM59" s="46"/>
      <c r="GIN59" s="46"/>
      <c r="GIO59" s="46"/>
      <c r="GIP59" s="46"/>
      <c r="GIQ59" s="46"/>
      <c r="GIR59" s="46"/>
      <c r="GIS59" s="46"/>
      <c r="GIT59" s="46"/>
      <c r="GIU59" s="46"/>
      <c r="GIV59" s="46"/>
      <c r="GIW59" s="46"/>
      <c r="GIX59" s="46"/>
      <c r="GIY59" s="46"/>
      <c r="GIZ59" s="46"/>
      <c r="GJA59" s="46"/>
      <c r="GJB59" s="46"/>
      <c r="GJC59" s="46"/>
      <c r="GJD59" s="46"/>
      <c r="GJE59" s="46"/>
      <c r="GJF59" s="46"/>
      <c r="GJG59" s="46"/>
      <c r="GJH59" s="46"/>
      <c r="GJI59" s="46"/>
      <c r="GJJ59" s="46"/>
      <c r="GJK59" s="46"/>
      <c r="GJL59" s="46"/>
      <c r="GJM59" s="46"/>
      <c r="GJN59" s="46"/>
      <c r="GJO59" s="46"/>
      <c r="GJP59" s="46"/>
      <c r="GJQ59" s="46"/>
      <c r="GJR59" s="46"/>
      <c r="GJS59" s="46"/>
      <c r="GJT59" s="46"/>
      <c r="GJU59" s="46"/>
      <c r="GJV59" s="46"/>
      <c r="GJW59" s="46"/>
      <c r="GJX59" s="46"/>
      <c r="GJY59" s="46"/>
      <c r="GJZ59" s="46"/>
      <c r="GKA59" s="46"/>
      <c r="GKB59" s="46"/>
      <c r="GKC59" s="46"/>
      <c r="GKD59" s="46"/>
      <c r="GKE59" s="46"/>
      <c r="GKF59" s="46"/>
      <c r="GKG59" s="46"/>
      <c r="GKH59" s="46"/>
      <c r="GKI59" s="46"/>
      <c r="GKJ59" s="46"/>
      <c r="GKK59" s="46"/>
      <c r="GKL59" s="46"/>
      <c r="GKM59" s="46"/>
      <c r="GKN59" s="46"/>
      <c r="GKO59" s="46"/>
      <c r="GKP59" s="46"/>
      <c r="GKQ59" s="46"/>
      <c r="GKR59" s="46"/>
      <c r="GKS59" s="46"/>
      <c r="GKT59" s="46"/>
      <c r="GKU59" s="46"/>
      <c r="GKV59" s="46"/>
      <c r="GKW59" s="46"/>
      <c r="GKX59" s="46"/>
      <c r="GKY59" s="46"/>
      <c r="GKZ59" s="46"/>
      <c r="GLA59" s="46"/>
      <c r="GLB59" s="46"/>
      <c r="GLC59" s="46"/>
      <c r="GLD59" s="46"/>
      <c r="GLE59" s="46"/>
      <c r="GLF59" s="46"/>
      <c r="GLG59" s="46"/>
      <c r="GLH59" s="46"/>
      <c r="GLI59" s="46"/>
      <c r="GLJ59" s="46"/>
      <c r="GLK59" s="46"/>
      <c r="GLL59" s="46"/>
      <c r="GLM59" s="46"/>
      <c r="GLN59" s="46"/>
      <c r="GLO59" s="46"/>
      <c r="GLP59" s="46"/>
      <c r="GLQ59" s="46"/>
      <c r="GLR59" s="46"/>
      <c r="GLS59" s="46"/>
      <c r="GLT59" s="46"/>
      <c r="GLU59" s="46"/>
      <c r="GLV59" s="46"/>
      <c r="GLW59" s="46"/>
      <c r="GLX59" s="46"/>
      <c r="GLY59" s="46"/>
      <c r="GLZ59" s="46"/>
      <c r="GMA59" s="46"/>
      <c r="GMB59" s="46"/>
      <c r="GMC59" s="46"/>
      <c r="GMD59" s="46"/>
      <c r="GME59" s="46"/>
      <c r="GMF59" s="46"/>
      <c r="GMG59" s="46"/>
      <c r="GMH59" s="46"/>
      <c r="GMI59" s="46"/>
      <c r="GMJ59" s="46"/>
      <c r="GMK59" s="46"/>
      <c r="GML59" s="46"/>
      <c r="GMM59" s="46"/>
      <c r="GMN59" s="46"/>
      <c r="GMO59" s="46"/>
      <c r="GMP59" s="46"/>
      <c r="GMQ59" s="46"/>
      <c r="GMR59" s="46"/>
      <c r="GMS59" s="46"/>
      <c r="GMT59" s="46"/>
      <c r="GMU59" s="46"/>
      <c r="GMV59" s="46"/>
      <c r="GMW59" s="46"/>
      <c r="GMX59" s="46"/>
      <c r="GMY59" s="46"/>
      <c r="GMZ59" s="46"/>
      <c r="GNA59" s="46"/>
      <c r="GNB59" s="46"/>
      <c r="GNC59" s="46"/>
      <c r="GND59" s="46"/>
      <c r="GNE59" s="46"/>
      <c r="GNF59" s="46"/>
      <c r="GNG59" s="46"/>
      <c r="GNH59" s="46"/>
      <c r="GNI59" s="46"/>
      <c r="GNJ59" s="46"/>
      <c r="GNK59" s="46"/>
      <c r="GNL59" s="46"/>
      <c r="GNM59" s="46"/>
      <c r="GNN59" s="46"/>
      <c r="GNO59" s="46"/>
      <c r="GNP59" s="46"/>
      <c r="GNQ59" s="46"/>
      <c r="GNR59" s="46"/>
      <c r="GNS59" s="46"/>
      <c r="GNT59" s="46"/>
      <c r="GNU59" s="46"/>
      <c r="GNV59" s="46"/>
      <c r="GNW59" s="46"/>
      <c r="GNX59" s="46"/>
      <c r="GNY59" s="46"/>
      <c r="GNZ59" s="46"/>
      <c r="GOA59" s="46"/>
      <c r="GOB59" s="46"/>
      <c r="GOC59" s="46"/>
      <c r="GOD59" s="46"/>
      <c r="GOE59" s="46"/>
      <c r="GOF59" s="46"/>
      <c r="GOG59" s="46"/>
      <c r="GOH59" s="46"/>
      <c r="GOI59" s="46"/>
      <c r="GOJ59" s="46"/>
      <c r="GOK59" s="46"/>
      <c r="GOL59" s="46"/>
      <c r="GOM59" s="46"/>
      <c r="GON59" s="46"/>
      <c r="GOO59" s="46"/>
      <c r="GOP59" s="46"/>
      <c r="GOQ59" s="46"/>
      <c r="GOR59" s="46"/>
      <c r="GOS59" s="46"/>
      <c r="GOT59" s="46"/>
      <c r="GOU59" s="46"/>
      <c r="GOV59" s="46"/>
      <c r="GOW59" s="46"/>
      <c r="GOX59" s="46"/>
      <c r="GOY59" s="46"/>
      <c r="GOZ59" s="46"/>
      <c r="GPA59" s="46"/>
      <c r="GPB59" s="46"/>
      <c r="GPC59" s="46"/>
      <c r="GPD59" s="46"/>
      <c r="GPE59" s="46"/>
      <c r="GPF59" s="46"/>
      <c r="GPG59" s="46"/>
      <c r="GPH59" s="46"/>
      <c r="GPI59" s="46"/>
      <c r="GPJ59" s="46"/>
      <c r="GPK59" s="46"/>
      <c r="GPL59" s="46"/>
      <c r="GPM59" s="46"/>
      <c r="GPN59" s="46"/>
      <c r="GPO59" s="46"/>
      <c r="GPP59" s="46"/>
      <c r="GPQ59" s="46"/>
      <c r="GPR59" s="46"/>
      <c r="GPS59" s="46"/>
      <c r="GPT59" s="46"/>
      <c r="GPU59" s="46"/>
      <c r="GPV59" s="46"/>
      <c r="GPW59" s="46"/>
      <c r="GPX59" s="46"/>
      <c r="GPY59" s="46"/>
      <c r="GPZ59" s="46"/>
      <c r="GQA59" s="46"/>
      <c r="GQB59" s="46"/>
      <c r="GQC59" s="46"/>
      <c r="GQD59" s="46"/>
      <c r="GQE59" s="46"/>
      <c r="GQF59" s="46"/>
      <c r="GQG59" s="46"/>
      <c r="GQH59" s="46"/>
      <c r="GQI59" s="46"/>
      <c r="GQJ59" s="46"/>
      <c r="GQK59" s="46"/>
      <c r="GQL59" s="46"/>
      <c r="GQM59" s="46"/>
      <c r="GQN59" s="46"/>
      <c r="GQO59" s="46"/>
      <c r="GQP59" s="46"/>
      <c r="GQQ59" s="46"/>
      <c r="GQR59" s="46"/>
      <c r="GQS59" s="46"/>
      <c r="GQT59" s="46"/>
      <c r="GQU59" s="46"/>
      <c r="GQV59" s="46"/>
      <c r="GQW59" s="46"/>
      <c r="GQX59" s="46"/>
      <c r="GQY59" s="46"/>
      <c r="GQZ59" s="46"/>
      <c r="GRA59" s="46"/>
      <c r="GRB59" s="46"/>
      <c r="GRC59" s="46"/>
      <c r="GRD59" s="46"/>
      <c r="GRE59" s="46"/>
      <c r="GRF59" s="46"/>
      <c r="GRG59" s="46"/>
      <c r="GRH59" s="46"/>
      <c r="GRI59" s="46"/>
      <c r="GRJ59" s="46"/>
      <c r="GRK59" s="46"/>
      <c r="GRL59" s="46"/>
      <c r="GRM59" s="46"/>
      <c r="GRN59" s="46"/>
      <c r="GRO59" s="46"/>
      <c r="GRP59" s="46"/>
      <c r="GRQ59" s="46"/>
      <c r="GRR59" s="46"/>
      <c r="GRS59" s="46"/>
      <c r="GRT59" s="46"/>
      <c r="GRU59" s="46"/>
      <c r="GRV59" s="46"/>
      <c r="GRW59" s="46"/>
      <c r="GRX59" s="46"/>
      <c r="GRY59" s="46"/>
      <c r="GRZ59" s="46"/>
      <c r="GSA59" s="46"/>
      <c r="GSB59" s="46"/>
      <c r="GSC59" s="46"/>
      <c r="GSD59" s="46"/>
      <c r="GSE59" s="46"/>
      <c r="GSF59" s="46"/>
      <c r="GSG59" s="46"/>
      <c r="GSH59" s="46"/>
      <c r="GSI59" s="46"/>
      <c r="GSJ59" s="46"/>
      <c r="GSK59" s="46"/>
      <c r="GSL59" s="46"/>
      <c r="GSM59" s="46"/>
      <c r="GSN59" s="46"/>
      <c r="GSO59" s="46"/>
      <c r="GSP59" s="46"/>
      <c r="GSQ59" s="46"/>
      <c r="GSR59" s="46"/>
      <c r="GSS59" s="46"/>
      <c r="GST59" s="46"/>
      <c r="GSU59" s="46"/>
      <c r="GSV59" s="46"/>
      <c r="GSW59" s="46"/>
      <c r="GSX59" s="46"/>
      <c r="GSY59" s="46"/>
      <c r="GSZ59" s="46"/>
      <c r="GTA59" s="46"/>
      <c r="GTB59" s="46"/>
      <c r="GTC59" s="46"/>
      <c r="GTD59" s="46"/>
      <c r="GTE59" s="46"/>
      <c r="GTF59" s="46"/>
      <c r="GTG59" s="46"/>
      <c r="GTH59" s="46"/>
      <c r="GTI59" s="46"/>
      <c r="GTJ59" s="46"/>
      <c r="GTK59" s="46"/>
      <c r="GTL59" s="46"/>
      <c r="GTM59" s="46"/>
      <c r="GTN59" s="46"/>
      <c r="GTO59" s="46"/>
      <c r="GTP59" s="46"/>
      <c r="GTQ59" s="46"/>
      <c r="GTR59" s="46"/>
      <c r="GTS59" s="46"/>
      <c r="GTT59" s="46"/>
      <c r="GTU59" s="46"/>
      <c r="GTV59" s="46"/>
      <c r="GTW59" s="46"/>
      <c r="GTX59" s="46"/>
      <c r="GTY59" s="46"/>
      <c r="GTZ59" s="46"/>
      <c r="GUA59" s="46"/>
      <c r="GUB59" s="46"/>
      <c r="GUC59" s="46"/>
      <c r="GUD59" s="46"/>
      <c r="GUE59" s="46"/>
      <c r="GUF59" s="46"/>
      <c r="GUG59" s="46"/>
      <c r="GUH59" s="46"/>
      <c r="GUI59" s="46"/>
      <c r="GUJ59" s="46"/>
      <c r="GUK59" s="46"/>
      <c r="GUL59" s="46"/>
      <c r="GUM59" s="46"/>
      <c r="GUN59" s="46"/>
      <c r="GUO59" s="46"/>
      <c r="GUP59" s="46"/>
      <c r="GUQ59" s="46"/>
      <c r="GUR59" s="46"/>
      <c r="GUS59" s="46"/>
      <c r="GUT59" s="46"/>
      <c r="GUU59" s="46"/>
      <c r="GUV59" s="46"/>
      <c r="GUW59" s="46"/>
      <c r="GUX59" s="46"/>
      <c r="GUY59" s="46"/>
      <c r="GUZ59" s="46"/>
      <c r="GVA59" s="46"/>
      <c r="GVB59" s="46"/>
      <c r="GVC59" s="46"/>
      <c r="GVD59" s="46"/>
      <c r="GVE59" s="46"/>
      <c r="GVF59" s="46"/>
      <c r="GVG59" s="46"/>
      <c r="GVH59" s="46"/>
      <c r="GVI59" s="46"/>
      <c r="GVJ59" s="46"/>
      <c r="GVK59" s="46"/>
      <c r="GVL59" s="46"/>
      <c r="GVM59" s="46"/>
      <c r="GVN59" s="46"/>
      <c r="GVO59" s="46"/>
      <c r="GVP59" s="46"/>
      <c r="GVQ59" s="46"/>
      <c r="GVR59" s="46"/>
      <c r="GVS59" s="46"/>
      <c r="GVT59" s="46"/>
      <c r="GVU59" s="46"/>
      <c r="GVV59" s="46"/>
      <c r="GVW59" s="46"/>
      <c r="GVX59" s="46"/>
      <c r="GVY59" s="46"/>
      <c r="GVZ59" s="46"/>
      <c r="GWA59" s="46"/>
      <c r="GWB59" s="46"/>
      <c r="GWC59" s="46"/>
      <c r="GWD59" s="46"/>
      <c r="GWE59" s="46"/>
      <c r="GWF59" s="46"/>
      <c r="GWG59" s="46"/>
      <c r="GWH59" s="46"/>
      <c r="GWI59" s="46"/>
      <c r="GWJ59" s="46"/>
      <c r="GWK59" s="46"/>
      <c r="GWL59" s="46"/>
      <c r="GWM59" s="46"/>
      <c r="GWN59" s="46"/>
      <c r="GWO59" s="46"/>
      <c r="GWP59" s="46"/>
      <c r="GWQ59" s="46"/>
      <c r="GWR59" s="46"/>
      <c r="GWS59" s="46"/>
      <c r="GWT59" s="46"/>
      <c r="GWU59" s="46"/>
      <c r="GWV59" s="46"/>
      <c r="GWW59" s="46"/>
      <c r="GWX59" s="46"/>
      <c r="GWY59" s="46"/>
      <c r="GWZ59" s="46"/>
      <c r="GXA59" s="46"/>
      <c r="GXB59" s="46"/>
      <c r="GXC59" s="46"/>
      <c r="GXD59" s="46"/>
      <c r="GXE59" s="46"/>
      <c r="GXF59" s="46"/>
      <c r="GXG59" s="46"/>
      <c r="GXH59" s="46"/>
      <c r="GXI59" s="46"/>
      <c r="GXJ59" s="46"/>
      <c r="GXK59" s="46"/>
      <c r="GXL59" s="46"/>
      <c r="GXM59" s="46"/>
      <c r="GXN59" s="46"/>
      <c r="GXO59" s="46"/>
      <c r="GXP59" s="46"/>
      <c r="GXQ59" s="46"/>
      <c r="GXR59" s="46"/>
      <c r="GXS59" s="46"/>
      <c r="GXT59" s="46"/>
      <c r="GXU59" s="46"/>
      <c r="GXV59" s="46"/>
      <c r="GXW59" s="46"/>
      <c r="GXX59" s="46"/>
      <c r="GXY59" s="46"/>
      <c r="GXZ59" s="46"/>
      <c r="GYA59" s="46"/>
      <c r="GYB59" s="46"/>
      <c r="GYC59" s="46"/>
      <c r="GYD59" s="46"/>
      <c r="GYE59" s="46"/>
      <c r="GYF59" s="46"/>
      <c r="GYG59" s="46"/>
      <c r="GYH59" s="46"/>
      <c r="GYI59" s="46"/>
      <c r="GYJ59" s="46"/>
      <c r="GYK59" s="46"/>
      <c r="GYL59" s="46"/>
      <c r="GYM59" s="46"/>
      <c r="GYN59" s="46"/>
      <c r="GYO59" s="46"/>
      <c r="GYP59" s="46"/>
      <c r="GYQ59" s="46"/>
      <c r="GYR59" s="46"/>
      <c r="GYS59" s="46"/>
      <c r="GYT59" s="46"/>
      <c r="GYU59" s="46"/>
      <c r="GYV59" s="46"/>
      <c r="GYW59" s="46"/>
      <c r="GYX59" s="46"/>
      <c r="GYY59" s="46"/>
      <c r="GYZ59" s="46"/>
      <c r="GZA59" s="46"/>
      <c r="GZB59" s="46"/>
      <c r="GZC59" s="46"/>
      <c r="GZD59" s="46"/>
      <c r="GZE59" s="46"/>
      <c r="GZF59" s="46"/>
      <c r="GZG59" s="46"/>
      <c r="GZH59" s="46"/>
      <c r="GZI59" s="46"/>
      <c r="GZJ59" s="46"/>
      <c r="GZK59" s="46"/>
      <c r="GZL59" s="46"/>
      <c r="GZM59" s="46"/>
      <c r="GZN59" s="46"/>
      <c r="GZO59" s="46"/>
      <c r="GZP59" s="46"/>
      <c r="GZQ59" s="46"/>
      <c r="GZR59" s="46"/>
      <c r="GZS59" s="46"/>
      <c r="GZT59" s="46"/>
      <c r="GZU59" s="46"/>
      <c r="GZV59" s="46"/>
      <c r="GZW59" s="46"/>
      <c r="GZX59" s="46"/>
      <c r="GZY59" s="46"/>
      <c r="GZZ59" s="46"/>
      <c r="HAA59" s="46"/>
      <c r="HAB59" s="46"/>
      <c r="HAC59" s="46"/>
      <c r="HAD59" s="46"/>
      <c r="HAE59" s="46"/>
      <c r="HAF59" s="46"/>
      <c r="HAG59" s="46"/>
      <c r="HAH59" s="46"/>
      <c r="HAI59" s="46"/>
      <c r="HAJ59" s="46"/>
      <c r="HAK59" s="46"/>
      <c r="HAL59" s="46"/>
      <c r="HAM59" s="46"/>
      <c r="HAN59" s="46"/>
      <c r="HAO59" s="46"/>
      <c r="HAP59" s="46"/>
      <c r="HAQ59" s="46"/>
      <c r="HAR59" s="46"/>
      <c r="HAS59" s="46"/>
      <c r="HAT59" s="46"/>
      <c r="HAU59" s="46"/>
      <c r="HAV59" s="46"/>
      <c r="HAW59" s="46"/>
      <c r="HAX59" s="46"/>
      <c r="HAY59" s="46"/>
      <c r="HAZ59" s="46"/>
      <c r="HBA59" s="46"/>
      <c r="HBB59" s="46"/>
      <c r="HBC59" s="46"/>
      <c r="HBD59" s="46"/>
      <c r="HBE59" s="46"/>
      <c r="HBF59" s="46"/>
      <c r="HBG59" s="46"/>
      <c r="HBH59" s="46"/>
      <c r="HBI59" s="46"/>
      <c r="HBJ59" s="46"/>
      <c r="HBK59" s="46"/>
      <c r="HBL59" s="46"/>
      <c r="HBM59" s="46"/>
      <c r="HBN59" s="46"/>
      <c r="HBO59" s="46"/>
      <c r="HBP59" s="46"/>
      <c r="HBQ59" s="46"/>
      <c r="HBR59" s="46"/>
      <c r="HBS59" s="46"/>
      <c r="HBT59" s="46"/>
      <c r="HBU59" s="46"/>
      <c r="HBV59" s="46"/>
      <c r="HBW59" s="46"/>
      <c r="HBX59" s="46"/>
      <c r="HBY59" s="46"/>
      <c r="HBZ59" s="46"/>
      <c r="HCA59" s="46"/>
      <c r="HCB59" s="46"/>
      <c r="HCC59" s="46"/>
      <c r="HCD59" s="46"/>
      <c r="HCE59" s="46"/>
      <c r="HCF59" s="46"/>
      <c r="HCG59" s="46"/>
      <c r="HCH59" s="46"/>
      <c r="HCI59" s="46"/>
      <c r="HCJ59" s="46"/>
      <c r="HCK59" s="46"/>
      <c r="HCL59" s="46"/>
      <c r="HCM59" s="46"/>
      <c r="HCN59" s="46"/>
      <c r="HCO59" s="46"/>
      <c r="HCP59" s="46"/>
      <c r="HCQ59" s="46"/>
      <c r="HCR59" s="46"/>
      <c r="HCS59" s="46"/>
      <c r="HCT59" s="46"/>
      <c r="HCU59" s="46"/>
      <c r="HCV59" s="46"/>
      <c r="HCW59" s="46"/>
      <c r="HCX59" s="46"/>
      <c r="HCY59" s="46"/>
      <c r="HCZ59" s="46"/>
      <c r="HDA59" s="46"/>
      <c r="HDB59" s="46"/>
      <c r="HDC59" s="46"/>
      <c r="HDD59" s="46"/>
      <c r="HDE59" s="46"/>
      <c r="HDF59" s="46"/>
      <c r="HDG59" s="46"/>
      <c r="HDH59" s="46"/>
      <c r="HDI59" s="46"/>
      <c r="HDJ59" s="46"/>
      <c r="HDK59" s="46"/>
      <c r="HDL59" s="46"/>
      <c r="HDM59" s="46"/>
      <c r="HDN59" s="46"/>
      <c r="HDO59" s="46"/>
      <c r="HDP59" s="46"/>
      <c r="HDQ59" s="46"/>
      <c r="HDR59" s="46"/>
      <c r="HDS59" s="46"/>
      <c r="HDT59" s="46"/>
      <c r="HDU59" s="46"/>
      <c r="HDV59" s="46"/>
      <c r="HDW59" s="46"/>
      <c r="HDX59" s="46"/>
      <c r="HDY59" s="46"/>
      <c r="HDZ59" s="46"/>
      <c r="HEA59" s="46"/>
      <c r="HEB59" s="46"/>
      <c r="HEC59" s="46"/>
      <c r="HED59" s="46"/>
      <c r="HEE59" s="46"/>
      <c r="HEF59" s="46"/>
      <c r="HEG59" s="46"/>
      <c r="HEH59" s="46"/>
      <c r="HEI59" s="46"/>
      <c r="HEJ59" s="46"/>
      <c r="HEK59" s="46"/>
      <c r="HEL59" s="46"/>
      <c r="HEM59" s="46"/>
      <c r="HEN59" s="46"/>
      <c r="HEO59" s="46"/>
      <c r="HEP59" s="46"/>
      <c r="HEQ59" s="46"/>
      <c r="HER59" s="46"/>
      <c r="HES59" s="46"/>
      <c r="HET59" s="46"/>
      <c r="HEU59" s="46"/>
      <c r="HEV59" s="46"/>
      <c r="HEW59" s="46"/>
      <c r="HEX59" s="46"/>
      <c r="HEY59" s="46"/>
      <c r="HEZ59" s="46"/>
      <c r="HFA59" s="46"/>
      <c r="HFB59" s="46"/>
      <c r="HFC59" s="46"/>
      <c r="HFD59" s="46"/>
      <c r="HFE59" s="46"/>
      <c r="HFF59" s="46"/>
      <c r="HFG59" s="46"/>
      <c r="HFH59" s="46"/>
      <c r="HFI59" s="46"/>
      <c r="HFJ59" s="46"/>
      <c r="HFK59" s="46"/>
      <c r="HFL59" s="46"/>
      <c r="HFM59" s="46"/>
      <c r="HFN59" s="46"/>
      <c r="HFO59" s="46"/>
      <c r="HFP59" s="46"/>
      <c r="HFQ59" s="46"/>
      <c r="HFR59" s="46"/>
      <c r="HFS59" s="46"/>
      <c r="HFT59" s="46"/>
      <c r="HFU59" s="46"/>
      <c r="HFV59" s="46"/>
      <c r="HFW59" s="46"/>
      <c r="HFX59" s="46"/>
      <c r="HFY59" s="46"/>
      <c r="HFZ59" s="46"/>
      <c r="HGA59" s="46"/>
      <c r="HGB59" s="46"/>
      <c r="HGC59" s="46"/>
      <c r="HGD59" s="46"/>
      <c r="HGE59" s="46"/>
      <c r="HGF59" s="46"/>
      <c r="HGG59" s="46"/>
      <c r="HGH59" s="46"/>
      <c r="HGI59" s="46"/>
      <c r="HGJ59" s="46"/>
      <c r="HGK59" s="46"/>
      <c r="HGL59" s="46"/>
      <c r="HGM59" s="46"/>
      <c r="HGN59" s="46"/>
      <c r="HGO59" s="46"/>
      <c r="HGP59" s="46"/>
      <c r="HGQ59" s="46"/>
      <c r="HGR59" s="46"/>
      <c r="HGS59" s="46"/>
      <c r="HGT59" s="46"/>
      <c r="HGU59" s="46"/>
      <c r="HGV59" s="46"/>
      <c r="HGW59" s="46"/>
      <c r="HGX59" s="46"/>
      <c r="HGY59" s="46"/>
      <c r="HGZ59" s="46"/>
      <c r="HHA59" s="46"/>
      <c r="HHB59" s="46"/>
      <c r="HHC59" s="46"/>
      <c r="HHD59" s="46"/>
      <c r="HHE59" s="46"/>
      <c r="HHF59" s="46"/>
      <c r="HHG59" s="46"/>
      <c r="HHH59" s="46"/>
      <c r="HHI59" s="46"/>
      <c r="HHJ59" s="46"/>
      <c r="HHK59" s="46"/>
      <c r="HHL59" s="46"/>
      <c r="HHM59" s="46"/>
      <c r="HHN59" s="46"/>
      <c r="HHO59" s="46"/>
      <c r="HHP59" s="46"/>
      <c r="HHQ59" s="46"/>
      <c r="HHR59" s="46"/>
      <c r="HHS59" s="46"/>
      <c r="HHT59" s="46"/>
      <c r="HHU59" s="46"/>
      <c r="HHV59" s="46"/>
      <c r="HHW59" s="46"/>
      <c r="HHX59" s="46"/>
      <c r="HHY59" s="46"/>
      <c r="HHZ59" s="46"/>
      <c r="HIA59" s="46"/>
      <c r="HIB59" s="46"/>
      <c r="HIC59" s="46"/>
      <c r="HID59" s="46"/>
      <c r="HIE59" s="46"/>
      <c r="HIF59" s="46"/>
      <c r="HIG59" s="46"/>
      <c r="HIH59" s="46"/>
      <c r="HII59" s="46"/>
      <c r="HIJ59" s="46"/>
      <c r="HIK59" s="46"/>
      <c r="HIL59" s="46"/>
      <c r="HIM59" s="46"/>
      <c r="HIN59" s="46"/>
      <c r="HIO59" s="46"/>
      <c r="HIP59" s="46"/>
      <c r="HIQ59" s="46"/>
      <c r="HIR59" s="46"/>
      <c r="HIS59" s="46"/>
      <c r="HIT59" s="46"/>
      <c r="HIU59" s="46"/>
      <c r="HIV59" s="46"/>
      <c r="HIW59" s="46"/>
      <c r="HIX59" s="46"/>
      <c r="HIY59" s="46"/>
      <c r="HIZ59" s="46"/>
      <c r="HJA59" s="46"/>
      <c r="HJB59" s="46"/>
      <c r="HJC59" s="46"/>
      <c r="HJD59" s="46"/>
      <c r="HJE59" s="46"/>
      <c r="HJF59" s="46"/>
      <c r="HJG59" s="46"/>
      <c r="HJH59" s="46"/>
      <c r="HJI59" s="46"/>
      <c r="HJJ59" s="46"/>
      <c r="HJK59" s="46"/>
      <c r="HJL59" s="46"/>
      <c r="HJM59" s="46"/>
      <c r="HJN59" s="46"/>
      <c r="HJO59" s="46"/>
      <c r="HJP59" s="46"/>
      <c r="HJQ59" s="46"/>
      <c r="HJR59" s="46"/>
      <c r="HJS59" s="46"/>
      <c r="HJT59" s="46"/>
      <c r="HJU59" s="46"/>
      <c r="HJV59" s="46"/>
      <c r="HJW59" s="46"/>
      <c r="HJX59" s="46"/>
      <c r="HJY59" s="46"/>
      <c r="HJZ59" s="46"/>
      <c r="HKA59" s="46"/>
      <c r="HKB59" s="46"/>
      <c r="HKC59" s="46"/>
      <c r="HKD59" s="46"/>
      <c r="HKE59" s="46"/>
      <c r="HKF59" s="46"/>
      <c r="HKG59" s="46"/>
      <c r="HKH59" s="46"/>
      <c r="HKI59" s="46"/>
      <c r="HKJ59" s="46"/>
      <c r="HKK59" s="46"/>
      <c r="HKL59" s="46"/>
      <c r="HKM59" s="46"/>
      <c r="HKN59" s="46"/>
      <c r="HKO59" s="46"/>
      <c r="HKP59" s="46"/>
      <c r="HKQ59" s="46"/>
      <c r="HKR59" s="46"/>
      <c r="HKS59" s="46"/>
      <c r="HKT59" s="46"/>
      <c r="HKU59" s="46"/>
      <c r="HKV59" s="46"/>
      <c r="HKW59" s="46"/>
      <c r="HKX59" s="46"/>
      <c r="HKY59" s="46"/>
      <c r="HKZ59" s="46"/>
      <c r="HLA59" s="46"/>
      <c r="HLB59" s="46"/>
      <c r="HLC59" s="46"/>
      <c r="HLD59" s="46"/>
      <c r="HLE59" s="46"/>
      <c r="HLF59" s="46"/>
      <c r="HLG59" s="46"/>
      <c r="HLH59" s="46"/>
      <c r="HLI59" s="46"/>
      <c r="HLJ59" s="46"/>
      <c r="HLK59" s="46"/>
      <c r="HLL59" s="46"/>
      <c r="HLM59" s="46"/>
      <c r="HLN59" s="46"/>
      <c r="HLO59" s="46"/>
      <c r="HLP59" s="46"/>
      <c r="HLQ59" s="46"/>
      <c r="HLR59" s="46"/>
      <c r="HLS59" s="46"/>
      <c r="HLT59" s="46"/>
      <c r="HLU59" s="46"/>
      <c r="HLV59" s="46"/>
      <c r="HLW59" s="46"/>
      <c r="HLX59" s="46"/>
      <c r="HLY59" s="46"/>
      <c r="HLZ59" s="46"/>
      <c r="HMA59" s="46"/>
      <c r="HMB59" s="46"/>
      <c r="HMC59" s="46"/>
      <c r="HMD59" s="46"/>
      <c r="HME59" s="46"/>
      <c r="HMF59" s="46"/>
      <c r="HMG59" s="46"/>
      <c r="HMH59" s="46"/>
      <c r="HMI59" s="46"/>
      <c r="HMJ59" s="46"/>
      <c r="HMK59" s="46"/>
      <c r="HML59" s="46"/>
      <c r="HMM59" s="46"/>
      <c r="HMN59" s="46"/>
      <c r="HMO59" s="46"/>
      <c r="HMP59" s="46"/>
      <c r="HMQ59" s="46"/>
      <c r="HMR59" s="46"/>
      <c r="HMS59" s="46"/>
      <c r="HMT59" s="46"/>
      <c r="HMU59" s="46"/>
      <c r="HMV59" s="46"/>
      <c r="HMW59" s="46"/>
      <c r="HMX59" s="46"/>
      <c r="HMY59" s="46"/>
      <c r="HMZ59" s="46"/>
      <c r="HNA59" s="46"/>
      <c r="HNB59" s="46"/>
      <c r="HNC59" s="46"/>
      <c r="HND59" s="46"/>
      <c r="HNE59" s="46"/>
      <c r="HNF59" s="46"/>
      <c r="HNG59" s="46"/>
      <c r="HNH59" s="46"/>
      <c r="HNI59" s="46"/>
      <c r="HNJ59" s="46"/>
      <c r="HNK59" s="46"/>
      <c r="HNL59" s="46"/>
      <c r="HNM59" s="46"/>
      <c r="HNN59" s="46"/>
      <c r="HNO59" s="46"/>
      <c r="HNP59" s="46"/>
      <c r="HNQ59" s="46"/>
      <c r="HNR59" s="46"/>
      <c r="HNS59" s="46"/>
      <c r="HNT59" s="46"/>
      <c r="HNU59" s="46"/>
      <c r="HNV59" s="46"/>
      <c r="HNW59" s="46"/>
      <c r="HNX59" s="46"/>
      <c r="HNY59" s="46"/>
      <c r="HNZ59" s="46"/>
      <c r="HOA59" s="46"/>
      <c r="HOB59" s="46"/>
      <c r="HOC59" s="46"/>
      <c r="HOD59" s="46"/>
      <c r="HOE59" s="46"/>
      <c r="HOF59" s="46"/>
      <c r="HOG59" s="46"/>
      <c r="HOH59" s="46"/>
      <c r="HOI59" s="46"/>
      <c r="HOJ59" s="46"/>
      <c r="HOK59" s="46"/>
      <c r="HOL59" s="46"/>
      <c r="HOM59" s="46"/>
      <c r="HON59" s="46"/>
      <c r="HOO59" s="46"/>
      <c r="HOP59" s="46"/>
      <c r="HOQ59" s="46"/>
      <c r="HOR59" s="46"/>
      <c r="HOS59" s="46"/>
      <c r="HOT59" s="46"/>
      <c r="HOU59" s="46"/>
      <c r="HOV59" s="46"/>
      <c r="HOW59" s="46"/>
      <c r="HOX59" s="46"/>
      <c r="HOY59" s="46"/>
      <c r="HOZ59" s="46"/>
      <c r="HPA59" s="46"/>
      <c r="HPB59" s="46"/>
      <c r="HPC59" s="46"/>
      <c r="HPD59" s="46"/>
      <c r="HPE59" s="46"/>
      <c r="HPF59" s="46"/>
      <c r="HPG59" s="46"/>
      <c r="HPH59" s="46"/>
      <c r="HPI59" s="46"/>
      <c r="HPJ59" s="46"/>
      <c r="HPK59" s="46"/>
      <c r="HPL59" s="46"/>
      <c r="HPM59" s="46"/>
      <c r="HPN59" s="46"/>
      <c r="HPO59" s="46"/>
      <c r="HPP59" s="46"/>
      <c r="HPQ59" s="46"/>
      <c r="HPR59" s="46"/>
      <c r="HPS59" s="46"/>
      <c r="HPT59" s="46"/>
      <c r="HPU59" s="46"/>
      <c r="HPV59" s="46"/>
      <c r="HPW59" s="46"/>
      <c r="HPX59" s="46"/>
      <c r="HPY59" s="46"/>
      <c r="HPZ59" s="46"/>
      <c r="HQA59" s="46"/>
      <c r="HQB59" s="46"/>
      <c r="HQC59" s="46"/>
      <c r="HQD59" s="46"/>
      <c r="HQE59" s="46"/>
      <c r="HQF59" s="46"/>
      <c r="HQG59" s="46"/>
      <c r="HQH59" s="46"/>
      <c r="HQI59" s="46"/>
      <c r="HQJ59" s="46"/>
      <c r="HQK59" s="46"/>
      <c r="HQL59" s="46"/>
      <c r="HQM59" s="46"/>
      <c r="HQN59" s="46"/>
      <c r="HQO59" s="46"/>
      <c r="HQP59" s="46"/>
      <c r="HQQ59" s="46"/>
      <c r="HQR59" s="46"/>
      <c r="HQS59" s="46"/>
      <c r="HQT59" s="46"/>
      <c r="HQU59" s="46"/>
      <c r="HQV59" s="46"/>
      <c r="HQW59" s="46"/>
      <c r="HQX59" s="46"/>
      <c r="HQY59" s="46"/>
      <c r="HQZ59" s="46"/>
      <c r="HRA59" s="46"/>
      <c r="HRB59" s="46"/>
      <c r="HRC59" s="46"/>
      <c r="HRD59" s="46"/>
      <c r="HRE59" s="46"/>
      <c r="HRF59" s="46"/>
      <c r="HRG59" s="46"/>
      <c r="HRH59" s="46"/>
      <c r="HRI59" s="46"/>
      <c r="HRJ59" s="46"/>
      <c r="HRK59" s="46"/>
      <c r="HRL59" s="46"/>
      <c r="HRM59" s="46"/>
      <c r="HRN59" s="46"/>
      <c r="HRO59" s="46"/>
      <c r="HRP59" s="46"/>
      <c r="HRQ59" s="46"/>
      <c r="HRR59" s="46"/>
      <c r="HRS59" s="46"/>
      <c r="HRT59" s="46"/>
      <c r="HRU59" s="46"/>
      <c r="HRV59" s="46"/>
      <c r="HRW59" s="46"/>
      <c r="HRX59" s="46"/>
      <c r="HRY59" s="46"/>
      <c r="HRZ59" s="46"/>
      <c r="HSA59" s="46"/>
      <c r="HSB59" s="46"/>
      <c r="HSC59" s="46"/>
      <c r="HSD59" s="46"/>
      <c r="HSE59" s="46"/>
      <c r="HSF59" s="46"/>
      <c r="HSG59" s="46"/>
      <c r="HSH59" s="46"/>
      <c r="HSI59" s="46"/>
      <c r="HSJ59" s="46"/>
      <c r="HSK59" s="46"/>
      <c r="HSL59" s="46"/>
      <c r="HSM59" s="46"/>
      <c r="HSN59" s="46"/>
      <c r="HSO59" s="46"/>
      <c r="HSP59" s="46"/>
      <c r="HSQ59" s="46"/>
      <c r="HSR59" s="46"/>
      <c r="HSS59" s="46"/>
      <c r="HST59" s="46"/>
      <c r="HSU59" s="46"/>
      <c r="HSV59" s="46"/>
      <c r="HSW59" s="46"/>
      <c r="HSX59" s="46"/>
      <c r="HSY59" s="46"/>
      <c r="HSZ59" s="46"/>
      <c r="HTA59" s="46"/>
      <c r="HTB59" s="46"/>
      <c r="HTC59" s="46"/>
      <c r="HTD59" s="46"/>
      <c r="HTE59" s="46"/>
      <c r="HTF59" s="46"/>
      <c r="HTG59" s="46"/>
      <c r="HTH59" s="46"/>
      <c r="HTI59" s="46"/>
      <c r="HTJ59" s="46"/>
      <c r="HTK59" s="46"/>
      <c r="HTL59" s="46"/>
      <c r="HTM59" s="46"/>
      <c r="HTN59" s="46"/>
      <c r="HTO59" s="46"/>
      <c r="HTP59" s="46"/>
      <c r="HTQ59" s="46"/>
      <c r="HTR59" s="46"/>
      <c r="HTS59" s="46"/>
      <c r="HTT59" s="46"/>
      <c r="HTU59" s="46"/>
      <c r="HTV59" s="46"/>
      <c r="HTW59" s="46"/>
      <c r="HTX59" s="46"/>
      <c r="HTY59" s="46"/>
      <c r="HTZ59" s="46"/>
      <c r="HUA59" s="46"/>
      <c r="HUB59" s="46"/>
      <c r="HUC59" s="46"/>
      <c r="HUD59" s="46"/>
      <c r="HUE59" s="46"/>
      <c r="HUF59" s="46"/>
      <c r="HUG59" s="46"/>
      <c r="HUH59" s="46"/>
      <c r="HUI59" s="46"/>
      <c r="HUJ59" s="46"/>
      <c r="HUK59" s="46"/>
      <c r="HUL59" s="46"/>
      <c r="HUM59" s="46"/>
      <c r="HUN59" s="46"/>
      <c r="HUO59" s="46"/>
      <c r="HUP59" s="46"/>
      <c r="HUQ59" s="46"/>
      <c r="HUR59" s="46"/>
      <c r="HUS59" s="46"/>
      <c r="HUT59" s="46"/>
      <c r="HUU59" s="46"/>
      <c r="HUV59" s="46"/>
      <c r="HUW59" s="46"/>
      <c r="HUX59" s="46"/>
      <c r="HUY59" s="46"/>
      <c r="HUZ59" s="46"/>
      <c r="HVA59" s="46"/>
      <c r="HVB59" s="46"/>
      <c r="HVC59" s="46"/>
      <c r="HVD59" s="46"/>
      <c r="HVE59" s="46"/>
      <c r="HVF59" s="46"/>
      <c r="HVG59" s="46"/>
      <c r="HVH59" s="46"/>
      <c r="HVI59" s="46"/>
      <c r="HVJ59" s="46"/>
      <c r="HVK59" s="46"/>
      <c r="HVL59" s="46"/>
      <c r="HVM59" s="46"/>
      <c r="HVN59" s="46"/>
      <c r="HVO59" s="46"/>
      <c r="HVP59" s="46"/>
      <c r="HVQ59" s="46"/>
      <c r="HVR59" s="46"/>
      <c r="HVS59" s="46"/>
      <c r="HVT59" s="46"/>
      <c r="HVU59" s="46"/>
      <c r="HVV59" s="46"/>
      <c r="HVW59" s="46"/>
      <c r="HVX59" s="46"/>
      <c r="HVY59" s="46"/>
      <c r="HVZ59" s="46"/>
      <c r="HWA59" s="46"/>
      <c r="HWB59" s="46"/>
      <c r="HWC59" s="46"/>
      <c r="HWD59" s="46"/>
      <c r="HWE59" s="46"/>
      <c r="HWF59" s="46"/>
      <c r="HWG59" s="46"/>
      <c r="HWH59" s="46"/>
      <c r="HWI59" s="46"/>
      <c r="HWJ59" s="46"/>
      <c r="HWK59" s="46"/>
      <c r="HWL59" s="46"/>
      <c r="HWM59" s="46"/>
      <c r="HWN59" s="46"/>
      <c r="HWO59" s="46"/>
      <c r="HWP59" s="46"/>
      <c r="HWQ59" s="46"/>
      <c r="HWR59" s="46"/>
      <c r="HWS59" s="46"/>
      <c r="HWT59" s="46"/>
      <c r="HWU59" s="46"/>
      <c r="HWV59" s="46"/>
      <c r="HWW59" s="46"/>
      <c r="HWX59" s="46"/>
      <c r="HWY59" s="46"/>
      <c r="HWZ59" s="46"/>
      <c r="HXA59" s="46"/>
      <c r="HXB59" s="46"/>
      <c r="HXC59" s="46"/>
      <c r="HXD59" s="46"/>
      <c r="HXE59" s="46"/>
      <c r="HXF59" s="46"/>
      <c r="HXG59" s="46"/>
      <c r="HXH59" s="46"/>
      <c r="HXI59" s="46"/>
      <c r="HXJ59" s="46"/>
      <c r="HXK59" s="46"/>
      <c r="HXL59" s="46"/>
      <c r="HXM59" s="46"/>
      <c r="HXN59" s="46"/>
      <c r="HXO59" s="46"/>
      <c r="HXP59" s="46"/>
      <c r="HXQ59" s="46"/>
      <c r="HXR59" s="46"/>
      <c r="HXS59" s="46"/>
      <c r="HXT59" s="46"/>
      <c r="HXU59" s="46"/>
      <c r="HXV59" s="46"/>
      <c r="HXW59" s="46"/>
      <c r="HXX59" s="46"/>
      <c r="HXY59" s="46"/>
      <c r="HXZ59" s="46"/>
      <c r="HYA59" s="46"/>
      <c r="HYB59" s="46"/>
      <c r="HYC59" s="46"/>
      <c r="HYD59" s="46"/>
      <c r="HYE59" s="46"/>
      <c r="HYF59" s="46"/>
      <c r="HYG59" s="46"/>
      <c r="HYH59" s="46"/>
      <c r="HYI59" s="46"/>
      <c r="HYJ59" s="46"/>
      <c r="HYK59" s="46"/>
      <c r="HYL59" s="46"/>
      <c r="HYM59" s="46"/>
      <c r="HYN59" s="46"/>
      <c r="HYO59" s="46"/>
      <c r="HYP59" s="46"/>
      <c r="HYQ59" s="46"/>
      <c r="HYR59" s="46"/>
      <c r="HYS59" s="46"/>
      <c r="HYT59" s="46"/>
      <c r="HYU59" s="46"/>
      <c r="HYV59" s="46"/>
      <c r="HYW59" s="46"/>
      <c r="HYX59" s="46"/>
      <c r="HYY59" s="46"/>
      <c r="HYZ59" s="46"/>
      <c r="HZA59" s="46"/>
      <c r="HZB59" s="46"/>
      <c r="HZC59" s="46"/>
      <c r="HZD59" s="46"/>
      <c r="HZE59" s="46"/>
      <c r="HZF59" s="46"/>
      <c r="HZG59" s="46"/>
      <c r="HZH59" s="46"/>
      <c r="HZI59" s="46"/>
      <c r="HZJ59" s="46"/>
      <c r="HZK59" s="46"/>
      <c r="HZL59" s="46"/>
      <c r="HZM59" s="46"/>
      <c r="HZN59" s="46"/>
      <c r="HZO59" s="46"/>
      <c r="HZP59" s="46"/>
      <c r="HZQ59" s="46"/>
      <c r="HZR59" s="46"/>
      <c r="HZS59" s="46"/>
      <c r="HZT59" s="46"/>
      <c r="HZU59" s="46"/>
      <c r="HZV59" s="46"/>
      <c r="HZW59" s="46"/>
      <c r="HZX59" s="46"/>
      <c r="HZY59" s="46"/>
      <c r="HZZ59" s="46"/>
      <c r="IAA59" s="46"/>
      <c r="IAB59" s="46"/>
      <c r="IAC59" s="46"/>
      <c r="IAD59" s="46"/>
      <c r="IAE59" s="46"/>
      <c r="IAF59" s="46"/>
      <c r="IAG59" s="46"/>
      <c r="IAH59" s="46"/>
      <c r="IAI59" s="46"/>
      <c r="IAJ59" s="46"/>
      <c r="IAK59" s="46"/>
      <c r="IAL59" s="46"/>
      <c r="IAM59" s="46"/>
      <c r="IAN59" s="46"/>
      <c r="IAO59" s="46"/>
      <c r="IAP59" s="46"/>
      <c r="IAQ59" s="46"/>
      <c r="IAR59" s="46"/>
      <c r="IAS59" s="46"/>
      <c r="IAT59" s="46"/>
      <c r="IAU59" s="46"/>
      <c r="IAV59" s="46"/>
      <c r="IAW59" s="46"/>
      <c r="IAX59" s="46"/>
      <c r="IAY59" s="46"/>
      <c r="IAZ59" s="46"/>
      <c r="IBA59" s="46"/>
      <c r="IBB59" s="46"/>
      <c r="IBC59" s="46"/>
      <c r="IBD59" s="46"/>
      <c r="IBE59" s="46"/>
      <c r="IBF59" s="46"/>
      <c r="IBG59" s="46"/>
      <c r="IBH59" s="46"/>
      <c r="IBI59" s="46"/>
      <c r="IBJ59" s="46"/>
      <c r="IBK59" s="46"/>
      <c r="IBL59" s="46"/>
      <c r="IBM59" s="46"/>
      <c r="IBN59" s="46"/>
      <c r="IBO59" s="46"/>
      <c r="IBP59" s="46"/>
      <c r="IBQ59" s="46"/>
      <c r="IBR59" s="46"/>
      <c r="IBS59" s="46"/>
      <c r="IBT59" s="46"/>
      <c r="IBU59" s="46"/>
      <c r="IBV59" s="46"/>
      <c r="IBW59" s="46"/>
      <c r="IBX59" s="46"/>
      <c r="IBY59" s="46"/>
      <c r="IBZ59" s="46"/>
      <c r="ICA59" s="46"/>
      <c r="ICB59" s="46"/>
      <c r="ICC59" s="46"/>
      <c r="ICD59" s="46"/>
      <c r="ICE59" s="46"/>
      <c r="ICF59" s="46"/>
      <c r="ICG59" s="46"/>
      <c r="ICH59" s="46"/>
      <c r="ICI59" s="46"/>
      <c r="ICJ59" s="46"/>
      <c r="ICK59" s="46"/>
      <c r="ICL59" s="46"/>
      <c r="ICM59" s="46"/>
      <c r="ICN59" s="46"/>
      <c r="ICO59" s="46"/>
      <c r="ICP59" s="46"/>
      <c r="ICQ59" s="46"/>
      <c r="ICR59" s="46"/>
      <c r="ICS59" s="46"/>
      <c r="ICT59" s="46"/>
      <c r="ICU59" s="46"/>
      <c r="ICV59" s="46"/>
      <c r="ICW59" s="46"/>
      <c r="ICX59" s="46"/>
      <c r="ICY59" s="46"/>
      <c r="ICZ59" s="46"/>
      <c r="IDA59" s="46"/>
      <c r="IDB59" s="46"/>
      <c r="IDC59" s="46"/>
      <c r="IDD59" s="46"/>
      <c r="IDE59" s="46"/>
      <c r="IDF59" s="46"/>
      <c r="IDG59" s="46"/>
      <c r="IDH59" s="46"/>
      <c r="IDI59" s="46"/>
      <c r="IDJ59" s="46"/>
      <c r="IDK59" s="46"/>
      <c r="IDL59" s="46"/>
      <c r="IDM59" s="46"/>
      <c r="IDN59" s="46"/>
      <c r="IDO59" s="46"/>
      <c r="IDP59" s="46"/>
      <c r="IDQ59" s="46"/>
      <c r="IDR59" s="46"/>
      <c r="IDS59" s="46"/>
      <c r="IDT59" s="46"/>
      <c r="IDU59" s="46"/>
      <c r="IDV59" s="46"/>
      <c r="IDW59" s="46"/>
      <c r="IDX59" s="46"/>
      <c r="IDY59" s="46"/>
      <c r="IDZ59" s="46"/>
      <c r="IEA59" s="46"/>
      <c r="IEB59" s="46"/>
      <c r="IEC59" s="46"/>
      <c r="IED59" s="46"/>
      <c r="IEE59" s="46"/>
      <c r="IEF59" s="46"/>
      <c r="IEG59" s="46"/>
      <c r="IEH59" s="46"/>
      <c r="IEI59" s="46"/>
      <c r="IEJ59" s="46"/>
      <c r="IEK59" s="46"/>
      <c r="IEL59" s="46"/>
      <c r="IEM59" s="46"/>
      <c r="IEN59" s="46"/>
      <c r="IEO59" s="46"/>
      <c r="IEP59" s="46"/>
      <c r="IEQ59" s="46"/>
      <c r="IER59" s="46"/>
      <c r="IES59" s="46"/>
      <c r="IET59" s="46"/>
      <c r="IEU59" s="46"/>
      <c r="IEV59" s="46"/>
      <c r="IEW59" s="46"/>
      <c r="IEX59" s="46"/>
      <c r="IEY59" s="46"/>
      <c r="IEZ59" s="46"/>
      <c r="IFA59" s="46"/>
      <c r="IFB59" s="46"/>
      <c r="IFC59" s="46"/>
      <c r="IFD59" s="46"/>
      <c r="IFE59" s="46"/>
      <c r="IFF59" s="46"/>
      <c r="IFG59" s="46"/>
      <c r="IFH59" s="46"/>
      <c r="IFI59" s="46"/>
      <c r="IFJ59" s="46"/>
      <c r="IFK59" s="46"/>
      <c r="IFL59" s="46"/>
      <c r="IFM59" s="46"/>
      <c r="IFN59" s="46"/>
      <c r="IFO59" s="46"/>
      <c r="IFP59" s="46"/>
      <c r="IFQ59" s="46"/>
      <c r="IFR59" s="46"/>
      <c r="IFS59" s="46"/>
      <c r="IFT59" s="46"/>
      <c r="IFU59" s="46"/>
      <c r="IFV59" s="46"/>
      <c r="IFW59" s="46"/>
      <c r="IFX59" s="46"/>
      <c r="IFY59" s="46"/>
      <c r="IFZ59" s="46"/>
      <c r="IGA59" s="46"/>
      <c r="IGB59" s="46"/>
      <c r="IGC59" s="46"/>
      <c r="IGD59" s="46"/>
      <c r="IGE59" s="46"/>
      <c r="IGF59" s="46"/>
      <c r="IGG59" s="46"/>
      <c r="IGH59" s="46"/>
      <c r="IGI59" s="46"/>
      <c r="IGJ59" s="46"/>
      <c r="IGK59" s="46"/>
      <c r="IGL59" s="46"/>
      <c r="IGM59" s="46"/>
      <c r="IGN59" s="46"/>
      <c r="IGO59" s="46"/>
      <c r="IGP59" s="46"/>
      <c r="IGQ59" s="46"/>
      <c r="IGR59" s="46"/>
      <c r="IGS59" s="46"/>
      <c r="IGT59" s="46"/>
      <c r="IGU59" s="46"/>
      <c r="IGV59" s="46"/>
      <c r="IGW59" s="46"/>
      <c r="IGX59" s="46"/>
      <c r="IGY59" s="46"/>
      <c r="IGZ59" s="46"/>
      <c r="IHA59" s="46"/>
      <c r="IHB59" s="46"/>
      <c r="IHC59" s="46"/>
      <c r="IHD59" s="46"/>
      <c r="IHE59" s="46"/>
      <c r="IHF59" s="46"/>
      <c r="IHG59" s="46"/>
      <c r="IHH59" s="46"/>
      <c r="IHI59" s="46"/>
      <c r="IHJ59" s="46"/>
      <c r="IHK59" s="46"/>
      <c r="IHL59" s="46"/>
      <c r="IHM59" s="46"/>
      <c r="IHN59" s="46"/>
      <c r="IHO59" s="46"/>
      <c r="IHP59" s="46"/>
      <c r="IHQ59" s="46"/>
      <c r="IHR59" s="46"/>
      <c r="IHS59" s="46"/>
      <c r="IHT59" s="46"/>
      <c r="IHU59" s="46"/>
      <c r="IHV59" s="46"/>
      <c r="IHW59" s="46"/>
      <c r="IHX59" s="46"/>
      <c r="IHY59" s="46"/>
      <c r="IHZ59" s="46"/>
      <c r="IIA59" s="46"/>
      <c r="IIB59" s="46"/>
      <c r="IIC59" s="46"/>
      <c r="IID59" s="46"/>
      <c r="IIE59" s="46"/>
      <c r="IIF59" s="46"/>
      <c r="IIG59" s="46"/>
      <c r="IIH59" s="46"/>
      <c r="III59" s="46"/>
      <c r="IIJ59" s="46"/>
      <c r="IIK59" s="46"/>
      <c r="IIL59" s="46"/>
      <c r="IIM59" s="46"/>
      <c r="IIN59" s="46"/>
      <c r="IIO59" s="46"/>
      <c r="IIP59" s="46"/>
      <c r="IIQ59" s="46"/>
      <c r="IIR59" s="46"/>
      <c r="IIS59" s="46"/>
      <c r="IIT59" s="46"/>
      <c r="IIU59" s="46"/>
      <c r="IIV59" s="46"/>
      <c r="IIW59" s="46"/>
      <c r="IIX59" s="46"/>
      <c r="IIY59" s="46"/>
      <c r="IIZ59" s="46"/>
      <c r="IJA59" s="46"/>
      <c r="IJB59" s="46"/>
      <c r="IJC59" s="46"/>
      <c r="IJD59" s="46"/>
      <c r="IJE59" s="46"/>
      <c r="IJF59" s="46"/>
      <c r="IJG59" s="46"/>
      <c r="IJH59" s="46"/>
      <c r="IJI59" s="46"/>
      <c r="IJJ59" s="46"/>
      <c r="IJK59" s="46"/>
      <c r="IJL59" s="46"/>
      <c r="IJM59" s="46"/>
      <c r="IJN59" s="46"/>
      <c r="IJO59" s="46"/>
      <c r="IJP59" s="46"/>
      <c r="IJQ59" s="46"/>
      <c r="IJR59" s="46"/>
      <c r="IJS59" s="46"/>
      <c r="IJT59" s="46"/>
      <c r="IJU59" s="46"/>
      <c r="IJV59" s="46"/>
      <c r="IJW59" s="46"/>
      <c r="IJX59" s="46"/>
      <c r="IJY59" s="46"/>
      <c r="IJZ59" s="46"/>
      <c r="IKA59" s="46"/>
      <c r="IKB59" s="46"/>
      <c r="IKC59" s="46"/>
      <c r="IKD59" s="46"/>
      <c r="IKE59" s="46"/>
      <c r="IKF59" s="46"/>
      <c r="IKG59" s="46"/>
      <c r="IKH59" s="46"/>
      <c r="IKI59" s="46"/>
      <c r="IKJ59" s="46"/>
      <c r="IKK59" s="46"/>
      <c r="IKL59" s="46"/>
      <c r="IKM59" s="46"/>
      <c r="IKN59" s="46"/>
      <c r="IKO59" s="46"/>
      <c r="IKP59" s="46"/>
      <c r="IKQ59" s="46"/>
      <c r="IKR59" s="46"/>
      <c r="IKS59" s="46"/>
      <c r="IKT59" s="46"/>
      <c r="IKU59" s="46"/>
      <c r="IKV59" s="46"/>
      <c r="IKW59" s="46"/>
      <c r="IKX59" s="46"/>
      <c r="IKY59" s="46"/>
      <c r="IKZ59" s="46"/>
      <c r="ILA59" s="46"/>
      <c r="ILB59" s="46"/>
      <c r="ILC59" s="46"/>
      <c r="ILD59" s="46"/>
      <c r="ILE59" s="46"/>
      <c r="ILF59" s="46"/>
      <c r="ILG59" s="46"/>
      <c r="ILH59" s="46"/>
      <c r="ILI59" s="46"/>
      <c r="ILJ59" s="46"/>
      <c r="ILK59" s="46"/>
      <c r="ILL59" s="46"/>
      <c r="ILM59" s="46"/>
      <c r="ILN59" s="46"/>
      <c r="ILO59" s="46"/>
      <c r="ILP59" s="46"/>
      <c r="ILQ59" s="46"/>
      <c r="ILR59" s="46"/>
      <c r="ILS59" s="46"/>
      <c r="ILT59" s="46"/>
      <c r="ILU59" s="46"/>
      <c r="ILV59" s="46"/>
      <c r="ILW59" s="46"/>
      <c r="ILX59" s="46"/>
      <c r="ILY59" s="46"/>
      <c r="ILZ59" s="46"/>
      <c r="IMA59" s="46"/>
      <c r="IMB59" s="46"/>
      <c r="IMC59" s="46"/>
      <c r="IMD59" s="46"/>
      <c r="IME59" s="46"/>
      <c r="IMF59" s="46"/>
      <c r="IMG59" s="46"/>
      <c r="IMH59" s="46"/>
      <c r="IMI59" s="46"/>
      <c r="IMJ59" s="46"/>
      <c r="IMK59" s="46"/>
      <c r="IML59" s="46"/>
      <c r="IMM59" s="46"/>
      <c r="IMN59" s="46"/>
      <c r="IMO59" s="46"/>
      <c r="IMP59" s="46"/>
      <c r="IMQ59" s="46"/>
      <c r="IMR59" s="46"/>
      <c r="IMS59" s="46"/>
      <c r="IMT59" s="46"/>
      <c r="IMU59" s="46"/>
      <c r="IMV59" s="46"/>
      <c r="IMW59" s="46"/>
      <c r="IMX59" s="46"/>
      <c r="IMY59" s="46"/>
      <c r="IMZ59" s="46"/>
      <c r="INA59" s="46"/>
      <c r="INB59" s="46"/>
      <c r="INC59" s="46"/>
      <c r="IND59" s="46"/>
      <c r="INE59" s="46"/>
      <c r="INF59" s="46"/>
      <c r="ING59" s="46"/>
      <c r="INH59" s="46"/>
      <c r="INI59" s="46"/>
      <c r="INJ59" s="46"/>
      <c r="INK59" s="46"/>
      <c r="INL59" s="46"/>
      <c r="INM59" s="46"/>
      <c r="INN59" s="46"/>
      <c r="INO59" s="46"/>
      <c r="INP59" s="46"/>
      <c r="INQ59" s="46"/>
      <c r="INR59" s="46"/>
      <c r="INS59" s="46"/>
      <c r="INT59" s="46"/>
      <c r="INU59" s="46"/>
      <c r="INV59" s="46"/>
      <c r="INW59" s="46"/>
      <c r="INX59" s="46"/>
      <c r="INY59" s="46"/>
      <c r="INZ59" s="46"/>
      <c r="IOA59" s="46"/>
      <c r="IOB59" s="46"/>
      <c r="IOC59" s="46"/>
      <c r="IOD59" s="46"/>
      <c r="IOE59" s="46"/>
      <c r="IOF59" s="46"/>
      <c r="IOG59" s="46"/>
      <c r="IOH59" s="46"/>
      <c r="IOI59" s="46"/>
      <c r="IOJ59" s="46"/>
      <c r="IOK59" s="46"/>
      <c r="IOL59" s="46"/>
      <c r="IOM59" s="46"/>
      <c r="ION59" s="46"/>
      <c r="IOO59" s="46"/>
      <c r="IOP59" s="46"/>
      <c r="IOQ59" s="46"/>
      <c r="IOR59" s="46"/>
      <c r="IOS59" s="46"/>
      <c r="IOT59" s="46"/>
      <c r="IOU59" s="46"/>
      <c r="IOV59" s="46"/>
      <c r="IOW59" s="46"/>
      <c r="IOX59" s="46"/>
      <c r="IOY59" s="46"/>
      <c r="IOZ59" s="46"/>
      <c r="IPA59" s="46"/>
      <c r="IPB59" s="46"/>
      <c r="IPC59" s="46"/>
      <c r="IPD59" s="46"/>
      <c r="IPE59" s="46"/>
      <c r="IPF59" s="46"/>
      <c r="IPG59" s="46"/>
      <c r="IPH59" s="46"/>
      <c r="IPI59" s="46"/>
      <c r="IPJ59" s="46"/>
      <c r="IPK59" s="46"/>
      <c r="IPL59" s="46"/>
      <c r="IPM59" s="46"/>
      <c r="IPN59" s="46"/>
      <c r="IPO59" s="46"/>
      <c r="IPP59" s="46"/>
      <c r="IPQ59" s="46"/>
      <c r="IPR59" s="46"/>
      <c r="IPS59" s="46"/>
      <c r="IPT59" s="46"/>
      <c r="IPU59" s="46"/>
      <c r="IPV59" s="46"/>
      <c r="IPW59" s="46"/>
      <c r="IPX59" s="46"/>
      <c r="IPY59" s="46"/>
      <c r="IPZ59" s="46"/>
      <c r="IQA59" s="46"/>
      <c r="IQB59" s="46"/>
      <c r="IQC59" s="46"/>
      <c r="IQD59" s="46"/>
      <c r="IQE59" s="46"/>
      <c r="IQF59" s="46"/>
      <c r="IQG59" s="46"/>
      <c r="IQH59" s="46"/>
      <c r="IQI59" s="46"/>
      <c r="IQJ59" s="46"/>
      <c r="IQK59" s="46"/>
      <c r="IQL59" s="46"/>
      <c r="IQM59" s="46"/>
      <c r="IQN59" s="46"/>
      <c r="IQO59" s="46"/>
      <c r="IQP59" s="46"/>
      <c r="IQQ59" s="46"/>
      <c r="IQR59" s="46"/>
      <c r="IQS59" s="46"/>
      <c r="IQT59" s="46"/>
      <c r="IQU59" s="46"/>
      <c r="IQV59" s="46"/>
      <c r="IQW59" s="46"/>
      <c r="IQX59" s="46"/>
      <c r="IQY59" s="46"/>
      <c r="IQZ59" s="46"/>
      <c r="IRA59" s="46"/>
      <c r="IRB59" s="46"/>
      <c r="IRC59" s="46"/>
      <c r="IRD59" s="46"/>
      <c r="IRE59" s="46"/>
      <c r="IRF59" s="46"/>
      <c r="IRG59" s="46"/>
      <c r="IRH59" s="46"/>
      <c r="IRI59" s="46"/>
      <c r="IRJ59" s="46"/>
      <c r="IRK59" s="46"/>
      <c r="IRL59" s="46"/>
      <c r="IRM59" s="46"/>
      <c r="IRN59" s="46"/>
      <c r="IRO59" s="46"/>
      <c r="IRP59" s="46"/>
      <c r="IRQ59" s="46"/>
      <c r="IRR59" s="46"/>
      <c r="IRS59" s="46"/>
      <c r="IRT59" s="46"/>
      <c r="IRU59" s="46"/>
      <c r="IRV59" s="46"/>
      <c r="IRW59" s="46"/>
      <c r="IRX59" s="46"/>
      <c r="IRY59" s="46"/>
      <c r="IRZ59" s="46"/>
      <c r="ISA59" s="46"/>
      <c r="ISB59" s="46"/>
      <c r="ISC59" s="46"/>
      <c r="ISD59" s="46"/>
      <c r="ISE59" s="46"/>
      <c r="ISF59" s="46"/>
      <c r="ISG59" s="46"/>
      <c r="ISH59" s="46"/>
      <c r="ISI59" s="46"/>
      <c r="ISJ59" s="46"/>
      <c r="ISK59" s="46"/>
      <c r="ISL59" s="46"/>
      <c r="ISM59" s="46"/>
      <c r="ISN59" s="46"/>
      <c r="ISO59" s="46"/>
      <c r="ISP59" s="46"/>
      <c r="ISQ59" s="46"/>
      <c r="ISR59" s="46"/>
      <c r="ISS59" s="46"/>
      <c r="IST59" s="46"/>
      <c r="ISU59" s="46"/>
      <c r="ISV59" s="46"/>
      <c r="ISW59" s="46"/>
      <c r="ISX59" s="46"/>
      <c r="ISY59" s="46"/>
      <c r="ISZ59" s="46"/>
      <c r="ITA59" s="46"/>
      <c r="ITB59" s="46"/>
      <c r="ITC59" s="46"/>
      <c r="ITD59" s="46"/>
      <c r="ITE59" s="46"/>
      <c r="ITF59" s="46"/>
      <c r="ITG59" s="46"/>
      <c r="ITH59" s="46"/>
      <c r="ITI59" s="46"/>
      <c r="ITJ59" s="46"/>
      <c r="ITK59" s="46"/>
      <c r="ITL59" s="46"/>
      <c r="ITM59" s="46"/>
      <c r="ITN59" s="46"/>
      <c r="ITO59" s="46"/>
      <c r="ITP59" s="46"/>
      <c r="ITQ59" s="46"/>
      <c r="ITR59" s="46"/>
      <c r="ITS59" s="46"/>
      <c r="ITT59" s="46"/>
      <c r="ITU59" s="46"/>
      <c r="ITV59" s="46"/>
      <c r="ITW59" s="46"/>
      <c r="ITX59" s="46"/>
      <c r="ITY59" s="46"/>
      <c r="ITZ59" s="46"/>
      <c r="IUA59" s="46"/>
      <c r="IUB59" s="46"/>
      <c r="IUC59" s="46"/>
      <c r="IUD59" s="46"/>
      <c r="IUE59" s="46"/>
      <c r="IUF59" s="46"/>
      <c r="IUG59" s="46"/>
      <c r="IUH59" s="46"/>
      <c r="IUI59" s="46"/>
      <c r="IUJ59" s="46"/>
      <c r="IUK59" s="46"/>
      <c r="IUL59" s="46"/>
      <c r="IUM59" s="46"/>
      <c r="IUN59" s="46"/>
      <c r="IUO59" s="46"/>
      <c r="IUP59" s="46"/>
      <c r="IUQ59" s="46"/>
      <c r="IUR59" s="46"/>
      <c r="IUS59" s="46"/>
      <c r="IUT59" s="46"/>
      <c r="IUU59" s="46"/>
      <c r="IUV59" s="46"/>
      <c r="IUW59" s="46"/>
      <c r="IUX59" s="46"/>
      <c r="IUY59" s="46"/>
      <c r="IUZ59" s="46"/>
      <c r="IVA59" s="46"/>
      <c r="IVB59" s="46"/>
      <c r="IVC59" s="46"/>
      <c r="IVD59" s="46"/>
      <c r="IVE59" s="46"/>
      <c r="IVF59" s="46"/>
      <c r="IVG59" s="46"/>
      <c r="IVH59" s="46"/>
      <c r="IVI59" s="46"/>
      <c r="IVJ59" s="46"/>
      <c r="IVK59" s="46"/>
      <c r="IVL59" s="46"/>
      <c r="IVM59" s="46"/>
      <c r="IVN59" s="46"/>
      <c r="IVO59" s="46"/>
      <c r="IVP59" s="46"/>
      <c r="IVQ59" s="46"/>
      <c r="IVR59" s="46"/>
      <c r="IVS59" s="46"/>
      <c r="IVT59" s="46"/>
      <c r="IVU59" s="46"/>
      <c r="IVV59" s="46"/>
      <c r="IVW59" s="46"/>
      <c r="IVX59" s="46"/>
      <c r="IVY59" s="46"/>
      <c r="IVZ59" s="46"/>
      <c r="IWA59" s="46"/>
      <c r="IWB59" s="46"/>
      <c r="IWC59" s="46"/>
      <c r="IWD59" s="46"/>
      <c r="IWE59" s="46"/>
      <c r="IWF59" s="46"/>
      <c r="IWG59" s="46"/>
      <c r="IWH59" s="46"/>
      <c r="IWI59" s="46"/>
      <c r="IWJ59" s="46"/>
      <c r="IWK59" s="46"/>
      <c r="IWL59" s="46"/>
      <c r="IWM59" s="46"/>
      <c r="IWN59" s="46"/>
      <c r="IWO59" s="46"/>
      <c r="IWP59" s="46"/>
      <c r="IWQ59" s="46"/>
      <c r="IWR59" s="46"/>
      <c r="IWS59" s="46"/>
      <c r="IWT59" s="46"/>
      <c r="IWU59" s="46"/>
      <c r="IWV59" s="46"/>
      <c r="IWW59" s="46"/>
      <c r="IWX59" s="46"/>
      <c r="IWY59" s="46"/>
      <c r="IWZ59" s="46"/>
      <c r="IXA59" s="46"/>
      <c r="IXB59" s="46"/>
      <c r="IXC59" s="46"/>
      <c r="IXD59" s="46"/>
      <c r="IXE59" s="46"/>
      <c r="IXF59" s="46"/>
      <c r="IXG59" s="46"/>
      <c r="IXH59" s="46"/>
      <c r="IXI59" s="46"/>
      <c r="IXJ59" s="46"/>
      <c r="IXK59" s="46"/>
      <c r="IXL59" s="46"/>
      <c r="IXM59" s="46"/>
      <c r="IXN59" s="46"/>
      <c r="IXO59" s="46"/>
      <c r="IXP59" s="46"/>
      <c r="IXQ59" s="46"/>
      <c r="IXR59" s="46"/>
      <c r="IXS59" s="46"/>
      <c r="IXT59" s="46"/>
      <c r="IXU59" s="46"/>
      <c r="IXV59" s="46"/>
      <c r="IXW59" s="46"/>
      <c r="IXX59" s="46"/>
      <c r="IXY59" s="46"/>
      <c r="IXZ59" s="46"/>
      <c r="IYA59" s="46"/>
      <c r="IYB59" s="46"/>
      <c r="IYC59" s="46"/>
      <c r="IYD59" s="46"/>
      <c r="IYE59" s="46"/>
      <c r="IYF59" s="46"/>
      <c r="IYG59" s="46"/>
      <c r="IYH59" s="46"/>
      <c r="IYI59" s="46"/>
      <c r="IYJ59" s="46"/>
      <c r="IYK59" s="46"/>
      <c r="IYL59" s="46"/>
      <c r="IYM59" s="46"/>
      <c r="IYN59" s="46"/>
      <c r="IYO59" s="46"/>
      <c r="IYP59" s="46"/>
      <c r="IYQ59" s="46"/>
      <c r="IYR59" s="46"/>
      <c r="IYS59" s="46"/>
      <c r="IYT59" s="46"/>
      <c r="IYU59" s="46"/>
      <c r="IYV59" s="46"/>
      <c r="IYW59" s="46"/>
      <c r="IYX59" s="46"/>
      <c r="IYY59" s="46"/>
      <c r="IYZ59" s="46"/>
      <c r="IZA59" s="46"/>
      <c r="IZB59" s="46"/>
      <c r="IZC59" s="46"/>
      <c r="IZD59" s="46"/>
      <c r="IZE59" s="46"/>
      <c r="IZF59" s="46"/>
      <c r="IZG59" s="46"/>
      <c r="IZH59" s="46"/>
      <c r="IZI59" s="46"/>
      <c r="IZJ59" s="46"/>
      <c r="IZK59" s="46"/>
      <c r="IZL59" s="46"/>
      <c r="IZM59" s="46"/>
      <c r="IZN59" s="46"/>
      <c r="IZO59" s="46"/>
      <c r="IZP59" s="46"/>
      <c r="IZQ59" s="46"/>
      <c r="IZR59" s="46"/>
      <c r="IZS59" s="46"/>
      <c r="IZT59" s="46"/>
      <c r="IZU59" s="46"/>
      <c r="IZV59" s="46"/>
      <c r="IZW59" s="46"/>
      <c r="IZX59" s="46"/>
      <c r="IZY59" s="46"/>
      <c r="IZZ59" s="46"/>
      <c r="JAA59" s="46"/>
      <c r="JAB59" s="46"/>
      <c r="JAC59" s="46"/>
      <c r="JAD59" s="46"/>
      <c r="JAE59" s="46"/>
      <c r="JAF59" s="46"/>
      <c r="JAG59" s="46"/>
      <c r="JAH59" s="46"/>
      <c r="JAI59" s="46"/>
      <c r="JAJ59" s="46"/>
      <c r="JAK59" s="46"/>
      <c r="JAL59" s="46"/>
      <c r="JAM59" s="46"/>
      <c r="JAN59" s="46"/>
      <c r="JAO59" s="46"/>
      <c r="JAP59" s="46"/>
      <c r="JAQ59" s="46"/>
      <c r="JAR59" s="46"/>
      <c r="JAS59" s="46"/>
      <c r="JAT59" s="46"/>
      <c r="JAU59" s="46"/>
      <c r="JAV59" s="46"/>
      <c r="JAW59" s="46"/>
      <c r="JAX59" s="46"/>
      <c r="JAY59" s="46"/>
      <c r="JAZ59" s="46"/>
      <c r="JBA59" s="46"/>
      <c r="JBB59" s="46"/>
      <c r="JBC59" s="46"/>
      <c r="JBD59" s="46"/>
      <c r="JBE59" s="46"/>
      <c r="JBF59" s="46"/>
      <c r="JBG59" s="46"/>
      <c r="JBH59" s="46"/>
      <c r="JBI59" s="46"/>
      <c r="JBJ59" s="46"/>
      <c r="JBK59" s="46"/>
      <c r="JBL59" s="46"/>
      <c r="JBM59" s="46"/>
      <c r="JBN59" s="46"/>
      <c r="JBO59" s="46"/>
      <c r="JBP59" s="46"/>
      <c r="JBQ59" s="46"/>
      <c r="JBR59" s="46"/>
      <c r="JBS59" s="46"/>
      <c r="JBT59" s="46"/>
      <c r="JBU59" s="46"/>
      <c r="JBV59" s="46"/>
      <c r="JBW59" s="46"/>
      <c r="JBX59" s="46"/>
      <c r="JBY59" s="46"/>
      <c r="JBZ59" s="46"/>
      <c r="JCA59" s="46"/>
      <c r="JCB59" s="46"/>
      <c r="JCC59" s="46"/>
      <c r="JCD59" s="46"/>
      <c r="JCE59" s="46"/>
      <c r="JCF59" s="46"/>
      <c r="JCG59" s="46"/>
      <c r="JCH59" s="46"/>
      <c r="JCI59" s="46"/>
      <c r="JCJ59" s="46"/>
      <c r="JCK59" s="46"/>
      <c r="JCL59" s="46"/>
      <c r="JCM59" s="46"/>
      <c r="JCN59" s="46"/>
      <c r="JCO59" s="46"/>
      <c r="JCP59" s="46"/>
      <c r="JCQ59" s="46"/>
      <c r="JCR59" s="46"/>
      <c r="JCS59" s="46"/>
      <c r="JCT59" s="46"/>
      <c r="JCU59" s="46"/>
      <c r="JCV59" s="46"/>
      <c r="JCW59" s="46"/>
      <c r="JCX59" s="46"/>
      <c r="JCY59" s="46"/>
      <c r="JCZ59" s="46"/>
      <c r="JDA59" s="46"/>
      <c r="JDB59" s="46"/>
      <c r="JDC59" s="46"/>
      <c r="JDD59" s="46"/>
      <c r="JDE59" s="46"/>
      <c r="JDF59" s="46"/>
      <c r="JDG59" s="46"/>
      <c r="JDH59" s="46"/>
      <c r="JDI59" s="46"/>
      <c r="JDJ59" s="46"/>
      <c r="JDK59" s="46"/>
      <c r="JDL59" s="46"/>
      <c r="JDM59" s="46"/>
      <c r="JDN59" s="46"/>
      <c r="JDO59" s="46"/>
      <c r="JDP59" s="46"/>
      <c r="JDQ59" s="46"/>
      <c r="JDR59" s="46"/>
      <c r="JDS59" s="46"/>
      <c r="JDT59" s="46"/>
      <c r="JDU59" s="46"/>
      <c r="JDV59" s="46"/>
      <c r="JDW59" s="46"/>
      <c r="JDX59" s="46"/>
      <c r="JDY59" s="46"/>
      <c r="JDZ59" s="46"/>
      <c r="JEA59" s="46"/>
      <c r="JEB59" s="46"/>
      <c r="JEC59" s="46"/>
      <c r="JED59" s="46"/>
      <c r="JEE59" s="46"/>
      <c r="JEF59" s="46"/>
      <c r="JEG59" s="46"/>
      <c r="JEH59" s="46"/>
      <c r="JEI59" s="46"/>
      <c r="JEJ59" s="46"/>
      <c r="JEK59" s="46"/>
      <c r="JEL59" s="46"/>
      <c r="JEM59" s="46"/>
      <c r="JEN59" s="46"/>
      <c r="JEO59" s="46"/>
      <c r="JEP59" s="46"/>
      <c r="JEQ59" s="46"/>
      <c r="JER59" s="46"/>
      <c r="JES59" s="46"/>
      <c r="JET59" s="46"/>
      <c r="JEU59" s="46"/>
      <c r="JEV59" s="46"/>
      <c r="JEW59" s="46"/>
      <c r="JEX59" s="46"/>
      <c r="JEY59" s="46"/>
      <c r="JEZ59" s="46"/>
      <c r="JFA59" s="46"/>
      <c r="JFB59" s="46"/>
      <c r="JFC59" s="46"/>
      <c r="JFD59" s="46"/>
      <c r="JFE59" s="46"/>
      <c r="JFF59" s="46"/>
      <c r="JFG59" s="46"/>
      <c r="JFH59" s="46"/>
      <c r="JFI59" s="46"/>
      <c r="JFJ59" s="46"/>
      <c r="JFK59" s="46"/>
      <c r="JFL59" s="46"/>
      <c r="JFM59" s="46"/>
      <c r="JFN59" s="46"/>
      <c r="JFO59" s="46"/>
      <c r="JFP59" s="46"/>
      <c r="JFQ59" s="46"/>
      <c r="JFR59" s="46"/>
      <c r="JFS59" s="46"/>
      <c r="JFT59" s="46"/>
      <c r="JFU59" s="46"/>
      <c r="JFV59" s="46"/>
      <c r="JFW59" s="46"/>
      <c r="JFX59" s="46"/>
      <c r="JFY59" s="46"/>
      <c r="JFZ59" s="46"/>
      <c r="JGA59" s="46"/>
      <c r="JGB59" s="46"/>
      <c r="JGC59" s="46"/>
      <c r="JGD59" s="46"/>
      <c r="JGE59" s="46"/>
      <c r="JGF59" s="46"/>
      <c r="JGG59" s="46"/>
      <c r="JGH59" s="46"/>
      <c r="JGI59" s="46"/>
      <c r="JGJ59" s="46"/>
      <c r="JGK59" s="46"/>
      <c r="JGL59" s="46"/>
      <c r="JGM59" s="46"/>
      <c r="JGN59" s="46"/>
      <c r="JGO59" s="46"/>
      <c r="JGP59" s="46"/>
      <c r="JGQ59" s="46"/>
      <c r="JGR59" s="46"/>
      <c r="JGS59" s="46"/>
      <c r="JGT59" s="46"/>
      <c r="JGU59" s="46"/>
      <c r="JGV59" s="46"/>
      <c r="JGW59" s="46"/>
      <c r="JGX59" s="46"/>
      <c r="JGY59" s="46"/>
      <c r="JGZ59" s="46"/>
      <c r="JHA59" s="46"/>
      <c r="JHB59" s="46"/>
      <c r="JHC59" s="46"/>
      <c r="JHD59" s="46"/>
      <c r="JHE59" s="46"/>
      <c r="JHF59" s="46"/>
      <c r="JHG59" s="46"/>
      <c r="JHH59" s="46"/>
      <c r="JHI59" s="46"/>
      <c r="JHJ59" s="46"/>
      <c r="JHK59" s="46"/>
      <c r="JHL59" s="46"/>
      <c r="JHM59" s="46"/>
      <c r="JHN59" s="46"/>
      <c r="JHO59" s="46"/>
      <c r="JHP59" s="46"/>
      <c r="JHQ59" s="46"/>
      <c r="JHR59" s="46"/>
      <c r="JHS59" s="46"/>
      <c r="JHT59" s="46"/>
      <c r="JHU59" s="46"/>
      <c r="JHV59" s="46"/>
      <c r="JHW59" s="46"/>
      <c r="JHX59" s="46"/>
      <c r="JHY59" s="46"/>
      <c r="JHZ59" s="46"/>
      <c r="JIA59" s="46"/>
      <c r="JIB59" s="46"/>
      <c r="JIC59" s="46"/>
      <c r="JID59" s="46"/>
      <c r="JIE59" s="46"/>
      <c r="JIF59" s="46"/>
      <c r="JIG59" s="46"/>
      <c r="JIH59" s="46"/>
      <c r="JII59" s="46"/>
      <c r="JIJ59" s="46"/>
      <c r="JIK59" s="46"/>
      <c r="JIL59" s="46"/>
      <c r="JIM59" s="46"/>
      <c r="JIN59" s="46"/>
      <c r="JIO59" s="46"/>
      <c r="JIP59" s="46"/>
      <c r="JIQ59" s="46"/>
      <c r="JIR59" s="46"/>
      <c r="JIS59" s="46"/>
      <c r="JIT59" s="46"/>
      <c r="JIU59" s="46"/>
      <c r="JIV59" s="46"/>
      <c r="JIW59" s="46"/>
      <c r="JIX59" s="46"/>
      <c r="JIY59" s="46"/>
      <c r="JIZ59" s="46"/>
      <c r="JJA59" s="46"/>
      <c r="JJB59" s="46"/>
      <c r="JJC59" s="46"/>
      <c r="JJD59" s="46"/>
      <c r="JJE59" s="46"/>
      <c r="JJF59" s="46"/>
      <c r="JJG59" s="46"/>
      <c r="JJH59" s="46"/>
      <c r="JJI59" s="46"/>
      <c r="JJJ59" s="46"/>
      <c r="JJK59" s="46"/>
      <c r="JJL59" s="46"/>
      <c r="JJM59" s="46"/>
      <c r="JJN59" s="46"/>
      <c r="JJO59" s="46"/>
      <c r="JJP59" s="46"/>
      <c r="JJQ59" s="46"/>
      <c r="JJR59" s="46"/>
      <c r="JJS59" s="46"/>
      <c r="JJT59" s="46"/>
      <c r="JJU59" s="46"/>
      <c r="JJV59" s="46"/>
      <c r="JJW59" s="46"/>
      <c r="JJX59" s="46"/>
      <c r="JJY59" s="46"/>
      <c r="JJZ59" s="46"/>
      <c r="JKA59" s="46"/>
      <c r="JKB59" s="46"/>
      <c r="JKC59" s="46"/>
      <c r="JKD59" s="46"/>
      <c r="JKE59" s="46"/>
      <c r="JKF59" s="46"/>
      <c r="JKG59" s="46"/>
      <c r="JKH59" s="46"/>
      <c r="JKI59" s="46"/>
      <c r="JKJ59" s="46"/>
      <c r="JKK59" s="46"/>
      <c r="JKL59" s="46"/>
      <c r="JKM59" s="46"/>
      <c r="JKN59" s="46"/>
      <c r="JKO59" s="46"/>
      <c r="JKP59" s="46"/>
      <c r="JKQ59" s="46"/>
      <c r="JKR59" s="46"/>
      <c r="JKS59" s="46"/>
      <c r="JKT59" s="46"/>
      <c r="JKU59" s="46"/>
      <c r="JKV59" s="46"/>
      <c r="JKW59" s="46"/>
      <c r="JKX59" s="46"/>
      <c r="JKY59" s="46"/>
      <c r="JKZ59" s="46"/>
      <c r="JLA59" s="46"/>
      <c r="JLB59" s="46"/>
      <c r="JLC59" s="46"/>
      <c r="JLD59" s="46"/>
      <c r="JLE59" s="46"/>
      <c r="JLF59" s="46"/>
      <c r="JLG59" s="46"/>
      <c r="JLH59" s="46"/>
      <c r="JLI59" s="46"/>
      <c r="JLJ59" s="46"/>
      <c r="JLK59" s="46"/>
      <c r="JLL59" s="46"/>
      <c r="JLM59" s="46"/>
      <c r="JLN59" s="46"/>
      <c r="JLO59" s="46"/>
      <c r="JLP59" s="46"/>
      <c r="JLQ59" s="46"/>
      <c r="JLR59" s="46"/>
      <c r="JLS59" s="46"/>
      <c r="JLT59" s="46"/>
      <c r="JLU59" s="46"/>
      <c r="JLV59" s="46"/>
      <c r="JLW59" s="46"/>
      <c r="JLX59" s="46"/>
      <c r="JLY59" s="46"/>
      <c r="JLZ59" s="46"/>
      <c r="JMA59" s="46"/>
      <c r="JMB59" s="46"/>
      <c r="JMC59" s="46"/>
      <c r="JMD59" s="46"/>
      <c r="JME59" s="46"/>
      <c r="JMF59" s="46"/>
      <c r="JMG59" s="46"/>
      <c r="JMH59" s="46"/>
      <c r="JMI59" s="46"/>
      <c r="JMJ59" s="46"/>
      <c r="JMK59" s="46"/>
      <c r="JML59" s="46"/>
      <c r="JMM59" s="46"/>
      <c r="JMN59" s="46"/>
      <c r="JMO59" s="46"/>
      <c r="JMP59" s="46"/>
      <c r="JMQ59" s="46"/>
      <c r="JMR59" s="46"/>
      <c r="JMS59" s="46"/>
      <c r="JMT59" s="46"/>
      <c r="JMU59" s="46"/>
      <c r="JMV59" s="46"/>
      <c r="JMW59" s="46"/>
      <c r="JMX59" s="46"/>
      <c r="JMY59" s="46"/>
      <c r="JMZ59" s="46"/>
      <c r="JNA59" s="46"/>
      <c r="JNB59" s="46"/>
      <c r="JNC59" s="46"/>
      <c r="JND59" s="46"/>
      <c r="JNE59" s="46"/>
      <c r="JNF59" s="46"/>
      <c r="JNG59" s="46"/>
      <c r="JNH59" s="46"/>
      <c r="JNI59" s="46"/>
      <c r="JNJ59" s="46"/>
      <c r="JNK59" s="46"/>
      <c r="JNL59" s="46"/>
      <c r="JNM59" s="46"/>
      <c r="JNN59" s="46"/>
      <c r="JNO59" s="46"/>
      <c r="JNP59" s="46"/>
      <c r="JNQ59" s="46"/>
      <c r="JNR59" s="46"/>
      <c r="JNS59" s="46"/>
      <c r="JNT59" s="46"/>
      <c r="JNU59" s="46"/>
      <c r="JNV59" s="46"/>
      <c r="JNW59" s="46"/>
      <c r="JNX59" s="46"/>
      <c r="JNY59" s="46"/>
      <c r="JNZ59" s="46"/>
      <c r="JOA59" s="46"/>
      <c r="JOB59" s="46"/>
      <c r="JOC59" s="46"/>
      <c r="JOD59" s="46"/>
      <c r="JOE59" s="46"/>
      <c r="JOF59" s="46"/>
      <c r="JOG59" s="46"/>
      <c r="JOH59" s="46"/>
      <c r="JOI59" s="46"/>
      <c r="JOJ59" s="46"/>
      <c r="JOK59" s="46"/>
      <c r="JOL59" s="46"/>
      <c r="JOM59" s="46"/>
      <c r="JON59" s="46"/>
      <c r="JOO59" s="46"/>
      <c r="JOP59" s="46"/>
      <c r="JOQ59" s="46"/>
      <c r="JOR59" s="46"/>
      <c r="JOS59" s="46"/>
      <c r="JOT59" s="46"/>
      <c r="JOU59" s="46"/>
      <c r="JOV59" s="46"/>
      <c r="JOW59" s="46"/>
      <c r="JOX59" s="46"/>
      <c r="JOY59" s="46"/>
      <c r="JOZ59" s="46"/>
      <c r="JPA59" s="46"/>
      <c r="JPB59" s="46"/>
      <c r="JPC59" s="46"/>
      <c r="JPD59" s="46"/>
      <c r="JPE59" s="46"/>
      <c r="JPF59" s="46"/>
      <c r="JPG59" s="46"/>
      <c r="JPH59" s="46"/>
      <c r="JPI59" s="46"/>
      <c r="JPJ59" s="46"/>
      <c r="JPK59" s="46"/>
      <c r="JPL59" s="46"/>
      <c r="JPM59" s="46"/>
      <c r="JPN59" s="46"/>
      <c r="JPO59" s="46"/>
      <c r="JPP59" s="46"/>
      <c r="JPQ59" s="46"/>
      <c r="JPR59" s="46"/>
      <c r="JPS59" s="46"/>
      <c r="JPT59" s="46"/>
      <c r="JPU59" s="46"/>
      <c r="JPV59" s="46"/>
      <c r="JPW59" s="46"/>
      <c r="JPX59" s="46"/>
      <c r="JPY59" s="46"/>
      <c r="JPZ59" s="46"/>
      <c r="JQA59" s="46"/>
      <c r="JQB59" s="46"/>
      <c r="JQC59" s="46"/>
      <c r="JQD59" s="46"/>
      <c r="JQE59" s="46"/>
      <c r="JQF59" s="46"/>
      <c r="JQG59" s="46"/>
      <c r="JQH59" s="46"/>
      <c r="JQI59" s="46"/>
      <c r="JQJ59" s="46"/>
      <c r="JQK59" s="46"/>
      <c r="JQL59" s="46"/>
      <c r="JQM59" s="46"/>
      <c r="JQN59" s="46"/>
      <c r="JQO59" s="46"/>
      <c r="JQP59" s="46"/>
      <c r="JQQ59" s="46"/>
      <c r="JQR59" s="46"/>
      <c r="JQS59" s="46"/>
      <c r="JQT59" s="46"/>
      <c r="JQU59" s="46"/>
      <c r="JQV59" s="46"/>
      <c r="JQW59" s="46"/>
      <c r="JQX59" s="46"/>
      <c r="JQY59" s="46"/>
      <c r="JQZ59" s="46"/>
      <c r="JRA59" s="46"/>
      <c r="JRB59" s="46"/>
      <c r="JRC59" s="46"/>
      <c r="JRD59" s="46"/>
      <c r="JRE59" s="46"/>
      <c r="JRF59" s="46"/>
      <c r="JRG59" s="46"/>
      <c r="JRH59" s="46"/>
      <c r="JRI59" s="46"/>
      <c r="JRJ59" s="46"/>
      <c r="JRK59" s="46"/>
      <c r="JRL59" s="46"/>
      <c r="JRM59" s="46"/>
      <c r="JRN59" s="46"/>
      <c r="JRO59" s="46"/>
      <c r="JRP59" s="46"/>
      <c r="JRQ59" s="46"/>
      <c r="JRR59" s="46"/>
      <c r="JRS59" s="46"/>
      <c r="JRT59" s="46"/>
      <c r="JRU59" s="46"/>
      <c r="JRV59" s="46"/>
      <c r="JRW59" s="46"/>
      <c r="JRX59" s="46"/>
      <c r="JRY59" s="46"/>
      <c r="JRZ59" s="46"/>
      <c r="JSA59" s="46"/>
      <c r="JSB59" s="46"/>
      <c r="JSC59" s="46"/>
      <c r="JSD59" s="46"/>
      <c r="JSE59" s="46"/>
      <c r="JSF59" s="46"/>
      <c r="JSG59" s="46"/>
      <c r="JSH59" s="46"/>
      <c r="JSI59" s="46"/>
      <c r="JSJ59" s="46"/>
      <c r="JSK59" s="46"/>
      <c r="JSL59" s="46"/>
      <c r="JSM59" s="46"/>
      <c r="JSN59" s="46"/>
      <c r="JSO59" s="46"/>
      <c r="JSP59" s="46"/>
      <c r="JSQ59" s="46"/>
      <c r="JSR59" s="46"/>
      <c r="JSS59" s="46"/>
      <c r="JST59" s="46"/>
      <c r="JSU59" s="46"/>
      <c r="JSV59" s="46"/>
      <c r="JSW59" s="46"/>
      <c r="JSX59" s="46"/>
      <c r="JSY59" s="46"/>
      <c r="JSZ59" s="46"/>
      <c r="JTA59" s="46"/>
      <c r="JTB59" s="46"/>
      <c r="JTC59" s="46"/>
      <c r="JTD59" s="46"/>
      <c r="JTE59" s="46"/>
      <c r="JTF59" s="46"/>
      <c r="JTG59" s="46"/>
      <c r="JTH59" s="46"/>
      <c r="JTI59" s="46"/>
      <c r="JTJ59" s="46"/>
      <c r="JTK59" s="46"/>
      <c r="JTL59" s="46"/>
      <c r="JTM59" s="46"/>
      <c r="JTN59" s="46"/>
      <c r="JTO59" s="46"/>
      <c r="JTP59" s="46"/>
      <c r="JTQ59" s="46"/>
      <c r="JTR59" s="46"/>
      <c r="JTS59" s="46"/>
      <c r="JTT59" s="46"/>
      <c r="JTU59" s="46"/>
      <c r="JTV59" s="46"/>
      <c r="JTW59" s="46"/>
      <c r="JTX59" s="46"/>
      <c r="JTY59" s="46"/>
      <c r="JTZ59" s="46"/>
      <c r="JUA59" s="46"/>
      <c r="JUB59" s="46"/>
      <c r="JUC59" s="46"/>
      <c r="JUD59" s="46"/>
      <c r="JUE59" s="46"/>
      <c r="JUF59" s="46"/>
      <c r="JUG59" s="46"/>
      <c r="JUH59" s="46"/>
      <c r="JUI59" s="46"/>
      <c r="JUJ59" s="46"/>
      <c r="JUK59" s="46"/>
      <c r="JUL59" s="46"/>
      <c r="JUM59" s="46"/>
      <c r="JUN59" s="46"/>
      <c r="JUO59" s="46"/>
      <c r="JUP59" s="46"/>
      <c r="JUQ59" s="46"/>
      <c r="JUR59" s="46"/>
      <c r="JUS59" s="46"/>
      <c r="JUT59" s="46"/>
      <c r="JUU59" s="46"/>
      <c r="JUV59" s="46"/>
      <c r="JUW59" s="46"/>
      <c r="JUX59" s="46"/>
      <c r="JUY59" s="46"/>
      <c r="JUZ59" s="46"/>
      <c r="JVA59" s="46"/>
      <c r="JVB59" s="46"/>
      <c r="JVC59" s="46"/>
      <c r="JVD59" s="46"/>
      <c r="JVE59" s="46"/>
      <c r="JVF59" s="46"/>
      <c r="JVG59" s="46"/>
      <c r="JVH59" s="46"/>
      <c r="JVI59" s="46"/>
      <c r="JVJ59" s="46"/>
      <c r="JVK59" s="46"/>
      <c r="JVL59" s="46"/>
      <c r="JVM59" s="46"/>
      <c r="JVN59" s="46"/>
      <c r="JVO59" s="46"/>
      <c r="JVP59" s="46"/>
      <c r="JVQ59" s="46"/>
      <c r="JVR59" s="46"/>
      <c r="JVS59" s="46"/>
      <c r="JVT59" s="46"/>
      <c r="JVU59" s="46"/>
      <c r="JVV59" s="46"/>
      <c r="JVW59" s="46"/>
      <c r="JVX59" s="46"/>
      <c r="JVY59" s="46"/>
      <c r="JVZ59" s="46"/>
      <c r="JWA59" s="46"/>
      <c r="JWB59" s="46"/>
      <c r="JWC59" s="46"/>
      <c r="JWD59" s="46"/>
      <c r="JWE59" s="46"/>
      <c r="JWF59" s="46"/>
      <c r="JWG59" s="46"/>
      <c r="JWH59" s="46"/>
      <c r="JWI59" s="46"/>
      <c r="JWJ59" s="46"/>
      <c r="JWK59" s="46"/>
      <c r="JWL59" s="46"/>
      <c r="JWM59" s="46"/>
      <c r="JWN59" s="46"/>
      <c r="JWO59" s="46"/>
      <c r="JWP59" s="46"/>
      <c r="JWQ59" s="46"/>
      <c r="JWR59" s="46"/>
      <c r="JWS59" s="46"/>
      <c r="JWT59" s="46"/>
      <c r="JWU59" s="46"/>
      <c r="JWV59" s="46"/>
      <c r="JWW59" s="46"/>
      <c r="JWX59" s="46"/>
      <c r="JWY59" s="46"/>
      <c r="JWZ59" s="46"/>
      <c r="JXA59" s="46"/>
      <c r="JXB59" s="46"/>
      <c r="JXC59" s="46"/>
      <c r="JXD59" s="46"/>
      <c r="JXE59" s="46"/>
      <c r="JXF59" s="46"/>
      <c r="JXG59" s="46"/>
      <c r="JXH59" s="46"/>
      <c r="JXI59" s="46"/>
      <c r="JXJ59" s="46"/>
      <c r="JXK59" s="46"/>
      <c r="JXL59" s="46"/>
      <c r="JXM59" s="46"/>
      <c r="JXN59" s="46"/>
      <c r="JXO59" s="46"/>
      <c r="JXP59" s="46"/>
      <c r="JXQ59" s="46"/>
      <c r="JXR59" s="46"/>
      <c r="JXS59" s="46"/>
      <c r="JXT59" s="46"/>
      <c r="JXU59" s="46"/>
      <c r="JXV59" s="46"/>
      <c r="JXW59" s="46"/>
      <c r="JXX59" s="46"/>
      <c r="JXY59" s="46"/>
      <c r="JXZ59" s="46"/>
      <c r="JYA59" s="46"/>
      <c r="JYB59" s="46"/>
      <c r="JYC59" s="46"/>
      <c r="JYD59" s="46"/>
      <c r="JYE59" s="46"/>
      <c r="JYF59" s="46"/>
      <c r="JYG59" s="46"/>
      <c r="JYH59" s="46"/>
      <c r="JYI59" s="46"/>
      <c r="JYJ59" s="46"/>
      <c r="JYK59" s="46"/>
      <c r="JYL59" s="46"/>
      <c r="JYM59" s="46"/>
      <c r="JYN59" s="46"/>
      <c r="JYO59" s="46"/>
      <c r="JYP59" s="46"/>
      <c r="JYQ59" s="46"/>
      <c r="JYR59" s="46"/>
      <c r="JYS59" s="46"/>
      <c r="JYT59" s="46"/>
      <c r="JYU59" s="46"/>
      <c r="JYV59" s="46"/>
      <c r="JYW59" s="46"/>
      <c r="JYX59" s="46"/>
      <c r="JYY59" s="46"/>
      <c r="JYZ59" s="46"/>
      <c r="JZA59" s="46"/>
      <c r="JZB59" s="46"/>
      <c r="JZC59" s="46"/>
      <c r="JZD59" s="46"/>
      <c r="JZE59" s="46"/>
      <c r="JZF59" s="46"/>
      <c r="JZG59" s="46"/>
      <c r="JZH59" s="46"/>
      <c r="JZI59" s="46"/>
      <c r="JZJ59" s="46"/>
      <c r="JZK59" s="46"/>
      <c r="JZL59" s="46"/>
      <c r="JZM59" s="46"/>
      <c r="JZN59" s="46"/>
      <c r="JZO59" s="46"/>
      <c r="JZP59" s="46"/>
      <c r="JZQ59" s="46"/>
      <c r="JZR59" s="46"/>
      <c r="JZS59" s="46"/>
      <c r="JZT59" s="46"/>
      <c r="JZU59" s="46"/>
      <c r="JZV59" s="46"/>
      <c r="JZW59" s="46"/>
      <c r="JZX59" s="46"/>
      <c r="JZY59" s="46"/>
      <c r="JZZ59" s="46"/>
      <c r="KAA59" s="46"/>
      <c r="KAB59" s="46"/>
      <c r="KAC59" s="46"/>
      <c r="KAD59" s="46"/>
      <c r="KAE59" s="46"/>
      <c r="KAF59" s="46"/>
      <c r="KAG59" s="46"/>
      <c r="KAH59" s="46"/>
      <c r="KAI59" s="46"/>
      <c r="KAJ59" s="46"/>
      <c r="KAK59" s="46"/>
      <c r="KAL59" s="46"/>
      <c r="KAM59" s="46"/>
      <c r="KAN59" s="46"/>
      <c r="KAO59" s="46"/>
      <c r="KAP59" s="46"/>
      <c r="KAQ59" s="46"/>
      <c r="KAR59" s="46"/>
      <c r="KAS59" s="46"/>
      <c r="KAT59" s="46"/>
      <c r="KAU59" s="46"/>
      <c r="KAV59" s="46"/>
      <c r="KAW59" s="46"/>
      <c r="KAX59" s="46"/>
      <c r="KAY59" s="46"/>
      <c r="KAZ59" s="46"/>
      <c r="KBA59" s="46"/>
      <c r="KBB59" s="46"/>
      <c r="KBC59" s="46"/>
      <c r="KBD59" s="46"/>
      <c r="KBE59" s="46"/>
      <c r="KBF59" s="46"/>
      <c r="KBG59" s="46"/>
      <c r="KBH59" s="46"/>
      <c r="KBI59" s="46"/>
      <c r="KBJ59" s="46"/>
      <c r="KBK59" s="46"/>
      <c r="KBL59" s="46"/>
      <c r="KBM59" s="46"/>
      <c r="KBN59" s="46"/>
      <c r="KBO59" s="46"/>
      <c r="KBP59" s="46"/>
      <c r="KBQ59" s="46"/>
      <c r="KBR59" s="46"/>
      <c r="KBS59" s="46"/>
      <c r="KBT59" s="46"/>
      <c r="KBU59" s="46"/>
      <c r="KBV59" s="46"/>
      <c r="KBW59" s="46"/>
      <c r="KBX59" s="46"/>
      <c r="KBY59" s="46"/>
      <c r="KBZ59" s="46"/>
      <c r="KCA59" s="46"/>
      <c r="KCB59" s="46"/>
      <c r="KCC59" s="46"/>
      <c r="KCD59" s="46"/>
      <c r="KCE59" s="46"/>
      <c r="KCF59" s="46"/>
      <c r="KCG59" s="46"/>
      <c r="KCH59" s="46"/>
      <c r="KCI59" s="46"/>
      <c r="KCJ59" s="46"/>
      <c r="KCK59" s="46"/>
      <c r="KCL59" s="46"/>
      <c r="KCM59" s="46"/>
      <c r="KCN59" s="46"/>
      <c r="KCO59" s="46"/>
      <c r="KCP59" s="46"/>
      <c r="KCQ59" s="46"/>
      <c r="KCR59" s="46"/>
      <c r="KCS59" s="46"/>
      <c r="KCT59" s="46"/>
      <c r="KCU59" s="46"/>
      <c r="KCV59" s="46"/>
      <c r="KCW59" s="46"/>
      <c r="KCX59" s="46"/>
      <c r="KCY59" s="46"/>
      <c r="KCZ59" s="46"/>
      <c r="KDA59" s="46"/>
      <c r="KDB59" s="46"/>
      <c r="KDC59" s="46"/>
      <c r="KDD59" s="46"/>
      <c r="KDE59" s="46"/>
      <c r="KDF59" s="46"/>
      <c r="KDG59" s="46"/>
      <c r="KDH59" s="46"/>
      <c r="KDI59" s="46"/>
      <c r="KDJ59" s="46"/>
      <c r="KDK59" s="46"/>
      <c r="KDL59" s="46"/>
      <c r="KDM59" s="46"/>
      <c r="KDN59" s="46"/>
      <c r="KDO59" s="46"/>
      <c r="KDP59" s="46"/>
      <c r="KDQ59" s="46"/>
      <c r="KDR59" s="46"/>
      <c r="KDS59" s="46"/>
      <c r="KDT59" s="46"/>
      <c r="KDU59" s="46"/>
      <c r="KDV59" s="46"/>
      <c r="KDW59" s="46"/>
      <c r="KDX59" s="46"/>
      <c r="KDY59" s="46"/>
      <c r="KDZ59" s="46"/>
      <c r="KEA59" s="46"/>
      <c r="KEB59" s="46"/>
      <c r="KEC59" s="46"/>
      <c r="KED59" s="46"/>
      <c r="KEE59" s="46"/>
      <c r="KEF59" s="46"/>
      <c r="KEG59" s="46"/>
      <c r="KEH59" s="46"/>
      <c r="KEI59" s="46"/>
      <c r="KEJ59" s="46"/>
      <c r="KEK59" s="46"/>
      <c r="KEL59" s="46"/>
      <c r="KEM59" s="46"/>
      <c r="KEN59" s="46"/>
      <c r="KEO59" s="46"/>
      <c r="KEP59" s="46"/>
      <c r="KEQ59" s="46"/>
      <c r="KER59" s="46"/>
      <c r="KES59" s="46"/>
      <c r="KET59" s="46"/>
      <c r="KEU59" s="46"/>
      <c r="KEV59" s="46"/>
      <c r="KEW59" s="46"/>
      <c r="KEX59" s="46"/>
      <c r="KEY59" s="46"/>
      <c r="KEZ59" s="46"/>
      <c r="KFA59" s="46"/>
      <c r="KFB59" s="46"/>
      <c r="KFC59" s="46"/>
      <c r="KFD59" s="46"/>
      <c r="KFE59" s="46"/>
      <c r="KFF59" s="46"/>
      <c r="KFG59" s="46"/>
      <c r="KFH59" s="46"/>
      <c r="KFI59" s="46"/>
      <c r="KFJ59" s="46"/>
      <c r="KFK59" s="46"/>
      <c r="KFL59" s="46"/>
      <c r="KFM59" s="46"/>
      <c r="KFN59" s="46"/>
      <c r="KFO59" s="46"/>
      <c r="KFP59" s="46"/>
      <c r="KFQ59" s="46"/>
      <c r="KFR59" s="46"/>
      <c r="KFS59" s="46"/>
      <c r="KFT59" s="46"/>
      <c r="KFU59" s="46"/>
      <c r="KFV59" s="46"/>
      <c r="KFW59" s="46"/>
      <c r="KFX59" s="46"/>
      <c r="KFY59" s="46"/>
      <c r="KFZ59" s="46"/>
      <c r="KGA59" s="46"/>
      <c r="KGB59" s="46"/>
      <c r="KGC59" s="46"/>
      <c r="KGD59" s="46"/>
      <c r="KGE59" s="46"/>
      <c r="KGF59" s="46"/>
      <c r="KGG59" s="46"/>
      <c r="KGH59" s="46"/>
      <c r="KGI59" s="46"/>
      <c r="KGJ59" s="46"/>
      <c r="KGK59" s="46"/>
      <c r="KGL59" s="46"/>
      <c r="KGM59" s="46"/>
      <c r="KGN59" s="46"/>
      <c r="KGO59" s="46"/>
      <c r="KGP59" s="46"/>
      <c r="KGQ59" s="46"/>
      <c r="KGR59" s="46"/>
      <c r="KGS59" s="46"/>
      <c r="KGT59" s="46"/>
      <c r="KGU59" s="46"/>
      <c r="KGV59" s="46"/>
      <c r="KGW59" s="46"/>
      <c r="KGX59" s="46"/>
      <c r="KGY59" s="46"/>
      <c r="KGZ59" s="46"/>
      <c r="KHA59" s="46"/>
      <c r="KHB59" s="46"/>
      <c r="KHC59" s="46"/>
      <c r="KHD59" s="46"/>
      <c r="KHE59" s="46"/>
      <c r="KHF59" s="46"/>
      <c r="KHG59" s="46"/>
      <c r="KHH59" s="46"/>
      <c r="KHI59" s="46"/>
      <c r="KHJ59" s="46"/>
      <c r="KHK59" s="46"/>
      <c r="KHL59" s="46"/>
      <c r="KHM59" s="46"/>
      <c r="KHN59" s="46"/>
      <c r="KHO59" s="46"/>
      <c r="KHP59" s="46"/>
      <c r="KHQ59" s="46"/>
      <c r="KHR59" s="46"/>
      <c r="KHS59" s="46"/>
      <c r="KHT59" s="46"/>
      <c r="KHU59" s="46"/>
      <c r="KHV59" s="46"/>
      <c r="KHW59" s="46"/>
      <c r="KHX59" s="46"/>
      <c r="KHY59" s="46"/>
      <c r="KHZ59" s="46"/>
      <c r="KIA59" s="46"/>
      <c r="KIB59" s="46"/>
      <c r="KIC59" s="46"/>
      <c r="KID59" s="46"/>
      <c r="KIE59" s="46"/>
      <c r="KIF59" s="46"/>
      <c r="KIG59" s="46"/>
      <c r="KIH59" s="46"/>
      <c r="KII59" s="46"/>
      <c r="KIJ59" s="46"/>
      <c r="KIK59" s="46"/>
      <c r="KIL59" s="46"/>
      <c r="KIM59" s="46"/>
      <c r="KIN59" s="46"/>
      <c r="KIO59" s="46"/>
      <c r="KIP59" s="46"/>
      <c r="KIQ59" s="46"/>
      <c r="KIR59" s="46"/>
      <c r="KIS59" s="46"/>
      <c r="KIT59" s="46"/>
      <c r="KIU59" s="46"/>
      <c r="KIV59" s="46"/>
      <c r="KIW59" s="46"/>
      <c r="KIX59" s="46"/>
      <c r="KIY59" s="46"/>
      <c r="KIZ59" s="46"/>
      <c r="KJA59" s="46"/>
      <c r="KJB59" s="46"/>
      <c r="KJC59" s="46"/>
      <c r="KJD59" s="46"/>
      <c r="KJE59" s="46"/>
      <c r="KJF59" s="46"/>
      <c r="KJG59" s="46"/>
      <c r="KJH59" s="46"/>
      <c r="KJI59" s="46"/>
      <c r="KJJ59" s="46"/>
      <c r="KJK59" s="46"/>
      <c r="KJL59" s="46"/>
      <c r="KJM59" s="46"/>
      <c r="KJN59" s="46"/>
      <c r="KJO59" s="46"/>
      <c r="KJP59" s="46"/>
      <c r="KJQ59" s="46"/>
      <c r="KJR59" s="46"/>
      <c r="KJS59" s="46"/>
      <c r="KJT59" s="46"/>
      <c r="KJU59" s="46"/>
      <c r="KJV59" s="46"/>
      <c r="KJW59" s="46"/>
      <c r="KJX59" s="46"/>
      <c r="KJY59" s="46"/>
      <c r="KJZ59" s="46"/>
      <c r="KKA59" s="46"/>
      <c r="KKB59" s="46"/>
      <c r="KKC59" s="46"/>
      <c r="KKD59" s="46"/>
      <c r="KKE59" s="46"/>
      <c r="KKF59" s="46"/>
      <c r="KKG59" s="46"/>
      <c r="KKH59" s="46"/>
      <c r="KKI59" s="46"/>
      <c r="KKJ59" s="46"/>
      <c r="KKK59" s="46"/>
      <c r="KKL59" s="46"/>
      <c r="KKM59" s="46"/>
      <c r="KKN59" s="46"/>
      <c r="KKO59" s="46"/>
      <c r="KKP59" s="46"/>
      <c r="KKQ59" s="46"/>
      <c r="KKR59" s="46"/>
      <c r="KKS59" s="46"/>
      <c r="KKT59" s="46"/>
      <c r="KKU59" s="46"/>
      <c r="KKV59" s="46"/>
      <c r="KKW59" s="46"/>
      <c r="KKX59" s="46"/>
      <c r="KKY59" s="46"/>
      <c r="KKZ59" s="46"/>
      <c r="KLA59" s="46"/>
      <c r="KLB59" s="46"/>
      <c r="KLC59" s="46"/>
      <c r="KLD59" s="46"/>
      <c r="KLE59" s="46"/>
      <c r="KLF59" s="46"/>
      <c r="KLG59" s="46"/>
      <c r="KLH59" s="46"/>
      <c r="KLI59" s="46"/>
      <c r="KLJ59" s="46"/>
      <c r="KLK59" s="46"/>
      <c r="KLL59" s="46"/>
      <c r="KLM59" s="46"/>
      <c r="KLN59" s="46"/>
      <c r="KLO59" s="46"/>
      <c r="KLP59" s="46"/>
      <c r="KLQ59" s="46"/>
      <c r="KLR59" s="46"/>
      <c r="KLS59" s="46"/>
      <c r="KLT59" s="46"/>
      <c r="KLU59" s="46"/>
      <c r="KLV59" s="46"/>
      <c r="KLW59" s="46"/>
      <c r="KLX59" s="46"/>
      <c r="KLY59" s="46"/>
      <c r="KLZ59" s="46"/>
      <c r="KMA59" s="46"/>
      <c r="KMB59" s="46"/>
      <c r="KMC59" s="46"/>
      <c r="KMD59" s="46"/>
      <c r="KME59" s="46"/>
      <c r="KMF59" s="46"/>
      <c r="KMG59" s="46"/>
      <c r="KMH59" s="46"/>
      <c r="KMI59" s="46"/>
      <c r="KMJ59" s="46"/>
      <c r="KMK59" s="46"/>
      <c r="KML59" s="46"/>
      <c r="KMM59" s="46"/>
      <c r="KMN59" s="46"/>
      <c r="KMO59" s="46"/>
      <c r="KMP59" s="46"/>
      <c r="KMQ59" s="46"/>
      <c r="KMR59" s="46"/>
      <c r="KMS59" s="46"/>
      <c r="KMT59" s="46"/>
      <c r="KMU59" s="46"/>
      <c r="KMV59" s="46"/>
      <c r="KMW59" s="46"/>
      <c r="KMX59" s="46"/>
      <c r="KMY59" s="46"/>
      <c r="KMZ59" s="46"/>
      <c r="KNA59" s="46"/>
      <c r="KNB59" s="46"/>
      <c r="KNC59" s="46"/>
      <c r="KND59" s="46"/>
      <c r="KNE59" s="46"/>
      <c r="KNF59" s="46"/>
      <c r="KNG59" s="46"/>
      <c r="KNH59" s="46"/>
      <c r="KNI59" s="46"/>
      <c r="KNJ59" s="46"/>
      <c r="KNK59" s="46"/>
      <c r="KNL59" s="46"/>
      <c r="KNM59" s="46"/>
      <c r="KNN59" s="46"/>
      <c r="KNO59" s="46"/>
      <c r="KNP59" s="46"/>
      <c r="KNQ59" s="46"/>
      <c r="KNR59" s="46"/>
      <c r="KNS59" s="46"/>
      <c r="KNT59" s="46"/>
      <c r="KNU59" s="46"/>
      <c r="KNV59" s="46"/>
      <c r="KNW59" s="46"/>
      <c r="KNX59" s="46"/>
      <c r="KNY59" s="46"/>
      <c r="KNZ59" s="46"/>
      <c r="KOA59" s="46"/>
      <c r="KOB59" s="46"/>
      <c r="KOC59" s="46"/>
      <c r="KOD59" s="46"/>
      <c r="KOE59" s="46"/>
      <c r="KOF59" s="46"/>
      <c r="KOG59" s="46"/>
      <c r="KOH59" s="46"/>
      <c r="KOI59" s="46"/>
      <c r="KOJ59" s="46"/>
      <c r="KOK59" s="46"/>
      <c r="KOL59" s="46"/>
      <c r="KOM59" s="46"/>
      <c r="KON59" s="46"/>
      <c r="KOO59" s="46"/>
      <c r="KOP59" s="46"/>
      <c r="KOQ59" s="46"/>
      <c r="KOR59" s="46"/>
      <c r="KOS59" s="46"/>
      <c r="KOT59" s="46"/>
      <c r="KOU59" s="46"/>
      <c r="KOV59" s="46"/>
      <c r="KOW59" s="46"/>
      <c r="KOX59" s="46"/>
      <c r="KOY59" s="46"/>
      <c r="KOZ59" s="46"/>
      <c r="KPA59" s="46"/>
      <c r="KPB59" s="46"/>
      <c r="KPC59" s="46"/>
      <c r="KPD59" s="46"/>
      <c r="KPE59" s="46"/>
      <c r="KPF59" s="46"/>
      <c r="KPG59" s="46"/>
      <c r="KPH59" s="46"/>
      <c r="KPI59" s="46"/>
      <c r="KPJ59" s="46"/>
      <c r="KPK59" s="46"/>
      <c r="KPL59" s="46"/>
      <c r="KPM59" s="46"/>
      <c r="KPN59" s="46"/>
      <c r="KPO59" s="46"/>
      <c r="KPP59" s="46"/>
      <c r="KPQ59" s="46"/>
      <c r="KPR59" s="46"/>
      <c r="KPS59" s="46"/>
      <c r="KPT59" s="46"/>
      <c r="KPU59" s="46"/>
      <c r="KPV59" s="46"/>
      <c r="KPW59" s="46"/>
      <c r="KPX59" s="46"/>
      <c r="KPY59" s="46"/>
      <c r="KPZ59" s="46"/>
      <c r="KQA59" s="46"/>
      <c r="KQB59" s="46"/>
      <c r="KQC59" s="46"/>
      <c r="KQD59" s="46"/>
      <c r="KQE59" s="46"/>
      <c r="KQF59" s="46"/>
      <c r="KQG59" s="46"/>
      <c r="KQH59" s="46"/>
      <c r="KQI59" s="46"/>
      <c r="KQJ59" s="46"/>
      <c r="KQK59" s="46"/>
      <c r="KQL59" s="46"/>
      <c r="KQM59" s="46"/>
      <c r="KQN59" s="46"/>
      <c r="KQO59" s="46"/>
      <c r="KQP59" s="46"/>
      <c r="KQQ59" s="46"/>
      <c r="KQR59" s="46"/>
      <c r="KQS59" s="46"/>
      <c r="KQT59" s="46"/>
      <c r="KQU59" s="46"/>
      <c r="KQV59" s="46"/>
      <c r="KQW59" s="46"/>
      <c r="KQX59" s="46"/>
      <c r="KQY59" s="46"/>
      <c r="KQZ59" s="46"/>
      <c r="KRA59" s="46"/>
      <c r="KRB59" s="46"/>
      <c r="KRC59" s="46"/>
      <c r="KRD59" s="46"/>
      <c r="KRE59" s="46"/>
      <c r="KRF59" s="46"/>
      <c r="KRG59" s="46"/>
      <c r="KRH59" s="46"/>
      <c r="KRI59" s="46"/>
      <c r="KRJ59" s="46"/>
      <c r="KRK59" s="46"/>
      <c r="KRL59" s="46"/>
      <c r="KRM59" s="46"/>
      <c r="KRN59" s="46"/>
      <c r="KRO59" s="46"/>
      <c r="KRP59" s="46"/>
      <c r="KRQ59" s="46"/>
      <c r="KRR59" s="46"/>
      <c r="KRS59" s="46"/>
      <c r="KRT59" s="46"/>
      <c r="KRU59" s="46"/>
      <c r="KRV59" s="46"/>
      <c r="KRW59" s="46"/>
      <c r="KRX59" s="46"/>
      <c r="KRY59" s="46"/>
      <c r="KRZ59" s="46"/>
      <c r="KSA59" s="46"/>
      <c r="KSB59" s="46"/>
      <c r="KSC59" s="46"/>
      <c r="KSD59" s="46"/>
      <c r="KSE59" s="46"/>
      <c r="KSF59" s="46"/>
      <c r="KSG59" s="46"/>
      <c r="KSH59" s="46"/>
      <c r="KSI59" s="46"/>
      <c r="KSJ59" s="46"/>
      <c r="KSK59" s="46"/>
      <c r="KSL59" s="46"/>
      <c r="KSM59" s="46"/>
      <c r="KSN59" s="46"/>
      <c r="KSO59" s="46"/>
      <c r="KSP59" s="46"/>
      <c r="KSQ59" s="46"/>
      <c r="KSR59" s="46"/>
      <c r="KSS59" s="46"/>
      <c r="KST59" s="46"/>
      <c r="KSU59" s="46"/>
      <c r="KSV59" s="46"/>
      <c r="KSW59" s="46"/>
      <c r="KSX59" s="46"/>
      <c r="KSY59" s="46"/>
      <c r="KSZ59" s="46"/>
      <c r="KTA59" s="46"/>
      <c r="KTB59" s="46"/>
      <c r="KTC59" s="46"/>
      <c r="KTD59" s="46"/>
      <c r="KTE59" s="46"/>
      <c r="KTF59" s="46"/>
      <c r="KTG59" s="46"/>
      <c r="KTH59" s="46"/>
      <c r="KTI59" s="46"/>
      <c r="KTJ59" s="46"/>
      <c r="KTK59" s="46"/>
      <c r="KTL59" s="46"/>
      <c r="KTM59" s="46"/>
      <c r="KTN59" s="46"/>
      <c r="KTO59" s="46"/>
      <c r="KTP59" s="46"/>
      <c r="KTQ59" s="46"/>
      <c r="KTR59" s="46"/>
      <c r="KTS59" s="46"/>
      <c r="KTT59" s="46"/>
      <c r="KTU59" s="46"/>
      <c r="KTV59" s="46"/>
      <c r="KTW59" s="46"/>
      <c r="KTX59" s="46"/>
      <c r="KTY59" s="46"/>
      <c r="KTZ59" s="46"/>
      <c r="KUA59" s="46"/>
      <c r="KUB59" s="46"/>
      <c r="KUC59" s="46"/>
      <c r="KUD59" s="46"/>
      <c r="KUE59" s="46"/>
      <c r="KUF59" s="46"/>
      <c r="KUG59" s="46"/>
      <c r="KUH59" s="46"/>
      <c r="KUI59" s="46"/>
      <c r="KUJ59" s="46"/>
      <c r="KUK59" s="46"/>
      <c r="KUL59" s="46"/>
      <c r="KUM59" s="46"/>
      <c r="KUN59" s="46"/>
      <c r="KUO59" s="46"/>
      <c r="KUP59" s="46"/>
      <c r="KUQ59" s="46"/>
      <c r="KUR59" s="46"/>
      <c r="KUS59" s="46"/>
      <c r="KUT59" s="46"/>
      <c r="KUU59" s="46"/>
      <c r="KUV59" s="46"/>
      <c r="KUW59" s="46"/>
      <c r="KUX59" s="46"/>
      <c r="KUY59" s="46"/>
      <c r="KUZ59" s="46"/>
      <c r="KVA59" s="46"/>
      <c r="KVB59" s="46"/>
      <c r="KVC59" s="46"/>
      <c r="KVD59" s="46"/>
      <c r="KVE59" s="46"/>
      <c r="KVF59" s="46"/>
      <c r="KVG59" s="46"/>
      <c r="KVH59" s="46"/>
      <c r="KVI59" s="46"/>
      <c r="KVJ59" s="46"/>
      <c r="KVK59" s="46"/>
      <c r="KVL59" s="46"/>
      <c r="KVM59" s="46"/>
      <c r="KVN59" s="46"/>
      <c r="KVO59" s="46"/>
      <c r="KVP59" s="46"/>
      <c r="KVQ59" s="46"/>
      <c r="KVR59" s="46"/>
      <c r="KVS59" s="46"/>
      <c r="KVT59" s="46"/>
      <c r="KVU59" s="46"/>
      <c r="KVV59" s="46"/>
      <c r="KVW59" s="46"/>
      <c r="KVX59" s="46"/>
      <c r="KVY59" s="46"/>
      <c r="KVZ59" s="46"/>
      <c r="KWA59" s="46"/>
      <c r="KWB59" s="46"/>
      <c r="KWC59" s="46"/>
      <c r="KWD59" s="46"/>
      <c r="KWE59" s="46"/>
      <c r="KWF59" s="46"/>
      <c r="KWG59" s="46"/>
      <c r="KWH59" s="46"/>
      <c r="KWI59" s="46"/>
      <c r="KWJ59" s="46"/>
      <c r="KWK59" s="46"/>
      <c r="KWL59" s="46"/>
      <c r="KWM59" s="46"/>
      <c r="KWN59" s="46"/>
      <c r="KWO59" s="46"/>
      <c r="KWP59" s="46"/>
      <c r="KWQ59" s="46"/>
      <c r="KWR59" s="46"/>
      <c r="KWS59" s="46"/>
      <c r="KWT59" s="46"/>
      <c r="KWU59" s="46"/>
      <c r="KWV59" s="46"/>
      <c r="KWW59" s="46"/>
      <c r="KWX59" s="46"/>
      <c r="KWY59" s="46"/>
      <c r="KWZ59" s="46"/>
      <c r="KXA59" s="46"/>
      <c r="KXB59" s="46"/>
      <c r="KXC59" s="46"/>
      <c r="KXD59" s="46"/>
      <c r="KXE59" s="46"/>
      <c r="KXF59" s="46"/>
      <c r="KXG59" s="46"/>
      <c r="KXH59" s="46"/>
      <c r="KXI59" s="46"/>
      <c r="KXJ59" s="46"/>
      <c r="KXK59" s="46"/>
      <c r="KXL59" s="46"/>
      <c r="KXM59" s="46"/>
      <c r="KXN59" s="46"/>
      <c r="KXO59" s="46"/>
      <c r="KXP59" s="46"/>
      <c r="KXQ59" s="46"/>
      <c r="KXR59" s="46"/>
      <c r="KXS59" s="46"/>
      <c r="KXT59" s="46"/>
      <c r="KXU59" s="46"/>
      <c r="KXV59" s="46"/>
      <c r="KXW59" s="46"/>
      <c r="KXX59" s="46"/>
      <c r="KXY59" s="46"/>
      <c r="KXZ59" s="46"/>
      <c r="KYA59" s="46"/>
      <c r="KYB59" s="46"/>
      <c r="KYC59" s="46"/>
      <c r="KYD59" s="46"/>
      <c r="KYE59" s="46"/>
      <c r="KYF59" s="46"/>
      <c r="KYG59" s="46"/>
      <c r="KYH59" s="46"/>
      <c r="KYI59" s="46"/>
      <c r="KYJ59" s="46"/>
      <c r="KYK59" s="46"/>
      <c r="KYL59" s="46"/>
      <c r="KYM59" s="46"/>
      <c r="KYN59" s="46"/>
      <c r="KYO59" s="46"/>
      <c r="KYP59" s="46"/>
      <c r="KYQ59" s="46"/>
      <c r="KYR59" s="46"/>
      <c r="KYS59" s="46"/>
      <c r="KYT59" s="46"/>
      <c r="KYU59" s="46"/>
      <c r="KYV59" s="46"/>
      <c r="KYW59" s="46"/>
      <c r="KYX59" s="46"/>
      <c r="KYY59" s="46"/>
      <c r="KYZ59" s="46"/>
      <c r="KZA59" s="46"/>
      <c r="KZB59" s="46"/>
      <c r="KZC59" s="46"/>
      <c r="KZD59" s="46"/>
      <c r="KZE59" s="46"/>
      <c r="KZF59" s="46"/>
      <c r="KZG59" s="46"/>
      <c r="KZH59" s="46"/>
      <c r="KZI59" s="46"/>
      <c r="KZJ59" s="46"/>
      <c r="KZK59" s="46"/>
      <c r="KZL59" s="46"/>
      <c r="KZM59" s="46"/>
      <c r="KZN59" s="46"/>
      <c r="KZO59" s="46"/>
      <c r="KZP59" s="46"/>
      <c r="KZQ59" s="46"/>
      <c r="KZR59" s="46"/>
      <c r="KZS59" s="46"/>
      <c r="KZT59" s="46"/>
      <c r="KZU59" s="46"/>
      <c r="KZV59" s="46"/>
      <c r="KZW59" s="46"/>
      <c r="KZX59" s="46"/>
      <c r="KZY59" s="46"/>
      <c r="KZZ59" s="46"/>
      <c r="LAA59" s="46"/>
      <c r="LAB59" s="46"/>
      <c r="LAC59" s="46"/>
      <c r="LAD59" s="46"/>
      <c r="LAE59" s="46"/>
      <c r="LAF59" s="46"/>
      <c r="LAG59" s="46"/>
      <c r="LAH59" s="46"/>
      <c r="LAI59" s="46"/>
      <c r="LAJ59" s="46"/>
      <c r="LAK59" s="46"/>
      <c r="LAL59" s="46"/>
      <c r="LAM59" s="46"/>
      <c r="LAN59" s="46"/>
      <c r="LAO59" s="46"/>
      <c r="LAP59" s="46"/>
      <c r="LAQ59" s="46"/>
      <c r="LAR59" s="46"/>
      <c r="LAS59" s="46"/>
      <c r="LAT59" s="46"/>
      <c r="LAU59" s="46"/>
      <c r="LAV59" s="46"/>
      <c r="LAW59" s="46"/>
      <c r="LAX59" s="46"/>
      <c r="LAY59" s="46"/>
      <c r="LAZ59" s="46"/>
      <c r="LBA59" s="46"/>
      <c r="LBB59" s="46"/>
      <c r="LBC59" s="46"/>
      <c r="LBD59" s="46"/>
      <c r="LBE59" s="46"/>
      <c r="LBF59" s="46"/>
      <c r="LBG59" s="46"/>
      <c r="LBH59" s="46"/>
      <c r="LBI59" s="46"/>
      <c r="LBJ59" s="46"/>
      <c r="LBK59" s="46"/>
      <c r="LBL59" s="46"/>
      <c r="LBM59" s="46"/>
      <c r="LBN59" s="46"/>
      <c r="LBO59" s="46"/>
      <c r="LBP59" s="46"/>
      <c r="LBQ59" s="46"/>
      <c r="LBR59" s="46"/>
      <c r="LBS59" s="46"/>
      <c r="LBT59" s="46"/>
      <c r="LBU59" s="46"/>
      <c r="LBV59" s="46"/>
      <c r="LBW59" s="46"/>
      <c r="LBX59" s="46"/>
      <c r="LBY59" s="46"/>
      <c r="LBZ59" s="46"/>
      <c r="LCA59" s="46"/>
      <c r="LCB59" s="46"/>
      <c r="LCC59" s="46"/>
      <c r="LCD59" s="46"/>
      <c r="LCE59" s="46"/>
      <c r="LCF59" s="46"/>
      <c r="LCG59" s="46"/>
      <c r="LCH59" s="46"/>
      <c r="LCI59" s="46"/>
      <c r="LCJ59" s="46"/>
      <c r="LCK59" s="46"/>
      <c r="LCL59" s="46"/>
      <c r="LCM59" s="46"/>
      <c r="LCN59" s="46"/>
      <c r="LCO59" s="46"/>
      <c r="LCP59" s="46"/>
      <c r="LCQ59" s="46"/>
      <c r="LCR59" s="46"/>
      <c r="LCS59" s="46"/>
      <c r="LCT59" s="46"/>
      <c r="LCU59" s="46"/>
      <c r="LCV59" s="46"/>
      <c r="LCW59" s="46"/>
      <c r="LCX59" s="46"/>
      <c r="LCY59" s="46"/>
      <c r="LCZ59" s="46"/>
      <c r="LDA59" s="46"/>
      <c r="LDB59" s="46"/>
      <c r="LDC59" s="46"/>
      <c r="LDD59" s="46"/>
      <c r="LDE59" s="46"/>
      <c r="LDF59" s="46"/>
      <c r="LDG59" s="46"/>
      <c r="LDH59" s="46"/>
      <c r="LDI59" s="46"/>
      <c r="LDJ59" s="46"/>
      <c r="LDK59" s="46"/>
      <c r="LDL59" s="46"/>
      <c r="LDM59" s="46"/>
      <c r="LDN59" s="46"/>
      <c r="LDO59" s="46"/>
      <c r="LDP59" s="46"/>
      <c r="LDQ59" s="46"/>
      <c r="LDR59" s="46"/>
      <c r="LDS59" s="46"/>
      <c r="LDT59" s="46"/>
      <c r="LDU59" s="46"/>
      <c r="LDV59" s="46"/>
      <c r="LDW59" s="46"/>
      <c r="LDX59" s="46"/>
      <c r="LDY59" s="46"/>
      <c r="LDZ59" s="46"/>
      <c r="LEA59" s="46"/>
      <c r="LEB59" s="46"/>
      <c r="LEC59" s="46"/>
      <c r="LED59" s="46"/>
      <c r="LEE59" s="46"/>
      <c r="LEF59" s="46"/>
      <c r="LEG59" s="46"/>
      <c r="LEH59" s="46"/>
      <c r="LEI59" s="46"/>
      <c r="LEJ59" s="46"/>
      <c r="LEK59" s="46"/>
      <c r="LEL59" s="46"/>
      <c r="LEM59" s="46"/>
      <c r="LEN59" s="46"/>
      <c r="LEO59" s="46"/>
      <c r="LEP59" s="46"/>
      <c r="LEQ59" s="46"/>
      <c r="LER59" s="46"/>
      <c r="LES59" s="46"/>
      <c r="LET59" s="46"/>
      <c r="LEU59" s="46"/>
      <c r="LEV59" s="46"/>
      <c r="LEW59" s="46"/>
      <c r="LEX59" s="46"/>
      <c r="LEY59" s="46"/>
      <c r="LEZ59" s="46"/>
      <c r="LFA59" s="46"/>
      <c r="LFB59" s="46"/>
      <c r="LFC59" s="46"/>
      <c r="LFD59" s="46"/>
      <c r="LFE59" s="46"/>
      <c r="LFF59" s="46"/>
      <c r="LFG59" s="46"/>
      <c r="LFH59" s="46"/>
      <c r="LFI59" s="46"/>
      <c r="LFJ59" s="46"/>
      <c r="LFK59" s="46"/>
      <c r="LFL59" s="46"/>
      <c r="LFM59" s="46"/>
      <c r="LFN59" s="46"/>
      <c r="LFO59" s="46"/>
      <c r="LFP59" s="46"/>
      <c r="LFQ59" s="46"/>
      <c r="LFR59" s="46"/>
      <c r="LFS59" s="46"/>
      <c r="LFT59" s="46"/>
      <c r="LFU59" s="46"/>
      <c r="LFV59" s="46"/>
      <c r="LFW59" s="46"/>
      <c r="LFX59" s="46"/>
      <c r="LFY59" s="46"/>
      <c r="LFZ59" s="46"/>
      <c r="LGA59" s="46"/>
      <c r="LGB59" s="46"/>
      <c r="LGC59" s="46"/>
      <c r="LGD59" s="46"/>
      <c r="LGE59" s="46"/>
      <c r="LGF59" s="46"/>
      <c r="LGG59" s="46"/>
      <c r="LGH59" s="46"/>
      <c r="LGI59" s="46"/>
      <c r="LGJ59" s="46"/>
      <c r="LGK59" s="46"/>
      <c r="LGL59" s="46"/>
      <c r="LGM59" s="46"/>
      <c r="LGN59" s="46"/>
      <c r="LGO59" s="46"/>
      <c r="LGP59" s="46"/>
      <c r="LGQ59" s="46"/>
      <c r="LGR59" s="46"/>
      <c r="LGS59" s="46"/>
      <c r="LGT59" s="46"/>
      <c r="LGU59" s="46"/>
      <c r="LGV59" s="46"/>
      <c r="LGW59" s="46"/>
      <c r="LGX59" s="46"/>
      <c r="LGY59" s="46"/>
      <c r="LGZ59" s="46"/>
      <c r="LHA59" s="46"/>
      <c r="LHB59" s="46"/>
      <c r="LHC59" s="46"/>
      <c r="LHD59" s="46"/>
      <c r="LHE59" s="46"/>
      <c r="LHF59" s="46"/>
      <c r="LHG59" s="46"/>
      <c r="LHH59" s="46"/>
      <c r="LHI59" s="46"/>
      <c r="LHJ59" s="46"/>
      <c r="LHK59" s="46"/>
      <c r="LHL59" s="46"/>
      <c r="LHM59" s="46"/>
      <c r="LHN59" s="46"/>
      <c r="LHO59" s="46"/>
      <c r="LHP59" s="46"/>
      <c r="LHQ59" s="46"/>
      <c r="LHR59" s="46"/>
      <c r="LHS59" s="46"/>
      <c r="LHT59" s="46"/>
      <c r="LHU59" s="46"/>
      <c r="LHV59" s="46"/>
      <c r="LHW59" s="46"/>
      <c r="LHX59" s="46"/>
      <c r="LHY59" s="46"/>
      <c r="LHZ59" s="46"/>
      <c r="LIA59" s="46"/>
      <c r="LIB59" s="46"/>
      <c r="LIC59" s="46"/>
      <c r="LID59" s="46"/>
      <c r="LIE59" s="46"/>
      <c r="LIF59" s="46"/>
      <c r="LIG59" s="46"/>
      <c r="LIH59" s="46"/>
      <c r="LII59" s="46"/>
      <c r="LIJ59" s="46"/>
      <c r="LIK59" s="46"/>
      <c r="LIL59" s="46"/>
      <c r="LIM59" s="46"/>
      <c r="LIN59" s="46"/>
      <c r="LIO59" s="46"/>
      <c r="LIP59" s="46"/>
      <c r="LIQ59" s="46"/>
      <c r="LIR59" s="46"/>
      <c r="LIS59" s="46"/>
      <c r="LIT59" s="46"/>
      <c r="LIU59" s="46"/>
      <c r="LIV59" s="46"/>
      <c r="LIW59" s="46"/>
      <c r="LIX59" s="46"/>
      <c r="LIY59" s="46"/>
      <c r="LIZ59" s="46"/>
      <c r="LJA59" s="46"/>
      <c r="LJB59" s="46"/>
      <c r="LJC59" s="46"/>
      <c r="LJD59" s="46"/>
      <c r="LJE59" s="46"/>
      <c r="LJF59" s="46"/>
      <c r="LJG59" s="46"/>
      <c r="LJH59" s="46"/>
      <c r="LJI59" s="46"/>
      <c r="LJJ59" s="46"/>
      <c r="LJK59" s="46"/>
      <c r="LJL59" s="46"/>
      <c r="LJM59" s="46"/>
      <c r="LJN59" s="46"/>
      <c r="LJO59" s="46"/>
      <c r="LJP59" s="46"/>
      <c r="LJQ59" s="46"/>
      <c r="LJR59" s="46"/>
      <c r="LJS59" s="46"/>
      <c r="LJT59" s="46"/>
      <c r="LJU59" s="46"/>
      <c r="LJV59" s="46"/>
      <c r="LJW59" s="46"/>
      <c r="LJX59" s="46"/>
      <c r="LJY59" s="46"/>
      <c r="LJZ59" s="46"/>
      <c r="LKA59" s="46"/>
      <c r="LKB59" s="46"/>
      <c r="LKC59" s="46"/>
      <c r="LKD59" s="46"/>
      <c r="LKE59" s="46"/>
      <c r="LKF59" s="46"/>
      <c r="LKG59" s="46"/>
      <c r="LKH59" s="46"/>
      <c r="LKI59" s="46"/>
      <c r="LKJ59" s="46"/>
      <c r="LKK59" s="46"/>
      <c r="LKL59" s="46"/>
      <c r="LKM59" s="46"/>
      <c r="LKN59" s="46"/>
      <c r="LKO59" s="46"/>
      <c r="LKP59" s="46"/>
      <c r="LKQ59" s="46"/>
      <c r="LKR59" s="46"/>
      <c r="LKS59" s="46"/>
      <c r="LKT59" s="46"/>
      <c r="LKU59" s="46"/>
      <c r="LKV59" s="46"/>
      <c r="LKW59" s="46"/>
      <c r="LKX59" s="46"/>
      <c r="LKY59" s="46"/>
      <c r="LKZ59" s="46"/>
      <c r="LLA59" s="46"/>
      <c r="LLB59" s="46"/>
      <c r="LLC59" s="46"/>
      <c r="LLD59" s="46"/>
      <c r="LLE59" s="46"/>
      <c r="LLF59" s="46"/>
      <c r="LLG59" s="46"/>
      <c r="LLH59" s="46"/>
      <c r="LLI59" s="46"/>
      <c r="LLJ59" s="46"/>
      <c r="LLK59" s="46"/>
      <c r="LLL59" s="46"/>
      <c r="LLM59" s="46"/>
      <c r="LLN59" s="46"/>
      <c r="LLO59" s="46"/>
      <c r="LLP59" s="46"/>
      <c r="LLQ59" s="46"/>
      <c r="LLR59" s="46"/>
      <c r="LLS59" s="46"/>
      <c r="LLT59" s="46"/>
      <c r="LLU59" s="46"/>
      <c r="LLV59" s="46"/>
      <c r="LLW59" s="46"/>
      <c r="LLX59" s="46"/>
      <c r="LLY59" s="46"/>
      <c r="LLZ59" s="46"/>
      <c r="LMA59" s="46"/>
      <c r="LMB59" s="46"/>
      <c r="LMC59" s="46"/>
      <c r="LMD59" s="46"/>
      <c r="LME59" s="46"/>
      <c r="LMF59" s="46"/>
      <c r="LMG59" s="46"/>
      <c r="LMH59" s="46"/>
      <c r="LMI59" s="46"/>
      <c r="LMJ59" s="46"/>
      <c r="LMK59" s="46"/>
      <c r="LML59" s="46"/>
      <c r="LMM59" s="46"/>
      <c r="LMN59" s="46"/>
      <c r="LMO59" s="46"/>
      <c r="LMP59" s="46"/>
      <c r="LMQ59" s="46"/>
      <c r="LMR59" s="46"/>
      <c r="LMS59" s="46"/>
      <c r="LMT59" s="46"/>
      <c r="LMU59" s="46"/>
      <c r="LMV59" s="46"/>
      <c r="LMW59" s="46"/>
      <c r="LMX59" s="46"/>
      <c r="LMY59" s="46"/>
      <c r="LMZ59" s="46"/>
      <c r="LNA59" s="46"/>
      <c r="LNB59" s="46"/>
      <c r="LNC59" s="46"/>
      <c r="LND59" s="46"/>
      <c r="LNE59" s="46"/>
      <c r="LNF59" s="46"/>
      <c r="LNG59" s="46"/>
      <c r="LNH59" s="46"/>
      <c r="LNI59" s="46"/>
      <c r="LNJ59" s="46"/>
      <c r="LNK59" s="46"/>
      <c r="LNL59" s="46"/>
      <c r="LNM59" s="46"/>
      <c r="LNN59" s="46"/>
      <c r="LNO59" s="46"/>
      <c r="LNP59" s="46"/>
      <c r="LNQ59" s="46"/>
      <c r="LNR59" s="46"/>
      <c r="LNS59" s="46"/>
      <c r="LNT59" s="46"/>
      <c r="LNU59" s="46"/>
      <c r="LNV59" s="46"/>
      <c r="LNW59" s="46"/>
      <c r="LNX59" s="46"/>
      <c r="LNY59" s="46"/>
      <c r="LNZ59" s="46"/>
      <c r="LOA59" s="46"/>
      <c r="LOB59" s="46"/>
      <c r="LOC59" s="46"/>
      <c r="LOD59" s="46"/>
      <c r="LOE59" s="46"/>
      <c r="LOF59" s="46"/>
      <c r="LOG59" s="46"/>
      <c r="LOH59" s="46"/>
      <c r="LOI59" s="46"/>
      <c r="LOJ59" s="46"/>
      <c r="LOK59" s="46"/>
      <c r="LOL59" s="46"/>
      <c r="LOM59" s="46"/>
      <c r="LON59" s="46"/>
      <c r="LOO59" s="46"/>
      <c r="LOP59" s="46"/>
      <c r="LOQ59" s="46"/>
      <c r="LOR59" s="46"/>
      <c r="LOS59" s="46"/>
      <c r="LOT59" s="46"/>
      <c r="LOU59" s="46"/>
      <c r="LOV59" s="46"/>
      <c r="LOW59" s="46"/>
      <c r="LOX59" s="46"/>
      <c r="LOY59" s="46"/>
      <c r="LOZ59" s="46"/>
      <c r="LPA59" s="46"/>
      <c r="LPB59" s="46"/>
      <c r="LPC59" s="46"/>
      <c r="LPD59" s="46"/>
      <c r="LPE59" s="46"/>
      <c r="LPF59" s="46"/>
      <c r="LPG59" s="46"/>
      <c r="LPH59" s="46"/>
      <c r="LPI59" s="46"/>
      <c r="LPJ59" s="46"/>
      <c r="LPK59" s="46"/>
      <c r="LPL59" s="46"/>
      <c r="LPM59" s="46"/>
      <c r="LPN59" s="46"/>
      <c r="LPO59" s="46"/>
      <c r="LPP59" s="46"/>
      <c r="LPQ59" s="46"/>
      <c r="LPR59" s="46"/>
      <c r="LPS59" s="46"/>
      <c r="LPT59" s="46"/>
      <c r="LPU59" s="46"/>
      <c r="LPV59" s="46"/>
      <c r="LPW59" s="46"/>
      <c r="LPX59" s="46"/>
      <c r="LPY59" s="46"/>
      <c r="LPZ59" s="46"/>
      <c r="LQA59" s="46"/>
      <c r="LQB59" s="46"/>
      <c r="LQC59" s="46"/>
      <c r="LQD59" s="46"/>
      <c r="LQE59" s="46"/>
      <c r="LQF59" s="46"/>
      <c r="LQG59" s="46"/>
      <c r="LQH59" s="46"/>
      <c r="LQI59" s="46"/>
      <c r="LQJ59" s="46"/>
      <c r="LQK59" s="46"/>
      <c r="LQL59" s="46"/>
      <c r="LQM59" s="46"/>
      <c r="LQN59" s="46"/>
      <c r="LQO59" s="46"/>
      <c r="LQP59" s="46"/>
      <c r="LQQ59" s="46"/>
      <c r="LQR59" s="46"/>
      <c r="LQS59" s="46"/>
      <c r="LQT59" s="46"/>
      <c r="LQU59" s="46"/>
      <c r="LQV59" s="46"/>
      <c r="LQW59" s="46"/>
      <c r="LQX59" s="46"/>
      <c r="LQY59" s="46"/>
      <c r="LQZ59" s="46"/>
      <c r="LRA59" s="46"/>
      <c r="LRB59" s="46"/>
      <c r="LRC59" s="46"/>
      <c r="LRD59" s="46"/>
      <c r="LRE59" s="46"/>
      <c r="LRF59" s="46"/>
      <c r="LRG59" s="46"/>
      <c r="LRH59" s="46"/>
      <c r="LRI59" s="46"/>
      <c r="LRJ59" s="46"/>
      <c r="LRK59" s="46"/>
      <c r="LRL59" s="46"/>
      <c r="LRM59" s="46"/>
      <c r="LRN59" s="46"/>
      <c r="LRO59" s="46"/>
      <c r="LRP59" s="46"/>
      <c r="LRQ59" s="46"/>
      <c r="LRR59" s="46"/>
      <c r="LRS59" s="46"/>
      <c r="LRT59" s="46"/>
      <c r="LRU59" s="46"/>
      <c r="LRV59" s="46"/>
      <c r="LRW59" s="46"/>
      <c r="LRX59" s="46"/>
      <c r="LRY59" s="46"/>
      <c r="LRZ59" s="46"/>
      <c r="LSA59" s="46"/>
      <c r="LSB59" s="46"/>
      <c r="LSC59" s="46"/>
      <c r="LSD59" s="46"/>
      <c r="LSE59" s="46"/>
      <c r="LSF59" s="46"/>
      <c r="LSG59" s="46"/>
      <c r="LSH59" s="46"/>
      <c r="LSI59" s="46"/>
      <c r="LSJ59" s="46"/>
      <c r="LSK59" s="46"/>
      <c r="LSL59" s="46"/>
      <c r="LSM59" s="46"/>
      <c r="LSN59" s="46"/>
      <c r="LSO59" s="46"/>
      <c r="LSP59" s="46"/>
      <c r="LSQ59" s="46"/>
      <c r="LSR59" s="46"/>
      <c r="LSS59" s="46"/>
      <c r="LST59" s="46"/>
      <c r="LSU59" s="46"/>
      <c r="LSV59" s="46"/>
      <c r="LSW59" s="46"/>
      <c r="LSX59" s="46"/>
      <c r="LSY59" s="46"/>
      <c r="LSZ59" s="46"/>
      <c r="LTA59" s="46"/>
      <c r="LTB59" s="46"/>
      <c r="LTC59" s="46"/>
      <c r="LTD59" s="46"/>
      <c r="LTE59" s="46"/>
      <c r="LTF59" s="46"/>
      <c r="LTG59" s="46"/>
      <c r="LTH59" s="46"/>
      <c r="LTI59" s="46"/>
      <c r="LTJ59" s="46"/>
      <c r="LTK59" s="46"/>
      <c r="LTL59" s="46"/>
      <c r="LTM59" s="46"/>
      <c r="LTN59" s="46"/>
      <c r="LTO59" s="46"/>
      <c r="LTP59" s="46"/>
      <c r="LTQ59" s="46"/>
      <c r="LTR59" s="46"/>
      <c r="LTS59" s="46"/>
      <c r="LTT59" s="46"/>
      <c r="LTU59" s="46"/>
      <c r="LTV59" s="46"/>
      <c r="LTW59" s="46"/>
      <c r="LTX59" s="46"/>
      <c r="LTY59" s="46"/>
      <c r="LTZ59" s="46"/>
      <c r="LUA59" s="46"/>
      <c r="LUB59" s="46"/>
      <c r="LUC59" s="46"/>
      <c r="LUD59" s="46"/>
      <c r="LUE59" s="46"/>
      <c r="LUF59" s="46"/>
      <c r="LUG59" s="46"/>
      <c r="LUH59" s="46"/>
      <c r="LUI59" s="46"/>
      <c r="LUJ59" s="46"/>
      <c r="LUK59" s="46"/>
      <c r="LUL59" s="46"/>
      <c r="LUM59" s="46"/>
      <c r="LUN59" s="46"/>
      <c r="LUO59" s="46"/>
      <c r="LUP59" s="46"/>
      <c r="LUQ59" s="46"/>
      <c r="LUR59" s="46"/>
      <c r="LUS59" s="46"/>
      <c r="LUT59" s="46"/>
      <c r="LUU59" s="46"/>
      <c r="LUV59" s="46"/>
      <c r="LUW59" s="46"/>
      <c r="LUX59" s="46"/>
      <c r="LUY59" s="46"/>
      <c r="LUZ59" s="46"/>
      <c r="LVA59" s="46"/>
      <c r="LVB59" s="46"/>
      <c r="LVC59" s="46"/>
      <c r="LVD59" s="46"/>
      <c r="LVE59" s="46"/>
      <c r="LVF59" s="46"/>
      <c r="LVG59" s="46"/>
      <c r="LVH59" s="46"/>
      <c r="LVI59" s="46"/>
      <c r="LVJ59" s="46"/>
      <c r="LVK59" s="46"/>
      <c r="LVL59" s="46"/>
      <c r="LVM59" s="46"/>
      <c r="LVN59" s="46"/>
      <c r="LVO59" s="46"/>
      <c r="LVP59" s="46"/>
      <c r="LVQ59" s="46"/>
      <c r="LVR59" s="46"/>
      <c r="LVS59" s="46"/>
      <c r="LVT59" s="46"/>
      <c r="LVU59" s="46"/>
      <c r="LVV59" s="46"/>
      <c r="LVW59" s="46"/>
      <c r="LVX59" s="46"/>
      <c r="LVY59" s="46"/>
      <c r="LVZ59" s="46"/>
      <c r="LWA59" s="46"/>
      <c r="LWB59" s="46"/>
      <c r="LWC59" s="46"/>
      <c r="LWD59" s="46"/>
      <c r="LWE59" s="46"/>
      <c r="LWF59" s="46"/>
      <c r="LWG59" s="46"/>
      <c r="LWH59" s="46"/>
      <c r="LWI59" s="46"/>
      <c r="LWJ59" s="46"/>
      <c r="LWK59" s="46"/>
      <c r="LWL59" s="46"/>
      <c r="LWM59" s="46"/>
      <c r="LWN59" s="46"/>
      <c r="LWO59" s="46"/>
      <c r="LWP59" s="46"/>
      <c r="LWQ59" s="46"/>
      <c r="LWR59" s="46"/>
      <c r="LWS59" s="46"/>
      <c r="LWT59" s="46"/>
      <c r="LWU59" s="46"/>
      <c r="LWV59" s="46"/>
      <c r="LWW59" s="46"/>
      <c r="LWX59" s="46"/>
      <c r="LWY59" s="46"/>
      <c r="LWZ59" s="46"/>
      <c r="LXA59" s="46"/>
      <c r="LXB59" s="46"/>
      <c r="LXC59" s="46"/>
      <c r="LXD59" s="46"/>
      <c r="LXE59" s="46"/>
      <c r="LXF59" s="46"/>
      <c r="LXG59" s="46"/>
      <c r="LXH59" s="46"/>
      <c r="LXI59" s="46"/>
      <c r="LXJ59" s="46"/>
      <c r="LXK59" s="46"/>
      <c r="LXL59" s="46"/>
      <c r="LXM59" s="46"/>
      <c r="LXN59" s="46"/>
      <c r="LXO59" s="46"/>
      <c r="LXP59" s="46"/>
      <c r="LXQ59" s="46"/>
      <c r="LXR59" s="46"/>
      <c r="LXS59" s="46"/>
      <c r="LXT59" s="46"/>
      <c r="LXU59" s="46"/>
      <c r="LXV59" s="46"/>
      <c r="LXW59" s="46"/>
      <c r="LXX59" s="46"/>
      <c r="LXY59" s="46"/>
      <c r="LXZ59" s="46"/>
      <c r="LYA59" s="46"/>
      <c r="LYB59" s="46"/>
      <c r="LYC59" s="46"/>
      <c r="LYD59" s="46"/>
      <c r="LYE59" s="46"/>
      <c r="LYF59" s="46"/>
      <c r="LYG59" s="46"/>
      <c r="LYH59" s="46"/>
      <c r="LYI59" s="46"/>
      <c r="LYJ59" s="46"/>
      <c r="LYK59" s="46"/>
      <c r="LYL59" s="46"/>
      <c r="LYM59" s="46"/>
      <c r="LYN59" s="46"/>
      <c r="LYO59" s="46"/>
      <c r="LYP59" s="46"/>
      <c r="LYQ59" s="46"/>
      <c r="LYR59" s="46"/>
      <c r="LYS59" s="46"/>
      <c r="LYT59" s="46"/>
      <c r="LYU59" s="46"/>
      <c r="LYV59" s="46"/>
      <c r="LYW59" s="46"/>
      <c r="LYX59" s="46"/>
      <c r="LYY59" s="46"/>
      <c r="LYZ59" s="46"/>
      <c r="LZA59" s="46"/>
      <c r="LZB59" s="46"/>
      <c r="LZC59" s="46"/>
      <c r="LZD59" s="46"/>
      <c r="LZE59" s="46"/>
      <c r="LZF59" s="46"/>
      <c r="LZG59" s="46"/>
      <c r="LZH59" s="46"/>
      <c r="LZI59" s="46"/>
      <c r="LZJ59" s="46"/>
      <c r="LZK59" s="46"/>
      <c r="LZL59" s="46"/>
      <c r="LZM59" s="46"/>
      <c r="LZN59" s="46"/>
      <c r="LZO59" s="46"/>
      <c r="LZP59" s="46"/>
      <c r="LZQ59" s="46"/>
      <c r="LZR59" s="46"/>
      <c r="LZS59" s="46"/>
      <c r="LZT59" s="46"/>
      <c r="LZU59" s="46"/>
      <c r="LZV59" s="46"/>
      <c r="LZW59" s="46"/>
      <c r="LZX59" s="46"/>
      <c r="LZY59" s="46"/>
      <c r="LZZ59" s="46"/>
      <c r="MAA59" s="46"/>
      <c r="MAB59" s="46"/>
      <c r="MAC59" s="46"/>
      <c r="MAD59" s="46"/>
      <c r="MAE59" s="46"/>
      <c r="MAF59" s="46"/>
      <c r="MAG59" s="46"/>
      <c r="MAH59" s="46"/>
      <c r="MAI59" s="46"/>
      <c r="MAJ59" s="46"/>
      <c r="MAK59" s="46"/>
      <c r="MAL59" s="46"/>
      <c r="MAM59" s="46"/>
      <c r="MAN59" s="46"/>
      <c r="MAO59" s="46"/>
      <c r="MAP59" s="46"/>
      <c r="MAQ59" s="46"/>
      <c r="MAR59" s="46"/>
      <c r="MAS59" s="46"/>
      <c r="MAT59" s="46"/>
      <c r="MAU59" s="46"/>
      <c r="MAV59" s="46"/>
      <c r="MAW59" s="46"/>
      <c r="MAX59" s="46"/>
      <c r="MAY59" s="46"/>
      <c r="MAZ59" s="46"/>
      <c r="MBA59" s="46"/>
      <c r="MBB59" s="46"/>
      <c r="MBC59" s="46"/>
      <c r="MBD59" s="46"/>
      <c r="MBE59" s="46"/>
      <c r="MBF59" s="46"/>
      <c r="MBG59" s="46"/>
      <c r="MBH59" s="46"/>
      <c r="MBI59" s="46"/>
      <c r="MBJ59" s="46"/>
      <c r="MBK59" s="46"/>
      <c r="MBL59" s="46"/>
      <c r="MBM59" s="46"/>
      <c r="MBN59" s="46"/>
      <c r="MBO59" s="46"/>
      <c r="MBP59" s="46"/>
      <c r="MBQ59" s="46"/>
      <c r="MBR59" s="46"/>
      <c r="MBS59" s="46"/>
      <c r="MBT59" s="46"/>
      <c r="MBU59" s="46"/>
      <c r="MBV59" s="46"/>
      <c r="MBW59" s="46"/>
      <c r="MBX59" s="46"/>
      <c r="MBY59" s="46"/>
      <c r="MBZ59" s="46"/>
      <c r="MCA59" s="46"/>
      <c r="MCB59" s="46"/>
      <c r="MCC59" s="46"/>
      <c r="MCD59" s="46"/>
      <c r="MCE59" s="46"/>
      <c r="MCF59" s="46"/>
      <c r="MCG59" s="46"/>
      <c r="MCH59" s="46"/>
      <c r="MCI59" s="46"/>
      <c r="MCJ59" s="46"/>
      <c r="MCK59" s="46"/>
      <c r="MCL59" s="46"/>
      <c r="MCM59" s="46"/>
      <c r="MCN59" s="46"/>
      <c r="MCO59" s="46"/>
      <c r="MCP59" s="46"/>
      <c r="MCQ59" s="46"/>
      <c r="MCR59" s="46"/>
      <c r="MCS59" s="46"/>
      <c r="MCT59" s="46"/>
      <c r="MCU59" s="46"/>
      <c r="MCV59" s="46"/>
      <c r="MCW59" s="46"/>
      <c r="MCX59" s="46"/>
      <c r="MCY59" s="46"/>
      <c r="MCZ59" s="46"/>
      <c r="MDA59" s="46"/>
      <c r="MDB59" s="46"/>
      <c r="MDC59" s="46"/>
      <c r="MDD59" s="46"/>
      <c r="MDE59" s="46"/>
      <c r="MDF59" s="46"/>
      <c r="MDG59" s="46"/>
      <c r="MDH59" s="46"/>
      <c r="MDI59" s="46"/>
      <c r="MDJ59" s="46"/>
      <c r="MDK59" s="46"/>
      <c r="MDL59" s="46"/>
      <c r="MDM59" s="46"/>
      <c r="MDN59" s="46"/>
      <c r="MDO59" s="46"/>
      <c r="MDP59" s="46"/>
      <c r="MDQ59" s="46"/>
      <c r="MDR59" s="46"/>
      <c r="MDS59" s="46"/>
      <c r="MDT59" s="46"/>
      <c r="MDU59" s="46"/>
      <c r="MDV59" s="46"/>
      <c r="MDW59" s="46"/>
      <c r="MDX59" s="46"/>
      <c r="MDY59" s="46"/>
      <c r="MDZ59" s="46"/>
      <c r="MEA59" s="46"/>
      <c r="MEB59" s="46"/>
      <c r="MEC59" s="46"/>
      <c r="MED59" s="46"/>
      <c r="MEE59" s="46"/>
      <c r="MEF59" s="46"/>
      <c r="MEG59" s="46"/>
      <c r="MEH59" s="46"/>
      <c r="MEI59" s="46"/>
      <c r="MEJ59" s="46"/>
      <c r="MEK59" s="46"/>
      <c r="MEL59" s="46"/>
      <c r="MEM59" s="46"/>
      <c r="MEN59" s="46"/>
      <c r="MEO59" s="46"/>
      <c r="MEP59" s="46"/>
      <c r="MEQ59" s="46"/>
      <c r="MER59" s="46"/>
      <c r="MES59" s="46"/>
      <c r="MET59" s="46"/>
      <c r="MEU59" s="46"/>
      <c r="MEV59" s="46"/>
      <c r="MEW59" s="46"/>
      <c r="MEX59" s="46"/>
      <c r="MEY59" s="46"/>
      <c r="MEZ59" s="46"/>
      <c r="MFA59" s="46"/>
      <c r="MFB59" s="46"/>
      <c r="MFC59" s="46"/>
      <c r="MFD59" s="46"/>
      <c r="MFE59" s="46"/>
      <c r="MFF59" s="46"/>
      <c r="MFG59" s="46"/>
      <c r="MFH59" s="46"/>
      <c r="MFI59" s="46"/>
      <c r="MFJ59" s="46"/>
      <c r="MFK59" s="46"/>
      <c r="MFL59" s="46"/>
      <c r="MFM59" s="46"/>
      <c r="MFN59" s="46"/>
      <c r="MFO59" s="46"/>
      <c r="MFP59" s="46"/>
      <c r="MFQ59" s="46"/>
      <c r="MFR59" s="46"/>
      <c r="MFS59" s="46"/>
      <c r="MFT59" s="46"/>
      <c r="MFU59" s="46"/>
      <c r="MFV59" s="46"/>
      <c r="MFW59" s="46"/>
      <c r="MFX59" s="46"/>
      <c r="MFY59" s="46"/>
      <c r="MFZ59" s="46"/>
      <c r="MGA59" s="46"/>
      <c r="MGB59" s="46"/>
      <c r="MGC59" s="46"/>
      <c r="MGD59" s="46"/>
      <c r="MGE59" s="46"/>
      <c r="MGF59" s="46"/>
      <c r="MGG59" s="46"/>
      <c r="MGH59" s="46"/>
      <c r="MGI59" s="46"/>
      <c r="MGJ59" s="46"/>
      <c r="MGK59" s="46"/>
      <c r="MGL59" s="46"/>
      <c r="MGM59" s="46"/>
      <c r="MGN59" s="46"/>
      <c r="MGO59" s="46"/>
      <c r="MGP59" s="46"/>
      <c r="MGQ59" s="46"/>
      <c r="MGR59" s="46"/>
      <c r="MGS59" s="46"/>
      <c r="MGT59" s="46"/>
      <c r="MGU59" s="46"/>
      <c r="MGV59" s="46"/>
      <c r="MGW59" s="46"/>
      <c r="MGX59" s="46"/>
      <c r="MGY59" s="46"/>
      <c r="MGZ59" s="46"/>
      <c r="MHA59" s="46"/>
      <c r="MHB59" s="46"/>
      <c r="MHC59" s="46"/>
      <c r="MHD59" s="46"/>
      <c r="MHE59" s="46"/>
      <c r="MHF59" s="46"/>
      <c r="MHG59" s="46"/>
      <c r="MHH59" s="46"/>
      <c r="MHI59" s="46"/>
      <c r="MHJ59" s="46"/>
      <c r="MHK59" s="46"/>
      <c r="MHL59" s="46"/>
      <c r="MHM59" s="46"/>
      <c r="MHN59" s="46"/>
      <c r="MHO59" s="46"/>
      <c r="MHP59" s="46"/>
      <c r="MHQ59" s="46"/>
      <c r="MHR59" s="46"/>
      <c r="MHS59" s="46"/>
      <c r="MHT59" s="46"/>
      <c r="MHU59" s="46"/>
      <c r="MHV59" s="46"/>
      <c r="MHW59" s="46"/>
      <c r="MHX59" s="46"/>
      <c r="MHY59" s="46"/>
      <c r="MHZ59" s="46"/>
      <c r="MIA59" s="46"/>
      <c r="MIB59" s="46"/>
      <c r="MIC59" s="46"/>
      <c r="MID59" s="46"/>
      <c r="MIE59" s="46"/>
      <c r="MIF59" s="46"/>
      <c r="MIG59" s="46"/>
      <c r="MIH59" s="46"/>
      <c r="MII59" s="46"/>
      <c r="MIJ59" s="46"/>
      <c r="MIK59" s="46"/>
      <c r="MIL59" s="46"/>
      <c r="MIM59" s="46"/>
      <c r="MIN59" s="46"/>
      <c r="MIO59" s="46"/>
      <c r="MIP59" s="46"/>
      <c r="MIQ59" s="46"/>
      <c r="MIR59" s="46"/>
      <c r="MIS59" s="46"/>
      <c r="MIT59" s="46"/>
      <c r="MIU59" s="46"/>
      <c r="MIV59" s="46"/>
      <c r="MIW59" s="46"/>
      <c r="MIX59" s="46"/>
      <c r="MIY59" s="46"/>
      <c r="MIZ59" s="46"/>
      <c r="MJA59" s="46"/>
      <c r="MJB59" s="46"/>
      <c r="MJC59" s="46"/>
      <c r="MJD59" s="46"/>
      <c r="MJE59" s="46"/>
      <c r="MJF59" s="46"/>
      <c r="MJG59" s="46"/>
      <c r="MJH59" s="46"/>
      <c r="MJI59" s="46"/>
      <c r="MJJ59" s="46"/>
      <c r="MJK59" s="46"/>
      <c r="MJL59" s="46"/>
      <c r="MJM59" s="46"/>
      <c r="MJN59" s="46"/>
      <c r="MJO59" s="46"/>
      <c r="MJP59" s="46"/>
      <c r="MJQ59" s="46"/>
      <c r="MJR59" s="46"/>
      <c r="MJS59" s="46"/>
      <c r="MJT59" s="46"/>
      <c r="MJU59" s="46"/>
      <c r="MJV59" s="46"/>
      <c r="MJW59" s="46"/>
      <c r="MJX59" s="46"/>
      <c r="MJY59" s="46"/>
      <c r="MJZ59" s="46"/>
      <c r="MKA59" s="46"/>
      <c r="MKB59" s="46"/>
      <c r="MKC59" s="46"/>
      <c r="MKD59" s="46"/>
      <c r="MKE59" s="46"/>
      <c r="MKF59" s="46"/>
      <c r="MKG59" s="46"/>
      <c r="MKH59" s="46"/>
      <c r="MKI59" s="46"/>
      <c r="MKJ59" s="46"/>
      <c r="MKK59" s="46"/>
      <c r="MKL59" s="46"/>
      <c r="MKM59" s="46"/>
      <c r="MKN59" s="46"/>
      <c r="MKO59" s="46"/>
      <c r="MKP59" s="46"/>
      <c r="MKQ59" s="46"/>
      <c r="MKR59" s="46"/>
      <c r="MKS59" s="46"/>
      <c r="MKT59" s="46"/>
      <c r="MKU59" s="46"/>
      <c r="MKV59" s="46"/>
      <c r="MKW59" s="46"/>
      <c r="MKX59" s="46"/>
      <c r="MKY59" s="46"/>
      <c r="MKZ59" s="46"/>
      <c r="MLA59" s="46"/>
      <c r="MLB59" s="46"/>
      <c r="MLC59" s="46"/>
      <c r="MLD59" s="46"/>
      <c r="MLE59" s="46"/>
      <c r="MLF59" s="46"/>
      <c r="MLG59" s="46"/>
      <c r="MLH59" s="46"/>
      <c r="MLI59" s="46"/>
      <c r="MLJ59" s="46"/>
      <c r="MLK59" s="46"/>
      <c r="MLL59" s="46"/>
      <c r="MLM59" s="46"/>
      <c r="MLN59" s="46"/>
      <c r="MLO59" s="46"/>
      <c r="MLP59" s="46"/>
      <c r="MLQ59" s="46"/>
      <c r="MLR59" s="46"/>
      <c r="MLS59" s="46"/>
      <c r="MLT59" s="46"/>
      <c r="MLU59" s="46"/>
      <c r="MLV59" s="46"/>
      <c r="MLW59" s="46"/>
      <c r="MLX59" s="46"/>
      <c r="MLY59" s="46"/>
      <c r="MLZ59" s="46"/>
      <c r="MMA59" s="46"/>
      <c r="MMB59" s="46"/>
      <c r="MMC59" s="46"/>
      <c r="MMD59" s="46"/>
      <c r="MME59" s="46"/>
      <c r="MMF59" s="46"/>
      <c r="MMG59" s="46"/>
      <c r="MMH59" s="46"/>
      <c r="MMI59" s="46"/>
      <c r="MMJ59" s="46"/>
      <c r="MMK59" s="46"/>
      <c r="MML59" s="46"/>
      <c r="MMM59" s="46"/>
      <c r="MMN59" s="46"/>
      <c r="MMO59" s="46"/>
      <c r="MMP59" s="46"/>
      <c r="MMQ59" s="46"/>
      <c r="MMR59" s="46"/>
      <c r="MMS59" s="46"/>
      <c r="MMT59" s="46"/>
      <c r="MMU59" s="46"/>
      <c r="MMV59" s="46"/>
      <c r="MMW59" s="46"/>
      <c r="MMX59" s="46"/>
      <c r="MMY59" s="46"/>
      <c r="MMZ59" s="46"/>
      <c r="MNA59" s="46"/>
      <c r="MNB59" s="46"/>
      <c r="MNC59" s="46"/>
      <c r="MND59" s="46"/>
      <c r="MNE59" s="46"/>
      <c r="MNF59" s="46"/>
      <c r="MNG59" s="46"/>
      <c r="MNH59" s="46"/>
      <c r="MNI59" s="46"/>
      <c r="MNJ59" s="46"/>
      <c r="MNK59" s="46"/>
      <c r="MNL59" s="46"/>
      <c r="MNM59" s="46"/>
      <c r="MNN59" s="46"/>
      <c r="MNO59" s="46"/>
      <c r="MNP59" s="46"/>
      <c r="MNQ59" s="46"/>
      <c r="MNR59" s="46"/>
      <c r="MNS59" s="46"/>
      <c r="MNT59" s="46"/>
      <c r="MNU59" s="46"/>
      <c r="MNV59" s="46"/>
      <c r="MNW59" s="46"/>
      <c r="MNX59" s="46"/>
      <c r="MNY59" s="46"/>
      <c r="MNZ59" s="46"/>
      <c r="MOA59" s="46"/>
      <c r="MOB59" s="46"/>
      <c r="MOC59" s="46"/>
      <c r="MOD59" s="46"/>
      <c r="MOE59" s="46"/>
      <c r="MOF59" s="46"/>
      <c r="MOG59" s="46"/>
      <c r="MOH59" s="46"/>
      <c r="MOI59" s="46"/>
      <c r="MOJ59" s="46"/>
      <c r="MOK59" s="46"/>
      <c r="MOL59" s="46"/>
      <c r="MOM59" s="46"/>
      <c r="MON59" s="46"/>
      <c r="MOO59" s="46"/>
      <c r="MOP59" s="46"/>
      <c r="MOQ59" s="46"/>
      <c r="MOR59" s="46"/>
      <c r="MOS59" s="46"/>
      <c r="MOT59" s="46"/>
      <c r="MOU59" s="46"/>
      <c r="MOV59" s="46"/>
      <c r="MOW59" s="46"/>
      <c r="MOX59" s="46"/>
      <c r="MOY59" s="46"/>
      <c r="MOZ59" s="46"/>
      <c r="MPA59" s="46"/>
      <c r="MPB59" s="46"/>
      <c r="MPC59" s="46"/>
      <c r="MPD59" s="46"/>
      <c r="MPE59" s="46"/>
      <c r="MPF59" s="46"/>
      <c r="MPG59" s="46"/>
      <c r="MPH59" s="46"/>
      <c r="MPI59" s="46"/>
      <c r="MPJ59" s="46"/>
      <c r="MPK59" s="46"/>
      <c r="MPL59" s="46"/>
      <c r="MPM59" s="46"/>
      <c r="MPN59" s="46"/>
      <c r="MPO59" s="46"/>
      <c r="MPP59" s="46"/>
      <c r="MPQ59" s="46"/>
      <c r="MPR59" s="46"/>
      <c r="MPS59" s="46"/>
      <c r="MPT59" s="46"/>
      <c r="MPU59" s="46"/>
      <c r="MPV59" s="46"/>
      <c r="MPW59" s="46"/>
      <c r="MPX59" s="46"/>
      <c r="MPY59" s="46"/>
      <c r="MPZ59" s="46"/>
      <c r="MQA59" s="46"/>
      <c r="MQB59" s="46"/>
      <c r="MQC59" s="46"/>
      <c r="MQD59" s="46"/>
      <c r="MQE59" s="46"/>
      <c r="MQF59" s="46"/>
      <c r="MQG59" s="46"/>
      <c r="MQH59" s="46"/>
      <c r="MQI59" s="46"/>
      <c r="MQJ59" s="46"/>
      <c r="MQK59" s="46"/>
      <c r="MQL59" s="46"/>
      <c r="MQM59" s="46"/>
      <c r="MQN59" s="46"/>
      <c r="MQO59" s="46"/>
      <c r="MQP59" s="46"/>
      <c r="MQQ59" s="46"/>
      <c r="MQR59" s="46"/>
      <c r="MQS59" s="46"/>
      <c r="MQT59" s="46"/>
      <c r="MQU59" s="46"/>
      <c r="MQV59" s="46"/>
      <c r="MQW59" s="46"/>
      <c r="MQX59" s="46"/>
      <c r="MQY59" s="46"/>
      <c r="MQZ59" s="46"/>
      <c r="MRA59" s="46"/>
      <c r="MRB59" s="46"/>
      <c r="MRC59" s="46"/>
      <c r="MRD59" s="46"/>
      <c r="MRE59" s="46"/>
      <c r="MRF59" s="46"/>
      <c r="MRG59" s="46"/>
      <c r="MRH59" s="46"/>
      <c r="MRI59" s="46"/>
      <c r="MRJ59" s="46"/>
      <c r="MRK59" s="46"/>
      <c r="MRL59" s="46"/>
      <c r="MRM59" s="46"/>
      <c r="MRN59" s="46"/>
      <c r="MRO59" s="46"/>
      <c r="MRP59" s="46"/>
      <c r="MRQ59" s="46"/>
      <c r="MRR59" s="46"/>
      <c r="MRS59" s="46"/>
      <c r="MRT59" s="46"/>
      <c r="MRU59" s="46"/>
      <c r="MRV59" s="46"/>
      <c r="MRW59" s="46"/>
      <c r="MRX59" s="46"/>
      <c r="MRY59" s="46"/>
      <c r="MRZ59" s="46"/>
      <c r="MSA59" s="46"/>
      <c r="MSB59" s="46"/>
      <c r="MSC59" s="46"/>
      <c r="MSD59" s="46"/>
      <c r="MSE59" s="46"/>
      <c r="MSF59" s="46"/>
      <c r="MSG59" s="46"/>
      <c r="MSH59" s="46"/>
      <c r="MSI59" s="46"/>
      <c r="MSJ59" s="46"/>
      <c r="MSK59" s="46"/>
      <c r="MSL59" s="46"/>
      <c r="MSM59" s="46"/>
      <c r="MSN59" s="46"/>
      <c r="MSO59" s="46"/>
      <c r="MSP59" s="46"/>
      <c r="MSQ59" s="46"/>
      <c r="MSR59" s="46"/>
      <c r="MSS59" s="46"/>
      <c r="MST59" s="46"/>
      <c r="MSU59" s="46"/>
      <c r="MSV59" s="46"/>
      <c r="MSW59" s="46"/>
      <c r="MSX59" s="46"/>
      <c r="MSY59" s="46"/>
      <c r="MSZ59" s="46"/>
      <c r="MTA59" s="46"/>
      <c r="MTB59" s="46"/>
      <c r="MTC59" s="46"/>
      <c r="MTD59" s="46"/>
      <c r="MTE59" s="46"/>
      <c r="MTF59" s="46"/>
      <c r="MTG59" s="46"/>
      <c r="MTH59" s="46"/>
      <c r="MTI59" s="46"/>
      <c r="MTJ59" s="46"/>
      <c r="MTK59" s="46"/>
      <c r="MTL59" s="46"/>
      <c r="MTM59" s="46"/>
      <c r="MTN59" s="46"/>
      <c r="MTO59" s="46"/>
      <c r="MTP59" s="46"/>
      <c r="MTQ59" s="46"/>
      <c r="MTR59" s="46"/>
      <c r="MTS59" s="46"/>
      <c r="MTT59" s="46"/>
      <c r="MTU59" s="46"/>
      <c r="MTV59" s="46"/>
      <c r="MTW59" s="46"/>
      <c r="MTX59" s="46"/>
      <c r="MTY59" s="46"/>
      <c r="MTZ59" s="46"/>
      <c r="MUA59" s="46"/>
      <c r="MUB59" s="46"/>
      <c r="MUC59" s="46"/>
      <c r="MUD59" s="46"/>
      <c r="MUE59" s="46"/>
      <c r="MUF59" s="46"/>
      <c r="MUG59" s="46"/>
      <c r="MUH59" s="46"/>
      <c r="MUI59" s="46"/>
      <c r="MUJ59" s="46"/>
      <c r="MUK59" s="46"/>
      <c r="MUL59" s="46"/>
      <c r="MUM59" s="46"/>
      <c r="MUN59" s="46"/>
      <c r="MUO59" s="46"/>
      <c r="MUP59" s="46"/>
      <c r="MUQ59" s="46"/>
      <c r="MUR59" s="46"/>
      <c r="MUS59" s="46"/>
      <c r="MUT59" s="46"/>
      <c r="MUU59" s="46"/>
      <c r="MUV59" s="46"/>
      <c r="MUW59" s="46"/>
      <c r="MUX59" s="46"/>
      <c r="MUY59" s="46"/>
      <c r="MUZ59" s="46"/>
      <c r="MVA59" s="46"/>
      <c r="MVB59" s="46"/>
      <c r="MVC59" s="46"/>
      <c r="MVD59" s="46"/>
      <c r="MVE59" s="46"/>
      <c r="MVF59" s="46"/>
      <c r="MVG59" s="46"/>
      <c r="MVH59" s="46"/>
      <c r="MVI59" s="46"/>
      <c r="MVJ59" s="46"/>
      <c r="MVK59" s="46"/>
      <c r="MVL59" s="46"/>
      <c r="MVM59" s="46"/>
      <c r="MVN59" s="46"/>
      <c r="MVO59" s="46"/>
      <c r="MVP59" s="46"/>
      <c r="MVQ59" s="46"/>
      <c r="MVR59" s="46"/>
      <c r="MVS59" s="46"/>
      <c r="MVT59" s="46"/>
      <c r="MVU59" s="46"/>
      <c r="MVV59" s="46"/>
      <c r="MVW59" s="46"/>
      <c r="MVX59" s="46"/>
      <c r="MVY59" s="46"/>
      <c r="MVZ59" s="46"/>
      <c r="MWA59" s="46"/>
      <c r="MWB59" s="46"/>
      <c r="MWC59" s="46"/>
      <c r="MWD59" s="46"/>
      <c r="MWE59" s="46"/>
      <c r="MWF59" s="46"/>
      <c r="MWG59" s="46"/>
      <c r="MWH59" s="46"/>
      <c r="MWI59" s="46"/>
      <c r="MWJ59" s="46"/>
      <c r="MWK59" s="46"/>
      <c r="MWL59" s="46"/>
      <c r="MWM59" s="46"/>
      <c r="MWN59" s="46"/>
      <c r="MWO59" s="46"/>
      <c r="MWP59" s="46"/>
      <c r="MWQ59" s="46"/>
      <c r="MWR59" s="46"/>
      <c r="MWS59" s="46"/>
      <c r="MWT59" s="46"/>
      <c r="MWU59" s="46"/>
      <c r="MWV59" s="46"/>
      <c r="MWW59" s="46"/>
      <c r="MWX59" s="46"/>
      <c r="MWY59" s="46"/>
      <c r="MWZ59" s="46"/>
      <c r="MXA59" s="46"/>
      <c r="MXB59" s="46"/>
      <c r="MXC59" s="46"/>
      <c r="MXD59" s="46"/>
      <c r="MXE59" s="46"/>
      <c r="MXF59" s="46"/>
      <c r="MXG59" s="46"/>
      <c r="MXH59" s="46"/>
      <c r="MXI59" s="46"/>
      <c r="MXJ59" s="46"/>
      <c r="MXK59" s="46"/>
      <c r="MXL59" s="46"/>
      <c r="MXM59" s="46"/>
      <c r="MXN59" s="46"/>
      <c r="MXO59" s="46"/>
      <c r="MXP59" s="46"/>
      <c r="MXQ59" s="46"/>
      <c r="MXR59" s="46"/>
      <c r="MXS59" s="46"/>
      <c r="MXT59" s="46"/>
      <c r="MXU59" s="46"/>
      <c r="MXV59" s="46"/>
      <c r="MXW59" s="46"/>
      <c r="MXX59" s="46"/>
      <c r="MXY59" s="46"/>
      <c r="MXZ59" s="46"/>
      <c r="MYA59" s="46"/>
      <c r="MYB59" s="46"/>
      <c r="MYC59" s="46"/>
      <c r="MYD59" s="46"/>
      <c r="MYE59" s="46"/>
      <c r="MYF59" s="46"/>
      <c r="MYG59" s="46"/>
      <c r="MYH59" s="46"/>
      <c r="MYI59" s="46"/>
      <c r="MYJ59" s="46"/>
      <c r="MYK59" s="46"/>
      <c r="MYL59" s="46"/>
      <c r="MYM59" s="46"/>
      <c r="MYN59" s="46"/>
      <c r="MYO59" s="46"/>
      <c r="MYP59" s="46"/>
      <c r="MYQ59" s="46"/>
      <c r="MYR59" s="46"/>
      <c r="MYS59" s="46"/>
      <c r="MYT59" s="46"/>
      <c r="MYU59" s="46"/>
      <c r="MYV59" s="46"/>
      <c r="MYW59" s="46"/>
      <c r="MYX59" s="46"/>
      <c r="MYY59" s="46"/>
      <c r="MYZ59" s="46"/>
      <c r="MZA59" s="46"/>
      <c r="MZB59" s="46"/>
      <c r="MZC59" s="46"/>
      <c r="MZD59" s="46"/>
      <c r="MZE59" s="46"/>
      <c r="MZF59" s="46"/>
      <c r="MZG59" s="46"/>
      <c r="MZH59" s="46"/>
      <c r="MZI59" s="46"/>
      <c r="MZJ59" s="46"/>
      <c r="MZK59" s="46"/>
      <c r="MZL59" s="46"/>
      <c r="MZM59" s="46"/>
      <c r="MZN59" s="46"/>
      <c r="MZO59" s="46"/>
      <c r="MZP59" s="46"/>
      <c r="MZQ59" s="46"/>
      <c r="MZR59" s="46"/>
      <c r="MZS59" s="46"/>
      <c r="MZT59" s="46"/>
      <c r="MZU59" s="46"/>
      <c r="MZV59" s="46"/>
      <c r="MZW59" s="46"/>
      <c r="MZX59" s="46"/>
      <c r="MZY59" s="46"/>
      <c r="MZZ59" s="46"/>
      <c r="NAA59" s="46"/>
      <c r="NAB59" s="46"/>
      <c r="NAC59" s="46"/>
      <c r="NAD59" s="46"/>
      <c r="NAE59" s="46"/>
      <c r="NAF59" s="46"/>
      <c r="NAG59" s="46"/>
      <c r="NAH59" s="46"/>
      <c r="NAI59" s="46"/>
      <c r="NAJ59" s="46"/>
      <c r="NAK59" s="46"/>
      <c r="NAL59" s="46"/>
      <c r="NAM59" s="46"/>
      <c r="NAN59" s="46"/>
      <c r="NAO59" s="46"/>
      <c r="NAP59" s="46"/>
      <c r="NAQ59" s="46"/>
      <c r="NAR59" s="46"/>
      <c r="NAS59" s="46"/>
      <c r="NAT59" s="46"/>
      <c r="NAU59" s="46"/>
      <c r="NAV59" s="46"/>
      <c r="NAW59" s="46"/>
      <c r="NAX59" s="46"/>
      <c r="NAY59" s="46"/>
      <c r="NAZ59" s="46"/>
      <c r="NBA59" s="46"/>
      <c r="NBB59" s="46"/>
      <c r="NBC59" s="46"/>
      <c r="NBD59" s="46"/>
      <c r="NBE59" s="46"/>
      <c r="NBF59" s="46"/>
      <c r="NBG59" s="46"/>
      <c r="NBH59" s="46"/>
      <c r="NBI59" s="46"/>
      <c r="NBJ59" s="46"/>
      <c r="NBK59" s="46"/>
      <c r="NBL59" s="46"/>
      <c r="NBM59" s="46"/>
      <c r="NBN59" s="46"/>
      <c r="NBO59" s="46"/>
      <c r="NBP59" s="46"/>
      <c r="NBQ59" s="46"/>
      <c r="NBR59" s="46"/>
      <c r="NBS59" s="46"/>
      <c r="NBT59" s="46"/>
      <c r="NBU59" s="46"/>
      <c r="NBV59" s="46"/>
      <c r="NBW59" s="46"/>
      <c r="NBX59" s="46"/>
      <c r="NBY59" s="46"/>
      <c r="NBZ59" s="46"/>
      <c r="NCA59" s="46"/>
      <c r="NCB59" s="46"/>
      <c r="NCC59" s="46"/>
      <c r="NCD59" s="46"/>
      <c r="NCE59" s="46"/>
      <c r="NCF59" s="46"/>
      <c r="NCG59" s="46"/>
      <c r="NCH59" s="46"/>
      <c r="NCI59" s="46"/>
      <c r="NCJ59" s="46"/>
      <c r="NCK59" s="46"/>
      <c r="NCL59" s="46"/>
      <c r="NCM59" s="46"/>
      <c r="NCN59" s="46"/>
      <c r="NCO59" s="46"/>
      <c r="NCP59" s="46"/>
      <c r="NCQ59" s="46"/>
      <c r="NCR59" s="46"/>
      <c r="NCS59" s="46"/>
      <c r="NCT59" s="46"/>
      <c r="NCU59" s="46"/>
      <c r="NCV59" s="46"/>
      <c r="NCW59" s="46"/>
      <c r="NCX59" s="46"/>
      <c r="NCY59" s="46"/>
      <c r="NCZ59" s="46"/>
      <c r="NDA59" s="46"/>
      <c r="NDB59" s="46"/>
      <c r="NDC59" s="46"/>
      <c r="NDD59" s="46"/>
      <c r="NDE59" s="46"/>
      <c r="NDF59" s="46"/>
      <c r="NDG59" s="46"/>
      <c r="NDH59" s="46"/>
      <c r="NDI59" s="46"/>
      <c r="NDJ59" s="46"/>
      <c r="NDK59" s="46"/>
      <c r="NDL59" s="46"/>
      <c r="NDM59" s="46"/>
      <c r="NDN59" s="46"/>
      <c r="NDO59" s="46"/>
      <c r="NDP59" s="46"/>
      <c r="NDQ59" s="46"/>
      <c r="NDR59" s="46"/>
      <c r="NDS59" s="46"/>
      <c r="NDT59" s="46"/>
      <c r="NDU59" s="46"/>
      <c r="NDV59" s="46"/>
      <c r="NDW59" s="46"/>
      <c r="NDX59" s="46"/>
      <c r="NDY59" s="46"/>
      <c r="NDZ59" s="46"/>
      <c r="NEA59" s="46"/>
      <c r="NEB59" s="46"/>
      <c r="NEC59" s="46"/>
      <c r="NED59" s="46"/>
      <c r="NEE59" s="46"/>
      <c r="NEF59" s="46"/>
      <c r="NEG59" s="46"/>
      <c r="NEH59" s="46"/>
      <c r="NEI59" s="46"/>
      <c r="NEJ59" s="46"/>
      <c r="NEK59" s="46"/>
      <c r="NEL59" s="46"/>
      <c r="NEM59" s="46"/>
      <c r="NEN59" s="46"/>
      <c r="NEO59" s="46"/>
      <c r="NEP59" s="46"/>
      <c r="NEQ59" s="46"/>
      <c r="NER59" s="46"/>
      <c r="NES59" s="46"/>
      <c r="NET59" s="46"/>
      <c r="NEU59" s="46"/>
      <c r="NEV59" s="46"/>
      <c r="NEW59" s="46"/>
      <c r="NEX59" s="46"/>
      <c r="NEY59" s="46"/>
      <c r="NEZ59" s="46"/>
      <c r="NFA59" s="46"/>
      <c r="NFB59" s="46"/>
      <c r="NFC59" s="46"/>
      <c r="NFD59" s="46"/>
      <c r="NFE59" s="46"/>
      <c r="NFF59" s="46"/>
      <c r="NFG59" s="46"/>
      <c r="NFH59" s="46"/>
      <c r="NFI59" s="46"/>
      <c r="NFJ59" s="46"/>
      <c r="NFK59" s="46"/>
      <c r="NFL59" s="46"/>
      <c r="NFM59" s="46"/>
      <c r="NFN59" s="46"/>
      <c r="NFO59" s="46"/>
      <c r="NFP59" s="46"/>
      <c r="NFQ59" s="46"/>
      <c r="NFR59" s="46"/>
      <c r="NFS59" s="46"/>
      <c r="NFT59" s="46"/>
      <c r="NFU59" s="46"/>
      <c r="NFV59" s="46"/>
      <c r="NFW59" s="46"/>
      <c r="NFX59" s="46"/>
      <c r="NFY59" s="46"/>
      <c r="NFZ59" s="46"/>
      <c r="NGA59" s="46"/>
      <c r="NGB59" s="46"/>
      <c r="NGC59" s="46"/>
      <c r="NGD59" s="46"/>
      <c r="NGE59" s="46"/>
      <c r="NGF59" s="46"/>
      <c r="NGG59" s="46"/>
      <c r="NGH59" s="46"/>
      <c r="NGI59" s="46"/>
      <c r="NGJ59" s="46"/>
      <c r="NGK59" s="46"/>
      <c r="NGL59" s="46"/>
      <c r="NGM59" s="46"/>
      <c r="NGN59" s="46"/>
      <c r="NGO59" s="46"/>
      <c r="NGP59" s="46"/>
      <c r="NGQ59" s="46"/>
      <c r="NGR59" s="46"/>
      <c r="NGS59" s="46"/>
      <c r="NGT59" s="46"/>
      <c r="NGU59" s="46"/>
      <c r="NGV59" s="46"/>
      <c r="NGW59" s="46"/>
      <c r="NGX59" s="46"/>
      <c r="NGY59" s="46"/>
      <c r="NGZ59" s="46"/>
      <c r="NHA59" s="46"/>
      <c r="NHB59" s="46"/>
      <c r="NHC59" s="46"/>
      <c r="NHD59" s="46"/>
      <c r="NHE59" s="46"/>
      <c r="NHF59" s="46"/>
      <c r="NHG59" s="46"/>
      <c r="NHH59" s="46"/>
      <c r="NHI59" s="46"/>
      <c r="NHJ59" s="46"/>
      <c r="NHK59" s="46"/>
      <c r="NHL59" s="46"/>
      <c r="NHM59" s="46"/>
      <c r="NHN59" s="46"/>
      <c r="NHO59" s="46"/>
      <c r="NHP59" s="46"/>
      <c r="NHQ59" s="46"/>
      <c r="NHR59" s="46"/>
      <c r="NHS59" s="46"/>
      <c r="NHT59" s="46"/>
      <c r="NHU59" s="46"/>
      <c r="NHV59" s="46"/>
      <c r="NHW59" s="46"/>
      <c r="NHX59" s="46"/>
      <c r="NHY59" s="46"/>
      <c r="NHZ59" s="46"/>
      <c r="NIA59" s="46"/>
      <c r="NIB59" s="46"/>
      <c r="NIC59" s="46"/>
      <c r="NID59" s="46"/>
      <c r="NIE59" s="46"/>
      <c r="NIF59" s="46"/>
      <c r="NIG59" s="46"/>
      <c r="NIH59" s="46"/>
      <c r="NII59" s="46"/>
      <c r="NIJ59" s="46"/>
      <c r="NIK59" s="46"/>
      <c r="NIL59" s="46"/>
      <c r="NIM59" s="46"/>
      <c r="NIN59" s="46"/>
      <c r="NIO59" s="46"/>
      <c r="NIP59" s="46"/>
      <c r="NIQ59" s="46"/>
      <c r="NIR59" s="46"/>
      <c r="NIS59" s="46"/>
      <c r="NIT59" s="46"/>
      <c r="NIU59" s="46"/>
      <c r="NIV59" s="46"/>
      <c r="NIW59" s="46"/>
      <c r="NIX59" s="46"/>
      <c r="NIY59" s="46"/>
      <c r="NIZ59" s="46"/>
      <c r="NJA59" s="46"/>
      <c r="NJB59" s="46"/>
      <c r="NJC59" s="46"/>
      <c r="NJD59" s="46"/>
      <c r="NJE59" s="46"/>
      <c r="NJF59" s="46"/>
      <c r="NJG59" s="46"/>
      <c r="NJH59" s="46"/>
      <c r="NJI59" s="46"/>
      <c r="NJJ59" s="46"/>
      <c r="NJK59" s="46"/>
      <c r="NJL59" s="46"/>
      <c r="NJM59" s="46"/>
      <c r="NJN59" s="46"/>
      <c r="NJO59" s="46"/>
      <c r="NJP59" s="46"/>
      <c r="NJQ59" s="46"/>
      <c r="NJR59" s="46"/>
      <c r="NJS59" s="46"/>
      <c r="NJT59" s="46"/>
      <c r="NJU59" s="46"/>
      <c r="NJV59" s="46"/>
      <c r="NJW59" s="46"/>
      <c r="NJX59" s="46"/>
      <c r="NJY59" s="46"/>
      <c r="NJZ59" s="46"/>
      <c r="NKA59" s="46"/>
      <c r="NKB59" s="46"/>
      <c r="NKC59" s="46"/>
      <c r="NKD59" s="46"/>
      <c r="NKE59" s="46"/>
      <c r="NKF59" s="46"/>
      <c r="NKG59" s="46"/>
      <c r="NKH59" s="46"/>
      <c r="NKI59" s="46"/>
      <c r="NKJ59" s="46"/>
      <c r="NKK59" s="46"/>
      <c r="NKL59" s="46"/>
      <c r="NKM59" s="46"/>
      <c r="NKN59" s="46"/>
      <c r="NKO59" s="46"/>
      <c r="NKP59" s="46"/>
      <c r="NKQ59" s="46"/>
      <c r="NKR59" s="46"/>
      <c r="NKS59" s="46"/>
      <c r="NKT59" s="46"/>
      <c r="NKU59" s="46"/>
      <c r="NKV59" s="46"/>
      <c r="NKW59" s="46"/>
      <c r="NKX59" s="46"/>
      <c r="NKY59" s="46"/>
      <c r="NKZ59" s="46"/>
      <c r="NLA59" s="46"/>
      <c r="NLB59" s="46"/>
      <c r="NLC59" s="46"/>
      <c r="NLD59" s="46"/>
      <c r="NLE59" s="46"/>
      <c r="NLF59" s="46"/>
      <c r="NLG59" s="46"/>
      <c r="NLH59" s="46"/>
      <c r="NLI59" s="46"/>
      <c r="NLJ59" s="46"/>
      <c r="NLK59" s="46"/>
      <c r="NLL59" s="46"/>
      <c r="NLM59" s="46"/>
      <c r="NLN59" s="46"/>
      <c r="NLO59" s="46"/>
      <c r="NLP59" s="46"/>
      <c r="NLQ59" s="46"/>
      <c r="NLR59" s="46"/>
      <c r="NLS59" s="46"/>
      <c r="NLT59" s="46"/>
      <c r="NLU59" s="46"/>
      <c r="NLV59" s="46"/>
      <c r="NLW59" s="46"/>
      <c r="NLX59" s="46"/>
      <c r="NLY59" s="46"/>
      <c r="NLZ59" s="46"/>
      <c r="NMA59" s="46"/>
      <c r="NMB59" s="46"/>
      <c r="NMC59" s="46"/>
      <c r="NMD59" s="46"/>
      <c r="NME59" s="46"/>
      <c r="NMF59" s="46"/>
      <c r="NMG59" s="46"/>
      <c r="NMH59" s="46"/>
      <c r="NMI59" s="46"/>
      <c r="NMJ59" s="46"/>
      <c r="NMK59" s="46"/>
      <c r="NML59" s="46"/>
      <c r="NMM59" s="46"/>
      <c r="NMN59" s="46"/>
      <c r="NMO59" s="46"/>
      <c r="NMP59" s="46"/>
      <c r="NMQ59" s="46"/>
      <c r="NMR59" s="46"/>
      <c r="NMS59" s="46"/>
      <c r="NMT59" s="46"/>
      <c r="NMU59" s="46"/>
      <c r="NMV59" s="46"/>
      <c r="NMW59" s="46"/>
      <c r="NMX59" s="46"/>
      <c r="NMY59" s="46"/>
      <c r="NMZ59" s="46"/>
      <c r="NNA59" s="46"/>
      <c r="NNB59" s="46"/>
      <c r="NNC59" s="46"/>
      <c r="NND59" s="46"/>
      <c r="NNE59" s="46"/>
      <c r="NNF59" s="46"/>
      <c r="NNG59" s="46"/>
      <c r="NNH59" s="46"/>
      <c r="NNI59" s="46"/>
      <c r="NNJ59" s="46"/>
      <c r="NNK59" s="46"/>
      <c r="NNL59" s="46"/>
      <c r="NNM59" s="46"/>
      <c r="NNN59" s="46"/>
      <c r="NNO59" s="46"/>
      <c r="NNP59" s="46"/>
      <c r="NNQ59" s="46"/>
      <c r="NNR59" s="46"/>
      <c r="NNS59" s="46"/>
      <c r="NNT59" s="46"/>
      <c r="NNU59" s="46"/>
      <c r="NNV59" s="46"/>
      <c r="NNW59" s="46"/>
      <c r="NNX59" s="46"/>
      <c r="NNY59" s="46"/>
      <c r="NNZ59" s="46"/>
      <c r="NOA59" s="46"/>
      <c r="NOB59" s="46"/>
      <c r="NOC59" s="46"/>
      <c r="NOD59" s="46"/>
      <c r="NOE59" s="46"/>
      <c r="NOF59" s="46"/>
      <c r="NOG59" s="46"/>
      <c r="NOH59" s="46"/>
      <c r="NOI59" s="46"/>
      <c r="NOJ59" s="46"/>
      <c r="NOK59" s="46"/>
      <c r="NOL59" s="46"/>
      <c r="NOM59" s="46"/>
      <c r="NON59" s="46"/>
      <c r="NOO59" s="46"/>
      <c r="NOP59" s="46"/>
      <c r="NOQ59" s="46"/>
      <c r="NOR59" s="46"/>
      <c r="NOS59" s="46"/>
      <c r="NOT59" s="46"/>
      <c r="NOU59" s="46"/>
      <c r="NOV59" s="46"/>
      <c r="NOW59" s="46"/>
      <c r="NOX59" s="46"/>
      <c r="NOY59" s="46"/>
      <c r="NOZ59" s="46"/>
      <c r="NPA59" s="46"/>
      <c r="NPB59" s="46"/>
      <c r="NPC59" s="46"/>
      <c r="NPD59" s="46"/>
      <c r="NPE59" s="46"/>
      <c r="NPF59" s="46"/>
      <c r="NPG59" s="46"/>
      <c r="NPH59" s="46"/>
      <c r="NPI59" s="46"/>
      <c r="NPJ59" s="46"/>
      <c r="NPK59" s="46"/>
      <c r="NPL59" s="46"/>
      <c r="NPM59" s="46"/>
      <c r="NPN59" s="46"/>
      <c r="NPO59" s="46"/>
      <c r="NPP59" s="46"/>
      <c r="NPQ59" s="46"/>
      <c r="NPR59" s="46"/>
      <c r="NPS59" s="46"/>
      <c r="NPT59" s="46"/>
      <c r="NPU59" s="46"/>
      <c r="NPV59" s="46"/>
      <c r="NPW59" s="46"/>
      <c r="NPX59" s="46"/>
      <c r="NPY59" s="46"/>
      <c r="NPZ59" s="46"/>
      <c r="NQA59" s="46"/>
      <c r="NQB59" s="46"/>
      <c r="NQC59" s="46"/>
      <c r="NQD59" s="46"/>
      <c r="NQE59" s="46"/>
      <c r="NQF59" s="46"/>
      <c r="NQG59" s="46"/>
      <c r="NQH59" s="46"/>
      <c r="NQI59" s="46"/>
      <c r="NQJ59" s="46"/>
      <c r="NQK59" s="46"/>
      <c r="NQL59" s="46"/>
      <c r="NQM59" s="46"/>
      <c r="NQN59" s="46"/>
      <c r="NQO59" s="46"/>
      <c r="NQP59" s="46"/>
      <c r="NQQ59" s="46"/>
      <c r="NQR59" s="46"/>
      <c r="NQS59" s="46"/>
      <c r="NQT59" s="46"/>
      <c r="NQU59" s="46"/>
      <c r="NQV59" s="46"/>
      <c r="NQW59" s="46"/>
      <c r="NQX59" s="46"/>
      <c r="NQY59" s="46"/>
      <c r="NQZ59" s="46"/>
      <c r="NRA59" s="46"/>
      <c r="NRB59" s="46"/>
      <c r="NRC59" s="46"/>
      <c r="NRD59" s="46"/>
      <c r="NRE59" s="46"/>
      <c r="NRF59" s="46"/>
      <c r="NRG59" s="46"/>
      <c r="NRH59" s="46"/>
      <c r="NRI59" s="46"/>
      <c r="NRJ59" s="46"/>
      <c r="NRK59" s="46"/>
      <c r="NRL59" s="46"/>
      <c r="NRM59" s="46"/>
      <c r="NRN59" s="46"/>
      <c r="NRO59" s="46"/>
      <c r="NRP59" s="46"/>
      <c r="NRQ59" s="46"/>
      <c r="NRR59" s="46"/>
      <c r="NRS59" s="46"/>
      <c r="NRT59" s="46"/>
      <c r="NRU59" s="46"/>
      <c r="NRV59" s="46"/>
      <c r="NRW59" s="46"/>
      <c r="NRX59" s="46"/>
      <c r="NRY59" s="46"/>
      <c r="NRZ59" s="46"/>
      <c r="NSA59" s="46"/>
      <c r="NSB59" s="46"/>
      <c r="NSC59" s="46"/>
      <c r="NSD59" s="46"/>
      <c r="NSE59" s="46"/>
      <c r="NSF59" s="46"/>
      <c r="NSG59" s="46"/>
      <c r="NSH59" s="46"/>
      <c r="NSI59" s="46"/>
      <c r="NSJ59" s="46"/>
      <c r="NSK59" s="46"/>
      <c r="NSL59" s="46"/>
      <c r="NSM59" s="46"/>
      <c r="NSN59" s="46"/>
      <c r="NSO59" s="46"/>
      <c r="NSP59" s="46"/>
      <c r="NSQ59" s="46"/>
      <c r="NSR59" s="46"/>
      <c r="NSS59" s="46"/>
      <c r="NST59" s="46"/>
      <c r="NSU59" s="46"/>
      <c r="NSV59" s="46"/>
      <c r="NSW59" s="46"/>
      <c r="NSX59" s="46"/>
      <c r="NSY59" s="46"/>
      <c r="NSZ59" s="46"/>
      <c r="NTA59" s="46"/>
      <c r="NTB59" s="46"/>
      <c r="NTC59" s="46"/>
      <c r="NTD59" s="46"/>
      <c r="NTE59" s="46"/>
      <c r="NTF59" s="46"/>
      <c r="NTG59" s="46"/>
      <c r="NTH59" s="46"/>
      <c r="NTI59" s="46"/>
      <c r="NTJ59" s="46"/>
      <c r="NTK59" s="46"/>
      <c r="NTL59" s="46"/>
      <c r="NTM59" s="46"/>
      <c r="NTN59" s="46"/>
      <c r="NTO59" s="46"/>
      <c r="NTP59" s="46"/>
      <c r="NTQ59" s="46"/>
      <c r="NTR59" s="46"/>
      <c r="NTS59" s="46"/>
      <c r="NTT59" s="46"/>
      <c r="NTU59" s="46"/>
      <c r="NTV59" s="46"/>
      <c r="NTW59" s="46"/>
      <c r="NTX59" s="46"/>
      <c r="NTY59" s="46"/>
      <c r="NTZ59" s="46"/>
      <c r="NUA59" s="46"/>
      <c r="NUB59" s="46"/>
      <c r="NUC59" s="46"/>
      <c r="NUD59" s="46"/>
      <c r="NUE59" s="46"/>
      <c r="NUF59" s="46"/>
      <c r="NUG59" s="46"/>
      <c r="NUH59" s="46"/>
      <c r="NUI59" s="46"/>
      <c r="NUJ59" s="46"/>
      <c r="NUK59" s="46"/>
      <c r="NUL59" s="46"/>
      <c r="NUM59" s="46"/>
      <c r="NUN59" s="46"/>
      <c r="NUO59" s="46"/>
      <c r="NUP59" s="46"/>
      <c r="NUQ59" s="46"/>
      <c r="NUR59" s="46"/>
      <c r="NUS59" s="46"/>
      <c r="NUT59" s="46"/>
      <c r="NUU59" s="46"/>
      <c r="NUV59" s="46"/>
      <c r="NUW59" s="46"/>
      <c r="NUX59" s="46"/>
      <c r="NUY59" s="46"/>
      <c r="NUZ59" s="46"/>
      <c r="NVA59" s="46"/>
      <c r="NVB59" s="46"/>
      <c r="NVC59" s="46"/>
      <c r="NVD59" s="46"/>
      <c r="NVE59" s="46"/>
      <c r="NVF59" s="46"/>
      <c r="NVG59" s="46"/>
      <c r="NVH59" s="46"/>
      <c r="NVI59" s="46"/>
      <c r="NVJ59" s="46"/>
      <c r="NVK59" s="46"/>
      <c r="NVL59" s="46"/>
      <c r="NVM59" s="46"/>
      <c r="NVN59" s="46"/>
      <c r="NVO59" s="46"/>
      <c r="NVP59" s="46"/>
      <c r="NVQ59" s="46"/>
      <c r="NVR59" s="46"/>
      <c r="NVS59" s="46"/>
      <c r="NVT59" s="46"/>
      <c r="NVU59" s="46"/>
      <c r="NVV59" s="46"/>
      <c r="NVW59" s="46"/>
      <c r="NVX59" s="46"/>
      <c r="NVY59" s="46"/>
      <c r="NVZ59" s="46"/>
      <c r="NWA59" s="46"/>
      <c r="NWB59" s="46"/>
      <c r="NWC59" s="46"/>
      <c r="NWD59" s="46"/>
      <c r="NWE59" s="46"/>
      <c r="NWF59" s="46"/>
      <c r="NWG59" s="46"/>
      <c r="NWH59" s="46"/>
      <c r="NWI59" s="46"/>
      <c r="NWJ59" s="46"/>
      <c r="NWK59" s="46"/>
      <c r="NWL59" s="46"/>
      <c r="NWM59" s="46"/>
      <c r="NWN59" s="46"/>
      <c r="NWO59" s="46"/>
      <c r="NWP59" s="46"/>
      <c r="NWQ59" s="46"/>
      <c r="NWR59" s="46"/>
      <c r="NWS59" s="46"/>
      <c r="NWT59" s="46"/>
      <c r="NWU59" s="46"/>
      <c r="NWV59" s="46"/>
      <c r="NWW59" s="46"/>
      <c r="NWX59" s="46"/>
      <c r="NWY59" s="46"/>
      <c r="NWZ59" s="46"/>
      <c r="NXA59" s="46"/>
      <c r="NXB59" s="46"/>
      <c r="NXC59" s="46"/>
      <c r="NXD59" s="46"/>
      <c r="NXE59" s="46"/>
      <c r="NXF59" s="46"/>
      <c r="NXG59" s="46"/>
      <c r="NXH59" s="46"/>
      <c r="NXI59" s="46"/>
      <c r="NXJ59" s="46"/>
      <c r="NXK59" s="46"/>
      <c r="NXL59" s="46"/>
      <c r="NXM59" s="46"/>
      <c r="NXN59" s="46"/>
      <c r="NXO59" s="46"/>
      <c r="NXP59" s="46"/>
      <c r="NXQ59" s="46"/>
      <c r="NXR59" s="46"/>
      <c r="NXS59" s="46"/>
      <c r="NXT59" s="46"/>
      <c r="NXU59" s="46"/>
      <c r="NXV59" s="46"/>
      <c r="NXW59" s="46"/>
      <c r="NXX59" s="46"/>
      <c r="NXY59" s="46"/>
      <c r="NXZ59" s="46"/>
      <c r="NYA59" s="46"/>
      <c r="NYB59" s="46"/>
      <c r="NYC59" s="46"/>
      <c r="NYD59" s="46"/>
      <c r="NYE59" s="46"/>
      <c r="NYF59" s="46"/>
      <c r="NYG59" s="46"/>
      <c r="NYH59" s="46"/>
      <c r="NYI59" s="46"/>
      <c r="NYJ59" s="46"/>
      <c r="NYK59" s="46"/>
      <c r="NYL59" s="46"/>
      <c r="NYM59" s="46"/>
      <c r="NYN59" s="46"/>
      <c r="NYO59" s="46"/>
      <c r="NYP59" s="46"/>
      <c r="NYQ59" s="46"/>
      <c r="NYR59" s="46"/>
      <c r="NYS59" s="46"/>
      <c r="NYT59" s="46"/>
      <c r="NYU59" s="46"/>
      <c r="NYV59" s="46"/>
      <c r="NYW59" s="46"/>
      <c r="NYX59" s="46"/>
      <c r="NYY59" s="46"/>
      <c r="NYZ59" s="46"/>
      <c r="NZA59" s="46"/>
      <c r="NZB59" s="46"/>
      <c r="NZC59" s="46"/>
      <c r="NZD59" s="46"/>
      <c r="NZE59" s="46"/>
      <c r="NZF59" s="46"/>
      <c r="NZG59" s="46"/>
      <c r="NZH59" s="46"/>
      <c r="NZI59" s="46"/>
      <c r="NZJ59" s="46"/>
      <c r="NZK59" s="46"/>
      <c r="NZL59" s="46"/>
      <c r="NZM59" s="46"/>
      <c r="NZN59" s="46"/>
      <c r="NZO59" s="46"/>
      <c r="NZP59" s="46"/>
      <c r="NZQ59" s="46"/>
      <c r="NZR59" s="46"/>
      <c r="NZS59" s="46"/>
      <c r="NZT59" s="46"/>
      <c r="NZU59" s="46"/>
      <c r="NZV59" s="46"/>
      <c r="NZW59" s="46"/>
      <c r="NZX59" s="46"/>
      <c r="NZY59" s="46"/>
      <c r="NZZ59" s="46"/>
      <c r="OAA59" s="46"/>
      <c r="OAB59" s="46"/>
      <c r="OAC59" s="46"/>
      <c r="OAD59" s="46"/>
      <c r="OAE59" s="46"/>
      <c r="OAF59" s="46"/>
      <c r="OAG59" s="46"/>
      <c r="OAH59" s="46"/>
      <c r="OAI59" s="46"/>
      <c r="OAJ59" s="46"/>
      <c r="OAK59" s="46"/>
      <c r="OAL59" s="46"/>
      <c r="OAM59" s="46"/>
      <c r="OAN59" s="46"/>
      <c r="OAO59" s="46"/>
      <c r="OAP59" s="46"/>
      <c r="OAQ59" s="46"/>
      <c r="OAR59" s="46"/>
      <c r="OAS59" s="46"/>
      <c r="OAT59" s="46"/>
      <c r="OAU59" s="46"/>
      <c r="OAV59" s="46"/>
      <c r="OAW59" s="46"/>
      <c r="OAX59" s="46"/>
      <c r="OAY59" s="46"/>
      <c r="OAZ59" s="46"/>
      <c r="OBA59" s="46"/>
      <c r="OBB59" s="46"/>
      <c r="OBC59" s="46"/>
      <c r="OBD59" s="46"/>
      <c r="OBE59" s="46"/>
      <c r="OBF59" s="46"/>
      <c r="OBG59" s="46"/>
      <c r="OBH59" s="46"/>
      <c r="OBI59" s="46"/>
      <c r="OBJ59" s="46"/>
      <c r="OBK59" s="46"/>
      <c r="OBL59" s="46"/>
      <c r="OBM59" s="46"/>
      <c r="OBN59" s="46"/>
      <c r="OBO59" s="46"/>
      <c r="OBP59" s="46"/>
      <c r="OBQ59" s="46"/>
      <c r="OBR59" s="46"/>
      <c r="OBS59" s="46"/>
      <c r="OBT59" s="46"/>
      <c r="OBU59" s="46"/>
      <c r="OBV59" s="46"/>
      <c r="OBW59" s="46"/>
      <c r="OBX59" s="46"/>
      <c r="OBY59" s="46"/>
      <c r="OBZ59" s="46"/>
      <c r="OCA59" s="46"/>
      <c r="OCB59" s="46"/>
      <c r="OCC59" s="46"/>
      <c r="OCD59" s="46"/>
      <c r="OCE59" s="46"/>
      <c r="OCF59" s="46"/>
      <c r="OCG59" s="46"/>
      <c r="OCH59" s="46"/>
      <c r="OCI59" s="46"/>
      <c r="OCJ59" s="46"/>
      <c r="OCK59" s="46"/>
      <c r="OCL59" s="46"/>
      <c r="OCM59" s="46"/>
      <c r="OCN59" s="46"/>
      <c r="OCO59" s="46"/>
      <c r="OCP59" s="46"/>
      <c r="OCQ59" s="46"/>
      <c r="OCR59" s="46"/>
      <c r="OCS59" s="46"/>
      <c r="OCT59" s="46"/>
      <c r="OCU59" s="46"/>
      <c r="OCV59" s="46"/>
      <c r="OCW59" s="46"/>
      <c r="OCX59" s="46"/>
      <c r="OCY59" s="46"/>
      <c r="OCZ59" s="46"/>
      <c r="ODA59" s="46"/>
      <c r="ODB59" s="46"/>
      <c r="ODC59" s="46"/>
      <c r="ODD59" s="46"/>
      <c r="ODE59" s="46"/>
      <c r="ODF59" s="46"/>
      <c r="ODG59" s="46"/>
      <c r="ODH59" s="46"/>
      <c r="ODI59" s="46"/>
      <c r="ODJ59" s="46"/>
      <c r="ODK59" s="46"/>
      <c r="ODL59" s="46"/>
      <c r="ODM59" s="46"/>
      <c r="ODN59" s="46"/>
      <c r="ODO59" s="46"/>
      <c r="ODP59" s="46"/>
      <c r="ODQ59" s="46"/>
      <c r="ODR59" s="46"/>
      <c r="ODS59" s="46"/>
      <c r="ODT59" s="46"/>
      <c r="ODU59" s="46"/>
      <c r="ODV59" s="46"/>
      <c r="ODW59" s="46"/>
      <c r="ODX59" s="46"/>
      <c r="ODY59" s="46"/>
      <c r="ODZ59" s="46"/>
      <c r="OEA59" s="46"/>
      <c r="OEB59" s="46"/>
      <c r="OEC59" s="46"/>
      <c r="OED59" s="46"/>
      <c r="OEE59" s="46"/>
      <c r="OEF59" s="46"/>
      <c r="OEG59" s="46"/>
      <c r="OEH59" s="46"/>
      <c r="OEI59" s="46"/>
      <c r="OEJ59" s="46"/>
      <c r="OEK59" s="46"/>
      <c r="OEL59" s="46"/>
      <c r="OEM59" s="46"/>
      <c r="OEN59" s="46"/>
      <c r="OEO59" s="46"/>
      <c r="OEP59" s="46"/>
      <c r="OEQ59" s="46"/>
      <c r="OER59" s="46"/>
      <c r="OES59" s="46"/>
      <c r="OET59" s="46"/>
      <c r="OEU59" s="46"/>
      <c r="OEV59" s="46"/>
      <c r="OEW59" s="46"/>
      <c r="OEX59" s="46"/>
      <c r="OEY59" s="46"/>
      <c r="OEZ59" s="46"/>
      <c r="OFA59" s="46"/>
      <c r="OFB59" s="46"/>
      <c r="OFC59" s="46"/>
      <c r="OFD59" s="46"/>
      <c r="OFE59" s="46"/>
      <c r="OFF59" s="46"/>
      <c r="OFG59" s="46"/>
      <c r="OFH59" s="46"/>
      <c r="OFI59" s="46"/>
      <c r="OFJ59" s="46"/>
      <c r="OFK59" s="46"/>
      <c r="OFL59" s="46"/>
      <c r="OFM59" s="46"/>
      <c r="OFN59" s="46"/>
      <c r="OFO59" s="46"/>
      <c r="OFP59" s="46"/>
      <c r="OFQ59" s="46"/>
      <c r="OFR59" s="46"/>
      <c r="OFS59" s="46"/>
      <c r="OFT59" s="46"/>
      <c r="OFU59" s="46"/>
      <c r="OFV59" s="46"/>
      <c r="OFW59" s="46"/>
      <c r="OFX59" s="46"/>
      <c r="OFY59" s="46"/>
      <c r="OFZ59" s="46"/>
      <c r="OGA59" s="46"/>
      <c r="OGB59" s="46"/>
      <c r="OGC59" s="46"/>
      <c r="OGD59" s="46"/>
      <c r="OGE59" s="46"/>
      <c r="OGF59" s="46"/>
      <c r="OGG59" s="46"/>
      <c r="OGH59" s="46"/>
      <c r="OGI59" s="46"/>
      <c r="OGJ59" s="46"/>
      <c r="OGK59" s="46"/>
      <c r="OGL59" s="46"/>
      <c r="OGM59" s="46"/>
      <c r="OGN59" s="46"/>
      <c r="OGO59" s="46"/>
      <c r="OGP59" s="46"/>
      <c r="OGQ59" s="46"/>
      <c r="OGR59" s="46"/>
      <c r="OGS59" s="46"/>
      <c r="OGT59" s="46"/>
      <c r="OGU59" s="46"/>
      <c r="OGV59" s="46"/>
      <c r="OGW59" s="46"/>
      <c r="OGX59" s="46"/>
      <c r="OGY59" s="46"/>
      <c r="OGZ59" s="46"/>
      <c r="OHA59" s="46"/>
      <c r="OHB59" s="46"/>
      <c r="OHC59" s="46"/>
      <c r="OHD59" s="46"/>
      <c r="OHE59" s="46"/>
      <c r="OHF59" s="46"/>
      <c r="OHG59" s="46"/>
      <c r="OHH59" s="46"/>
      <c r="OHI59" s="46"/>
      <c r="OHJ59" s="46"/>
      <c r="OHK59" s="46"/>
      <c r="OHL59" s="46"/>
      <c r="OHM59" s="46"/>
      <c r="OHN59" s="46"/>
      <c r="OHO59" s="46"/>
      <c r="OHP59" s="46"/>
      <c r="OHQ59" s="46"/>
      <c r="OHR59" s="46"/>
      <c r="OHS59" s="46"/>
      <c r="OHT59" s="46"/>
      <c r="OHU59" s="46"/>
      <c r="OHV59" s="46"/>
      <c r="OHW59" s="46"/>
      <c r="OHX59" s="46"/>
      <c r="OHY59" s="46"/>
      <c r="OHZ59" s="46"/>
      <c r="OIA59" s="46"/>
      <c r="OIB59" s="46"/>
      <c r="OIC59" s="46"/>
      <c r="OID59" s="46"/>
      <c r="OIE59" s="46"/>
      <c r="OIF59" s="46"/>
      <c r="OIG59" s="46"/>
      <c r="OIH59" s="46"/>
      <c r="OII59" s="46"/>
      <c r="OIJ59" s="46"/>
      <c r="OIK59" s="46"/>
      <c r="OIL59" s="46"/>
      <c r="OIM59" s="46"/>
      <c r="OIN59" s="46"/>
      <c r="OIO59" s="46"/>
      <c r="OIP59" s="46"/>
      <c r="OIQ59" s="46"/>
      <c r="OIR59" s="46"/>
      <c r="OIS59" s="46"/>
      <c r="OIT59" s="46"/>
      <c r="OIU59" s="46"/>
      <c r="OIV59" s="46"/>
      <c r="OIW59" s="46"/>
      <c r="OIX59" s="46"/>
      <c r="OIY59" s="46"/>
      <c r="OIZ59" s="46"/>
      <c r="OJA59" s="46"/>
      <c r="OJB59" s="46"/>
      <c r="OJC59" s="46"/>
      <c r="OJD59" s="46"/>
      <c r="OJE59" s="46"/>
      <c r="OJF59" s="46"/>
      <c r="OJG59" s="46"/>
      <c r="OJH59" s="46"/>
      <c r="OJI59" s="46"/>
      <c r="OJJ59" s="46"/>
      <c r="OJK59" s="46"/>
      <c r="OJL59" s="46"/>
      <c r="OJM59" s="46"/>
      <c r="OJN59" s="46"/>
      <c r="OJO59" s="46"/>
      <c r="OJP59" s="46"/>
      <c r="OJQ59" s="46"/>
      <c r="OJR59" s="46"/>
      <c r="OJS59" s="46"/>
      <c r="OJT59" s="46"/>
      <c r="OJU59" s="46"/>
      <c r="OJV59" s="46"/>
      <c r="OJW59" s="46"/>
      <c r="OJX59" s="46"/>
      <c r="OJY59" s="46"/>
      <c r="OJZ59" s="46"/>
      <c r="OKA59" s="46"/>
      <c r="OKB59" s="46"/>
      <c r="OKC59" s="46"/>
      <c r="OKD59" s="46"/>
      <c r="OKE59" s="46"/>
      <c r="OKF59" s="46"/>
      <c r="OKG59" s="46"/>
      <c r="OKH59" s="46"/>
      <c r="OKI59" s="46"/>
      <c r="OKJ59" s="46"/>
      <c r="OKK59" s="46"/>
      <c r="OKL59" s="46"/>
      <c r="OKM59" s="46"/>
      <c r="OKN59" s="46"/>
      <c r="OKO59" s="46"/>
      <c r="OKP59" s="46"/>
      <c r="OKQ59" s="46"/>
      <c r="OKR59" s="46"/>
      <c r="OKS59" s="46"/>
      <c r="OKT59" s="46"/>
      <c r="OKU59" s="46"/>
      <c r="OKV59" s="46"/>
      <c r="OKW59" s="46"/>
      <c r="OKX59" s="46"/>
      <c r="OKY59" s="46"/>
      <c r="OKZ59" s="46"/>
      <c r="OLA59" s="46"/>
      <c r="OLB59" s="46"/>
      <c r="OLC59" s="46"/>
      <c r="OLD59" s="46"/>
      <c r="OLE59" s="46"/>
      <c r="OLF59" s="46"/>
      <c r="OLG59" s="46"/>
      <c r="OLH59" s="46"/>
      <c r="OLI59" s="46"/>
      <c r="OLJ59" s="46"/>
      <c r="OLK59" s="46"/>
      <c r="OLL59" s="46"/>
      <c r="OLM59" s="46"/>
      <c r="OLN59" s="46"/>
      <c r="OLO59" s="46"/>
      <c r="OLP59" s="46"/>
      <c r="OLQ59" s="46"/>
      <c r="OLR59" s="46"/>
      <c r="OLS59" s="46"/>
      <c r="OLT59" s="46"/>
      <c r="OLU59" s="46"/>
      <c r="OLV59" s="46"/>
      <c r="OLW59" s="46"/>
      <c r="OLX59" s="46"/>
      <c r="OLY59" s="46"/>
      <c r="OLZ59" s="46"/>
      <c r="OMA59" s="46"/>
      <c r="OMB59" s="46"/>
      <c r="OMC59" s="46"/>
      <c r="OMD59" s="46"/>
      <c r="OME59" s="46"/>
      <c r="OMF59" s="46"/>
      <c r="OMG59" s="46"/>
      <c r="OMH59" s="46"/>
      <c r="OMI59" s="46"/>
      <c r="OMJ59" s="46"/>
      <c r="OMK59" s="46"/>
      <c r="OML59" s="46"/>
      <c r="OMM59" s="46"/>
      <c r="OMN59" s="46"/>
      <c r="OMO59" s="46"/>
      <c r="OMP59" s="46"/>
      <c r="OMQ59" s="46"/>
      <c r="OMR59" s="46"/>
      <c r="OMS59" s="46"/>
      <c r="OMT59" s="46"/>
      <c r="OMU59" s="46"/>
      <c r="OMV59" s="46"/>
      <c r="OMW59" s="46"/>
      <c r="OMX59" s="46"/>
      <c r="OMY59" s="46"/>
      <c r="OMZ59" s="46"/>
      <c r="ONA59" s="46"/>
      <c r="ONB59" s="46"/>
      <c r="ONC59" s="46"/>
      <c r="OND59" s="46"/>
      <c r="ONE59" s="46"/>
      <c r="ONF59" s="46"/>
      <c r="ONG59" s="46"/>
      <c r="ONH59" s="46"/>
      <c r="ONI59" s="46"/>
      <c r="ONJ59" s="46"/>
      <c r="ONK59" s="46"/>
      <c r="ONL59" s="46"/>
      <c r="ONM59" s="46"/>
      <c r="ONN59" s="46"/>
      <c r="ONO59" s="46"/>
      <c r="ONP59" s="46"/>
      <c r="ONQ59" s="46"/>
      <c r="ONR59" s="46"/>
      <c r="ONS59" s="46"/>
      <c r="ONT59" s="46"/>
      <c r="ONU59" s="46"/>
      <c r="ONV59" s="46"/>
      <c r="ONW59" s="46"/>
      <c r="ONX59" s="46"/>
      <c r="ONY59" s="46"/>
      <c r="ONZ59" s="46"/>
      <c r="OOA59" s="46"/>
      <c r="OOB59" s="46"/>
      <c r="OOC59" s="46"/>
      <c r="OOD59" s="46"/>
      <c r="OOE59" s="46"/>
      <c r="OOF59" s="46"/>
      <c r="OOG59" s="46"/>
      <c r="OOH59" s="46"/>
      <c r="OOI59" s="46"/>
      <c r="OOJ59" s="46"/>
      <c r="OOK59" s="46"/>
      <c r="OOL59" s="46"/>
      <c r="OOM59" s="46"/>
      <c r="OON59" s="46"/>
      <c r="OOO59" s="46"/>
      <c r="OOP59" s="46"/>
      <c r="OOQ59" s="46"/>
      <c r="OOR59" s="46"/>
      <c r="OOS59" s="46"/>
      <c r="OOT59" s="46"/>
      <c r="OOU59" s="46"/>
      <c r="OOV59" s="46"/>
      <c r="OOW59" s="46"/>
      <c r="OOX59" s="46"/>
      <c r="OOY59" s="46"/>
      <c r="OOZ59" s="46"/>
      <c r="OPA59" s="46"/>
      <c r="OPB59" s="46"/>
      <c r="OPC59" s="46"/>
      <c r="OPD59" s="46"/>
      <c r="OPE59" s="46"/>
      <c r="OPF59" s="46"/>
      <c r="OPG59" s="46"/>
      <c r="OPH59" s="46"/>
      <c r="OPI59" s="46"/>
      <c r="OPJ59" s="46"/>
      <c r="OPK59" s="46"/>
      <c r="OPL59" s="46"/>
      <c r="OPM59" s="46"/>
      <c r="OPN59" s="46"/>
      <c r="OPO59" s="46"/>
      <c r="OPP59" s="46"/>
      <c r="OPQ59" s="46"/>
      <c r="OPR59" s="46"/>
      <c r="OPS59" s="46"/>
      <c r="OPT59" s="46"/>
      <c r="OPU59" s="46"/>
      <c r="OPV59" s="46"/>
      <c r="OPW59" s="46"/>
      <c r="OPX59" s="46"/>
      <c r="OPY59" s="46"/>
      <c r="OPZ59" s="46"/>
      <c r="OQA59" s="46"/>
      <c r="OQB59" s="46"/>
      <c r="OQC59" s="46"/>
      <c r="OQD59" s="46"/>
      <c r="OQE59" s="46"/>
      <c r="OQF59" s="46"/>
      <c r="OQG59" s="46"/>
      <c r="OQH59" s="46"/>
      <c r="OQI59" s="46"/>
      <c r="OQJ59" s="46"/>
      <c r="OQK59" s="46"/>
      <c r="OQL59" s="46"/>
      <c r="OQM59" s="46"/>
      <c r="OQN59" s="46"/>
      <c r="OQO59" s="46"/>
      <c r="OQP59" s="46"/>
      <c r="OQQ59" s="46"/>
      <c r="OQR59" s="46"/>
      <c r="OQS59" s="46"/>
      <c r="OQT59" s="46"/>
      <c r="OQU59" s="46"/>
      <c r="OQV59" s="46"/>
      <c r="OQW59" s="46"/>
      <c r="OQX59" s="46"/>
      <c r="OQY59" s="46"/>
      <c r="OQZ59" s="46"/>
      <c r="ORA59" s="46"/>
      <c r="ORB59" s="46"/>
      <c r="ORC59" s="46"/>
      <c r="ORD59" s="46"/>
      <c r="ORE59" s="46"/>
      <c r="ORF59" s="46"/>
      <c r="ORG59" s="46"/>
      <c r="ORH59" s="46"/>
      <c r="ORI59" s="46"/>
      <c r="ORJ59" s="46"/>
      <c r="ORK59" s="46"/>
      <c r="ORL59" s="46"/>
      <c r="ORM59" s="46"/>
      <c r="ORN59" s="46"/>
      <c r="ORO59" s="46"/>
      <c r="ORP59" s="46"/>
      <c r="ORQ59" s="46"/>
      <c r="ORR59" s="46"/>
      <c r="ORS59" s="46"/>
      <c r="ORT59" s="46"/>
      <c r="ORU59" s="46"/>
      <c r="ORV59" s="46"/>
      <c r="ORW59" s="46"/>
      <c r="ORX59" s="46"/>
      <c r="ORY59" s="46"/>
      <c r="ORZ59" s="46"/>
      <c r="OSA59" s="46"/>
      <c r="OSB59" s="46"/>
      <c r="OSC59" s="46"/>
      <c r="OSD59" s="46"/>
      <c r="OSE59" s="46"/>
      <c r="OSF59" s="46"/>
      <c r="OSG59" s="46"/>
      <c r="OSH59" s="46"/>
      <c r="OSI59" s="46"/>
      <c r="OSJ59" s="46"/>
      <c r="OSK59" s="46"/>
      <c r="OSL59" s="46"/>
      <c r="OSM59" s="46"/>
      <c r="OSN59" s="46"/>
      <c r="OSO59" s="46"/>
      <c r="OSP59" s="46"/>
      <c r="OSQ59" s="46"/>
      <c r="OSR59" s="46"/>
      <c r="OSS59" s="46"/>
      <c r="OST59" s="46"/>
      <c r="OSU59" s="46"/>
      <c r="OSV59" s="46"/>
      <c r="OSW59" s="46"/>
      <c r="OSX59" s="46"/>
      <c r="OSY59" s="46"/>
      <c r="OSZ59" s="46"/>
      <c r="OTA59" s="46"/>
      <c r="OTB59" s="46"/>
      <c r="OTC59" s="46"/>
      <c r="OTD59" s="46"/>
      <c r="OTE59" s="46"/>
      <c r="OTF59" s="46"/>
      <c r="OTG59" s="46"/>
      <c r="OTH59" s="46"/>
      <c r="OTI59" s="46"/>
      <c r="OTJ59" s="46"/>
      <c r="OTK59" s="46"/>
      <c r="OTL59" s="46"/>
      <c r="OTM59" s="46"/>
      <c r="OTN59" s="46"/>
      <c r="OTO59" s="46"/>
      <c r="OTP59" s="46"/>
      <c r="OTQ59" s="46"/>
      <c r="OTR59" s="46"/>
      <c r="OTS59" s="46"/>
      <c r="OTT59" s="46"/>
      <c r="OTU59" s="46"/>
      <c r="OTV59" s="46"/>
      <c r="OTW59" s="46"/>
      <c r="OTX59" s="46"/>
      <c r="OTY59" s="46"/>
      <c r="OTZ59" s="46"/>
      <c r="OUA59" s="46"/>
      <c r="OUB59" s="46"/>
      <c r="OUC59" s="46"/>
      <c r="OUD59" s="46"/>
      <c r="OUE59" s="46"/>
      <c r="OUF59" s="46"/>
      <c r="OUG59" s="46"/>
      <c r="OUH59" s="46"/>
      <c r="OUI59" s="46"/>
      <c r="OUJ59" s="46"/>
      <c r="OUK59" s="46"/>
      <c r="OUL59" s="46"/>
      <c r="OUM59" s="46"/>
      <c r="OUN59" s="46"/>
      <c r="OUO59" s="46"/>
      <c r="OUP59" s="46"/>
      <c r="OUQ59" s="46"/>
      <c r="OUR59" s="46"/>
      <c r="OUS59" s="46"/>
      <c r="OUT59" s="46"/>
      <c r="OUU59" s="46"/>
      <c r="OUV59" s="46"/>
      <c r="OUW59" s="46"/>
      <c r="OUX59" s="46"/>
      <c r="OUY59" s="46"/>
      <c r="OUZ59" s="46"/>
      <c r="OVA59" s="46"/>
      <c r="OVB59" s="46"/>
      <c r="OVC59" s="46"/>
      <c r="OVD59" s="46"/>
      <c r="OVE59" s="46"/>
      <c r="OVF59" s="46"/>
      <c r="OVG59" s="46"/>
      <c r="OVH59" s="46"/>
      <c r="OVI59" s="46"/>
      <c r="OVJ59" s="46"/>
      <c r="OVK59" s="46"/>
      <c r="OVL59" s="46"/>
      <c r="OVM59" s="46"/>
      <c r="OVN59" s="46"/>
      <c r="OVO59" s="46"/>
      <c r="OVP59" s="46"/>
      <c r="OVQ59" s="46"/>
      <c r="OVR59" s="46"/>
      <c r="OVS59" s="46"/>
      <c r="OVT59" s="46"/>
      <c r="OVU59" s="46"/>
      <c r="OVV59" s="46"/>
      <c r="OVW59" s="46"/>
      <c r="OVX59" s="46"/>
      <c r="OVY59" s="46"/>
      <c r="OVZ59" s="46"/>
      <c r="OWA59" s="46"/>
      <c r="OWB59" s="46"/>
      <c r="OWC59" s="46"/>
      <c r="OWD59" s="46"/>
      <c r="OWE59" s="46"/>
      <c r="OWF59" s="46"/>
      <c r="OWG59" s="46"/>
      <c r="OWH59" s="46"/>
      <c r="OWI59" s="46"/>
      <c r="OWJ59" s="46"/>
      <c r="OWK59" s="46"/>
      <c r="OWL59" s="46"/>
      <c r="OWM59" s="46"/>
      <c r="OWN59" s="46"/>
      <c r="OWO59" s="46"/>
      <c r="OWP59" s="46"/>
      <c r="OWQ59" s="46"/>
      <c r="OWR59" s="46"/>
      <c r="OWS59" s="46"/>
      <c r="OWT59" s="46"/>
      <c r="OWU59" s="46"/>
      <c r="OWV59" s="46"/>
      <c r="OWW59" s="46"/>
      <c r="OWX59" s="46"/>
      <c r="OWY59" s="46"/>
      <c r="OWZ59" s="46"/>
      <c r="OXA59" s="46"/>
      <c r="OXB59" s="46"/>
      <c r="OXC59" s="46"/>
      <c r="OXD59" s="46"/>
      <c r="OXE59" s="46"/>
      <c r="OXF59" s="46"/>
      <c r="OXG59" s="46"/>
      <c r="OXH59" s="46"/>
      <c r="OXI59" s="46"/>
      <c r="OXJ59" s="46"/>
      <c r="OXK59" s="46"/>
      <c r="OXL59" s="46"/>
      <c r="OXM59" s="46"/>
      <c r="OXN59" s="46"/>
      <c r="OXO59" s="46"/>
      <c r="OXP59" s="46"/>
      <c r="OXQ59" s="46"/>
      <c r="OXR59" s="46"/>
      <c r="OXS59" s="46"/>
      <c r="OXT59" s="46"/>
      <c r="OXU59" s="46"/>
      <c r="OXV59" s="46"/>
      <c r="OXW59" s="46"/>
      <c r="OXX59" s="46"/>
      <c r="OXY59" s="46"/>
      <c r="OXZ59" s="46"/>
      <c r="OYA59" s="46"/>
      <c r="OYB59" s="46"/>
      <c r="OYC59" s="46"/>
      <c r="OYD59" s="46"/>
      <c r="OYE59" s="46"/>
      <c r="OYF59" s="46"/>
      <c r="OYG59" s="46"/>
      <c r="OYH59" s="46"/>
      <c r="OYI59" s="46"/>
      <c r="OYJ59" s="46"/>
      <c r="OYK59" s="46"/>
      <c r="OYL59" s="46"/>
      <c r="OYM59" s="46"/>
      <c r="OYN59" s="46"/>
      <c r="OYO59" s="46"/>
      <c r="OYP59" s="46"/>
      <c r="OYQ59" s="46"/>
      <c r="OYR59" s="46"/>
      <c r="OYS59" s="46"/>
      <c r="OYT59" s="46"/>
      <c r="OYU59" s="46"/>
      <c r="OYV59" s="46"/>
      <c r="OYW59" s="46"/>
      <c r="OYX59" s="46"/>
      <c r="OYY59" s="46"/>
      <c r="OYZ59" s="46"/>
      <c r="OZA59" s="46"/>
      <c r="OZB59" s="46"/>
      <c r="OZC59" s="46"/>
      <c r="OZD59" s="46"/>
      <c r="OZE59" s="46"/>
      <c r="OZF59" s="46"/>
      <c r="OZG59" s="46"/>
      <c r="OZH59" s="46"/>
      <c r="OZI59" s="46"/>
      <c r="OZJ59" s="46"/>
      <c r="OZK59" s="46"/>
      <c r="OZL59" s="46"/>
      <c r="OZM59" s="46"/>
      <c r="OZN59" s="46"/>
      <c r="OZO59" s="46"/>
      <c r="OZP59" s="46"/>
      <c r="OZQ59" s="46"/>
      <c r="OZR59" s="46"/>
      <c r="OZS59" s="46"/>
      <c r="OZT59" s="46"/>
      <c r="OZU59" s="46"/>
      <c r="OZV59" s="46"/>
      <c r="OZW59" s="46"/>
      <c r="OZX59" s="46"/>
      <c r="OZY59" s="46"/>
      <c r="OZZ59" s="46"/>
      <c r="PAA59" s="46"/>
      <c r="PAB59" s="46"/>
      <c r="PAC59" s="46"/>
      <c r="PAD59" s="46"/>
      <c r="PAE59" s="46"/>
      <c r="PAF59" s="46"/>
      <c r="PAG59" s="46"/>
      <c r="PAH59" s="46"/>
      <c r="PAI59" s="46"/>
      <c r="PAJ59" s="46"/>
      <c r="PAK59" s="46"/>
      <c r="PAL59" s="46"/>
      <c r="PAM59" s="46"/>
      <c r="PAN59" s="46"/>
      <c r="PAO59" s="46"/>
      <c r="PAP59" s="46"/>
      <c r="PAQ59" s="46"/>
      <c r="PAR59" s="46"/>
      <c r="PAS59" s="46"/>
      <c r="PAT59" s="46"/>
      <c r="PAU59" s="46"/>
      <c r="PAV59" s="46"/>
      <c r="PAW59" s="46"/>
      <c r="PAX59" s="46"/>
      <c r="PAY59" s="46"/>
      <c r="PAZ59" s="46"/>
      <c r="PBA59" s="46"/>
      <c r="PBB59" s="46"/>
      <c r="PBC59" s="46"/>
      <c r="PBD59" s="46"/>
      <c r="PBE59" s="46"/>
      <c r="PBF59" s="46"/>
      <c r="PBG59" s="46"/>
      <c r="PBH59" s="46"/>
      <c r="PBI59" s="46"/>
      <c r="PBJ59" s="46"/>
      <c r="PBK59" s="46"/>
      <c r="PBL59" s="46"/>
      <c r="PBM59" s="46"/>
      <c r="PBN59" s="46"/>
      <c r="PBO59" s="46"/>
      <c r="PBP59" s="46"/>
      <c r="PBQ59" s="46"/>
      <c r="PBR59" s="46"/>
      <c r="PBS59" s="46"/>
      <c r="PBT59" s="46"/>
      <c r="PBU59" s="46"/>
      <c r="PBV59" s="46"/>
      <c r="PBW59" s="46"/>
      <c r="PBX59" s="46"/>
      <c r="PBY59" s="46"/>
      <c r="PBZ59" s="46"/>
      <c r="PCA59" s="46"/>
      <c r="PCB59" s="46"/>
      <c r="PCC59" s="46"/>
      <c r="PCD59" s="46"/>
      <c r="PCE59" s="46"/>
      <c r="PCF59" s="46"/>
      <c r="PCG59" s="46"/>
      <c r="PCH59" s="46"/>
      <c r="PCI59" s="46"/>
      <c r="PCJ59" s="46"/>
      <c r="PCK59" s="46"/>
      <c r="PCL59" s="46"/>
      <c r="PCM59" s="46"/>
      <c r="PCN59" s="46"/>
      <c r="PCO59" s="46"/>
      <c r="PCP59" s="46"/>
      <c r="PCQ59" s="46"/>
      <c r="PCR59" s="46"/>
      <c r="PCS59" s="46"/>
      <c r="PCT59" s="46"/>
      <c r="PCU59" s="46"/>
      <c r="PCV59" s="46"/>
      <c r="PCW59" s="46"/>
      <c r="PCX59" s="46"/>
      <c r="PCY59" s="46"/>
      <c r="PCZ59" s="46"/>
      <c r="PDA59" s="46"/>
      <c r="PDB59" s="46"/>
      <c r="PDC59" s="46"/>
      <c r="PDD59" s="46"/>
      <c r="PDE59" s="46"/>
      <c r="PDF59" s="46"/>
      <c r="PDG59" s="46"/>
      <c r="PDH59" s="46"/>
      <c r="PDI59" s="46"/>
      <c r="PDJ59" s="46"/>
      <c r="PDK59" s="46"/>
      <c r="PDL59" s="46"/>
      <c r="PDM59" s="46"/>
      <c r="PDN59" s="46"/>
      <c r="PDO59" s="46"/>
      <c r="PDP59" s="46"/>
      <c r="PDQ59" s="46"/>
      <c r="PDR59" s="46"/>
      <c r="PDS59" s="46"/>
      <c r="PDT59" s="46"/>
      <c r="PDU59" s="46"/>
      <c r="PDV59" s="46"/>
      <c r="PDW59" s="46"/>
      <c r="PDX59" s="46"/>
      <c r="PDY59" s="46"/>
      <c r="PDZ59" s="46"/>
      <c r="PEA59" s="46"/>
      <c r="PEB59" s="46"/>
      <c r="PEC59" s="46"/>
      <c r="PED59" s="46"/>
      <c r="PEE59" s="46"/>
      <c r="PEF59" s="46"/>
      <c r="PEG59" s="46"/>
      <c r="PEH59" s="46"/>
      <c r="PEI59" s="46"/>
      <c r="PEJ59" s="46"/>
      <c r="PEK59" s="46"/>
      <c r="PEL59" s="46"/>
      <c r="PEM59" s="46"/>
      <c r="PEN59" s="46"/>
      <c r="PEO59" s="46"/>
      <c r="PEP59" s="46"/>
      <c r="PEQ59" s="46"/>
      <c r="PER59" s="46"/>
      <c r="PES59" s="46"/>
      <c r="PET59" s="46"/>
      <c r="PEU59" s="46"/>
      <c r="PEV59" s="46"/>
      <c r="PEW59" s="46"/>
      <c r="PEX59" s="46"/>
      <c r="PEY59" s="46"/>
      <c r="PEZ59" s="46"/>
      <c r="PFA59" s="46"/>
      <c r="PFB59" s="46"/>
      <c r="PFC59" s="46"/>
      <c r="PFD59" s="46"/>
      <c r="PFE59" s="46"/>
      <c r="PFF59" s="46"/>
      <c r="PFG59" s="46"/>
      <c r="PFH59" s="46"/>
      <c r="PFI59" s="46"/>
      <c r="PFJ59" s="46"/>
      <c r="PFK59" s="46"/>
      <c r="PFL59" s="46"/>
      <c r="PFM59" s="46"/>
      <c r="PFN59" s="46"/>
      <c r="PFO59" s="46"/>
      <c r="PFP59" s="46"/>
      <c r="PFQ59" s="46"/>
      <c r="PFR59" s="46"/>
      <c r="PFS59" s="46"/>
      <c r="PFT59" s="46"/>
      <c r="PFU59" s="46"/>
      <c r="PFV59" s="46"/>
      <c r="PFW59" s="46"/>
      <c r="PFX59" s="46"/>
      <c r="PFY59" s="46"/>
      <c r="PFZ59" s="46"/>
      <c r="PGA59" s="46"/>
      <c r="PGB59" s="46"/>
      <c r="PGC59" s="46"/>
      <c r="PGD59" s="46"/>
      <c r="PGE59" s="46"/>
      <c r="PGF59" s="46"/>
      <c r="PGG59" s="46"/>
      <c r="PGH59" s="46"/>
      <c r="PGI59" s="46"/>
      <c r="PGJ59" s="46"/>
      <c r="PGK59" s="46"/>
      <c r="PGL59" s="46"/>
      <c r="PGM59" s="46"/>
      <c r="PGN59" s="46"/>
      <c r="PGO59" s="46"/>
      <c r="PGP59" s="46"/>
      <c r="PGQ59" s="46"/>
      <c r="PGR59" s="46"/>
      <c r="PGS59" s="46"/>
      <c r="PGT59" s="46"/>
      <c r="PGU59" s="46"/>
      <c r="PGV59" s="46"/>
      <c r="PGW59" s="46"/>
      <c r="PGX59" s="46"/>
      <c r="PGY59" s="46"/>
      <c r="PGZ59" s="46"/>
      <c r="PHA59" s="46"/>
      <c r="PHB59" s="46"/>
      <c r="PHC59" s="46"/>
      <c r="PHD59" s="46"/>
      <c r="PHE59" s="46"/>
      <c r="PHF59" s="46"/>
      <c r="PHG59" s="46"/>
      <c r="PHH59" s="46"/>
      <c r="PHI59" s="46"/>
      <c r="PHJ59" s="46"/>
      <c r="PHK59" s="46"/>
      <c r="PHL59" s="46"/>
      <c r="PHM59" s="46"/>
      <c r="PHN59" s="46"/>
      <c r="PHO59" s="46"/>
      <c r="PHP59" s="46"/>
      <c r="PHQ59" s="46"/>
      <c r="PHR59" s="46"/>
      <c r="PHS59" s="46"/>
      <c r="PHT59" s="46"/>
      <c r="PHU59" s="46"/>
      <c r="PHV59" s="46"/>
      <c r="PHW59" s="46"/>
      <c r="PHX59" s="46"/>
      <c r="PHY59" s="46"/>
      <c r="PHZ59" s="46"/>
      <c r="PIA59" s="46"/>
      <c r="PIB59" s="46"/>
      <c r="PIC59" s="46"/>
      <c r="PID59" s="46"/>
      <c r="PIE59" s="46"/>
      <c r="PIF59" s="46"/>
      <c r="PIG59" s="46"/>
      <c r="PIH59" s="46"/>
      <c r="PII59" s="46"/>
      <c r="PIJ59" s="46"/>
      <c r="PIK59" s="46"/>
      <c r="PIL59" s="46"/>
      <c r="PIM59" s="46"/>
      <c r="PIN59" s="46"/>
      <c r="PIO59" s="46"/>
      <c r="PIP59" s="46"/>
      <c r="PIQ59" s="46"/>
      <c r="PIR59" s="46"/>
      <c r="PIS59" s="46"/>
      <c r="PIT59" s="46"/>
      <c r="PIU59" s="46"/>
      <c r="PIV59" s="46"/>
      <c r="PIW59" s="46"/>
      <c r="PIX59" s="46"/>
      <c r="PIY59" s="46"/>
      <c r="PIZ59" s="46"/>
      <c r="PJA59" s="46"/>
      <c r="PJB59" s="46"/>
      <c r="PJC59" s="46"/>
      <c r="PJD59" s="46"/>
      <c r="PJE59" s="46"/>
      <c r="PJF59" s="46"/>
      <c r="PJG59" s="46"/>
      <c r="PJH59" s="46"/>
      <c r="PJI59" s="46"/>
      <c r="PJJ59" s="46"/>
      <c r="PJK59" s="46"/>
      <c r="PJL59" s="46"/>
      <c r="PJM59" s="46"/>
      <c r="PJN59" s="46"/>
      <c r="PJO59" s="46"/>
      <c r="PJP59" s="46"/>
      <c r="PJQ59" s="46"/>
      <c r="PJR59" s="46"/>
      <c r="PJS59" s="46"/>
      <c r="PJT59" s="46"/>
      <c r="PJU59" s="46"/>
      <c r="PJV59" s="46"/>
      <c r="PJW59" s="46"/>
      <c r="PJX59" s="46"/>
      <c r="PJY59" s="46"/>
      <c r="PJZ59" s="46"/>
      <c r="PKA59" s="46"/>
      <c r="PKB59" s="46"/>
      <c r="PKC59" s="46"/>
      <c r="PKD59" s="46"/>
      <c r="PKE59" s="46"/>
      <c r="PKF59" s="46"/>
      <c r="PKG59" s="46"/>
      <c r="PKH59" s="46"/>
      <c r="PKI59" s="46"/>
      <c r="PKJ59" s="46"/>
      <c r="PKK59" s="46"/>
      <c r="PKL59" s="46"/>
      <c r="PKM59" s="46"/>
      <c r="PKN59" s="46"/>
      <c r="PKO59" s="46"/>
      <c r="PKP59" s="46"/>
      <c r="PKQ59" s="46"/>
      <c r="PKR59" s="46"/>
      <c r="PKS59" s="46"/>
      <c r="PKT59" s="46"/>
      <c r="PKU59" s="46"/>
      <c r="PKV59" s="46"/>
      <c r="PKW59" s="46"/>
      <c r="PKX59" s="46"/>
      <c r="PKY59" s="46"/>
      <c r="PKZ59" s="46"/>
      <c r="PLA59" s="46"/>
      <c r="PLB59" s="46"/>
      <c r="PLC59" s="46"/>
      <c r="PLD59" s="46"/>
      <c r="PLE59" s="46"/>
      <c r="PLF59" s="46"/>
      <c r="PLG59" s="46"/>
      <c r="PLH59" s="46"/>
      <c r="PLI59" s="46"/>
      <c r="PLJ59" s="46"/>
      <c r="PLK59" s="46"/>
      <c r="PLL59" s="46"/>
      <c r="PLM59" s="46"/>
      <c r="PLN59" s="46"/>
      <c r="PLO59" s="46"/>
      <c r="PLP59" s="46"/>
      <c r="PLQ59" s="46"/>
      <c r="PLR59" s="46"/>
      <c r="PLS59" s="46"/>
      <c r="PLT59" s="46"/>
      <c r="PLU59" s="46"/>
      <c r="PLV59" s="46"/>
      <c r="PLW59" s="46"/>
      <c r="PLX59" s="46"/>
      <c r="PLY59" s="46"/>
      <c r="PLZ59" s="46"/>
      <c r="PMA59" s="46"/>
      <c r="PMB59" s="46"/>
      <c r="PMC59" s="46"/>
      <c r="PMD59" s="46"/>
      <c r="PME59" s="46"/>
      <c r="PMF59" s="46"/>
      <c r="PMG59" s="46"/>
      <c r="PMH59" s="46"/>
      <c r="PMI59" s="46"/>
      <c r="PMJ59" s="46"/>
      <c r="PMK59" s="46"/>
      <c r="PML59" s="46"/>
      <c r="PMM59" s="46"/>
      <c r="PMN59" s="46"/>
      <c r="PMO59" s="46"/>
      <c r="PMP59" s="46"/>
      <c r="PMQ59" s="46"/>
      <c r="PMR59" s="46"/>
      <c r="PMS59" s="46"/>
      <c r="PMT59" s="46"/>
      <c r="PMU59" s="46"/>
      <c r="PMV59" s="46"/>
      <c r="PMW59" s="46"/>
      <c r="PMX59" s="46"/>
      <c r="PMY59" s="46"/>
      <c r="PMZ59" s="46"/>
      <c r="PNA59" s="46"/>
      <c r="PNB59" s="46"/>
      <c r="PNC59" s="46"/>
      <c r="PND59" s="46"/>
      <c r="PNE59" s="46"/>
      <c r="PNF59" s="46"/>
      <c r="PNG59" s="46"/>
      <c r="PNH59" s="46"/>
      <c r="PNI59" s="46"/>
      <c r="PNJ59" s="46"/>
      <c r="PNK59" s="46"/>
      <c r="PNL59" s="46"/>
      <c r="PNM59" s="46"/>
      <c r="PNN59" s="46"/>
      <c r="PNO59" s="46"/>
      <c r="PNP59" s="46"/>
      <c r="PNQ59" s="46"/>
      <c r="PNR59" s="46"/>
      <c r="PNS59" s="46"/>
      <c r="PNT59" s="46"/>
      <c r="PNU59" s="46"/>
      <c r="PNV59" s="46"/>
      <c r="PNW59" s="46"/>
      <c r="PNX59" s="46"/>
      <c r="PNY59" s="46"/>
      <c r="PNZ59" s="46"/>
      <c r="POA59" s="46"/>
      <c r="POB59" s="46"/>
      <c r="POC59" s="46"/>
      <c r="POD59" s="46"/>
      <c r="POE59" s="46"/>
      <c r="POF59" s="46"/>
      <c r="POG59" s="46"/>
      <c r="POH59" s="46"/>
      <c r="POI59" s="46"/>
      <c r="POJ59" s="46"/>
      <c r="POK59" s="46"/>
      <c r="POL59" s="46"/>
      <c r="POM59" s="46"/>
      <c r="PON59" s="46"/>
      <c r="POO59" s="46"/>
      <c r="POP59" s="46"/>
      <c r="POQ59" s="46"/>
      <c r="POR59" s="46"/>
      <c r="POS59" s="46"/>
      <c r="POT59" s="46"/>
      <c r="POU59" s="46"/>
      <c r="POV59" s="46"/>
      <c r="POW59" s="46"/>
      <c r="POX59" s="46"/>
      <c r="POY59" s="46"/>
      <c r="POZ59" s="46"/>
      <c r="PPA59" s="46"/>
      <c r="PPB59" s="46"/>
      <c r="PPC59" s="46"/>
      <c r="PPD59" s="46"/>
      <c r="PPE59" s="46"/>
      <c r="PPF59" s="46"/>
      <c r="PPG59" s="46"/>
      <c r="PPH59" s="46"/>
      <c r="PPI59" s="46"/>
      <c r="PPJ59" s="46"/>
      <c r="PPK59" s="46"/>
      <c r="PPL59" s="46"/>
      <c r="PPM59" s="46"/>
      <c r="PPN59" s="46"/>
      <c r="PPO59" s="46"/>
      <c r="PPP59" s="46"/>
      <c r="PPQ59" s="46"/>
      <c r="PPR59" s="46"/>
      <c r="PPS59" s="46"/>
      <c r="PPT59" s="46"/>
      <c r="PPU59" s="46"/>
      <c r="PPV59" s="46"/>
      <c r="PPW59" s="46"/>
      <c r="PPX59" s="46"/>
      <c r="PPY59" s="46"/>
      <c r="PPZ59" s="46"/>
      <c r="PQA59" s="46"/>
      <c r="PQB59" s="46"/>
      <c r="PQC59" s="46"/>
      <c r="PQD59" s="46"/>
      <c r="PQE59" s="46"/>
      <c r="PQF59" s="46"/>
      <c r="PQG59" s="46"/>
      <c r="PQH59" s="46"/>
      <c r="PQI59" s="46"/>
      <c r="PQJ59" s="46"/>
      <c r="PQK59" s="46"/>
      <c r="PQL59" s="46"/>
      <c r="PQM59" s="46"/>
      <c r="PQN59" s="46"/>
      <c r="PQO59" s="46"/>
      <c r="PQP59" s="46"/>
      <c r="PQQ59" s="46"/>
      <c r="PQR59" s="46"/>
      <c r="PQS59" s="46"/>
      <c r="PQT59" s="46"/>
      <c r="PQU59" s="46"/>
      <c r="PQV59" s="46"/>
      <c r="PQW59" s="46"/>
      <c r="PQX59" s="46"/>
      <c r="PQY59" s="46"/>
      <c r="PQZ59" s="46"/>
      <c r="PRA59" s="46"/>
      <c r="PRB59" s="46"/>
      <c r="PRC59" s="46"/>
      <c r="PRD59" s="46"/>
      <c r="PRE59" s="46"/>
      <c r="PRF59" s="46"/>
      <c r="PRG59" s="46"/>
      <c r="PRH59" s="46"/>
      <c r="PRI59" s="46"/>
      <c r="PRJ59" s="46"/>
      <c r="PRK59" s="46"/>
      <c r="PRL59" s="46"/>
      <c r="PRM59" s="46"/>
      <c r="PRN59" s="46"/>
      <c r="PRO59" s="46"/>
      <c r="PRP59" s="46"/>
      <c r="PRQ59" s="46"/>
      <c r="PRR59" s="46"/>
      <c r="PRS59" s="46"/>
      <c r="PRT59" s="46"/>
      <c r="PRU59" s="46"/>
      <c r="PRV59" s="46"/>
      <c r="PRW59" s="46"/>
      <c r="PRX59" s="46"/>
      <c r="PRY59" s="46"/>
      <c r="PRZ59" s="46"/>
      <c r="PSA59" s="46"/>
      <c r="PSB59" s="46"/>
      <c r="PSC59" s="46"/>
      <c r="PSD59" s="46"/>
      <c r="PSE59" s="46"/>
      <c r="PSF59" s="46"/>
      <c r="PSG59" s="46"/>
      <c r="PSH59" s="46"/>
      <c r="PSI59" s="46"/>
      <c r="PSJ59" s="46"/>
      <c r="PSK59" s="46"/>
      <c r="PSL59" s="46"/>
      <c r="PSM59" s="46"/>
      <c r="PSN59" s="46"/>
      <c r="PSO59" s="46"/>
      <c r="PSP59" s="46"/>
      <c r="PSQ59" s="46"/>
      <c r="PSR59" s="46"/>
      <c r="PSS59" s="46"/>
      <c r="PST59" s="46"/>
      <c r="PSU59" s="46"/>
      <c r="PSV59" s="46"/>
      <c r="PSW59" s="46"/>
      <c r="PSX59" s="46"/>
      <c r="PSY59" s="46"/>
      <c r="PSZ59" s="46"/>
      <c r="PTA59" s="46"/>
      <c r="PTB59" s="46"/>
      <c r="PTC59" s="46"/>
      <c r="PTD59" s="46"/>
      <c r="PTE59" s="46"/>
      <c r="PTF59" s="46"/>
      <c r="PTG59" s="46"/>
      <c r="PTH59" s="46"/>
      <c r="PTI59" s="46"/>
      <c r="PTJ59" s="46"/>
      <c r="PTK59" s="46"/>
      <c r="PTL59" s="46"/>
      <c r="PTM59" s="46"/>
      <c r="PTN59" s="46"/>
      <c r="PTO59" s="46"/>
      <c r="PTP59" s="46"/>
      <c r="PTQ59" s="46"/>
      <c r="PTR59" s="46"/>
      <c r="PTS59" s="46"/>
      <c r="PTT59" s="46"/>
      <c r="PTU59" s="46"/>
      <c r="PTV59" s="46"/>
      <c r="PTW59" s="46"/>
      <c r="PTX59" s="46"/>
      <c r="PTY59" s="46"/>
      <c r="PTZ59" s="46"/>
      <c r="PUA59" s="46"/>
      <c r="PUB59" s="46"/>
      <c r="PUC59" s="46"/>
      <c r="PUD59" s="46"/>
      <c r="PUE59" s="46"/>
      <c r="PUF59" s="46"/>
      <c r="PUG59" s="46"/>
      <c r="PUH59" s="46"/>
      <c r="PUI59" s="46"/>
      <c r="PUJ59" s="46"/>
      <c r="PUK59" s="46"/>
      <c r="PUL59" s="46"/>
      <c r="PUM59" s="46"/>
      <c r="PUN59" s="46"/>
      <c r="PUO59" s="46"/>
      <c r="PUP59" s="46"/>
      <c r="PUQ59" s="46"/>
      <c r="PUR59" s="46"/>
      <c r="PUS59" s="46"/>
      <c r="PUT59" s="46"/>
      <c r="PUU59" s="46"/>
      <c r="PUV59" s="46"/>
      <c r="PUW59" s="46"/>
      <c r="PUX59" s="46"/>
      <c r="PUY59" s="46"/>
      <c r="PUZ59" s="46"/>
      <c r="PVA59" s="46"/>
      <c r="PVB59" s="46"/>
      <c r="PVC59" s="46"/>
      <c r="PVD59" s="46"/>
      <c r="PVE59" s="46"/>
      <c r="PVF59" s="46"/>
      <c r="PVG59" s="46"/>
      <c r="PVH59" s="46"/>
      <c r="PVI59" s="46"/>
      <c r="PVJ59" s="46"/>
      <c r="PVK59" s="46"/>
      <c r="PVL59" s="46"/>
      <c r="PVM59" s="46"/>
      <c r="PVN59" s="46"/>
      <c r="PVO59" s="46"/>
      <c r="PVP59" s="46"/>
      <c r="PVQ59" s="46"/>
      <c r="PVR59" s="46"/>
      <c r="PVS59" s="46"/>
      <c r="PVT59" s="46"/>
      <c r="PVU59" s="46"/>
      <c r="PVV59" s="46"/>
      <c r="PVW59" s="46"/>
      <c r="PVX59" s="46"/>
      <c r="PVY59" s="46"/>
      <c r="PVZ59" s="46"/>
      <c r="PWA59" s="46"/>
      <c r="PWB59" s="46"/>
      <c r="PWC59" s="46"/>
      <c r="PWD59" s="46"/>
      <c r="PWE59" s="46"/>
      <c r="PWF59" s="46"/>
      <c r="PWG59" s="46"/>
      <c r="PWH59" s="46"/>
      <c r="PWI59" s="46"/>
      <c r="PWJ59" s="46"/>
      <c r="PWK59" s="46"/>
      <c r="PWL59" s="46"/>
      <c r="PWM59" s="46"/>
      <c r="PWN59" s="46"/>
      <c r="PWO59" s="46"/>
      <c r="PWP59" s="46"/>
      <c r="PWQ59" s="46"/>
      <c r="PWR59" s="46"/>
      <c r="PWS59" s="46"/>
      <c r="PWT59" s="46"/>
      <c r="PWU59" s="46"/>
      <c r="PWV59" s="46"/>
      <c r="PWW59" s="46"/>
      <c r="PWX59" s="46"/>
      <c r="PWY59" s="46"/>
      <c r="PWZ59" s="46"/>
      <c r="PXA59" s="46"/>
      <c r="PXB59" s="46"/>
      <c r="PXC59" s="46"/>
      <c r="PXD59" s="46"/>
      <c r="PXE59" s="46"/>
      <c r="PXF59" s="46"/>
      <c r="PXG59" s="46"/>
      <c r="PXH59" s="46"/>
      <c r="PXI59" s="46"/>
      <c r="PXJ59" s="46"/>
      <c r="PXK59" s="46"/>
      <c r="PXL59" s="46"/>
      <c r="PXM59" s="46"/>
      <c r="PXN59" s="46"/>
      <c r="PXO59" s="46"/>
      <c r="PXP59" s="46"/>
      <c r="PXQ59" s="46"/>
      <c r="PXR59" s="46"/>
      <c r="PXS59" s="46"/>
      <c r="PXT59" s="46"/>
      <c r="PXU59" s="46"/>
      <c r="PXV59" s="46"/>
      <c r="PXW59" s="46"/>
      <c r="PXX59" s="46"/>
      <c r="PXY59" s="46"/>
      <c r="PXZ59" s="46"/>
      <c r="PYA59" s="46"/>
      <c r="PYB59" s="46"/>
      <c r="PYC59" s="46"/>
      <c r="PYD59" s="46"/>
      <c r="PYE59" s="46"/>
      <c r="PYF59" s="46"/>
      <c r="PYG59" s="46"/>
      <c r="PYH59" s="46"/>
      <c r="PYI59" s="46"/>
      <c r="PYJ59" s="46"/>
      <c r="PYK59" s="46"/>
      <c r="PYL59" s="46"/>
      <c r="PYM59" s="46"/>
      <c r="PYN59" s="46"/>
      <c r="PYO59" s="46"/>
      <c r="PYP59" s="46"/>
      <c r="PYQ59" s="46"/>
      <c r="PYR59" s="46"/>
      <c r="PYS59" s="46"/>
      <c r="PYT59" s="46"/>
      <c r="PYU59" s="46"/>
      <c r="PYV59" s="46"/>
      <c r="PYW59" s="46"/>
      <c r="PYX59" s="46"/>
      <c r="PYY59" s="46"/>
      <c r="PYZ59" s="46"/>
      <c r="PZA59" s="46"/>
      <c r="PZB59" s="46"/>
      <c r="PZC59" s="46"/>
      <c r="PZD59" s="46"/>
      <c r="PZE59" s="46"/>
      <c r="PZF59" s="46"/>
      <c r="PZG59" s="46"/>
      <c r="PZH59" s="46"/>
      <c r="PZI59" s="46"/>
      <c r="PZJ59" s="46"/>
      <c r="PZK59" s="46"/>
      <c r="PZL59" s="46"/>
      <c r="PZM59" s="46"/>
      <c r="PZN59" s="46"/>
      <c r="PZO59" s="46"/>
      <c r="PZP59" s="46"/>
      <c r="PZQ59" s="46"/>
      <c r="PZR59" s="46"/>
      <c r="PZS59" s="46"/>
      <c r="PZT59" s="46"/>
      <c r="PZU59" s="46"/>
      <c r="PZV59" s="46"/>
      <c r="PZW59" s="46"/>
      <c r="PZX59" s="46"/>
      <c r="PZY59" s="46"/>
      <c r="PZZ59" s="46"/>
      <c r="QAA59" s="46"/>
      <c r="QAB59" s="46"/>
      <c r="QAC59" s="46"/>
      <c r="QAD59" s="46"/>
      <c r="QAE59" s="46"/>
      <c r="QAF59" s="46"/>
      <c r="QAG59" s="46"/>
      <c r="QAH59" s="46"/>
      <c r="QAI59" s="46"/>
      <c r="QAJ59" s="46"/>
      <c r="QAK59" s="46"/>
      <c r="QAL59" s="46"/>
      <c r="QAM59" s="46"/>
      <c r="QAN59" s="46"/>
      <c r="QAO59" s="46"/>
      <c r="QAP59" s="46"/>
      <c r="QAQ59" s="46"/>
      <c r="QAR59" s="46"/>
      <c r="QAS59" s="46"/>
      <c r="QAT59" s="46"/>
      <c r="QAU59" s="46"/>
      <c r="QAV59" s="46"/>
      <c r="QAW59" s="46"/>
      <c r="QAX59" s="46"/>
      <c r="QAY59" s="46"/>
      <c r="QAZ59" s="46"/>
      <c r="QBA59" s="46"/>
      <c r="QBB59" s="46"/>
      <c r="QBC59" s="46"/>
      <c r="QBD59" s="46"/>
      <c r="QBE59" s="46"/>
      <c r="QBF59" s="46"/>
      <c r="QBG59" s="46"/>
      <c r="QBH59" s="46"/>
      <c r="QBI59" s="46"/>
      <c r="QBJ59" s="46"/>
      <c r="QBK59" s="46"/>
      <c r="QBL59" s="46"/>
      <c r="QBM59" s="46"/>
      <c r="QBN59" s="46"/>
      <c r="QBO59" s="46"/>
      <c r="QBP59" s="46"/>
      <c r="QBQ59" s="46"/>
      <c r="QBR59" s="46"/>
      <c r="QBS59" s="46"/>
      <c r="QBT59" s="46"/>
      <c r="QBU59" s="46"/>
      <c r="QBV59" s="46"/>
      <c r="QBW59" s="46"/>
      <c r="QBX59" s="46"/>
      <c r="QBY59" s="46"/>
      <c r="QBZ59" s="46"/>
      <c r="QCA59" s="46"/>
      <c r="QCB59" s="46"/>
      <c r="QCC59" s="46"/>
      <c r="QCD59" s="46"/>
      <c r="QCE59" s="46"/>
      <c r="QCF59" s="46"/>
      <c r="QCG59" s="46"/>
      <c r="QCH59" s="46"/>
      <c r="QCI59" s="46"/>
      <c r="QCJ59" s="46"/>
      <c r="QCK59" s="46"/>
      <c r="QCL59" s="46"/>
      <c r="QCM59" s="46"/>
      <c r="QCN59" s="46"/>
      <c r="QCO59" s="46"/>
      <c r="QCP59" s="46"/>
      <c r="QCQ59" s="46"/>
      <c r="QCR59" s="46"/>
      <c r="QCS59" s="46"/>
      <c r="QCT59" s="46"/>
      <c r="QCU59" s="46"/>
      <c r="QCV59" s="46"/>
      <c r="QCW59" s="46"/>
      <c r="QCX59" s="46"/>
      <c r="QCY59" s="46"/>
      <c r="QCZ59" s="46"/>
      <c r="QDA59" s="46"/>
      <c r="QDB59" s="46"/>
      <c r="QDC59" s="46"/>
      <c r="QDD59" s="46"/>
      <c r="QDE59" s="46"/>
      <c r="QDF59" s="46"/>
      <c r="QDG59" s="46"/>
      <c r="QDH59" s="46"/>
      <c r="QDI59" s="46"/>
      <c r="QDJ59" s="46"/>
      <c r="QDK59" s="46"/>
      <c r="QDL59" s="46"/>
      <c r="QDM59" s="46"/>
      <c r="QDN59" s="46"/>
      <c r="QDO59" s="46"/>
      <c r="QDP59" s="46"/>
      <c r="QDQ59" s="46"/>
      <c r="QDR59" s="46"/>
      <c r="QDS59" s="46"/>
      <c r="QDT59" s="46"/>
      <c r="QDU59" s="46"/>
      <c r="QDV59" s="46"/>
      <c r="QDW59" s="46"/>
      <c r="QDX59" s="46"/>
      <c r="QDY59" s="46"/>
      <c r="QDZ59" s="46"/>
      <c r="QEA59" s="46"/>
      <c r="QEB59" s="46"/>
      <c r="QEC59" s="46"/>
      <c r="QED59" s="46"/>
      <c r="QEE59" s="46"/>
      <c r="QEF59" s="46"/>
      <c r="QEG59" s="46"/>
      <c r="QEH59" s="46"/>
      <c r="QEI59" s="46"/>
      <c r="QEJ59" s="46"/>
      <c r="QEK59" s="46"/>
      <c r="QEL59" s="46"/>
      <c r="QEM59" s="46"/>
      <c r="QEN59" s="46"/>
      <c r="QEO59" s="46"/>
      <c r="QEP59" s="46"/>
      <c r="QEQ59" s="46"/>
      <c r="QER59" s="46"/>
      <c r="QES59" s="46"/>
      <c r="QET59" s="46"/>
      <c r="QEU59" s="46"/>
      <c r="QEV59" s="46"/>
      <c r="QEW59" s="46"/>
      <c r="QEX59" s="46"/>
      <c r="QEY59" s="46"/>
      <c r="QEZ59" s="46"/>
      <c r="QFA59" s="46"/>
      <c r="QFB59" s="46"/>
      <c r="QFC59" s="46"/>
      <c r="QFD59" s="46"/>
      <c r="QFE59" s="46"/>
      <c r="QFF59" s="46"/>
      <c r="QFG59" s="46"/>
      <c r="QFH59" s="46"/>
      <c r="QFI59" s="46"/>
      <c r="QFJ59" s="46"/>
      <c r="QFK59" s="46"/>
      <c r="QFL59" s="46"/>
      <c r="QFM59" s="46"/>
      <c r="QFN59" s="46"/>
      <c r="QFO59" s="46"/>
      <c r="QFP59" s="46"/>
      <c r="QFQ59" s="46"/>
      <c r="QFR59" s="46"/>
      <c r="QFS59" s="46"/>
      <c r="QFT59" s="46"/>
      <c r="QFU59" s="46"/>
      <c r="QFV59" s="46"/>
      <c r="QFW59" s="46"/>
      <c r="QFX59" s="46"/>
      <c r="QFY59" s="46"/>
      <c r="QFZ59" s="46"/>
      <c r="QGA59" s="46"/>
      <c r="QGB59" s="46"/>
      <c r="QGC59" s="46"/>
      <c r="QGD59" s="46"/>
      <c r="QGE59" s="46"/>
      <c r="QGF59" s="46"/>
      <c r="QGG59" s="46"/>
      <c r="QGH59" s="46"/>
      <c r="QGI59" s="46"/>
      <c r="QGJ59" s="46"/>
      <c r="QGK59" s="46"/>
      <c r="QGL59" s="46"/>
      <c r="QGM59" s="46"/>
      <c r="QGN59" s="46"/>
      <c r="QGO59" s="46"/>
      <c r="QGP59" s="46"/>
      <c r="QGQ59" s="46"/>
      <c r="QGR59" s="46"/>
      <c r="QGS59" s="46"/>
      <c r="QGT59" s="46"/>
      <c r="QGU59" s="46"/>
      <c r="QGV59" s="46"/>
      <c r="QGW59" s="46"/>
      <c r="QGX59" s="46"/>
      <c r="QGY59" s="46"/>
      <c r="QGZ59" s="46"/>
      <c r="QHA59" s="46"/>
      <c r="QHB59" s="46"/>
      <c r="QHC59" s="46"/>
      <c r="QHD59" s="46"/>
      <c r="QHE59" s="46"/>
      <c r="QHF59" s="46"/>
      <c r="QHG59" s="46"/>
      <c r="QHH59" s="46"/>
      <c r="QHI59" s="46"/>
      <c r="QHJ59" s="46"/>
      <c r="QHK59" s="46"/>
      <c r="QHL59" s="46"/>
      <c r="QHM59" s="46"/>
      <c r="QHN59" s="46"/>
      <c r="QHO59" s="46"/>
      <c r="QHP59" s="46"/>
      <c r="QHQ59" s="46"/>
      <c r="QHR59" s="46"/>
      <c r="QHS59" s="46"/>
      <c r="QHT59" s="46"/>
      <c r="QHU59" s="46"/>
      <c r="QHV59" s="46"/>
      <c r="QHW59" s="46"/>
      <c r="QHX59" s="46"/>
      <c r="QHY59" s="46"/>
      <c r="QHZ59" s="46"/>
      <c r="QIA59" s="46"/>
      <c r="QIB59" s="46"/>
      <c r="QIC59" s="46"/>
      <c r="QID59" s="46"/>
      <c r="QIE59" s="46"/>
      <c r="QIF59" s="46"/>
      <c r="QIG59" s="46"/>
      <c r="QIH59" s="46"/>
      <c r="QII59" s="46"/>
      <c r="QIJ59" s="46"/>
      <c r="QIK59" s="46"/>
      <c r="QIL59" s="46"/>
      <c r="QIM59" s="46"/>
      <c r="QIN59" s="46"/>
      <c r="QIO59" s="46"/>
      <c r="QIP59" s="46"/>
      <c r="QIQ59" s="46"/>
      <c r="QIR59" s="46"/>
      <c r="QIS59" s="46"/>
      <c r="QIT59" s="46"/>
      <c r="QIU59" s="46"/>
      <c r="QIV59" s="46"/>
      <c r="QIW59" s="46"/>
      <c r="QIX59" s="46"/>
      <c r="QIY59" s="46"/>
      <c r="QIZ59" s="46"/>
      <c r="QJA59" s="46"/>
      <c r="QJB59" s="46"/>
      <c r="QJC59" s="46"/>
      <c r="QJD59" s="46"/>
      <c r="QJE59" s="46"/>
      <c r="QJF59" s="46"/>
      <c r="QJG59" s="46"/>
      <c r="QJH59" s="46"/>
      <c r="QJI59" s="46"/>
      <c r="QJJ59" s="46"/>
      <c r="QJK59" s="46"/>
      <c r="QJL59" s="46"/>
      <c r="QJM59" s="46"/>
      <c r="QJN59" s="46"/>
      <c r="QJO59" s="46"/>
      <c r="QJP59" s="46"/>
      <c r="QJQ59" s="46"/>
      <c r="QJR59" s="46"/>
      <c r="QJS59" s="46"/>
      <c r="QJT59" s="46"/>
      <c r="QJU59" s="46"/>
      <c r="QJV59" s="46"/>
      <c r="QJW59" s="46"/>
      <c r="QJX59" s="46"/>
      <c r="QJY59" s="46"/>
      <c r="QJZ59" s="46"/>
      <c r="QKA59" s="46"/>
      <c r="QKB59" s="46"/>
      <c r="QKC59" s="46"/>
      <c r="QKD59" s="46"/>
      <c r="QKE59" s="46"/>
      <c r="QKF59" s="46"/>
      <c r="QKG59" s="46"/>
      <c r="QKH59" s="46"/>
      <c r="QKI59" s="46"/>
      <c r="QKJ59" s="46"/>
      <c r="QKK59" s="46"/>
      <c r="QKL59" s="46"/>
      <c r="QKM59" s="46"/>
      <c r="QKN59" s="46"/>
      <c r="QKO59" s="46"/>
      <c r="QKP59" s="46"/>
      <c r="QKQ59" s="46"/>
      <c r="QKR59" s="46"/>
      <c r="QKS59" s="46"/>
      <c r="QKT59" s="46"/>
      <c r="QKU59" s="46"/>
      <c r="QKV59" s="46"/>
      <c r="QKW59" s="46"/>
      <c r="QKX59" s="46"/>
      <c r="QKY59" s="46"/>
      <c r="QKZ59" s="46"/>
      <c r="QLA59" s="46"/>
      <c r="QLB59" s="46"/>
      <c r="QLC59" s="46"/>
      <c r="QLD59" s="46"/>
      <c r="QLE59" s="46"/>
      <c r="QLF59" s="46"/>
      <c r="QLG59" s="46"/>
      <c r="QLH59" s="46"/>
      <c r="QLI59" s="46"/>
      <c r="QLJ59" s="46"/>
      <c r="QLK59" s="46"/>
      <c r="QLL59" s="46"/>
      <c r="QLM59" s="46"/>
      <c r="QLN59" s="46"/>
      <c r="QLO59" s="46"/>
      <c r="QLP59" s="46"/>
      <c r="QLQ59" s="46"/>
      <c r="QLR59" s="46"/>
      <c r="QLS59" s="46"/>
      <c r="QLT59" s="46"/>
      <c r="QLU59" s="46"/>
      <c r="QLV59" s="46"/>
      <c r="QLW59" s="46"/>
      <c r="QLX59" s="46"/>
      <c r="QLY59" s="46"/>
      <c r="QLZ59" s="46"/>
      <c r="QMA59" s="46"/>
      <c r="QMB59" s="46"/>
      <c r="QMC59" s="46"/>
      <c r="QMD59" s="46"/>
      <c r="QME59" s="46"/>
      <c r="QMF59" s="46"/>
      <c r="QMG59" s="46"/>
      <c r="QMH59" s="46"/>
      <c r="QMI59" s="46"/>
      <c r="QMJ59" s="46"/>
      <c r="QMK59" s="46"/>
      <c r="QML59" s="46"/>
      <c r="QMM59" s="46"/>
      <c r="QMN59" s="46"/>
      <c r="QMO59" s="46"/>
      <c r="QMP59" s="46"/>
      <c r="QMQ59" s="46"/>
      <c r="QMR59" s="46"/>
      <c r="QMS59" s="46"/>
      <c r="QMT59" s="46"/>
      <c r="QMU59" s="46"/>
      <c r="QMV59" s="46"/>
      <c r="QMW59" s="46"/>
      <c r="QMX59" s="46"/>
      <c r="QMY59" s="46"/>
      <c r="QMZ59" s="46"/>
      <c r="QNA59" s="46"/>
      <c r="QNB59" s="46"/>
      <c r="QNC59" s="46"/>
      <c r="QND59" s="46"/>
      <c r="QNE59" s="46"/>
      <c r="QNF59" s="46"/>
      <c r="QNG59" s="46"/>
      <c r="QNH59" s="46"/>
      <c r="QNI59" s="46"/>
      <c r="QNJ59" s="46"/>
      <c r="QNK59" s="46"/>
      <c r="QNL59" s="46"/>
      <c r="QNM59" s="46"/>
      <c r="QNN59" s="46"/>
      <c r="QNO59" s="46"/>
      <c r="QNP59" s="46"/>
      <c r="QNQ59" s="46"/>
      <c r="QNR59" s="46"/>
      <c r="QNS59" s="46"/>
      <c r="QNT59" s="46"/>
      <c r="QNU59" s="46"/>
      <c r="QNV59" s="46"/>
      <c r="QNW59" s="46"/>
      <c r="QNX59" s="46"/>
      <c r="QNY59" s="46"/>
      <c r="QNZ59" s="46"/>
      <c r="QOA59" s="46"/>
      <c r="QOB59" s="46"/>
      <c r="QOC59" s="46"/>
      <c r="QOD59" s="46"/>
      <c r="QOE59" s="46"/>
      <c r="QOF59" s="46"/>
      <c r="QOG59" s="46"/>
      <c r="QOH59" s="46"/>
      <c r="QOI59" s="46"/>
      <c r="QOJ59" s="46"/>
      <c r="QOK59" s="46"/>
      <c r="QOL59" s="46"/>
      <c r="QOM59" s="46"/>
      <c r="QON59" s="46"/>
      <c r="QOO59" s="46"/>
      <c r="QOP59" s="46"/>
      <c r="QOQ59" s="46"/>
      <c r="QOR59" s="46"/>
      <c r="QOS59" s="46"/>
      <c r="QOT59" s="46"/>
      <c r="QOU59" s="46"/>
      <c r="QOV59" s="46"/>
      <c r="QOW59" s="46"/>
      <c r="QOX59" s="46"/>
      <c r="QOY59" s="46"/>
      <c r="QOZ59" s="46"/>
      <c r="QPA59" s="46"/>
      <c r="QPB59" s="46"/>
      <c r="QPC59" s="46"/>
      <c r="QPD59" s="46"/>
      <c r="QPE59" s="46"/>
      <c r="QPF59" s="46"/>
      <c r="QPG59" s="46"/>
      <c r="QPH59" s="46"/>
      <c r="QPI59" s="46"/>
      <c r="QPJ59" s="46"/>
      <c r="QPK59" s="46"/>
      <c r="QPL59" s="46"/>
      <c r="QPM59" s="46"/>
      <c r="QPN59" s="46"/>
      <c r="QPO59" s="46"/>
      <c r="QPP59" s="46"/>
      <c r="QPQ59" s="46"/>
      <c r="QPR59" s="46"/>
      <c r="QPS59" s="46"/>
      <c r="QPT59" s="46"/>
      <c r="QPU59" s="46"/>
      <c r="QPV59" s="46"/>
      <c r="QPW59" s="46"/>
      <c r="QPX59" s="46"/>
      <c r="QPY59" s="46"/>
      <c r="QPZ59" s="46"/>
      <c r="QQA59" s="46"/>
      <c r="QQB59" s="46"/>
      <c r="QQC59" s="46"/>
      <c r="QQD59" s="46"/>
      <c r="QQE59" s="46"/>
      <c r="QQF59" s="46"/>
      <c r="QQG59" s="46"/>
      <c r="QQH59" s="46"/>
      <c r="QQI59" s="46"/>
      <c r="QQJ59" s="46"/>
      <c r="QQK59" s="46"/>
      <c r="QQL59" s="46"/>
      <c r="QQM59" s="46"/>
      <c r="QQN59" s="46"/>
      <c r="QQO59" s="46"/>
      <c r="QQP59" s="46"/>
      <c r="QQQ59" s="46"/>
      <c r="QQR59" s="46"/>
      <c r="QQS59" s="46"/>
      <c r="QQT59" s="46"/>
      <c r="QQU59" s="46"/>
      <c r="QQV59" s="46"/>
      <c r="QQW59" s="46"/>
      <c r="QQX59" s="46"/>
      <c r="QQY59" s="46"/>
      <c r="QQZ59" s="46"/>
      <c r="QRA59" s="46"/>
      <c r="QRB59" s="46"/>
      <c r="QRC59" s="46"/>
      <c r="QRD59" s="46"/>
      <c r="QRE59" s="46"/>
      <c r="QRF59" s="46"/>
      <c r="QRG59" s="46"/>
      <c r="QRH59" s="46"/>
      <c r="QRI59" s="46"/>
      <c r="QRJ59" s="46"/>
      <c r="QRK59" s="46"/>
      <c r="QRL59" s="46"/>
      <c r="QRM59" s="46"/>
      <c r="QRN59" s="46"/>
      <c r="QRO59" s="46"/>
      <c r="QRP59" s="46"/>
      <c r="QRQ59" s="46"/>
      <c r="QRR59" s="46"/>
      <c r="QRS59" s="46"/>
      <c r="QRT59" s="46"/>
      <c r="QRU59" s="46"/>
      <c r="QRV59" s="46"/>
      <c r="QRW59" s="46"/>
      <c r="QRX59" s="46"/>
      <c r="QRY59" s="46"/>
      <c r="QRZ59" s="46"/>
      <c r="QSA59" s="46"/>
      <c r="QSB59" s="46"/>
      <c r="QSC59" s="46"/>
      <c r="QSD59" s="46"/>
      <c r="QSE59" s="46"/>
      <c r="QSF59" s="46"/>
      <c r="QSG59" s="46"/>
      <c r="QSH59" s="46"/>
      <c r="QSI59" s="46"/>
      <c r="QSJ59" s="46"/>
      <c r="QSK59" s="46"/>
      <c r="QSL59" s="46"/>
      <c r="QSM59" s="46"/>
      <c r="QSN59" s="46"/>
      <c r="QSO59" s="46"/>
      <c r="QSP59" s="46"/>
      <c r="QSQ59" s="46"/>
      <c r="QSR59" s="46"/>
      <c r="QSS59" s="46"/>
      <c r="QST59" s="46"/>
      <c r="QSU59" s="46"/>
      <c r="QSV59" s="46"/>
      <c r="QSW59" s="46"/>
      <c r="QSX59" s="46"/>
      <c r="QSY59" s="46"/>
      <c r="QSZ59" s="46"/>
      <c r="QTA59" s="46"/>
      <c r="QTB59" s="46"/>
      <c r="QTC59" s="46"/>
      <c r="QTD59" s="46"/>
      <c r="QTE59" s="46"/>
      <c r="QTF59" s="46"/>
      <c r="QTG59" s="46"/>
      <c r="QTH59" s="46"/>
      <c r="QTI59" s="46"/>
      <c r="QTJ59" s="46"/>
      <c r="QTK59" s="46"/>
      <c r="QTL59" s="46"/>
      <c r="QTM59" s="46"/>
      <c r="QTN59" s="46"/>
      <c r="QTO59" s="46"/>
      <c r="QTP59" s="46"/>
      <c r="QTQ59" s="46"/>
      <c r="QTR59" s="46"/>
      <c r="QTS59" s="46"/>
      <c r="QTT59" s="46"/>
      <c r="QTU59" s="46"/>
      <c r="QTV59" s="46"/>
      <c r="QTW59" s="46"/>
      <c r="QTX59" s="46"/>
      <c r="QTY59" s="46"/>
      <c r="QTZ59" s="46"/>
      <c r="QUA59" s="46"/>
      <c r="QUB59" s="46"/>
      <c r="QUC59" s="46"/>
      <c r="QUD59" s="46"/>
      <c r="QUE59" s="46"/>
      <c r="QUF59" s="46"/>
      <c r="QUG59" s="46"/>
      <c r="QUH59" s="46"/>
      <c r="QUI59" s="46"/>
      <c r="QUJ59" s="46"/>
      <c r="QUK59" s="46"/>
      <c r="QUL59" s="46"/>
      <c r="QUM59" s="46"/>
      <c r="QUN59" s="46"/>
      <c r="QUO59" s="46"/>
      <c r="QUP59" s="46"/>
      <c r="QUQ59" s="46"/>
      <c r="QUR59" s="46"/>
      <c r="QUS59" s="46"/>
      <c r="QUT59" s="46"/>
      <c r="QUU59" s="46"/>
      <c r="QUV59" s="46"/>
      <c r="QUW59" s="46"/>
      <c r="QUX59" s="46"/>
      <c r="QUY59" s="46"/>
      <c r="QUZ59" s="46"/>
      <c r="QVA59" s="46"/>
      <c r="QVB59" s="46"/>
      <c r="QVC59" s="46"/>
      <c r="QVD59" s="46"/>
      <c r="QVE59" s="46"/>
      <c r="QVF59" s="46"/>
      <c r="QVG59" s="46"/>
      <c r="QVH59" s="46"/>
      <c r="QVI59" s="46"/>
      <c r="QVJ59" s="46"/>
      <c r="QVK59" s="46"/>
      <c r="QVL59" s="46"/>
      <c r="QVM59" s="46"/>
      <c r="QVN59" s="46"/>
      <c r="QVO59" s="46"/>
      <c r="QVP59" s="46"/>
      <c r="QVQ59" s="46"/>
      <c r="QVR59" s="46"/>
      <c r="QVS59" s="46"/>
      <c r="QVT59" s="46"/>
      <c r="QVU59" s="46"/>
      <c r="QVV59" s="46"/>
      <c r="QVW59" s="46"/>
      <c r="QVX59" s="46"/>
      <c r="QVY59" s="46"/>
      <c r="QVZ59" s="46"/>
      <c r="QWA59" s="46"/>
      <c r="QWB59" s="46"/>
      <c r="QWC59" s="46"/>
      <c r="QWD59" s="46"/>
      <c r="QWE59" s="46"/>
      <c r="QWF59" s="46"/>
      <c r="QWG59" s="46"/>
      <c r="QWH59" s="46"/>
      <c r="QWI59" s="46"/>
      <c r="QWJ59" s="46"/>
      <c r="QWK59" s="46"/>
      <c r="QWL59" s="46"/>
      <c r="QWM59" s="46"/>
      <c r="QWN59" s="46"/>
      <c r="QWO59" s="46"/>
      <c r="QWP59" s="46"/>
      <c r="QWQ59" s="46"/>
      <c r="QWR59" s="46"/>
      <c r="QWS59" s="46"/>
      <c r="QWT59" s="46"/>
      <c r="QWU59" s="46"/>
      <c r="QWV59" s="46"/>
      <c r="QWW59" s="46"/>
      <c r="QWX59" s="46"/>
      <c r="QWY59" s="46"/>
      <c r="QWZ59" s="46"/>
      <c r="QXA59" s="46"/>
      <c r="QXB59" s="46"/>
      <c r="QXC59" s="46"/>
      <c r="QXD59" s="46"/>
      <c r="QXE59" s="46"/>
      <c r="QXF59" s="46"/>
      <c r="QXG59" s="46"/>
      <c r="QXH59" s="46"/>
      <c r="QXI59" s="46"/>
      <c r="QXJ59" s="46"/>
      <c r="QXK59" s="46"/>
      <c r="QXL59" s="46"/>
      <c r="QXM59" s="46"/>
      <c r="QXN59" s="46"/>
      <c r="QXO59" s="46"/>
      <c r="QXP59" s="46"/>
      <c r="QXQ59" s="46"/>
      <c r="QXR59" s="46"/>
      <c r="QXS59" s="46"/>
      <c r="QXT59" s="46"/>
      <c r="QXU59" s="46"/>
      <c r="QXV59" s="46"/>
      <c r="QXW59" s="46"/>
      <c r="QXX59" s="46"/>
      <c r="QXY59" s="46"/>
      <c r="QXZ59" s="46"/>
      <c r="QYA59" s="46"/>
      <c r="QYB59" s="46"/>
      <c r="QYC59" s="46"/>
      <c r="QYD59" s="46"/>
      <c r="QYE59" s="46"/>
      <c r="QYF59" s="46"/>
      <c r="QYG59" s="46"/>
      <c r="QYH59" s="46"/>
      <c r="QYI59" s="46"/>
      <c r="QYJ59" s="46"/>
      <c r="QYK59" s="46"/>
      <c r="QYL59" s="46"/>
      <c r="QYM59" s="46"/>
      <c r="QYN59" s="46"/>
      <c r="QYO59" s="46"/>
      <c r="QYP59" s="46"/>
      <c r="QYQ59" s="46"/>
      <c r="QYR59" s="46"/>
      <c r="QYS59" s="46"/>
      <c r="QYT59" s="46"/>
      <c r="QYU59" s="46"/>
      <c r="QYV59" s="46"/>
      <c r="QYW59" s="46"/>
      <c r="QYX59" s="46"/>
      <c r="QYY59" s="46"/>
      <c r="QYZ59" s="46"/>
      <c r="QZA59" s="46"/>
      <c r="QZB59" s="46"/>
      <c r="QZC59" s="46"/>
      <c r="QZD59" s="46"/>
      <c r="QZE59" s="46"/>
      <c r="QZF59" s="46"/>
      <c r="QZG59" s="46"/>
      <c r="QZH59" s="46"/>
      <c r="QZI59" s="46"/>
      <c r="QZJ59" s="46"/>
      <c r="QZK59" s="46"/>
      <c r="QZL59" s="46"/>
      <c r="QZM59" s="46"/>
      <c r="QZN59" s="46"/>
      <c r="QZO59" s="46"/>
      <c r="QZP59" s="46"/>
      <c r="QZQ59" s="46"/>
      <c r="QZR59" s="46"/>
      <c r="QZS59" s="46"/>
      <c r="QZT59" s="46"/>
      <c r="QZU59" s="46"/>
      <c r="QZV59" s="46"/>
      <c r="QZW59" s="46"/>
      <c r="QZX59" s="46"/>
      <c r="QZY59" s="46"/>
      <c r="QZZ59" s="46"/>
      <c r="RAA59" s="46"/>
      <c r="RAB59" s="46"/>
      <c r="RAC59" s="46"/>
      <c r="RAD59" s="46"/>
      <c r="RAE59" s="46"/>
      <c r="RAF59" s="46"/>
      <c r="RAG59" s="46"/>
      <c r="RAH59" s="46"/>
      <c r="RAI59" s="46"/>
      <c r="RAJ59" s="46"/>
      <c r="RAK59" s="46"/>
      <c r="RAL59" s="46"/>
      <c r="RAM59" s="46"/>
      <c r="RAN59" s="46"/>
      <c r="RAO59" s="46"/>
      <c r="RAP59" s="46"/>
      <c r="RAQ59" s="46"/>
      <c r="RAR59" s="46"/>
      <c r="RAS59" s="46"/>
      <c r="RAT59" s="46"/>
      <c r="RAU59" s="46"/>
      <c r="RAV59" s="46"/>
      <c r="RAW59" s="46"/>
      <c r="RAX59" s="46"/>
      <c r="RAY59" s="46"/>
      <c r="RAZ59" s="46"/>
      <c r="RBA59" s="46"/>
      <c r="RBB59" s="46"/>
      <c r="RBC59" s="46"/>
      <c r="RBD59" s="46"/>
      <c r="RBE59" s="46"/>
      <c r="RBF59" s="46"/>
      <c r="RBG59" s="46"/>
      <c r="RBH59" s="46"/>
      <c r="RBI59" s="46"/>
      <c r="RBJ59" s="46"/>
      <c r="RBK59" s="46"/>
      <c r="RBL59" s="46"/>
      <c r="RBM59" s="46"/>
      <c r="RBN59" s="46"/>
      <c r="RBO59" s="46"/>
      <c r="RBP59" s="46"/>
      <c r="RBQ59" s="46"/>
      <c r="RBR59" s="46"/>
      <c r="RBS59" s="46"/>
      <c r="RBT59" s="46"/>
      <c r="RBU59" s="46"/>
      <c r="RBV59" s="46"/>
      <c r="RBW59" s="46"/>
      <c r="RBX59" s="46"/>
      <c r="RBY59" s="46"/>
      <c r="RBZ59" s="46"/>
      <c r="RCA59" s="46"/>
      <c r="RCB59" s="46"/>
      <c r="RCC59" s="46"/>
      <c r="RCD59" s="46"/>
      <c r="RCE59" s="46"/>
      <c r="RCF59" s="46"/>
      <c r="RCG59" s="46"/>
      <c r="RCH59" s="46"/>
      <c r="RCI59" s="46"/>
      <c r="RCJ59" s="46"/>
      <c r="RCK59" s="46"/>
      <c r="RCL59" s="46"/>
      <c r="RCM59" s="46"/>
      <c r="RCN59" s="46"/>
      <c r="RCO59" s="46"/>
      <c r="RCP59" s="46"/>
      <c r="RCQ59" s="46"/>
      <c r="RCR59" s="46"/>
      <c r="RCS59" s="46"/>
      <c r="RCT59" s="46"/>
      <c r="RCU59" s="46"/>
      <c r="RCV59" s="46"/>
      <c r="RCW59" s="46"/>
      <c r="RCX59" s="46"/>
      <c r="RCY59" s="46"/>
      <c r="RCZ59" s="46"/>
      <c r="RDA59" s="46"/>
      <c r="RDB59" s="46"/>
      <c r="RDC59" s="46"/>
      <c r="RDD59" s="46"/>
      <c r="RDE59" s="46"/>
      <c r="RDF59" s="46"/>
      <c r="RDG59" s="46"/>
      <c r="RDH59" s="46"/>
      <c r="RDI59" s="46"/>
      <c r="RDJ59" s="46"/>
      <c r="RDK59" s="46"/>
      <c r="RDL59" s="46"/>
      <c r="RDM59" s="46"/>
      <c r="RDN59" s="46"/>
      <c r="RDO59" s="46"/>
      <c r="RDP59" s="46"/>
      <c r="RDQ59" s="46"/>
      <c r="RDR59" s="46"/>
      <c r="RDS59" s="46"/>
      <c r="RDT59" s="46"/>
      <c r="RDU59" s="46"/>
      <c r="RDV59" s="46"/>
      <c r="RDW59" s="46"/>
      <c r="RDX59" s="46"/>
      <c r="RDY59" s="46"/>
      <c r="RDZ59" s="46"/>
      <c r="REA59" s="46"/>
      <c r="REB59" s="46"/>
      <c r="REC59" s="46"/>
      <c r="RED59" s="46"/>
      <c r="REE59" s="46"/>
      <c r="REF59" s="46"/>
      <c r="REG59" s="46"/>
      <c r="REH59" s="46"/>
      <c r="REI59" s="46"/>
      <c r="REJ59" s="46"/>
      <c r="REK59" s="46"/>
      <c r="REL59" s="46"/>
      <c r="REM59" s="46"/>
      <c r="REN59" s="46"/>
      <c r="REO59" s="46"/>
      <c r="REP59" s="46"/>
      <c r="REQ59" s="46"/>
      <c r="RER59" s="46"/>
      <c r="RES59" s="46"/>
      <c r="RET59" s="46"/>
      <c r="REU59" s="46"/>
      <c r="REV59" s="46"/>
      <c r="REW59" s="46"/>
      <c r="REX59" s="46"/>
      <c r="REY59" s="46"/>
      <c r="REZ59" s="46"/>
      <c r="RFA59" s="46"/>
      <c r="RFB59" s="46"/>
      <c r="RFC59" s="46"/>
      <c r="RFD59" s="46"/>
      <c r="RFE59" s="46"/>
      <c r="RFF59" s="46"/>
      <c r="RFG59" s="46"/>
      <c r="RFH59" s="46"/>
      <c r="RFI59" s="46"/>
      <c r="RFJ59" s="46"/>
      <c r="RFK59" s="46"/>
      <c r="RFL59" s="46"/>
      <c r="RFM59" s="46"/>
      <c r="RFN59" s="46"/>
      <c r="RFO59" s="46"/>
      <c r="RFP59" s="46"/>
      <c r="RFQ59" s="46"/>
      <c r="RFR59" s="46"/>
      <c r="RFS59" s="46"/>
      <c r="RFT59" s="46"/>
      <c r="RFU59" s="46"/>
      <c r="RFV59" s="46"/>
      <c r="RFW59" s="46"/>
      <c r="RFX59" s="46"/>
      <c r="RFY59" s="46"/>
      <c r="RFZ59" s="46"/>
      <c r="RGA59" s="46"/>
      <c r="RGB59" s="46"/>
      <c r="RGC59" s="46"/>
      <c r="RGD59" s="46"/>
      <c r="RGE59" s="46"/>
      <c r="RGF59" s="46"/>
      <c r="RGG59" s="46"/>
      <c r="RGH59" s="46"/>
      <c r="RGI59" s="46"/>
      <c r="RGJ59" s="46"/>
      <c r="RGK59" s="46"/>
      <c r="RGL59" s="46"/>
      <c r="RGM59" s="46"/>
      <c r="RGN59" s="46"/>
      <c r="RGO59" s="46"/>
      <c r="RGP59" s="46"/>
      <c r="RGQ59" s="46"/>
      <c r="RGR59" s="46"/>
      <c r="RGS59" s="46"/>
      <c r="RGT59" s="46"/>
      <c r="RGU59" s="46"/>
      <c r="RGV59" s="46"/>
      <c r="RGW59" s="46"/>
      <c r="RGX59" s="46"/>
      <c r="RGY59" s="46"/>
      <c r="RGZ59" s="46"/>
      <c r="RHA59" s="46"/>
      <c r="RHB59" s="46"/>
      <c r="RHC59" s="46"/>
      <c r="RHD59" s="46"/>
      <c r="RHE59" s="46"/>
      <c r="RHF59" s="46"/>
      <c r="RHG59" s="46"/>
      <c r="RHH59" s="46"/>
      <c r="RHI59" s="46"/>
      <c r="RHJ59" s="46"/>
      <c r="RHK59" s="46"/>
      <c r="RHL59" s="46"/>
      <c r="RHM59" s="46"/>
      <c r="RHN59" s="46"/>
      <c r="RHO59" s="46"/>
      <c r="RHP59" s="46"/>
      <c r="RHQ59" s="46"/>
      <c r="RHR59" s="46"/>
      <c r="RHS59" s="46"/>
      <c r="RHT59" s="46"/>
      <c r="RHU59" s="46"/>
      <c r="RHV59" s="46"/>
      <c r="RHW59" s="46"/>
      <c r="RHX59" s="46"/>
      <c r="RHY59" s="46"/>
      <c r="RHZ59" s="46"/>
      <c r="RIA59" s="46"/>
      <c r="RIB59" s="46"/>
      <c r="RIC59" s="46"/>
      <c r="RID59" s="46"/>
      <c r="RIE59" s="46"/>
      <c r="RIF59" s="46"/>
      <c r="RIG59" s="46"/>
      <c r="RIH59" s="46"/>
      <c r="RII59" s="46"/>
      <c r="RIJ59" s="46"/>
      <c r="RIK59" s="46"/>
      <c r="RIL59" s="46"/>
      <c r="RIM59" s="46"/>
      <c r="RIN59" s="46"/>
      <c r="RIO59" s="46"/>
      <c r="RIP59" s="46"/>
      <c r="RIQ59" s="46"/>
      <c r="RIR59" s="46"/>
      <c r="RIS59" s="46"/>
      <c r="RIT59" s="46"/>
      <c r="RIU59" s="46"/>
      <c r="RIV59" s="46"/>
      <c r="RIW59" s="46"/>
      <c r="RIX59" s="46"/>
      <c r="RIY59" s="46"/>
      <c r="RIZ59" s="46"/>
      <c r="RJA59" s="46"/>
      <c r="RJB59" s="46"/>
      <c r="RJC59" s="46"/>
      <c r="RJD59" s="46"/>
      <c r="RJE59" s="46"/>
      <c r="RJF59" s="46"/>
      <c r="RJG59" s="46"/>
      <c r="RJH59" s="46"/>
      <c r="RJI59" s="46"/>
      <c r="RJJ59" s="46"/>
      <c r="RJK59" s="46"/>
      <c r="RJL59" s="46"/>
      <c r="RJM59" s="46"/>
      <c r="RJN59" s="46"/>
      <c r="RJO59" s="46"/>
      <c r="RJP59" s="46"/>
      <c r="RJQ59" s="46"/>
      <c r="RJR59" s="46"/>
      <c r="RJS59" s="46"/>
      <c r="RJT59" s="46"/>
      <c r="RJU59" s="46"/>
      <c r="RJV59" s="46"/>
      <c r="RJW59" s="46"/>
      <c r="RJX59" s="46"/>
      <c r="RJY59" s="46"/>
      <c r="RJZ59" s="46"/>
      <c r="RKA59" s="46"/>
      <c r="RKB59" s="46"/>
      <c r="RKC59" s="46"/>
      <c r="RKD59" s="46"/>
      <c r="RKE59" s="46"/>
      <c r="RKF59" s="46"/>
      <c r="RKG59" s="46"/>
      <c r="RKH59" s="46"/>
      <c r="RKI59" s="46"/>
      <c r="RKJ59" s="46"/>
      <c r="RKK59" s="46"/>
      <c r="RKL59" s="46"/>
      <c r="RKM59" s="46"/>
      <c r="RKN59" s="46"/>
      <c r="RKO59" s="46"/>
      <c r="RKP59" s="46"/>
      <c r="RKQ59" s="46"/>
      <c r="RKR59" s="46"/>
      <c r="RKS59" s="46"/>
      <c r="RKT59" s="46"/>
      <c r="RKU59" s="46"/>
      <c r="RKV59" s="46"/>
      <c r="RKW59" s="46"/>
      <c r="RKX59" s="46"/>
      <c r="RKY59" s="46"/>
      <c r="RKZ59" s="46"/>
      <c r="RLA59" s="46"/>
      <c r="RLB59" s="46"/>
      <c r="RLC59" s="46"/>
      <c r="RLD59" s="46"/>
      <c r="RLE59" s="46"/>
      <c r="RLF59" s="46"/>
      <c r="RLG59" s="46"/>
      <c r="RLH59" s="46"/>
      <c r="RLI59" s="46"/>
      <c r="RLJ59" s="46"/>
      <c r="RLK59" s="46"/>
      <c r="RLL59" s="46"/>
      <c r="RLM59" s="46"/>
      <c r="RLN59" s="46"/>
      <c r="RLO59" s="46"/>
      <c r="RLP59" s="46"/>
      <c r="RLQ59" s="46"/>
      <c r="RLR59" s="46"/>
      <c r="RLS59" s="46"/>
      <c r="RLT59" s="46"/>
      <c r="RLU59" s="46"/>
      <c r="RLV59" s="46"/>
      <c r="RLW59" s="46"/>
      <c r="RLX59" s="46"/>
      <c r="RLY59" s="46"/>
      <c r="RLZ59" s="46"/>
      <c r="RMA59" s="46"/>
      <c r="RMB59" s="46"/>
      <c r="RMC59" s="46"/>
      <c r="RMD59" s="46"/>
      <c r="RME59" s="46"/>
      <c r="RMF59" s="46"/>
      <c r="RMG59" s="46"/>
      <c r="RMH59" s="46"/>
      <c r="RMI59" s="46"/>
      <c r="RMJ59" s="46"/>
      <c r="RMK59" s="46"/>
      <c r="RML59" s="46"/>
      <c r="RMM59" s="46"/>
      <c r="RMN59" s="46"/>
      <c r="RMO59" s="46"/>
      <c r="RMP59" s="46"/>
      <c r="RMQ59" s="46"/>
      <c r="RMR59" s="46"/>
      <c r="RMS59" s="46"/>
      <c r="RMT59" s="46"/>
      <c r="RMU59" s="46"/>
      <c r="RMV59" s="46"/>
      <c r="RMW59" s="46"/>
      <c r="RMX59" s="46"/>
      <c r="RMY59" s="46"/>
      <c r="RMZ59" s="46"/>
      <c r="RNA59" s="46"/>
      <c r="RNB59" s="46"/>
      <c r="RNC59" s="46"/>
      <c r="RND59" s="46"/>
      <c r="RNE59" s="46"/>
      <c r="RNF59" s="46"/>
      <c r="RNG59" s="46"/>
      <c r="RNH59" s="46"/>
      <c r="RNI59" s="46"/>
      <c r="RNJ59" s="46"/>
      <c r="RNK59" s="46"/>
      <c r="RNL59" s="46"/>
      <c r="RNM59" s="46"/>
      <c r="RNN59" s="46"/>
      <c r="RNO59" s="46"/>
      <c r="RNP59" s="46"/>
      <c r="RNQ59" s="46"/>
      <c r="RNR59" s="46"/>
      <c r="RNS59" s="46"/>
      <c r="RNT59" s="46"/>
      <c r="RNU59" s="46"/>
      <c r="RNV59" s="46"/>
      <c r="RNW59" s="46"/>
      <c r="RNX59" s="46"/>
      <c r="RNY59" s="46"/>
      <c r="RNZ59" s="46"/>
      <c r="ROA59" s="46"/>
      <c r="ROB59" s="46"/>
      <c r="ROC59" s="46"/>
      <c r="ROD59" s="46"/>
      <c r="ROE59" s="46"/>
      <c r="ROF59" s="46"/>
      <c r="ROG59" s="46"/>
      <c r="ROH59" s="46"/>
      <c r="ROI59" s="46"/>
      <c r="ROJ59" s="46"/>
      <c r="ROK59" s="46"/>
      <c r="ROL59" s="46"/>
      <c r="ROM59" s="46"/>
      <c r="RON59" s="46"/>
      <c r="ROO59" s="46"/>
      <c r="ROP59" s="46"/>
      <c r="ROQ59" s="46"/>
      <c r="ROR59" s="46"/>
      <c r="ROS59" s="46"/>
      <c r="ROT59" s="46"/>
      <c r="ROU59" s="46"/>
      <c r="ROV59" s="46"/>
      <c r="ROW59" s="46"/>
      <c r="ROX59" s="46"/>
      <c r="ROY59" s="46"/>
      <c r="ROZ59" s="46"/>
      <c r="RPA59" s="46"/>
      <c r="RPB59" s="46"/>
      <c r="RPC59" s="46"/>
      <c r="RPD59" s="46"/>
      <c r="RPE59" s="46"/>
      <c r="RPF59" s="46"/>
      <c r="RPG59" s="46"/>
      <c r="RPH59" s="46"/>
      <c r="RPI59" s="46"/>
      <c r="RPJ59" s="46"/>
      <c r="RPK59" s="46"/>
      <c r="RPL59" s="46"/>
      <c r="RPM59" s="46"/>
      <c r="RPN59" s="46"/>
      <c r="RPO59" s="46"/>
      <c r="RPP59" s="46"/>
      <c r="RPQ59" s="46"/>
      <c r="RPR59" s="46"/>
      <c r="RPS59" s="46"/>
      <c r="RPT59" s="46"/>
      <c r="RPU59" s="46"/>
      <c r="RPV59" s="46"/>
      <c r="RPW59" s="46"/>
      <c r="RPX59" s="46"/>
      <c r="RPY59" s="46"/>
      <c r="RPZ59" s="46"/>
      <c r="RQA59" s="46"/>
      <c r="RQB59" s="46"/>
      <c r="RQC59" s="46"/>
      <c r="RQD59" s="46"/>
      <c r="RQE59" s="46"/>
      <c r="RQF59" s="46"/>
      <c r="RQG59" s="46"/>
      <c r="RQH59" s="46"/>
      <c r="RQI59" s="46"/>
      <c r="RQJ59" s="46"/>
      <c r="RQK59" s="46"/>
      <c r="RQL59" s="46"/>
      <c r="RQM59" s="46"/>
      <c r="RQN59" s="46"/>
      <c r="RQO59" s="46"/>
      <c r="RQP59" s="46"/>
      <c r="RQQ59" s="46"/>
      <c r="RQR59" s="46"/>
      <c r="RQS59" s="46"/>
      <c r="RQT59" s="46"/>
      <c r="RQU59" s="46"/>
      <c r="RQV59" s="46"/>
      <c r="RQW59" s="46"/>
      <c r="RQX59" s="46"/>
      <c r="RQY59" s="46"/>
      <c r="RQZ59" s="46"/>
      <c r="RRA59" s="46"/>
      <c r="RRB59" s="46"/>
      <c r="RRC59" s="46"/>
      <c r="RRD59" s="46"/>
      <c r="RRE59" s="46"/>
      <c r="RRF59" s="46"/>
      <c r="RRG59" s="46"/>
      <c r="RRH59" s="46"/>
      <c r="RRI59" s="46"/>
      <c r="RRJ59" s="46"/>
      <c r="RRK59" s="46"/>
      <c r="RRL59" s="46"/>
      <c r="RRM59" s="46"/>
      <c r="RRN59" s="46"/>
      <c r="RRO59" s="46"/>
      <c r="RRP59" s="46"/>
      <c r="RRQ59" s="46"/>
      <c r="RRR59" s="46"/>
      <c r="RRS59" s="46"/>
      <c r="RRT59" s="46"/>
      <c r="RRU59" s="46"/>
      <c r="RRV59" s="46"/>
      <c r="RRW59" s="46"/>
      <c r="RRX59" s="46"/>
      <c r="RRY59" s="46"/>
      <c r="RRZ59" s="46"/>
      <c r="RSA59" s="46"/>
      <c r="RSB59" s="46"/>
      <c r="RSC59" s="46"/>
      <c r="RSD59" s="46"/>
      <c r="RSE59" s="46"/>
      <c r="RSF59" s="46"/>
      <c r="RSG59" s="46"/>
      <c r="RSH59" s="46"/>
      <c r="RSI59" s="46"/>
      <c r="RSJ59" s="46"/>
      <c r="RSK59" s="46"/>
      <c r="RSL59" s="46"/>
      <c r="RSM59" s="46"/>
      <c r="RSN59" s="46"/>
      <c r="RSO59" s="46"/>
      <c r="RSP59" s="46"/>
      <c r="RSQ59" s="46"/>
      <c r="RSR59" s="46"/>
      <c r="RSS59" s="46"/>
      <c r="RST59" s="46"/>
      <c r="RSU59" s="46"/>
      <c r="RSV59" s="46"/>
      <c r="RSW59" s="46"/>
      <c r="RSX59" s="46"/>
      <c r="RSY59" s="46"/>
      <c r="RSZ59" s="46"/>
      <c r="RTA59" s="46"/>
      <c r="RTB59" s="46"/>
      <c r="RTC59" s="46"/>
      <c r="RTD59" s="46"/>
      <c r="RTE59" s="46"/>
      <c r="RTF59" s="46"/>
      <c r="RTG59" s="46"/>
      <c r="RTH59" s="46"/>
      <c r="RTI59" s="46"/>
      <c r="RTJ59" s="46"/>
      <c r="RTK59" s="46"/>
      <c r="RTL59" s="46"/>
      <c r="RTM59" s="46"/>
      <c r="RTN59" s="46"/>
      <c r="RTO59" s="46"/>
      <c r="RTP59" s="46"/>
      <c r="RTQ59" s="46"/>
      <c r="RTR59" s="46"/>
      <c r="RTS59" s="46"/>
      <c r="RTT59" s="46"/>
      <c r="RTU59" s="46"/>
      <c r="RTV59" s="46"/>
      <c r="RTW59" s="46"/>
      <c r="RTX59" s="46"/>
      <c r="RTY59" s="46"/>
      <c r="RTZ59" s="46"/>
      <c r="RUA59" s="46"/>
      <c r="RUB59" s="46"/>
      <c r="RUC59" s="46"/>
      <c r="RUD59" s="46"/>
      <c r="RUE59" s="46"/>
      <c r="RUF59" s="46"/>
      <c r="RUG59" s="46"/>
      <c r="RUH59" s="46"/>
      <c r="RUI59" s="46"/>
      <c r="RUJ59" s="46"/>
      <c r="RUK59" s="46"/>
      <c r="RUL59" s="46"/>
      <c r="RUM59" s="46"/>
      <c r="RUN59" s="46"/>
      <c r="RUO59" s="46"/>
      <c r="RUP59" s="46"/>
      <c r="RUQ59" s="46"/>
      <c r="RUR59" s="46"/>
      <c r="RUS59" s="46"/>
      <c r="RUT59" s="46"/>
      <c r="RUU59" s="46"/>
      <c r="RUV59" s="46"/>
      <c r="RUW59" s="46"/>
      <c r="RUX59" s="46"/>
      <c r="RUY59" s="46"/>
      <c r="RUZ59" s="46"/>
      <c r="RVA59" s="46"/>
      <c r="RVB59" s="46"/>
      <c r="RVC59" s="46"/>
      <c r="RVD59" s="46"/>
      <c r="RVE59" s="46"/>
      <c r="RVF59" s="46"/>
      <c r="RVG59" s="46"/>
      <c r="RVH59" s="46"/>
      <c r="RVI59" s="46"/>
      <c r="RVJ59" s="46"/>
      <c r="RVK59" s="46"/>
      <c r="RVL59" s="46"/>
      <c r="RVM59" s="46"/>
      <c r="RVN59" s="46"/>
      <c r="RVO59" s="46"/>
      <c r="RVP59" s="46"/>
      <c r="RVQ59" s="46"/>
      <c r="RVR59" s="46"/>
      <c r="RVS59" s="46"/>
      <c r="RVT59" s="46"/>
      <c r="RVU59" s="46"/>
      <c r="RVV59" s="46"/>
      <c r="RVW59" s="46"/>
      <c r="RVX59" s="46"/>
      <c r="RVY59" s="46"/>
      <c r="RVZ59" s="46"/>
      <c r="RWA59" s="46"/>
      <c r="RWB59" s="46"/>
      <c r="RWC59" s="46"/>
      <c r="RWD59" s="46"/>
      <c r="RWE59" s="46"/>
      <c r="RWF59" s="46"/>
      <c r="RWG59" s="46"/>
      <c r="RWH59" s="46"/>
      <c r="RWI59" s="46"/>
      <c r="RWJ59" s="46"/>
      <c r="RWK59" s="46"/>
      <c r="RWL59" s="46"/>
      <c r="RWM59" s="46"/>
      <c r="RWN59" s="46"/>
      <c r="RWO59" s="46"/>
      <c r="RWP59" s="46"/>
      <c r="RWQ59" s="46"/>
      <c r="RWR59" s="46"/>
      <c r="RWS59" s="46"/>
      <c r="RWT59" s="46"/>
      <c r="RWU59" s="46"/>
      <c r="RWV59" s="46"/>
      <c r="RWW59" s="46"/>
      <c r="RWX59" s="46"/>
      <c r="RWY59" s="46"/>
      <c r="RWZ59" s="46"/>
      <c r="RXA59" s="46"/>
      <c r="RXB59" s="46"/>
      <c r="RXC59" s="46"/>
      <c r="RXD59" s="46"/>
      <c r="RXE59" s="46"/>
      <c r="RXF59" s="46"/>
      <c r="RXG59" s="46"/>
      <c r="RXH59" s="46"/>
      <c r="RXI59" s="46"/>
      <c r="RXJ59" s="46"/>
      <c r="RXK59" s="46"/>
      <c r="RXL59" s="46"/>
      <c r="RXM59" s="46"/>
      <c r="RXN59" s="46"/>
      <c r="RXO59" s="46"/>
      <c r="RXP59" s="46"/>
      <c r="RXQ59" s="46"/>
      <c r="RXR59" s="46"/>
      <c r="RXS59" s="46"/>
      <c r="RXT59" s="46"/>
      <c r="RXU59" s="46"/>
      <c r="RXV59" s="46"/>
      <c r="RXW59" s="46"/>
      <c r="RXX59" s="46"/>
      <c r="RXY59" s="46"/>
      <c r="RXZ59" s="46"/>
      <c r="RYA59" s="46"/>
      <c r="RYB59" s="46"/>
      <c r="RYC59" s="46"/>
      <c r="RYD59" s="46"/>
      <c r="RYE59" s="46"/>
      <c r="RYF59" s="46"/>
      <c r="RYG59" s="46"/>
      <c r="RYH59" s="46"/>
      <c r="RYI59" s="46"/>
      <c r="RYJ59" s="46"/>
      <c r="RYK59" s="46"/>
      <c r="RYL59" s="46"/>
      <c r="RYM59" s="46"/>
      <c r="RYN59" s="46"/>
      <c r="RYO59" s="46"/>
      <c r="RYP59" s="46"/>
      <c r="RYQ59" s="46"/>
      <c r="RYR59" s="46"/>
      <c r="RYS59" s="46"/>
      <c r="RYT59" s="46"/>
      <c r="RYU59" s="46"/>
      <c r="RYV59" s="46"/>
      <c r="RYW59" s="46"/>
      <c r="RYX59" s="46"/>
      <c r="RYY59" s="46"/>
      <c r="RYZ59" s="46"/>
      <c r="RZA59" s="46"/>
      <c r="RZB59" s="46"/>
      <c r="RZC59" s="46"/>
      <c r="RZD59" s="46"/>
      <c r="RZE59" s="46"/>
      <c r="RZF59" s="46"/>
      <c r="RZG59" s="46"/>
      <c r="RZH59" s="46"/>
      <c r="RZI59" s="46"/>
      <c r="RZJ59" s="46"/>
      <c r="RZK59" s="46"/>
      <c r="RZL59" s="46"/>
      <c r="RZM59" s="46"/>
      <c r="RZN59" s="46"/>
      <c r="RZO59" s="46"/>
      <c r="RZP59" s="46"/>
      <c r="RZQ59" s="46"/>
      <c r="RZR59" s="46"/>
      <c r="RZS59" s="46"/>
      <c r="RZT59" s="46"/>
      <c r="RZU59" s="46"/>
      <c r="RZV59" s="46"/>
      <c r="RZW59" s="46"/>
      <c r="RZX59" s="46"/>
      <c r="RZY59" s="46"/>
      <c r="RZZ59" s="46"/>
      <c r="SAA59" s="46"/>
      <c r="SAB59" s="46"/>
      <c r="SAC59" s="46"/>
      <c r="SAD59" s="46"/>
      <c r="SAE59" s="46"/>
      <c r="SAF59" s="46"/>
      <c r="SAG59" s="46"/>
      <c r="SAH59" s="46"/>
      <c r="SAI59" s="46"/>
      <c r="SAJ59" s="46"/>
      <c r="SAK59" s="46"/>
      <c r="SAL59" s="46"/>
      <c r="SAM59" s="46"/>
      <c r="SAN59" s="46"/>
      <c r="SAO59" s="46"/>
      <c r="SAP59" s="46"/>
      <c r="SAQ59" s="46"/>
      <c r="SAR59" s="46"/>
      <c r="SAS59" s="46"/>
      <c r="SAT59" s="46"/>
      <c r="SAU59" s="46"/>
      <c r="SAV59" s="46"/>
      <c r="SAW59" s="46"/>
      <c r="SAX59" s="46"/>
      <c r="SAY59" s="46"/>
      <c r="SAZ59" s="46"/>
      <c r="SBA59" s="46"/>
      <c r="SBB59" s="46"/>
      <c r="SBC59" s="46"/>
      <c r="SBD59" s="46"/>
      <c r="SBE59" s="46"/>
      <c r="SBF59" s="46"/>
      <c r="SBG59" s="46"/>
      <c r="SBH59" s="46"/>
      <c r="SBI59" s="46"/>
      <c r="SBJ59" s="46"/>
      <c r="SBK59" s="46"/>
      <c r="SBL59" s="46"/>
      <c r="SBM59" s="46"/>
      <c r="SBN59" s="46"/>
      <c r="SBO59" s="46"/>
      <c r="SBP59" s="46"/>
      <c r="SBQ59" s="46"/>
      <c r="SBR59" s="46"/>
      <c r="SBS59" s="46"/>
      <c r="SBT59" s="46"/>
      <c r="SBU59" s="46"/>
      <c r="SBV59" s="46"/>
      <c r="SBW59" s="46"/>
      <c r="SBX59" s="46"/>
      <c r="SBY59" s="46"/>
      <c r="SBZ59" s="46"/>
      <c r="SCA59" s="46"/>
      <c r="SCB59" s="46"/>
      <c r="SCC59" s="46"/>
      <c r="SCD59" s="46"/>
      <c r="SCE59" s="46"/>
      <c r="SCF59" s="46"/>
      <c r="SCG59" s="46"/>
      <c r="SCH59" s="46"/>
      <c r="SCI59" s="46"/>
      <c r="SCJ59" s="46"/>
      <c r="SCK59" s="46"/>
      <c r="SCL59" s="46"/>
      <c r="SCM59" s="46"/>
      <c r="SCN59" s="46"/>
      <c r="SCO59" s="46"/>
      <c r="SCP59" s="46"/>
      <c r="SCQ59" s="46"/>
      <c r="SCR59" s="46"/>
      <c r="SCS59" s="46"/>
      <c r="SCT59" s="46"/>
      <c r="SCU59" s="46"/>
      <c r="SCV59" s="46"/>
      <c r="SCW59" s="46"/>
      <c r="SCX59" s="46"/>
      <c r="SCY59" s="46"/>
      <c r="SCZ59" s="46"/>
      <c r="SDA59" s="46"/>
      <c r="SDB59" s="46"/>
      <c r="SDC59" s="46"/>
      <c r="SDD59" s="46"/>
      <c r="SDE59" s="46"/>
      <c r="SDF59" s="46"/>
      <c r="SDG59" s="46"/>
      <c r="SDH59" s="46"/>
      <c r="SDI59" s="46"/>
      <c r="SDJ59" s="46"/>
      <c r="SDK59" s="46"/>
      <c r="SDL59" s="46"/>
      <c r="SDM59" s="46"/>
      <c r="SDN59" s="46"/>
      <c r="SDO59" s="46"/>
      <c r="SDP59" s="46"/>
      <c r="SDQ59" s="46"/>
      <c r="SDR59" s="46"/>
      <c r="SDS59" s="46"/>
      <c r="SDT59" s="46"/>
      <c r="SDU59" s="46"/>
      <c r="SDV59" s="46"/>
      <c r="SDW59" s="46"/>
      <c r="SDX59" s="46"/>
      <c r="SDY59" s="46"/>
      <c r="SDZ59" s="46"/>
      <c r="SEA59" s="46"/>
      <c r="SEB59" s="46"/>
      <c r="SEC59" s="46"/>
      <c r="SED59" s="46"/>
      <c r="SEE59" s="46"/>
      <c r="SEF59" s="46"/>
      <c r="SEG59" s="46"/>
      <c r="SEH59" s="46"/>
      <c r="SEI59" s="46"/>
      <c r="SEJ59" s="46"/>
      <c r="SEK59" s="46"/>
      <c r="SEL59" s="46"/>
      <c r="SEM59" s="46"/>
      <c r="SEN59" s="46"/>
      <c r="SEO59" s="46"/>
      <c r="SEP59" s="46"/>
      <c r="SEQ59" s="46"/>
      <c r="SER59" s="46"/>
      <c r="SES59" s="46"/>
      <c r="SET59" s="46"/>
      <c r="SEU59" s="46"/>
      <c r="SEV59" s="46"/>
      <c r="SEW59" s="46"/>
      <c r="SEX59" s="46"/>
      <c r="SEY59" s="46"/>
      <c r="SEZ59" s="46"/>
      <c r="SFA59" s="46"/>
      <c r="SFB59" s="46"/>
      <c r="SFC59" s="46"/>
      <c r="SFD59" s="46"/>
      <c r="SFE59" s="46"/>
      <c r="SFF59" s="46"/>
      <c r="SFG59" s="46"/>
      <c r="SFH59" s="46"/>
      <c r="SFI59" s="46"/>
      <c r="SFJ59" s="46"/>
      <c r="SFK59" s="46"/>
      <c r="SFL59" s="46"/>
      <c r="SFM59" s="46"/>
      <c r="SFN59" s="46"/>
      <c r="SFO59" s="46"/>
      <c r="SFP59" s="46"/>
      <c r="SFQ59" s="46"/>
      <c r="SFR59" s="46"/>
      <c r="SFS59" s="46"/>
      <c r="SFT59" s="46"/>
      <c r="SFU59" s="46"/>
      <c r="SFV59" s="46"/>
      <c r="SFW59" s="46"/>
      <c r="SFX59" s="46"/>
      <c r="SFY59" s="46"/>
      <c r="SFZ59" s="46"/>
      <c r="SGA59" s="46"/>
      <c r="SGB59" s="46"/>
      <c r="SGC59" s="46"/>
      <c r="SGD59" s="46"/>
      <c r="SGE59" s="46"/>
      <c r="SGF59" s="46"/>
      <c r="SGG59" s="46"/>
      <c r="SGH59" s="46"/>
      <c r="SGI59" s="46"/>
      <c r="SGJ59" s="46"/>
      <c r="SGK59" s="46"/>
      <c r="SGL59" s="46"/>
      <c r="SGM59" s="46"/>
      <c r="SGN59" s="46"/>
      <c r="SGO59" s="46"/>
      <c r="SGP59" s="46"/>
      <c r="SGQ59" s="46"/>
      <c r="SGR59" s="46"/>
      <c r="SGS59" s="46"/>
      <c r="SGT59" s="46"/>
      <c r="SGU59" s="46"/>
      <c r="SGV59" s="46"/>
      <c r="SGW59" s="46"/>
      <c r="SGX59" s="46"/>
      <c r="SGY59" s="46"/>
      <c r="SGZ59" s="46"/>
      <c r="SHA59" s="46"/>
      <c r="SHB59" s="46"/>
      <c r="SHC59" s="46"/>
      <c r="SHD59" s="46"/>
      <c r="SHE59" s="46"/>
      <c r="SHF59" s="46"/>
      <c r="SHG59" s="46"/>
      <c r="SHH59" s="46"/>
      <c r="SHI59" s="46"/>
      <c r="SHJ59" s="46"/>
      <c r="SHK59" s="46"/>
      <c r="SHL59" s="46"/>
      <c r="SHM59" s="46"/>
      <c r="SHN59" s="46"/>
      <c r="SHO59" s="46"/>
      <c r="SHP59" s="46"/>
      <c r="SHQ59" s="46"/>
      <c r="SHR59" s="46"/>
      <c r="SHS59" s="46"/>
      <c r="SHT59" s="46"/>
      <c r="SHU59" s="46"/>
      <c r="SHV59" s="46"/>
      <c r="SHW59" s="46"/>
      <c r="SHX59" s="46"/>
      <c r="SHY59" s="46"/>
      <c r="SHZ59" s="46"/>
      <c r="SIA59" s="46"/>
      <c r="SIB59" s="46"/>
      <c r="SIC59" s="46"/>
      <c r="SID59" s="46"/>
      <c r="SIE59" s="46"/>
      <c r="SIF59" s="46"/>
      <c r="SIG59" s="46"/>
      <c r="SIH59" s="46"/>
      <c r="SII59" s="46"/>
      <c r="SIJ59" s="46"/>
      <c r="SIK59" s="46"/>
      <c r="SIL59" s="46"/>
      <c r="SIM59" s="46"/>
      <c r="SIN59" s="46"/>
      <c r="SIO59" s="46"/>
      <c r="SIP59" s="46"/>
      <c r="SIQ59" s="46"/>
      <c r="SIR59" s="46"/>
      <c r="SIS59" s="46"/>
      <c r="SIT59" s="46"/>
      <c r="SIU59" s="46"/>
      <c r="SIV59" s="46"/>
      <c r="SIW59" s="46"/>
      <c r="SIX59" s="46"/>
      <c r="SIY59" s="46"/>
      <c r="SIZ59" s="46"/>
      <c r="SJA59" s="46"/>
      <c r="SJB59" s="46"/>
      <c r="SJC59" s="46"/>
      <c r="SJD59" s="46"/>
      <c r="SJE59" s="46"/>
      <c r="SJF59" s="46"/>
      <c r="SJG59" s="46"/>
      <c r="SJH59" s="46"/>
      <c r="SJI59" s="46"/>
      <c r="SJJ59" s="46"/>
      <c r="SJK59" s="46"/>
      <c r="SJL59" s="46"/>
      <c r="SJM59" s="46"/>
      <c r="SJN59" s="46"/>
      <c r="SJO59" s="46"/>
      <c r="SJP59" s="46"/>
      <c r="SJQ59" s="46"/>
      <c r="SJR59" s="46"/>
      <c r="SJS59" s="46"/>
      <c r="SJT59" s="46"/>
      <c r="SJU59" s="46"/>
      <c r="SJV59" s="46"/>
      <c r="SJW59" s="46"/>
      <c r="SJX59" s="46"/>
      <c r="SJY59" s="46"/>
      <c r="SJZ59" s="46"/>
      <c r="SKA59" s="46"/>
      <c r="SKB59" s="46"/>
      <c r="SKC59" s="46"/>
      <c r="SKD59" s="46"/>
      <c r="SKE59" s="46"/>
      <c r="SKF59" s="46"/>
      <c r="SKG59" s="46"/>
      <c r="SKH59" s="46"/>
      <c r="SKI59" s="46"/>
      <c r="SKJ59" s="46"/>
      <c r="SKK59" s="46"/>
      <c r="SKL59" s="46"/>
      <c r="SKM59" s="46"/>
      <c r="SKN59" s="46"/>
      <c r="SKO59" s="46"/>
      <c r="SKP59" s="46"/>
      <c r="SKQ59" s="46"/>
      <c r="SKR59" s="46"/>
      <c r="SKS59" s="46"/>
      <c r="SKT59" s="46"/>
      <c r="SKU59" s="46"/>
      <c r="SKV59" s="46"/>
      <c r="SKW59" s="46"/>
      <c r="SKX59" s="46"/>
      <c r="SKY59" s="46"/>
      <c r="SKZ59" s="46"/>
      <c r="SLA59" s="46"/>
      <c r="SLB59" s="46"/>
      <c r="SLC59" s="46"/>
      <c r="SLD59" s="46"/>
      <c r="SLE59" s="46"/>
      <c r="SLF59" s="46"/>
      <c r="SLG59" s="46"/>
      <c r="SLH59" s="46"/>
      <c r="SLI59" s="46"/>
      <c r="SLJ59" s="46"/>
      <c r="SLK59" s="46"/>
      <c r="SLL59" s="46"/>
      <c r="SLM59" s="46"/>
      <c r="SLN59" s="46"/>
      <c r="SLO59" s="46"/>
      <c r="SLP59" s="46"/>
      <c r="SLQ59" s="46"/>
      <c r="SLR59" s="46"/>
      <c r="SLS59" s="46"/>
      <c r="SLT59" s="46"/>
      <c r="SLU59" s="46"/>
      <c r="SLV59" s="46"/>
      <c r="SLW59" s="46"/>
      <c r="SLX59" s="46"/>
      <c r="SLY59" s="46"/>
      <c r="SLZ59" s="46"/>
      <c r="SMA59" s="46"/>
      <c r="SMB59" s="46"/>
      <c r="SMC59" s="46"/>
      <c r="SMD59" s="46"/>
      <c r="SME59" s="46"/>
      <c r="SMF59" s="46"/>
      <c r="SMG59" s="46"/>
      <c r="SMH59" s="46"/>
      <c r="SMI59" s="46"/>
      <c r="SMJ59" s="46"/>
      <c r="SMK59" s="46"/>
      <c r="SML59" s="46"/>
      <c r="SMM59" s="46"/>
      <c r="SMN59" s="46"/>
      <c r="SMO59" s="46"/>
      <c r="SMP59" s="46"/>
      <c r="SMQ59" s="46"/>
      <c r="SMR59" s="46"/>
      <c r="SMS59" s="46"/>
      <c r="SMT59" s="46"/>
      <c r="SMU59" s="46"/>
      <c r="SMV59" s="46"/>
      <c r="SMW59" s="46"/>
      <c r="SMX59" s="46"/>
      <c r="SMY59" s="46"/>
      <c r="SMZ59" s="46"/>
      <c r="SNA59" s="46"/>
      <c r="SNB59" s="46"/>
      <c r="SNC59" s="46"/>
      <c r="SND59" s="46"/>
      <c r="SNE59" s="46"/>
      <c r="SNF59" s="46"/>
      <c r="SNG59" s="46"/>
      <c r="SNH59" s="46"/>
      <c r="SNI59" s="46"/>
      <c r="SNJ59" s="46"/>
      <c r="SNK59" s="46"/>
      <c r="SNL59" s="46"/>
      <c r="SNM59" s="46"/>
      <c r="SNN59" s="46"/>
      <c r="SNO59" s="46"/>
      <c r="SNP59" s="46"/>
      <c r="SNQ59" s="46"/>
      <c r="SNR59" s="46"/>
      <c r="SNS59" s="46"/>
      <c r="SNT59" s="46"/>
      <c r="SNU59" s="46"/>
      <c r="SNV59" s="46"/>
      <c r="SNW59" s="46"/>
      <c r="SNX59" s="46"/>
      <c r="SNY59" s="46"/>
      <c r="SNZ59" s="46"/>
      <c r="SOA59" s="46"/>
      <c r="SOB59" s="46"/>
      <c r="SOC59" s="46"/>
      <c r="SOD59" s="46"/>
      <c r="SOE59" s="46"/>
      <c r="SOF59" s="46"/>
      <c r="SOG59" s="46"/>
      <c r="SOH59" s="46"/>
      <c r="SOI59" s="46"/>
      <c r="SOJ59" s="46"/>
      <c r="SOK59" s="46"/>
      <c r="SOL59" s="46"/>
      <c r="SOM59" s="46"/>
      <c r="SON59" s="46"/>
      <c r="SOO59" s="46"/>
      <c r="SOP59" s="46"/>
      <c r="SOQ59" s="46"/>
      <c r="SOR59" s="46"/>
      <c r="SOS59" s="46"/>
      <c r="SOT59" s="46"/>
      <c r="SOU59" s="46"/>
      <c r="SOV59" s="46"/>
      <c r="SOW59" s="46"/>
      <c r="SOX59" s="46"/>
      <c r="SOY59" s="46"/>
      <c r="SOZ59" s="46"/>
      <c r="SPA59" s="46"/>
      <c r="SPB59" s="46"/>
      <c r="SPC59" s="46"/>
      <c r="SPD59" s="46"/>
      <c r="SPE59" s="46"/>
      <c r="SPF59" s="46"/>
      <c r="SPG59" s="46"/>
      <c r="SPH59" s="46"/>
      <c r="SPI59" s="46"/>
      <c r="SPJ59" s="46"/>
      <c r="SPK59" s="46"/>
      <c r="SPL59" s="46"/>
      <c r="SPM59" s="46"/>
      <c r="SPN59" s="46"/>
      <c r="SPO59" s="46"/>
      <c r="SPP59" s="46"/>
      <c r="SPQ59" s="46"/>
      <c r="SPR59" s="46"/>
      <c r="SPS59" s="46"/>
      <c r="SPT59" s="46"/>
      <c r="SPU59" s="46"/>
      <c r="SPV59" s="46"/>
      <c r="SPW59" s="46"/>
      <c r="SPX59" s="46"/>
      <c r="SPY59" s="46"/>
      <c r="SPZ59" s="46"/>
      <c r="SQA59" s="46"/>
      <c r="SQB59" s="46"/>
      <c r="SQC59" s="46"/>
      <c r="SQD59" s="46"/>
      <c r="SQE59" s="46"/>
      <c r="SQF59" s="46"/>
      <c r="SQG59" s="46"/>
      <c r="SQH59" s="46"/>
      <c r="SQI59" s="46"/>
      <c r="SQJ59" s="46"/>
      <c r="SQK59" s="46"/>
      <c r="SQL59" s="46"/>
      <c r="SQM59" s="46"/>
      <c r="SQN59" s="46"/>
      <c r="SQO59" s="46"/>
      <c r="SQP59" s="46"/>
      <c r="SQQ59" s="46"/>
      <c r="SQR59" s="46"/>
      <c r="SQS59" s="46"/>
      <c r="SQT59" s="46"/>
      <c r="SQU59" s="46"/>
      <c r="SQV59" s="46"/>
      <c r="SQW59" s="46"/>
      <c r="SQX59" s="46"/>
      <c r="SQY59" s="46"/>
      <c r="SQZ59" s="46"/>
      <c r="SRA59" s="46"/>
      <c r="SRB59" s="46"/>
      <c r="SRC59" s="46"/>
      <c r="SRD59" s="46"/>
      <c r="SRE59" s="46"/>
      <c r="SRF59" s="46"/>
      <c r="SRG59" s="46"/>
      <c r="SRH59" s="46"/>
      <c r="SRI59" s="46"/>
      <c r="SRJ59" s="46"/>
      <c r="SRK59" s="46"/>
      <c r="SRL59" s="46"/>
      <c r="SRM59" s="46"/>
      <c r="SRN59" s="46"/>
      <c r="SRO59" s="46"/>
      <c r="SRP59" s="46"/>
      <c r="SRQ59" s="46"/>
      <c r="SRR59" s="46"/>
      <c r="SRS59" s="46"/>
      <c r="SRT59" s="46"/>
      <c r="SRU59" s="46"/>
      <c r="SRV59" s="46"/>
      <c r="SRW59" s="46"/>
      <c r="SRX59" s="46"/>
      <c r="SRY59" s="46"/>
      <c r="SRZ59" s="46"/>
      <c r="SSA59" s="46"/>
      <c r="SSB59" s="46"/>
      <c r="SSC59" s="46"/>
      <c r="SSD59" s="46"/>
      <c r="SSE59" s="46"/>
      <c r="SSF59" s="46"/>
      <c r="SSG59" s="46"/>
      <c r="SSH59" s="46"/>
      <c r="SSI59" s="46"/>
      <c r="SSJ59" s="46"/>
      <c r="SSK59" s="46"/>
      <c r="SSL59" s="46"/>
      <c r="SSM59" s="46"/>
      <c r="SSN59" s="46"/>
      <c r="SSO59" s="46"/>
      <c r="SSP59" s="46"/>
      <c r="SSQ59" s="46"/>
      <c r="SSR59" s="46"/>
      <c r="SSS59" s="46"/>
      <c r="SST59" s="46"/>
      <c r="SSU59" s="46"/>
      <c r="SSV59" s="46"/>
      <c r="SSW59" s="46"/>
      <c r="SSX59" s="46"/>
      <c r="SSY59" s="46"/>
      <c r="SSZ59" s="46"/>
      <c r="STA59" s="46"/>
      <c r="STB59" s="46"/>
      <c r="STC59" s="46"/>
      <c r="STD59" s="46"/>
      <c r="STE59" s="46"/>
      <c r="STF59" s="46"/>
      <c r="STG59" s="46"/>
      <c r="STH59" s="46"/>
      <c r="STI59" s="46"/>
      <c r="STJ59" s="46"/>
      <c r="STK59" s="46"/>
      <c r="STL59" s="46"/>
      <c r="STM59" s="46"/>
      <c r="STN59" s="46"/>
      <c r="STO59" s="46"/>
      <c r="STP59" s="46"/>
      <c r="STQ59" s="46"/>
      <c r="STR59" s="46"/>
      <c r="STS59" s="46"/>
      <c r="STT59" s="46"/>
      <c r="STU59" s="46"/>
      <c r="STV59" s="46"/>
      <c r="STW59" s="46"/>
      <c r="STX59" s="46"/>
      <c r="STY59" s="46"/>
      <c r="STZ59" s="46"/>
      <c r="SUA59" s="46"/>
      <c r="SUB59" s="46"/>
      <c r="SUC59" s="46"/>
      <c r="SUD59" s="46"/>
      <c r="SUE59" s="46"/>
      <c r="SUF59" s="46"/>
      <c r="SUG59" s="46"/>
      <c r="SUH59" s="46"/>
      <c r="SUI59" s="46"/>
      <c r="SUJ59" s="46"/>
      <c r="SUK59" s="46"/>
      <c r="SUL59" s="46"/>
      <c r="SUM59" s="46"/>
      <c r="SUN59" s="46"/>
      <c r="SUO59" s="46"/>
      <c r="SUP59" s="46"/>
      <c r="SUQ59" s="46"/>
      <c r="SUR59" s="46"/>
      <c r="SUS59" s="46"/>
      <c r="SUT59" s="46"/>
      <c r="SUU59" s="46"/>
      <c r="SUV59" s="46"/>
      <c r="SUW59" s="46"/>
      <c r="SUX59" s="46"/>
      <c r="SUY59" s="46"/>
      <c r="SUZ59" s="46"/>
      <c r="SVA59" s="46"/>
      <c r="SVB59" s="46"/>
      <c r="SVC59" s="46"/>
      <c r="SVD59" s="46"/>
      <c r="SVE59" s="46"/>
      <c r="SVF59" s="46"/>
      <c r="SVG59" s="46"/>
      <c r="SVH59" s="46"/>
      <c r="SVI59" s="46"/>
      <c r="SVJ59" s="46"/>
      <c r="SVK59" s="46"/>
      <c r="SVL59" s="46"/>
      <c r="SVM59" s="46"/>
      <c r="SVN59" s="46"/>
      <c r="SVO59" s="46"/>
      <c r="SVP59" s="46"/>
      <c r="SVQ59" s="46"/>
      <c r="SVR59" s="46"/>
      <c r="SVS59" s="46"/>
      <c r="SVT59" s="46"/>
      <c r="SVU59" s="46"/>
      <c r="SVV59" s="46"/>
      <c r="SVW59" s="46"/>
      <c r="SVX59" s="46"/>
      <c r="SVY59" s="46"/>
      <c r="SVZ59" s="46"/>
      <c r="SWA59" s="46"/>
      <c r="SWB59" s="46"/>
      <c r="SWC59" s="46"/>
      <c r="SWD59" s="46"/>
      <c r="SWE59" s="46"/>
      <c r="SWF59" s="46"/>
      <c r="SWG59" s="46"/>
      <c r="SWH59" s="46"/>
      <c r="SWI59" s="46"/>
      <c r="SWJ59" s="46"/>
      <c r="SWK59" s="46"/>
      <c r="SWL59" s="46"/>
      <c r="SWM59" s="46"/>
      <c r="SWN59" s="46"/>
      <c r="SWO59" s="46"/>
      <c r="SWP59" s="46"/>
      <c r="SWQ59" s="46"/>
      <c r="SWR59" s="46"/>
      <c r="SWS59" s="46"/>
      <c r="SWT59" s="46"/>
      <c r="SWU59" s="46"/>
      <c r="SWV59" s="46"/>
      <c r="SWW59" s="46"/>
      <c r="SWX59" s="46"/>
      <c r="SWY59" s="46"/>
      <c r="SWZ59" s="46"/>
      <c r="SXA59" s="46"/>
      <c r="SXB59" s="46"/>
      <c r="SXC59" s="46"/>
      <c r="SXD59" s="46"/>
      <c r="SXE59" s="46"/>
      <c r="SXF59" s="46"/>
      <c r="SXG59" s="46"/>
      <c r="SXH59" s="46"/>
      <c r="SXI59" s="46"/>
      <c r="SXJ59" s="46"/>
      <c r="SXK59" s="46"/>
      <c r="SXL59" s="46"/>
      <c r="SXM59" s="46"/>
      <c r="SXN59" s="46"/>
      <c r="SXO59" s="46"/>
      <c r="SXP59" s="46"/>
      <c r="SXQ59" s="46"/>
      <c r="SXR59" s="46"/>
      <c r="SXS59" s="46"/>
      <c r="SXT59" s="46"/>
      <c r="SXU59" s="46"/>
      <c r="SXV59" s="46"/>
      <c r="SXW59" s="46"/>
      <c r="SXX59" s="46"/>
      <c r="SXY59" s="46"/>
      <c r="SXZ59" s="46"/>
      <c r="SYA59" s="46"/>
      <c r="SYB59" s="46"/>
      <c r="SYC59" s="46"/>
      <c r="SYD59" s="46"/>
      <c r="SYE59" s="46"/>
      <c r="SYF59" s="46"/>
      <c r="SYG59" s="46"/>
      <c r="SYH59" s="46"/>
      <c r="SYI59" s="46"/>
      <c r="SYJ59" s="46"/>
      <c r="SYK59" s="46"/>
      <c r="SYL59" s="46"/>
      <c r="SYM59" s="46"/>
      <c r="SYN59" s="46"/>
      <c r="SYO59" s="46"/>
      <c r="SYP59" s="46"/>
      <c r="SYQ59" s="46"/>
      <c r="SYR59" s="46"/>
      <c r="SYS59" s="46"/>
      <c r="SYT59" s="46"/>
      <c r="SYU59" s="46"/>
      <c r="SYV59" s="46"/>
      <c r="SYW59" s="46"/>
      <c r="SYX59" s="46"/>
      <c r="SYY59" s="46"/>
      <c r="SYZ59" s="46"/>
      <c r="SZA59" s="46"/>
      <c r="SZB59" s="46"/>
      <c r="SZC59" s="46"/>
      <c r="SZD59" s="46"/>
      <c r="SZE59" s="46"/>
      <c r="SZF59" s="46"/>
      <c r="SZG59" s="46"/>
      <c r="SZH59" s="46"/>
      <c r="SZI59" s="46"/>
      <c r="SZJ59" s="46"/>
      <c r="SZK59" s="46"/>
      <c r="SZL59" s="46"/>
      <c r="SZM59" s="46"/>
      <c r="SZN59" s="46"/>
      <c r="SZO59" s="46"/>
      <c r="SZP59" s="46"/>
      <c r="SZQ59" s="46"/>
      <c r="SZR59" s="46"/>
      <c r="SZS59" s="46"/>
      <c r="SZT59" s="46"/>
      <c r="SZU59" s="46"/>
      <c r="SZV59" s="46"/>
      <c r="SZW59" s="46"/>
      <c r="SZX59" s="46"/>
      <c r="SZY59" s="46"/>
      <c r="SZZ59" s="46"/>
      <c r="TAA59" s="46"/>
      <c r="TAB59" s="46"/>
      <c r="TAC59" s="46"/>
      <c r="TAD59" s="46"/>
      <c r="TAE59" s="46"/>
      <c r="TAF59" s="46"/>
      <c r="TAG59" s="46"/>
      <c r="TAH59" s="46"/>
      <c r="TAI59" s="46"/>
      <c r="TAJ59" s="46"/>
      <c r="TAK59" s="46"/>
      <c r="TAL59" s="46"/>
      <c r="TAM59" s="46"/>
      <c r="TAN59" s="46"/>
      <c r="TAO59" s="46"/>
      <c r="TAP59" s="46"/>
      <c r="TAQ59" s="46"/>
      <c r="TAR59" s="46"/>
      <c r="TAS59" s="46"/>
      <c r="TAT59" s="46"/>
      <c r="TAU59" s="46"/>
      <c r="TAV59" s="46"/>
      <c r="TAW59" s="46"/>
      <c r="TAX59" s="46"/>
      <c r="TAY59" s="46"/>
      <c r="TAZ59" s="46"/>
      <c r="TBA59" s="46"/>
      <c r="TBB59" s="46"/>
      <c r="TBC59" s="46"/>
      <c r="TBD59" s="46"/>
      <c r="TBE59" s="46"/>
      <c r="TBF59" s="46"/>
      <c r="TBG59" s="46"/>
      <c r="TBH59" s="46"/>
      <c r="TBI59" s="46"/>
      <c r="TBJ59" s="46"/>
      <c r="TBK59" s="46"/>
      <c r="TBL59" s="46"/>
      <c r="TBM59" s="46"/>
      <c r="TBN59" s="46"/>
      <c r="TBO59" s="46"/>
      <c r="TBP59" s="46"/>
      <c r="TBQ59" s="46"/>
      <c r="TBR59" s="46"/>
      <c r="TBS59" s="46"/>
      <c r="TBT59" s="46"/>
      <c r="TBU59" s="46"/>
      <c r="TBV59" s="46"/>
      <c r="TBW59" s="46"/>
      <c r="TBX59" s="46"/>
      <c r="TBY59" s="46"/>
      <c r="TBZ59" s="46"/>
      <c r="TCA59" s="46"/>
      <c r="TCB59" s="46"/>
      <c r="TCC59" s="46"/>
      <c r="TCD59" s="46"/>
      <c r="TCE59" s="46"/>
      <c r="TCF59" s="46"/>
      <c r="TCG59" s="46"/>
      <c r="TCH59" s="46"/>
      <c r="TCI59" s="46"/>
      <c r="TCJ59" s="46"/>
      <c r="TCK59" s="46"/>
      <c r="TCL59" s="46"/>
      <c r="TCM59" s="46"/>
      <c r="TCN59" s="46"/>
      <c r="TCO59" s="46"/>
      <c r="TCP59" s="46"/>
      <c r="TCQ59" s="46"/>
      <c r="TCR59" s="46"/>
      <c r="TCS59" s="46"/>
      <c r="TCT59" s="46"/>
      <c r="TCU59" s="46"/>
      <c r="TCV59" s="46"/>
      <c r="TCW59" s="46"/>
      <c r="TCX59" s="46"/>
      <c r="TCY59" s="46"/>
      <c r="TCZ59" s="46"/>
      <c r="TDA59" s="46"/>
      <c r="TDB59" s="46"/>
      <c r="TDC59" s="46"/>
      <c r="TDD59" s="46"/>
      <c r="TDE59" s="46"/>
      <c r="TDF59" s="46"/>
      <c r="TDG59" s="46"/>
      <c r="TDH59" s="46"/>
      <c r="TDI59" s="46"/>
      <c r="TDJ59" s="46"/>
      <c r="TDK59" s="46"/>
      <c r="TDL59" s="46"/>
      <c r="TDM59" s="46"/>
      <c r="TDN59" s="46"/>
      <c r="TDO59" s="46"/>
      <c r="TDP59" s="46"/>
      <c r="TDQ59" s="46"/>
      <c r="TDR59" s="46"/>
      <c r="TDS59" s="46"/>
      <c r="TDT59" s="46"/>
      <c r="TDU59" s="46"/>
      <c r="TDV59" s="46"/>
      <c r="TDW59" s="46"/>
      <c r="TDX59" s="46"/>
      <c r="TDY59" s="46"/>
      <c r="TDZ59" s="46"/>
      <c r="TEA59" s="46"/>
      <c r="TEB59" s="46"/>
      <c r="TEC59" s="46"/>
      <c r="TED59" s="46"/>
      <c r="TEE59" s="46"/>
      <c r="TEF59" s="46"/>
      <c r="TEG59" s="46"/>
      <c r="TEH59" s="46"/>
      <c r="TEI59" s="46"/>
      <c r="TEJ59" s="46"/>
      <c r="TEK59" s="46"/>
      <c r="TEL59" s="46"/>
      <c r="TEM59" s="46"/>
      <c r="TEN59" s="46"/>
      <c r="TEO59" s="46"/>
      <c r="TEP59" s="46"/>
      <c r="TEQ59" s="46"/>
      <c r="TER59" s="46"/>
      <c r="TES59" s="46"/>
      <c r="TET59" s="46"/>
      <c r="TEU59" s="46"/>
      <c r="TEV59" s="46"/>
      <c r="TEW59" s="46"/>
      <c r="TEX59" s="46"/>
      <c r="TEY59" s="46"/>
      <c r="TEZ59" s="46"/>
      <c r="TFA59" s="46"/>
      <c r="TFB59" s="46"/>
      <c r="TFC59" s="46"/>
      <c r="TFD59" s="46"/>
      <c r="TFE59" s="46"/>
      <c r="TFF59" s="46"/>
      <c r="TFG59" s="46"/>
      <c r="TFH59" s="46"/>
      <c r="TFI59" s="46"/>
      <c r="TFJ59" s="46"/>
      <c r="TFK59" s="46"/>
      <c r="TFL59" s="46"/>
      <c r="TFM59" s="46"/>
      <c r="TFN59" s="46"/>
      <c r="TFO59" s="46"/>
      <c r="TFP59" s="46"/>
      <c r="TFQ59" s="46"/>
      <c r="TFR59" s="46"/>
      <c r="TFS59" s="46"/>
      <c r="TFT59" s="46"/>
      <c r="TFU59" s="46"/>
      <c r="TFV59" s="46"/>
      <c r="TFW59" s="46"/>
      <c r="TFX59" s="46"/>
      <c r="TFY59" s="46"/>
      <c r="TFZ59" s="46"/>
      <c r="TGA59" s="46"/>
      <c r="TGB59" s="46"/>
      <c r="TGC59" s="46"/>
      <c r="TGD59" s="46"/>
      <c r="TGE59" s="46"/>
      <c r="TGF59" s="46"/>
      <c r="TGG59" s="46"/>
      <c r="TGH59" s="46"/>
      <c r="TGI59" s="46"/>
      <c r="TGJ59" s="46"/>
      <c r="TGK59" s="46"/>
      <c r="TGL59" s="46"/>
      <c r="TGM59" s="46"/>
      <c r="TGN59" s="46"/>
      <c r="TGO59" s="46"/>
      <c r="TGP59" s="46"/>
      <c r="TGQ59" s="46"/>
      <c r="TGR59" s="46"/>
      <c r="TGS59" s="46"/>
      <c r="TGT59" s="46"/>
      <c r="TGU59" s="46"/>
      <c r="TGV59" s="46"/>
      <c r="TGW59" s="46"/>
      <c r="TGX59" s="46"/>
      <c r="TGY59" s="46"/>
      <c r="TGZ59" s="46"/>
      <c r="THA59" s="46"/>
      <c r="THB59" s="46"/>
      <c r="THC59" s="46"/>
      <c r="THD59" s="46"/>
      <c r="THE59" s="46"/>
      <c r="THF59" s="46"/>
      <c r="THG59" s="46"/>
      <c r="THH59" s="46"/>
      <c r="THI59" s="46"/>
      <c r="THJ59" s="46"/>
      <c r="THK59" s="46"/>
      <c r="THL59" s="46"/>
      <c r="THM59" s="46"/>
      <c r="THN59" s="46"/>
      <c r="THO59" s="46"/>
      <c r="THP59" s="46"/>
      <c r="THQ59" s="46"/>
      <c r="THR59" s="46"/>
      <c r="THS59" s="46"/>
      <c r="THT59" s="46"/>
      <c r="THU59" s="46"/>
      <c r="THV59" s="46"/>
      <c r="THW59" s="46"/>
      <c r="THX59" s="46"/>
      <c r="THY59" s="46"/>
      <c r="THZ59" s="46"/>
      <c r="TIA59" s="46"/>
      <c r="TIB59" s="46"/>
      <c r="TIC59" s="46"/>
      <c r="TID59" s="46"/>
      <c r="TIE59" s="46"/>
      <c r="TIF59" s="46"/>
      <c r="TIG59" s="46"/>
      <c r="TIH59" s="46"/>
      <c r="TII59" s="46"/>
      <c r="TIJ59" s="46"/>
      <c r="TIK59" s="46"/>
      <c r="TIL59" s="46"/>
      <c r="TIM59" s="46"/>
      <c r="TIN59" s="46"/>
      <c r="TIO59" s="46"/>
      <c r="TIP59" s="46"/>
      <c r="TIQ59" s="46"/>
      <c r="TIR59" s="46"/>
      <c r="TIS59" s="46"/>
      <c r="TIT59" s="46"/>
      <c r="TIU59" s="46"/>
      <c r="TIV59" s="46"/>
      <c r="TIW59" s="46"/>
      <c r="TIX59" s="46"/>
      <c r="TIY59" s="46"/>
      <c r="TIZ59" s="46"/>
      <c r="TJA59" s="46"/>
      <c r="TJB59" s="46"/>
      <c r="TJC59" s="46"/>
      <c r="TJD59" s="46"/>
      <c r="TJE59" s="46"/>
      <c r="TJF59" s="46"/>
      <c r="TJG59" s="46"/>
      <c r="TJH59" s="46"/>
      <c r="TJI59" s="46"/>
      <c r="TJJ59" s="46"/>
      <c r="TJK59" s="46"/>
      <c r="TJL59" s="46"/>
      <c r="TJM59" s="46"/>
      <c r="TJN59" s="46"/>
      <c r="TJO59" s="46"/>
      <c r="TJP59" s="46"/>
      <c r="TJQ59" s="46"/>
      <c r="TJR59" s="46"/>
      <c r="TJS59" s="46"/>
      <c r="TJT59" s="46"/>
      <c r="TJU59" s="46"/>
      <c r="TJV59" s="46"/>
      <c r="TJW59" s="46"/>
      <c r="TJX59" s="46"/>
      <c r="TJY59" s="46"/>
      <c r="TJZ59" s="46"/>
      <c r="TKA59" s="46"/>
      <c r="TKB59" s="46"/>
      <c r="TKC59" s="46"/>
      <c r="TKD59" s="46"/>
      <c r="TKE59" s="46"/>
      <c r="TKF59" s="46"/>
      <c r="TKG59" s="46"/>
      <c r="TKH59" s="46"/>
      <c r="TKI59" s="46"/>
      <c r="TKJ59" s="46"/>
      <c r="TKK59" s="46"/>
      <c r="TKL59" s="46"/>
      <c r="TKM59" s="46"/>
      <c r="TKN59" s="46"/>
      <c r="TKO59" s="46"/>
      <c r="TKP59" s="46"/>
      <c r="TKQ59" s="46"/>
      <c r="TKR59" s="46"/>
      <c r="TKS59" s="46"/>
      <c r="TKT59" s="46"/>
      <c r="TKU59" s="46"/>
      <c r="TKV59" s="46"/>
      <c r="TKW59" s="46"/>
      <c r="TKX59" s="46"/>
      <c r="TKY59" s="46"/>
      <c r="TKZ59" s="46"/>
      <c r="TLA59" s="46"/>
      <c r="TLB59" s="46"/>
      <c r="TLC59" s="46"/>
      <c r="TLD59" s="46"/>
      <c r="TLE59" s="46"/>
      <c r="TLF59" s="46"/>
      <c r="TLG59" s="46"/>
      <c r="TLH59" s="46"/>
      <c r="TLI59" s="46"/>
      <c r="TLJ59" s="46"/>
      <c r="TLK59" s="46"/>
      <c r="TLL59" s="46"/>
      <c r="TLM59" s="46"/>
      <c r="TLN59" s="46"/>
      <c r="TLO59" s="46"/>
      <c r="TLP59" s="46"/>
      <c r="TLQ59" s="46"/>
      <c r="TLR59" s="46"/>
      <c r="TLS59" s="46"/>
      <c r="TLT59" s="46"/>
      <c r="TLU59" s="46"/>
      <c r="TLV59" s="46"/>
      <c r="TLW59" s="46"/>
      <c r="TLX59" s="46"/>
      <c r="TLY59" s="46"/>
      <c r="TLZ59" s="46"/>
      <c r="TMA59" s="46"/>
      <c r="TMB59" s="46"/>
      <c r="TMC59" s="46"/>
      <c r="TMD59" s="46"/>
      <c r="TME59" s="46"/>
      <c r="TMF59" s="46"/>
      <c r="TMG59" s="46"/>
      <c r="TMH59" s="46"/>
      <c r="TMI59" s="46"/>
      <c r="TMJ59" s="46"/>
      <c r="TMK59" s="46"/>
      <c r="TML59" s="46"/>
      <c r="TMM59" s="46"/>
      <c r="TMN59" s="46"/>
      <c r="TMO59" s="46"/>
      <c r="TMP59" s="46"/>
      <c r="TMQ59" s="46"/>
      <c r="TMR59" s="46"/>
      <c r="TMS59" s="46"/>
      <c r="TMT59" s="46"/>
      <c r="TMU59" s="46"/>
      <c r="TMV59" s="46"/>
      <c r="TMW59" s="46"/>
      <c r="TMX59" s="46"/>
      <c r="TMY59" s="46"/>
      <c r="TMZ59" s="46"/>
      <c r="TNA59" s="46"/>
      <c r="TNB59" s="46"/>
      <c r="TNC59" s="46"/>
      <c r="TND59" s="46"/>
      <c r="TNE59" s="46"/>
      <c r="TNF59" s="46"/>
      <c r="TNG59" s="46"/>
      <c r="TNH59" s="46"/>
      <c r="TNI59" s="46"/>
      <c r="TNJ59" s="46"/>
      <c r="TNK59" s="46"/>
      <c r="TNL59" s="46"/>
      <c r="TNM59" s="46"/>
      <c r="TNN59" s="46"/>
      <c r="TNO59" s="46"/>
      <c r="TNP59" s="46"/>
      <c r="TNQ59" s="46"/>
      <c r="TNR59" s="46"/>
      <c r="TNS59" s="46"/>
      <c r="TNT59" s="46"/>
      <c r="TNU59" s="46"/>
      <c r="TNV59" s="46"/>
      <c r="TNW59" s="46"/>
      <c r="TNX59" s="46"/>
      <c r="TNY59" s="46"/>
      <c r="TNZ59" s="46"/>
      <c r="TOA59" s="46"/>
      <c r="TOB59" s="46"/>
      <c r="TOC59" s="46"/>
      <c r="TOD59" s="46"/>
      <c r="TOE59" s="46"/>
      <c r="TOF59" s="46"/>
      <c r="TOG59" s="46"/>
      <c r="TOH59" s="46"/>
      <c r="TOI59" s="46"/>
      <c r="TOJ59" s="46"/>
      <c r="TOK59" s="46"/>
      <c r="TOL59" s="46"/>
      <c r="TOM59" s="46"/>
      <c r="TON59" s="46"/>
      <c r="TOO59" s="46"/>
      <c r="TOP59" s="46"/>
      <c r="TOQ59" s="46"/>
      <c r="TOR59" s="46"/>
      <c r="TOS59" s="46"/>
      <c r="TOT59" s="46"/>
      <c r="TOU59" s="46"/>
      <c r="TOV59" s="46"/>
      <c r="TOW59" s="46"/>
      <c r="TOX59" s="46"/>
      <c r="TOY59" s="46"/>
      <c r="TOZ59" s="46"/>
      <c r="TPA59" s="46"/>
      <c r="TPB59" s="46"/>
      <c r="TPC59" s="46"/>
      <c r="TPD59" s="46"/>
      <c r="TPE59" s="46"/>
      <c r="TPF59" s="46"/>
      <c r="TPG59" s="46"/>
      <c r="TPH59" s="46"/>
      <c r="TPI59" s="46"/>
      <c r="TPJ59" s="46"/>
      <c r="TPK59" s="46"/>
      <c r="TPL59" s="46"/>
      <c r="TPM59" s="46"/>
      <c r="TPN59" s="46"/>
      <c r="TPO59" s="46"/>
      <c r="TPP59" s="46"/>
      <c r="TPQ59" s="46"/>
      <c r="TPR59" s="46"/>
      <c r="TPS59" s="46"/>
      <c r="TPT59" s="46"/>
      <c r="TPU59" s="46"/>
      <c r="TPV59" s="46"/>
      <c r="TPW59" s="46"/>
      <c r="TPX59" s="46"/>
      <c r="TPY59" s="46"/>
      <c r="TPZ59" s="46"/>
      <c r="TQA59" s="46"/>
      <c r="TQB59" s="46"/>
      <c r="TQC59" s="46"/>
      <c r="TQD59" s="46"/>
      <c r="TQE59" s="46"/>
      <c r="TQF59" s="46"/>
      <c r="TQG59" s="46"/>
      <c r="TQH59" s="46"/>
      <c r="TQI59" s="46"/>
      <c r="TQJ59" s="46"/>
      <c r="TQK59" s="46"/>
      <c r="TQL59" s="46"/>
      <c r="TQM59" s="46"/>
      <c r="TQN59" s="46"/>
      <c r="TQO59" s="46"/>
      <c r="TQP59" s="46"/>
      <c r="TQQ59" s="46"/>
      <c r="TQR59" s="46"/>
      <c r="TQS59" s="46"/>
      <c r="TQT59" s="46"/>
      <c r="TQU59" s="46"/>
      <c r="TQV59" s="46"/>
      <c r="TQW59" s="46"/>
      <c r="TQX59" s="46"/>
      <c r="TQY59" s="46"/>
      <c r="TQZ59" s="46"/>
      <c r="TRA59" s="46"/>
      <c r="TRB59" s="46"/>
      <c r="TRC59" s="46"/>
      <c r="TRD59" s="46"/>
      <c r="TRE59" s="46"/>
      <c r="TRF59" s="46"/>
      <c r="TRG59" s="46"/>
      <c r="TRH59" s="46"/>
      <c r="TRI59" s="46"/>
      <c r="TRJ59" s="46"/>
      <c r="TRK59" s="46"/>
      <c r="TRL59" s="46"/>
      <c r="TRM59" s="46"/>
      <c r="TRN59" s="46"/>
      <c r="TRO59" s="46"/>
      <c r="TRP59" s="46"/>
      <c r="TRQ59" s="46"/>
      <c r="TRR59" s="46"/>
      <c r="TRS59" s="46"/>
      <c r="TRT59" s="46"/>
      <c r="TRU59" s="46"/>
      <c r="TRV59" s="46"/>
      <c r="TRW59" s="46"/>
      <c r="TRX59" s="46"/>
      <c r="TRY59" s="46"/>
      <c r="TRZ59" s="46"/>
      <c r="TSA59" s="46"/>
      <c r="TSB59" s="46"/>
      <c r="TSC59" s="46"/>
      <c r="TSD59" s="46"/>
      <c r="TSE59" s="46"/>
      <c r="TSF59" s="46"/>
      <c r="TSG59" s="46"/>
      <c r="TSH59" s="46"/>
      <c r="TSI59" s="46"/>
      <c r="TSJ59" s="46"/>
      <c r="TSK59" s="46"/>
      <c r="TSL59" s="46"/>
      <c r="TSM59" s="46"/>
      <c r="TSN59" s="46"/>
      <c r="TSO59" s="46"/>
      <c r="TSP59" s="46"/>
      <c r="TSQ59" s="46"/>
      <c r="TSR59" s="46"/>
      <c r="TSS59" s="46"/>
      <c r="TST59" s="46"/>
      <c r="TSU59" s="46"/>
      <c r="TSV59" s="46"/>
      <c r="TSW59" s="46"/>
      <c r="TSX59" s="46"/>
      <c r="TSY59" s="46"/>
      <c r="TSZ59" s="46"/>
      <c r="TTA59" s="46"/>
      <c r="TTB59" s="46"/>
      <c r="TTC59" s="46"/>
      <c r="TTD59" s="46"/>
      <c r="TTE59" s="46"/>
      <c r="TTF59" s="46"/>
      <c r="TTG59" s="46"/>
      <c r="TTH59" s="46"/>
      <c r="TTI59" s="46"/>
      <c r="TTJ59" s="46"/>
      <c r="TTK59" s="46"/>
      <c r="TTL59" s="46"/>
      <c r="TTM59" s="46"/>
      <c r="TTN59" s="46"/>
      <c r="TTO59" s="46"/>
      <c r="TTP59" s="46"/>
      <c r="TTQ59" s="46"/>
      <c r="TTR59" s="46"/>
      <c r="TTS59" s="46"/>
      <c r="TTT59" s="46"/>
      <c r="TTU59" s="46"/>
      <c r="TTV59" s="46"/>
      <c r="TTW59" s="46"/>
      <c r="TTX59" s="46"/>
      <c r="TTY59" s="46"/>
      <c r="TTZ59" s="46"/>
      <c r="TUA59" s="46"/>
      <c r="TUB59" s="46"/>
      <c r="TUC59" s="46"/>
      <c r="TUD59" s="46"/>
      <c r="TUE59" s="46"/>
      <c r="TUF59" s="46"/>
      <c r="TUG59" s="46"/>
      <c r="TUH59" s="46"/>
      <c r="TUI59" s="46"/>
      <c r="TUJ59" s="46"/>
      <c r="TUK59" s="46"/>
      <c r="TUL59" s="46"/>
      <c r="TUM59" s="46"/>
      <c r="TUN59" s="46"/>
      <c r="TUO59" s="46"/>
      <c r="TUP59" s="46"/>
      <c r="TUQ59" s="46"/>
      <c r="TUR59" s="46"/>
      <c r="TUS59" s="46"/>
      <c r="TUT59" s="46"/>
      <c r="TUU59" s="46"/>
      <c r="TUV59" s="46"/>
      <c r="TUW59" s="46"/>
      <c r="TUX59" s="46"/>
      <c r="TUY59" s="46"/>
      <c r="TUZ59" s="46"/>
      <c r="TVA59" s="46"/>
      <c r="TVB59" s="46"/>
      <c r="TVC59" s="46"/>
      <c r="TVD59" s="46"/>
      <c r="TVE59" s="46"/>
      <c r="TVF59" s="46"/>
      <c r="TVG59" s="46"/>
      <c r="TVH59" s="46"/>
      <c r="TVI59" s="46"/>
      <c r="TVJ59" s="46"/>
      <c r="TVK59" s="46"/>
      <c r="TVL59" s="46"/>
      <c r="TVM59" s="46"/>
      <c r="TVN59" s="46"/>
      <c r="TVO59" s="46"/>
      <c r="TVP59" s="46"/>
      <c r="TVQ59" s="46"/>
      <c r="TVR59" s="46"/>
      <c r="TVS59" s="46"/>
      <c r="TVT59" s="46"/>
      <c r="TVU59" s="46"/>
      <c r="TVV59" s="46"/>
      <c r="TVW59" s="46"/>
      <c r="TVX59" s="46"/>
      <c r="TVY59" s="46"/>
      <c r="TVZ59" s="46"/>
      <c r="TWA59" s="46"/>
      <c r="TWB59" s="46"/>
      <c r="TWC59" s="46"/>
      <c r="TWD59" s="46"/>
      <c r="TWE59" s="46"/>
      <c r="TWF59" s="46"/>
      <c r="TWG59" s="46"/>
      <c r="TWH59" s="46"/>
      <c r="TWI59" s="46"/>
      <c r="TWJ59" s="46"/>
      <c r="TWK59" s="46"/>
      <c r="TWL59" s="46"/>
      <c r="TWM59" s="46"/>
      <c r="TWN59" s="46"/>
      <c r="TWO59" s="46"/>
      <c r="TWP59" s="46"/>
      <c r="TWQ59" s="46"/>
      <c r="TWR59" s="46"/>
      <c r="TWS59" s="46"/>
      <c r="TWT59" s="46"/>
      <c r="TWU59" s="46"/>
      <c r="TWV59" s="46"/>
      <c r="TWW59" s="46"/>
      <c r="TWX59" s="46"/>
      <c r="TWY59" s="46"/>
      <c r="TWZ59" s="46"/>
      <c r="TXA59" s="46"/>
      <c r="TXB59" s="46"/>
      <c r="TXC59" s="46"/>
      <c r="TXD59" s="46"/>
      <c r="TXE59" s="46"/>
      <c r="TXF59" s="46"/>
      <c r="TXG59" s="46"/>
      <c r="TXH59" s="46"/>
      <c r="TXI59" s="46"/>
      <c r="TXJ59" s="46"/>
      <c r="TXK59" s="46"/>
      <c r="TXL59" s="46"/>
      <c r="TXM59" s="46"/>
      <c r="TXN59" s="46"/>
      <c r="TXO59" s="46"/>
      <c r="TXP59" s="46"/>
      <c r="TXQ59" s="46"/>
      <c r="TXR59" s="46"/>
      <c r="TXS59" s="46"/>
      <c r="TXT59" s="46"/>
      <c r="TXU59" s="46"/>
      <c r="TXV59" s="46"/>
      <c r="TXW59" s="46"/>
      <c r="TXX59" s="46"/>
      <c r="TXY59" s="46"/>
      <c r="TXZ59" s="46"/>
      <c r="TYA59" s="46"/>
      <c r="TYB59" s="46"/>
      <c r="TYC59" s="46"/>
      <c r="TYD59" s="46"/>
      <c r="TYE59" s="46"/>
      <c r="TYF59" s="46"/>
      <c r="TYG59" s="46"/>
      <c r="TYH59" s="46"/>
      <c r="TYI59" s="46"/>
      <c r="TYJ59" s="46"/>
      <c r="TYK59" s="46"/>
      <c r="TYL59" s="46"/>
      <c r="TYM59" s="46"/>
      <c r="TYN59" s="46"/>
      <c r="TYO59" s="46"/>
      <c r="TYP59" s="46"/>
      <c r="TYQ59" s="46"/>
      <c r="TYR59" s="46"/>
      <c r="TYS59" s="46"/>
      <c r="TYT59" s="46"/>
      <c r="TYU59" s="46"/>
      <c r="TYV59" s="46"/>
      <c r="TYW59" s="46"/>
      <c r="TYX59" s="46"/>
      <c r="TYY59" s="46"/>
      <c r="TYZ59" s="46"/>
      <c r="TZA59" s="46"/>
      <c r="TZB59" s="46"/>
      <c r="TZC59" s="46"/>
      <c r="TZD59" s="46"/>
      <c r="TZE59" s="46"/>
      <c r="TZF59" s="46"/>
      <c r="TZG59" s="46"/>
      <c r="TZH59" s="46"/>
      <c r="TZI59" s="46"/>
      <c r="TZJ59" s="46"/>
      <c r="TZK59" s="46"/>
      <c r="TZL59" s="46"/>
      <c r="TZM59" s="46"/>
      <c r="TZN59" s="46"/>
      <c r="TZO59" s="46"/>
      <c r="TZP59" s="46"/>
      <c r="TZQ59" s="46"/>
      <c r="TZR59" s="46"/>
      <c r="TZS59" s="46"/>
      <c r="TZT59" s="46"/>
      <c r="TZU59" s="46"/>
      <c r="TZV59" s="46"/>
      <c r="TZW59" s="46"/>
      <c r="TZX59" s="46"/>
      <c r="TZY59" s="46"/>
      <c r="TZZ59" s="46"/>
      <c r="UAA59" s="46"/>
      <c r="UAB59" s="46"/>
      <c r="UAC59" s="46"/>
      <c r="UAD59" s="46"/>
      <c r="UAE59" s="46"/>
      <c r="UAF59" s="46"/>
      <c r="UAG59" s="46"/>
      <c r="UAH59" s="46"/>
      <c r="UAI59" s="46"/>
      <c r="UAJ59" s="46"/>
      <c r="UAK59" s="46"/>
      <c r="UAL59" s="46"/>
      <c r="UAM59" s="46"/>
      <c r="UAN59" s="46"/>
      <c r="UAO59" s="46"/>
      <c r="UAP59" s="46"/>
      <c r="UAQ59" s="46"/>
      <c r="UAR59" s="46"/>
      <c r="UAS59" s="46"/>
      <c r="UAT59" s="46"/>
      <c r="UAU59" s="46"/>
      <c r="UAV59" s="46"/>
      <c r="UAW59" s="46"/>
      <c r="UAX59" s="46"/>
      <c r="UAY59" s="46"/>
      <c r="UAZ59" s="46"/>
      <c r="UBA59" s="46"/>
      <c r="UBB59" s="46"/>
      <c r="UBC59" s="46"/>
      <c r="UBD59" s="46"/>
      <c r="UBE59" s="46"/>
      <c r="UBF59" s="46"/>
      <c r="UBG59" s="46"/>
      <c r="UBH59" s="46"/>
      <c r="UBI59" s="46"/>
      <c r="UBJ59" s="46"/>
      <c r="UBK59" s="46"/>
      <c r="UBL59" s="46"/>
      <c r="UBM59" s="46"/>
      <c r="UBN59" s="46"/>
      <c r="UBO59" s="46"/>
      <c r="UBP59" s="46"/>
      <c r="UBQ59" s="46"/>
      <c r="UBR59" s="46"/>
      <c r="UBS59" s="46"/>
      <c r="UBT59" s="46"/>
      <c r="UBU59" s="46"/>
      <c r="UBV59" s="46"/>
      <c r="UBW59" s="46"/>
      <c r="UBX59" s="46"/>
      <c r="UBY59" s="46"/>
      <c r="UBZ59" s="46"/>
      <c r="UCA59" s="46"/>
      <c r="UCB59" s="46"/>
      <c r="UCC59" s="46"/>
      <c r="UCD59" s="46"/>
      <c r="UCE59" s="46"/>
      <c r="UCF59" s="46"/>
      <c r="UCG59" s="46"/>
      <c r="UCH59" s="46"/>
      <c r="UCI59" s="46"/>
      <c r="UCJ59" s="46"/>
      <c r="UCK59" s="46"/>
      <c r="UCL59" s="46"/>
      <c r="UCM59" s="46"/>
      <c r="UCN59" s="46"/>
      <c r="UCO59" s="46"/>
      <c r="UCP59" s="46"/>
      <c r="UCQ59" s="46"/>
      <c r="UCR59" s="46"/>
      <c r="UCS59" s="46"/>
      <c r="UCT59" s="46"/>
      <c r="UCU59" s="46"/>
      <c r="UCV59" s="46"/>
      <c r="UCW59" s="46"/>
      <c r="UCX59" s="46"/>
      <c r="UCY59" s="46"/>
      <c r="UCZ59" s="46"/>
      <c r="UDA59" s="46"/>
      <c r="UDB59" s="46"/>
      <c r="UDC59" s="46"/>
      <c r="UDD59" s="46"/>
      <c r="UDE59" s="46"/>
      <c r="UDF59" s="46"/>
      <c r="UDG59" s="46"/>
      <c r="UDH59" s="46"/>
      <c r="UDI59" s="46"/>
      <c r="UDJ59" s="46"/>
      <c r="UDK59" s="46"/>
      <c r="UDL59" s="46"/>
      <c r="UDM59" s="46"/>
      <c r="UDN59" s="46"/>
      <c r="UDO59" s="46"/>
      <c r="UDP59" s="46"/>
      <c r="UDQ59" s="46"/>
      <c r="UDR59" s="46"/>
      <c r="UDS59" s="46"/>
      <c r="UDT59" s="46"/>
      <c r="UDU59" s="46"/>
      <c r="UDV59" s="46"/>
      <c r="UDW59" s="46"/>
      <c r="UDX59" s="46"/>
      <c r="UDY59" s="46"/>
      <c r="UDZ59" s="46"/>
      <c r="UEA59" s="46"/>
      <c r="UEB59" s="46"/>
      <c r="UEC59" s="46"/>
      <c r="UED59" s="46"/>
      <c r="UEE59" s="46"/>
      <c r="UEF59" s="46"/>
      <c r="UEG59" s="46"/>
      <c r="UEH59" s="46"/>
      <c r="UEI59" s="46"/>
      <c r="UEJ59" s="46"/>
      <c r="UEK59" s="46"/>
      <c r="UEL59" s="46"/>
      <c r="UEM59" s="46"/>
      <c r="UEN59" s="46"/>
      <c r="UEO59" s="46"/>
      <c r="UEP59" s="46"/>
      <c r="UEQ59" s="46"/>
      <c r="UER59" s="46"/>
      <c r="UES59" s="46"/>
      <c r="UET59" s="46"/>
      <c r="UEU59" s="46"/>
      <c r="UEV59" s="46"/>
      <c r="UEW59" s="46"/>
      <c r="UEX59" s="46"/>
      <c r="UEY59" s="46"/>
      <c r="UEZ59" s="46"/>
      <c r="UFA59" s="46"/>
      <c r="UFB59" s="46"/>
      <c r="UFC59" s="46"/>
      <c r="UFD59" s="46"/>
      <c r="UFE59" s="46"/>
      <c r="UFF59" s="46"/>
      <c r="UFG59" s="46"/>
      <c r="UFH59" s="46"/>
      <c r="UFI59" s="46"/>
      <c r="UFJ59" s="46"/>
      <c r="UFK59" s="46"/>
      <c r="UFL59" s="46"/>
      <c r="UFM59" s="46"/>
      <c r="UFN59" s="46"/>
      <c r="UFO59" s="46"/>
      <c r="UFP59" s="46"/>
      <c r="UFQ59" s="46"/>
      <c r="UFR59" s="46"/>
      <c r="UFS59" s="46"/>
      <c r="UFT59" s="46"/>
      <c r="UFU59" s="46"/>
      <c r="UFV59" s="46"/>
      <c r="UFW59" s="46"/>
      <c r="UFX59" s="46"/>
      <c r="UFY59" s="46"/>
      <c r="UFZ59" s="46"/>
      <c r="UGA59" s="46"/>
      <c r="UGB59" s="46"/>
      <c r="UGC59" s="46"/>
      <c r="UGD59" s="46"/>
      <c r="UGE59" s="46"/>
      <c r="UGF59" s="46"/>
      <c r="UGG59" s="46"/>
      <c r="UGH59" s="46"/>
      <c r="UGI59" s="46"/>
      <c r="UGJ59" s="46"/>
      <c r="UGK59" s="46"/>
      <c r="UGL59" s="46"/>
      <c r="UGM59" s="46"/>
      <c r="UGN59" s="46"/>
      <c r="UGO59" s="46"/>
      <c r="UGP59" s="46"/>
      <c r="UGQ59" s="46"/>
      <c r="UGR59" s="46"/>
      <c r="UGS59" s="46"/>
      <c r="UGT59" s="46"/>
      <c r="UGU59" s="46"/>
      <c r="UGV59" s="46"/>
      <c r="UGW59" s="46"/>
      <c r="UGX59" s="46"/>
      <c r="UGY59" s="46"/>
      <c r="UGZ59" s="46"/>
      <c r="UHA59" s="46"/>
      <c r="UHB59" s="46"/>
      <c r="UHC59" s="46"/>
      <c r="UHD59" s="46"/>
      <c r="UHE59" s="46"/>
      <c r="UHF59" s="46"/>
      <c r="UHG59" s="46"/>
      <c r="UHH59" s="46"/>
      <c r="UHI59" s="46"/>
      <c r="UHJ59" s="46"/>
      <c r="UHK59" s="46"/>
      <c r="UHL59" s="46"/>
      <c r="UHM59" s="46"/>
      <c r="UHN59" s="46"/>
      <c r="UHO59" s="46"/>
      <c r="UHP59" s="46"/>
      <c r="UHQ59" s="46"/>
      <c r="UHR59" s="46"/>
      <c r="UHS59" s="46"/>
      <c r="UHT59" s="46"/>
      <c r="UHU59" s="46"/>
      <c r="UHV59" s="46"/>
      <c r="UHW59" s="46"/>
      <c r="UHX59" s="46"/>
      <c r="UHY59" s="46"/>
      <c r="UHZ59" s="46"/>
      <c r="UIA59" s="46"/>
      <c r="UIB59" s="46"/>
      <c r="UIC59" s="46"/>
      <c r="UID59" s="46"/>
      <c r="UIE59" s="46"/>
      <c r="UIF59" s="46"/>
      <c r="UIG59" s="46"/>
      <c r="UIH59" s="46"/>
      <c r="UII59" s="46"/>
      <c r="UIJ59" s="46"/>
      <c r="UIK59" s="46"/>
      <c r="UIL59" s="46"/>
      <c r="UIM59" s="46"/>
      <c r="UIN59" s="46"/>
      <c r="UIO59" s="46"/>
      <c r="UIP59" s="46"/>
      <c r="UIQ59" s="46"/>
      <c r="UIR59" s="46"/>
      <c r="UIS59" s="46"/>
      <c r="UIT59" s="46"/>
      <c r="UIU59" s="46"/>
      <c r="UIV59" s="46"/>
      <c r="UIW59" s="46"/>
      <c r="UIX59" s="46"/>
      <c r="UIY59" s="46"/>
      <c r="UIZ59" s="46"/>
      <c r="UJA59" s="46"/>
      <c r="UJB59" s="46"/>
      <c r="UJC59" s="46"/>
      <c r="UJD59" s="46"/>
      <c r="UJE59" s="46"/>
      <c r="UJF59" s="46"/>
      <c r="UJG59" s="46"/>
      <c r="UJH59" s="46"/>
      <c r="UJI59" s="46"/>
      <c r="UJJ59" s="46"/>
      <c r="UJK59" s="46"/>
      <c r="UJL59" s="46"/>
      <c r="UJM59" s="46"/>
      <c r="UJN59" s="46"/>
      <c r="UJO59" s="46"/>
      <c r="UJP59" s="46"/>
      <c r="UJQ59" s="46"/>
      <c r="UJR59" s="46"/>
      <c r="UJS59" s="46"/>
      <c r="UJT59" s="46"/>
      <c r="UJU59" s="46"/>
      <c r="UJV59" s="46"/>
      <c r="UJW59" s="46"/>
      <c r="UJX59" s="46"/>
      <c r="UJY59" s="46"/>
      <c r="UJZ59" s="46"/>
      <c r="UKA59" s="46"/>
      <c r="UKB59" s="46"/>
      <c r="UKC59" s="46"/>
      <c r="UKD59" s="46"/>
      <c r="UKE59" s="46"/>
      <c r="UKF59" s="46"/>
      <c r="UKG59" s="46"/>
      <c r="UKH59" s="46"/>
      <c r="UKI59" s="46"/>
      <c r="UKJ59" s="46"/>
      <c r="UKK59" s="46"/>
      <c r="UKL59" s="46"/>
      <c r="UKM59" s="46"/>
      <c r="UKN59" s="46"/>
      <c r="UKO59" s="46"/>
      <c r="UKP59" s="46"/>
      <c r="UKQ59" s="46"/>
      <c r="UKR59" s="46"/>
      <c r="UKS59" s="46"/>
      <c r="UKT59" s="46"/>
      <c r="UKU59" s="46"/>
      <c r="UKV59" s="46"/>
      <c r="UKW59" s="46"/>
      <c r="UKX59" s="46"/>
      <c r="UKY59" s="46"/>
      <c r="UKZ59" s="46"/>
      <c r="ULA59" s="46"/>
      <c r="ULB59" s="46"/>
      <c r="ULC59" s="46"/>
      <c r="ULD59" s="46"/>
      <c r="ULE59" s="46"/>
      <c r="ULF59" s="46"/>
      <c r="ULG59" s="46"/>
      <c r="ULH59" s="46"/>
      <c r="ULI59" s="46"/>
      <c r="ULJ59" s="46"/>
      <c r="ULK59" s="46"/>
      <c r="ULL59" s="46"/>
      <c r="ULM59" s="46"/>
      <c r="ULN59" s="46"/>
      <c r="ULO59" s="46"/>
      <c r="ULP59" s="46"/>
      <c r="ULQ59" s="46"/>
      <c r="ULR59" s="46"/>
      <c r="ULS59" s="46"/>
      <c r="ULT59" s="46"/>
      <c r="ULU59" s="46"/>
      <c r="ULV59" s="46"/>
      <c r="ULW59" s="46"/>
      <c r="ULX59" s="46"/>
      <c r="ULY59" s="46"/>
      <c r="ULZ59" s="46"/>
      <c r="UMA59" s="46"/>
      <c r="UMB59" s="46"/>
      <c r="UMC59" s="46"/>
      <c r="UMD59" s="46"/>
      <c r="UME59" s="46"/>
      <c r="UMF59" s="46"/>
      <c r="UMG59" s="46"/>
      <c r="UMH59" s="46"/>
      <c r="UMI59" s="46"/>
      <c r="UMJ59" s="46"/>
      <c r="UMK59" s="46"/>
      <c r="UML59" s="46"/>
      <c r="UMM59" s="46"/>
      <c r="UMN59" s="46"/>
      <c r="UMO59" s="46"/>
      <c r="UMP59" s="46"/>
      <c r="UMQ59" s="46"/>
      <c r="UMR59" s="46"/>
      <c r="UMS59" s="46"/>
      <c r="UMT59" s="46"/>
      <c r="UMU59" s="46"/>
      <c r="UMV59" s="46"/>
      <c r="UMW59" s="46"/>
      <c r="UMX59" s="46"/>
      <c r="UMY59" s="46"/>
      <c r="UMZ59" s="46"/>
      <c r="UNA59" s="46"/>
      <c r="UNB59" s="46"/>
      <c r="UNC59" s="46"/>
      <c r="UND59" s="46"/>
      <c r="UNE59" s="46"/>
      <c r="UNF59" s="46"/>
      <c r="UNG59" s="46"/>
      <c r="UNH59" s="46"/>
      <c r="UNI59" s="46"/>
      <c r="UNJ59" s="46"/>
      <c r="UNK59" s="46"/>
      <c r="UNL59" s="46"/>
      <c r="UNM59" s="46"/>
      <c r="UNN59" s="46"/>
      <c r="UNO59" s="46"/>
      <c r="UNP59" s="46"/>
      <c r="UNQ59" s="46"/>
      <c r="UNR59" s="46"/>
      <c r="UNS59" s="46"/>
      <c r="UNT59" s="46"/>
      <c r="UNU59" s="46"/>
      <c r="UNV59" s="46"/>
      <c r="UNW59" s="46"/>
      <c r="UNX59" s="46"/>
      <c r="UNY59" s="46"/>
      <c r="UNZ59" s="46"/>
      <c r="UOA59" s="46"/>
      <c r="UOB59" s="46"/>
      <c r="UOC59" s="46"/>
      <c r="UOD59" s="46"/>
      <c r="UOE59" s="46"/>
      <c r="UOF59" s="46"/>
      <c r="UOG59" s="46"/>
      <c r="UOH59" s="46"/>
      <c r="UOI59" s="46"/>
      <c r="UOJ59" s="46"/>
      <c r="UOK59" s="46"/>
      <c r="UOL59" s="46"/>
      <c r="UOM59" s="46"/>
      <c r="UON59" s="46"/>
      <c r="UOO59" s="46"/>
      <c r="UOP59" s="46"/>
      <c r="UOQ59" s="46"/>
      <c r="UOR59" s="46"/>
      <c r="UOS59" s="46"/>
      <c r="UOT59" s="46"/>
      <c r="UOU59" s="46"/>
      <c r="UOV59" s="46"/>
      <c r="UOW59" s="46"/>
      <c r="UOX59" s="46"/>
      <c r="UOY59" s="46"/>
      <c r="UOZ59" s="46"/>
      <c r="UPA59" s="46"/>
      <c r="UPB59" s="46"/>
      <c r="UPC59" s="46"/>
      <c r="UPD59" s="46"/>
      <c r="UPE59" s="46"/>
      <c r="UPF59" s="46"/>
      <c r="UPG59" s="46"/>
      <c r="UPH59" s="46"/>
      <c r="UPI59" s="46"/>
      <c r="UPJ59" s="46"/>
      <c r="UPK59" s="46"/>
      <c r="UPL59" s="46"/>
      <c r="UPM59" s="46"/>
      <c r="UPN59" s="46"/>
      <c r="UPO59" s="46"/>
      <c r="UPP59" s="46"/>
      <c r="UPQ59" s="46"/>
      <c r="UPR59" s="46"/>
      <c r="UPS59" s="46"/>
      <c r="UPT59" s="46"/>
      <c r="UPU59" s="46"/>
      <c r="UPV59" s="46"/>
      <c r="UPW59" s="46"/>
      <c r="UPX59" s="46"/>
      <c r="UPY59" s="46"/>
      <c r="UPZ59" s="46"/>
      <c r="UQA59" s="46"/>
      <c r="UQB59" s="46"/>
      <c r="UQC59" s="46"/>
      <c r="UQD59" s="46"/>
      <c r="UQE59" s="46"/>
      <c r="UQF59" s="46"/>
      <c r="UQG59" s="46"/>
      <c r="UQH59" s="46"/>
      <c r="UQI59" s="46"/>
      <c r="UQJ59" s="46"/>
      <c r="UQK59" s="46"/>
      <c r="UQL59" s="46"/>
      <c r="UQM59" s="46"/>
      <c r="UQN59" s="46"/>
      <c r="UQO59" s="46"/>
      <c r="UQP59" s="46"/>
      <c r="UQQ59" s="46"/>
      <c r="UQR59" s="46"/>
      <c r="UQS59" s="46"/>
      <c r="UQT59" s="46"/>
      <c r="UQU59" s="46"/>
      <c r="UQV59" s="46"/>
      <c r="UQW59" s="46"/>
      <c r="UQX59" s="46"/>
      <c r="UQY59" s="46"/>
      <c r="UQZ59" s="46"/>
      <c r="URA59" s="46"/>
      <c r="URB59" s="46"/>
      <c r="URC59" s="46"/>
      <c r="URD59" s="46"/>
      <c r="URE59" s="46"/>
      <c r="URF59" s="46"/>
      <c r="URG59" s="46"/>
      <c r="URH59" s="46"/>
      <c r="URI59" s="46"/>
      <c r="URJ59" s="46"/>
      <c r="URK59" s="46"/>
      <c r="URL59" s="46"/>
      <c r="URM59" s="46"/>
      <c r="URN59" s="46"/>
      <c r="URO59" s="46"/>
      <c r="URP59" s="46"/>
      <c r="URQ59" s="46"/>
      <c r="URR59" s="46"/>
      <c r="URS59" s="46"/>
      <c r="URT59" s="46"/>
      <c r="URU59" s="46"/>
      <c r="URV59" s="46"/>
      <c r="URW59" s="46"/>
      <c r="URX59" s="46"/>
      <c r="URY59" s="46"/>
      <c r="URZ59" s="46"/>
      <c r="USA59" s="46"/>
      <c r="USB59" s="46"/>
      <c r="USC59" s="46"/>
      <c r="USD59" s="46"/>
      <c r="USE59" s="46"/>
      <c r="USF59" s="46"/>
      <c r="USG59" s="46"/>
      <c r="USH59" s="46"/>
      <c r="USI59" s="46"/>
      <c r="USJ59" s="46"/>
      <c r="USK59" s="46"/>
      <c r="USL59" s="46"/>
      <c r="USM59" s="46"/>
      <c r="USN59" s="46"/>
      <c r="USO59" s="46"/>
      <c r="USP59" s="46"/>
      <c r="USQ59" s="46"/>
      <c r="USR59" s="46"/>
      <c r="USS59" s="46"/>
      <c r="UST59" s="46"/>
      <c r="USU59" s="46"/>
      <c r="USV59" s="46"/>
      <c r="USW59" s="46"/>
      <c r="USX59" s="46"/>
      <c r="USY59" s="46"/>
      <c r="USZ59" s="46"/>
      <c r="UTA59" s="46"/>
      <c r="UTB59" s="46"/>
      <c r="UTC59" s="46"/>
      <c r="UTD59" s="46"/>
      <c r="UTE59" s="46"/>
      <c r="UTF59" s="46"/>
      <c r="UTG59" s="46"/>
      <c r="UTH59" s="46"/>
      <c r="UTI59" s="46"/>
      <c r="UTJ59" s="46"/>
      <c r="UTK59" s="46"/>
      <c r="UTL59" s="46"/>
      <c r="UTM59" s="46"/>
      <c r="UTN59" s="46"/>
      <c r="UTO59" s="46"/>
      <c r="UTP59" s="46"/>
      <c r="UTQ59" s="46"/>
      <c r="UTR59" s="46"/>
      <c r="UTS59" s="46"/>
      <c r="UTT59" s="46"/>
      <c r="UTU59" s="46"/>
      <c r="UTV59" s="46"/>
      <c r="UTW59" s="46"/>
      <c r="UTX59" s="46"/>
      <c r="UTY59" s="46"/>
      <c r="UTZ59" s="46"/>
      <c r="UUA59" s="46"/>
      <c r="UUB59" s="46"/>
      <c r="UUC59" s="46"/>
      <c r="UUD59" s="46"/>
      <c r="UUE59" s="46"/>
      <c r="UUF59" s="46"/>
      <c r="UUG59" s="46"/>
      <c r="UUH59" s="46"/>
      <c r="UUI59" s="46"/>
      <c r="UUJ59" s="46"/>
      <c r="UUK59" s="46"/>
      <c r="UUL59" s="46"/>
      <c r="UUM59" s="46"/>
      <c r="UUN59" s="46"/>
      <c r="UUO59" s="46"/>
      <c r="UUP59" s="46"/>
      <c r="UUQ59" s="46"/>
      <c r="UUR59" s="46"/>
      <c r="UUS59" s="46"/>
      <c r="UUT59" s="46"/>
      <c r="UUU59" s="46"/>
      <c r="UUV59" s="46"/>
      <c r="UUW59" s="46"/>
      <c r="UUX59" s="46"/>
      <c r="UUY59" s="46"/>
      <c r="UUZ59" s="46"/>
      <c r="UVA59" s="46"/>
      <c r="UVB59" s="46"/>
      <c r="UVC59" s="46"/>
      <c r="UVD59" s="46"/>
      <c r="UVE59" s="46"/>
      <c r="UVF59" s="46"/>
      <c r="UVG59" s="46"/>
      <c r="UVH59" s="46"/>
      <c r="UVI59" s="46"/>
      <c r="UVJ59" s="46"/>
      <c r="UVK59" s="46"/>
      <c r="UVL59" s="46"/>
      <c r="UVM59" s="46"/>
      <c r="UVN59" s="46"/>
      <c r="UVO59" s="46"/>
      <c r="UVP59" s="46"/>
      <c r="UVQ59" s="46"/>
      <c r="UVR59" s="46"/>
      <c r="UVS59" s="46"/>
      <c r="UVT59" s="46"/>
      <c r="UVU59" s="46"/>
      <c r="UVV59" s="46"/>
      <c r="UVW59" s="46"/>
      <c r="UVX59" s="46"/>
      <c r="UVY59" s="46"/>
      <c r="UVZ59" s="46"/>
      <c r="UWA59" s="46"/>
      <c r="UWB59" s="46"/>
      <c r="UWC59" s="46"/>
      <c r="UWD59" s="46"/>
      <c r="UWE59" s="46"/>
      <c r="UWF59" s="46"/>
      <c r="UWG59" s="46"/>
      <c r="UWH59" s="46"/>
      <c r="UWI59" s="46"/>
      <c r="UWJ59" s="46"/>
      <c r="UWK59" s="46"/>
      <c r="UWL59" s="46"/>
      <c r="UWM59" s="46"/>
      <c r="UWN59" s="46"/>
      <c r="UWO59" s="46"/>
      <c r="UWP59" s="46"/>
      <c r="UWQ59" s="46"/>
      <c r="UWR59" s="46"/>
      <c r="UWS59" s="46"/>
      <c r="UWT59" s="46"/>
      <c r="UWU59" s="46"/>
      <c r="UWV59" s="46"/>
      <c r="UWW59" s="46"/>
      <c r="UWX59" s="46"/>
      <c r="UWY59" s="46"/>
      <c r="UWZ59" s="46"/>
      <c r="UXA59" s="46"/>
      <c r="UXB59" s="46"/>
      <c r="UXC59" s="46"/>
      <c r="UXD59" s="46"/>
      <c r="UXE59" s="46"/>
      <c r="UXF59" s="46"/>
      <c r="UXG59" s="46"/>
      <c r="UXH59" s="46"/>
      <c r="UXI59" s="46"/>
      <c r="UXJ59" s="46"/>
      <c r="UXK59" s="46"/>
      <c r="UXL59" s="46"/>
      <c r="UXM59" s="46"/>
      <c r="UXN59" s="46"/>
      <c r="UXO59" s="46"/>
      <c r="UXP59" s="46"/>
      <c r="UXQ59" s="46"/>
      <c r="UXR59" s="46"/>
      <c r="UXS59" s="46"/>
      <c r="UXT59" s="46"/>
      <c r="UXU59" s="46"/>
      <c r="UXV59" s="46"/>
      <c r="UXW59" s="46"/>
      <c r="UXX59" s="46"/>
      <c r="UXY59" s="46"/>
      <c r="UXZ59" s="46"/>
      <c r="UYA59" s="46"/>
      <c r="UYB59" s="46"/>
      <c r="UYC59" s="46"/>
      <c r="UYD59" s="46"/>
      <c r="UYE59" s="46"/>
      <c r="UYF59" s="46"/>
      <c r="UYG59" s="46"/>
      <c r="UYH59" s="46"/>
      <c r="UYI59" s="46"/>
      <c r="UYJ59" s="46"/>
      <c r="UYK59" s="46"/>
      <c r="UYL59" s="46"/>
      <c r="UYM59" s="46"/>
      <c r="UYN59" s="46"/>
      <c r="UYO59" s="46"/>
      <c r="UYP59" s="46"/>
      <c r="UYQ59" s="46"/>
      <c r="UYR59" s="46"/>
      <c r="UYS59" s="46"/>
      <c r="UYT59" s="46"/>
      <c r="UYU59" s="46"/>
      <c r="UYV59" s="46"/>
      <c r="UYW59" s="46"/>
      <c r="UYX59" s="46"/>
      <c r="UYY59" s="46"/>
      <c r="UYZ59" s="46"/>
      <c r="UZA59" s="46"/>
      <c r="UZB59" s="46"/>
      <c r="UZC59" s="46"/>
      <c r="UZD59" s="46"/>
      <c r="UZE59" s="46"/>
      <c r="UZF59" s="46"/>
      <c r="UZG59" s="46"/>
      <c r="UZH59" s="46"/>
      <c r="UZI59" s="46"/>
      <c r="UZJ59" s="46"/>
      <c r="UZK59" s="46"/>
      <c r="UZL59" s="46"/>
      <c r="UZM59" s="46"/>
      <c r="UZN59" s="46"/>
      <c r="UZO59" s="46"/>
      <c r="UZP59" s="46"/>
      <c r="UZQ59" s="46"/>
      <c r="UZR59" s="46"/>
      <c r="UZS59" s="46"/>
      <c r="UZT59" s="46"/>
      <c r="UZU59" s="46"/>
      <c r="UZV59" s="46"/>
      <c r="UZW59" s="46"/>
      <c r="UZX59" s="46"/>
      <c r="UZY59" s="46"/>
      <c r="UZZ59" s="46"/>
      <c r="VAA59" s="46"/>
      <c r="VAB59" s="46"/>
      <c r="VAC59" s="46"/>
      <c r="VAD59" s="46"/>
      <c r="VAE59" s="46"/>
      <c r="VAF59" s="46"/>
      <c r="VAG59" s="46"/>
      <c r="VAH59" s="46"/>
      <c r="VAI59" s="46"/>
      <c r="VAJ59" s="46"/>
      <c r="VAK59" s="46"/>
      <c r="VAL59" s="46"/>
      <c r="VAM59" s="46"/>
      <c r="VAN59" s="46"/>
      <c r="VAO59" s="46"/>
      <c r="VAP59" s="46"/>
      <c r="VAQ59" s="46"/>
      <c r="VAR59" s="46"/>
      <c r="VAS59" s="46"/>
      <c r="VAT59" s="46"/>
      <c r="VAU59" s="46"/>
      <c r="VAV59" s="46"/>
      <c r="VAW59" s="46"/>
      <c r="VAX59" s="46"/>
      <c r="VAY59" s="46"/>
      <c r="VAZ59" s="46"/>
      <c r="VBA59" s="46"/>
      <c r="VBB59" s="46"/>
      <c r="VBC59" s="46"/>
      <c r="VBD59" s="46"/>
      <c r="VBE59" s="46"/>
      <c r="VBF59" s="46"/>
      <c r="VBG59" s="46"/>
      <c r="VBH59" s="46"/>
      <c r="VBI59" s="46"/>
      <c r="VBJ59" s="46"/>
      <c r="VBK59" s="46"/>
      <c r="VBL59" s="46"/>
      <c r="VBM59" s="46"/>
      <c r="VBN59" s="46"/>
      <c r="VBO59" s="46"/>
      <c r="VBP59" s="46"/>
      <c r="VBQ59" s="46"/>
      <c r="VBR59" s="46"/>
      <c r="VBS59" s="46"/>
      <c r="VBT59" s="46"/>
      <c r="VBU59" s="46"/>
      <c r="VBV59" s="46"/>
      <c r="VBW59" s="46"/>
      <c r="VBX59" s="46"/>
      <c r="VBY59" s="46"/>
      <c r="VBZ59" s="46"/>
      <c r="VCA59" s="46"/>
      <c r="VCB59" s="46"/>
      <c r="VCC59" s="46"/>
      <c r="VCD59" s="46"/>
      <c r="VCE59" s="46"/>
      <c r="VCF59" s="46"/>
      <c r="VCG59" s="46"/>
      <c r="VCH59" s="46"/>
      <c r="VCI59" s="46"/>
      <c r="VCJ59" s="46"/>
      <c r="VCK59" s="46"/>
      <c r="VCL59" s="46"/>
      <c r="VCM59" s="46"/>
      <c r="VCN59" s="46"/>
      <c r="VCO59" s="46"/>
      <c r="VCP59" s="46"/>
      <c r="VCQ59" s="46"/>
      <c r="VCR59" s="46"/>
      <c r="VCS59" s="46"/>
      <c r="VCT59" s="46"/>
      <c r="VCU59" s="46"/>
      <c r="VCV59" s="46"/>
      <c r="VCW59" s="46"/>
      <c r="VCX59" s="46"/>
      <c r="VCY59" s="46"/>
      <c r="VCZ59" s="46"/>
      <c r="VDA59" s="46"/>
      <c r="VDB59" s="46"/>
      <c r="VDC59" s="46"/>
      <c r="VDD59" s="46"/>
      <c r="VDE59" s="46"/>
      <c r="VDF59" s="46"/>
      <c r="VDG59" s="46"/>
      <c r="VDH59" s="46"/>
      <c r="VDI59" s="46"/>
      <c r="VDJ59" s="46"/>
      <c r="VDK59" s="46"/>
      <c r="VDL59" s="46"/>
      <c r="VDM59" s="46"/>
      <c r="VDN59" s="46"/>
      <c r="VDO59" s="46"/>
      <c r="VDP59" s="46"/>
      <c r="VDQ59" s="46"/>
      <c r="VDR59" s="46"/>
      <c r="VDS59" s="46"/>
      <c r="VDT59" s="46"/>
      <c r="VDU59" s="46"/>
      <c r="VDV59" s="46"/>
      <c r="VDW59" s="46"/>
      <c r="VDX59" s="46"/>
      <c r="VDY59" s="46"/>
      <c r="VDZ59" s="46"/>
      <c r="VEA59" s="46"/>
      <c r="VEB59" s="46"/>
      <c r="VEC59" s="46"/>
      <c r="VED59" s="46"/>
      <c r="VEE59" s="46"/>
      <c r="VEF59" s="46"/>
      <c r="VEG59" s="46"/>
      <c r="VEH59" s="46"/>
      <c r="VEI59" s="46"/>
      <c r="VEJ59" s="46"/>
      <c r="VEK59" s="46"/>
      <c r="VEL59" s="46"/>
      <c r="VEM59" s="46"/>
      <c r="VEN59" s="46"/>
      <c r="VEO59" s="46"/>
      <c r="VEP59" s="46"/>
      <c r="VEQ59" s="46"/>
      <c r="VER59" s="46"/>
      <c r="VES59" s="46"/>
      <c r="VET59" s="46"/>
      <c r="VEU59" s="46"/>
      <c r="VEV59" s="46"/>
      <c r="VEW59" s="46"/>
      <c r="VEX59" s="46"/>
      <c r="VEY59" s="46"/>
      <c r="VEZ59" s="46"/>
      <c r="VFA59" s="46"/>
      <c r="VFB59" s="46"/>
      <c r="VFC59" s="46"/>
      <c r="VFD59" s="46"/>
      <c r="VFE59" s="46"/>
      <c r="VFF59" s="46"/>
      <c r="VFG59" s="46"/>
      <c r="VFH59" s="46"/>
      <c r="VFI59" s="46"/>
      <c r="VFJ59" s="46"/>
      <c r="VFK59" s="46"/>
      <c r="VFL59" s="46"/>
      <c r="VFM59" s="46"/>
      <c r="VFN59" s="46"/>
      <c r="VFO59" s="46"/>
      <c r="VFP59" s="46"/>
      <c r="VFQ59" s="46"/>
      <c r="VFR59" s="46"/>
      <c r="VFS59" s="46"/>
      <c r="VFT59" s="46"/>
      <c r="VFU59" s="46"/>
      <c r="VFV59" s="46"/>
      <c r="VFW59" s="46"/>
      <c r="VFX59" s="46"/>
      <c r="VFY59" s="46"/>
      <c r="VFZ59" s="46"/>
      <c r="VGA59" s="46"/>
      <c r="VGB59" s="46"/>
      <c r="VGC59" s="46"/>
      <c r="VGD59" s="46"/>
      <c r="VGE59" s="46"/>
      <c r="VGF59" s="46"/>
      <c r="VGG59" s="46"/>
      <c r="VGH59" s="46"/>
      <c r="VGI59" s="46"/>
      <c r="VGJ59" s="46"/>
      <c r="VGK59" s="46"/>
      <c r="VGL59" s="46"/>
      <c r="VGM59" s="46"/>
      <c r="VGN59" s="46"/>
      <c r="VGO59" s="46"/>
      <c r="VGP59" s="46"/>
      <c r="VGQ59" s="46"/>
      <c r="VGR59" s="46"/>
      <c r="VGS59" s="46"/>
      <c r="VGT59" s="46"/>
      <c r="VGU59" s="46"/>
      <c r="VGV59" s="46"/>
      <c r="VGW59" s="46"/>
      <c r="VGX59" s="46"/>
      <c r="VGY59" s="46"/>
      <c r="VGZ59" s="46"/>
      <c r="VHA59" s="46"/>
      <c r="VHB59" s="46"/>
      <c r="VHC59" s="46"/>
      <c r="VHD59" s="46"/>
      <c r="VHE59" s="46"/>
      <c r="VHF59" s="46"/>
      <c r="VHG59" s="46"/>
      <c r="VHH59" s="46"/>
      <c r="VHI59" s="46"/>
      <c r="VHJ59" s="46"/>
      <c r="VHK59" s="46"/>
      <c r="VHL59" s="46"/>
      <c r="VHM59" s="46"/>
      <c r="VHN59" s="46"/>
      <c r="VHO59" s="46"/>
      <c r="VHP59" s="46"/>
      <c r="VHQ59" s="46"/>
      <c r="VHR59" s="46"/>
      <c r="VHS59" s="46"/>
      <c r="VHT59" s="46"/>
      <c r="VHU59" s="46"/>
      <c r="VHV59" s="46"/>
      <c r="VHW59" s="46"/>
      <c r="VHX59" s="46"/>
      <c r="VHY59" s="46"/>
      <c r="VHZ59" s="46"/>
      <c r="VIA59" s="46"/>
      <c r="VIB59" s="46"/>
      <c r="VIC59" s="46"/>
      <c r="VID59" s="46"/>
      <c r="VIE59" s="46"/>
      <c r="VIF59" s="46"/>
      <c r="VIG59" s="46"/>
      <c r="VIH59" s="46"/>
      <c r="VII59" s="46"/>
      <c r="VIJ59" s="46"/>
      <c r="VIK59" s="46"/>
      <c r="VIL59" s="46"/>
      <c r="VIM59" s="46"/>
      <c r="VIN59" s="46"/>
      <c r="VIO59" s="46"/>
      <c r="VIP59" s="46"/>
      <c r="VIQ59" s="46"/>
      <c r="VIR59" s="46"/>
      <c r="VIS59" s="46"/>
      <c r="VIT59" s="46"/>
      <c r="VIU59" s="46"/>
      <c r="VIV59" s="46"/>
      <c r="VIW59" s="46"/>
      <c r="VIX59" s="46"/>
      <c r="VIY59" s="46"/>
      <c r="VIZ59" s="46"/>
      <c r="VJA59" s="46"/>
      <c r="VJB59" s="46"/>
      <c r="VJC59" s="46"/>
      <c r="VJD59" s="46"/>
      <c r="VJE59" s="46"/>
      <c r="VJF59" s="46"/>
      <c r="VJG59" s="46"/>
      <c r="VJH59" s="46"/>
      <c r="VJI59" s="46"/>
      <c r="VJJ59" s="46"/>
      <c r="VJK59" s="46"/>
      <c r="VJL59" s="46"/>
      <c r="VJM59" s="46"/>
      <c r="VJN59" s="46"/>
      <c r="VJO59" s="46"/>
      <c r="VJP59" s="46"/>
      <c r="VJQ59" s="46"/>
      <c r="VJR59" s="46"/>
      <c r="VJS59" s="46"/>
      <c r="VJT59" s="46"/>
      <c r="VJU59" s="46"/>
      <c r="VJV59" s="46"/>
      <c r="VJW59" s="46"/>
      <c r="VJX59" s="46"/>
      <c r="VJY59" s="46"/>
      <c r="VJZ59" s="46"/>
      <c r="VKA59" s="46"/>
      <c r="VKB59" s="46"/>
      <c r="VKC59" s="46"/>
      <c r="VKD59" s="46"/>
      <c r="VKE59" s="46"/>
      <c r="VKF59" s="46"/>
      <c r="VKG59" s="46"/>
      <c r="VKH59" s="46"/>
      <c r="VKI59" s="46"/>
      <c r="VKJ59" s="46"/>
      <c r="VKK59" s="46"/>
      <c r="VKL59" s="46"/>
      <c r="VKM59" s="46"/>
      <c r="VKN59" s="46"/>
      <c r="VKO59" s="46"/>
      <c r="VKP59" s="46"/>
      <c r="VKQ59" s="46"/>
      <c r="VKR59" s="46"/>
      <c r="VKS59" s="46"/>
      <c r="VKT59" s="46"/>
      <c r="VKU59" s="46"/>
      <c r="VKV59" s="46"/>
      <c r="VKW59" s="46"/>
      <c r="VKX59" s="46"/>
      <c r="VKY59" s="46"/>
      <c r="VKZ59" s="46"/>
      <c r="VLA59" s="46"/>
      <c r="VLB59" s="46"/>
      <c r="VLC59" s="46"/>
      <c r="VLD59" s="46"/>
      <c r="VLE59" s="46"/>
      <c r="VLF59" s="46"/>
      <c r="VLG59" s="46"/>
      <c r="VLH59" s="46"/>
      <c r="VLI59" s="46"/>
      <c r="VLJ59" s="46"/>
      <c r="VLK59" s="46"/>
      <c r="VLL59" s="46"/>
      <c r="VLM59" s="46"/>
      <c r="VLN59" s="46"/>
      <c r="VLO59" s="46"/>
      <c r="VLP59" s="46"/>
      <c r="VLQ59" s="46"/>
      <c r="VLR59" s="46"/>
      <c r="VLS59" s="46"/>
      <c r="VLT59" s="46"/>
      <c r="VLU59" s="46"/>
      <c r="VLV59" s="46"/>
      <c r="VLW59" s="46"/>
      <c r="VLX59" s="46"/>
      <c r="VLY59" s="46"/>
      <c r="VLZ59" s="46"/>
      <c r="VMA59" s="46"/>
      <c r="VMB59" s="46"/>
      <c r="VMC59" s="46"/>
      <c r="VMD59" s="46"/>
      <c r="VME59" s="46"/>
      <c r="VMF59" s="46"/>
      <c r="VMG59" s="46"/>
      <c r="VMH59" s="46"/>
      <c r="VMI59" s="46"/>
      <c r="VMJ59" s="46"/>
      <c r="VMK59" s="46"/>
      <c r="VML59" s="46"/>
      <c r="VMM59" s="46"/>
      <c r="VMN59" s="46"/>
      <c r="VMO59" s="46"/>
      <c r="VMP59" s="46"/>
      <c r="VMQ59" s="46"/>
      <c r="VMR59" s="46"/>
      <c r="VMS59" s="46"/>
      <c r="VMT59" s="46"/>
      <c r="VMU59" s="46"/>
      <c r="VMV59" s="46"/>
      <c r="VMW59" s="46"/>
      <c r="VMX59" s="46"/>
      <c r="VMY59" s="46"/>
      <c r="VMZ59" s="46"/>
      <c r="VNA59" s="46"/>
      <c r="VNB59" s="46"/>
      <c r="VNC59" s="46"/>
      <c r="VND59" s="46"/>
      <c r="VNE59" s="46"/>
      <c r="VNF59" s="46"/>
      <c r="VNG59" s="46"/>
      <c r="VNH59" s="46"/>
      <c r="VNI59" s="46"/>
      <c r="VNJ59" s="46"/>
      <c r="VNK59" s="46"/>
      <c r="VNL59" s="46"/>
      <c r="VNM59" s="46"/>
      <c r="VNN59" s="46"/>
      <c r="VNO59" s="46"/>
      <c r="VNP59" s="46"/>
      <c r="VNQ59" s="46"/>
      <c r="VNR59" s="46"/>
      <c r="VNS59" s="46"/>
      <c r="VNT59" s="46"/>
      <c r="VNU59" s="46"/>
      <c r="VNV59" s="46"/>
      <c r="VNW59" s="46"/>
      <c r="VNX59" s="46"/>
      <c r="VNY59" s="46"/>
      <c r="VNZ59" s="46"/>
      <c r="VOA59" s="46"/>
      <c r="VOB59" s="46"/>
      <c r="VOC59" s="46"/>
      <c r="VOD59" s="46"/>
      <c r="VOE59" s="46"/>
      <c r="VOF59" s="46"/>
      <c r="VOG59" s="46"/>
      <c r="VOH59" s="46"/>
      <c r="VOI59" s="46"/>
      <c r="VOJ59" s="46"/>
      <c r="VOK59" s="46"/>
      <c r="VOL59" s="46"/>
      <c r="VOM59" s="46"/>
      <c r="VON59" s="46"/>
      <c r="VOO59" s="46"/>
      <c r="VOP59" s="46"/>
      <c r="VOQ59" s="46"/>
      <c r="VOR59" s="46"/>
      <c r="VOS59" s="46"/>
      <c r="VOT59" s="46"/>
      <c r="VOU59" s="46"/>
      <c r="VOV59" s="46"/>
      <c r="VOW59" s="46"/>
      <c r="VOX59" s="46"/>
      <c r="VOY59" s="46"/>
      <c r="VOZ59" s="46"/>
      <c r="VPA59" s="46"/>
      <c r="VPB59" s="46"/>
      <c r="VPC59" s="46"/>
      <c r="VPD59" s="46"/>
      <c r="VPE59" s="46"/>
      <c r="VPF59" s="46"/>
      <c r="VPG59" s="46"/>
      <c r="VPH59" s="46"/>
      <c r="VPI59" s="46"/>
      <c r="VPJ59" s="46"/>
      <c r="VPK59" s="46"/>
      <c r="VPL59" s="46"/>
      <c r="VPM59" s="46"/>
      <c r="VPN59" s="46"/>
      <c r="VPO59" s="46"/>
      <c r="VPP59" s="46"/>
      <c r="VPQ59" s="46"/>
      <c r="VPR59" s="46"/>
      <c r="VPS59" s="46"/>
      <c r="VPT59" s="46"/>
      <c r="VPU59" s="46"/>
      <c r="VPV59" s="46"/>
      <c r="VPW59" s="46"/>
      <c r="VPX59" s="46"/>
      <c r="VPY59" s="46"/>
      <c r="VPZ59" s="46"/>
      <c r="VQA59" s="46"/>
      <c r="VQB59" s="46"/>
      <c r="VQC59" s="46"/>
      <c r="VQD59" s="46"/>
      <c r="VQE59" s="46"/>
      <c r="VQF59" s="46"/>
      <c r="VQG59" s="46"/>
      <c r="VQH59" s="46"/>
      <c r="VQI59" s="46"/>
      <c r="VQJ59" s="46"/>
      <c r="VQK59" s="46"/>
      <c r="VQL59" s="46"/>
      <c r="VQM59" s="46"/>
      <c r="VQN59" s="46"/>
      <c r="VQO59" s="46"/>
      <c r="VQP59" s="46"/>
      <c r="VQQ59" s="46"/>
      <c r="VQR59" s="46"/>
      <c r="VQS59" s="46"/>
      <c r="VQT59" s="46"/>
      <c r="VQU59" s="46"/>
      <c r="VQV59" s="46"/>
      <c r="VQW59" s="46"/>
      <c r="VQX59" s="46"/>
      <c r="VQY59" s="46"/>
      <c r="VQZ59" s="46"/>
      <c r="VRA59" s="46"/>
      <c r="VRB59" s="46"/>
      <c r="VRC59" s="46"/>
      <c r="VRD59" s="46"/>
      <c r="VRE59" s="46"/>
      <c r="VRF59" s="46"/>
      <c r="VRG59" s="46"/>
      <c r="VRH59" s="46"/>
      <c r="VRI59" s="46"/>
      <c r="VRJ59" s="46"/>
      <c r="VRK59" s="46"/>
      <c r="VRL59" s="46"/>
      <c r="VRM59" s="46"/>
      <c r="VRN59" s="46"/>
      <c r="VRO59" s="46"/>
      <c r="VRP59" s="46"/>
      <c r="VRQ59" s="46"/>
      <c r="VRR59" s="46"/>
      <c r="VRS59" s="46"/>
      <c r="VRT59" s="46"/>
      <c r="VRU59" s="46"/>
      <c r="VRV59" s="46"/>
      <c r="VRW59" s="46"/>
      <c r="VRX59" s="46"/>
      <c r="VRY59" s="46"/>
      <c r="VRZ59" s="46"/>
      <c r="VSA59" s="46"/>
      <c r="VSB59" s="46"/>
      <c r="VSC59" s="46"/>
      <c r="VSD59" s="46"/>
      <c r="VSE59" s="46"/>
      <c r="VSF59" s="46"/>
      <c r="VSG59" s="46"/>
      <c r="VSH59" s="46"/>
      <c r="VSI59" s="46"/>
      <c r="VSJ59" s="46"/>
      <c r="VSK59" s="46"/>
      <c r="VSL59" s="46"/>
      <c r="VSM59" s="46"/>
      <c r="VSN59" s="46"/>
      <c r="VSO59" s="46"/>
      <c r="VSP59" s="46"/>
      <c r="VSQ59" s="46"/>
      <c r="VSR59" s="46"/>
      <c r="VSS59" s="46"/>
      <c r="VST59" s="46"/>
      <c r="VSU59" s="46"/>
      <c r="VSV59" s="46"/>
      <c r="VSW59" s="46"/>
      <c r="VSX59" s="46"/>
      <c r="VSY59" s="46"/>
      <c r="VSZ59" s="46"/>
      <c r="VTA59" s="46"/>
      <c r="VTB59" s="46"/>
      <c r="VTC59" s="46"/>
      <c r="VTD59" s="46"/>
      <c r="VTE59" s="46"/>
      <c r="VTF59" s="46"/>
      <c r="VTG59" s="46"/>
      <c r="VTH59" s="46"/>
      <c r="VTI59" s="46"/>
      <c r="VTJ59" s="46"/>
      <c r="VTK59" s="46"/>
      <c r="VTL59" s="46"/>
      <c r="VTM59" s="46"/>
      <c r="VTN59" s="46"/>
      <c r="VTO59" s="46"/>
      <c r="VTP59" s="46"/>
      <c r="VTQ59" s="46"/>
      <c r="VTR59" s="46"/>
      <c r="VTS59" s="46"/>
      <c r="VTT59" s="46"/>
      <c r="VTU59" s="46"/>
      <c r="VTV59" s="46"/>
      <c r="VTW59" s="46"/>
      <c r="VTX59" s="46"/>
      <c r="VTY59" s="46"/>
      <c r="VTZ59" s="46"/>
      <c r="VUA59" s="46"/>
      <c r="VUB59" s="46"/>
      <c r="VUC59" s="46"/>
      <c r="VUD59" s="46"/>
      <c r="VUE59" s="46"/>
      <c r="VUF59" s="46"/>
      <c r="VUG59" s="46"/>
      <c r="VUH59" s="46"/>
      <c r="VUI59" s="46"/>
      <c r="VUJ59" s="46"/>
      <c r="VUK59" s="46"/>
      <c r="VUL59" s="46"/>
      <c r="VUM59" s="46"/>
      <c r="VUN59" s="46"/>
      <c r="VUO59" s="46"/>
      <c r="VUP59" s="46"/>
      <c r="VUQ59" s="46"/>
      <c r="VUR59" s="46"/>
      <c r="VUS59" s="46"/>
      <c r="VUT59" s="46"/>
      <c r="VUU59" s="46"/>
      <c r="VUV59" s="46"/>
      <c r="VUW59" s="46"/>
      <c r="VUX59" s="46"/>
      <c r="VUY59" s="46"/>
      <c r="VUZ59" s="46"/>
      <c r="VVA59" s="46"/>
      <c r="VVB59" s="46"/>
      <c r="VVC59" s="46"/>
      <c r="VVD59" s="46"/>
      <c r="VVE59" s="46"/>
      <c r="VVF59" s="46"/>
      <c r="VVG59" s="46"/>
      <c r="VVH59" s="46"/>
      <c r="VVI59" s="46"/>
      <c r="VVJ59" s="46"/>
      <c r="VVK59" s="46"/>
      <c r="VVL59" s="46"/>
      <c r="VVM59" s="46"/>
      <c r="VVN59" s="46"/>
      <c r="VVO59" s="46"/>
      <c r="VVP59" s="46"/>
      <c r="VVQ59" s="46"/>
      <c r="VVR59" s="46"/>
      <c r="VVS59" s="46"/>
      <c r="VVT59" s="46"/>
      <c r="VVU59" s="46"/>
      <c r="VVV59" s="46"/>
      <c r="VVW59" s="46"/>
      <c r="VVX59" s="46"/>
      <c r="VVY59" s="46"/>
      <c r="VVZ59" s="46"/>
      <c r="VWA59" s="46"/>
      <c r="VWB59" s="46"/>
      <c r="VWC59" s="46"/>
      <c r="VWD59" s="46"/>
      <c r="VWE59" s="46"/>
      <c r="VWF59" s="46"/>
      <c r="VWG59" s="46"/>
      <c r="VWH59" s="46"/>
      <c r="VWI59" s="46"/>
      <c r="VWJ59" s="46"/>
      <c r="VWK59" s="46"/>
      <c r="VWL59" s="46"/>
      <c r="VWM59" s="46"/>
      <c r="VWN59" s="46"/>
      <c r="VWO59" s="46"/>
      <c r="VWP59" s="46"/>
      <c r="VWQ59" s="46"/>
      <c r="VWR59" s="46"/>
      <c r="VWS59" s="46"/>
      <c r="VWT59" s="46"/>
      <c r="VWU59" s="46"/>
      <c r="VWV59" s="46"/>
      <c r="VWW59" s="46"/>
      <c r="VWX59" s="46"/>
      <c r="VWY59" s="46"/>
      <c r="VWZ59" s="46"/>
      <c r="VXA59" s="46"/>
      <c r="VXB59" s="46"/>
      <c r="VXC59" s="46"/>
      <c r="VXD59" s="46"/>
      <c r="VXE59" s="46"/>
      <c r="VXF59" s="46"/>
      <c r="VXG59" s="46"/>
      <c r="VXH59" s="46"/>
      <c r="VXI59" s="46"/>
      <c r="VXJ59" s="46"/>
      <c r="VXK59" s="46"/>
      <c r="VXL59" s="46"/>
      <c r="VXM59" s="46"/>
      <c r="VXN59" s="46"/>
      <c r="VXO59" s="46"/>
      <c r="VXP59" s="46"/>
      <c r="VXQ59" s="46"/>
      <c r="VXR59" s="46"/>
      <c r="VXS59" s="46"/>
      <c r="VXT59" s="46"/>
      <c r="VXU59" s="46"/>
      <c r="VXV59" s="46"/>
      <c r="VXW59" s="46"/>
      <c r="VXX59" s="46"/>
      <c r="VXY59" s="46"/>
      <c r="VXZ59" s="46"/>
      <c r="VYA59" s="46"/>
      <c r="VYB59" s="46"/>
      <c r="VYC59" s="46"/>
      <c r="VYD59" s="46"/>
      <c r="VYE59" s="46"/>
      <c r="VYF59" s="46"/>
      <c r="VYG59" s="46"/>
      <c r="VYH59" s="46"/>
      <c r="VYI59" s="46"/>
      <c r="VYJ59" s="46"/>
      <c r="VYK59" s="46"/>
      <c r="VYL59" s="46"/>
      <c r="VYM59" s="46"/>
      <c r="VYN59" s="46"/>
      <c r="VYO59" s="46"/>
      <c r="VYP59" s="46"/>
      <c r="VYQ59" s="46"/>
      <c r="VYR59" s="46"/>
      <c r="VYS59" s="46"/>
      <c r="VYT59" s="46"/>
      <c r="VYU59" s="46"/>
      <c r="VYV59" s="46"/>
      <c r="VYW59" s="46"/>
      <c r="VYX59" s="46"/>
      <c r="VYY59" s="46"/>
      <c r="VYZ59" s="46"/>
      <c r="VZA59" s="46"/>
      <c r="VZB59" s="46"/>
      <c r="VZC59" s="46"/>
      <c r="VZD59" s="46"/>
      <c r="VZE59" s="46"/>
      <c r="VZF59" s="46"/>
      <c r="VZG59" s="46"/>
      <c r="VZH59" s="46"/>
      <c r="VZI59" s="46"/>
      <c r="VZJ59" s="46"/>
      <c r="VZK59" s="46"/>
      <c r="VZL59" s="46"/>
      <c r="VZM59" s="46"/>
      <c r="VZN59" s="46"/>
      <c r="VZO59" s="46"/>
      <c r="VZP59" s="46"/>
      <c r="VZQ59" s="46"/>
      <c r="VZR59" s="46"/>
      <c r="VZS59" s="46"/>
      <c r="VZT59" s="46"/>
      <c r="VZU59" s="46"/>
      <c r="VZV59" s="46"/>
      <c r="VZW59" s="46"/>
      <c r="VZX59" s="46"/>
      <c r="VZY59" s="46"/>
      <c r="VZZ59" s="46"/>
      <c r="WAA59" s="46"/>
      <c r="WAB59" s="46"/>
      <c r="WAC59" s="46"/>
      <c r="WAD59" s="46"/>
      <c r="WAE59" s="46"/>
      <c r="WAF59" s="46"/>
      <c r="WAG59" s="46"/>
      <c r="WAH59" s="46"/>
      <c r="WAI59" s="46"/>
      <c r="WAJ59" s="46"/>
      <c r="WAK59" s="46"/>
      <c r="WAL59" s="46"/>
      <c r="WAM59" s="46"/>
      <c r="WAN59" s="46"/>
      <c r="WAO59" s="46"/>
      <c r="WAP59" s="46"/>
      <c r="WAQ59" s="46"/>
      <c r="WAR59" s="46"/>
      <c r="WAS59" s="46"/>
      <c r="WAT59" s="46"/>
      <c r="WAU59" s="46"/>
      <c r="WAV59" s="46"/>
      <c r="WAW59" s="46"/>
      <c r="WAX59" s="46"/>
      <c r="WAY59" s="46"/>
      <c r="WAZ59" s="46"/>
      <c r="WBA59" s="46"/>
      <c r="WBB59" s="46"/>
      <c r="WBC59" s="46"/>
      <c r="WBD59" s="46"/>
      <c r="WBE59" s="46"/>
      <c r="WBF59" s="46"/>
      <c r="WBG59" s="46"/>
      <c r="WBH59" s="46"/>
      <c r="WBI59" s="46"/>
      <c r="WBJ59" s="46"/>
      <c r="WBK59" s="46"/>
      <c r="WBL59" s="46"/>
      <c r="WBM59" s="46"/>
      <c r="WBN59" s="46"/>
      <c r="WBO59" s="46"/>
      <c r="WBP59" s="46"/>
      <c r="WBQ59" s="46"/>
      <c r="WBR59" s="46"/>
      <c r="WBS59" s="46"/>
      <c r="WBT59" s="46"/>
      <c r="WBU59" s="46"/>
      <c r="WBV59" s="46"/>
      <c r="WBW59" s="46"/>
      <c r="WBX59" s="46"/>
      <c r="WBY59" s="46"/>
      <c r="WBZ59" s="46"/>
      <c r="WCA59" s="46"/>
      <c r="WCB59" s="46"/>
      <c r="WCC59" s="46"/>
      <c r="WCD59" s="46"/>
      <c r="WCE59" s="46"/>
      <c r="WCF59" s="46"/>
      <c r="WCG59" s="46"/>
      <c r="WCH59" s="46"/>
      <c r="WCI59" s="46"/>
      <c r="WCJ59" s="46"/>
      <c r="WCK59" s="46"/>
      <c r="WCL59" s="46"/>
      <c r="WCM59" s="46"/>
      <c r="WCN59" s="46"/>
      <c r="WCO59" s="46"/>
      <c r="WCP59" s="46"/>
      <c r="WCQ59" s="46"/>
      <c r="WCR59" s="46"/>
      <c r="WCS59" s="46"/>
      <c r="WCT59" s="46"/>
      <c r="WCU59" s="46"/>
      <c r="WCV59" s="46"/>
      <c r="WCW59" s="46"/>
      <c r="WCX59" s="46"/>
      <c r="WCY59" s="46"/>
      <c r="WCZ59" s="46"/>
      <c r="WDA59" s="46"/>
      <c r="WDB59" s="46"/>
      <c r="WDC59" s="46"/>
      <c r="WDD59" s="46"/>
      <c r="WDE59" s="46"/>
      <c r="WDF59" s="46"/>
      <c r="WDG59" s="46"/>
      <c r="WDH59" s="46"/>
      <c r="WDI59" s="46"/>
      <c r="WDJ59" s="46"/>
      <c r="WDK59" s="46"/>
      <c r="WDL59" s="46"/>
      <c r="WDM59" s="46"/>
      <c r="WDN59" s="46"/>
      <c r="WDO59" s="46"/>
      <c r="WDP59" s="46"/>
      <c r="WDQ59" s="46"/>
      <c r="WDR59" s="46"/>
      <c r="WDS59" s="46"/>
      <c r="WDT59" s="46"/>
      <c r="WDU59" s="46"/>
      <c r="WDV59" s="46"/>
      <c r="WDW59" s="46"/>
      <c r="WDX59" s="46"/>
      <c r="WDY59" s="46"/>
      <c r="WDZ59" s="46"/>
      <c r="WEA59" s="46"/>
      <c r="WEB59" s="46"/>
      <c r="WEC59" s="46"/>
      <c r="WED59" s="46"/>
      <c r="WEE59" s="46"/>
      <c r="WEF59" s="46"/>
      <c r="WEG59" s="46"/>
      <c r="WEH59" s="46"/>
      <c r="WEI59" s="46"/>
      <c r="WEJ59" s="46"/>
      <c r="WEK59" s="46"/>
      <c r="WEL59" s="46"/>
      <c r="WEM59" s="46"/>
      <c r="WEN59" s="46"/>
      <c r="WEO59" s="46"/>
      <c r="WEP59" s="46"/>
      <c r="WEQ59" s="46"/>
      <c r="WER59" s="46"/>
      <c r="WES59" s="46"/>
      <c r="WET59" s="46"/>
      <c r="WEU59" s="46"/>
      <c r="WEV59" s="46"/>
      <c r="WEW59" s="46"/>
      <c r="WEX59" s="46"/>
      <c r="WEY59" s="46"/>
      <c r="WEZ59" s="46"/>
      <c r="WFA59" s="46"/>
      <c r="WFB59" s="46"/>
      <c r="WFC59" s="46"/>
      <c r="WFD59" s="46"/>
      <c r="WFE59" s="46"/>
      <c r="WFF59" s="46"/>
      <c r="WFG59" s="46"/>
      <c r="WFH59" s="46"/>
      <c r="WFI59" s="46"/>
      <c r="WFJ59" s="46"/>
      <c r="WFK59" s="46"/>
      <c r="WFL59" s="46"/>
      <c r="WFM59" s="46"/>
      <c r="WFN59" s="46"/>
      <c r="WFO59" s="46"/>
      <c r="WFP59" s="46"/>
      <c r="WFQ59" s="46"/>
      <c r="WFR59" s="46"/>
      <c r="WFS59" s="46"/>
      <c r="WFT59" s="46"/>
      <c r="WFU59" s="46"/>
      <c r="WFV59" s="46"/>
      <c r="WFW59" s="46"/>
      <c r="WFX59" s="46"/>
      <c r="WFY59" s="46"/>
      <c r="WFZ59" s="46"/>
      <c r="WGA59" s="46"/>
      <c r="WGB59" s="46"/>
      <c r="WGC59" s="46"/>
      <c r="WGD59" s="46"/>
      <c r="WGE59" s="46"/>
      <c r="WGF59" s="46"/>
      <c r="WGG59" s="46"/>
      <c r="WGH59" s="46"/>
      <c r="WGI59" s="46"/>
      <c r="WGJ59" s="46"/>
      <c r="WGK59" s="46"/>
      <c r="WGL59" s="46"/>
      <c r="WGM59" s="46"/>
      <c r="WGN59" s="46"/>
      <c r="WGO59" s="46"/>
      <c r="WGP59" s="46"/>
      <c r="WGQ59" s="46"/>
      <c r="WGR59" s="46"/>
      <c r="WGS59" s="46"/>
      <c r="WGT59" s="46"/>
      <c r="WGU59" s="46"/>
      <c r="WGV59" s="46"/>
      <c r="WGW59" s="46"/>
      <c r="WGX59" s="46"/>
      <c r="WGY59" s="46"/>
      <c r="WGZ59" s="46"/>
      <c r="WHA59" s="46"/>
      <c r="WHB59" s="46"/>
      <c r="WHC59" s="46"/>
      <c r="WHD59" s="46"/>
      <c r="WHE59" s="46"/>
      <c r="WHF59" s="46"/>
      <c r="WHG59" s="46"/>
      <c r="WHH59" s="46"/>
      <c r="WHI59" s="46"/>
      <c r="WHJ59" s="46"/>
      <c r="WHK59" s="46"/>
      <c r="WHL59" s="46"/>
      <c r="WHM59" s="46"/>
      <c r="WHN59" s="46"/>
      <c r="WHO59" s="46"/>
      <c r="WHP59" s="46"/>
      <c r="WHQ59" s="46"/>
      <c r="WHR59" s="46"/>
      <c r="WHS59" s="46"/>
      <c r="WHT59" s="46"/>
      <c r="WHU59" s="46"/>
      <c r="WHV59" s="46"/>
      <c r="WHW59" s="46"/>
      <c r="WHX59" s="46"/>
      <c r="WHY59" s="46"/>
      <c r="WHZ59" s="46"/>
      <c r="WIA59" s="46"/>
      <c r="WIB59" s="46"/>
      <c r="WIC59" s="46"/>
      <c r="WID59" s="46"/>
      <c r="WIE59" s="46"/>
      <c r="WIF59" s="46"/>
      <c r="WIG59" s="46"/>
      <c r="WIH59" s="46"/>
      <c r="WII59" s="46"/>
      <c r="WIJ59" s="46"/>
      <c r="WIK59" s="46"/>
      <c r="WIL59" s="46"/>
      <c r="WIM59" s="46"/>
      <c r="WIN59" s="46"/>
      <c r="WIO59" s="46"/>
      <c r="WIP59" s="46"/>
      <c r="WIQ59" s="46"/>
      <c r="WIR59" s="46"/>
      <c r="WIS59" s="46"/>
      <c r="WIT59" s="46"/>
      <c r="WIU59" s="46"/>
      <c r="WIV59" s="46"/>
      <c r="WIW59" s="46"/>
      <c r="WIX59" s="46"/>
      <c r="WIY59" s="46"/>
      <c r="WIZ59" s="46"/>
      <c r="WJA59" s="46"/>
      <c r="WJB59" s="46"/>
      <c r="WJC59" s="46"/>
      <c r="WJD59" s="46"/>
      <c r="WJE59" s="46"/>
      <c r="WJF59" s="46"/>
      <c r="WJG59" s="46"/>
      <c r="WJH59" s="46"/>
      <c r="WJI59" s="46"/>
      <c r="WJJ59" s="46"/>
      <c r="WJK59" s="46"/>
      <c r="WJL59" s="46"/>
      <c r="WJM59" s="46"/>
      <c r="WJN59" s="46"/>
      <c r="WJO59" s="46"/>
      <c r="WJP59" s="46"/>
      <c r="WJQ59" s="46"/>
      <c r="WJR59" s="46"/>
      <c r="WJS59" s="46"/>
      <c r="WJT59" s="46"/>
      <c r="WJU59" s="46"/>
      <c r="WJV59" s="46"/>
      <c r="WJW59" s="46"/>
      <c r="WJX59" s="46"/>
      <c r="WJY59" s="46"/>
      <c r="WJZ59" s="46"/>
      <c r="WKA59" s="46"/>
      <c r="WKB59" s="46"/>
      <c r="WKC59" s="46"/>
      <c r="WKD59" s="46"/>
      <c r="WKE59" s="46"/>
      <c r="WKF59" s="46"/>
      <c r="WKG59" s="46"/>
      <c r="WKH59" s="46"/>
      <c r="WKI59" s="46"/>
      <c r="WKJ59" s="46"/>
      <c r="WKK59" s="46"/>
      <c r="WKL59" s="46"/>
      <c r="WKM59" s="46"/>
      <c r="WKN59" s="46"/>
      <c r="WKO59" s="46"/>
      <c r="WKP59" s="46"/>
      <c r="WKQ59" s="46"/>
      <c r="WKR59" s="46"/>
      <c r="WKS59" s="46"/>
      <c r="WKT59" s="46"/>
      <c r="WKU59" s="46"/>
      <c r="WKV59" s="46"/>
      <c r="WKW59" s="46"/>
      <c r="WKX59" s="46"/>
      <c r="WKY59" s="46"/>
      <c r="WKZ59" s="46"/>
      <c r="WLA59" s="46"/>
      <c r="WLB59" s="46"/>
      <c r="WLC59" s="46"/>
      <c r="WLD59" s="46"/>
      <c r="WLE59" s="46"/>
      <c r="WLF59" s="46"/>
      <c r="WLG59" s="46"/>
      <c r="WLH59" s="46"/>
      <c r="WLI59" s="46"/>
      <c r="WLJ59" s="46"/>
      <c r="WLK59" s="46"/>
      <c r="WLL59" s="46"/>
      <c r="WLM59" s="46"/>
      <c r="WLN59" s="46"/>
      <c r="WLO59" s="46"/>
      <c r="WLP59" s="46"/>
      <c r="WLQ59" s="46"/>
      <c r="WLR59" s="46"/>
      <c r="WLS59" s="46"/>
      <c r="WLT59" s="46"/>
      <c r="WLU59" s="46"/>
      <c r="WLV59" s="46"/>
      <c r="WLW59" s="46"/>
      <c r="WLX59" s="46"/>
      <c r="WLY59" s="46"/>
      <c r="WLZ59" s="46"/>
      <c r="WMA59" s="46"/>
      <c r="WMB59" s="46"/>
      <c r="WMC59" s="46"/>
      <c r="WMD59" s="46"/>
      <c r="WME59" s="46"/>
      <c r="WMF59" s="46"/>
      <c r="WMG59" s="46"/>
      <c r="WMH59" s="46"/>
      <c r="WMI59" s="46"/>
      <c r="WMJ59" s="46"/>
      <c r="WMK59" s="46"/>
      <c r="WML59" s="46"/>
      <c r="WMM59" s="46"/>
      <c r="WMN59" s="46"/>
      <c r="WMO59" s="46"/>
      <c r="WMP59" s="46"/>
      <c r="WMQ59" s="46"/>
      <c r="WMR59" s="46"/>
      <c r="WMS59" s="46"/>
      <c r="WMT59" s="46"/>
      <c r="WMU59" s="46"/>
      <c r="WMV59" s="46"/>
      <c r="WMW59" s="46"/>
      <c r="WMX59" s="46"/>
      <c r="WMY59" s="46"/>
      <c r="WMZ59" s="46"/>
      <c r="WNA59" s="46"/>
      <c r="WNB59" s="46"/>
      <c r="WNC59" s="46"/>
      <c r="WND59" s="46"/>
      <c r="WNE59" s="46"/>
      <c r="WNF59" s="46"/>
      <c r="WNG59" s="46"/>
      <c r="WNH59" s="46"/>
      <c r="WNI59" s="46"/>
      <c r="WNJ59" s="46"/>
      <c r="WNK59" s="46"/>
      <c r="WNL59" s="46"/>
      <c r="WNM59" s="46"/>
      <c r="WNN59" s="46"/>
      <c r="WNO59" s="46"/>
      <c r="WNP59" s="46"/>
      <c r="WNQ59" s="46"/>
      <c r="WNR59" s="46"/>
      <c r="WNS59" s="46"/>
      <c r="WNT59" s="46"/>
      <c r="WNU59" s="46"/>
      <c r="WNV59" s="46"/>
      <c r="WNW59" s="46"/>
      <c r="WNX59" s="46"/>
      <c r="WNY59" s="46"/>
      <c r="WNZ59" s="46"/>
      <c r="WOA59" s="46"/>
      <c r="WOB59" s="46"/>
      <c r="WOC59" s="46"/>
      <c r="WOD59" s="46"/>
      <c r="WOE59" s="46"/>
      <c r="WOF59" s="46"/>
      <c r="WOG59" s="46"/>
      <c r="WOH59" s="46"/>
      <c r="WOI59" s="46"/>
      <c r="WOJ59" s="46"/>
      <c r="WOK59" s="46"/>
      <c r="WOL59" s="46"/>
      <c r="WOM59" s="46"/>
      <c r="WON59" s="46"/>
      <c r="WOO59" s="46"/>
      <c r="WOP59" s="46"/>
      <c r="WOQ59" s="46"/>
      <c r="WOR59" s="46"/>
      <c r="WOS59" s="46"/>
      <c r="WOT59" s="46"/>
      <c r="WOU59" s="46"/>
      <c r="WOV59" s="46"/>
      <c r="WOW59" s="46"/>
      <c r="WOX59" s="46"/>
      <c r="WOY59" s="46"/>
      <c r="WOZ59" s="46"/>
      <c r="WPA59" s="46"/>
      <c r="WPB59" s="46"/>
      <c r="WPC59" s="46"/>
      <c r="WPD59" s="46"/>
      <c r="WPE59" s="46"/>
      <c r="WPF59" s="46"/>
      <c r="WPG59" s="46"/>
      <c r="WPH59" s="46"/>
      <c r="WPI59" s="46"/>
      <c r="WPJ59" s="46"/>
      <c r="WPK59" s="46"/>
      <c r="WPL59" s="46"/>
      <c r="WPM59" s="46"/>
      <c r="WPN59" s="46"/>
      <c r="WPO59" s="46"/>
      <c r="WPP59" s="46"/>
      <c r="WPQ59" s="46"/>
      <c r="WPR59" s="46"/>
      <c r="WPS59" s="46"/>
      <c r="WPT59" s="46"/>
      <c r="WPU59" s="46"/>
      <c r="WPV59" s="46"/>
      <c r="WPW59" s="46"/>
      <c r="WPX59" s="46"/>
      <c r="WPY59" s="46"/>
      <c r="WPZ59" s="46"/>
      <c r="WQA59" s="46"/>
      <c r="WQB59" s="46"/>
      <c r="WQC59" s="46"/>
      <c r="WQD59" s="46"/>
      <c r="WQE59" s="46"/>
      <c r="WQF59" s="46"/>
      <c r="WQG59" s="46"/>
      <c r="WQH59" s="46"/>
      <c r="WQI59" s="46"/>
      <c r="WQJ59" s="46"/>
      <c r="WQK59" s="46"/>
      <c r="WQL59" s="46"/>
      <c r="WQM59" s="46"/>
      <c r="WQN59" s="46"/>
      <c r="WQO59" s="46"/>
      <c r="WQP59" s="46"/>
      <c r="WQQ59" s="46"/>
      <c r="WQR59" s="46"/>
      <c r="WQS59" s="46"/>
      <c r="WQT59" s="46"/>
      <c r="WQU59" s="46"/>
      <c r="WQV59" s="46"/>
      <c r="WQW59" s="46"/>
      <c r="WQX59" s="46"/>
      <c r="WQY59" s="46"/>
      <c r="WQZ59" s="46"/>
      <c r="WRA59" s="46"/>
      <c r="WRB59" s="46"/>
      <c r="WRC59" s="46"/>
      <c r="WRD59" s="46"/>
      <c r="WRE59" s="46"/>
      <c r="WRF59" s="46"/>
      <c r="WRG59" s="46"/>
      <c r="WRH59" s="46"/>
      <c r="WRI59" s="46"/>
      <c r="WRJ59" s="46"/>
      <c r="WRK59" s="46"/>
      <c r="WRL59" s="46"/>
      <c r="WRM59" s="46"/>
      <c r="WRN59" s="46"/>
      <c r="WRO59" s="46"/>
      <c r="WRP59" s="46"/>
      <c r="WRQ59" s="46"/>
      <c r="WRR59" s="46"/>
      <c r="WRS59" s="46"/>
      <c r="WRT59" s="46"/>
      <c r="WRU59" s="46"/>
      <c r="WRV59" s="46"/>
      <c r="WRW59" s="46"/>
      <c r="WRX59" s="46"/>
      <c r="WRY59" s="46"/>
      <c r="WRZ59" s="46"/>
      <c r="WSA59" s="46"/>
      <c r="WSB59" s="46"/>
      <c r="WSC59" s="46"/>
      <c r="WSD59" s="46"/>
      <c r="WSE59" s="46"/>
      <c r="WSF59" s="46"/>
      <c r="WSG59" s="46"/>
      <c r="WSH59" s="46"/>
      <c r="WSI59" s="46"/>
      <c r="WSJ59" s="46"/>
      <c r="WSK59" s="46"/>
      <c r="WSL59" s="46"/>
      <c r="WSM59" s="46"/>
      <c r="WSN59" s="46"/>
      <c r="WSO59" s="46"/>
      <c r="WSP59" s="46"/>
      <c r="WSQ59" s="46"/>
      <c r="WSR59" s="46"/>
      <c r="WSS59" s="46"/>
      <c r="WST59" s="46"/>
      <c r="WSU59" s="46"/>
      <c r="WSV59" s="46"/>
      <c r="WSW59" s="46"/>
      <c r="WSX59" s="46"/>
      <c r="WSY59" s="46"/>
      <c r="WSZ59" s="46"/>
      <c r="WTA59" s="46"/>
      <c r="WTB59" s="46"/>
      <c r="WTC59" s="46"/>
      <c r="WTD59" s="46"/>
      <c r="WTE59" s="46"/>
      <c r="WTF59" s="46"/>
      <c r="WTG59" s="46"/>
      <c r="WTH59" s="46"/>
      <c r="WTI59" s="46"/>
      <c r="WTJ59" s="46"/>
      <c r="WTK59" s="46"/>
      <c r="WTL59" s="46"/>
      <c r="WTM59" s="46"/>
      <c r="WTN59" s="46"/>
      <c r="WTO59" s="46"/>
      <c r="WTP59" s="46"/>
      <c r="WTQ59" s="46"/>
      <c r="WTR59" s="46"/>
      <c r="WTS59" s="46"/>
      <c r="WTT59" s="46"/>
      <c r="WTU59" s="46"/>
      <c r="WTV59" s="46"/>
      <c r="WTW59" s="46"/>
      <c r="WTX59" s="46"/>
      <c r="WTY59" s="46"/>
      <c r="WTZ59" s="46"/>
      <c r="WUA59" s="46"/>
      <c r="WUB59" s="46"/>
      <c r="WUC59" s="46"/>
      <c r="WUD59" s="46"/>
      <c r="WUE59" s="46"/>
      <c r="WUF59" s="46"/>
      <c r="WUG59" s="46"/>
      <c r="WUH59" s="46"/>
      <c r="WUI59" s="46"/>
      <c r="WUJ59" s="46"/>
      <c r="WUK59" s="46"/>
      <c r="WUL59" s="46"/>
      <c r="WUM59" s="46"/>
      <c r="WUN59" s="46"/>
      <c r="WUO59" s="46"/>
      <c r="WUP59" s="46"/>
      <c r="WUQ59" s="46"/>
      <c r="WUR59" s="46"/>
      <c r="WUS59" s="46"/>
      <c r="WUT59" s="46"/>
      <c r="WUU59" s="46"/>
      <c r="WUV59" s="46"/>
      <c r="WUW59" s="46"/>
      <c r="WUX59" s="46"/>
      <c r="WUY59" s="46"/>
      <c r="WUZ59" s="46"/>
      <c r="WVA59" s="46"/>
      <c r="WVB59" s="46"/>
      <c r="WVC59" s="46"/>
      <c r="WVD59" s="46"/>
      <c r="WVE59" s="46"/>
      <c r="WVF59" s="46"/>
      <c r="WVG59" s="46"/>
      <c r="WVH59" s="46"/>
      <c r="WVI59" s="46"/>
      <c r="WVJ59" s="46"/>
      <c r="WVK59" s="46"/>
      <c r="WVL59" s="46"/>
      <c r="WVM59" s="46"/>
      <c r="WVN59" s="46"/>
      <c r="WVO59" s="46"/>
      <c r="WVP59" s="46"/>
      <c r="WVQ59" s="46"/>
      <c r="WVR59" s="46"/>
      <c r="WVS59" s="46"/>
      <c r="WVT59" s="46"/>
      <c r="WVU59" s="46"/>
      <c r="WVV59" s="46"/>
      <c r="WVW59" s="46"/>
      <c r="WVX59" s="46"/>
      <c r="WVY59" s="46"/>
      <c r="WVZ59" s="46"/>
      <c r="WWA59" s="46"/>
      <c r="WWB59" s="46"/>
      <c r="WWC59" s="46"/>
      <c r="WWD59" s="46"/>
      <c r="WWE59" s="46"/>
      <c r="WWF59" s="46"/>
      <c r="WWG59" s="46"/>
      <c r="WWH59" s="46"/>
      <c r="WWI59" s="46"/>
      <c r="WWJ59" s="46"/>
      <c r="WWK59" s="46"/>
      <c r="WWL59" s="46"/>
      <c r="WWM59" s="46"/>
      <c r="WWN59" s="46"/>
      <c r="WWO59" s="46"/>
      <c r="WWP59" s="46"/>
      <c r="WWQ59" s="46"/>
      <c r="WWR59" s="46"/>
      <c r="WWS59" s="46"/>
      <c r="WWT59" s="46"/>
      <c r="WWU59" s="46"/>
      <c r="WWV59" s="46"/>
      <c r="WWW59" s="46"/>
      <c r="WWX59" s="46"/>
      <c r="WWY59" s="46"/>
      <c r="WWZ59" s="46"/>
      <c r="WXA59" s="46"/>
      <c r="WXB59" s="46"/>
      <c r="WXC59" s="46"/>
      <c r="WXD59" s="46"/>
      <c r="WXE59" s="46"/>
      <c r="WXF59" s="46"/>
      <c r="WXG59" s="46"/>
      <c r="WXH59" s="46"/>
      <c r="WXI59" s="46"/>
      <c r="WXJ59" s="46"/>
      <c r="WXK59" s="46"/>
      <c r="WXL59" s="46"/>
      <c r="WXM59" s="46"/>
      <c r="WXN59" s="46"/>
      <c r="WXO59" s="46"/>
      <c r="WXP59" s="46"/>
      <c r="WXQ59" s="46"/>
      <c r="WXR59" s="46"/>
      <c r="WXS59" s="46"/>
      <c r="WXT59" s="46"/>
      <c r="WXU59" s="46"/>
      <c r="WXV59" s="46"/>
      <c r="WXW59" s="46"/>
      <c r="WXX59" s="46"/>
      <c r="WXY59" s="46"/>
      <c r="WXZ59" s="46"/>
      <c r="WYA59" s="46"/>
      <c r="WYB59" s="46"/>
      <c r="WYC59" s="46"/>
      <c r="WYD59" s="46"/>
      <c r="WYE59" s="46"/>
      <c r="WYF59" s="46"/>
      <c r="WYG59" s="46"/>
      <c r="WYH59" s="46"/>
      <c r="WYI59" s="46"/>
      <c r="WYJ59" s="46"/>
      <c r="WYK59" s="46"/>
      <c r="WYL59" s="46"/>
      <c r="WYM59" s="46"/>
      <c r="WYN59" s="46"/>
      <c r="WYO59" s="46"/>
      <c r="WYP59" s="46"/>
      <c r="WYQ59" s="46"/>
      <c r="WYR59" s="46"/>
      <c r="WYS59" s="46"/>
      <c r="WYT59" s="46"/>
      <c r="WYU59" s="46"/>
      <c r="WYV59" s="46"/>
      <c r="WYW59" s="46"/>
      <c r="WYX59" s="46"/>
      <c r="WYY59" s="46"/>
      <c r="WYZ59" s="46"/>
      <c r="WZA59" s="46"/>
      <c r="WZB59" s="46"/>
      <c r="WZC59" s="46"/>
      <c r="WZD59" s="46"/>
      <c r="WZE59" s="46"/>
      <c r="WZF59" s="46"/>
      <c r="WZG59" s="46"/>
      <c r="WZH59" s="46"/>
      <c r="WZI59" s="46"/>
      <c r="WZJ59" s="46"/>
      <c r="WZK59" s="46"/>
      <c r="WZL59" s="46"/>
      <c r="WZM59" s="46"/>
      <c r="WZN59" s="46"/>
      <c r="WZO59" s="46"/>
      <c r="WZP59" s="46"/>
      <c r="WZQ59" s="46"/>
      <c r="WZR59" s="46"/>
      <c r="WZS59" s="46"/>
      <c r="WZT59" s="46"/>
      <c r="WZU59" s="46"/>
      <c r="WZV59" s="46"/>
      <c r="WZW59" s="46"/>
      <c r="WZX59" s="46"/>
      <c r="WZY59" s="46"/>
      <c r="WZZ59" s="46"/>
      <c r="XAA59" s="46"/>
      <c r="XAB59" s="46"/>
      <c r="XAC59" s="46"/>
      <c r="XAD59" s="46"/>
      <c r="XAE59" s="46"/>
      <c r="XAF59" s="46"/>
      <c r="XAG59" s="46"/>
      <c r="XAH59" s="46"/>
      <c r="XAI59" s="46"/>
      <c r="XAJ59" s="46"/>
      <c r="XAK59" s="46"/>
      <c r="XAL59" s="46"/>
      <c r="XAM59" s="46"/>
      <c r="XAN59" s="46"/>
      <c r="XAO59" s="46"/>
      <c r="XAP59" s="46"/>
      <c r="XAQ59" s="46"/>
      <c r="XAR59" s="46"/>
      <c r="XAS59" s="46"/>
      <c r="XAT59" s="46"/>
      <c r="XAU59" s="46"/>
      <c r="XAV59" s="46"/>
      <c r="XAW59" s="46"/>
      <c r="XAX59" s="46"/>
      <c r="XAY59" s="46"/>
      <c r="XAZ59" s="46"/>
      <c r="XBA59" s="46"/>
      <c r="XBB59" s="46"/>
      <c r="XBC59" s="46"/>
      <c r="XBD59" s="46"/>
      <c r="XBE59" s="46"/>
      <c r="XBF59" s="46"/>
      <c r="XBG59" s="46"/>
      <c r="XBH59" s="46"/>
      <c r="XBI59" s="46"/>
      <c r="XBJ59" s="46"/>
      <c r="XBK59" s="46"/>
      <c r="XBL59" s="46"/>
      <c r="XBM59" s="46"/>
      <c r="XBN59" s="46"/>
      <c r="XBO59" s="46"/>
      <c r="XBP59" s="46"/>
      <c r="XBQ59" s="46"/>
      <c r="XBR59" s="46"/>
      <c r="XBS59" s="46"/>
      <c r="XBT59" s="46"/>
      <c r="XBU59" s="46"/>
      <c r="XBV59" s="46"/>
      <c r="XBW59" s="46"/>
      <c r="XBX59" s="46"/>
      <c r="XBY59" s="46"/>
      <c r="XBZ59" s="46"/>
      <c r="XCA59" s="46"/>
      <c r="XCB59" s="46"/>
      <c r="XCC59" s="46"/>
      <c r="XCD59" s="46"/>
      <c r="XCE59" s="46"/>
      <c r="XCF59" s="46"/>
      <c r="XCG59" s="46"/>
      <c r="XCH59" s="46"/>
      <c r="XCI59" s="46"/>
      <c r="XCJ59" s="46"/>
      <c r="XCK59" s="46"/>
      <c r="XCL59" s="46"/>
      <c r="XCM59" s="46"/>
      <c r="XCN59" s="46"/>
      <c r="XCO59" s="46"/>
      <c r="XCP59" s="46"/>
      <c r="XCQ59" s="46"/>
      <c r="XCR59" s="46"/>
      <c r="XCS59" s="46"/>
      <c r="XCT59" s="46"/>
      <c r="XCU59" s="46"/>
      <c r="XCV59" s="46"/>
      <c r="XCW59" s="46"/>
      <c r="XCX59" s="46"/>
      <c r="XCY59" s="46"/>
      <c r="XCZ59" s="46"/>
      <c r="XDA59" s="46"/>
      <c r="XDB59" s="46"/>
      <c r="XDC59" s="46"/>
      <c r="XDD59" s="46"/>
      <c r="XDE59" s="46"/>
      <c r="XDF59" s="46"/>
      <c r="XDG59" s="46"/>
      <c r="XDH59" s="46"/>
      <c r="XDI59" s="46"/>
      <c r="XDJ59" s="46"/>
      <c r="XDK59" s="46"/>
      <c r="XDL59" s="46"/>
      <c r="XDM59" s="46"/>
      <c r="XDN59" s="46"/>
      <c r="XDO59" s="46"/>
      <c r="XDP59" s="46"/>
      <c r="XDQ59" s="46"/>
      <c r="XDR59" s="46"/>
      <c r="XDS59" s="46"/>
      <c r="XDT59" s="46"/>
      <c r="XDU59" s="46"/>
      <c r="XDV59" s="46"/>
      <c r="XDW59" s="46"/>
      <c r="XDX59" s="46"/>
      <c r="XDY59" s="46"/>
      <c r="XDZ59" s="46"/>
      <c r="XEA59" s="46"/>
      <c r="XEB59" s="46"/>
      <c r="XEC59" s="46"/>
      <c r="XED59" s="46"/>
      <c r="XEE59" s="46"/>
      <c r="XEF59" s="46"/>
      <c r="XEG59" s="46"/>
      <c r="XEH59" s="46"/>
      <c r="XEI59" s="46"/>
      <c r="XEJ59" s="46"/>
      <c r="XEK59" s="46"/>
      <c r="XEL59" s="46"/>
      <c r="XEM59" s="46"/>
      <c r="XEN59" s="46"/>
      <c r="XEO59" s="46"/>
      <c r="XEP59" s="46"/>
      <c r="XEQ59" s="46"/>
      <c r="XER59" s="46"/>
      <c r="XES59" s="46"/>
      <c r="XET59" s="46"/>
      <c r="XEU59" s="46"/>
      <c r="XEV59" s="46"/>
      <c r="XEW59" s="46"/>
      <c r="XEX59" s="46"/>
      <c r="XEY59" s="46"/>
      <c r="XEZ59" s="46"/>
      <c r="XFA59" s="46"/>
      <c r="XFB59" s="46"/>
      <c r="XFC59" s="46"/>
    </row>
    <row r="60" spans="1:16383" s="46" customFormat="1" ht="24.95" customHeight="1" x14ac:dyDescent="0.15">
      <c r="A60" s="40">
        <v>58</v>
      </c>
      <c r="B60" s="74">
        <v>12058</v>
      </c>
      <c r="C60" s="74" t="s">
        <v>2255</v>
      </c>
      <c r="D60" s="74" t="s">
        <v>2255</v>
      </c>
      <c r="E60" s="74" t="s">
        <v>2255</v>
      </c>
      <c r="F60" s="141" t="s">
        <v>1392</v>
      </c>
      <c r="G60" s="141" t="s">
        <v>1999</v>
      </c>
      <c r="H60" s="74" t="s">
        <v>1487</v>
      </c>
      <c r="I60" s="74" t="s">
        <v>993</v>
      </c>
      <c r="J60" s="74" t="s">
        <v>892</v>
      </c>
      <c r="K60" s="71" t="s">
        <v>448</v>
      </c>
      <c r="L60" s="71" t="s">
        <v>448</v>
      </c>
      <c r="M60" s="71" t="s">
        <v>448</v>
      </c>
      <c r="N60" s="74" t="s">
        <v>102</v>
      </c>
      <c r="O60" s="141" t="s">
        <v>851</v>
      </c>
      <c r="P60" s="71" t="s">
        <v>448</v>
      </c>
      <c r="Q60" s="74" t="s">
        <v>2256</v>
      </c>
      <c r="R60" s="74" t="s">
        <v>2256</v>
      </c>
      <c r="S60" s="180" t="s">
        <v>2951</v>
      </c>
      <c r="T60" s="71" t="s">
        <v>448</v>
      </c>
      <c r="U60" s="72" t="s">
        <v>110</v>
      </c>
      <c r="V60" s="72">
        <v>3</v>
      </c>
      <c r="W60" s="71" t="s">
        <v>448</v>
      </c>
      <c r="X60" s="71" t="s">
        <v>448</v>
      </c>
      <c r="Y60" s="75">
        <v>0</v>
      </c>
      <c r="Z60" s="75">
        <v>10</v>
      </c>
      <c r="AA60" s="75">
        <v>10</v>
      </c>
      <c r="AB60" s="71" t="s">
        <v>448</v>
      </c>
      <c r="AC60" s="71" t="s">
        <v>448</v>
      </c>
      <c r="AD60" s="71" t="s">
        <v>448</v>
      </c>
    </row>
    <row r="61" spans="1:16383" s="46" customFormat="1" ht="24.95" customHeight="1" x14ac:dyDescent="0.15">
      <c r="A61" s="40">
        <v>59</v>
      </c>
      <c r="B61" s="71">
        <v>12061</v>
      </c>
      <c r="C61" s="71" t="s">
        <v>2209</v>
      </c>
      <c r="D61" s="71" t="s">
        <v>2209</v>
      </c>
      <c r="E61" s="71" t="s">
        <v>2209</v>
      </c>
      <c r="F61" s="76" t="s">
        <v>1285</v>
      </c>
      <c r="G61" s="76" t="s">
        <v>1984</v>
      </c>
      <c r="H61" s="71" t="s">
        <v>94</v>
      </c>
      <c r="I61" s="71" t="s">
        <v>1895</v>
      </c>
      <c r="J61" s="71" t="s">
        <v>1715</v>
      </c>
      <c r="K61" s="71" t="s">
        <v>448</v>
      </c>
      <c r="L61" s="71" t="s">
        <v>448</v>
      </c>
      <c r="M61" s="71" t="s">
        <v>448</v>
      </c>
      <c r="N61" s="71" t="s">
        <v>102</v>
      </c>
      <c r="O61" s="76" t="s">
        <v>2257</v>
      </c>
      <c r="P61" s="71" t="s">
        <v>448</v>
      </c>
      <c r="Q61" s="71" t="s">
        <v>2236</v>
      </c>
      <c r="R61" s="71" t="s">
        <v>2236</v>
      </c>
      <c r="S61" s="181" t="s">
        <v>2952</v>
      </c>
      <c r="T61" s="71" t="s">
        <v>448</v>
      </c>
      <c r="U61" s="72" t="s">
        <v>110</v>
      </c>
      <c r="V61" s="72">
        <v>2</v>
      </c>
      <c r="W61" s="71" t="s">
        <v>448</v>
      </c>
      <c r="X61" s="71" t="s">
        <v>448</v>
      </c>
      <c r="Y61" s="73">
        <v>40</v>
      </c>
      <c r="Z61" s="73">
        <v>45</v>
      </c>
      <c r="AA61" s="73">
        <v>85</v>
      </c>
      <c r="AB61" s="71" t="s">
        <v>448</v>
      </c>
      <c r="AC61" s="71" t="s">
        <v>448</v>
      </c>
      <c r="AD61" s="71" t="s">
        <v>448</v>
      </c>
    </row>
    <row r="62" spans="1:16383" s="46" customFormat="1" ht="24.95" customHeight="1" x14ac:dyDescent="0.15">
      <c r="A62" s="40">
        <v>60</v>
      </c>
      <c r="B62" s="71">
        <v>12062</v>
      </c>
      <c r="C62" s="71" t="s">
        <v>2237</v>
      </c>
      <c r="D62" s="71" t="s">
        <v>2237</v>
      </c>
      <c r="E62" s="71" t="s">
        <v>2237</v>
      </c>
      <c r="F62" s="76" t="s">
        <v>1361</v>
      </c>
      <c r="G62" s="76" t="s">
        <v>1984</v>
      </c>
      <c r="H62" s="71" t="s">
        <v>94</v>
      </c>
      <c r="I62" s="71" t="s">
        <v>1895</v>
      </c>
      <c r="J62" s="71" t="s">
        <v>1695</v>
      </c>
      <c r="K62" s="71" t="s">
        <v>448</v>
      </c>
      <c r="L62" s="71" t="s">
        <v>448</v>
      </c>
      <c r="M62" s="71" t="s">
        <v>448</v>
      </c>
      <c r="N62" s="71" t="s">
        <v>102</v>
      </c>
      <c r="O62" s="76" t="s">
        <v>2196</v>
      </c>
      <c r="P62" s="71" t="s">
        <v>448</v>
      </c>
      <c r="Q62" s="71" t="s">
        <v>2191</v>
      </c>
      <c r="R62" s="71" t="s">
        <v>2191</v>
      </c>
      <c r="S62" s="181" t="s">
        <v>2952</v>
      </c>
      <c r="T62" s="71" t="s">
        <v>448</v>
      </c>
      <c r="U62" s="72" t="s">
        <v>110</v>
      </c>
      <c r="V62" s="72">
        <v>2</v>
      </c>
      <c r="W62" s="71" t="s">
        <v>448</v>
      </c>
      <c r="X62" s="71" t="s">
        <v>448</v>
      </c>
      <c r="Y62" s="73">
        <v>40</v>
      </c>
      <c r="Z62" s="73">
        <v>45</v>
      </c>
      <c r="AA62" s="73">
        <v>85</v>
      </c>
      <c r="AB62" s="71" t="s">
        <v>448</v>
      </c>
      <c r="AC62" s="71" t="s">
        <v>448</v>
      </c>
      <c r="AD62" s="71" t="s">
        <v>448</v>
      </c>
    </row>
    <row r="63" spans="1:16383" s="46" customFormat="1" ht="24.95" customHeight="1" x14ac:dyDescent="0.15">
      <c r="A63" s="40">
        <v>61</v>
      </c>
      <c r="B63" s="24">
        <v>120001</v>
      </c>
      <c r="C63" s="24" t="s">
        <v>2258</v>
      </c>
      <c r="D63" s="24" t="s">
        <v>2258</v>
      </c>
      <c r="E63" s="71" t="s">
        <v>2189</v>
      </c>
      <c r="F63" s="54" t="s">
        <v>2000</v>
      </c>
      <c r="G63" s="29" t="s">
        <v>2001</v>
      </c>
      <c r="H63" s="71" t="s">
        <v>1912</v>
      </c>
      <c r="I63" s="71" t="s">
        <v>1540</v>
      </c>
      <c r="J63" s="71" t="s">
        <v>1642</v>
      </c>
      <c r="K63" s="71" t="s">
        <v>448</v>
      </c>
      <c r="L63" s="71" t="s">
        <v>448</v>
      </c>
      <c r="M63" s="71" t="s">
        <v>448</v>
      </c>
      <c r="N63" s="71" t="s">
        <v>2005</v>
      </c>
      <c r="O63" s="76" t="s">
        <v>2006</v>
      </c>
      <c r="P63" s="71" t="s">
        <v>448</v>
      </c>
      <c r="Q63" s="71" t="s">
        <v>2259</v>
      </c>
      <c r="R63" s="71" t="s">
        <v>2259</v>
      </c>
      <c r="S63" s="181" t="s">
        <v>2953</v>
      </c>
      <c r="T63" s="71" t="s">
        <v>448</v>
      </c>
      <c r="U63" s="72" t="s">
        <v>110</v>
      </c>
      <c r="V63" s="72">
        <v>2</v>
      </c>
      <c r="W63" s="71" t="s">
        <v>448</v>
      </c>
      <c r="X63" s="71" t="s">
        <v>448</v>
      </c>
      <c r="Y63" s="73">
        <v>23.8</v>
      </c>
      <c r="Z63" s="73">
        <v>0</v>
      </c>
      <c r="AA63" s="73">
        <v>23.8</v>
      </c>
      <c r="AB63" s="71" t="s">
        <v>448</v>
      </c>
      <c r="AC63" s="71" t="s">
        <v>448</v>
      </c>
      <c r="AD63" s="71" t="s">
        <v>448</v>
      </c>
    </row>
    <row r="64" spans="1:16383" s="154" customFormat="1" ht="24.95" customHeight="1" x14ac:dyDescent="0.15">
      <c r="A64" s="146"/>
      <c r="B64" s="146"/>
      <c r="C64" s="146"/>
      <c r="D64" s="146"/>
      <c r="E64" s="146"/>
      <c r="F64" s="173"/>
      <c r="G64" s="173"/>
      <c r="H64" s="146"/>
      <c r="I64" s="146"/>
      <c r="J64" s="146"/>
      <c r="K64" s="146"/>
      <c r="L64" s="146"/>
      <c r="M64" s="146"/>
      <c r="N64" s="174"/>
      <c r="O64" s="175"/>
      <c r="P64" s="146"/>
      <c r="Q64" s="146"/>
      <c r="R64" s="146"/>
      <c r="S64" s="146"/>
      <c r="T64" s="146"/>
      <c r="U64" s="146" t="s">
        <v>3389</v>
      </c>
      <c r="V64" s="146"/>
      <c r="W64" s="146"/>
      <c r="X64" s="146"/>
      <c r="Y64" s="199">
        <f>SUM(Y3:Y63)</f>
        <v>2891.3210000000008</v>
      </c>
      <c r="Z64" s="199">
        <f>SUM(Z3:Z63)</f>
        <v>604</v>
      </c>
      <c r="AA64" s="199">
        <f>SUM(AA3:AA63)</f>
        <v>3495.3210000000017</v>
      </c>
      <c r="AB64" s="146"/>
      <c r="AC64" s="146"/>
      <c r="AD64" s="146"/>
    </row>
  </sheetData>
  <autoFilter ref="A2:XFD2" xr:uid="{00000000-0009-0000-0000-00000A000000}"/>
  <mergeCells count="1">
    <mergeCell ref="A1:AD1"/>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74"/>
  <sheetViews>
    <sheetView workbookViewId="0">
      <pane xSplit="2" ySplit="2" topLeftCell="C3" activePane="bottomRight" state="frozen"/>
      <selection pane="topRight" activeCell="C1" sqref="C1"/>
      <selection pane="bottomLeft" activeCell="A3" sqref="A3"/>
      <selection pane="bottomRight" activeCell="F31" sqref="F31"/>
    </sheetView>
  </sheetViews>
  <sheetFormatPr defaultRowHeight="24.95" customHeight="1" x14ac:dyDescent="0.15"/>
  <cols>
    <col min="1" max="1" width="6.375" style="38" customWidth="1"/>
    <col min="2" max="2" width="18.25" style="38" customWidth="1"/>
    <col min="3" max="3" width="12.875" style="38" customWidth="1"/>
    <col min="4" max="4" width="14.25" style="38" customWidth="1"/>
    <col min="5" max="5" width="12.125" style="38" customWidth="1"/>
    <col min="6" max="6" width="21.75" style="57" customWidth="1"/>
    <col min="7" max="7" width="24.625" style="57" customWidth="1"/>
    <col min="8" max="13" width="9" style="38"/>
    <col min="14" max="14" width="11.375" style="5" customWidth="1"/>
    <col min="15" max="15" width="26.625" style="69" customWidth="1"/>
    <col min="16" max="18" width="9" style="38"/>
    <col min="19" max="19" width="14.5" style="38" customWidth="1"/>
    <col min="20" max="20" width="9" style="38"/>
    <col min="21" max="21" width="15.125" style="38" customWidth="1"/>
    <col min="22" max="24" width="9" style="38"/>
    <col min="25" max="25" width="10.5" style="38" bestFit="1" customWidth="1"/>
    <col min="26" max="26" width="11.75" style="38" customWidth="1"/>
    <col min="27" max="27" width="10.5" style="38" customWidth="1"/>
    <col min="28" max="28" width="9" style="38"/>
    <col min="29" max="29" width="11.875" style="38" customWidth="1"/>
    <col min="30" max="16384" width="9" style="38"/>
  </cols>
  <sheetData>
    <row r="1" spans="1:30" s="3" customFormat="1" ht="33" customHeight="1" x14ac:dyDescent="0.15">
      <c r="A1" s="1953" t="s">
        <v>2318</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0" s="4" customFormat="1" ht="27.9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122" t="s">
        <v>8</v>
      </c>
      <c r="P2" s="25" t="s">
        <v>9</v>
      </c>
      <c r="Q2" s="25" t="s">
        <v>3342</v>
      </c>
      <c r="R2" s="25" t="s">
        <v>3343</v>
      </c>
      <c r="S2" s="25" t="s">
        <v>15</v>
      </c>
      <c r="T2" s="25" t="s">
        <v>16</v>
      </c>
      <c r="U2" s="32" t="s">
        <v>14</v>
      </c>
      <c r="V2" s="32" t="s">
        <v>13</v>
      </c>
      <c r="W2" s="25" t="s">
        <v>11</v>
      </c>
      <c r="X2" s="25" t="s">
        <v>12</v>
      </c>
      <c r="Y2" s="25" t="s">
        <v>429</v>
      </c>
      <c r="Z2" s="25" t="s">
        <v>430</v>
      </c>
      <c r="AA2" s="25" t="s">
        <v>431</v>
      </c>
      <c r="AB2" s="25" t="s">
        <v>2184</v>
      </c>
      <c r="AC2" s="25" t="s">
        <v>2185</v>
      </c>
      <c r="AD2" s="25" t="s">
        <v>2125</v>
      </c>
    </row>
    <row r="3" spans="1:30" s="46" customFormat="1" ht="24.95" customHeight="1" x14ac:dyDescent="0.15">
      <c r="A3" s="40">
        <v>1</v>
      </c>
      <c r="B3" s="24" t="s">
        <v>3434</v>
      </c>
      <c r="C3" s="24" t="s">
        <v>127</v>
      </c>
      <c r="D3" s="24" t="s">
        <v>127</v>
      </c>
      <c r="E3" s="24" t="s">
        <v>127</v>
      </c>
      <c r="F3" s="76" t="s">
        <v>1166</v>
      </c>
      <c r="G3" s="76" t="s">
        <v>1929</v>
      </c>
      <c r="H3" s="71" t="s">
        <v>94</v>
      </c>
      <c r="I3" s="71" t="s">
        <v>112</v>
      </c>
      <c r="J3" s="71" t="s">
        <v>527</v>
      </c>
      <c r="K3" s="37" t="s">
        <v>448</v>
      </c>
      <c r="L3" s="37" t="s">
        <v>2260</v>
      </c>
      <c r="M3" s="37" t="s">
        <v>448</v>
      </c>
      <c r="N3" s="71" t="s">
        <v>102</v>
      </c>
      <c r="O3" s="76" t="s">
        <v>2261</v>
      </c>
      <c r="P3" s="37" t="s">
        <v>448</v>
      </c>
      <c r="Q3" s="71" t="s">
        <v>2262</v>
      </c>
      <c r="R3" s="71" t="s">
        <v>2262</v>
      </c>
      <c r="S3" s="180" t="s">
        <v>2769</v>
      </c>
      <c r="T3" s="37" t="s">
        <v>448</v>
      </c>
      <c r="U3" s="72" t="s">
        <v>2263</v>
      </c>
      <c r="V3" s="72">
        <v>1</v>
      </c>
      <c r="W3" s="37" t="s">
        <v>448</v>
      </c>
      <c r="X3" s="37" t="s">
        <v>448</v>
      </c>
      <c r="Y3" s="73">
        <v>29</v>
      </c>
      <c r="Z3" s="73">
        <v>0</v>
      </c>
      <c r="AA3" s="73">
        <v>29</v>
      </c>
      <c r="AB3" s="37" t="s">
        <v>448</v>
      </c>
      <c r="AC3" s="37" t="s">
        <v>448</v>
      </c>
      <c r="AD3" s="37" t="s">
        <v>448</v>
      </c>
    </row>
    <row r="4" spans="1:30" s="46" customFormat="1" ht="24.95" customHeight="1" x14ac:dyDescent="0.15">
      <c r="A4" s="40">
        <v>2</v>
      </c>
      <c r="B4" s="24" t="s">
        <v>3435</v>
      </c>
      <c r="C4" s="24" t="s">
        <v>2264</v>
      </c>
      <c r="D4" s="24" t="s">
        <v>2264</v>
      </c>
      <c r="E4" s="24" t="s">
        <v>2264</v>
      </c>
      <c r="F4" s="76" t="s">
        <v>1168</v>
      </c>
      <c r="G4" s="76" t="s">
        <v>1930</v>
      </c>
      <c r="H4" s="71" t="s">
        <v>94</v>
      </c>
      <c r="I4" s="71" t="s">
        <v>112</v>
      </c>
      <c r="J4" s="71" t="s">
        <v>1663</v>
      </c>
      <c r="K4" s="37" t="s">
        <v>448</v>
      </c>
      <c r="L4" s="37" t="s">
        <v>2209</v>
      </c>
      <c r="M4" s="37" t="s">
        <v>448</v>
      </c>
      <c r="N4" s="71" t="s">
        <v>102</v>
      </c>
      <c r="O4" s="76" t="s">
        <v>2216</v>
      </c>
      <c r="P4" s="37" t="s">
        <v>448</v>
      </c>
      <c r="Q4" s="71" t="s">
        <v>2217</v>
      </c>
      <c r="R4" s="71" t="s">
        <v>2217</v>
      </c>
      <c r="S4" s="180" t="s">
        <v>2769</v>
      </c>
      <c r="T4" s="37" t="s">
        <v>448</v>
      </c>
      <c r="U4" s="72" t="s">
        <v>2208</v>
      </c>
      <c r="V4" s="72">
        <v>1</v>
      </c>
      <c r="W4" s="37" t="s">
        <v>448</v>
      </c>
      <c r="X4" s="37" t="s">
        <v>448</v>
      </c>
      <c r="Y4" s="73">
        <v>29</v>
      </c>
      <c r="Z4" s="73">
        <v>0</v>
      </c>
      <c r="AA4" s="73">
        <v>29</v>
      </c>
      <c r="AB4" s="37" t="s">
        <v>448</v>
      </c>
      <c r="AC4" s="37" t="s">
        <v>448</v>
      </c>
      <c r="AD4" s="37" t="s">
        <v>448</v>
      </c>
    </row>
    <row r="5" spans="1:30" s="46" customFormat="1" ht="24.95" customHeight="1" x14ac:dyDescent="0.15">
      <c r="A5" s="40">
        <v>3</v>
      </c>
      <c r="B5" s="24" t="s">
        <v>3436</v>
      </c>
      <c r="C5" s="24" t="s">
        <v>2265</v>
      </c>
      <c r="D5" s="24" t="s">
        <v>2265</v>
      </c>
      <c r="E5" s="24" t="s">
        <v>2265</v>
      </c>
      <c r="F5" s="76" t="s">
        <v>1275</v>
      </c>
      <c r="G5" s="76" t="s">
        <v>1898</v>
      </c>
      <c r="H5" s="71" t="s">
        <v>94</v>
      </c>
      <c r="I5" s="71" t="s">
        <v>1895</v>
      </c>
      <c r="J5" s="71" t="s">
        <v>1710</v>
      </c>
      <c r="K5" s="37" t="s">
        <v>448</v>
      </c>
      <c r="L5" s="37" t="s">
        <v>2209</v>
      </c>
      <c r="M5" s="37" t="s">
        <v>448</v>
      </c>
      <c r="N5" s="71" t="s">
        <v>102</v>
      </c>
      <c r="O5" s="76" t="s">
        <v>2266</v>
      </c>
      <c r="P5" s="37" t="s">
        <v>448</v>
      </c>
      <c r="Q5" s="71" t="s">
        <v>2207</v>
      </c>
      <c r="R5" s="71" t="s">
        <v>2207</v>
      </c>
      <c r="S5" s="180" t="s">
        <v>2770</v>
      </c>
      <c r="T5" s="37" t="s">
        <v>448</v>
      </c>
      <c r="U5" s="72" t="s">
        <v>2208</v>
      </c>
      <c r="V5" s="72">
        <v>2</v>
      </c>
      <c r="W5" s="37" t="s">
        <v>448</v>
      </c>
      <c r="X5" s="37" t="s">
        <v>448</v>
      </c>
      <c r="Y5" s="73">
        <v>40</v>
      </c>
      <c r="Z5" s="73">
        <v>40</v>
      </c>
      <c r="AA5" s="73">
        <v>80</v>
      </c>
      <c r="AB5" s="37" t="s">
        <v>448</v>
      </c>
      <c r="AC5" s="37" t="s">
        <v>448</v>
      </c>
      <c r="AD5" s="37" t="s">
        <v>448</v>
      </c>
    </row>
    <row r="6" spans="1:30" s="46" customFormat="1" ht="24.95" customHeight="1" x14ac:dyDescent="0.15">
      <c r="A6" s="40">
        <v>4</v>
      </c>
      <c r="B6" s="24" t="s">
        <v>3437</v>
      </c>
      <c r="C6" s="24" t="s">
        <v>2265</v>
      </c>
      <c r="D6" s="24" t="s">
        <v>2265</v>
      </c>
      <c r="E6" s="24" t="s">
        <v>2265</v>
      </c>
      <c r="F6" s="76" t="s">
        <v>1289</v>
      </c>
      <c r="G6" s="76" t="s">
        <v>1898</v>
      </c>
      <c r="H6" s="71" t="s">
        <v>94</v>
      </c>
      <c r="I6" s="71" t="s">
        <v>1895</v>
      </c>
      <c r="J6" s="71" t="s">
        <v>1717</v>
      </c>
      <c r="K6" s="37" t="s">
        <v>448</v>
      </c>
      <c r="L6" s="37" t="s">
        <v>2209</v>
      </c>
      <c r="M6" s="37" t="s">
        <v>448</v>
      </c>
      <c r="N6" s="71" t="s">
        <v>102</v>
      </c>
      <c r="O6" s="76" t="s">
        <v>2266</v>
      </c>
      <c r="P6" s="37" t="s">
        <v>448</v>
      </c>
      <c r="Q6" s="71" t="s">
        <v>2207</v>
      </c>
      <c r="R6" s="71" t="s">
        <v>2207</v>
      </c>
      <c r="S6" s="180" t="s">
        <v>2770</v>
      </c>
      <c r="T6" s="37" t="s">
        <v>448</v>
      </c>
      <c r="U6" s="72" t="s">
        <v>2208</v>
      </c>
      <c r="V6" s="72">
        <v>2</v>
      </c>
      <c r="W6" s="37" t="s">
        <v>448</v>
      </c>
      <c r="X6" s="37" t="s">
        <v>448</v>
      </c>
      <c r="Y6" s="73">
        <v>40</v>
      </c>
      <c r="Z6" s="73">
        <v>40</v>
      </c>
      <c r="AA6" s="73">
        <v>80</v>
      </c>
      <c r="AB6" s="37" t="s">
        <v>448</v>
      </c>
      <c r="AC6" s="37" t="s">
        <v>448</v>
      </c>
      <c r="AD6" s="37" t="s">
        <v>448</v>
      </c>
    </row>
    <row r="7" spans="1:30" s="46" customFormat="1" ht="24.95" customHeight="1" x14ac:dyDescent="0.15">
      <c r="A7" s="40">
        <v>5</v>
      </c>
      <c r="B7" s="24" t="s">
        <v>3438</v>
      </c>
      <c r="C7" s="24" t="s">
        <v>2265</v>
      </c>
      <c r="D7" s="24" t="s">
        <v>2265</v>
      </c>
      <c r="E7" s="24" t="s">
        <v>2265</v>
      </c>
      <c r="F7" s="76" t="s">
        <v>1287</v>
      </c>
      <c r="G7" s="76" t="s">
        <v>1898</v>
      </c>
      <c r="H7" s="71" t="s">
        <v>94</v>
      </c>
      <c r="I7" s="71" t="s">
        <v>1895</v>
      </c>
      <c r="J7" s="71" t="s">
        <v>1716</v>
      </c>
      <c r="K7" s="37" t="s">
        <v>448</v>
      </c>
      <c r="L7" s="37" t="s">
        <v>2209</v>
      </c>
      <c r="M7" s="37" t="s">
        <v>448</v>
      </c>
      <c r="N7" s="71" t="s">
        <v>102</v>
      </c>
      <c r="O7" s="76" t="s">
        <v>2266</v>
      </c>
      <c r="P7" s="37" t="s">
        <v>448</v>
      </c>
      <c r="Q7" s="71" t="s">
        <v>2207</v>
      </c>
      <c r="R7" s="71" t="s">
        <v>2207</v>
      </c>
      <c r="S7" s="180" t="s">
        <v>2771</v>
      </c>
      <c r="T7" s="37" t="s">
        <v>448</v>
      </c>
      <c r="U7" s="72" t="s">
        <v>2208</v>
      </c>
      <c r="V7" s="72">
        <v>2</v>
      </c>
      <c r="W7" s="37" t="s">
        <v>448</v>
      </c>
      <c r="X7" s="37" t="s">
        <v>448</v>
      </c>
      <c r="Y7" s="73">
        <v>40</v>
      </c>
      <c r="Z7" s="73">
        <v>40</v>
      </c>
      <c r="AA7" s="73">
        <v>80</v>
      </c>
      <c r="AB7" s="37" t="s">
        <v>448</v>
      </c>
      <c r="AC7" s="37" t="s">
        <v>448</v>
      </c>
      <c r="AD7" s="37" t="s">
        <v>448</v>
      </c>
    </row>
    <row r="8" spans="1:30" s="46" customFormat="1" ht="24.95" customHeight="1" x14ac:dyDescent="0.15">
      <c r="A8" s="40">
        <v>6</v>
      </c>
      <c r="B8" s="24" t="s">
        <v>3439</v>
      </c>
      <c r="C8" s="24" t="s">
        <v>2265</v>
      </c>
      <c r="D8" s="24" t="s">
        <v>2265</v>
      </c>
      <c r="E8" s="24" t="s">
        <v>2265</v>
      </c>
      <c r="F8" s="76" t="s">
        <v>1269</v>
      </c>
      <c r="G8" s="76" t="s">
        <v>1898</v>
      </c>
      <c r="H8" s="71" t="s">
        <v>94</v>
      </c>
      <c r="I8" s="71" t="s">
        <v>1895</v>
      </c>
      <c r="J8" s="71" t="s">
        <v>1707</v>
      </c>
      <c r="K8" s="37" t="s">
        <v>448</v>
      </c>
      <c r="L8" s="37" t="s">
        <v>2209</v>
      </c>
      <c r="M8" s="37" t="s">
        <v>448</v>
      </c>
      <c r="N8" s="71" t="s">
        <v>102</v>
      </c>
      <c r="O8" s="76" t="s">
        <v>2266</v>
      </c>
      <c r="P8" s="37" t="s">
        <v>448</v>
      </c>
      <c r="Q8" s="71" t="s">
        <v>2207</v>
      </c>
      <c r="R8" s="71" t="s">
        <v>2207</v>
      </c>
      <c r="S8" s="180" t="s">
        <v>2771</v>
      </c>
      <c r="T8" s="37" t="s">
        <v>448</v>
      </c>
      <c r="U8" s="72" t="s">
        <v>2208</v>
      </c>
      <c r="V8" s="72">
        <v>2</v>
      </c>
      <c r="W8" s="37" t="s">
        <v>448</v>
      </c>
      <c r="X8" s="37" t="s">
        <v>448</v>
      </c>
      <c r="Y8" s="73">
        <v>40</v>
      </c>
      <c r="Z8" s="73">
        <v>40</v>
      </c>
      <c r="AA8" s="73">
        <v>80</v>
      </c>
      <c r="AB8" s="37" t="s">
        <v>448</v>
      </c>
      <c r="AC8" s="37" t="s">
        <v>448</v>
      </c>
      <c r="AD8" s="37" t="s">
        <v>448</v>
      </c>
    </row>
    <row r="9" spans="1:30" s="46" customFormat="1" ht="24.95" customHeight="1" x14ac:dyDescent="0.15">
      <c r="A9" s="40">
        <v>7</v>
      </c>
      <c r="B9" s="24" t="s">
        <v>3440</v>
      </c>
      <c r="C9" s="24" t="s">
        <v>2265</v>
      </c>
      <c r="D9" s="24" t="s">
        <v>2265</v>
      </c>
      <c r="E9" s="24" t="s">
        <v>2265</v>
      </c>
      <c r="F9" s="76" t="s">
        <v>1281</v>
      </c>
      <c r="G9" s="76" t="s">
        <v>1898</v>
      </c>
      <c r="H9" s="71" t="s">
        <v>94</v>
      </c>
      <c r="I9" s="71" t="s">
        <v>1895</v>
      </c>
      <c r="J9" s="71" t="s">
        <v>1713</v>
      </c>
      <c r="K9" s="37" t="s">
        <v>448</v>
      </c>
      <c r="L9" s="37" t="s">
        <v>2189</v>
      </c>
      <c r="M9" s="37" t="s">
        <v>448</v>
      </c>
      <c r="N9" s="71" t="s">
        <v>102</v>
      </c>
      <c r="O9" s="76" t="s">
        <v>2267</v>
      </c>
      <c r="P9" s="37" t="s">
        <v>448</v>
      </c>
      <c r="Q9" s="71" t="s">
        <v>2191</v>
      </c>
      <c r="R9" s="71" t="s">
        <v>2191</v>
      </c>
      <c r="S9" s="180" t="s">
        <v>2771</v>
      </c>
      <c r="T9" s="37" t="s">
        <v>448</v>
      </c>
      <c r="U9" s="72" t="s">
        <v>2188</v>
      </c>
      <c r="V9" s="72">
        <v>2</v>
      </c>
      <c r="W9" s="37" t="s">
        <v>448</v>
      </c>
      <c r="X9" s="37" t="s">
        <v>448</v>
      </c>
      <c r="Y9" s="73">
        <v>40</v>
      </c>
      <c r="Z9" s="73">
        <v>40</v>
      </c>
      <c r="AA9" s="73">
        <v>80</v>
      </c>
      <c r="AB9" s="37" t="s">
        <v>448</v>
      </c>
      <c r="AC9" s="37" t="s">
        <v>448</v>
      </c>
      <c r="AD9" s="37" t="s">
        <v>448</v>
      </c>
    </row>
    <row r="10" spans="1:30" s="46" customFormat="1" ht="24.95" customHeight="1" x14ac:dyDescent="0.15">
      <c r="A10" s="40">
        <v>8</v>
      </c>
      <c r="B10" s="24" t="s">
        <v>3441</v>
      </c>
      <c r="C10" s="24" t="s">
        <v>2258</v>
      </c>
      <c r="D10" s="24" t="s">
        <v>2258</v>
      </c>
      <c r="E10" s="24" t="s">
        <v>2258</v>
      </c>
      <c r="F10" s="76" t="s">
        <v>1273</v>
      </c>
      <c r="G10" s="76" t="s">
        <v>1898</v>
      </c>
      <c r="H10" s="71" t="s">
        <v>94</v>
      </c>
      <c r="I10" s="71" t="s">
        <v>1895</v>
      </c>
      <c r="J10" s="71" t="s">
        <v>1709</v>
      </c>
      <c r="K10" s="37" t="s">
        <v>448</v>
      </c>
      <c r="L10" s="37" t="s">
        <v>2230</v>
      </c>
      <c r="M10" s="37" t="s">
        <v>448</v>
      </c>
      <c r="N10" s="71" t="s">
        <v>102</v>
      </c>
      <c r="O10" s="76" t="s">
        <v>2268</v>
      </c>
      <c r="P10" s="37" t="s">
        <v>448</v>
      </c>
      <c r="Q10" s="71" t="s">
        <v>2228</v>
      </c>
      <c r="R10" s="71" t="s">
        <v>2228</v>
      </c>
      <c r="S10" s="180" t="s">
        <v>2771</v>
      </c>
      <c r="T10" s="37" t="s">
        <v>448</v>
      </c>
      <c r="U10" s="72" t="s">
        <v>2229</v>
      </c>
      <c r="V10" s="72">
        <v>2</v>
      </c>
      <c r="W10" s="37" t="s">
        <v>448</v>
      </c>
      <c r="X10" s="37" t="s">
        <v>448</v>
      </c>
      <c r="Y10" s="73">
        <v>40</v>
      </c>
      <c r="Z10" s="73">
        <v>40</v>
      </c>
      <c r="AA10" s="73">
        <v>80</v>
      </c>
      <c r="AB10" s="37" t="s">
        <v>448</v>
      </c>
      <c r="AC10" s="37" t="s">
        <v>448</v>
      </c>
      <c r="AD10" s="37" t="s">
        <v>448</v>
      </c>
    </row>
    <row r="11" spans="1:30" s="46" customFormat="1" ht="24.95" customHeight="1" x14ac:dyDescent="0.15">
      <c r="A11" s="40">
        <v>9</v>
      </c>
      <c r="B11" s="24" t="s">
        <v>3442</v>
      </c>
      <c r="C11" s="24" t="s">
        <v>2269</v>
      </c>
      <c r="D11" s="24" t="s">
        <v>2269</v>
      </c>
      <c r="E11" s="24" t="s">
        <v>2269</v>
      </c>
      <c r="F11" s="76" t="s">
        <v>1931</v>
      </c>
      <c r="G11" s="76" t="s">
        <v>3165</v>
      </c>
      <c r="H11" s="71" t="s">
        <v>94</v>
      </c>
      <c r="I11" s="71" t="s">
        <v>1895</v>
      </c>
      <c r="J11" s="71" t="s">
        <v>1910</v>
      </c>
      <c r="K11" s="37" t="s">
        <v>448</v>
      </c>
      <c r="L11" s="37" t="s">
        <v>2209</v>
      </c>
      <c r="M11" s="37" t="s">
        <v>448</v>
      </c>
      <c r="N11" s="71" t="s">
        <v>102</v>
      </c>
      <c r="O11" s="76" t="s">
        <v>2266</v>
      </c>
      <c r="P11" s="37" t="s">
        <v>448</v>
      </c>
      <c r="Q11" s="71" t="s">
        <v>2207</v>
      </c>
      <c r="R11" s="71" t="s">
        <v>2207</v>
      </c>
      <c r="S11" s="180" t="s">
        <v>2771</v>
      </c>
      <c r="T11" s="37" t="s">
        <v>448</v>
      </c>
      <c r="U11" s="72" t="s">
        <v>2208</v>
      </c>
      <c r="V11" s="72">
        <v>2</v>
      </c>
      <c r="W11" s="37" t="s">
        <v>448</v>
      </c>
      <c r="X11" s="37" t="s">
        <v>448</v>
      </c>
      <c r="Y11" s="73">
        <v>40</v>
      </c>
      <c r="Z11" s="73">
        <v>40</v>
      </c>
      <c r="AA11" s="73">
        <v>80</v>
      </c>
      <c r="AB11" s="37" t="s">
        <v>448</v>
      </c>
      <c r="AC11" s="37" t="s">
        <v>448</v>
      </c>
      <c r="AD11" s="37" t="s">
        <v>448</v>
      </c>
    </row>
    <row r="12" spans="1:30" s="46" customFormat="1" ht="24.95" customHeight="1" x14ac:dyDescent="0.15">
      <c r="A12" s="40">
        <v>10</v>
      </c>
      <c r="B12" s="24" t="s">
        <v>3443</v>
      </c>
      <c r="C12" s="24" t="s">
        <v>2265</v>
      </c>
      <c r="D12" s="24" t="s">
        <v>2265</v>
      </c>
      <c r="E12" s="24" t="s">
        <v>2265</v>
      </c>
      <c r="F12" s="76" t="s">
        <v>1161</v>
      </c>
      <c r="G12" s="76" t="s">
        <v>3166</v>
      </c>
      <c r="H12" s="71" t="s">
        <v>94</v>
      </c>
      <c r="I12" s="71" t="s">
        <v>112</v>
      </c>
      <c r="J12" s="71" t="s">
        <v>1662</v>
      </c>
      <c r="K12" s="37" t="s">
        <v>448</v>
      </c>
      <c r="L12" s="37" t="s">
        <v>2189</v>
      </c>
      <c r="M12" s="37" t="s">
        <v>448</v>
      </c>
      <c r="N12" s="71" t="s">
        <v>102</v>
      </c>
      <c r="O12" s="76" t="s">
        <v>1911</v>
      </c>
      <c r="P12" s="37" t="s">
        <v>448</v>
      </c>
      <c r="Q12" s="71" t="s">
        <v>2187</v>
      </c>
      <c r="R12" s="71" t="s">
        <v>2187</v>
      </c>
      <c r="S12" s="180" t="s">
        <v>2772</v>
      </c>
      <c r="T12" s="37" t="s">
        <v>448</v>
      </c>
      <c r="U12" s="72" t="s">
        <v>2188</v>
      </c>
      <c r="V12" s="72">
        <v>1</v>
      </c>
      <c r="W12" s="37" t="s">
        <v>448</v>
      </c>
      <c r="X12" s="37" t="s">
        <v>448</v>
      </c>
      <c r="Y12" s="73">
        <v>0</v>
      </c>
      <c r="Z12" s="73">
        <v>54</v>
      </c>
      <c r="AA12" s="73">
        <v>54</v>
      </c>
      <c r="AB12" s="37" t="s">
        <v>448</v>
      </c>
      <c r="AC12" s="37" t="s">
        <v>448</v>
      </c>
      <c r="AD12" s="37" t="s">
        <v>448</v>
      </c>
    </row>
    <row r="13" spans="1:30" s="46" customFormat="1" ht="24.95" customHeight="1" x14ac:dyDescent="0.15">
      <c r="A13" s="40">
        <v>11</v>
      </c>
      <c r="B13" s="24" t="s">
        <v>3444</v>
      </c>
      <c r="C13" s="24" t="s">
        <v>2258</v>
      </c>
      <c r="D13" s="24" t="s">
        <v>2258</v>
      </c>
      <c r="E13" s="24" t="s">
        <v>2258</v>
      </c>
      <c r="F13" s="76" t="s">
        <v>1164</v>
      </c>
      <c r="G13" s="76" t="s">
        <v>3167</v>
      </c>
      <c r="H13" s="71" t="s">
        <v>94</v>
      </c>
      <c r="I13" s="71" t="s">
        <v>112</v>
      </c>
      <c r="J13" s="71" t="s">
        <v>531</v>
      </c>
      <c r="K13" s="37" t="s">
        <v>448</v>
      </c>
      <c r="L13" s="37" t="s">
        <v>2209</v>
      </c>
      <c r="M13" s="37" t="s">
        <v>448</v>
      </c>
      <c r="N13" s="71" t="s">
        <v>102</v>
      </c>
      <c r="O13" s="76" t="s">
        <v>1911</v>
      </c>
      <c r="P13" s="37" t="s">
        <v>448</v>
      </c>
      <c r="Q13" s="71" t="s">
        <v>2217</v>
      </c>
      <c r="R13" s="71" t="s">
        <v>2217</v>
      </c>
      <c r="S13" s="180" t="s">
        <v>2773</v>
      </c>
      <c r="T13" s="37" t="s">
        <v>448</v>
      </c>
      <c r="U13" s="72" t="s">
        <v>2208</v>
      </c>
      <c r="V13" s="72">
        <v>1</v>
      </c>
      <c r="W13" s="37" t="s">
        <v>448</v>
      </c>
      <c r="X13" s="37" t="s">
        <v>448</v>
      </c>
      <c r="Y13" s="73">
        <v>0</v>
      </c>
      <c r="Z13" s="73">
        <v>54</v>
      </c>
      <c r="AA13" s="73">
        <v>54</v>
      </c>
      <c r="AB13" s="37" t="s">
        <v>448</v>
      </c>
      <c r="AC13" s="37" t="s">
        <v>448</v>
      </c>
      <c r="AD13" s="37" t="s">
        <v>448</v>
      </c>
    </row>
    <row r="14" spans="1:30" s="46" customFormat="1" ht="24.95" customHeight="1" x14ac:dyDescent="0.15">
      <c r="A14" s="40">
        <v>12</v>
      </c>
      <c r="B14" s="24" t="s">
        <v>3445</v>
      </c>
      <c r="C14" s="24" t="s">
        <v>2265</v>
      </c>
      <c r="D14" s="24" t="s">
        <v>2265</v>
      </c>
      <c r="E14" s="24" t="s">
        <v>2265</v>
      </c>
      <c r="F14" s="76" t="s">
        <v>1161</v>
      </c>
      <c r="G14" s="76" t="s">
        <v>3168</v>
      </c>
      <c r="H14" s="71" t="s">
        <v>94</v>
      </c>
      <c r="I14" s="71" t="s">
        <v>112</v>
      </c>
      <c r="J14" s="71" t="s">
        <v>1661</v>
      </c>
      <c r="K14" s="37" t="s">
        <v>448</v>
      </c>
      <c r="L14" s="37" t="s">
        <v>2189</v>
      </c>
      <c r="M14" s="37" t="s">
        <v>448</v>
      </c>
      <c r="N14" s="71" t="s">
        <v>102</v>
      </c>
      <c r="O14" s="76" t="s">
        <v>1911</v>
      </c>
      <c r="P14" s="37" t="s">
        <v>448</v>
      </c>
      <c r="Q14" s="71" t="s">
        <v>2187</v>
      </c>
      <c r="R14" s="71" t="s">
        <v>2187</v>
      </c>
      <c r="S14" s="180" t="s">
        <v>2774</v>
      </c>
      <c r="T14" s="37" t="s">
        <v>448</v>
      </c>
      <c r="U14" s="72" t="s">
        <v>2188</v>
      </c>
      <c r="V14" s="72">
        <v>1</v>
      </c>
      <c r="W14" s="37" t="s">
        <v>448</v>
      </c>
      <c r="X14" s="37" t="s">
        <v>448</v>
      </c>
      <c r="Y14" s="73">
        <v>0</v>
      </c>
      <c r="Z14" s="73">
        <v>54</v>
      </c>
      <c r="AA14" s="73">
        <v>54</v>
      </c>
      <c r="AB14" s="37" t="s">
        <v>448</v>
      </c>
      <c r="AC14" s="37" t="s">
        <v>448</v>
      </c>
      <c r="AD14" s="37" t="s">
        <v>448</v>
      </c>
    </row>
    <row r="15" spans="1:30" s="46" customFormat="1" ht="24.95" customHeight="1" x14ac:dyDescent="0.15">
      <c r="A15" s="40">
        <v>13</v>
      </c>
      <c r="B15" s="24" t="s">
        <v>3446</v>
      </c>
      <c r="C15" s="24" t="s">
        <v>2258</v>
      </c>
      <c r="D15" s="24" t="s">
        <v>2258</v>
      </c>
      <c r="E15" s="24" t="s">
        <v>2258</v>
      </c>
      <c r="F15" s="76" t="s">
        <v>1341</v>
      </c>
      <c r="G15" s="76" t="s">
        <v>1932</v>
      </c>
      <c r="H15" s="71" t="s">
        <v>1419</v>
      </c>
      <c r="I15" s="71" t="s">
        <v>22</v>
      </c>
      <c r="J15" s="71" t="s">
        <v>1678</v>
      </c>
      <c r="K15" s="37" t="s">
        <v>448</v>
      </c>
      <c r="L15" s="37" t="s">
        <v>1639</v>
      </c>
      <c r="M15" s="37" t="s">
        <v>448</v>
      </c>
      <c r="N15" s="71" t="s">
        <v>102</v>
      </c>
      <c r="O15" s="76" t="s">
        <v>2266</v>
      </c>
      <c r="P15" s="37" t="s">
        <v>448</v>
      </c>
      <c r="Q15" s="71" t="s">
        <v>2207</v>
      </c>
      <c r="R15" s="71" t="s">
        <v>2207</v>
      </c>
      <c r="S15" s="181" t="s">
        <v>2775</v>
      </c>
      <c r="T15" s="37" t="s">
        <v>448</v>
      </c>
      <c r="U15" s="72" t="s">
        <v>2208</v>
      </c>
      <c r="V15" s="72">
        <v>2</v>
      </c>
      <c r="W15" s="37" t="s">
        <v>448</v>
      </c>
      <c r="X15" s="37" t="s">
        <v>448</v>
      </c>
      <c r="Y15" s="73">
        <v>65.676000000000002</v>
      </c>
      <c r="Z15" s="73">
        <v>38</v>
      </c>
      <c r="AA15" s="73">
        <v>103.676</v>
      </c>
      <c r="AB15" s="37" t="s">
        <v>448</v>
      </c>
      <c r="AC15" s="37" t="s">
        <v>448</v>
      </c>
      <c r="AD15" s="37" t="s">
        <v>448</v>
      </c>
    </row>
    <row r="16" spans="1:30" s="46" customFormat="1" ht="24.95" customHeight="1" x14ac:dyDescent="0.15">
      <c r="A16" s="40">
        <v>14</v>
      </c>
      <c r="B16" s="24" t="s">
        <v>3447</v>
      </c>
      <c r="C16" s="24" t="s">
        <v>2265</v>
      </c>
      <c r="D16" s="24" t="s">
        <v>2265</v>
      </c>
      <c r="E16" s="24" t="s">
        <v>2265</v>
      </c>
      <c r="F16" s="76" t="s">
        <v>1246</v>
      </c>
      <c r="G16" s="76" t="s">
        <v>1246</v>
      </c>
      <c r="H16" s="71" t="s">
        <v>94</v>
      </c>
      <c r="I16" s="71" t="s">
        <v>1540</v>
      </c>
      <c r="J16" s="71" t="s">
        <v>1694</v>
      </c>
      <c r="K16" s="37" t="s">
        <v>448</v>
      </c>
      <c r="L16" s="37" t="s">
        <v>2209</v>
      </c>
      <c r="M16" s="37" t="s">
        <v>448</v>
      </c>
      <c r="N16" s="71" t="s">
        <v>102</v>
      </c>
      <c r="O16" s="76" t="s">
        <v>2216</v>
      </c>
      <c r="P16" s="37" t="s">
        <v>448</v>
      </c>
      <c r="Q16" s="71" t="s">
        <v>2217</v>
      </c>
      <c r="R16" s="71" t="s">
        <v>2217</v>
      </c>
      <c r="S16" s="181" t="s">
        <v>2776</v>
      </c>
      <c r="T16" s="37" t="s">
        <v>448</v>
      </c>
      <c r="U16" s="72" t="s">
        <v>2208</v>
      </c>
      <c r="V16" s="72">
        <v>2</v>
      </c>
      <c r="W16" s="37" t="s">
        <v>448</v>
      </c>
      <c r="X16" s="37" t="s">
        <v>448</v>
      </c>
      <c r="Y16" s="73">
        <v>29.8</v>
      </c>
      <c r="Z16" s="73">
        <v>0</v>
      </c>
      <c r="AA16" s="73">
        <v>29.8</v>
      </c>
      <c r="AB16" s="37" t="s">
        <v>448</v>
      </c>
      <c r="AC16" s="37" t="s">
        <v>448</v>
      </c>
      <c r="AD16" s="37" t="s">
        <v>448</v>
      </c>
    </row>
    <row r="17" spans="1:30" s="46" customFormat="1" ht="24.95" customHeight="1" x14ac:dyDescent="0.15">
      <c r="A17" s="40">
        <v>15</v>
      </c>
      <c r="B17" s="24" t="s">
        <v>3448</v>
      </c>
      <c r="C17" s="24" t="s">
        <v>2265</v>
      </c>
      <c r="D17" s="24" t="s">
        <v>2265</v>
      </c>
      <c r="E17" s="24" t="s">
        <v>2265</v>
      </c>
      <c r="F17" s="76" t="s">
        <v>1246</v>
      </c>
      <c r="G17" s="76" t="s">
        <v>1246</v>
      </c>
      <c r="H17" s="71" t="s">
        <v>94</v>
      </c>
      <c r="I17" s="71" t="s">
        <v>1540</v>
      </c>
      <c r="J17" s="71" t="s">
        <v>1694</v>
      </c>
      <c r="K17" s="37" t="s">
        <v>448</v>
      </c>
      <c r="L17" s="37" t="s">
        <v>2209</v>
      </c>
      <c r="M17" s="37" t="s">
        <v>448</v>
      </c>
      <c r="N17" s="71" t="s">
        <v>102</v>
      </c>
      <c r="O17" s="76" t="s">
        <v>2270</v>
      </c>
      <c r="P17" s="37" t="s">
        <v>448</v>
      </c>
      <c r="Q17" s="71" t="s">
        <v>2217</v>
      </c>
      <c r="R17" s="71" t="s">
        <v>2217</v>
      </c>
      <c r="S17" s="181" t="s">
        <v>2777</v>
      </c>
      <c r="T17" s="37" t="s">
        <v>448</v>
      </c>
      <c r="U17" s="72" t="s">
        <v>2208</v>
      </c>
      <c r="V17" s="72">
        <v>2</v>
      </c>
      <c r="W17" s="37" t="s">
        <v>448</v>
      </c>
      <c r="X17" s="37" t="s">
        <v>448</v>
      </c>
      <c r="Y17" s="73">
        <v>0</v>
      </c>
      <c r="Z17" s="73">
        <v>29.5</v>
      </c>
      <c r="AA17" s="73">
        <v>29.5</v>
      </c>
      <c r="AB17" s="37" t="s">
        <v>448</v>
      </c>
      <c r="AC17" s="37" t="s">
        <v>448</v>
      </c>
      <c r="AD17" s="37" t="s">
        <v>448</v>
      </c>
    </row>
    <row r="18" spans="1:30" s="46" customFormat="1" ht="24.95" customHeight="1" x14ac:dyDescent="0.15">
      <c r="A18" s="40">
        <v>16</v>
      </c>
      <c r="B18" s="24" t="s">
        <v>3449</v>
      </c>
      <c r="C18" s="24" t="s">
        <v>2265</v>
      </c>
      <c r="D18" s="24" t="s">
        <v>2265</v>
      </c>
      <c r="E18" s="24" t="s">
        <v>2265</v>
      </c>
      <c r="F18" s="76" t="s">
        <v>1318</v>
      </c>
      <c r="G18" s="76" t="s">
        <v>1318</v>
      </c>
      <c r="H18" s="71" t="s">
        <v>1419</v>
      </c>
      <c r="I18" s="71" t="s">
        <v>993</v>
      </c>
      <c r="J18" s="71" t="s">
        <v>1672</v>
      </c>
      <c r="K18" s="37" t="s">
        <v>448</v>
      </c>
      <c r="L18" s="37" t="s">
        <v>1941</v>
      </c>
      <c r="M18" s="37" t="s">
        <v>448</v>
      </c>
      <c r="N18" s="71" t="s">
        <v>102</v>
      </c>
      <c r="O18" s="76" t="s">
        <v>2271</v>
      </c>
      <c r="P18" s="37" t="s">
        <v>448</v>
      </c>
      <c r="Q18" s="71" t="s">
        <v>2212</v>
      </c>
      <c r="R18" s="71" t="s">
        <v>2212</v>
      </c>
      <c r="S18" s="181" t="s">
        <v>2778</v>
      </c>
      <c r="T18" s="37" t="s">
        <v>448</v>
      </c>
      <c r="U18" s="72" t="s">
        <v>2213</v>
      </c>
      <c r="V18" s="72">
        <v>2</v>
      </c>
      <c r="W18" s="37" t="s">
        <v>448</v>
      </c>
      <c r="X18" s="37" t="s">
        <v>448</v>
      </c>
      <c r="Y18" s="73">
        <v>31.92</v>
      </c>
      <c r="Z18" s="73">
        <v>0</v>
      </c>
      <c r="AA18" s="73">
        <v>31.92</v>
      </c>
      <c r="AB18" s="37" t="s">
        <v>448</v>
      </c>
      <c r="AC18" s="37" t="s">
        <v>448</v>
      </c>
      <c r="AD18" s="37" t="s">
        <v>448</v>
      </c>
    </row>
    <row r="19" spans="1:30" s="46" customFormat="1" ht="24.95" customHeight="1" x14ac:dyDescent="0.15">
      <c r="A19" s="40">
        <v>17</v>
      </c>
      <c r="B19" s="24" t="s">
        <v>3450</v>
      </c>
      <c r="C19" s="24" t="s">
        <v>2272</v>
      </c>
      <c r="D19" s="24" t="s">
        <v>2272</v>
      </c>
      <c r="E19" s="24" t="s">
        <v>2272</v>
      </c>
      <c r="F19" s="76" t="s">
        <v>1392</v>
      </c>
      <c r="G19" s="76" t="s">
        <v>1392</v>
      </c>
      <c r="H19" s="71" t="s">
        <v>1487</v>
      </c>
      <c r="I19" s="71" t="s">
        <v>993</v>
      </c>
      <c r="J19" s="71" t="s">
        <v>892</v>
      </c>
      <c r="K19" s="37" t="s">
        <v>448</v>
      </c>
      <c r="L19" s="37" t="s">
        <v>2209</v>
      </c>
      <c r="M19" s="37" t="s">
        <v>448</v>
      </c>
      <c r="N19" s="71" t="s">
        <v>102</v>
      </c>
      <c r="O19" s="76" t="s">
        <v>2273</v>
      </c>
      <c r="P19" s="37" t="s">
        <v>448</v>
      </c>
      <c r="Q19" s="71" t="s">
        <v>2256</v>
      </c>
      <c r="R19" s="71" t="s">
        <v>2256</v>
      </c>
      <c r="S19" s="181" t="s">
        <v>2779</v>
      </c>
      <c r="T19" s="37" t="s">
        <v>448</v>
      </c>
      <c r="U19" s="72" t="s">
        <v>2208</v>
      </c>
      <c r="V19" s="72">
        <v>2</v>
      </c>
      <c r="W19" s="37" t="s">
        <v>448</v>
      </c>
      <c r="X19" s="37" t="s">
        <v>448</v>
      </c>
      <c r="Y19" s="73">
        <v>51</v>
      </c>
      <c r="Z19" s="73">
        <v>0</v>
      </c>
      <c r="AA19" s="73">
        <v>51</v>
      </c>
      <c r="AB19" s="37" t="s">
        <v>448</v>
      </c>
      <c r="AC19" s="37" t="s">
        <v>448</v>
      </c>
      <c r="AD19" s="37" t="s">
        <v>448</v>
      </c>
    </row>
    <row r="20" spans="1:30" s="46" customFormat="1" ht="24.95" customHeight="1" x14ac:dyDescent="0.15">
      <c r="A20" s="40">
        <v>18</v>
      </c>
      <c r="B20" s="24" t="s">
        <v>3451</v>
      </c>
      <c r="C20" s="24" t="s">
        <v>2265</v>
      </c>
      <c r="D20" s="24" t="s">
        <v>2265</v>
      </c>
      <c r="E20" s="24" t="s">
        <v>2265</v>
      </c>
      <c r="F20" s="76" t="s">
        <v>1348</v>
      </c>
      <c r="G20" s="76" t="s">
        <v>1348</v>
      </c>
      <c r="H20" s="71" t="s">
        <v>1912</v>
      </c>
      <c r="I20" s="71" t="s">
        <v>1540</v>
      </c>
      <c r="J20" s="71" t="s">
        <v>1642</v>
      </c>
      <c r="K20" s="37" t="s">
        <v>448</v>
      </c>
      <c r="L20" s="37" t="s">
        <v>2209</v>
      </c>
      <c r="M20" s="37" t="s">
        <v>448</v>
      </c>
      <c r="N20" s="71" t="s">
        <v>102</v>
      </c>
      <c r="O20" s="76" t="s">
        <v>2224</v>
      </c>
      <c r="P20" s="37" t="s">
        <v>448</v>
      </c>
      <c r="Q20" s="71" t="s">
        <v>2223</v>
      </c>
      <c r="R20" s="71" t="s">
        <v>2223</v>
      </c>
      <c r="S20" s="181" t="s">
        <v>2780</v>
      </c>
      <c r="T20" s="37" t="s">
        <v>448</v>
      </c>
      <c r="U20" s="72" t="s">
        <v>2274</v>
      </c>
      <c r="V20" s="72">
        <v>1</v>
      </c>
      <c r="W20" s="37" t="s">
        <v>448</v>
      </c>
      <c r="X20" s="37" t="s">
        <v>448</v>
      </c>
      <c r="Y20" s="73">
        <v>48.618000000000002</v>
      </c>
      <c r="Z20" s="73">
        <v>15.199</v>
      </c>
      <c r="AA20" s="73">
        <v>63.817</v>
      </c>
      <c r="AB20" s="37" t="s">
        <v>448</v>
      </c>
      <c r="AC20" s="37" t="s">
        <v>448</v>
      </c>
      <c r="AD20" s="37" t="s">
        <v>448</v>
      </c>
    </row>
    <row r="21" spans="1:30" s="46" customFormat="1" ht="24.95" customHeight="1" x14ac:dyDescent="0.15">
      <c r="A21" s="40">
        <v>19</v>
      </c>
      <c r="B21" s="24" t="s">
        <v>3452</v>
      </c>
      <c r="C21" s="24" t="s">
        <v>2265</v>
      </c>
      <c r="D21" s="24" t="s">
        <v>2265</v>
      </c>
      <c r="E21" s="24" t="s">
        <v>2265</v>
      </c>
      <c r="F21" s="76" t="s">
        <v>1939</v>
      </c>
      <c r="G21" s="76" t="s">
        <v>3169</v>
      </c>
      <c r="H21" s="71" t="s">
        <v>94</v>
      </c>
      <c r="I21" s="71" t="s">
        <v>819</v>
      </c>
      <c r="J21" s="71" t="s">
        <v>628</v>
      </c>
      <c r="K21" s="37" t="s">
        <v>448</v>
      </c>
      <c r="L21" s="37" t="s">
        <v>2189</v>
      </c>
      <c r="M21" s="37" t="s">
        <v>448</v>
      </c>
      <c r="N21" s="71" t="s">
        <v>102</v>
      </c>
      <c r="O21" s="76" t="s">
        <v>2275</v>
      </c>
      <c r="P21" s="37" t="s">
        <v>448</v>
      </c>
      <c r="Q21" s="71" t="s">
        <v>2191</v>
      </c>
      <c r="R21" s="71" t="s">
        <v>2191</v>
      </c>
      <c r="S21" s="181" t="s">
        <v>2781</v>
      </c>
      <c r="T21" s="37" t="s">
        <v>448</v>
      </c>
      <c r="U21" s="72" t="s">
        <v>2188</v>
      </c>
      <c r="V21" s="72">
        <v>1</v>
      </c>
      <c r="W21" s="37" t="s">
        <v>448</v>
      </c>
      <c r="X21" s="37" t="s">
        <v>448</v>
      </c>
      <c r="Y21" s="73">
        <v>32</v>
      </c>
      <c r="Z21" s="73">
        <v>16</v>
      </c>
      <c r="AA21" s="73">
        <v>48</v>
      </c>
      <c r="AB21" s="37" t="s">
        <v>448</v>
      </c>
      <c r="AC21" s="37" t="s">
        <v>448</v>
      </c>
      <c r="AD21" s="37" t="s">
        <v>448</v>
      </c>
    </row>
    <row r="22" spans="1:30" s="46" customFormat="1" ht="24.95" customHeight="1" x14ac:dyDescent="0.15">
      <c r="A22" s="40">
        <v>20</v>
      </c>
      <c r="B22" s="24" t="s">
        <v>3453</v>
      </c>
      <c r="C22" s="24" t="s">
        <v>2258</v>
      </c>
      <c r="D22" s="24" t="s">
        <v>2258</v>
      </c>
      <c r="E22" s="24" t="s">
        <v>2258</v>
      </c>
      <c r="F22" s="76" t="s">
        <v>1303</v>
      </c>
      <c r="G22" s="76" t="s">
        <v>3170</v>
      </c>
      <c r="H22" s="71" t="s">
        <v>94</v>
      </c>
      <c r="I22" s="71" t="s">
        <v>1416</v>
      </c>
      <c r="J22" s="71" t="s">
        <v>1667</v>
      </c>
      <c r="K22" s="37" t="s">
        <v>448</v>
      </c>
      <c r="L22" s="37" t="s">
        <v>2200</v>
      </c>
      <c r="M22" s="37" t="s">
        <v>448</v>
      </c>
      <c r="N22" s="71" t="s">
        <v>102</v>
      </c>
      <c r="O22" s="76" t="s">
        <v>2276</v>
      </c>
      <c r="P22" s="37" t="s">
        <v>448</v>
      </c>
      <c r="Q22" s="71" t="s">
        <v>2198</v>
      </c>
      <c r="R22" s="71" t="s">
        <v>2198</v>
      </c>
      <c r="S22" s="181" t="s">
        <v>2782</v>
      </c>
      <c r="T22" s="37" t="s">
        <v>448</v>
      </c>
      <c r="U22" s="72" t="s">
        <v>2199</v>
      </c>
      <c r="V22" s="72">
        <v>2</v>
      </c>
      <c r="W22" s="37" t="s">
        <v>448</v>
      </c>
      <c r="X22" s="37" t="s">
        <v>448</v>
      </c>
      <c r="Y22" s="73">
        <v>48.5</v>
      </c>
      <c r="Z22" s="73">
        <v>0</v>
      </c>
      <c r="AA22" s="73">
        <v>48.5</v>
      </c>
      <c r="AB22" s="37" t="s">
        <v>448</v>
      </c>
      <c r="AC22" s="37" t="s">
        <v>448</v>
      </c>
      <c r="AD22" s="37" t="s">
        <v>448</v>
      </c>
    </row>
    <row r="23" spans="1:30" s="46" customFormat="1" ht="24.95" customHeight="1" x14ac:dyDescent="0.15">
      <c r="A23" s="40">
        <v>21</v>
      </c>
      <c r="B23" s="24" t="s">
        <v>3454</v>
      </c>
      <c r="C23" s="24" t="s">
        <v>2277</v>
      </c>
      <c r="D23" s="24" t="s">
        <v>2277</v>
      </c>
      <c r="E23" s="24" t="s">
        <v>2277</v>
      </c>
      <c r="F23" s="76" t="s">
        <v>1933</v>
      </c>
      <c r="G23" s="76" t="s">
        <v>3169</v>
      </c>
      <c r="H23" s="71" t="s">
        <v>1487</v>
      </c>
      <c r="I23" s="71" t="s">
        <v>22</v>
      </c>
      <c r="J23" s="71" t="s">
        <v>1914</v>
      </c>
      <c r="K23" s="37" t="s">
        <v>448</v>
      </c>
      <c r="L23" s="37" t="s">
        <v>2200</v>
      </c>
      <c r="M23" s="37" t="s">
        <v>448</v>
      </c>
      <c r="N23" s="71" t="s">
        <v>102</v>
      </c>
      <c r="O23" s="76" t="s">
        <v>2278</v>
      </c>
      <c r="P23" s="37" t="s">
        <v>448</v>
      </c>
      <c r="Q23" s="71" t="s">
        <v>2198</v>
      </c>
      <c r="R23" s="71" t="s">
        <v>2198</v>
      </c>
      <c r="S23" s="181" t="s">
        <v>2783</v>
      </c>
      <c r="T23" s="37" t="s">
        <v>448</v>
      </c>
      <c r="U23" s="72" t="s">
        <v>2199</v>
      </c>
      <c r="V23" s="72">
        <v>1</v>
      </c>
      <c r="W23" s="37" t="s">
        <v>448</v>
      </c>
      <c r="X23" s="37" t="s">
        <v>448</v>
      </c>
      <c r="Y23" s="73">
        <v>59.3</v>
      </c>
      <c r="Z23" s="73">
        <v>32</v>
      </c>
      <c r="AA23" s="73">
        <v>91.3</v>
      </c>
      <c r="AB23" s="37" t="s">
        <v>448</v>
      </c>
      <c r="AC23" s="37" t="s">
        <v>448</v>
      </c>
      <c r="AD23" s="37" t="s">
        <v>448</v>
      </c>
    </row>
    <row r="24" spans="1:30" s="46" customFormat="1" ht="24.95" customHeight="1" x14ac:dyDescent="0.15">
      <c r="A24" s="40">
        <v>22</v>
      </c>
      <c r="B24" s="24" t="s">
        <v>3455</v>
      </c>
      <c r="C24" s="24" t="s">
        <v>2277</v>
      </c>
      <c r="D24" s="24" t="s">
        <v>2277</v>
      </c>
      <c r="E24" s="24" t="s">
        <v>2277</v>
      </c>
      <c r="F24" s="76" t="s">
        <v>1940</v>
      </c>
      <c r="G24" s="76" t="s">
        <v>3171</v>
      </c>
      <c r="H24" s="71" t="s">
        <v>1419</v>
      </c>
      <c r="I24" s="71" t="s">
        <v>1540</v>
      </c>
      <c r="J24" s="71" t="s">
        <v>1915</v>
      </c>
      <c r="K24" s="37" t="s">
        <v>448</v>
      </c>
      <c r="L24" s="37" t="s">
        <v>2214</v>
      </c>
      <c r="M24" s="37" t="s">
        <v>448</v>
      </c>
      <c r="N24" s="71" t="s">
        <v>102</v>
      </c>
      <c r="O24" s="76" t="s">
        <v>2279</v>
      </c>
      <c r="P24" s="37" t="s">
        <v>448</v>
      </c>
      <c r="Q24" s="71" t="s">
        <v>2212</v>
      </c>
      <c r="R24" s="71" t="s">
        <v>2212</v>
      </c>
      <c r="S24" s="181" t="s">
        <v>2784</v>
      </c>
      <c r="T24" s="37" t="s">
        <v>448</v>
      </c>
      <c r="U24" s="72" t="s">
        <v>2213</v>
      </c>
      <c r="V24" s="72">
        <v>1</v>
      </c>
      <c r="W24" s="37" t="s">
        <v>448</v>
      </c>
      <c r="X24" s="37" t="s">
        <v>448</v>
      </c>
      <c r="Y24" s="73">
        <v>26</v>
      </c>
      <c r="Z24" s="73">
        <v>14.8</v>
      </c>
      <c r="AA24" s="73">
        <v>40.799999999999997</v>
      </c>
      <c r="AB24" s="37" t="s">
        <v>448</v>
      </c>
      <c r="AC24" s="37" t="s">
        <v>448</v>
      </c>
      <c r="AD24" s="37" t="s">
        <v>448</v>
      </c>
    </row>
    <row r="25" spans="1:30" s="46" customFormat="1" ht="24.95" customHeight="1" x14ac:dyDescent="0.15">
      <c r="A25" s="40">
        <v>23</v>
      </c>
      <c r="B25" s="24" t="s">
        <v>3456</v>
      </c>
      <c r="C25" s="24" t="s">
        <v>2272</v>
      </c>
      <c r="D25" s="24" t="s">
        <v>2272</v>
      </c>
      <c r="E25" s="24" t="s">
        <v>2272</v>
      </c>
      <c r="F25" s="76" t="s">
        <v>1394</v>
      </c>
      <c r="G25" s="76" t="s">
        <v>3172</v>
      </c>
      <c r="H25" s="71" t="s">
        <v>1487</v>
      </c>
      <c r="I25" s="71" t="s">
        <v>993</v>
      </c>
      <c r="J25" s="71" t="s">
        <v>1724</v>
      </c>
      <c r="K25" s="37" t="s">
        <v>448</v>
      </c>
      <c r="L25" s="37" t="s">
        <v>2255</v>
      </c>
      <c r="M25" s="37" t="s">
        <v>448</v>
      </c>
      <c r="N25" s="71" t="s">
        <v>102</v>
      </c>
      <c r="O25" s="76" t="s">
        <v>2280</v>
      </c>
      <c r="P25" s="37" t="s">
        <v>448</v>
      </c>
      <c r="Q25" s="71" t="s">
        <v>2253</v>
      </c>
      <c r="R25" s="71" t="s">
        <v>2253</v>
      </c>
      <c r="S25" s="181" t="s">
        <v>2785</v>
      </c>
      <c r="T25" s="37" t="s">
        <v>448</v>
      </c>
      <c r="U25" s="72" t="s">
        <v>2254</v>
      </c>
      <c r="V25" s="72">
        <v>1</v>
      </c>
      <c r="W25" s="37" t="s">
        <v>448</v>
      </c>
      <c r="X25" s="37" t="s">
        <v>448</v>
      </c>
      <c r="Y25" s="73">
        <v>51</v>
      </c>
      <c r="Z25" s="73">
        <v>0</v>
      </c>
      <c r="AA25" s="73">
        <v>51</v>
      </c>
      <c r="AB25" s="37" t="s">
        <v>448</v>
      </c>
      <c r="AC25" s="37" t="s">
        <v>448</v>
      </c>
      <c r="AD25" s="37" t="s">
        <v>448</v>
      </c>
    </row>
    <row r="26" spans="1:30" s="46" customFormat="1" ht="24.95" customHeight="1" x14ac:dyDescent="0.15">
      <c r="A26" s="40">
        <v>24</v>
      </c>
      <c r="B26" s="24" t="s">
        <v>3457</v>
      </c>
      <c r="C26" s="24" t="s">
        <v>2281</v>
      </c>
      <c r="D26" s="24" t="s">
        <v>2281</v>
      </c>
      <c r="E26" s="24" t="s">
        <v>2281</v>
      </c>
      <c r="F26" s="76" t="s">
        <v>1361</v>
      </c>
      <c r="G26" s="76" t="s">
        <v>3165</v>
      </c>
      <c r="H26" s="71" t="s">
        <v>94</v>
      </c>
      <c r="I26" s="71" t="s">
        <v>1895</v>
      </c>
      <c r="J26" s="71" t="s">
        <v>3148</v>
      </c>
      <c r="K26" s="37" t="s">
        <v>448</v>
      </c>
      <c r="L26" s="37" t="s">
        <v>2189</v>
      </c>
      <c r="M26" s="37" t="s">
        <v>448</v>
      </c>
      <c r="N26" s="71" t="s">
        <v>102</v>
      </c>
      <c r="O26" s="76" t="s">
        <v>2267</v>
      </c>
      <c r="P26" s="37" t="s">
        <v>448</v>
      </c>
      <c r="Q26" s="71" t="s">
        <v>2191</v>
      </c>
      <c r="R26" s="71" t="s">
        <v>2191</v>
      </c>
      <c r="S26" s="180" t="s">
        <v>2786</v>
      </c>
      <c r="T26" s="37" t="s">
        <v>448</v>
      </c>
      <c r="U26" s="72" t="s">
        <v>2188</v>
      </c>
      <c r="V26" s="72">
        <v>1</v>
      </c>
      <c r="W26" s="37" t="s">
        <v>448</v>
      </c>
      <c r="X26" s="37" t="s">
        <v>448</v>
      </c>
      <c r="Y26" s="73">
        <v>120</v>
      </c>
      <c r="Z26" s="73">
        <v>135</v>
      </c>
      <c r="AA26" s="73">
        <v>255</v>
      </c>
      <c r="AB26" s="37" t="s">
        <v>448</v>
      </c>
      <c r="AC26" s="37" t="s">
        <v>448</v>
      </c>
      <c r="AD26" s="37" t="s">
        <v>448</v>
      </c>
    </row>
    <row r="27" spans="1:30" s="46" customFormat="1" ht="24.95" customHeight="1" x14ac:dyDescent="0.15">
      <c r="A27" s="40">
        <v>25</v>
      </c>
      <c r="B27" s="24" t="s">
        <v>3458</v>
      </c>
      <c r="C27" s="24" t="s">
        <v>2258</v>
      </c>
      <c r="D27" s="24" t="s">
        <v>2258</v>
      </c>
      <c r="E27" s="24" t="s">
        <v>2258</v>
      </c>
      <c r="F27" s="76" t="s">
        <v>1934</v>
      </c>
      <c r="G27" s="76" t="s">
        <v>3165</v>
      </c>
      <c r="H27" s="71" t="s">
        <v>94</v>
      </c>
      <c r="I27" s="71" t="s">
        <v>1895</v>
      </c>
      <c r="J27" s="71" t="s">
        <v>1917</v>
      </c>
      <c r="K27" s="37" t="s">
        <v>448</v>
      </c>
      <c r="L27" s="37" t="s">
        <v>2209</v>
      </c>
      <c r="M27" s="37" t="s">
        <v>448</v>
      </c>
      <c r="N27" s="71" t="s">
        <v>102</v>
      </c>
      <c r="O27" s="76" t="s">
        <v>2266</v>
      </c>
      <c r="P27" s="37" t="s">
        <v>448</v>
      </c>
      <c r="Q27" s="71" t="s">
        <v>2207</v>
      </c>
      <c r="R27" s="71" t="s">
        <v>2207</v>
      </c>
      <c r="S27" s="180" t="s">
        <v>2786</v>
      </c>
      <c r="T27" s="37" t="s">
        <v>448</v>
      </c>
      <c r="U27" s="72" t="s">
        <v>2208</v>
      </c>
      <c r="V27" s="72">
        <v>1</v>
      </c>
      <c r="W27" s="37" t="s">
        <v>448</v>
      </c>
      <c r="X27" s="37" t="s">
        <v>448</v>
      </c>
      <c r="Y27" s="73">
        <v>40</v>
      </c>
      <c r="Z27" s="73">
        <v>45</v>
      </c>
      <c r="AA27" s="73">
        <v>85</v>
      </c>
      <c r="AB27" s="37" t="s">
        <v>448</v>
      </c>
      <c r="AC27" s="37" t="s">
        <v>448</v>
      </c>
      <c r="AD27" s="37" t="s">
        <v>448</v>
      </c>
    </row>
    <row r="28" spans="1:30" s="46" customFormat="1" ht="24.95" customHeight="1" x14ac:dyDescent="0.15">
      <c r="A28" s="40">
        <v>26</v>
      </c>
      <c r="B28" s="24" t="s">
        <v>3459</v>
      </c>
      <c r="C28" s="24" t="s">
        <v>2265</v>
      </c>
      <c r="D28" s="24" t="s">
        <v>2265</v>
      </c>
      <c r="E28" s="24" t="s">
        <v>2265</v>
      </c>
      <c r="F28" s="76" t="s">
        <v>1935</v>
      </c>
      <c r="G28" s="76" t="s">
        <v>3165</v>
      </c>
      <c r="H28" s="71" t="s">
        <v>94</v>
      </c>
      <c r="I28" s="71" t="s">
        <v>1895</v>
      </c>
      <c r="J28" s="71" t="s">
        <v>3173</v>
      </c>
      <c r="K28" s="37" t="s">
        <v>448</v>
      </c>
      <c r="L28" s="37" t="s">
        <v>2234</v>
      </c>
      <c r="M28" s="37" t="s">
        <v>448</v>
      </c>
      <c r="N28" s="71" t="s">
        <v>102</v>
      </c>
      <c r="O28" s="76" t="s">
        <v>2282</v>
      </c>
      <c r="P28" s="37" t="s">
        <v>448</v>
      </c>
      <c r="Q28" s="71" t="s">
        <v>2232</v>
      </c>
      <c r="R28" s="71" t="s">
        <v>2232</v>
      </c>
      <c r="S28" s="180" t="s">
        <v>2786</v>
      </c>
      <c r="T28" s="37" t="s">
        <v>448</v>
      </c>
      <c r="U28" s="72" t="s">
        <v>2233</v>
      </c>
      <c r="V28" s="72">
        <v>1</v>
      </c>
      <c r="W28" s="37" t="s">
        <v>448</v>
      </c>
      <c r="X28" s="37" t="s">
        <v>448</v>
      </c>
      <c r="Y28" s="73">
        <v>40</v>
      </c>
      <c r="Z28" s="73">
        <v>45</v>
      </c>
      <c r="AA28" s="73">
        <v>85</v>
      </c>
      <c r="AB28" s="37" t="s">
        <v>448</v>
      </c>
      <c r="AC28" s="37" t="s">
        <v>448</v>
      </c>
      <c r="AD28" s="37" t="s">
        <v>448</v>
      </c>
    </row>
    <row r="29" spans="1:30" s="46" customFormat="1" ht="24.95" customHeight="1" x14ac:dyDescent="0.15">
      <c r="A29" s="40">
        <v>27</v>
      </c>
      <c r="B29" s="24" t="s">
        <v>3460</v>
      </c>
      <c r="C29" s="24" t="s">
        <v>2283</v>
      </c>
      <c r="D29" s="24" t="s">
        <v>2283</v>
      </c>
      <c r="E29" s="24" t="s">
        <v>2283</v>
      </c>
      <c r="F29" s="76" t="s">
        <v>1168</v>
      </c>
      <c r="G29" s="76" t="s">
        <v>3174</v>
      </c>
      <c r="H29" s="71" t="s">
        <v>94</v>
      </c>
      <c r="I29" s="71" t="s">
        <v>112</v>
      </c>
      <c r="J29" s="71" t="s">
        <v>1663</v>
      </c>
      <c r="K29" s="37" t="s">
        <v>448</v>
      </c>
      <c r="L29" s="37" t="s">
        <v>2209</v>
      </c>
      <c r="M29" s="37" t="s">
        <v>448</v>
      </c>
      <c r="N29" s="71" t="s">
        <v>102</v>
      </c>
      <c r="O29" s="76" t="s">
        <v>2284</v>
      </c>
      <c r="P29" s="37" t="s">
        <v>448</v>
      </c>
      <c r="Q29" s="71" t="s">
        <v>2217</v>
      </c>
      <c r="R29" s="71" t="s">
        <v>2217</v>
      </c>
      <c r="S29" s="180" t="s">
        <v>2787</v>
      </c>
      <c r="T29" s="37" t="s">
        <v>448</v>
      </c>
      <c r="U29" s="72" t="s">
        <v>2208</v>
      </c>
      <c r="V29" s="72">
        <v>1</v>
      </c>
      <c r="W29" s="37" t="s">
        <v>448</v>
      </c>
      <c r="X29" s="37" t="s">
        <v>448</v>
      </c>
      <c r="Y29" s="73">
        <v>0</v>
      </c>
      <c r="Z29" s="73">
        <v>45</v>
      </c>
      <c r="AA29" s="73">
        <v>45</v>
      </c>
      <c r="AB29" s="37" t="s">
        <v>448</v>
      </c>
      <c r="AC29" s="37" t="s">
        <v>448</v>
      </c>
      <c r="AD29" s="37" t="s">
        <v>448</v>
      </c>
    </row>
    <row r="30" spans="1:30" s="46" customFormat="1" ht="24.95" customHeight="1" x14ac:dyDescent="0.15">
      <c r="A30" s="40">
        <v>28</v>
      </c>
      <c r="B30" s="24" t="s">
        <v>3461</v>
      </c>
      <c r="C30" s="24" t="s">
        <v>2265</v>
      </c>
      <c r="D30" s="24" t="s">
        <v>2265</v>
      </c>
      <c r="E30" s="24" t="s">
        <v>2265</v>
      </c>
      <c r="F30" s="76" t="s">
        <v>1166</v>
      </c>
      <c r="G30" s="76" t="s">
        <v>3175</v>
      </c>
      <c r="H30" s="71" t="s">
        <v>94</v>
      </c>
      <c r="I30" s="71" t="s">
        <v>112</v>
      </c>
      <c r="J30" s="71" t="s">
        <v>527</v>
      </c>
      <c r="K30" s="37" t="s">
        <v>448</v>
      </c>
      <c r="L30" s="37" t="s">
        <v>2260</v>
      </c>
      <c r="M30" s="37" t="s">
        <v>448</v>
      </c>
      <c r="N30" s="71" t="s">
        <v>102</v>
      </c>
      <c r="O30" s="76" t="s">
        <v>2285</v>
      </c>
      <c r="P30" s="37" t="s">
        <v>448</v>
      </c>
      <c r="Q30" s="71" t="s">
        <v>2262</v>
      </c>
      <c r="R30" s="71" t="s">
        <v>2262</v>
      </c>
      <c r="S30" s="180" t="s">
        <v>2788</v>
      </c>
      <c r="T30" s="37" t="s">
        <v>448</v>
      </c>
      <c r="U30" s="72" t="s">
        <v>2263</v>
      </c>
      <c r="V30" s="72">
        <v>1</v>
      </c>
      <c r="W30" s="37" t="s">
        <v>448</v>
      </c>
      <c r="X30" s="37" t="s">
        <v>448</v>
      </c>
      <c r="Y30" s="73">
        <v>0</v>
      </c>
      <c r="Z30" s="73">
        <v>45</v>
      </c>
      <c r="AA30" s="73">
        <v>45</v>
      </c>
      <c r="AB30" s="37" t="s">
        <v>448</v>
      </c>
      <c r="AC30" s="37" t="s">
        <v>448</v>
      </c>
      <c r="AD30" s="37" t="s">
        <v>448</v>
      </c>
    </row>
    <row r="31" spans="1:30" s="46" customFormat="1" ht="24.95" customHeight="1" x14ac:dyDescent="0.15">
      <c r="A31" s="40">
        <v>29</v>
      </c>
      <c r="B31" s="24" t="s">
        <v>3462</v>
      </c>
      <c r="C31" s="24" t="s">
        <v>2264</v>
      </c>
      <c r="D31" s="24" t="s">
        <v>2264</v>
      </c>
      <c r="E31" s="24" t="s">
        <v>2264</v>
      </c>
      <c r="F31" s="76" t="s">
        <v>1936</v>
      </c>
      <c r="G31" s="76" t="s">
        <v>3176</v>
      </c>
      <c r="H31" s="71" t="s">
        <v>1919</v>
      </c>
      <c r="I31" s="71" t="s">
        <v>1540</v>
      </c>
      <c r="J31" s="71" t="s">
        <v>1920</v>
      </c>
      <c r="K31" s="37" t="s">
        <v>448</v>
      </c>
      <c r="L31" s="78" t="s">
        <v>1942</v>
      </c>
      <c r="M31" s="37" t="s">
        <v>448</v>
      </c>
      <c r="N31" s="71" t="s">
        <v>1921</v>
      </c>
      <c r="O31" s="76" t="s">
        <v>1921</v>
      </c>
      <c r="P31" s="37" t="s">
        <v>448</v>
      </c>
      <c r="Q31" s="71" t="s">
        <v>2286</v>
      </c>
      <c r="R31" s="71" t="s">
        <v>2286</v>
      </c>
      <c r="S31" s="181" t="s">
        <v>2789</v>
      </c>
      <c r="T31" s="37" t="s">
        <v>448</v>
      </c>
      <c r="U31" s="72" t="s">
        <v>2287</v>
      </c>
      <c r="V31" s="72">
        <v>1</v>
      </c>
      <c r="W31" s="37" t="s">
        <v>448</v>
      </c>
      <c r="X31" s="37" t="s">
        <v>448</v>
      </c>
      <c r="Y31" s="73">
        <v>264.5188</v>
      </c>
      <c r="Z31" s="73">
        <v>0</v>
      </c>
      <c r="AA31" s="73">
        <v>264.5188</v>
      </c>
      <c r="AB31" s="37" t="s">
        <v>448</v>
      </c>
      <c r="AC31" s="37" t="s">
        <v>448</v>
      </c>
      <c r="AD31" s="37" t="s">
        <v>448</v>
      </c>
    </row>
    <row r="32" spans="1:30" s="46" customFormat="1" ht="24.95" customHeight="1" x14ac:dyDescent="0.15">
      <c r="A32" s="40">
        <v>30</v>
      </c>
      <c r="B32" s="24" t="s">
        <v>3463</v>
      </c>
      <c r="C32" s="24" t="s">
        <v>2288</v>
      </c>
      <c r="D32" s="24" t="s">
        <v>2288</v>
      </c>
      <c r="E32" s="24" t="s">
        <v>2288</v>
      </c>
      <c r="F32" s="76" t="s">
        <v>1318</v>
      </c>
      <c r="G32" s="76" t="s">
        <v>3161</v>
      </c>
      <c r="H32" s="71" t="s">
        <v>1419</v>
      </c>
      <c r="I32" s="71" t="s">
        <v>993</v>
      </c>
      <c r="J32" s="71" t="s">
        <v>1672</v>
      </c>
      <c r="K32" s="37" t="s">
        <v>448</v>
      </c>
      <c r="L32" s="78" t="s">
        <v>1943</v>
      </c>
      <c r="M32" s="37" t="s">
        <v>448</v>
      </c>
      <c r="N32" s="71" t="s">
        <v>102</v>
      </c>
      <c r="O32" s="76" t="s">
        <v>1743</v>
      </c>
      <c r="P32" s="37" t="s">
        <v>448</v>
      </c>
      <c r="Q32" s="71" t="s">
        <v>2289</v>
      </c>
      <c r="R32" s="71" t="s">
        <v>2289</v>
      </c>
      <c r="S32" s="180" t="s">
        <v>2790</v>
      </c>
      <c r="T32" s="37" t="s">
        <v>448</v>
      </c>
      <c r="U32" s="72" t="s">
        <v>2290</v>
      </c>
      <c r="V32" s="72">
        <v>1</v>
      </c>
      <c r="W32" s="37" t="s">
        <v>448</v>
      </c>
      <c r="X32" s="37" t="s">
        <v>448</v>
      </c>
      <c r="Y32" s="73">
        <v>20</v>
      </c>
      <c r="Z32" s="73">
        <v>0</v>
      </c>
      <c r="AA32" s="73">
        <v>20</v>
      </c>
      <c r="AB32" s="37" t="s">
        <v>448</v>
      </c>
      <c r="AC32" s="37" t="s">
        <v>448</v>
      </c>
      <c r="AD32" s="37" t="s">
        <v>448</v>
      </c>
    </row>
    <row r="33" spans="1:30" s="46" customFormat="1" ht="24.95" customHeight="1" x14ac:dyDescent="0.15">
      <c r="A33" s="40">
        <v>31</v>
      </c>
      <c r="B33" s="24" t="s">
        <v>3464</v>
      </c>
      <c r="C33" s="24" t="s">
        <v>2291</v>
      </c>
      <c r="D33" s="24" t="s">
        <v>2291</v>
      </c>
      <c r="E33" s="24" t="s">
        <v>2291</v>
      </c>
      <c r="F33" s="76" t="s">
        <v>1937</v>
      </c>
      <c r="G33" s="76" t="s">
        <v>3177</v>
      </c>
      <c r="H33" s="71" t="s">
        <v>1923</v>
      </c>
      <c r="I33" s="71" t="s">
        <v>1922</v>
      </c>
      <c r="J33" s="71" t="s">
        <v>1924</v>
      </c>
      <c r="K33" s="37" t="s">
        <v>448</v>
      </c>
      <c r="L33" s="37" t="s">
        <v>2292</v>
      </c>
      <c r="M33" s="37" t="s">
        <v>448</v>
      </c>
      <c r="N33" s="71" t="s">
        <v>102</v>
      </c>
      <c r="O33" s="76" t="s">
        <v>2293</v>
      </c>
      <c r="P33" s="37" t="s">
        <v>448</v>
      </c>
      <c r="Q33" s="71" t="s">
        <v>2294</v>
      </c>
      <c r="R33" s="71" t="s">
        <v>2294</v>
      </c>
      <c r="S33" s="181" t="s">
        <v>2791</v>
      </c>
      <c r="T33" s="37" t="s">
        <v>448</v>
      </c>
      <c r="U33" s="72" t="s">
        <v>2295</v>
      </c>
      <c r="V33" s="72">
        <v>2</v>
      </c>
      <c r="W33" s="37" t="s">
        <v>448</v>
      </c>
      <c r="X33" s="37" t="s">
        <v>448</v>
      </c>
      <c r="Y33" s="73">
        <v>29.2</v>
      </c>
      <c r="Z33" s="73">
        <v>13.8</v>
      </c>
      <c r="AA33" s="73">
        <v>43</v>
      </c>
      <c r="AB33" s="37" t="s">
        <v>448</v>
      </c>
      <c r="AC33" s="37" t="s">
        <v>448</v>
      </c>
      <c r="AD33" s="37" t="s">
        <v>448</v>
      </c>
    </row>
    <row r="34" spans="1:30" s="46" customFormat="1" ht="24.95" customHeight="1" x14ac:dyDescent="0.15">
      <c r="A34" s="40">
        <v>32</v>
      </c>
      <c r="B34" s="24" t="s">
        <v>3465</v>
      </c>
      <c r="C34" s="24" t="s">
        <v>2296</v>
      </c>
      <c r="D34" s="24" t="s">
        <v>2296</v>
      </c>
      <c r="E34" s="24" t="s">
        <v>2296</v>
      </c>
      <c r="F34" s="76" t="s">
        <v>1161</v>
      </c>
      <c r="G34" s="76" t="s">
        <v>3178</v>
      </c>
      <c r="H34" s="71" t="s">
        <v>94</v>
      </c>
      <c r="I34" s="71" t="s">
        <v>112</v>
      </c>
      <c r="J34" s="71" t="s">
        <v>1661</v>
      </c>
      <c r="K34" s="37" t="s">
        <v>448</v>
      </c>
      <c r="L34" s="37" t="s">
        <v>2189</v>
      </c>
      <c r="M34" s="37" t="s">
        <v>448</v>
      </c>
      <c r="N34" s="71" t="s">
        <v>102</v>
      </c>
      <c r="O34" s="76" t="s">
        <v>2220</v>
      </c>
      <c r="P34" s="37" t="s">
        <v>448</v>
      </c>
      <c r="Q34" s="71" t="s">
        <v>2187</v>
      </c>
      <c r="R34" s="71" t="s">
        <v>2187</v>
      </c>
      <c r="S34" s="180" t="s">
        <v>2792</v>
      </c>
      <c r="T34" s="37" t="s">
        <v>448</v>
      </c>
      <c r="U34" s="72" t="s">
        <v>2195</v>
      </c>
      <c r="V34" s="72">
        <v>1</v>
      </c>
      <c r="W34" s="37" t="s">
        <v>448</v>
      </c>
      <c r="X34" s="37" t="s">
        <v>448</v>
      </c>
      <c r="Y34" s="73">
        <v>58</v>
      </c>
      <c r="Z34" s="73">
        <v>0</v>
      </c>
      <c r="AA34" s="73">
        <v>58</v>
      </c>
      <c r="AB34" s="37" t="s">
        <v>448</v>
      </c>
      <c r="AC34" s="37" t="s">
        <v>448</v>
      </c>
      <c r="AD34" s="37" t="s">
        <v>448</v>
      </c>
    </row>
    <row r="35" spans="1:30" s="46" customFormat="1" ht="24.95" customHeight="1" x14ac:dyDescent="0.15">
      <c r="A35" s="40">
        <v>33</v>
      </c>
      <c r="B35" s="24" t="s">
        <v>3466</v>
      </c>
      <c r="C35" s="24" t="s">
        <v>2258</v>
      </c>
      <c r="D35" s="24" t="s">
        <v>2258</v>
      </c>
      <c r="E35" s="24" t="s">
        <v>2258</v>
      </c>
      <c r="F35" s="76" t="s">
        <v>1161</v>
      </c>
      <c r="G35" s="76" t="s">
        <v>3178</v>
      </c>
      <c r="H35" s="71" t="s">
        <v>94</v>
      </c>
      <c r="I35" s="71" t="s">
        <v>112</v>
      </c>
      <c r="J35" s="71" t="s">
        <v>1662</v>
      </c>
      <c r="K35" s="37" t="s">
        <v>448</v>
      </c>
      <c r="L35" s="37" t="s">
        <v>2189</v>
      </c>
      <c r="M35" s="37" t="s">
        <v>448</v>
      </c>
      <c r="N35" s="71" t="s">
        <v>102</v>
      </c>
      <c r="O35" s="76" t="s">
        <v>2220</v>
      </c>
      <c r="P35" s="37" t="s">
        <v>448</v>
      </c>
      <c r="Q35" s="71" t="s">
        <v>2187</v>
      </c>
      <c r="R35" s="71" t="s">
        <v>2187</v>
      </c>
      <c r="S35" s="180" t="s">
        <v>2792</v>
      </c>
      <c r="T35" s="37" t="s">
        <v>448</v>
      </c>
      <c r="U35" s="72" t="s">
        <v>2195</v>
      </c>
      <c r="V35" s="72">
        <v>1</v>
      </c>
      <c r="W35" s="37" t="s">
        <v>448</v>
      </c>
      <c r="X35" s="37" t="s">
        <v>448</v>
      </c>
      <c r="Y35" s="73">
        <v>56</v>
      </c>
      <c r="Z35" s="73">
        <v>0</v>
      </c>
      <c r="AA35" s="73">
        <v>56</v>
      </c>
      <c r="AB35" s="37" t="s">
        <v>448</v>
      </c>
      <c r="AC35" s="37" t="s">
        <v>448</v>
      </c>
      <c r="AD35" s="37" t="s">
        <v>448</v>
      </c>
    </row>
    <row r="36" spans="1:30" s="46" customFormat="1" ht="24.95" customHeight="1" x14ac:dyDescent="0.15">
      <c r="A36" s="40">
        <v>34</v>
      </c>
      <c r="B36" s="24" t="s">
        <v>3467</v>
      </c>
      <c r="C36" s="24" t="s">
        <v>2258</v>
      </c>
      <c r="D36" s="24" t="s">
        <v>2258</v>
      </c>
      <c r="E36" s="24" t="s">
        <v>2258</v>
      </c>
      <c r="F36" s="76" t="s">
        <v>1164</v>
      </c>
      <c r="G36" s="76" t="s">
        <v>3178</v>
      </c>
      <c r="H36" s="71" t="s">
        <v>94</v>
      </c>
      <c r="I36" s="71" t="s">
        <v>112</v>
      </c>
      <c r="J36" s="71" t="s">
        <v>531</v>
      </c>
      <c r="K36" s="37" t="s">
        <v>448</v>
      </c>
      <c r="L36" s="37" t="s">
        <v>2209</v>
      </c>
      <c r="M36" s="37" t="s">
        <v>448</v>
      </c>
      <c r="N36" s="71" t="s">
        <v>102</v>
      </c>
      <c r="O36" s="76" t="s">
        <v>2221</v>
      </c>
      <c r="P36" s="37" t="s">
        <v>448</v>
      </c>
      <c r="Q36" s="71" t="s">
        <v>2217</v>
      </c>
      <c r="R36" s="71" t="s">
        <v>2217</v>
      </c>
      <c r="S36" s="180" t="s">
        <v>2793</v>
      </c>
      <c r="T36" s="37" t="s">
        <v>448</v>
      </c>
      <c r="U36" s="72" t="s">
        <v>2274</v>
      </c>
      <c r="V36" s="72">
        <v>1</v>
      </c>
      <c r="W36" s="37" t="s">
        <v>448</v>
      </c>
      <c r="X36" s="37" t="s">
        <v>448</v>
      </c>
      <c r="Y36" s="73">
        <v>70</v>
      </c>
      <c r="Z36" s="73">
        <v>0</v>
      </c>
      <c r="AA36" s="73">
        <v>70</v>
      </c>
      <c r="AB36" s="37" t="s">
        <v>448</v>
      </c>
      <c r="AC36" s="37" t="s">
        <v>448</v>
      </c>
      <c r="AD36" s="37" t="s">
        <v>448</v>
      </c>
    </row>
    <row r="37" spans="1:30" s="46" customFormat="1" ht="24.95" customHeight="1" x14ac:dyDescent="0.15">
      <c r="A37" s="40">
        <v>35</v>
      </c>
      <c r="B37" s="24" t="s">
        <v>3468</v>
      </c>
      <c r="C37" s="24" t="s">
        <v>2265</v>
      </c>
      <c r="D37" s="24" t="s">
        <v>2265</v>
      </c>
      <c r="E37" s="24" t="s">
        <v>2265</v>
      </c>
      <c r="F37" s="76" t="s">
        <v>1168</v>
      </c>
      <c r="G37" s="76" t="s">
        <v>3178</v>
      </c>
      <c r="H37" s="71" t="s">
        <v>94</v>
      </c>
      <c r="I37" s="71" t="s">
        <v>112</v>
      </c>
      <c r="J37" s="71" t="s">
        <v>1663</v>
      </c>
      <c r="K37" s="37" t="s">
        <v>448</v>
      </c>
      <c r="L37" s="37" t="s">
        <v>2209</v>
      </c>
      <c r="M37" s="37" t="s">
        <v>448</v>
      </c>
      <c r="N37" s="71" t="s">
        <v>102</v>
      </c>
      <c r="O37" s="76" t="s">
        <v>2221</v>
      </c>
      <c r="P37" s="37" t="s">
        <v>448</v>
      </c>
      <c r="Q37" s="71" t="s">
        <v>2217</v>
      </c>
      <c r="R37" s="71" t="s">
        <v>2217</v>
      </c>
      <c r="S37" s="180" t="s">
        <v>2793</v>
      </c>
      <c r="T37" s="37" t="s">
        <v>448</v>
      </c>
      <c r="U37" s="72" t="s">
        <v>2274</v>
      </c>
      <c r="V37" s="72">
        <v>1</v>
      </c>
      <c r="W37" s="37" t="s">
        <v>448</v>
      </c>
      <c r="X37" s="37" t="s">
        <v>448</v>
      </c>
      <c r="Y37" s="73">
        <v>56</v>
      </c>
      <c r="Z37" s="73">
        <v>0</v>
      </c>
      <c r="AA37" s="73">
        <v>56</v>
      </c>
      <c r="AB37" s="37" t="s">
        <v>448</v>
      </c>
      <c r="AC37" s="37" t="s">
        <v>448</v>
      </c>
      <c r="AD37" s="37" t="s">
        <v>448</v>
      </c>
    </row>
    <row r="38" spans="1:30" s="46" customFormat="1" ht="24.95" customHeight="1" x14ac:dyDescent="0.15">
      <c r="A38" s="40">
        <v>36</v>
      </c>
      <c r="B38" s="24" t="s">
        <v>3469</v>
      </c>
      <c r="C38" s="24" t="s">
        <v>2265</v>
      </c>
      <c r="D38" s="24" t="s">
        <v>2265</v>
      </c>
      <c r="E38" s="24" t="s">
        <v>2265</v>
      </c>
      <c r="F38" s="76" t="s">
        <v>1166</v>
      </c>
      <c r="G38" s="76" t="s">
        <v>3178</v>
      </c>
      <c r="H38" s="71" t="s">
        <v>94</v>
      </c>
      <c r="I38" s="71" t="s">
        <v>112</v>
      </c>
      <c r="J38" s="71" t="s">
        <v>527</v>
      </c>
      <c r="K38" s="37" t="s">
        <v>448</v>
      </c>
      <c r="L38" s="37" t="s">
        <v>2260</v>
      </c>
      <c r="M38" s="37" t="s">
        <v>448</v>
      </c>
      <c r="N38" s="71" t="s">
        <v>102</v>
      </c>
      <c r="O38" s="76" t="s">
        <v>2297</v>
      </c>
      <c r="P38" s="37" t="s">
        <v>448</v>
      </c>
      <c r="Q38" s="71" t="s">
        <v>2262</v>
      </c>
      <c r="R38" s="71" t="s">
        <v>2262</v>
      </c>
      <c r="S38" s="180" t="s">
        <v>2793</v>
      </c>
      <c r="T38" s="37" t="s">
        <v>448</v>
      </c>
      <c r="U38" s="72" t="s">
        <v>2298</v>
      </c>
      <c r="V38" s="72">
        <v>1</v>
      </c>
      <c r="W38" s="37" t="s">
        <v>448</v>
      </c>
      <c r="X38" s="37" t="s">
        <v>448</v>
      </c>
      <c r="Y38" s="73">
        <v>41.7</v>
      </c>
      <c r="Z38" s="73">
        <v>0</v>
      </c>
      <c r="AA38" s="73">
        <v>41.7</v>
      </c>
      <c r="AB38" s="37" t="s">
        <v>448</v>
      </c>
      <c r="AC38" s="37" t="s">
        <v>448</v>
      </c>
      <c r="AD38" s="37" t="s">
        <v>448</v>
      </c>
    </row>
    <row r="39" spans="1:30" s="143" customFormat="1" ht="24.95" customHeight="1" x14ac:dyDescent="0.15">
      <c r="A39" s="72">
        <v>37</v>
      </c>
      <c r="B39" s="87" t="s">
        <v>3483</v>
      </c>
      <c r="C39" s="24" t="s">
        <v>127</v>
      </c>
      <c r="D39" s="24" t="s">
        <v>127</v>
      </c>
      <c r="E39" s="24" t="s">
        <v>127</v>
      </c>
      <c r="F39" s="24" t="s">
        <v>19</v>
      </c>
      <c r="G39" s="24" t="s">
        <v>19</v>
      </c>
      <c r="H39" s="87" t="s">
        <v>94</v>
      </c>
      <c r="I39" s="87" t="s">
        <v>112</v>
      </c>
      <c r="J39" s="87" t="s">
        <v>1722</v>
      </c>
      <c r="K39" s="37" t="s">
        <v>3097</v>
      </c>
      <c r="L39" s="37" t="s">
        <v>1944</v>
      </c>
      <c r="M39" s="37" t="s">
        <v>3097</v>
      </c>
      <c r="N39" s="87" t="s">
        <v>102</v>
      </c>
      <c r="O39" s="201" t="s">
        <v>3098</v>
      </c>
      <c r="P39" s="37" t="s">
        <v>3097</v>
      </c>
      <c r="Q39" s="87" t="s">
        <v>3099</v>
      </c>
      <c r="R39" s="87" t="s">
        <v>3099</v>
      </c>
      <c r="S39" s="180" t="s">
        <v>2793</v>
      </c>
      <c r="T39" s="37" t="s">
        <v>3097</v>
      </c>
      <c r="U39" s="72" t="s">
        <v>3100</v>
      </c>
      <c r="V39" s="72">
        <v>1</v>
      </c>
      <c r="W39" s="37" t="s">
        <v>3097</v>
      </c>
      <c r="X39" s="37" t="s">
        <v>3097</v>
      </c>
      <c r="Y39" s="172">
        <v>48</v>
      </c>
      <c r="Z39" s="172">
        <v>0</v>
      </c>
      <c r="AA39" s="172">
        <v>48</v>
      </c>
      <c r="AB39" s="37" t="s">
        <v>3097</v>
      </c>
      <c r="AC39" s="37" t="s">
        <v>3097</v>
      </c>
      <c r="AD39" s="37" t="s">
        <v>3097</v>
      </c>
    </row>
    <row r="40" spans="1:30" s="46" customFormat="1" ht="24.95" customHeight="1" x14ac:dyDescent="0.15">
      <c r="A40" s="40">
        <v>38</v>
      </c>
      <c r="B40" s="24" t="s">
        <v>3470</v>
      </c>
      <c r="C40" s="24" t="s">
        <v>2258</v>
      </c>
      <c r="D40" s="24" t="s">
        <v>2258</v>
      </c>
      <c r="E40" s="24" t="s">
        <v>2258</v>
      </c>
      <c r="F40" s="54" t="s">
        <v>1264</v>
      </c>
      <c r="G40" s="54" t="s">
        <v>3179</v>
      </c>
      <c r="H40" s="71" t="s">
        <v>94</v>
      </c>
      <c r="I40" s="71" t="s">
        <v>1925</v>
      </c>
      <c r="J40" s="71" t="s">
        <v>1705</v>
      </c>
      <c r="K40" s="37" t="s">
        <v>448</v>
      </c>
      <c r="L40" s="37" t="s">
        <v>1550</v>
      </c>
      <c r="M40" s="37" t="s">
        <v>448</v>
      </c>
      <c r="N40" s="71" t="s">
        <v>102</v>
      </c>
      <c r="O40" s="76" t="s">
        <v>2299</v>
      </c>
      <c r="P40" s="37" t="s">
        <v>448</v>
      </c>
      <c r="Q40" s="71" t="s">
        <v>2300</v>
      </c>
      <c r="R40" s="71" t="s">
        <v>2300</v>
      </c>
      <c r="S40" s="181">
        <v>2011.12</v>
      </c>
      <c r="T40" s="37" t="s">
        <v>448</v>
      </c>
      <c r="U40" s="72" t="s">
        <v>2301</v>
      </c>
      <c r="V40" s="72">
        <v>4</v>
      </c>
      <c r="W40" s="37" t="s">
        <v>448</v>
      </c>
      <c r="X40" s="37" t="s">
        <v>448</v>
      </c>
      <c r="Y40" s="73">
        <v>33.200000000000003</v>
      </c>
      <c r="Z40" s="73">
        <v>13</v>
      </c>
      <c r="AA40" s="73">
        <v>46.2</v>
      </c>
      <c r="AB40" s="37" t="s">
        <v>448</v>
      </c>
      <c r="AC40" s="37" t="s">
        <v>448</v>
      </c>
      <c r="AD40" s="37" t="s">
        <v>448</v>
      </c>
    </row>
    <row r="41" spans="1:30" s="46" customFormat="1" ht="33.75" x14ac:dyDescent="0.15">
      <c r="A41" s="40">
        <v>39</v>
      </c>
      <c r="B41" s="24" t="s">
        <v>3471</v>
      </c>
      <c r="C41" s="24" t="s">
        <v>2302</v>
      </c>
      <c r="D41" s="24" t="s">
        <v>2302</v>
      </c>
      <c r="E41" s="24" t="s">
        <v>2302</v>
      </c>
      <c r="F41" s="54" t="s">
        <v>3082</v>
      </c>
      <c r="G41" s="54" t="s">
        <v>3157</v>
      </c>
      <c r="H41" s="71" t="s">
        <v>94</v>
      </c>
      <c r="I41" s="71" t="s">
        <v>1926</v>
      </c>
      <c r="J41" s="71" t="s">
        <v>1607</v>
      </c>
      <c r="K41" s="37" t="s">
        <v>448</v>
      </c>
      <c r="L41" s="37" t="s">
        <v>2292</v>
      </c>
      <c r="M41" s="37" t="s">
        <v>448</v>
      </c>
      <c r="N41" s="71" t="s">
        <v>102</v>
      </c>
      <c r="O41" s="76" t="s">
        <v>2303</v>
      </c>
      <c r="P41" s="37" t="s">
        <v>448</v>
      </c>
      <c r="Q41" s="71" t="s">
        <v>2304</v>
      </c>
      <c r="R41" s="71" t="s">
        <v>2304</v>
      </c>
      <c r="S41" s="181">
        <v>2011.11</v>
      </c>
      <c r="T41" s="37" t="s">
        <v>448</v>
      </c>
      <c r="U41" s="72" t="s">
        <v>2295</v>
      </c>
      <c r="V41" s="72">
        <v>1</v>
      </c>
      <c r="W41" s="37" t="s">
        <v>448</v>
      </c>
      <c r="X41" s="37" t="s">
        <v>448</v>
      </c>
      <c r="Y41" s="73">
        <v>25</v>
      </c>
      <c r="Z41" s="73">
        <v>12</v>
      </c>
      <c r="AA41" s="73">
        <v>37</v>
      </c>
      <c r="AB41" s="37" t="s">
        <v>448</v>
      </c>
      <c r="AC41" s="37" t="s">
        <v>448</v>
      </c>
      <c r="AD41" s="37" t="s">
        <v>448</v>
      </c>
    </row>
    <row r="42" spans="1:30" s="46" customFormat="1" ht="24.95" customHeight="1" x14ac:dyDescent="0.15">
      <c r="A42" s="40">
        <v>40</v>
      </c>
      <c r="B42" s="24" t="s">
        <v>3472</v>
      </c>
      <c r="C42" s="24" t="s">
        <v>2296</v>
      </c>
      <c r="D42" s="24" t="s">
        <v>2296</v>
      </c>
      <c r="E42" s="24" t="s">
        <v>2296</v>
      </c>
      <c r="F42" s="76" t="s">
        <v>4432</v>
      </c>
      <c r="G42" s="76" t="s">
        <v>3180</v>
      </c>
      <c r="H42" s="71" t="s">
        <v>1537</v>
      </c>
      <c r="I42" s="71" t="s">
        <v>112</v>
      </c>
      <c r="J42" s="71" t="s">
        <v>1927</v>
      </c>
      <c r="K42" s="37" t="s">
        <v>448</v>
      </c>
      <c r="L42" s="21" t="s">
        <v>2305</v>
      </c>
      <c r="M42" s="37" t="s">
        <v>448</v>
      </c>
      <c r="N42" s="71" t="s">
        <v>102</v>
      </c>
      <c r="O42" s="76" t="s">
        <v>2306</v>
      </c>
      <c r="P42" s="37" t="s">
        <v>448</v>
      </c>
      <c r="Q42" s="71" t="s">
        <v>2307</v>
      </c>
      <c r="R42" s="71" t="s">
        <v>2307</v>
      </c>
      <c r="S42" s="181">
        <v>2011.1</v>
      </c>
      <c r="T42" s="37" t="s">
        <v>448</v>
      </c>
      <c r="U42" s="72" t="s">
        <v>2295</v>
      </c>
      <c r="V42" s="72">
        <v>1</v>
      </c>
      <c r="W42" s="37" t="s">
        <v>448</v>
      </c>
      <c r="X42" s="37" t="s">
        <v>448</v>
      </c>
      <c r="Y42" s="73">
        <v>188.5324</v>
      </c>
      <c r="Z42" s="73">
        <v>30.067599999999999</v>
      </c>
      <c r="AA42" s="73">
        <v>218.6</v>
      </c>
      <c r="AB42" s="37" t="s">
        <v>448</v>
      </c>
      <c r="AC42" s="37" t="s">
        <v>448</v>
      </c>
      <c r="AD42" s="37" t="s">
        <v>448</v>
      </c>
    </row>
    <row r="43" spans="1:30" s="154" customFormat="1" ht="24.95" customHeight="1" x14ac:dyDescent="0.15">
      <c r="A43" s="146"/>
      <c r="B43" s="146"/>
      <c r="C43" s="146"/>
      <c r="D43" s="146"/>
      <c r="E43" s="146"/>
      <c r="F43" s="173"/>
      <c r="G43" s="173"/>
      <c r="H43" s="146"/>
      <c r="I43" s="146"/>
      <c r="J43" s="146"/>
      <c r="K43" s="146"/>
      <c r="L43" s="146"/>
      <c r="M43" s="146"/>
      <c r="N43" s="174"/>
      <c r="O43" s="175"/>
      <c r="P43" s="146"/>
      <c r="Q43" s="146"/>
      <c r="R43" s="146"/>
      <c r="S43" s="146"/>
      <c r="T43" s="146"/>
      <c r="U43" s="146" t="s">
        <v>3389</v>
      </c>
      <c r="V43" s="146"/>
      <c r="W43" s="146"/>
      <c r="X43" s="146"/>
      <c r="Y43" s="199">
        <f>SUM(Y3:Y42)</f>
        <v>1871.9652000000001</v>
      </c>
      <c r="Z43" s="199">
        <f>SUM(Z3:Z42)</f>
        <v>971.36659999999983</v>
      </c>
      <c r="AA43" s="199">
        <f>SUM(AA3:AA42)</f>
        <v>2843.3317999999995</v>
      </c>
      <c r="AB43" s="146"/>
      <c r="AC43" s="146"/>
      <c r="AD43" s="146"/>
    </row>
    <row r="44" spans="1:30" s="46" customFormat="1" ht="24.95" customHeight="1" x14ac:dyDescent="0.15">
      <c r="F44" s="77"/>
      <c r="G44" s="77"/>
      <c r="N44" s="11"/>
      <c r="O44" s="79"/>
    </row>
    <row r="45" spans="1:30" s="46" customFormat="1" ht="24.95" customHeight="1" x14ac:dyDescent="0.15">
      <c r="F45" s="77"/>
      <c r="G45" s="77"/>
      <c r="N45" s="11"/>
      <c r="O45" s="79"/>
    </row>
    <row r="46" spans="1:30" s="46" customFormat="1" ht="24.95" customHeight="1" x14ac:dyDescent="0.15">
      <c r="F46" s="77"/>
      <c r="G46" s="77"/>
      <c r="N46" s="11"/>
      <c r="O46" s="79"/>
    </row>
    <row r="47" spans="1:30" s="46" customFormat="1" ht="24.95" customHeight="1" x14ac:dyDescent="0.15">
      <c r="F47" s="77"/>
      <c r="G47" s="77"/>
      <c r="N47" s="11"/>
      <c r="O47" s="79"/>
    </row>
    <row r="48" spans="1:30" s="46" customFormat="1" ht="24.95" customHeight="1" x14ac:dyDescent="0.15">
      <c r="F48" s="77"/>
      <c r="G48" s="77"/>
      <c r="N48" s="11"/>
      <c r="O48" s="79"/>
    </row>
    <row r="49" spans="6:15" s="46" customFormat="1" ht="24.95" customHeight="1" x14ac:dyDescent="0.15">
      <c r="F49" s="77"/>
      <c r="G49" s="77"/>
      <c r="N49" s="11"/>
      <c r="O49" s="79"/>
    </row>
    <row r="50" spans="6:15" s="46" customFormat="1" ht="24.95" customHeight="1" x14ac:dyDescent="0.15">
      <c r="F50" s="77"/>
      <c r="G50" s="77"/>
      <c r="N50" s="11"/>
      <c r="O50" s="79"/>
    </row>
    <row r="51" spans="6:15" s="46" customFormat="1" ht="24.95" customHeight="1" x14ac:dyDescent="0.15">
      <c r="F51" s="77"/>
      <c r="G51" s="77"/>
      <c r="N51" s="11"/>
      <c r="O51" s="79"/>
    </row>
    <row r="52" spans="6:15" s="46" customFormat="1" ht="24.95" customHeight="1" x14ac:dyDescent="0.15">
      <c r="F52" s="77"/>
      <c r="G52" s="77"/>
      <c r="N52" s="11"/>
      <c r="O52" s="79"/>
    </row>
    <row r="53" spans="6:15" s="46" customFormat="1" ht="24.95" customHeight="1" x14ac:dyDescent="0.15">
      <c r="F53" s="77"/>
      <c r="G53" s="77"/>
      <c r="N53" s="11"/>
      <c r="O53" s="79"/>
    </row>
    <row r="54" spans="6:15" s="46" customFormat="1" ht="24.95" customHeight="1" x14ac:dyDescent="0.15">
      <c r="F54" s="77"/>
      <c r="G54" s="77"/>
      <c r="N54" s="11"/>
      <c r="O54" s="79"/>
    </row>
    <row r="55" spans="6:15" s="46" customFormat="1" ht="24.95" customHeight="1" x14ac:dyDescent="0.15">
      <c r="F55" s="77"/>
      <c r="G55" s="77"/>
      <c r="N55" s="11"/>
      <c r="O55" s="79"/>
    </row>
    <row r="56" spans="6:15" s="46" customFormat="1" ht="24.95" customHeight="1" x14ac:dyDescent="0.15">
      <c r="F56" s="77"/>
      <c r="G56" s="77"/>
      <c r="N56" s="11"/>
      <c r="O56" s="79"/>
    </row>
    <row r="57" spans="6:15" s="46" customFormat="1" ht="24.95" customHeight="1" x14ac:dyDescent="0.15">
      <c r="F57" s="77"/>
      <c r="G57" s="77"/>
      <c r="N57" s="11"/>
      <c r="O57" s="79"/>
    </row>
    <row r="58" spans="6:15" s="46" customFormat="1" ht="24.95" customHeight="1" x14ac:dyDescent="0.15">
      <c r="F58" s="77"/>
      <c r="G58" s="77"/>
      <c r="N58" s="11"/>
      <c r="O58" s="79"/>
    </row>
    <row r="59" spans="6:15" s="46" customFormat="1" ht="24.95" customHeight="1" x14ac:dyDescent="0.15">
      <c r="F59" s="77"/>
      <c r="G59" s="77"/>
      <c r="N59" s="11"/>
      <c r="O59" s="79"/>
    </row>
    <row r="60" spans="6:15" s="46" customFormat="1" ht="24.95" customHeight="1" x14ac:dyDescent="0.15">
      <c r="F60" s="77"/>
      <c r="G60" s="77"/>
      <c r="N60" s="11"/>
      <c r="O60" s="79"/>
    </row>
    <row r="61" spans="6:15" s="46" customFormat="1" ht="24.95" customHeight="1" x14ac:dyDescent="0.15">
      <c r="F61" s="77"/>
      <c r="G61" s="77"/>
      <c r="N61" s="11"/>
      <c r="O61" s="79"/>
    </row>
    <row r="62" spans="6:15" s="46" customFormat="1" ht="24.95" customHeight="1" x14ac:dyDescent="0.15">
      <c r="F62" s="77"/>
      <c r="G62" s="77"/>
      <c r="N62" s="11"/>
      <c r="O62" s="79"/>
    </row>
    <row r="63" spans="6:15" s="46" customFormat="1" ht="24.95" customHeight="1" x14ac:dyDescent="0.15">
      <c r="F63" s="77"/>
      <c r="G63" s="77"/>
      <c r="N63" s="11"/>
      <c r="O63" s="79"/>
    </row>
    <row r="64" spans="6:15" s="46" customFormat="1" ht="24.95" customHeight="1" x14ac:dyDescent="0.15">
      <c r="F64" s="77"/>
      <c r="G64" s="77"/>
      <c r="N64" s="11"/>
      <c r="O64" s="79"/>
    </row>
    <row r="65" spans="6:15" s="46" customFormat="1" ht="24.95" customHeight="1" x14ac:dyDescent="0.15">
      <c r="F65" s="77"/>
      <c r="G65" s="77"/>
      <c r="N65" s="11"/>
      <c r="O65" s="79"/>
    </row>
    <row r="66" spans="6:15" s="46" customFormat="1" ht="24.95" customHeight="1" x14ac:dyDescent="0.15">
      <c r="F66" s="77"/>
      <c r="G66" s="77"/>
      <c r="N66" s="11"/>
      <c r="O66" s="79"/>
    </row>
    <row r="67" spans="6:15" s="46" customFormat="1" ht="24.95" customHeight="1" x14ac:dyDescent="0.15">
      <c r="F67" s="77"/>
      <c r="G67" s="77"/>
      <c r="N67" s="11"/>
      <c r="O67" s="79"/>
    </row>
    <row r="68" spans="6:15" s="46" customFormat="1" ht="24.95" customHeight="1" x14ac:dyDescent="0.15">
      <c r="F68" s="77"/>
      <c r="G68" s="77"/>
      <c r="N68" s="11"/>
      <c r="O68" s="79"/>
    </row>
    <row r="69" spans="6:15" s="46" customFormat="1" ht="24.95" customHeight="1" x14ac:dyDescent="0.15">
      <c r="F69" s="77"/>
      <c r="G69" s="77"/>
      <c r="N69" s="11"/>
      <c r="O69" s="79"/>
    </row>
    <row r="70" spans="6:15" s="46" customFormat="1" ht="24.95" customHeight="1" x14ac:dyDescent="0.15">
      <c r="F70" s="77"/>
      <c r="G70" s="77"/>
      <c r="N70" s="11"/>
      <c r="O70" s="79"/>
    </row>
    <row r="71" spans="6:15" s="46" customFormat="1" ht="24.95" customHeight="1" x14ac:dyDescent="0.15">
      <c r="F71" s="77"/>
      <c r="G71" s="77"/>
      <c r="N71" s="11"/>
      <c r="O71" s="79"/>
    </row>
    <row r="72" spans="6:15" s="46" customFormat="1" ht="24.95" customHeight="1" x14ac:dyDescent="0.15">
      <c r="F72" s="77"/>
      <c r="G72" s="77"/>
      <c r="N72" s="11"/>
      <c r="O72" s="79"/>
    </row>
    <row r="73" spans="6:15" s="46" customFormat="1" ht="24.95" customHeight="1" x14ac:dyDescent="0.15">
      <c r="F73" s="77"/>
      <c r="G73" s="77"/>
      <c r="N73" s="11"/>
      <c r="O73" s="79"/>
    </row>
    <row r="74" spans="6:15" s="46" customFormat="1" ht="24.95" customHeight="1" x14ac:dyDescent="0.15">
      <c r="F74" s="77"/>
      <c r="G74" s="77"/>
      <c r="N74" s="11"/>
      <c r="O74" s="79"/>
    </row>
  </sheetData>
  <mergeCells count="1">
    <mergeCell ref="A1:AD1"/>
  </mergeCells>
  <phoneticPr fontId="1" type="noConversion"/>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0"/>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RowHeight="24.95" customHeight="1" x14ac:dyDescent="0.15"/>
  <cols>
    <col min="1" max="1" width="6.375" style="38" customWidth="1"/>
    <col min="2" max="2" width="18.25" style="38" customWidth="1"/>
    <col min="3" max="3" width="12.875" style="38" customWidth="1"/>
    <col min="4" max="4" width="14.25" style="38" customWidth="1"/>
    <col min="5" max="5" width="12.125" style="38" customWidth="1"/>
    <col min="6" max="6" width="25" style="57" customWidth="1"/>
    <col min="7" max="7" width="16.5" style="57" customWidth="1"/>
    <col min="8" max="13" width="9" style="38"/>
    <col min="14" max="14" width="11" style="5" bestFit="1" customWidth="1"/>
    <col min="15" max="15" width="19.625" style="69" customWidth="1"/>
    <col min="16" max="20" width="9" style="38"/>
    <col min="21" max="21" width="13.5" style="38" customWidth="1"/>
    <col min="22" max="24" width="9" style="38"/>
    <col min="25" max="25" width="10.5" style="137" bestFit="1" customWidth="1"/>
    <col min="26" max="26" width="11.875" style="137" customWidth="1"/>
    <col min="27" max="27" width="10.5" style="137" bestFit="1" customWidth="1"/>
    <col min="28" max="16384" width="9" style="38"/>
  </cols>
  <sheetData>
    <row r="1" spans="1:30" s="3" customFormat="1" ht="33" customHeight="1" x14ac:dyDescent="0.15">
      <c r="A1" s="1953" t="s">
        <v>2319</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1953"/>
      <c r="AA1" s="1953"/>
      <c r="AB1" s="1953"/>
      <c r="AC1" s="1953"/>
      <c r="AD1" s="1953"/>
    </row>
    <row r="2" spans="1:30" s="4" customFormat="1" ht="27.95" customHeight="1" x14ac:dyDescent="0.15">
      <c r="A2" s="25" t="s">
        <v>0</v>
      </c>
      <c r="B2" s="25" t="s">
        <v>1</v>
      </c>
      <c r="C2" s="25" t="s">
        <v>2</v>
      </c>
      <c r="D2" s="25" t="s">
        <v>3</v>
      </c>
      <c r="E2" s="25" t="s">
        <v>958</v>
      </c>
      <c r="F2" s="25" t="s">
        <v>4</v>
      </c>
      <c r="G2" s="25" t="s">
        <v>5</v>
      </c>
      <c r="H2" s="25" t="s">
        <v>7</v>
      </c>
      <c r="I2" s="25" t="s">
        <v>6</v>
      </c>
      <c r="J2" s="25" t="s">
        <v>419</v>
      </c>
      <c r="K2" s="25" t="s">
        <v>1825</v>
      </c>
      <c r="L2" s="25" t="s">
        <v>420</v>
      </c>
      <c r="M2" s="25" t="s">
        <v>1857</v>
      </c>
      <c r="N2" s="25" t="s">
        <v>10</v>
      </c>
      <c r="O2" s="25" t="s">
        <v>2308</v>
      </c>
      <c r="P2" s="25" t="s">
        <v>9</v>
      </c>
      <c r="Q2" s="25" t="s">
        <v>3342</v>
      </c>
      <c r="R2" s="25" t="s">
        <v>3343</v>
      </c>
      <c r="S2" s="25" t="s">
        <v>15</v>
      </c>
      <c r="T2" s="25" t="s">
        <v>16</v>
      </c>
      <c r="U2" s="32" t="s">
        <v>14</v>
      </c>
      <c r="V2" s="32" t="s">
        <v>13</v>
      </c>
      <c r="W2" s="25" t="s">
        <v>11</v>
      </c>
      <c r="X2" s="25" t="s">
        <v>12</v>
      </c>
      <c r="Y2" s="25" t="s">
        <v>429</v>
      </c>
      <c r="Z2" s="25" t="s">
        <v>430</v>
      </c>
      <c r="AA2" s="25" t="s">
        <v>431</v>
      </c>
      <c r="AB2" s="25" t="s">
        <v>3350</v>
      </c>
      <c r="AC2" s="25" t="s">
        <v>2185</v>
      </c>
      <c r="AD2" s="25" t="s">
        <v>2125</v>
      </c>
    </row>
    <row r="3" spans="1:30" s="46" customFormat="1" ht="27.95" customHeight="1" x14ac:dyDescent="0.15">
      <c r="A3" s="40">
        <v>1</v>
      </c>
      <c r="B3" s="24" t="s">
        <v>3473</v>
      </c>
      <c r="C3" s="24" t="s">
        <v>1896</v>
      </c>
      <c r="D3" s="24" t="s">
        <v>1896</v>
      </c>
      <c r="E3" s="24" t="s">
        <v>1896</v>
      </c>
      <c r="F3" s="54" t="s">
        <v>1164</v>
      </c>
      <c r="G3" s="64" t="s">
        <v>3161</v>
      </c>
      <c r="H3" s="9" t="s">
        <v>94</v>
      </c>
      <c r="I3" s="9" t="s">
        <v>112</v>
      </c>
      <c r="J3" s="9" t="s">
        <v>531</v>
      </c>
      <c r="K3" s="24" t="s">
        <v>1896</v>
      </c>
      <c r="L3" s="24" t="s">
        <v>1896</v>
      </c>
      <c r="M3" s="24" t="s">
        <v>1896</v>
      </c>
      <c r="N3" s="9" t="s">
        <v>1890</v>
      </c>
      <c r="O3" s="54" t="s">
        <v>1891</v>
      </c>
      <c r="P3" s="40" t="s">
        <v>448</v>
      </c>
      <c r="Q3" s="9" t="s">
        <v>1892</v>
      </c>
      <c r="R3" s="9" t="s">
        <v>414</v>
      </c>
      <c r="S3" s="40" t="s">
        <v>448</v>
      </c>
      <c r="T3" s="40" t="s">
        <v>448</v>
      </c>
      <c r="U3" s="40" t="s">
        <v>448</v>
      </c>
      <c r="V3" s="40" t="s">
        <v>448</v>
      </c>
      <c r="W3" s="40" t="s">
        <v>448</v>
      </c>
      <c r="X3" s="40" t="s">
        <v>448</v>
      </c>
      <c r="Y3" s="73">
        <v>29</v>
      </c>
      <c r="Z3" s="73">
        <v>0</v>
      </c>
      <c r="AA3" s="73">
        <v>29</v>
      </c>
      <c r="AB3" s="40" t="s">
        <v>448</v>
      </c>
      <c r="AC3" s="40" t="s">
        <v>448</v>
      </c>
      <c r="AD3" s="40" t="s">
        <v>448</v>
      </c>
    </row>
    <row r="4" spans="1:30" s="46" customFormat="1" ht="27.95" customHeight="1" x14ac:dyDescent="0.15">
      <c r="A4" s="40">
        <v>2</v>
      </c>
      <c r="B4" s="24" t="s">
        <v>3474</v>
      </c>
      <c r="C4" s="24" t="s">
        <v>1896</v>
      </c>
      <c r="D4" s="24" t="s">
        <v>1896</v>
      </c>
      <c r="E4" s="24" t="s">
        <v>1896</v>
      </c>
      <c r="F4" s="54" t="s">
        <v>1161</v>
      </c>
      <c r="G4" s="64" t="s">
        <v>3161</v>
      </c>
      <c r="H4" s="9" t="s">
        <v>94</v>
      </c>
      <c r="I4" s="9" t="s">
        <v>112</v>
      </c>
      <c r="J4" s="9" t="s">
        <v>1662</v>
      </c>
      <c r="K4" s="24" t="s">
        <v>1896</v>
      </c>
      <c r="L4" s="24" t="s">
        <v>1896</v>
      </c>
      <c r="M4" s="24" t="s">
        <v>1896</v>
      </c>
      <c r="N4" s="9" t="s">
        <v>1890</v>
      </c>
      <c r="O4" s="54" t="s">
        <v>1891</v>
      </c>
      <c r="P4" s="40" t="s">
        <v>448</v>
      </c>
      <c r="Q4" s="9" t="s">
        <v>1892</v>
      </c>
      <c r="R4" s="9" t="s">
        <v>414</v>
      </c>
      <c r="S4" s="40" t="s">
        <v>448</v>
      </c>
      <c r="T4" s="40" t="s">
        <v>448</v>
      </c>
      <c r="U4" s="40" t="s">
        <v>448</v>
      </c>
      <c r="V4" s="40" t="s">
        <v>448</v>
      </c>
      <c r="W4" s="40" t="s">
        <v>448</v>
      </c>
      <c r="X4" s="40" t="s">
        <v>448</v>
      </c>
      <c r="Y4" s="73">
        <v>29</v>
      </c>
      <c r="Z4" s="73">
        <v>0</v>
      </c>
      <c r="AA4" s="73">
        <v>29</v>
      </c>
      <c r="AB4" s="40" t="s">
        <v>448</v>
      </c>
      <c r="AC4" s="40" t="s">
        <v>448</v>
      </c>
      <c r="AD4" s="40" t="s">
        <v>448</v>
      </c>
    </row>
    <row r="5" spans="1:30" s="46" customFormat="1" ht="27.95" customHeight="1" x14ac:dyDescent="0.15">
      <c r="A5" s="40">
        <v>3</v>
      </c>
      <c r="B5" s="24" t="s">
        <v>3475</v>
      </c>
      <c r="C5" s="24" t="s">
        <v>1896</v>
      </c>
      <c r="D5" s="24" t="s">
        <v>1896</v>
      </c>
      <c r="E5" s="24" t="s">
        <v>1896</v>
      </c>
      <c r="F5" s="54" t="s">
        <v>3162</v>
      </c>
      <c r="G5" s="52" t="s">
        <v>3161</v>
      </c>
      <c r="H5" s="9" t="s">
        <v>94</v>
      </c>
      <c r="I5" s="9" t="s">
        <v>112</v>
      </c>
      <c r="J5" s="9" t="s">
        <v>1661</v>
      </c>
      <c r="K5" s="24" t="s">
        <v>1896</v>
      </c>
      <c r="L5" s="24" t="s">
        <v>1896</v>
      </c>
      <c r="M5" s="24" t="s">
        <v>1896</v>
      </c>
      <c r="N5" s="9" t="s">
        <v>1890</v>
      </c>
      <c r="O5" s="54" t="s">
        <v>1891</v>
      </c>
      <c r="P5" s="40" t="s">
        <v>448</v>
      </c>
      <c r="Q5" s="9" t="s">
        <v>1892</v>
      </c>
      <c r="R5" s="9" t="s">
        <v>414</v>
      </c>
      <c r="S5" s="40" t="s">
        <v>448</v>
      </c>
      <c r="T5" s="40" t="s">
        <v>448</v>
      </c>
      <c r="U5" s="40" t="s">
        <v>448</v>
      </c>
      <c r="V5" s="40" t="s">
        <v>448</v>
      </c>
      <c r="W5" s="40" t="s">
        <v>448</v>
      </c>
      <c r="X5" s="40" t="s">
        <v>448</v>
      </c>
      <c r="Y5" s="73">
        <v>29</v>
      </c>
      <c r="Z5" s="73">
        <v>0</v>
      </c>
      <c r="AA5" s="73">
        <v>29</v>
      </c>
      <c r="AB5" s="40" t="s">
        <v>448</v>
      </c>
      <c r="AC5" s="40" t="s">
        <v>448</v>
      </c>
      <c r="AD5" s="40" t="s">
        <v>448</v>
      </c>
    </row>
    <row r="6" spans="1:30" s="46" customFormat="1" ht="27.95" customHeight="1" x14ac:dyDescent="0.15">
      <c r="A6" s="40">
        <v>4</v>
      </c>
      <c r="B6" s="24" t="s">
        <v>3476</v>
      </c>
      <c r="C6" s="24" t="s">
        <v>1896</v>
      </c>
      <c r="D6" s="24" t="s">
        <v>1896</v>
      </c>
      <c r="E6" s="24" t="s">
        <v>1896</v>
      </c>
      <c r="F6" s="54" t="s">
        <v>3163</v>
      </c>
      <c r="G6" s="64" t="s">
        <v>3164</v>
      </c>
      <c r="H6" s="9" t="s">
        <v>94</v>
      </c>
      <c r="I6" s="9" t="s">
        <v>112</v>
      </c>
      <c r="J6" s="9" t="s">
        <v>531</v>
      </c>
      <c r="K6" s="24" t="s">
        <v>1896</v>
      </c>
      <c r="L6" s="24" t="s">
        <v>1896</v>
      </c>
      <c r="M6" s="24" t="s">
        <v>1896</v>
      </c>
      <c r="N6" s="9" t="s">
        <v>102</v>
      </c>
      <c r="O6" s="54" t="s">
        <v>1743</v>
      </c>
      <c r="P6" s="40" t="s">
        <v>448</v>
      </c>
      <c r="Q6" s="9" t="s">
        <v>1892</v>
      </c>
      <c r="R6" s="9" t="s">
        <v>414</v>
      </c>
      <c r="S6" s="40" t="s">
        <v>448</v>
      </c>
      <c r="T6" s="40" t="s">
        <v>448</v>
      </c>
      <c r="U6" s="40" t="s">
        <v>448</v>
      </c>
      <c r="V6" s="40" t="s">
        <v>448</v>
      </c>
      <c r="W6" s="40" t="s">
        <v>448</v>
      </c>
      <c r="X6" s="40" t="s">
        <v>448</v>
      </c>
      <c r="Y6" s="73">
        <v>0</v>
      </c>
      <c r="Z6" s="73">
        <v>6</v>
      </c>
      <c r="AA6" s="73">
        <v>6</v>
      </c>
      <c r="AB6" s="40" t="s">
        <v>448</v>
      </c>
      <c r="AC6" s="40" t="s">
        <v>448</v>
      </c>
      <c r="AD6" s="40" t="s">
        <v>448</v>
      </c>
    </row>
    <row r="7" spans="1:30" s="46" customFormat="1" ht="27.95" customHeight="1" x14ac:dyDescent="0.15">
      <c r="A7" s="40">
        <v>5</v>
      </c>
      <c r="B7" s="24" t="s">
        <v>3477</v>
      </c>
      <c r="C7" s="24" t="s">
        <v>1896</v>
      </c>
      <c r="D7" s="24" t="s">
        <v>1896</v>
      </c>
      <c r="E7" s="24" t="s">
        <v>1896</v>
      </c>
      <c r="F7" s="54" t="s">
        <v>1203</v>
      </c>
      <c r="G7" s="52" t="s">
        <v>3165</v>
      </c>
      <c r="H7" s="9" t="s">
        <v>94</v>
      </c>
      <c r="I7" s="9" t="s">
        <v>993</v>
      </c>
      <c r="J7" s="9" t="s">
        <v>1626</v>
      </c>
      <c r="K7" s="24" t="s">
        <v>1896</v>
      </c>
      <c r="L7" s="24" t="s">
        <v>1896</v>
      </c>
      <c r="M7" s="24" t="s">
        <v>1896</v>
      </c>
      <c r="N7" s="9" t="s">
        <v>102</v>
      </c>
      <c r="O7" s="54" t="s">
        <v>1893</v>
      </c>
      <c r="P7" s="40" t="s">
        <v>448</v>
      </c>
      <c r="Q7" s="9" t="s">
        <v>1894</v>
      </c>
      <c r="R7" s="9" t="s">
        <v>1894</v>
      </c>
      <c r="S7" s="40" t="s">
        <v>448</v>
      </c>
      <c r="T7" s="40" t="s">
        <v>448</v>
      </c>
      <c r="U7" s="40" t="s">
        <v>448</v>
      </c>
      <c r="V7" s="40" t="s">
        <v>448</v>
      </c>
      <c r="W7" s="40" t="s">
        <v>448</v>
      </c>
      <c r="X7" s="40" t="s">
        <v>448</v>
      </c>
      <c r="Y7" s="73">
        <v>32</v>
      </c>
      <c r="Z7" s="73">
        <v>48</v>
      </c>
      <c r="AA7" s="73">
        <v>80</v>
      </c>
      <c r="AB7" s="40" t="s">
        <v>448</v>
      </c>
      <c r="AC7" s="40" t="s">
        <v>448</v>
      </c>
      <c r="AD7" s="40" t="s">
        <v>448</v>
      </c>
    </row>
    <row r="8" spans="1:30" s="46" customFormat="1" ht="27.95" customHeight="1" x14ac:dyDescent="0.15">
      <c r="A8" s="40">
        <v>6</v>
      </c>
      <c r="B8" s="24" t="s">
        <v>3478</v>
      </c>
      <c r="C8" s="24" t="s">
        <v>1896</v>
      </c>
      <c r="D8" s="24" t="s">
        <v>1896</v>
      </c>
      <c r="E8" s="24" t="s">
        <v>1896</v>
      </c>
      <c r="F8" s="54" t="s">
        <v>1899</v>
      </c>
      <c r="G8" s="66" t="s">
        <v>3165</v>
      </c>
      <c r="H8" s="9" t="s">
        <v>94</v>
      </c>
      <c r="I8" s="9" t="s">
        <v>1895</v>
      </c>
      <c r="J8" s="9" t="s">
        <v>1708</v>
      </c>
      <c r="K8" s="24" t="s">
        <v>1896</v>
      </c>
      <c r="L8" s="24" t="s">
        <v>1896</v>
      </c>
      <c r="M8" s="24" t="s">
        <v>1896</v>
      </c>
      <c r="N8" s="9" t="s">
        <v>102</v>
      </c>
      <c r="O8" s="54" t="s">
        <v>1893</v>
      </c>
      <c r="P8" s="40" t="s">
        <v>448</v>
      </c>
      <c r="Q8" s="9" t="s">
        <v>1894</v>
      </c>
      <c r="R8" s="9" t="s">
        <v>1894</v>
      </c>
      <c r="S8" s="40" t="s">
        <v>448</v>
      </c>
      <c r="T8" s="40" t="s">
        <v>448</v>
      </c>
      <c r="U8" s="40" t="s">
        <v>448</v>
      </c>
      <c r="V8" s="40" t="s">
        <v>448</v>
      </c>
      <c r="W8" s="40" t="s">
        <v>448</v>
      </c>
      <c r="X8" s="40" t="s">
        <v>448</v>
      </c>
      <c r="Y8" s="73">
        <v>40</v>
      </c>
      <c r="Z8" s="73">
        <v>40</v>
      </c>
      <c r="AA8" s="73">
        <v>80</v>
      </c>
      <c r="AB8" s="40" t="s">
        <v>448</v>
      </c>
      <c r="AC8" s="40" t="s">
        <v>448</v>
      </c>
      <c r="AD8" s="40" t="s">
        <v>448</v>
      </c>
    </row>
    <row r="9" spans="1:30" s="46" customFormat="1" ht="27.95" customHeight="1" x14ac:dyDescent="0.15">
      <c r="A9" s="40">
        <v>7</v>
      </c>
      <c r="B9" s="24" t="s">
        <v>3479</v>
      </c>
      <c r="C9" s="24" t="s">
        <v>1896</v>
      </c>
      <c r="D9" s="24" t="s">
        <v>1896</v>
      </c>
      <c r="E9" s="24" t="s">
        <v>1896</v>
      </c>
      <c r="F9" s="54" t="s">
        <v>1900</v>
      </c>
      <c r="G9" s="66" t="s">
        <v>3165</v>
      </c>
      <c r="H9" s="9" t="s">
        <v>94</v>
      </c>
      <c r="I9" s="9" t="s">
        <v>1895</v>
      </c>
      <c r="J9" s="9" t="s">
        <v>3147</v>
      </c>
      <c r="K9" s="24" t="s">
        <v>1896</v>
      </c>
      <c r="L9" s="24" t="s">
        <v>1896</v>
      </c>
      <c r="M9" s="24" t="s">
        <v>1896</v>
      </c>
      <c r="N9" s="9" t="s">
        <v>102</v>
      </c>
      <c r="O9" s="54" t="s">
        <v>1893</v>
      </c>
      <c r="P9" s="40" t="s">
        <v>448</v>
      </c>
      <c r="Q9" s="9" t="s">
        <v>1894</v>
      </c>
      <c r="R9" s="9" t="s">
        <v>1894</v>
      </c>
      <c r="S9" s="40" t="s">
        <v>448</v>
      </c>
      <c r="T9" s="40" t="s">
        <v>448</v>
      </c>
      <c r="U9" s="40" t="s">
        <v>448</v>
      </c>
      <c r="V9" s="40" t="s">
        <v>448</v>
      </c>
      <c r="W9" s="40" t="s">
        <v>448</v>
      </c>
      <c r="X9" s="40" t="s">
        <v>448</v>
      </c>
      <c r="Y9" s="73">
        <v>40</v>
      </c>
      <c r="Z9" s="73">
        <v>40</v>
      </c>
      <c r="AA9" s="73">
        <v>80</v>
      </c>
      <c r="AB9" s="40" t="s">
        <v>448</v>
      </c>
      <c r="AC9" s="40" t="s">
        <v>448</v>
      </c>
      <c r="AD9" s="40" t="s">
        <v>448</v>
      </c>
    </row>
    <row r="10" spans="1:30" s="154" customFormat="1" ht="24.95" customHeight="1" x14ac:dyDescent="0.15">
      <c r="A10" s="146"/>
      <c r="B10" s="146"/>
      <c r="C10" s="146"/>
      <c r="D10" s="146"/>
      <c r="E10" s="146"/>
      <c r="F10" s="173"/>
      <c r="G10" s="173"/>
      <c r="H10" s="146"/>
      <c r="I10" s="146"/>
      <c r="J10" s="146"/>
      <c r="K10" s="146"/>
      <c r="L10" s="146"/>
      <c r="M10" s="146"/>
      <c r="N10" s="174"/>
      <c r="O10" s="175"/>
      <c r="P10" s="146"/>
      <c r="Q10" s="146"/>
      <c r="R10" s="146"/>
      <c r="S10" s="146"/>
      <c r="T10" s="146"/>
      <c r="U10" s="146" t="s">
        <v>3393</v>
      </c>
      <c r="V10" s="146"/>
      <c r="W10" s="146"/>
      <c r="X10" s="146"/>
      <c r="Y10" s="176">
        <f>SUM(Y3:Y9)</f>
        <v>199</v>
      </c>
      <c r="Z10" s="176">
        <f>SUM(Z3:Z9)</f>
        <v>134</v>
      </c>
      <c r="AA10" s="176">
        <f>SUM(AA3:AA9)</f>
        <v>333</v>
      </c>
      <c r="AB10" s="146"/>
      <c r="AC10" s="146"/>
      <c r="AD10" s="146"/>
    </row>
  </sheetData>
  <mergeCells count="1">
    <mergeCell ref="A1:AD1"/>
  </mergeCells>
  <phoneticPr fontId="1" type="noConversion"/>
  <pageMargins left="0.7" right="0.7" top="0.75" bottom="0.75" header="0.3" footer="0.3"/>
  <pageSetup paperSize="9" orientation="portrait"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2026</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LiYan</dc:creator>
  <cp:lastModifiedBy>Administrator</cp:lastModifiedBy>
  <cp:lastPrinted>2017-12-04T08:04:50Z</cp:lastPrinted>
  <dcterms:created xsi:type="dcterms:W3CDTF">2017-08-03T07:38:51Z</dcterms:created>
  <dcterms:modified xsi:type="dcterms:W3CDTF">2026-05-12T01:21:20Z</dcterms:modified>
</cp:coreProperties>
</file>